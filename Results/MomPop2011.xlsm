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O:\2015_16TeamFolders\MomPop\Results\"/>
    </mc:Choice>
  </mc:AlternateContent>
  <bookViews>
    <workbookView xWindow="0" yWindow="0" windowWidth="18795" windowHeight="7680" firstSheet="3" activeTab="5"/>
  </bookViews>
  <sheets>
    <sheet name="basic_info" sheetId="4" r:id="rId1"/>
    <sheet name="facilities" sheetId="5" r:id="rId2"/>
    <sheet name="raw_materials" sheetId="6" r:id="rId3"/>
    <sheet name="shipping_manufacturing" sheetId="7" r:id="rId4"/>
    <sheet name="pricing" sheetId="8" r:id="rId5"/>
    <sheet name="annual_report" sheetId="20" r:id="rId6"/>
    <sheet name="grove" sheetId="19" r:id="rId7"/>
    <sheet name="P01" sheetId="18" r:id="rId8"/>
    <sheet name="P05" sheetId="17" r:id="rId9"/>
    <sheet name="P07" sheetId="16" r:id="rId10"/>
    <sheet name="S15" sheetId="15" r:id="rId11"/>
    <sheet name="S61" sheetId="14" r:id="rId12"/>
    <sheet name="ORA" sheetId="13" r:id="rId13"/>
    <sheet name="POJ" sheetId="12" r:id="rId14"/>
    <sheet name="ROJ" sheetId="11" r:id="rId15"/>
    <sheet name="FCOJ" sheetId="10" r:id="rId16"/>
    <sheet name="market" sheetId="9" r:id="rId17"/>
  </sheets>
  <definedNames>
    <definedName name="AddColumn1">shipping_manufacturing!$I$4:$I$12</definedName>
    <definedName name="AddColumn2">shipping_manufacturing!$I$16:$I$20</definedName>
    <definedName name="AddColumn3">shipping_manufacturing!$J$24:$J$30</definedName>
    <definedName name="AddRow3">shipping_manufacturing!$B$30</definedName>
    <definedName name="AddRow4">shipping_manufacturing!$B$38</definedName>
    <definedName name="Table1">shipping_manufacturing!$B$4</definedName>
    <definedName name="Table2">shipping_manufacturing!$B$16</definedName>
    <definedName name="Table3">shipping_manufacturing!$B$24</definedName>
    <definedName name="Table4">shipping_manufacturing!$B$34</definedName>
  </definedNames>
  <calcPr calcId="152511"/>
</workbook>
</file>

<file path=xl/calcChain.xml><?xml version="1.0" encoding="utf-8"?>
<calcChain xmlns="http://schemas.openxmlformats.org/spreadsheetml/2006/main">
  <c r="S16" i="20" l="1"/>
  <c r="S15" i="20"/>
  <c r="S14" i="20"/>
  <c r="H40" i="20"/>
  <c r="H39" i="20"/>
  <c r="S39" i="20" s="1"/>
  <c r="H38" i="20"/>
  <c r="S36" i="20" s="1"/>
  <c r="H35" i="20"/>
  <c r="S42" i="20" s="1"/>
  <c r="H34" i="20"/>
  <c r="H33" i="20"/>
  <c r="H30" i="20"/>
  <c r="H29" i="20"/>
  <c r="S37" i="20" s="1"/>
  <c r="H28" i="20"/>
  <c r="H27" i="20"/>
  <c r="H24" i="20"/>
  <c r="H23" i="20"/>
  <c r="H15" i="20"/>
  <c r="H14" i="20"/>
  <c r="H13" i="20"/>
  <c r="AZ170" i="14"/>
  <c r="AZ121" i="14"/>
  <c r="AZ108" i="14"/>
  <c r="AZ99" i="14"/>
  <c r="AZ92" i="14"/>
  <c r="AZ170" i="15"/>
  <c r="AZ121" i="15"/>
  <c r="AZ108" i="15"/>
  <c r="AZ99" i="15"/>
  <c r="AZ92" i="15"/>
  <c r="AZ42" i="16"/>
  <c r="AZ43" i="16"/>
  <c r="AZ53" i="16"/>
  <c r="AZ54" i="16"/>
  <c r="AZ42" i="17"/>
  <c r="AZ43" i="17"/>
  <c r="AZ53" i="17"/>
  <c r="AZ54" i="17"/>
  <c r="AZ42" i="18"/>
  <c r="AZ43" i="18"/>
  <c r="AZ53" i="18"/>
  <c r="AZ54" i="18"/>
  <c r="T25" i="20"/>
  <c r="T19" i="20"/>
  <c r="D109" i="10"/>
  <c r="E109" i="10"/>
  <c r="F109" i="10"/>
  <c r="G109" i="10"/>
  <c r="H109" i="10"/>
  <c r="I109" i="10"/>
  <c r="J109" i="10"/>
  <c r="K109" i="10"/>
  <c r="L109" i="10"/>
  <c r="L120" i="10" s="1"/>
  <c r="M109" i="10"/>
  <c r="N109" i="10"/>
  <c r="O109" i="10"/>
  <c r="D110" i="10"/>
  <c r="E110" i="10"/>
  <c r="F110" i="10"/>
  <c r="G110" i="10"/>
  <c r="G121" i="10" s="1"/>
  <c r="H110" i="10"/>
  <c r="H121" i="10" s="1"/>
  <c r="I110" i="10"/>
  <c r="J110" i="10"/>
  <c r="K110" i="10"/>
  <c r="L110" i="10"/>
  <c r="M110" i="10"/>
  <c r="N110" i="10"/>
  <c r="O110" i="10"/>
  <c r="D111" i="10"/>
  <c r="D122" i="10" s="1"/>
  <c r="E111" i="10"/>
  <c r="F111" i="10"/>
  <c r="G111" i="10"/>
  <c r="H111" i="10"/>
  <c r="I111" i="10"/>
  <c r="J111" i="10"/>
  <c r="K111" i="10"/>
  <c r="K122" i="10" s="1"/>
  <c r="L111" i="10"/>
  <c r="L122" i="10" s="1"/>
  <c r="M111" i="10"/>
  <c r="N111" i="10"/>
  <c r="O111" i="10"/>
  <c r="D112" i="10"/>
  <c r="E112" i="10"/>
  <c r="F112" i="10"/>
  <c r="F123" i="10" s="1"/>
  <c r="G112" i="10"/>
  <c r="G123" i="10" s="1"/>
  <c r="H112" i="10"/>
  <c r="H123" i="10" s="1"/>
  <c r="I112" i="10"/>
  <c r="J112" i="10"/>
  <c r="K112" i="10"/>
  <c r="L112" i="10"/>
  <c r="M112" i="10"/>
  <c r="N112" i="10"/>
  <c r="O112" i="10"/>
  <c r="O123" i="10" s="1"/>
  <c r="D113" i="10"/>
  <c r="D124" i="10" s="1"/>
  <c r="E113" i="10"/>
  <c r="F113" i="10"/>
  <c r="G113" i="10"/>
  <c r="H113" i="10"/>
  <c r="I113" i="10"/>
  <c r="J113" i="10"/>
  <c r="K113" i="10"/>
  <c r="K124" i="10" s="1"/>
  <c r="L113" i="10"/>
  <c r="L124" i="10" s="1"/>
  <c r="M113" i="10"/>
  <c r="N113" i="10"/>
  <c r="O113" i="10"/>
  <c r="D114" i="10"/>
  <c r="E114" i="10"/>
  <c r="F114" i="10"/>
  <c r="G114" i="10"/>
  <c r="G125" i="10" s="1"/>
  <c r="H114" i="10"/>
  <c r="H125" i="10" s="1"/>
  <c r="I114" i="10"/>
  <c r="J114" i="10"/>
  <c r="K114" i="10"/>
  <c r="L114" i="10"/>
  <c r="M114" i="10"/>
  <c r="N114" i="10"/>
  <c r="N125" i="10" s="1"/>
  <c r="O114" i="10"/>
  <c r="O125" i="10" s="1"/>
  <c r="D115" i="10"/>
  <c r="D126" i="10" s="1"/>
  <c r="E115" i="10"/>
  <c r="F115" i="10"/>
  <c r="G115" i="10"/>
  <c r="H115" i="10"/>
  <c r="I115" i="10"/>
  <c r="J115" i="10"/>
  <c r="K115" i="10"/>
  <c r="K126" i="10" s="1"/>
  <c r="L115" i="10"/>
  <c r="L126" i="10" s="1"/>
  <c r="M115" i="10"/>
  <c r="N115" i="10"/>
  <c r="O115" i="10"/>
  <c r="E116" i="10"/>
  <c r="F116" i="10"/>
  <c r="H116" i="10"/>
  <c r="L116" i="10"/>
  <c r="M116" i="10"/>
  <c r="N116" i="10"/>
  <c r="E120" i="10"/>
  <c r="F120" i="10"/>
  <c r="G120" i="10"/>
  <c r="H120" i="10"/>
  <c r="I120" i="10"/>
  <c r="M120" i="10"/>
  <c r="N120" i="10"/>
  <c r="O120" i="10"/>
  <c r="D121" i="10"/>
  <c r="E121" i="10"/>
  <c r="F121" i="10"/>
  <c r="I121" i="10"/>
  <c r="J121" i="10"/>
  <c r="K121" i="10"/>
  <c r="L121" i="10"/>
  <c r="M121" i="10"/>
  <c r="N121" i="10"/>
  <c r="E122" i="10"/>
  <c r="F122" i="10"/>
  <c r="G122" i="10"/>
  <c r="H122" i="10"/>
  <c r="I122" i="10"/>
  <c r="J122" i="10"/>
  <c r="M122" i="10"/>
  <c r="N122" i="10"/>
  <c r="O122" i="10"/>
  <c r="D123" i="10"/>
  <c r="E123" i="10"/>
  <c r="I123" i="10"/>
  <c r="J123" i="10"/>
  <c r="K123" i="10"/>
  <c r="L123" i="10"/>
  <c r="M123" i="10"/>
  <c r="M127" i="10" s="1"/>
  <c r="N123" i="10"/>
  <c r="N127" i="10" s="1"/>
  <c r="E124" i="10"/>
  <c r="F124" i="10"/>
  <c r="G124" i="10"/>
  <c r="H124" i="10"/>
  <c r="I124" i="10"/>
  <c r="J124" i="10"/>
  <c r="M124" i="10"/>
  <c r="N124" i="10"/>
  <c r="O124" i="10"/>
  <c r="D125" i="10"/>
  <c r="E125" i="10"/>
  <c r="F125" i="10"/>
  <c r="F127" i="10" s="1"/>
  <c r="I125" i="10"/>
  <c r="J125" i="10"/>
  <c r="K125" i="10"/>
  <c r="L125" i="10"/>
  <c r="L127" i="10" s="1"/>
  <c r="M125" i="10"/>
  <c r="E126" i="10"/>
  <c r="F126" i="10"/>
  <c r="G126" i="10"/>
  <c r="H126" i="10"/>
  <c r="I126" i="10"/>
  <c r="J126" i="10"/>
  <c r="M126" i="10"/>
  <c r="N126" i="10"/>
  <c r="O126" i="10"/>
  <c r="E127" i="10"/>
  <c r="D131" i="10"/>
  <c r="E131" i="10"/>
  <c r="F131" i="10"/>
  <c r="G131" i="10"/>
  <c r="H131" i="10"/>
  <c r="I131" i="10"/>
  <c r="J131" i="10"/>
  <c r="K131" i="10"/>
  <c r="L131" i="10"/>
  <c r="M131" i="10"/>
  <c r="N131" i="10"/>
  <c r="O131" i="10"/>
  <c r="D132" i="10"/>
  <c r="E132" i="10"/>
  <c r="F132" i="10"/>
  <c r="G132" i="10"/>
  <c r="H132" i="10"/>
  <c r="I132" i="10"/>
  <c r="J132" i="10"/>
  <c r="K132" i="10"/>
  <c r="L132" i="10"/>
  <c r="M132" i="10"/>
  <c r="N132" i="10"/>
  <c r="O132" i="10"/>
  <c r="D133" i="10"/>
  <c r="E133" i="10"/>
  <c r="F133" i="10"/>
  <c r="G133" i="10"/>
  <c r="H133" i="10"/>
  <c r="I133" i="10"/>
  <c r="J133" i="10"/>
  <c r="K133" i="10"/>
  <c r="L133" i="10"/>
  <c r="M133" i="10"/>
  <c r="N133" i="10"/>
  <c r="O133" i="10"/>
  <c r="D134" i="10"/>
  <c r="E134" i="10"/>
  <c r="F134" i="10"/>
  <c r="G134" i="10"/>
  <c r="H134" i="10"/>
  <c r="I134" i="10"/>
  <c r="J134" i="10"/>
  <c r="K134" i="10"/>
  <c r="L134" i="10"/>
  <c r="M134" i="10"/>
  <c r="N134" i="10"/>
  <c r="O134" i="10"/>
  <c r="D135" i="10"/>
  <c r="E135" i="10"/>
  <c r="F135" i="10"/>
  <c r="G135" i="10"/>
  <c r="H135" i="10"/>
  <c r="I135" i="10"/>
  <c r="J135" i="10"/>
  <c r="K135" i="10"/>
  <c r="L135" i="10"/>
  <c r="M135" i="10"/>
  <c r="N135" i="10"/>
  <c r="O135" i="10"/>
  <c r="D136" i="10"/>
  <c r="E136" i="10"/>
  <c r="F136" i="10"/>
  <c r="G136" i="10"/>
  <c r="H136" i="10"/>
  <c r="I136" i="10"/>
  <c r="J136" i="10"/>
  <c r="K136" i="10"/>
  <c r="L136" i="10"/>
  <c r="M136" i="10"/>
  <c r="N136" i="10"/>
  <c r="O136" i="10"/>
  <c r="D137" i="10"/>
  <c r="E137" i="10"/>
  <c r="F137" i="10"/>
  <c r="G137" i="10"/>
  <c r="H137" i="10"/>
  <c r="I137" i="10"/>
  <c r="J137" i="10"/>
  <c r="K137" i="10"/>
  <c r="L137" i="10"/>
  <c r="M137" i="10"/>
  <c r="N137" i="10"/>
  <c r="O137" i="10"/>
  <c r="D138" i="10"/>
  <c r="E138" i="10"/>
  <c r="F138" i="10"/>
  <c r="G138" i="10"/>
  <c r="D109" i="11"/>
  <c r="D120" i="11" s="1"/>
  <c r="E109" i="11"/>
  <c r="F109" i="11"/>
  <c r="G109" i="11"/>
  <c r="H109" i="11"/>
  <c r="I109" i="11"/>
  <c r="J109" i="11"/>
  <c r="K109" i="11"/>
  <c r="L109" i="11"/>
  <c r="L120" i="11" s="1"/>
  <c r="M109" i="11"/>
  <c r="N109" i="11"/>
  <c r="O109" i="11"/>
  <c r="D110" i="11"/>
  <c r="D121" i="11" s="1"/>
  <c r="E110" i="11"/>
  <c r="F110" i="11"/>
  <c r="G110" i="11"/>
  <c r="H110" i="11"/>
  <c r="H121" i="11" s="1"/>
  <c r="I110" i="11"/>
  <c r="J110" i="11"/>
  <c r="K110" i="11"/>
  <c r="L110" i="11"/>
  <c r="L121" i="11" s="1"/>
  <c r="M110" i="11"/>
  <c r="N110" i="11"/>
  <c r="O110" i="11"/>
  <c r="D111" i="11"/>
  <c r="D122" i="11" s="1"/>
  <c r="E111" i="11"/>
  <c r="F111" i="11"/>
  <c r="G111" i="11"/>
  <c r="H111" i="11"/>
  <c r="H122" i="11" s="1"/>
  <c r="I111" i="11"/>
  <c r="J111" i="11"/>
  <c r="K111" i="11"/>
  <c r="L111" i="11"/>
  <c r="L122" i="11" s="1"/>
  <c r="M111" i="11"/>
  <c r="N111" i="11"/>
  <c r="O111" i="11"/>
  <c r="D112" i="11"/>
  <c r="D123" i="11" s="1"/>
  <c r="E112" i="11"/>
  <c r="F112" i="11"/>
  <c r="G112" i="11"/>
  <c r="H112" i="11"/>
  <c r="H123" i="11" s="1"/>
  <c r="I112" i="11"/>
  <c r="J112" i="11"/>
  <c r="K112" i="11"/>
  <c r="L112" i="11"/>
  <c r="L123" i="11" s="1"/>
  <c r="M112" i="11"/>
  <c r="N112" i="11"/>
  <c r="O112" i="11"/>
  <c r="D113" i="11"/>
  <c r="D124" i="11" s="1"/>
  <c r="E113" i="11"/>
  <c r="F113" i="11"/>
  <c r="G113" i="11"/>
  <c r="H113" i="11"/>
  <c r="H124" i="11" s="1"/>
  <c r="I113" i="11"/>
  <c r="J113" i="11"/>
  <c r="K113" i="11"/>
  <c r="K124" i="11" s="1"/>
  <c r="L113" i="11"/>
  <c r="L124" i="11" s="1"/>
  <c r="M113" i="11"/>
  <c r="N113" i="11"/>
  <c r="O113" i="11"/>
  <c r="D114" i="11"/>
  <c r="D125" i="11" s="1"/>
  <c r="E114" i="11"/>
  <c r="F114" i="11"/>
  <c r="G114" i="11"/>
  <c r="H114" i="11"/>
  <c r="H125" i="11" s="1"/>
  <c r="I114" i="11"/>
  <c r="J114" i="11"/>
  <c r="K114" i="11"/>
  <c r="L114" i="11"/>
  <c r="L125" i="11" s="1"/>
  <c r="M114" i="11"/>
  <c r="N114" i="11"/>
  <c r="O114" i="11"/>
  <c r="D115" i="11"/>
  <c r="D126" i="11" s="1"/>
  <c r="E115" i="11"/>
  <c r="F115" i="11"/>
  <c r="G115" i="11"/>
  <c r="H115" i="11"/>
  <c r="H126" i="11" s="1"/>
  <c r="I115" i="11"/>
  <c r="J115" i="11"/>
  <c r="K115" i="11"/>
  <c r="L115" i="11"/>
  <c r="L126" i="11" s="1"/>
  <c r="M115" i="11"/>
  <c r="N115" i="11"/>
  <c r="O115" i="11"/>
  <c r="D116" i="11"/>
  <c r="E116" i="11"/>
  <c r="F116" i="11"/>
  <c r="G116" i="11"/>
  <c r="M116" i="11"/>
  <c r="N116" i="11"/>
  <c r="O116" i="11"/>
  <c r="E120" i="11"/>
  <c r="F120" i="11"/>
  <c r="G120" i="11"/>
  <c r="I120" i="11"/>
  <c r="J120" i="11"/>
  <c r="J127" i="11" s="1"/>
  <c r="K120" i="11"/>
  <c r="K127" i="11" s="1"/>
  <c r="M120" i="11"/>
  <c r="N120" i="11"/>
  <c r="O120" i="11"/>
  <c r="E121" i="11"/>
  <c r="F121" i="11"/>
  <c r="G121" i="11"/>
  <c r="G127" i="11" s="1"/>
  <c r="I121" i="11"/>
  <c r="J121" i="11"/>
  <c r="K121" i="11"/>
  <c r="M121" i="11"/>
  <c r="N121" i="11"/>
  <c r="O121" i="11"/>
  <c r="E122" i="11"/>
  <c r="F122" i="11"/>
  <c r="G122" i="11"/>
  <c r="I122" i="11"/>
  <c r="J122" i="11"/>
  <c r="K122" i="11"/>
  <c r="M122" i="11"/>
  <c r="N122" i="11"/>
  <c r="O122" i="11"/>
  <c r="E123" i="11"/>
  <c r="F123" i="11"/>
  <c r="G123" i="11"/>
  <c r="I123" i="11"/>
  <c r="J123" i="11"/>
  <c r="K123" i="11"/>
  <c r="M123" i="11"/>
  <c r="M127" i="11" s="1"/>
  <c r="N123" i="11"/>
  <c r="O123" i="11"/>
  <c r="O127" i="11" s="1"/>
  <c r="E124" i="11"/>
  <c r="F124" i="11"/>
  <c r="G124" i="11"/>
  <c r="I124" i="11"/>
  <c r="J124" i="11"/>
  <c r="M124" i="11"/>
  <c r="N124" i="11"/>
  <c r="O124" i="11"/>
  <c r="E125" i="11"/>
  <c r="F125" i="11"/>
  <c r="G125" i="11"/>
  <c r="I125" i="11"/>
  <c r="J125" i="11"/>
  <c r="K125" i="11"/>
  <c r="M125" i="11"/>
  <c r="N125" i="11"/>
  <c r="O125" i="11"/>
  <c r="E126" i="11"/>
  <c r="F126" i="11"/>
  <c r="G126" i="11"/>
  <c r="I126" i="11"/>
  <c r="J126" i="11"/>
  <c r="K126" i="11"/>
  <c r="M126" i="11"/>
  <c r="N126" i="11"/>
  <c r="O126" i="11"/>
  <c r="E127" i="11"/>
  <c r="N127" i="11"/>
  <c r="D131" i="11"/>
  <c r="E131" i="11"/>
  <c r="F131" i="11"/>
  <c r="G131" i="11"/>
  <c r="H131" i="11"/>
  <c r="I131" i="11"/>
  <c r="J131" i="11"/>
  <c r="K131" i="11"/>
  <c r="L131" i="11"/>
  <c r="M131" i="11"/>
  <c r="N131" i="11"/>
  <c r="O131" i="11"/>
  <c r="D132" i="11"/>
  <c r="E132" i="11"/>
  <c r="E138" i="11" s="1"/>
  <c r="F132" i="11"/>
  <c r="G132" i="11"/>
  <c r="H132" i="11"/>
  <c r="I132" i="11"/>
  <c r="J132" i="11"/>
  <c r="K132" i="11"/>
  <c r="L132" i="11"/>
  <c r="M132" i="11"/>
  <c r="N132" i="11"/>
  <c r="O132" i="11"/>
  <c r="D133" i="11"/>
  <c r="E133" i="11"/>
  <c r="F133" i="11"/>
  <c r="G133" i="11"/>
  <c r="H133" i="11"/>
  <c r="I133" i="11"/>
  <c r="J133" i="11"/>
  <c r="K133" i="11"/>
  <c r="L133" i="11"/>
  <c r="M133" i="11"/>
  <c r="N133" i="11"/>
  <c r="O133" i="11"/>
  <c r="D134" i="11"/>
  <c r="E134" i="11"/>
  <c r="F134" i="11"/>
  <c r="G134" i="11"/>
  <c r="H134" i="11"/>
  <c r="I134" i="11"/>
  <c r="J134" i="11"/>
  <c r="K134" i="11"/>
  <c r="L134" i="11"/>
  <c r="M134" i="11"/>
  <c r="N134" i="11"/>
  <c r="O134" i="11"/>
  <c r="D135" i="11"/>
  <c r="E135" i="11"/>
  <c r="F135" i="11"/>
  <c r="G135" i="11"/>
  <c r="H135" i="11"/>
  <c r="I135" i="11"/>
  <c r="J135" i="11"/>
  <c r="K135" i="11"/>
  <c r="L135" i="11"/>
  <c r="M135" i="11"/>
  <c r="N135" i="11"/>
  <c r="O135" i="11"/>
  <c r="D136" i="11"/>
  <c r="E136" i="11"/>
  <c r="F136" i="11"/>
  <c r="G136" i="11"/>
  <c r="H136" i="11"/>
  <c r="I136" i="11"/>
  <c r="J136" i="11"/>
  <c r="K136" i="11"/>
  <c r="L136" i="11"/>
  <c r="M136" i="11"/>
  <c r="N136" i="11"/>
  <c r="O136" i="11"/>
  <c r="D137" i="11"/>
  <c r="E137" i="11"/>
  <c r="F137" i="11"/>
  <c r="G137" i="11"/>
  <c r="H137" i="11"/>
  <c r="I137" i="11"/>
  <c r="J137" i="11"/>
  <c r="K137" i="11"/>
  <c r="L137" i="11"/>
  <c r="M137" i="11"/>
  <c r="N137" i="11"/>
  <c r="O137" i="11"/>
  <c r="H138" i="11"/>
  <c r="L138" i="11"/>
  <c r="M138" i="11"/>
  <c r="D109" i="12"/>
  <c r="E109" i="12"/>
  <c r="F109" i="12"/>
  <c r="G109" i="12"/>
  <c r="H109" i="12"/>
  <c r="H120" i="12" s="1"/>
  <c r="I109" i="12"/>
  <c r="J109" i="12"/>
  <c r="K109" i="12"/>
  <c r="L109" i="12"/>
  <c r="M109" i="12"/>
  <c r="N109" i="12"/>
  <c r="O109" i="12"/>
  <c r="D110" i="12"/>
  <c r="D121" i="12" s="1"/>
  <c r="E110" i="12"/>
  <c r="E121" i="12" s="1"/>
  <c r="F110" i="12"/>
  <c r="G110" i="12"/>
  <c r="H110" i="12"/>
  <c r="I110" i="12"/>
  <c r="J110" i="12"/>
  <c r="K110" i="12"/>
  <c r="L110" i="12"/>
  <c r="L121" i="12" s="1"/>
  <c r="M110" i="12"/>
  <c r="N110" i="12"/>
  <c r="O110" i="12"/>
  <c r="D111" i="12"/>
  <c r="D122" i="12" s="1"/>
  <c r="E111" i="12"/>
  <c r="F111" i="12"/>
  <c r="G111" i="12"/>
  <c r="H111" i="12"/>
  <c r="H122" i="12" s="1"/>
  <c r="I111" i="12"/>
  <c r="I122" i="12" s="1"/>
  <c r="J111" i="12"/>
  <c r="K111" i="12"/>
  <c r="L111" i="12"/>
  <c r="L122" i="12" s="1"/>
  <c r="M111" i="12"/>
  <c r="N111" i="12"/>
  <c r="O111" i="12"/>
  <c r="D112" i="12"/>
  <c r="D123" i="12" s="1"/>
  <c r="E112" i="12"/>
  <c r="E123" i="12" s="1"/>
  <c r="F112" i="12"/>
  <c r="G112" i="12"/>
  <c r="H112" i="12"/>
  <c r="H123" i="12" s="1"/>
  <c r="I112" i="12"/>
  <c r="J112" i="12"/>
  <c r="K112" i="12"/>
  <c r="L112" i="12"/>
  <c r="L123" i="12" s="1"/>
  <c r="M112" i="12"/>
  <c r="M123" i="12" s="1"/>
  <c r="N112" i="12"/>
  <c r="O112" i="12"/>
  <c r="D113" i="12"/>
  <c r="D124" i="12" s="1"/>
  <c r="E113" i="12"/>
  <c r="F113" i="12"/>
  <c r="G113" i="12"/>
  <c r="H113" i="12"/>
  <c r="H124" i="12" s="1"/>
  <c r="I113" i="12"/>
  <c r="I124" i="12" s="1"/>
  <c r="J113" i="12"/>
  <c r="K113" i="12"/>
  <c r="L113" i="12"/>
  <c r="L124" i="12" s="1"/>
  <c r="M113" i="12"/>
  <c r="N113" i="12"/>
  <c r="O113" i="12"/>
  <c r="D114" i="12"/>
  <c r="D125" i="12" s="1"/>
  <c r="E114" i="12"/>
  <c r="E125" i="12" s="1"/>
  <c r="F114" i="12"/>
  <c r="G114" i="12"/>
  <c r="H114" i="12"/>
  <c r="H125" i="12" s="1"/>
  <c r="I114" i="12"/>
  <c r="J114" i="12"/>
  <c r="K114" i="12"/>
  <c r="L114" i="12"/>
  <c r="L125" i="12" s="1"/>
  <c r="M114" i="12"/>
  <c r="M125" i="12" s="1"/>
  <c r="N114" i="12"/>
  <c r="O114" i="12"/>
  <c r="D115" i="12"/>
  <c r="D126" i="12" s="1"/>
  <c r="E115" i="12"/>
  <c r="F115" i="12"/>
  <c r="G115" i="12"/>
  <c r="H115" i="12"/>
  <c r="H126" i="12" s="1"/>
  <c r="I115" i="12"/>
  <c r="I126" i="12" s="1"/>
  <c r="J115" i="12"/>
  <c r="K115" i="12"/>
  <c r="L115" i="12"/>
  <c r="L126" i="12" s="1"/>
  <c r="M115" i="12"/>
  <c r="N115" i="12"/>
  <c r="O115" i="12"/>
  <c r="E116" i="12"/>
  <c r="F116" i="12"/>
  <c r="G116" i="12"/>
  <c r="N116" i="12"/>
  <c r="O116" i="12"/>
  <c r="E120" i="12"/>
  <c r="F120" i="12"/>
  <c r="G120" i="12"/>
  <c r="J120" i="12"/>
  <c r="K120" i="12"/>
  <c r="M120" i="12"/>
  <c r="N120" i="12"/>
  <c r="O120" i="12"/>
  <c r="F121" i="12"/>
  <c r="G121" i="12"/>
  <c r="G127" i="12" s="1"/>
  <c r="I121" i="12"/>
  <c r="J121" i="12"/>
  <c r="K121" i="12"/>
  <c r="N121" i="12"/>
  <c r="O121" i="12"/>
  <c r="E122" i="12"/>
  <c r="F122" i="12"/>
  <c r="G122" i="12"/>
  <c r="J122" i="12"/>
  <c r="K122" i="12"/>
  <c r="M122" i="12"/>
  <c r="N122" i="12"/>
  <c r="O122" i="12"/>
  <c r="F123" i="12"/>
  <c r="G123" i="12"/>
  <c r="I123" i="12"/>
  <c r="J123" i="12"/>
  <c r="K123" i="12"/>
  <c r="N123" i="12"/>
  <c r="O123" i="12"/>
  <c r="E124" i="12"/>
  <c r="F124" i="12"/>
  <c r="G124" i="12"/>
  <c r="J124" i="12"/>
  <c r="K124" i="12"/>
  <c r="M124" i="12"/>
  <c r="N124" i="12"/>
  <c r="O124" i="12"/>
  <c r="F125" i="12"/>
  <c r="G125" i="12"/>
  <c r="I125" i="12"/>
  <c r="J125" i="12"/>
  <c r="K125" i="12"/>
  <c r="N125" i="12"/>
  <c r="O125" i="12"/>
  <c r="E126" i="12"/>
  <c r="F126" i="12"/>
  <c r="G126" i="12"/>
  <c r="J126" i="12"/>
  <c r="K126" i="12"/>
  <c r="M126" i="12"/>
  <c r="N126" i="12"/>
  <c r="O126" i="12"/>
  <c r="F127" i="12"/>
  <c r="N127" i="12"/>
  <c r="D131" i="12"/>
  <c r="E131" i="12"/>
  <c r="F131" i="12"/>
  <c r="G131" i="12"/>
  <c r="H131" i="12"/>
  <c r="I131" i="12"/>
  <c r="J131" i="12"/>
  <c r="K131" i="12"/>
  <c r="L131" i="12"/>
  <c r="M131" i="12"/>
  <c r="N131" i="12"/>
  <c r="O131" i="12"/>
  <c r="D132" i="12"/>
  <c r="E132" i="12"/>
  <c r="F132" i="12"/>
  <c r="F138" i="12" s="1"/>
  <c r="G132" i="12"/>
  <c r="G138" i="12" s="1"/>
  <c r="H132" i="12"/>
  <c r="I132" i="12"/>
  <c r="J132" i="12"/>
  <c r="K132" i="12"/>
  <c r="L132" i="12"/>
  <c r="M132" i="12"/>
  <c r="N132" i="12"/>
  <c r="O132" i="12"/>
  <c r="D133" i="12"/>
  <c r="E133" i="12"/>
  <c r="F133" i="12"/>
  <c r="G133" i="12"/>
  <c r="H133" i="12"/>
  <c r="I133" i="12"/>
  <c r="J133" i="12"/>
  <c r="K133" i="12"/>
  <c r="L133" i="12"/>
  <c r="M133" i="12"/>
  <c r="N133" i="12"/>
  <c r="O133" i="12"/>
  <c r="D134" i="12"/>
  <c r="E134" i="12"/>
  <c r="F134" i="12"/>
  <c r="G134" i="12"/>
  <c r="H134" i="12"/>
  <c r="I134" i="12"/>
  <c r="J134" i="12"/>
  <c r="K134" i="12"/>
  <c r="L134" i="12"/>
  <c r="M134" i="12"/>
  <c r="N134" i="12"/>
  <c r="O134" i="12"/>
  <c r="D135" i="12"/>
  <c r="E135" i="12"/>
  <c r="F135" i="12"/>
  <c r="G135" i="12"/>
  <c r="H135" i="12"/>
  <c r="I135" i="12"/>
  <c r="J135" i="12"/>
  <c r="K135" i="12"/>
  <c r="L135" i="12"/>
  <c r="M135" i="12"/>
  <c r="N135" i="12"/>
  <c r="O135" i="12"/>
  <c r="D136" i="12"/>
  <c r="E136" i="12"/>
  <c r="F136" i="12"/>
  <c r="G136" i="12"/>
  <c r="H136" i="12"/>
  <c r="I136" i="12"/>
  <c r="J136" i="12"/>
  <c r="K136" i="12"/>
  <c r="L136" i="12"/>
  <c r="M136" i="12"/>
  <c r="N136" i="12"/>
  <c r="O136" i="12"/>
  <c r="D137" i="12"/>
  <c r="E137" i="12"/>
  <c r="F137" i="12"/>
  <c r="G137" i="12"/>
  <c r="H137" i="12"/>
  <c r="I137" i="12"/>
  <c r="J137" i="12"/>
  <c r="K137" i="12"/>
  <c r="L137" i="12"/>
  <c r="M137" i="12"/>
  <c r="N137" i="12"/>
  <c r="O137" i="12"/>
  <c r="E138" i="12"/>
  <c r="M138" i="12"/>
  <c r="O138" i="12"/>
  <c r="D109" i="13"/>
  <c r="E109" i="13"/>
  <c r="F109" i="13"/>
  <c r="G109" i="13"/>
  <c r="H109" i="13"/>
  <c r="I109" i="13"/>
  <c r="J109" i="13"/>
  <c r="K109" i="13"/>
  <c r="L109" i="13"/>
  <c r="M109" i="13"/>
  <c r="N109" i="13"/>
  <c r="O109" i="13"/>
  <c r="D110" i="13"/>
  <c r="D121" i="13" s="1"/>
  <c r="E110" i="13"/>
  <c r="F110" i="13"/>
  <c r="G110" i="13"/>
  <c r="G121" i="13" s="1"/>
  <c r="H110" i="13"/>
  <c r="I110" i="13"/>
  <c r="J110" i="13"/>
  <c r="K110" i="13"/>
  <c r="L110" i="13"/>
  <c r="M110" i="13"/>
  <c r="N110" i="13"/>
  <c r="O110" i="13"/>
  <c r="D111" i="13"/>
  <c r="E111" i="13"/>
  <c r="F111" i="13"/>
  <c r="G111" i="13"/>
  <c r="H111" i="13"/>
  <c r="H122" i="13" s="1"/>
  <c r="I111" i="13"/>
  <c r="J111" i="13"/>
  <c r="J122" i="13" s="1"/>
  <c r="K111" i="13"/>
  <c r="K122" i="13" s="1"/>
  <c r="L111" i="13"/>
  <c r="M111" i="13"/>
  <c r="N111" i="13"/>
  <c r="O111" i="13"/>
  <c r="D112" i="13"/>
  <c r="D123" i="13" s="1"/>
  <c r="E112" i="13"/>
  <c r="F112" i="13"/>
  <c r="G112" i="13"/>
  <c r="G123" i="13" s="1"/>
  <c r="H112" i="13"/>
  <c r="I112" i="13"/>
  <c r="J112" i="13"/>
  <c r="K112" i="13"/>
  <c r="L112" i="13"/>
  <c r="L123" i="13" s="1"/>
  <c r="M112" i="13"/>
  <c r="N112" i="13"/>
  <c r="O112" i="13"/>
  <c r="O123" i="13" s="1"/>
  <c r="D113" i="13"/>
  <c r="E113" i="13"/>
  <c r="F113" i="13"/>
  <c r="G113" i="13"/>
  <c r="H113" i="13"/>
  <c r="H124" i="13" s="1"/>
  <c r="I113" i="13"/>
  <c r="J113" i="13"/>
  <c r="K113" i="13"/>
  <c r="K124" i="13" s="1"/>
  <c r="L113" i="13"/>
  <c r="M113" i="13"/>
  <c r="N113" i="13"/>
  <c r="O113" i="13"/>
  <c r="D114" i="13"/>
  <c r="D125" i="13" s="1"/>
  <c r="E114" i="13"/>
  <c r="F114" i="13"/>
  <c r="G114" i="13"/>
  <c r="G125" i="13" s="1"/>
  <c r="H114" i="13"/>
  <c r="I114" i="13"/>
  <c r="J114" i="13"/>
  <c r="K114" i="13"/>
  <c r="L114" i="13"/>
  <c r="L125" i="13" s="1"/>
  <c r="M114" i="13"/>
  <c r="N114" i="13"/>
  <c r="O114" i="13"/>
  <c r="D115" i="13"/>
  <c r="E115" i="13"/>
  <c r="F115" i="13"/>
  <c r="G115" i="13"/>
  <c r="H115" i="13"/>
  <c r="H126" i="13" s="1"/>
  <c r="I115" i="13"/>
  <c r="J115" i="13"/>
  <c r="K115" i="13"/>
  <c r="L115" i="13"/>
  <c r="M115" i="13"/>
  <c r="N115" i="13"/>
  <c r="O115" i="13"/>
  <c r="D116" i="13"/>
  <c r="E116" i="13"/>
  <c r="F116" i="13"/>
  <c r="G116" i="13"/>
  <c r="M116" i="13"/>
  <c r="N116" i="13"/>
  <c r="D120" i="13"/>
  <c r="D127" i="13" s="1"/>
  <c r="E120" i="13"/>
  <c r="F120" i="13"/>
  <c r="G120" i="13"/>
  <c r="I120" i="13"/>
  <c r="J120" i="13"/>
  <c r="L120" i="13"/>
  <c r="M120" i="13"/>
  <c r="N120" i="13"/>
  <c r="O120" i="13"/>
  <c r="E121" i="13"/>
  <c r="F121" i="13"/>
  <c r="H121" i="13"/>
  <c r="I121" i="13"/>
  <c r="J121" i="13"/>
  <c r="K121" i="13"/>
  <c r="M121" i="13"/>
  <c r="N121" i="13"/>
  <c r="D122" i="13"/>
  <c r="E122" i="13"/>
  <c r="F122" i="13"/>
  <c r="G122" i="13"/>
  <c r="I122" i="13"/>
  <c r="L122" i="13"/>
  <c r="M122" i="13"/>
  <c r="N122" i="13"/>
  <c r="O122" i="13"/>
  <c r="E123" i="13"/>
  <c r="F123" i="13"/>
  <c r="H123" i="13"/>
  <c r="I123" i="13"/>
  <c r="J123" i="13"/>
  <c r="K123" i="13"/>
  <c r="M123" i="13"/>
  <c r="N123" i="13"/>
  <c r="D124" i="13"/>
  <c r="E124" i="13"/>
  <c r="F124" i="13"/>
  <c r="G124" i="13"/>
  <c r="I124" i="13"/>
  <c r="J124" i="13"/>
  <c r="L124" i="13"/>
  <c r="M124" i="13"/>
  <c r="N124" i="13"/>
  <c r="O124" i="13"/>
  <c r="E125" i="13"/>
  <c r="F125" i="13"/>
  <c r="H125" i="13"/>
  <c r="I125" i="13"/>
  <c r="J125" i="13"/>
  <c r="K125" i="13"/>
  <c r="M125" i="13"/>
  <c r="N125" i="13"/>
  <c r="O125" i="13"/>
  <c r="D126" i="13"/>
  <c r="E126" i="13"/>
  <c r="F126" i="13"/>
  <c r="G126" i="13"/>
  <c r="I126" i="13"/>
  <c r="J126" i="13"/>
  <c r="K126" i="13"/>
  <c r="L126" i="13"/>
  <c r="M126" i="13"/>
  <c r="N126" i="13"/>
  <c r="O126" i="13"/>
  <c r="M127" i="13"/>
  <c r="D131" i="13"/>
  <c r="E131" i="13"/>
  <c r="F131" i="13"/>
  <c r="G131" i="13"/>
  <c r="H131" i="13"/>
  <c r="I131" i="13"/>
  <c r="J131" i="13"/>
  <c r="K131" i="13"/>
  <c r="L131" i="13"/>
  <c r="M131" i="13"/>
  <c r="N131" i="13"/>
  <c r="O131" i="13"/>
  <c r="D132" i="13"/>
  <c r="E132" i="13"/>
  <c r="F132" i="13"/>
  <c r="G132" i="13"/>
  <c r="H132" i="13"/>
  <c r="I132" i="13"/>
  <c r="J132" i="13"/>
  <c r="K132" i="13"/>
  <c r="L132" i="13"/>
  <c r="M132" i="13"/>
  <c r="N132" i="13"/>
  <c r="O132" i="13"/>
  <c r="D133" i="13"/>
  <c r="E133" i="13"/>
  <c r="F133" i="13"/>
  <c r="G133" i="13"/>
  <c r="H133" i="13"/>
  <c r="I133" i="13"/>
  <c r="J133" i="13"/>
  <c r="K133" i="13"/>
  <c r="L133" i="13"/>
  <c r="M133" i="13"/>
  <c r="N133" i="13"/>
  <c r="O133" i="13"/>
  <c r="D134" i="13"/>
  <c r="E134" i="13"/>
  <c r="F134" i="13"/>
  <c r="G134" i="13"/>
  <c r="H134" i="13"/>
  <c r="I134" i="13"/>
  <c r="J134" i="13"/>
  <c r="K134" i="13"/>
  <c r="L134" i="13"/>
  <c r="M134" i="13"/>
  <c r="N134" i="13"/>
  <c r="O134" i="13"/>
  <c r="D135" i="13"/>
  <c r="E135" i="13"/>
  <c r="F135" i="13"/>
  <c r="G135" i="13"/>
  <c r="H135" i="13"/>
  <c r="I135" i="13"/>
  <c r="J135" i="13"/>
  <c r="K135" i="13"/>
  <c r="L135" i="13"/>
  <c r="M135" i="13"/>
  <c r="N135" i="13"/>
  <c r="O135" i="13"/>
  <c r="D136" i="13"/>
  <c r="E136" i="13"/>
  <c r="F136" i="13"/>
  <c r="G136" i="13"/>
  <c r="H136" i="13"/>
  <c r="I136" i="13"/>
  <c r="J136" i="13"/>
  <c r="K136" i="13"/>
  <c r="L136" i="13"/>
  <c r="M136" i="13"/>
  <c r="N136" i="13"/>
  <c r="O136" i="13"/>
  <c r="D137" i="13"/>
  <c r="E137" i="13"/>
  <c r="F137" i="13"/>
  <c r="G137" i="13"/>
  <c r="H137" i="13"/>
  <c r="I137" i="13"/>
  <c r="J137" i="13"/>
  <c r="K137" i="13"/>
  <c r="L137" i="13"/>
  <c r="M137" i="13"/>
  <c r="N137" i="13"/>
  <c r="O137" i="13"/>
  <c r="D138" i="13"/>
  <c r="E138" i="13"/>
  <c r="F138" i="13"/>
  <c r="G138" i="13"/>
  <c r="N138" i="13"/>
  <c r="O138" i="13"/>
  <c r="AY259" i="14"/>
  <c r="AZ14" i="14"/>
  <c r="AY181" i="14"/>
  <c r="AY179" i="14"/>
  <c r="AY177" i="14"/>
  <c r="AY175" i="14"/>
  <c r="AY260" i="14" s="1"/>
  <c r="AX260" i="14"/>
  <c r="AY14" i="14"/>
  <c r="AX259" i="14" s="1"/>
  <c r="AX181" i="14"/>
  <c r="AX179" i="14"/>
  <c r="AX177" i="14"/>
  <c r="AX175" i="14"/>
  <c r="AW259" i="14"/>
  <c r="AX14" i="14"/>
  <c r="AW181" i="14"/>
  <c r="AW260" i="14" s="1"/>
  <c r="AW179" i="14"/>
  <c r="AW177" i="14"/>
  <c r="AW175" i="14"/>
  <c r="AW14" i="14"/>
  <c r="AV259" i="14" s="1"/>
  <c r="AV181" i="14"/>
  <c r="AV179" i="14"/>
  <c r="AV260" i="14" s="1"/>
  <c r="AV177" i="14"/>
  <c r="AV175" i="14"/>
  <c r="AU259" i="14"/>
  <c r="AV14" i="14"/>
  <c r="AU181" i="14"/>
  <c r="AU179" i="14"/>
  <c r="AU177" i="14"/>
  <c r="AU260" i="14" s="1"/>
  <c r="AU175" i="14"/>
  <c r="AT259" i="14"/>
  <c r="AU14" i="14"/>
  <c r="AT181" i="14"/>
  <c r="AT179" i="14"/>
  <c r="AT177" i="14"/>
  <c r="AT175" i="14"/>
  <c r="AT14" i="14"/>
  <c r="AS259" i="14" s="1"/>
  <c r="AS181" i="14"/>
  <c r="AS179" i="14"/>
  <c r="AS177" i="14"/>
  <c r="AS175" i="14"/>
  <c r="AR259" i="14"/>
  <c r="AS14" i="14"/>
  <c r="AR181" i="14"/>
  <c r="AR179" i="14"/>
  <c r="AR177" i="14"/>
  <c r="AR260" i="14" s="1"/>
  <c r="AR175" i="14"/>
  <c r="AQ260" i="14"/>
  <c r="AQ259" i="14"/>
  <c r="AR14" i="14"/>
  <c r="AQ181" i="14"/>
  <c r="AQ179" i="14"/>
  <c r="AQ177" i="14"/>
  <c r="AQ175" i="14"/>
  <c r="AQ14" i="14"/>
  <c r="AP259" i="14" s="1"/>
  <c r="AP181" i="14"/>
  <c r="AP179" i="14"/>
  <c r="AP177" i="14"/>
  <c r="AP175" i="14"/>
  <c r="AP260" i="14" s="1"/>
  <c r="AO260" i="14"/>
  <c r="AP14" i="14"/>
  <c r="AO259" i="14" s="1"/>
  <c r="AO181" i="14"/>
  <c r="AO179" i="14"/>
  <c r="AO177" i="14"/>
  <c r="AO175" i="14"/>
  <c r="AN259" i="14"/>
  <c r="AO14" i="14"/>
  <c r="AN181" i="14"/>
  <c r="AN179" i="14"/>
  <c r="AN260" i="14" s="1"/>
  <c r="AN177" i="14"/>
  <c r="AN175" i="14"/>
  <c r="AN14" i="14"/>
  <c r="AM259" i="14" s="1"/>
  <c r="AM181" i="14"/>
  <c r="AM179" i="14"/>
  <c r="AM177" i="14"/>
  <c r="AM260" i="14" s="1"/>
  <c r="AM175" i="14"/>
  <c r="AM14" i="14"/>
  <c r="AL259" i="14" s="1"/>
  <c r="AL181" i="14"/>
  <c r="AL179" i="14"/>
  <c r="AL177" i="14"/>
  <c r="AL175" i="14"/>
  <c r="AL14" i="14"/>
  <c r="AK259" i="14" s="1"/>
  <c r="AK181" i="14"/>
  <c r="AK179" i="14"/>
  <c r="AK177" i="14"/>
  <c r="AK175" i="14"/>
  <c r="AJ259" i="14"/>
  <c r="AK14" i="14"/>
  <c r="AJ181" i="14"/>
  <c r="AJ179" i="14"/>
  <c r="AJ177" i="14"/>
  <c r="AJ175" i="14"/>
  <c r="AJ260" i="14" s="1"/>
  <c r="AI259" i="14"/>
  <c r="AJ14" i="14"/>
  <c r="AI181" i="14"/>
  <c r="AI179" i="14"/>
  <c r="AI177" i="14"/>
  <c r="AI175" i="14"/>
  <c r="AI14" i="14"/>
  <c r="AH259" i="14" s="1"/>
  <c r="AH181" i="14"/>
  <c r="AH179" i="14"/>
  <c r="AH177" i="14"/>
  <c r="AH175" i="14"/>
  <c r="AH260" i="14" s="1"/>
  <c r="AG259" i="14"/>
  <c r="AH14" i="14"/>
  <c r="AG181" i="14"/>
  <c r="AG179" i="14"/>
  <c r="AG177" i="14"/>
  <c r="AG175" i="14"/>
  <c r="AG14" i="14"/>
  <c r="AF259" i="14" s="1"/>
  <c r="AF181" i="14"/>
  <c r="AF260" i="14" s="1"/>
  <c r="AF179" i="14"/>
  <c r="AF177" i="14"/>
  <c r="AF175" i="14"/>
  <c r="AE259" i="14"/>
  <c r="AF14" i="14"/>
  <c r="AE181" i="14"/>
  <c r="AE260" i="14" s="1"/>
  <c r="AE179" i="14"/>
  <c r="AE177" i="14"/>
  <c r="AE175" i="14"/>
  <c r="AE14" i="14"/>
  <c r="AD259" i="14" s="1"/>
  <c r="AD181" i="14"/>
  <c r="AD179" i="14"/>
  <c r="AD177" i="14"/>
  <c r="AD175" i="14"/>
  <c r="AD260" i="14" s="1"/>
  <c r="AD14" i="14"/>
  <c r="AC259" i="14" s="1"/>
  <c r="AC181" i="14"/>
  <c r="AC179" i="14"/>
  <c r="AC177" i="14"/>
  <c r="AC175" i="14"/>
  <c r="AB259" i="14"/>
  <c r="AC14" i="14"/>
  <c r="AB181" i="14"/>
  <c r="AB179" i="14"/>
  <c r="AB177" i="14"/>
  <c r="AB175" i="14"/>
  <c r="AA259" i="14"/>
  <c r="AB14" i="14"/>
  <c r="AA181" i="14"/>
  <c r="AA179" i="14"/>
  <c r="AA260" i="14" s="1"/>
  <c r="AA177" i="14"/>
  <c r="AA175" i="14"/>
  <c r="Z259" i="14"/>
  <c r="AA14" i="14"/>
  <c r="Z181" i="14"/>
  <c r="Z179" i="14"/>
  <c r="Z177" i="14"/>
  <c r="Z175" i="14"/>
  <c r="Z14" i="14"/>
  <c r="Y259" i="14" s="1"/>
  <c r="Y181" i="14"/>
  <c r="Y179" i="14"/>
  <c r="Y177" i="14"/>
  <c r="Y175" i="14"/>
  <c r="Y260" i="14" s="1"/>
  <c r="Y14" i="14"/>
  <c r="X259" i="14" s="1"/>
  <c r="X181" i="14"/>
  <c r="X260" i="14" s="1"/>
  <c r="X179" i="14"/>
  <c r="X177" i="14"/>
  <c r="X175" i="14"/>
  <c r="W259" i="14"/>
  <c r="X14" i="14"/>
  <c r="W181" i="14"/>
  <c r="W179" i="14"/>
  <c r="W260" i="14" s="1"/>
  <c r="W177" i="14"/>
  <c r="W175" i="14"/>
  <c r="W14" i="14"/>
  <c r="V259" i="14" s="1"/>
  <c r="V181" i="14"/>
  <c r="V179" i="14"/>
  <c r="V177" i="14"/>
  <c r="V175" i="14"/>
  <c r="V260" i="14" s="1"/>
  <c r="V14" i="14"/>
  <c r="U259" i="14" s="1"/>
  <c r="U181" i="14"/>
  <c r="U179" i="14"/>
  <c r="U177" i="14"/>
  <c r="U175" i="14"/>
  <c r="T259" i="14"/>
  <c r="U14" i="14"/>
  <c r="T181" i="14"/>
  <c r="T179" i="14"/>
  <c r="T177" i="14"/>
  <c r="T175" i="14"/>
  <c r="S259" i="14"/>
  <c r="T14" i="14"/>
  <c r="S181" i="14"/>
  <c r="S179" i="14"/>
  <c r="S177" i="14"/>
  <c r="S175" i="14"/>
  <c r="S260" i="14" s="1"/>
  <c r="R260" i="14"/>
  <c r="R259" i="14"/>
  <c r="S14" i="14"/>
  <c r="R181" i="14"/>
  <c r="R179" i="14"/>
  <c r="R177" i="14"/>
  <c r="R175" i="14"/>
  <c r="Q260" i="14"/>
  <c r="Q259" i="14"/>
  <c r="R14" i="14"/>
  <c r="Q181" i="14"/>
  <c r="Q179" i="14"/>
  <c r="Q177" i="14"/>
  <c r="Q175" i="14"/>
  <c r="P260" i="14"/>
  <c r="Q14" i="14"/>
  <c r="P259" i="14" s="1"/>
  <c r="P181" i="14"/>
  <c r="P179" i="14"/>
  <c r="P177" i="14"/>
  <c r="P175" i="14"/>
  <c r="P14" i="14"/>
  <c r="O259" i="14" s="1"/>
  <c r="O181" i="14"/>
  <c r="O179" i="14"/>
  <c r="O177" i="14"/>
  <c r="O260" i="14" s="1"/>
  <c r="O175" i="14"/>
  <c r="N259" i="14"/>
  <c r="O14" i="14"/>
  <c r="N181" i="14"/>
  <c r="N179" i="14"/>
  <c r="N177" i="14"/>
  <c r="N175" i="14"/>
  <c r="N260" i="14" s="1"/>
  <c r="N14" i="14"/>
  <c r="M259" i="14" s="1"/>
  <c r="M181" i="14"/>
  <c r="M179" i="14"/>
  <c r="M177" i="14"/>
  <c r="M175" i="14"/>
  <c r="L259" i="14"/>
  <c r="M14" i="14"/>
  <c r="L181" i="14"/>
  <c r="L260" i="14" s="1"/>
  <c r="L179" i="14"/>
  <c r="L177" i="14"/>
  <c r="L175" i="14"/>
  <c r="K259" i="14"/>
  <c r="L14" i="14"/>
  <c r="K181" i="14"/>
  <c r="K179" i="14"/>
  <c r="K177" i="14"/>
  <c r="K175" i="14"/>
  <c r="J259" i="14"/>
  <c r="K14" i="14"/>
  <c r="J181" i="14"/>
  <c r="J179" i="14"/>
  <c r="J177" i="14"/>
  <c r="J175" i="14"/>
  <c r="J260" i="14" s="1"/>
  <c r="I260" i="14"/>
  <c r="J14" i="14"/>
  <c r="I259" i="14" s="1"/>
  <c r="I181" i="14"/>
  <c r="I179" i="14"/>
  <c r="I177" i="14"/>
  <c r="I175" i="14"/>
  <c r="H260" i="14"/>
  <c r="H259" i="14"/>
  <c r="I14" i="14"/>
  <c r="H181" i="14"/>
  <c r="H179" i="14"/>
  <c r="H177" i="14"/>
  <c r="H175" i="14"/>
  <c r="G260" i="14"/>
  <c r="H14" i="14"/>
  <c r="G259" i="14" s="1"/>
  <c r="G181" i="14"/>
  <c r="G179" i="14"/>
  <c r="G177" i="14"/>
  <c r="G175" i="14"/>
  <c r="G14" i="14"/>
  <c r="F259" i="14" s="1"/>
  <c r="F181" i="14"/>
  <c r="F179" i="14"/>
  <c r="F177" i="14"/>
  <c r="F175" i="14"/>
  <c r="F14" i="14"/>
  <c r="E181" i="14"/>
  <c r="E179" i="14"/>
  <c r="E177" i="14"/>
  <c r="E175" i="14"/>
  <c r="E260" i="14" s="1"/>
  <c r="D260" i="14"/>
  <c r="D259" i="14"/>
  <c r="E14" i="14"/>
  <c r="D181" i="14"/>
  <c r="D179" i="14"/>
  <c r="D177" i="14"/>
  <c r="D175" i="14"/>
  <c r="AY260" i="15"/>
  <c r="AY259" i="15"/>
  <c r="AZ14" i="15"/>
  <c r="AY181" i="15"/>
  <c r="AY179" i="15"/>
  <c r="AY177" i="15"/>
  <c r="AY175" i="15"/>
  <c r="AX260" i="15"/>
  <c r="AY14" i="15"/>
  <c r="AX259" i="15" s="1"/>
  <c r="AX181" i="15"/>
  <c r="AX179" i="15"/>
  <c r="AX177" i="15"/>
  <c r="AX175" i="15"/>
  <c r="AX14" i="15"/>
  <c r="AW259" i="15" s="1"/>
  <c r="AW181" i="15"/>
  <c r="AW260" i="15" s="1"/>
  <c r="AW179" i="15"/>
  <c r="AW177" i="15"/>
  <c r="AW175" i="15"/>
  <c r="AW14" i="15"/>
  <c r="AV259" i="15" s="1"/>
  <c r="AV181" i="15"/>
  <c r="AV179" i="15"/>
  <c r="AV260" i="15" s="1"/>
  <c r="AV177" i="15"/>
  <c r="AV175" i="15"/>
  <c r="AV14" i="15"/>
  <c r="AU259" i="15" s="1"/>
  <c r="AU181" i="15"/>
  <c r="AU179" i="15"/>
  <c r="AU177" i="15"/>
  <c r="AU260" i="15" s="1"/>
  <c r="AU175" i="15"/>
  <c r="AU14" i="15"/>
  <c r="AT259" i="15" s="1"/>
  <c r="AT181" i="15"/>
  <c r="AT179" i="15"/>
  <c r="AT177" i="15"/>
  <c r="AT175" i="15"/>
  <c r="AT260" i="15" s="1"/>
  <c r="AT14" i="15"/>
  <c r="AS259" i="15" s="1"/>
  <c r="AS181" i="15"/>
  <c r="AS179" i="15"/>
  <c r="AS177" i="15"/>
  <c r="AS175" i="15"/>
  <c r="AR259" i="15"/>
  <c r="AS14" i="15"/>
  <c r="AR181" i="15"/>
  <c r="AR179" i="15"/>
  <c r="AR177" i="15"/>
  <c r="AR175" i="15"/>
  <c r="AR260" i="15" s="1"/>
  <c r="AQ259" i="15"/>
  <c r="AR14" i="15"/>
  <c r="AQ181" i="15"/>
  <c r="AQ179" i="15"/>
  <c r="AQ177" i="15"/>
  <c r="AQ175" i="15"/>
  <c r="AQ260" i="15" s="1"/>
  <c r="AP260" i="15"/>
  <c r="AQ14" i="15"/>
  <c r="AP259" i="15" s="1"/>
  <c r="AP181" i="15"/>
  <c r="AP179" i="15"/>
  <c r="AP177" i="15"/>
  <c r="AP175" i="15"/>
  <c r="AO259" i="15"/>
  <c r="AP14" i="15"/>
  <c r="AO181" i="15"/>
  <c r="AO260" i="15" s="1"/>
  <c r="AO179" i="15"/>
  <c r="AO177" i="15"/>
  <c r="AO175" i="15"/>
  <c r="AO14" i="15"/>
  <c r="AN259" i="15" s="1"/>
  <c r="AN181" i="15"/>
  <c r="AN179" i="15"/>
  <c r="AN177" i="15"/>
  <c r="AN175" i="15"/>
  <c r="AN14" i="15"/>
  <c r="AM259" i="15" s="1"/>
  <c r="AM181" i="15"/>
  <c r="AM179" i="15"/>
  <c r="AM177" i="15"/>
  <c r="AM175" i="15"/>
  <c r="AL259" i="15"/>
  <c r="AM14" i="15"/>
  <c r="AL181" i="15"/>
  <c r="AL179" i="15"/>
  <c r="AL177" i="15"/>
  <c r="AL175" i="15"/>
  <c r="AL14" i="15"/>
  <c r="AK259" i="15" s="1"/>
  <c r="AK181" i="15"/>
  <c r="AK179" i="15"/>
  <c r="AK177" i="15"/>
  <c r="AK175" i="15"/>
  <c r="AJ259" i="15"/>
  <c r="AK14" i="15"/>
  <c r="AJ181" i="15"/>
  <c r="AJ179" i="15"/>
  <c r="AJ177" i="15"/>
  <c r="AJ175" i="15"/>
  <c r="AJ260" i="15" s="1"/>
  <c r="AI259" i="15"/>
  <c r="AJ14" i="15"/>
  <c r="AI181" i="15"/>
  <c r="AI179" i="15"/>
  <c r="AI177" i="15"/>
  <c r="AI175" i="15"/>
  <c r="AI14" i="15"/>
  <c r="AH259" i="15" s="1"/>
  <c r="AH181" i="15"/>
  <c r="AH179" i="15"/>
  <c r="AH177" i="15"/>
  <c r="AH175" i="15"/>
  <c r="AH260" i="15" s="1"/>
  <c r="AG259" i="15"/>
  <c r="AH14" i="15"/>
  <c r="AG181" i="15"/>
  <c r="AG179" i="15"/>
  <c r="AG177" i="15"/>
  <c r="AG175" i="15"/>
  <c r="AG260" i="15" s="1"/>
  <c r="AF260" i="15"/>
  <c r="AF259" i="15"/>
  <c r="AG14" i="15"/>
  <c r="AF181" i="15"/>
  <c r="AF179" i="15"/>
  <c r="AF177" i="15"/>
  <c r="AF175" i="15"/>
  <c r="AE260" i="15"/>
  <c r="AE259" i="15"/>
  <c r="AF14" i="15"/>
  <c r="AE181" i="15"/>
  <c r="AE179" i="15"/>
  <c r="AE177" i="15"/>
  <c r="AE175" i="15"/>
  <c r="AE14" i="15"/>
  <c r="AD259" i="15" s="1"/>
  <c r="AD181" i="15"/>
  <c r="AD179" i="15"/>
  <c r="AD177" i="15"/>
  <c r="AD175" i="15"/>
  <c r="AD14" i="15"/>
  <c r="AC259" i="15" s="1"/>
  <c r="AC181" i="15"/>
  <c r="AC179" i="15"/>
  <c r="AC177" i="15"/>
  <c r="AC175" i="15"/>
  <c r="AC260" i="15" s="1"/>
  <c r="AB259" i="15"/>
  <c r="AC14" i="15"/>
  <c r="AB181" i="15"/>
  <c r="AB179" i="15"/>
  <c r="AB177" i="15"/>
  <c r="AB175" i="15"/>
  <c r="AB260" i="15" s="1"/>
  <c r="AA260" i="15"/>
  <c r="AA259" i="15"/>
  <c r="AB14" i="15"/>
  <c r="AA181" i="15"/>
  <c r="AA179" i="15"/>
  <c r="AA177" i="15"/>
  <c r="AA175" i="15"/>
  <c r="Z260" i="15"/>
  <c r="Z259" i="15"/>
  <c r="AA14" i="15"/>
  <c r="Z181" i="15"/>
  <c r="Z179" i="15"/>
  <c r="Z177" i="15"/>
  <c r="Z175" i="15"/>
  <c r="Z14" i="15"/>
  <c r="Y259" i="15" s="1"/>
  <c r="Y181" i="15"/>
  <c r="Y179" i="15"/>
  <c r="Y177" i="15"/>
  <c r="Y175" i="15"/>
  <c r="Y14" i="15"/>
  <c r="X259" i="15" s="1"/>
  <c r="X181" i="15"/>
  <c r="X179" i="15"/>
  <c r="X177" i="15"/>
  <c r="X175" i="15"/>
  <c r="X14" i="15"/>
  <c r="W259" i="15" s="1"/>
  <c r="W181" i="15"/>
  <c r="W179" i="15"/>
  <c r="W177" i="15"/>
  <c r="W260" i="15" s="1"/>
  <c r="W175" i="15"/>
  <c r="W14" i="15"/>
  <c r="V259" i="15" s="1"/>
  <c r="V181" i="15"/>
  <c r="V179" i="15"/>
  <c r="V177" i="15"/>
  <c r="V175" i="15"/>
  <c r="V260" i="15" s="1"/>
  <c r="V14" i="15"/>
  <c r="U259" i="15" s="1"/>
  <c r="U181" i="15"/>
  <c r="U179" i="15"/>
  <c r="U177" i="15"/>
  <c r="U175" i="15"/>
  <c r="T259" i="15"/>
  <c r="U14" i="15"/>
  <c r="T181" i="15"/>
  <c r="T179" i="15"/>
  <c r="T177" i="15"/>
  <c r="T175" i="15"/>
  <c r="T260" i="15" s="1"/>
  <c r="S259" i="15"/>
  <c r="T14" i="15"/>
  <c r="S181" i="15"/>
  <c r="S179" i="15"/>
  <c r="S177" i="15"/>
  <c r="S175" i="15"/>
  <c r="R260" i="15"/>
  <c r="R259" i="15"/>
  <c r="S14" i="15"/>
  <c r="R181" i="15"/>
  <c r="R179" i="15"/>
  <c r="R177" i="15"/>
  <c r="R175" i="15"/>
  <c r="R14" i="15"/>
  <c r="Q259" i="15" s="1"/>
  <c r="Q181" i="15"/>
  <c r="Q179" i="15"/>
  <c r="Q177" i="15"/>
  <c r="Q175" i="15"/>
  <c r="P260" i="15"/>
  <c r="Q14" i="15"/>
  <c r="P259" i="15" s="1"/>
  <c r="P181" i="15"/>
  <c r="P179" i="15"/>
  <c r="P177" i="15"/>
  <c r="P175" i="15"/>
  <c r="O259" i="15"/>
  <c r="P14" i="15"/>
  <c r="O181" i="15"/>
  <c r="O179" i="15"/>
  <c r="O177" i="15"/>
  <c r="O175" i="15"/>
  <c r="N259" i="15"/>
  <c r="O14" i="15"/>
  <c r="N181" i="15"/>
  <c r="N179" i="15"/>
  <c r="N177" i="15"/>
  <c r="N175" i="15"/>
  <c r="N14" i="15"/>
  <c r="M259" i="15" s="1"/>
  <c r="M181" i="15"/>
  <c r="M179" i="15"/>
  <c r="M177" i="15"/>
  <c r="M175" i="15"/>
  <c r="L259" i="15"/>
  <c r="M14" i="15"/>
  <c r="L181" i="15"/>
  <c r="L179" i="15"/>
  <c r="L177" i="15"/>
  <c r="L175" i="15"/>
  <c r="K259" i="15"/>
  <c r="L14" i="15"/>
  <c r="K181" i="15"/>
  <c r="K179" i="15"/>
  <c r="K177" i="15"/>
  <c r="K175" i="15"/>
  <c r="J259" i="15"/>
  <c r="K14" i="15"/>
  <c r="J181" i="15"/>
  <c r="J179" i="15"/>
  <c r="J177" i="15"/>
  <c r="J175" i="15"/>
  <c r="J260" i="15" s="1"/>
  <c r="I260" i="15"/>
  <c r="I259" i="15"/>
  <c r="J14" i="15"/>
  <c r="I181" i="15"/>
  <c r="I179" i="15"/>
  <c r="I177" i="15"/>
  <c r="I175" i="15"/>
  <c r="H260" i="15"/>
  <c r="H259" i="15"/>
  <c r="I14" i="15"/>
  <c r="H181" i="15"/>
  <c r="H179" i="15"/>
  <c r="H177" i="15"/>
  <c r="H175" i="15"/>
  <c r="G259" i="15"/>
  <c r="H14" i="15"/>
  <c r="G181" i="15"/>
  <c r="G179" i="15"/>
  <c r="G177" i="15"/>
  <c r="G175" i="15"/>
  <c r="F259" i="15"/>
  <c r="G14" i="15"/>
  <c r="F181" i="15"/>
  <c r="F179" i="15"/>
  <c r="F177" i="15"/>
  <c r="F175" i="15"/>
  <c r="F14" i="15"/>
  <c r="E259" i="15" s="1"/>
  <c r="E181" i="15"/>
  <c r="E179" i="15"/>
  <c r="E177" i="15"/>
  <c r="E175" i="15"/>
  <c r="E260" i="15" s="1"/>
  <c r="D259" i="15"/>
  <c r="E14" i="15"/>
  <c r="D181" i="15"/>
  <c r="D179" i="15"/>
  <c r="D177" i="15"/>
  <c r="D260" i="15" s="1"/>
  <c r="D175" i="15"/>
  <c r="AY14" i="16"/>
  <c r="AY10" i="16" s="1"/>
  <c r="AY13" i="16" s="1"/>
  <c r="AY15" i="16"/>
  <c r="AY16" i="16"/>
  <c r="AY17" i="16"/>
  <c r="AY29" i="16"/>
  <c r="AX14" i="16"/>
  <c r="AX15" i="16"/>
  <c r="AX16" i="16"/>
  <c r="AX17" i="16"/>
  <c r="AX29" i="16"/>
  <c r="AW14" i="16"/>
  <c r="AW15" i="16"/>
  <c r="AW16" i="16"/>
  <c r="AW10" i="16"/>
  <c r="AW13" i="16" s="1"/>
  <c r="AW17" i="16"/>
  <c r="AW29" i="16"/>
  <c r="AV14" i="16"/>
  <c r="AV15" i="16"/>
  <c r="AV16" i="16"/>
  <c r="AV10" i="16"/>
  <c r="AV13" i="16" s="1"/>
  <c r="AV17" i="16"/>
  <c r="AV29" i="16"/>
  <c r="AU14" i="16"/>
  <c r="AU15" i="16"/>
  <c r="AU16" i="16"/>
  <c r="AU17" i="16"/>
  <c r="AU29" i="16"/>
  <c r="AT14" i="16"/>
  <c r="AT15" i="16"/>
  <c r="AT16" i="16"/>
  <c r="AT10" i="16" s="1"/>
  <c r="AT13" i="16"/>
  <c r="AT17" i="16"/>
  <c r="AT29" i="16"/>
  <c r="AS14" i="16"/>
  <c r="AS15" i="16"/>
  <c r="AS16" i="16"/>
  <c r="AS10" i="16"/>
  <c r="AS13" i="16" s="1"/>
  <c r="AS17" i="16"/>
  <c r="AS29" i="16"/>
  <c r="AR14" i="16"/>
  <c r="AR10" i="16" s="1"/>
  <c r="AR15" i="16"/>
  <c r="AR16" i="16"/>
  <c r="AR13" i="16"/>
  <c r="AS21" i="16" s="1"/>
  <c r="AR17" i="16"/>
  <c r="AR29" i="16"/>
  <c r="AQ14" i="16"/>
  <c r="AQ15" i="16"/>
  <c r="AQ16" i="16"/>
  <c r="AQ17" i="16"/>
  <c r="AQ21" i="16"/>
  <c r="AQ22" i="16"/>
  <c r="AQ29" i="16"/>
  <c r="AP14" i="16"/>
  <c r="AP10" i="16" s="1"/>
  <c r="AP13" i="16" s="1"/>
  <c r="AP15" i="16"/>
  <c r="AP16" i="16"/>
  <c r="AP17" i="16"/>
  <c r="AP29" i="16"/>
  <c r="AO14" i="16"/>
  <c r="AO15" i="16"/>
  <c r="AO16" i="16"/>
  <c r="AO17" i="16"/>
  <c r="AO29" i="16"/>
  <c r="AN14" i="16"/>
  <c r="AN10" i="16" s="1"/>
  <c r="AN13" i="16" s="1"/>
  <c r="AN15" i="16"/>
  <c r="AN16" i="16"/>
  <c r="AN17" i="16"/>
  <c r="AN29" i="16"/>
  <c r="AM14" i="16"/>
  <c r="AM15" i="16"/>
  <c r="AM16" i="16"/>
  <c r="AM10" i="16"/>
  <c r="AM13" i="16" s="1"/>
  <c r="AM17" i="16"/>
  <c r="AM29" i="16"/>
  <c r="AL14" i="16"/>
  <c r="AL15" i="16"/>
  <c r="AL10" i="16" s="1"/>
  <c r="AL16" i="16"/>
  <c r="AL13" i="16"/>
  <c r="AL17" i="16"/>
  <c r="AL29" i="16"/>
  <c r="AK14" i="16"/>
  <c r="AK15" i="16"/>
  <c r="AK16" i="16"/>
  <c r="AK10" i="16"/>
  <c r="AK13" i="16" s="1"/>
  <c r="AK17" i="16"/>
  <c r="AK29" i="16"/>
  <c r="AJ14" i="16"/>
  <c r="AJ10" i="16" s="1"/>
  <c r="AJ13" i="16" s="1"/>
  <c r="AJ15" i="16"/>
  <c r="AJ16" i="16"/>
  <c r="AJ17" i="16"/>
  <c r="AJ29" i="16"/>
  <c r="AI14" i="16"/>
  <c r="AI15" i="16"/>
  <c r="AI16" i="16"/>
  <c r="AI17" i="16"/>
  <c r="AI29" i="16"/>
  <c r="AH14" i="16"/>
  <c r="AH15" i="16"/>
  <c r="AH16" i="16"/>
  <c r="AH17" i="16"/>
  <c r="AH29" i="16"/>
  <c r="AG14" i="16"/>
  <c r="AG15" i="16"/>
  <c r="AG16" i="16"/>
  <c r="AG17" i="16"/>
  <c r="AG29" i="16"/>
  <c r="AF14" i="16"/>
  <c r="AF15" i="16"/>
  <c r="AF16" i="16"/>
  <c r="AF17" i="16"/>
  <c r="AF29" i="16"/>
  <c r="AE14" i="16"/>
  <c r="AE15" i="16"/>
  <c r="AE10" i="16" s="1"/>
  <c r="AE13" i="16" s="1"/>
  <c r="AE16" i="16"/>
  <c r="AE17" i="16"/>
  <c r="AE29" i="16"/>
  <c r="AD14" i="16"/>
  <c r="AD10" i="16" s="1"/>
  <c r="AD15" i="16"/>
  <c r="AD16" i="16"/>
  <c r="AD13" i="16"/>
  <c r="AD17" i="16"/>
  <c r="AD22" i="16"/>
  <c r="AD29" i="16"/>
  <c r="AD44" i="16"/>
  <c r="AC14" i="16"/>
  <c r="AC10" i="16" s="1"/>
  <c r="AC13" i="16" s="1"/>
  <c r="AD21" i="16" s="1"/>
  <c r="AC15" i="16"/>
  <c r="AC16" i="16"/>
  <c r="AC17" i="16"/>
  <c r="AC29" i="16"/>
  <c r="AB14" i="16"/>
  <c r="AB15" i="16"/>
  <c r="AB16" i="16"/>
  <c r="AB10" i="16"/>
  <c r="AB13" i="16"/>
  <c r="AB17" i="16"/>
  <c r="AB29" i="16"/>
  <c r="AA14" i="16"/>
  <c r="AA10" i="16" s="1"/>
  <c r="AA13" i="16" s="1"/>
  <c r="AB21" i="16" s="1"/>
  <c r="AA15" i="16"/>
  <c r="AA16" i="16"/>
  <c r="AA17" i="16"/>
  <c r="AA21" i="16"/>
  <c r="AA23" i="16"/>
  <c r="AA29" i="16"/>
  <c r="Z14" i="16"/>
  <c r="Z15" i="16"/>
  <c r="Z10" i="16" s="1"/>
  <c r="Z13" i="16" s="1"/>
  <c r="AA22" i="16" s="1"/>
  <c r="Z16" i="16"/>
  <c r="Z17" i="16"/>
  <c r="Z29" i="16"/>
  <c r="Y14" i="16"/>
  <c r="Y10" i="16" s="1"/>
  <c r="Y13" i="16" s="1"/>
  <c r="Y15" i="16"/>
  <c r="Y16" i="16"/>
  <c r="Y17" i="16"/>
  <c r="Y29" i="16"/>
  <c r="X14" i="16"/>
  <c r="X10" i="16" s="1"/>
  <c r="X13" i="16" s="1"/>
  <c r="X15" i="16"/>
  <c r="X16" i="16"/>
  <c r="X17" i="16"/>
  <c r="X29" i="16"/>
  <c r="W14" i="16"/>
  <c r="W15" i="16"/>
  <c r="W16" i="16"/>
  <c r="W10" i="16"/>
  <c r="W13" i="16"/>
  <c r="W17" i="16"/>
  <c r="W29" i="16"/>
  <c r="V14" i="16"/>
  <c r="V15" i="16"/>
  <c r="V16" i="16"/>
  <c r="V17" i="16"/>
  <c r="V29" i="16"/>
  <c r="U14" i="16"/>
  <c r="U15" i="16"/>
  <c r="U16" i="16"/>
  <c r="U10" i="16"/>
  <c r="U13" i="16"/>
  <c r="U17" i="16"/>
  <c r="U29" i="16"/>
  <c r="T14" i="16"/>
  <c r="T15" i="16"/>
  <c r="T10" i="16" s="1"/>
  <c r="T13" i="16" s="1"/>
  <c r="T16" i="16"/>
  <c r="T17" i="16"/>
  <c r="T22" i="16"/>
  <c r="T29" i="16"/>
  <c r="S14" i="16"/>
  <c r="S10" i="16" s="1"/>
  <c r="S15" i="16"/>
  <c r="S16" i="16"/>
  <c r="S13" i="16"/>
  <c r="T21" i="16" s="1"/>
  <c r="S17" i="16"/>
  <c r="S29" i="16"/>
  <c r="R14" i="16"/>
  <c r="R15" i="16"/>
  <c r="R16" i="16"/>
  <c r="R10" i="16"/>
  <c r="R13" i="16"/>
  <c r="R17" i="16"/>
  <c r="R29" i="16"/>
  <c r="Q14" i="16"/>
  <c r="Q15" i="16"/>
  <c r="Q16" i="16"/>
  <c r="Q17" i="16"/>
  <c r="Q29" i="16"/>
  <c r="P14" i="16"/>
  <c r="P15" i="16"/>
  <c r="P16" i="16"/>
  <c r="P10" i="16"/>
  <c r="P13" i="16" s="1"/>
  <c r="P17" i="16"/>
  <c r="P29" i="16"/>
  <c r="O14" i="16"/>
  <c r="O10" i="16" s="1"/>
  <c r="O13" i="16" s="1"/>
  <c r="O15" i="16"/>
  <c r="O16" i="16"/>
  <c r="O17" i="16"/>
  <c r="O29" i="16"/>
  <c r="N14" i="16"/>
  <c r="N10" i="16" s="1"/>
  <c r="N13" i="16" s="1"/>
  <c r="N15" i="16"/>
  <c r="N16" i="16"/>
  <c r="N17" i="16"/>
  <c r="N29" i="16"/>
  <c r="M14" i="16"/>
  <c r="M15" i="16"/>
  <c r="M10" i="16" s="1"/>
  <c r="M13" i="16" s="1"/>
  <c r="M16" i="16"/>
  <c r="M17" i="16"/>
  <c r="M29" i="16"/>
  <c r="L14" i="16"/>
  <c r="L15" i="16"/>
  <c r="L10" i="16" s="1"/>
  <c r="L13" i="16" s="1"/>
  <c r="M21" i="16" s="1"/>
  <c r="L16" i="16"/>
  <c r="L17" i="16"/>
  <c r="L22" i="16"/>
  <c r="L29" i="16"/>
  <c r="K14" i="16"/>
  <c r="K15" i="16"/>
  <c r="K16" i="16"/>
  <c r="K10" i="16" s="1"/>
  <c r="K13" i="16" s="1"/>
  <c r="L21" i="16" s="1"/>
  <c r="K17" i="16"/>
  <c r="K29" i="16"/>
  <c r="J14" i="16"/>
  <c r="J15" i="16"/>
  <c r="J16" i="16"/>
  <c r="J17" i="16"/>
  <c r="J29" i="16"/>
  <c r="I14" i="16"/>
  <c r="I15" i="16"/>
  <c r="I16" i="16"/>
  <c r="I17" i="16"/>
  <c r="I29" i="16"/>
  <c r="H14" i="16"/>
  <c r="H15" i="16"/>
  <c r="H16" i="16"/>
  <c r="H10" i="16"/>
  <c r="H13" i="16" s="1"/>
  <c r="H17" i="16"/>
  <c r="H29" i="16"/>
  <c r="G14" i="16"/>
  <c r="G15" i="16"/>
  <c r="G16" i="16"/>
  <c r="G10" i="16"/>
  <c r="G13" i="16" s="1"/>
  <c r="H22" i="16" s="1"/>
  <c r="G17" i="16"/>
  <c r="G29" i="16"/>
  <c r="F14" i="16"/>
  <c r="F15" i="16"/>
  <c r="F16" i="16"/>
  <c r="F10" i="16"/>
  <c r="F13" i="16" s="1"/>
  <c r="F17" i="16"/>
  <c r="F22" i="16"/>
  <c r="F29" i="16"/>
  <c r="E14" i="16"/>
  <c r="E15" i="16"/>
  <c r="E16" i="16"/>
  <c r="E10" i="16" s="1"/>
  <c r="E13" i="16" s="1"/>
  <c r="F21" i="16" s="1"/>
  <c r="E17" i="16"/>
  <c r="E29" i="16"/>
  <c r="D14" i="16"/>
  <c r="D15" i="16"/>
  <c r="D16" i="16"/>
  <c r="D10" i="16"/>
  <c r="D13" i="16"/>
  <c r="D17" i="16"/>
  <c r="D21" i="16"/>
  <c r="D27" i="16"/>
  <c r="D29" i="16"/>
  <c r="D33" i="16"/>
  <c r="D44" i="16"/>
  <c r="D50" i="16"/>
  <c r="AY14" i="17"/>
  <c r="AY10" i="17" s="1"/>
  <c r="AY15" i="17"/>
  <c r="AY16" i="17"/>
  <c r="AY13" i="17"/>
  <c r="AY17" i="17"/>
  <c r="AY29" i="17"/>
  <c r="AX14" i="17"/>
  <c r="AX15" i="17"/>
  <c r="AX16" i="17"/>
  <c r="AX10" i="17"/>
  <c r="AX13" i="17" s="1"/>
  <c r="AX17" i="17"/>
  <c r="AX29" i="17"/>
  <c r="AW14" i="17"/>
  <c r="AW15" i="17"/>
  <c r="AW16" i="17"/>
  <c r="AW17" i="17"/>
  <c r="AW29" i="17"/>
  <c r="AV14" i="17"/>
  <c r="AV15" i="17"/>
  <c r="AV16" i="17"/>
  <c r="AV17" i="17"/>
  <c r="AV29" i="17"/>
  <c r="AU14" i="17"/>
  <c r="AU15" i="17"/>
  <c r="AU16" i="17"/>
  <c r="AU17" i="17"/>
  <c r="AU29" i="17"/>
  <c r="AT14" i="17"/>
  <c r="AT15" i="17"/>
  <c r="AT16" i="17"/>
  <c r="AT17" i="17"/>
  <c r="AT29" i="17"/>
  <c r="AS14" i="17"/>
  <c r="AS15" i="17"/>
  <c r="AS16" i="17"/>
  <c r="AS10" i="17" s="1"/>
  <c r="AS13" i="17"/>
  <c r="AS17" i="17"/>
  <c r="AS29" i="17"/>
  <c r="AR14" i="17"/>
  <c r="AR15" i="17"/>
  <c r="AR16" i="17"/>
  <c r="AR10" i="17"/>
  <c r="AR13" i="17" s="1"/>
  <c r="AR17" i="17"/>
  <c r="AR29" i="17"/>
  <c r="AQ14" i="17"/>
  <c r="AQ10" i="17" s="1"/>
  <c r="AQ13" i="17" s="1"/>
  <c r="AQ15" i="17"/>
  <c r="AQ16" i="17"/>
  <c r="AQ17" i="17"/>
  <c r="AQ29" i="17"/>
  <c r="AP14" i="17"/>
  <c r="AP15" i="17"/>
  <c r="AP16" i="17"/>
  <c r="AP10" i="17"/>
  <c r="AP13" i="17"/>
  <c r="AP17" i="17"/>
  <c r="AP29" i="17"/>
  <c r="AO14" i="17"/>
  <c r="AO15" i="17"/>
  <c r="AO16" i="17"/>
  <c r="AO17" i="17"/>
  <c r="AO29" i="17"/>
  <c r="AN14" i="17"/>
  <c r="AN15" i="17"/>
  <c r="AN16" i="17"/>
  <c r="AN10" i="17"/>
  <c r="AN13" i="17" s="1"/>
  <c r="AN17" i="17"/>
  <c r="AN29" i="17"/>
  <c r="AM14" i="17"/>
  <c r="AM15" i="17"/>
  <c r="AM16" i="17"/>
  <c r="AM10" i="17"/>
  <c r="AM13" i="17" s="1"/>
  <c r="AM17" i="17"/>
  <c r="AM29" i="17"/>
  <c r="AL14" i="17"/>
  <c r="AL15" i="17"/>
  <c r="AL16" i="17"/>
  <c r="AL10" i="17" s="1"/>
  <c r="AL13" i="17" s="1"/>
  <c r="AL17" i="17"/>
  <c r="AL29" i="17"/>
  <c r="AK14" i="17"/>
  <c r="AK15" i="17"/>
  <c r="AK16" i="17"/>
  <c r="AK10" i="17"/>
  <c r="AK13" i="17"/>
  <c r="AK17" i="17"/>
  <c r="AK29" i="17"/>
  <c r="AJ14" i="17"/>
  <c r="AJ15" i="17"/>
  <c r="AJ10" i="17" s="1"/>
  <c r="AJ13" i="17" s="1"/>
  <c r="AJ16" i="17"/>
  <c r="AJ17" i="17"/>
  <c r="AJ29" i="17"/>
  <c r="AI14" i="17"/>
  <c r="AI15" i="17"/>
  <c r="AI16" i="17"/>
  <c r="AI10" i="17"/>
  <c r="AI13" i="17" s="1"/>
  <c r="AI17" i="17"/>
  <c r="AI29" i="17"/>
  <c r="AH14" i="17"/>
  <c r="AH10" i="17" s="1"/>
  <c r="AH13" i="17" s="1"/>
  <c r="AH15" i="17"/>
  <c r="AH16" i="17"/>
  <c r="AH17" i="17"/>
  <c r="AH29" i="17"/>
  <c r="AG14" i="17"/>
  <c r="AG15" i="17"/>
  <c r="AG16" i="17"/>
  <c r="AG17" i="17"/>
  <c r="AG29" i="17"/>
  <c r="AF14" i="17"/>
  <c r="AF10" i="17" s="1"/>
  <c r="AF13" i="17" s="1"/>
  <c r="AF15" i="17"/>
  <c r="AF16" i="17"/>
  <c r="AF17" i="17"/>
  <c r="AF22" i="17"/>
  <c r="AF23" i="17"/>
  <c r="AF29" i="17"/>
  <c r="AE14" i="17"/>
  <c r="AE10" i="17" s="1"/>
  <c r="AE13" i="17" s="1"/>
  <c r="AF21" i="17" s="1"/>
  <c r="AE15" i="17"/>
  <c r="AE16" i="17"/>
  <c r="AE17" i="17"/>
  <c r="AE29" i="17"/>
  <c r="AE44" i="17"/>
  <c r="AE50" i="17"/>
  <c r="AD14" i="17"/>
  <c r="AD15" i="17"/>
  <c r="AD16" i="17"/>
  <c r="AD10" i="17"/>
  <c r="AD13" i="17"/>
  <c r="AE21" i="17" s="1"/>
  <c r="AE33" i="17" s="1"/>
  <c r="AD17" i="17"/>
  <c r="AD29" i="17"/>
  <c r="AC14" i="17"/>
  <c r="AC15" i="17"/>
  <c r="AC16" i="17"/>
  <c r="AC17" i="17"/>
  <c r="AC29" i="17"/>
  <c r="AC44" i="17"/>
  <c r="AC50" i="17" s="1"/>
  <c r="AB14" i="17"/>
  <c r="AB15" i="17"/>
  <c r="AB16" i="17"/>
  <c r="AB10" i="17"/>
  <c r="AB13" i="17"/>
  <c r="AC21" i="17" s="1"/>
  <c r="AB17" i="17"/>
  <c r="AB21" i="17"/>
  <c r="AB29" i="17"/>
  <c r="AA14" i="17"/>
  <c r="AA15" i="17"/>
  <c r="AA10" i="17" s="1"/>
  <c r="AA16" i="17"/>
  <c r="AA13" i="17"/>
  <c r="AA17" i="17"/>
  <c r="AA29" i="17"/>
  <c r="Z14" i="17"/>
  <c r="Z15" i="17"/>
  <c r="Z16" i="17"/>
  <c r="Z10" i="17" s="1"/>
  <c r="Z13" i="17" s="1"/>
  <c r="AA21" i="17" s="1"/>
  <c r="Z17" i="17"/>
  <c r="Z29" i="17"/>
  <c r="Y14" i="17"/>
  <c r="Y15" i="17"/>
  <c r="Y16" i="17"/>
  <c r="Y10" i="17"/>
  <c r="Y13" i="17" s="1"/>
  <c r="Y17" i="17"/>
  <c r="Y29" i="17"/>
  <c r="X14" i="17"/>
  <c r="X15" i="17"/>
  <c r="X16" i="17"/>
  <c r="X17" i="17"/>
  <c r="X29" i="17"/>
  <c r="W14" i="17"/>
  <c r="W10" i="17" s="1"/>
  <c r="W13" i="17" s="1"/>
  <c r="W15" i="17"/>
  <c r="W16" i="17"/>
  <c r="W17" i="17"/>
  <c r="W29" i="17"/>
  <c r="V14" i="17"/>
  <c r="V10" i="17" s="1"/>
  <c r="V13" i="17" s="1"/>
  <c r="V15" i="17"/>
  <c r="V16" i="17"/>
  <c r="V17" i="17"/>
  <c r="V29" i="17"/>
  <c r="U14" i="17"/>
  <c r="U15" i="17"/>
  <c r="U16" i="17"/>
  <c r="U17" i="17"/>
  <c r="U29" i="17"/>
  <c r="T14" i="17"/>
  <c r="T15" i="17"/>
  <c r="T16" i="17"/>
  <c r="T10" i="17" s="1"/>
  <c r="T13" i="17"/>
  <c r="T17" i="17"/>
  <c r="T29" i="17"/>
  <c r="S14" i="17"/>
  <c r="S15" i="17"/>
  <c r="S16" i="17"/>
  <c r="S10" i="17" s="1"/>
  <c r="S13" i="17" s="1"/>
  <c r="S17" i="17"/>
  <c r="S29" i="17"/>
  <c r="R14" i="17"/>
  <c r="R10" i="17" s="1"/>
  <c r="R13" i="17" s="1"/>
  <c r="R15" i="17"/>
  <c r="R16" i="17"/>
  <c r="R17" i="17"/>
  <c r="R29" i="17"/>
  <c r="Q14" i="17"/>
  <c r="Q15" i="17"/>
  <c r="Q16" i="17"/>
  <c r="Q10" i="17"/>
  <c r="Q13" i="17"/>
  <c r="Q17" i="17"/>
  <c r="Q29" i="17"/>
  <c r="P14" i="17"/>
  <c r="P10" i="17" s="1"/>
  <c r="P13" i="17" s="1"/>
  <c r="P15" i="17"/>
  <c r="P16" i="17"/>
  <c r="P17" i="17"/>
  <c r="P29" i="17"/>
  <c r="O14" i="17"/>
  <c r="O15" i="17"/>
  <c r="O16" i="17"/>
  <c r="O10" i="17"/>
  <c r="O13" i="17" s="1"/>
  <c r="O17" i="17"/>
  <c r="O23" i="17"/>
  <c r="O29" i="17"/>
  <c r="N14" i="17"/>
  <c r="N15" i="17"/>
  <c r="N10" i="17" s="1"/>
  <c r="N13" i="17" s="1"/>
  <c r="O21" i="17" s="1"/>
  <c r="N16" i="17"/>
  <c r="N17" i="17"/>
  <c r="N29" i="17"/>
  <c r="M14" i="17"/>
  <c r="M15" i="17"/>
  <c r="M16" i="17"/>
  <c r="M17" i="17"/>
  <c r="M29" i="17"/>
  <c r="L14" i="17"/>
  <c r="L15" i="17"/>
  <c r="L16" i="17"/>
  <c r="L17" i="17"/>
  <c r="L29" i="17"/>
  <c r="K14" i="17"/>
  <c r="K15" i="17"/>
  <c r="K16" i="17"/>
  <c r="K10" i="17"/>
  <c r="K13" i="17" s="1"/>
  <c r="K17" i="17"/>
  <c r="K29" i="17"/>
  <c r="J14" i="17"/>
  <c r="J15" i="17"/>
  <c r="J16" i="17"/>
  <c r="J10" i="17"/>
  <c r="J13" i="17"/>
  <c r="J17" i="17"/>
  <c r="J29" i="17"/>
  <c r="I14" i="17"/>
  <c r="I15" i="17"/>
  <c r="I16" i="17"/>
  <c r="I17" i="17"/>
  <c r="I29" i="17"/>
  <c r="H14" i="17"/>
  <c r="H15" i="17"/>
  <c r="H16" i="17"/>
  <c r="H17" i="17"/>
  <c r="H29" i="17"/>
  <c r="G14" i="17"/>
  <c r="G15" i="17"/>
  <c r="G16" i="17"/>
  <c r="G10" i="17"/>
  <c r="G13" i="17" s="1"/>
  <c r="G17" i="17"/>
  <c r="G29" i="17"/>
  <c r="F14" i="17"/>
  <c r="F10" i="17" s="1"/>
  <c r="F13" i="17" s="1"/>
  <c r="F15" i="17"/>
  <c r="F16" i="17"/>
  <c r="F17" i="17"/>
  <c r="F22" i="17"/>
  <c r="F29" i="17"/>
  <c r="E14" i="17"/>
  <c r="E15" i="17"/>
  <c r="E16" i="17"/>
  <c r="E10" i="17" s="1"/>
  <c r="E13" i="17" s="1"/>
  <c r="F21" i="17" s="1"/>
  <c r="E17" i="17"/>
  <c r="E29" i="17"/>
  <c r="D14" i="17"/>
  <c r="D15" i="17"/>
  <c r="D16" i="17"/>
  <c r="D17" i="17"/>
  <c r="D27" i="17"/>
  <c r="D29" i="17"/>
  <c r="D30" i="17"/>
  <c r="AY14" i="18"/>
  <c r="AY15" i="18"/>
  <c r="AY16" i="18"/>
  <c r="AY10" i="18"/>
  <c r="AY13" i="18"/>
  <c r="AY17" i="18"/>
  <c r="AY29" i="18"/>
  <c r="AX14" i="18"/>
  <c r="AX15" i="18"/>
  <c r="AX16" i="18"/>
  <c r="AX17" i="18"/>
  <c r="AX21" i="18"/>
  <c r="AX29" i="18"/>
  <c r="AX33" i="18"/>
  <c r="AW14" i="18"/>
  <c r="AW15" i="18"/>
  <c r="AW16" i="18"/>
  <c r="AW10" i="18"/>
  <c r="AW13" i="18" s="1"/>
  <c r="AX22" i="18" s="1"/>
  <c r="AW17" i="18"/>
  <c r="AW29" i="18"/>
  <c r="AV14" i="18"/>
  <c r="AV15" i="18"/>
  <c r="AV16" i="18"/>
  <c r="AV17" i="18"/>
  <c r="AV29" i="18"/>
  <c r="AU14" i="18"/>
  <c r="AU15" i="18"/>
  <c r="AU16" i="18"/>
  <c r="AU17" i="18"/>
  <c r="AU29" i="18"/>
  <c r="AT14" i="18"/>
  <c r="AT15" i="18"/>
  <c r="AT16" i="18"/>
  <c r="AT17" i="18"/>
  <c r="AT29" i="18"/>
  <c r="AS14" i="18"/>
  <c r="AS10" i="18" s="1"/>
  <c r="AS13" i="18" s="1"/>
  <c r="AS15" i="18"/>
  <c r="AS16" i="18"/>
  <c r="AS17" i="18"/>
  <c r="AS29" i="18"/>
  <c r="AR14" i="18"/>
  <c r="AR15" i="18"/>
  <c r="AR16" i="18"/>
  <c r="AR10" i="18"/>
  <c r="AR13" i="18" s="1"/>
  <c r="AR17" i="18"/>
  <c r="AR29" i="18"/>
  <c r="AQ14" i="18"/>
  <c r="AQ15" i="18"/>
  <c r="AQ16" i="18"/>
  <c r="AQ10" i="18"/>
  <c r="AQ13" i="18"/>
  <c r="AQ17" i="18"/>
  <c r="AQ29" i="18"/>
  <c r="AP14" i="18"/>
  <c r="AP15" i="18"/>
  <c r="AP16" i="18"/>
  <c r="AP17" i="18"/>
  <c r="AP29" i="18"/>
  <c r="AO14" i="18"/>
  <c r="AO15" i="18"/>
  <c r="AO10" i="18" s="1"/>
  <c r="AO13" i="18" s="1"/>
  <c r="AO16" i="18"/>
  <c r="AO17" i="18"/>
  <c r="AO29" i="18"/>
  <c r="AN14" i="18"/>
  <c r="AN10" i="18" s="1"/>
  <c r="AN13" i="18" s="1"/>
  <c r="AN15" i="18"/>
  <c r="AN16" i="18"/>
  <c r="AN17" i="18"/>
  <c r="AN29" i="18"/>
  <c r="AM14" i="18"/>
  <c r="AM15" i="18"/>
  <c r="AM16" i="18"/>
  <c r="AM17" i="18"/>
  <c r="AM29" i="18"/>
  <c r="AL14" i="18"/>
  <c r="AL15" i="18"/>
  <c r="AL16" i="18"/>
  <c r="AL10" i="18"/>
  <c r="AL13" i="18"/>
  <c r="AL17" i="18"/>
  <c r="AL29" i="18"/>
  <c r="AK14" i="18"/>
  <c r="AK15" i="18"/>
  <c r="AK16" i="18"/>
  <c r="AK17" i="18"/>
  <c r="AK29" i="18"/>
  <c r="AJ14" i="18"/>
  <c r="AJ15" i="18"/>
  <c r="AJ16" i="18"/>
  <c r="AJ10" i="18" s="1"/>
  <c r="AJ13" i="18"/>
  <c r="AK21" i="18" s="1"/>
  <c r="AJ17" i="18"/>
  <c r="AJ21" i="18"/>
  <c r="AJ29" i="18"/>
  <c r="AJ33" i="18"/>
  <c r="AJ34" i="18"/>
  <c r="AJ40" i="18" s="1"/>
  <c r="AI14" i="18"/>
  <c r="AI15" i="18"/>
  <c r="AI10" i="18" s="1"/>
  <c r="AI13" i="18" s="1"/>
  <c r="AJ22" i="18" s="1"/>
  <c r="AI16" i="18"/>
  <c r="AI17" i="18"/>
  <c r="AI29" i="18"/>
  <c r="AH14" i="18"/>
  <c r="AH10" i="18" s="1"/>
  <c r="AH15" i="18"/>
  <c r="AH16" i="18"/>
  <c r="AH13" i="18"/>
  <c r="AI21" i="18" s="1"/>
  <c r="AI44" i="18" s="1"/>
  <c r="AH17" i="18"/>
  <c r="AH29" i="18"/>
  <c r="AG14" i="18"/>
  <c r="AG15" i="18"/>
  <c r="AG16" i="18"/>
  <c r="AG10" i="18"/>
  <c r="AG13" i="18"/>
  <c r="AG17" i="18"/>
  <c r="AG29" i="18"/>
  <c r="AF14" i="18"/>
  <c r="AF10" i="18" s="1"/>
  <c r="AF13" i="18" s="1"/>
  <c r="AF15" i="18"/>
  <c r="AF16" i="18"/>
  <c r="AF17" i="18"/>
  <c r="AF29" i="18"/>
  <c r="AE14" i="18"/>
  <c r="AE15" i="18"/>
  <c r="AE16" i="18"/>
  <c r="AE10" i="18"/>
  <c r="AE13" i="18" s="1"/>
  <c r="AF21" i="18" s="1"/>
  <c r="AE17" i="18"/>
  <c r="AE29" i="18"/>
  <c r="AD14" i="18"/>
  <c r="AD10" i="18" s="1"/>
  <c r="AD13" i="18" s="1"/>
  <c r="AD15" i="18"/>
  <c r="AD16" i="18"/>
  <c r="AD17" i="18"/>
  <c r="AD29" i="18"/>
  <c r="AC14" i="18"/>
  <c r="AC15" i="18"/>
  <c r="AC16" i="18"/>
  <c r="AC10" i="18"/>
  <c r="AC13" i="18" s="1"/>
  <c r="AC17" i="18"/>
  <c r="AC29" i="18"/>
  <c r="AB14" i="18"/>
  <c r="AB10" i="18" s="1"/>
  <c r="AB15" i="18"/>
  <c r="AB16" i="18"/>
  <c r="AB13" i="18"/>
  <c r="AB17" i="18"/>
  <c r="AB29" i="18"/>
  <c r="AA14" i="18"/>
  <c r="AA15" i="18"/>
  <c r="AA16" i="18"/>
  <c r="AA17" i="18"/>
  <c r="AA29" i="18"/>
  <c r="AA44" i="18"/>
  <c r="AA50" i="18" s="1"/>
  <c r="Z14" i="18"/>
  <c r="Z15" i="18"/>
  <c r="Z16" i="18"/>
  <c r="Z10" i="18" s="1"/>
  <c r="Z13" i="18" s="1"/>
  <c r="AA21" i="18" s="1"/>
  <c r="Z17" i="18"/>
  <c r="Z29" i="18"/>
  <c r="Y14" i="18"/>
  <c r="Y15" i="18"/>
  <c r="Y16" i="18"/>
  <c r="Y17" i="18"/>
  <c r="Y29" i="18"/>
  <c r="X14" i="18"/>
  <c r="X10" i="18" s="1"/>
  <c r="X13" i="18" s="1"/>
  <c r="Y22" i="18" s="1"/>
  <c r="X15" i="18"/>
  <c r="X16" i="18"/>
  <c r="X17" i="18"/>
  <c r="X29" i="18"/>
  <c r="W14" i="18"/>
  <c r="W15" i="18"/>
  <c r="W16" i="18"/>
  <c r="W10" i="18" s="1"/>
  <c r="W13" i="18" s="1"/>
  <c r="W17" i="18"/>
  <c r="W29" i="18"/>
  <c r="V14" i="18"/>
  <c r="V15" i="18"/>
  <c r="V16" i="18"/>
  <c r="V17" i="18"/>
  <c r="V29" i="18"/>
  <c r="U14" i="18"/>
  <c r="U15" i="18"/>
  <c r="U10" i="18" s="1"/>
  <c r="U13" i="18" s="1"/>
  <c r="U16" i="18"/>
  <c r="U17" i="18"/>
  <c r="U29" i="18"/>
  <c r="U33" i="18"/>
  <c r="U39" i="18" s="1"/>
  <c r="T14" i="18"/>
  <c r="T10" i="18" s="1"/>
  <c r="T13" i="18" s="1"/>
  <c r="U21" i="18" s="1"/>
  <c r="T15" i="18"/>
  <c r="T16" i="18"/>
  <c r="T17" i="18"/>
  <c r="T29" i="18"/>
  <c r="S14" i="18"/>
  <c r="S15" i="18"/>
  <c r="S16" i="18"/>
  <c r="S17" i="18"/>
  <c r="S29" i="18"/>
  <c r="R14" i="18"/>
  <c r="R10" i="18" s="1"/>
  <c r="R15" i="18"/>
  <c r="R16" i="18"/>
  <c r="R13" i="18"/>
  <c r="R17" i="18"/>
  <c r="R29" i="18"/>
  <c r="Q14" i="18"/>
  <c r="Q10" i="18" s="1"/>
  <c r="Q13" i="18" s="1"/>
  <c r="R22" i="18" s="1"/>
  <c r="Q15" i="18"/>
  <c r="Q16" i="18"/>
  <c r="Q17" i="18"/>
  <c r="Q29" i="18"/>
  <c r="P14" i="18"/>
  <c r="P15" i="18"/>
  <c r="P16" i="18"/>
  <c r="P17" i="18"/>
  <c r="P29" i="18"/>
  <c r="O14" i="18"/>
  <c r="O15" i="18"/>
  <c r="O16" i="18"/>
  <c r="O10" i="18"/>
  <c r="O13" i="18" s="1"/>
  <c r="O17" i="18"/>
  <c r="O21" i="18"/>
  <c r="O29" i="18"/>
  <c r="N14" i="18"/>
  <c r="N10" i="18" s="1"/>
  <c r="N13" i="18" s="1"/>
  <c r="O22" i="18" s="1"/>
  <c r="N15" i="18"/>
  <c r="N16" i="18"/>
  <c r="N17" i="18"/>
  <c r="N29" i="18"/>
  <c r="M14" i="18"/>
  <c r="M15" i="18"/>
  <c r="M16" i="18"/>
  <c r="M10" i="18"/>
  <c r="M13" i="18" s="1"/>
  <c r="M17" i="18"/>
  <c r="M29" i="18"/>
  <c r="L14" i="18"/>
  <c r="L15" i="18"/>
  <c r="L16" i="18"/>
  <c r="L17" i="18"/>
  <c r="L29" i="18"/>
  <c r="K14" i="18"/>
  <c r="K15" i="18"/>
  <c r="K16" i="18"/>
  <c r="K10" i="18" s="1"/>
  <c r="K13" i="18" s="1"/>
  <c r="L22" i="18" s="1"/>
  <c r="L34" i="18" s="1"/>
  <c r="L40" i="18" s="1"/>
  <c r="K17" i="18"/>
  <c r="K29" i="18"/>
  <c r="J14" i="18"/>
  <c r="J15" i="18"/>
  <c r="J16" i="18"/>
  <c r="J17" i="18"/>
  <c r="J29" i="18"/>
  <c r="I14" i="18"/>
  <c r="I15" i="18"/>
  <c r="I16" i="18"/>
  <c r="I10" i="18"/>
  <c r="I13" i="18" s="1"/>
  <c r="I17" i="18"/>
  <c r="I29" i="18"/>
  <c r="H14" i="18"/>
  <c r="H15" i="18"/>
  <c r="H16" i="18"/>
  <c r="H17" i="18"/>
  <c r="H21" i="18"/>
  <c r="H24" i="18"/>
  <c r="H29" i="18"/>
  <c r="G14" i="18"/>
  <c r="G10" i="18" s="1"/>
  <c r="G13" i="18" s="1"/>
  <c r="H22" i="18" s="1"/>
  <c r="G15" i="18"/>
  <c r="G16" i="18"/>
  <c r="G17" i="18"/>
  <c r="G29" i="18"/>
  <c r="F14" i="18"/>
  <c r="F15" i="18"/>
  <c r="F16" i="18"/>
  <c r="F17" i="18"/>
  <c r="F29" i="18"/>
  <c r="E14" i="18"/>
  <c r="E15" i="18"/>
  <c r="E16" i="18"/>
  <c r="E17" i="18"/>
  <c r="E29" i="18"/>
  <c r="D14" i="18"/>
  <c r="D15" i="18"/>
  <c r="D16" i="18"/>
  <c r="D10" i="18"/>
  <c r="D17" i="18"/>
  <c r="D21" i="18"/>
  <c r="D44" i="18" s="1"/>
  <c r="D24" i="18"/>
  <c r="D27" i="18"/>
  <c r="D29" i="18"/>
  <c r="D30" i="18"/>
  <c r="D33" i="18"/>
  <c r="D34" i="18"/>
  <c r="D40" i="18" s="1"/>
  <c r="D45" i="18"/>
  <c r="D51" i="18"/>
  <c r="B21" i="16"/>
  <c r="B21" i="17"/>
  <c r="D21" i="17" s="1"/>
  <c r="B21" i="18"/>
  <c r="B22" i="18" s="1"/>
  <c r="D22" i="18" s="1"/>
  <c r="D133" i="19"/>
  <c r="E133" i="19"/>
  <c r="F133" i="19"/>
  <c r="G133" i="19"/>
  <c r="H133" i="19"/>
  <c r="I133" i="19"/>
  <c r="J133" i="19"/>
  <c r="K133" i="19"/>
  <c r="L133" i="19"/>
  <c r="M133" i="19"/>
  <c r="N133" i="19"/>
  <c r="O133" i="19"/>
  <c r="P133" i="19"/>
  <c r="Q133" i="19"/>
  <c r="R133" i="19"/>
  <c r="S133" i="19"/>
  <c r="T133" i="19"/>
  <c r="U133" i="19"/>
  <c r="V133" i="19"/>
  <c r="W133" i="19"/>
  <c r="X133" i="19"/>
  <c r="Y133" i="19"/>
  <c r="Z133" i="19"/>
  <c r="AA133" i="19"/>
  <c r="AB133" i="19"/>
  <c r="AC133" i="19"/>
  <c r="AD133" i="19"/>
  <c r="AE133" i="19"/>
  <c r="AF133" i="19"/>
  <c r="AG133" i="19"/>
  <c r="AH133" i="19"/>
  <c r="AI133" i="19"/>
  <c r="AJ133" i="19"/>
  <c r="AK133" i="19"/>
  <c r="AL133" i="19"/>
  <c r="AM133" i="19"/>
  <c r="AN133" i="19"/>
  <c r="AO133" i="19"/>
  <c r="AP133" i="19"/>
  <c r="AQ133" i="19"/>
  <c r="AR133" i="19"/>
  <c r="AS133" i="19"/>
  <c r="AT133" i="19"/>
  <c r="AU133" i="19"/>
  <c r="AV133" i="19"/>
  <c r="AW133" i="19"/>
  <c r="AX133" i="19"/>
  <c r="C133" i="19"/>
  <c r="D127" i="19"/>
  <c r="E127" i="19"/>
  <c r="F127" i="19"/>
  <c r="G127" i="19"/>
  <c r="H127" i="19"/>
  <c r="I127" i="19"/>
  <c r="J127" i="19"/>
  <c r="K127" i="19"/>
  <c r="L127" i="19"/>
  <c r="M127" i="19"/>
  <c r="N127" i="19"/>
  <c r="O127" i="19"/>
  <c r="P127" i="19"/>
  <c r="Q127" i="19"/>
  <c r="R127" i="19"/>
  <c r="S127" i="19"/>
  <c r="T127" i="19"/>
  <c r="U127" i="19"/>
  <c r="V127" i="19"/>
  <c r="W127" i="19"/>
  <c r="X127" i="19"/>
  <c r="Y127" i="19"/>
  <c r="Z127" i="19"/>
  <c r="AA127" i="19"/>
  <c r="AB127" i="19"/>
  <c r="AC127" i="19"/>
  <c r="AD127" i="19"/>
  <c r="AE127" i="19"/>
  <c r="AF127" i="19"/>
  <c r="AG127" i="19"/>
  <c r="AH127" i="19"/>
  <c r="AI127" i="19"/>
  <c r="AJ127" i="19"/>
  <c r="AK127" i="19"/>
  <c r="AL127" i="19"/>
  <c r="AM127" i="19"/>
  <c r="AN127" i="19"/>
  <c r="AO127" i="19"/>
  <c r="AP127" i="19"/>
  <c r="AQ127" i="19"/>
  <c r="AR127" i="19"/>
  <c r="AS127" i="19"/>
  <c r="AT127" i="19"/>
  <c r="AU127" i="19"/>
  <c r="AV127" i="19"/>
  <c r="AW127" i="19"/>
  <c r="AX127" i="19"/>
  <c r="C127" i="19"/>
  <c r="D121" i="19"/>
  <c r="E121" i="19"/>
  <c r="F121" i="19"/>
  <c r="G121" i="19"/>
  <c r="H121" i="19"/>
  <c r="I121" i="19"/>
  <c r="J121" i="19"/>
  <c r="K121" i="19"/>
  <c r="L121" i="19"/>
  <c r="M121" i="19"/>
  <c r="N121" i="19"/>
  <c r="O121" i="19"/>
  <c r="P121" i="19"/>
  <c r="Q121" i="19"/>
  <c r="R121" i="19"/>
  <c r="S121" i="19"/>
  <c r="T121" i="19"/>
  <c r="U121" i="19"/>
  <c r="V121" i="19"/>
  <c r="W121" i="19"/>
  <c r="X121" i="19"/>
  <c r="Y121" i="19"/>
  <c r="Z121" i="19"/>
  <c r="AA121" i="19"/>
  <c r="AB121" i="19"/>
  <c r="AC121" i="19"/>
  <c r="AD121" i="19"/>
  <c r="AE121" i="19"/>
  <c r="AF121" i="19"/>
  <c r="AG121" i="19"/>
  <c r="AH121" i="19"/>
  <c r="AI121" i="19"/>
  <c r="AJ121" i="19"/>
  <c r="AK121" i="19"/>
  <c r="AL121" i="19"/>
  <c r="AM121" i="19"/>
  <c r="AN121" i="19"/>
  <c r="AO121" i="19"/>
  <c r="AP121" i="19"/>
  <c r="AQ121" i="19"/>
  <c r="AR121" i="19"/>
  <c r="AS121" i="19"/>
  <c r="AT121" i="19"/>
  <c r="AU121" i="19"/>
  <c r="AV121" i="19"/>
  <c r="AW121" i="19"/>
  <c r="AX121" i="19"/>
  <c r="C121" i="19"/>
  <c r="D115" i="19"/>
  <c r="E115" i="19"/>
  <c r="F115" i="19"/>
  <c r="G115" i="19"/>
  <c r="H115" i="19"/>
  <c r="I115" i="19"/>
  <c r="J115" i="19"/>
  <c r="K115" i="19"/>
  <c r="L115" i="19"/>
  <c r="M115" i="19"/>
  <c r="N115" i="19"/>
  <c r="O115" i="19"/>
  <c r="P115" i="19"/>
  <c r="Q115" i="19"/>
  <c r="R115" i="19"/>
  <c r="S115" i="19"/>
  <c r="T115" i="19"/>
  <c r="U115" i="19"/>
  <c r="V115" i="19"/>
  <c r="W115" i="19"/>
  <c r="X115" i="19"/>
  <c r="Y115" i="19"/>
  <c r="Z115" i="19"/>
  <c r="AA115" i="19"/>
  <c r="AB115" i="19"/>
  <c r="AC115" i="19"/>
  <c r="AD115" i="19"/>
  <c r="AE115" i="19"/>
  <c r="AF115" i="19"/>
  <c r="AG115" i="19"/>
  <c r="AH115" i="19"/>
  <c r="AI115" i="19"/>
  <c r="AJ115" i="19"/>
  <c r="AK115" i="19"/>
  <c r="AL115" i="19"/>
  <c r="AM115" i="19"/>
  <c r="AN115" i="19"/>
  <c r="AO115" i="19"/>
  <c r="AP115" i="19"/>
  <c r="AQ115" i="19"/>
  <c r="AR115" i="19"/>
  <c r="AS115" i="19"/>
  <c r="AT115" i="19"/>
  <c r="AU115" i="19"/>
  <c r="AV115" i="19"/>
  <c r="AW115" i="19"/>
  <c r="AX115" i="19"/>
  <c r="C115" i="19"/>
  <c r="D109" i="19"/>
  <c r="E109" i="19"/>
  <c r="F109" i="19"/>
  <c r="G109" i="19"/>
  <c r="H109" i="19"/>
  <c r="I109" i="19"/>
  <c r="J109" i="19"/>
  <c r="K109" i="19"/>
  <c r="L109" i="19"/>
  <c r="M109" i="19"/>
  <c r="N109" i="19"/>
  <c r="O109" i="19"/>
  <c r="P109" i="19"/>
  <c r="Q109" i="19"/>
  <c r="R109" i="19"/>
  <c r="S109" i="19"/>
  <c r="T109" i="19"/>
  <c r="U109" i="19"/>
  <c r="V109" i="19"/>
  <c r="W109" i="19"/>
  <c r="X109" i="19"/>
  <c r="Y109" i="19"/>
  <c r="Z109" i="19"/>
  <c r="AA109" i="19"/>
  <c r="AB109" i="19"/>
  <c r="AC109" i="19"/>
  <c r="AD109" i="19"/>
  <c r="AE109" i="19"/>
  <c r="AF109" i="19"/>
  <c r="AG109" i="19"/>
  <c r="AH109" i="19"/>
  <c r="AI109" i="19"/>
  <c r="AJ109" i="19"/>
  <c r="AK109" i="19"/>
  <c r="AL109" i="19"/>
  <c r="AM109" i="19"/>
  <c r="AN109" i="19"/>
  <c r="AO109" i="19"/>
  <c r="AP109" i="19"/>
  <c r="AQ109" i="19"/>
  <c r="AR109" i="19"/>
  <c r="AS109" i="19"/>
  <c r="AT109" i="19"/>
  <c r="AU109" i="19"/>
  <c r="AV109" i="19"/>
  <c r="AW109" i="19"/>
  <c r="AX109" i="19"/>
  <c r="C109" i="19"/>
  <c r="D103" i="19"/>
  <c r="E103" i="19"/>
  <c r="F103" i="19"/>
  <c r="G103" i="19"/>
  <c r="H103" i="19"/>
  <c r="I103" i="19"/>
  <c r="J103" i="19"/>
  <c r="K103" i="19"/>
  <c r="L103" i="19"/>
  <c r="M103" i="19"/>
  <c r="N103" i="19"/>
  <c r="O103" i="19"/>
  <c r="P103" i="19"/>
  <c r="Q103" i="19"/>
  <c r="R103" i="19"/>
  <c r="S103" i="19"/>
  <c r="T103" i="19"/>
  <c r="U103" i="19"/>
  <c r="V103" i="19"/>
  <c r="W103" i="19"/>
  <c r="X103" i="19"/>
  <c r="Y103" i="19"/>
  <c r="Z103" i="19"/>
  <c r="AA103" i="19"/>
  <c r="AB103" i="19"/>
  <c r="AC103" i="19"/>
  <c r="AD103" i="19"/>
  <c r="AE103" i="19"/>
  <c r="AF103" i="19"/>
  <c r="AG103" i="19"/>
  <c r="AH103" i="19"/>
  <c r="AI103" i="19"/>
  <c r="AJ103" i="19"/>
  <c r="AK103" i="19"/>
  <c r="AL103" i="19"/>
  <c r="AM103" i="19"/>
  <c r="AN103" i="19"/>
  <c r="AO103" i="19"/>
  <c r="AP103" i="19"/>
  <c r="AQ103" i="19"/>
  <c r="AR103" i="19"/>
  <c r="AS103" i="19"/>
  <c r="AT103" i="19"/>
  <c r="AU103" i="19"/>
  <c r="AV103" i="19"/>
  <c r="AW103" i="19"/>
  <c r="AX103" i="19"/>
  <c r="C103" i="19"/>
  <c r="C88" i="19"/>
  <c r="D88" i="19"/>
  <c r="E88" i="19"/>
  <c r="F88" i="19"/>
  <c r="G88" i="19"/>
  <c r="H88" i="19"/>
  <c r="I88" i="19"/>
  <c r="J88" i="19"/>
  <c r="K88" i="19"/>
  <c r="L88" i="19"/>
  <c r="M88" i="19"/>
  <c r="N88" i="19"/>
  <c r="O88" i="19"/>
  <c r="P88" i="19"/>
  <c r="Q88" i="19"/>
  <c r="R88" i="19"/>
  <c r="S88" i="19"/>
  <c r="T88" i="19"/>
  <c r="U88" i="19"/>
  <c r="V88" i="19"/>
  <c r="W88" i="19"/>
  <c r="X88" i="19"/>
  <c r="Y88" i="19"/>
  <c r="Z88" i="19"/>
  <c r="AA88" i="19"/>
  <c r="AB88" i="19"/>
  <c r="AC88" i="19"/>
  <c r="AD88" i="19"/>
  <c r="AE88" i="19"/>
  <c r="AF88" i="19"/>
  <c r="AG88" i="19"/>
  <c r="AH88" i="19"/>
  <c r="AI88" i="19"/>
  <c r="AJ88" i="19"/>
  <c r="AK88" i="19"/>
  <c r="AL88" i="19"/>
  <c r="AM88" i="19"/>
  <c r="AN88" i="19"/>
  <c r="AO88" i="19"/>
  <c r="AP88" i="19"/>
  <c r="AQ88" i="19"/>
  <c r="AR88" i="19"/>
  <c r="AS88" i="19"/>
  <c r="AT88" i="19"/>
  <c r="AU88" i="19"/>
  <c r="AV88" i="19"/>
  <c r="AW88" i="19"/>
  <c r="AX88" i="19"/>
  <c r="C89" i="19"/>
  <c r="D89" i="19"/>
  <c r="E89" i="19"/>
  <c r="F89" i="19"/>
  <c r="G89" i="19"/>
  <c r="H89" i="19"/>
  <c r="I89" i="19"/>
  <c r="J89" i="19"/>
  <c r="K89" i="19"/>
  <c r="L89" i="19"/>
  <c r="M89" i="19"/>
  <c r="N89" i="19"/>
  <c r="O89" i="19"/>
  <c r="P89" i="19"/>
  <c r="Q89" i="19"/>
  <c r="R89" i="19"/>
  <c r="S89" i="19"/>
  <c r="T89" i="19"/>
  <c r="U89" i="19"/>
  <c r="V89" i="19"/>
  <c r="W89" i="19"/>
  <c r="X89" i="19"/>
  <c r="Y89" i="19"/>
  <c r="Z89" i="19"/>
  <c r="AA89" i="19"/>
  <c r="AB89" i="19"/>
  <c r="AC89" i="19"/>
  <c r="AD89" i="19"/>
  <c r="AE89" i="19"/>
  <c r="AF89" i="19"/>
  <c r="AG89" i="19"/>
  <c r="AH89" i="19"/>
  <c r="AI89" i="19"/>
  <c r="AJ89" i="19"/>
  <c r="AK89" i="19"/>
  <c r="AL89" i="19"/>
  <c r="AM89" i="19"/>
  <c r="AN89" i="19"/>
  <c r="AO89" i="19"/>
  <c r="AP89" i="19"/>
  <c r="AQ89" i="19"/>
  <c r="AR89" i="19"/>
  <c r="AS89" i="19"/>
  <c r="AT89" i="19"/>
  <c r="AU89" i="19"/>
  <c r="AV89" i="19"/>
  <c r="AW89" i="19"/>
  <c r="AX89" i="19"/>
  <c r="C90" i="19"/>
  <c r="D90" i="19"/>
  <c r="E90" i="19"/>
  <c r="F90" i="19"/>
  <c r="G90" i="19"/>
  <c r="H90" i="19"/>
  <c r="I90" i="19"/>
  <c r="J90" i="19"/>
  <c r="K90" i="19"/>
  <c r="L90" i="19"/>
  <c r="M90" i="19"/>
  <c r="N90" i="19"/>
  <c r="O90" i="19"/>
  <c r="P90" i="19"/>
  <c r="Q90" i="19"/>
  <c r="R90" i="19"/>
  <c r="S90" i="19"/>
  <c r="T90" i="19"/>
  <c r="U90" i="19"/>
  <c r="V90" i="19"/>
  <c r="W90" i="19"/>
  <c r="X90" i="19"/>
  <c r="Y90" i="19"/>
  <c r="Z90" i="19"/>
  <c r="AA90" i="19"/>
  <c r="AB90" i="19"/>
  <c r="AC90" i="19"/>
  <c r="AD90" i="19"/>
  <c r="AE90" i="19"/>
  <c r="AF90" i="19"/>
  <c r="AG90" i="19"/>
  <c r="AH90" i="19"/>
  <c r="AI90" i="19"/>
  <c r="AJ90" i="19"/>
  <c r="AK90" i="19"/>
  <c r="AL90" i="19"/>
  <c r="AM90" i="19"/>
  <c r="AN90" i="19"/>
  <c r="AO90" i="19"/>
  <c r="AP90" i="19"/>
  <c r="AQ90" i="19"/>
  <c r="AR90" i="19"/>
  <c r="AS90" i="19"/>
  <c r="AT90" i="19"/>
  <c r="AU90" i="19"/>
  <c r="AV90" i="19"/>
  <c r="AW90" i="19"/>
  <c r="AX90" i="19"/>
  <c r="C91" i="19"/>
  <c r="D91" i="19"/>
  <c r="E91" i="19"/>
  <c r="F91" i="19"/>
  <c r="G91" i="19"/>
  <c r="H91" i="19"/>
  <c r="I91" i="19"/>
  <c r="J91" i="19"/>
  <c r="K91" i="19"/>
  <c r="L91" i="19"/>
  <c r="M91" i="19"/>
  <c r="N91" i="19"/>
  <c r="O91" i="19"/>
  <c r="P91" i="19"/>
  <c r="Q91" i="19"/>
  <c r="R91" i="19"/>
  <c r="S91" i="19"/>
  <c r="T91" i="19"/>
  <c r="U91" i="19"/>
  <c r="V91" i="19"/>
  <c r="W91" i="19"/>
  <c r="X91" i="19"/>
  <c r="Y91" i="19"/>
  <c r="Z91" i="19"/>
  <c r="AA91" i="19"/>
  <c r="AB91" i="19"/>
  <c r="AC91" i="19"/>
  <c r="AD91" i="19"/>
  <c r="AE91" i="19"/>
  <c r="AF91" i="19"/>
  <c r="AG91" i="19"/>
  <c r="AH91" i="19"/>
  <c r="AI91" i="19"/>
  <c r="AJ91" i="19"/>
  <c r="AK91" i="19"/>
  <c r="AL91" i="19"/>
  <c r="AM91" i="19"/>
  <c r="AN91" i="19"/>
  <c r="AO91" i="19"/>
  <c r="AP91" i="19"/>
  <c r="AQ91" i="19"/>
  <c r="AR91" i="19"/>
  <c r="AS91" i="19"/>
  <c r="AT91" i="19"/>
  <c r="AU91" i="19"/>
  <c r="AV91" i="19"/>
  <c r="AW91" i="19"/>
  <c r="AX91" i="19"/>
  <c r="C92" i="19"/>
  <c r="D92" i="19"/>
  <c r="E92" i="19"/>
  <c r="F92" i="19"/>
  <c r="G92" i="19"/>
  <c r="H92" i="19"/>
  <c r="I92" i="19"/>
  <c r="J92" i="19"/>
  <c r="K92" i="19"/>
  <c r="L92" i="19"/>
  <c r="M92" i="19"/>
  <c r="N92" i="19"/>
  <c r="O92" i="19"/>
  <c r="P92" i="19"/>
  <c r="Q92" i="19"/>
  <c r="R92" i="19"/>
  <c r="S92" i="19"/>
  <c r="T92" i="19"/>
  <c r="U92" i="19"/>
  <c r="V92" i="19"/>
  <c r="W92" i="19"/>
  <c r="X92" i="19"/>
  <c r="Y92" i="19"/>
  <c r="Z92" i="19"/>
  <c r="AA92" i="19"/>
  <c r="AB92" i="19"/>
  <c r="AC92" i="19"/>
  <c r="AD92" i="19"/>
  <c r="AE92" i="19"/>
  <c r="AF92" i="19"/>
  <c r="AG92" i="19"/>
  <c r="AH92" i="19"/>
  <c r="AI92" i="19"/>
  <c r="AJ92" i="19"/>
  <c r="AK92" i="19"/>
  <c r="AL92" i="19"/>
  <c r="AM92" i="19"/>
  <c r="AN92" i="19"/>
  <c r="AO92" i="19"/>
  <c r="AP92" i="19"/>
  <c r="AQ92" i="19"/>
  <c r="AR92" i="19"/>
  <c r="AS92" i="19"/>
  <c r="AT92" i="19"/>
  <c r="AU92" i="19"/>
  <c r="AV92" i="19"/>
  <c r="AW92" i="19"/>
  <c r="AX92" i="19"/>
  <c r="C93" i="19"/>
  <c r="D93" i="19"/>
  <c r="E93" i="19"/>
  <c r="F93" i="19"/>
  <c r="G93" i="19"/>
  <c r="H93" i="19"/>
  <c r="I93" i="19"/>
  <c r="J93" i="19"/>
  <c r="K93" i="19"/>
  <c r="L93" i="19"/>
  <c r="M93" i="19"/>
  <c r="N93" i="19"/>
  <c r="O93" i="19"/>
  <c r="P93" i="19"/>
  <c r="Q93" i="19"/>
  <c r="R93" i="19"/>
  <c r="S93" i="19"/>
  <c r="T93" i="19"/>
  <c r="U93" i="19"/>
  <c r="V93" i="19"/>
  <c r="W93" i="19"/>
  <c r="X93" i="19"/>
  <c r="Y93" i="19"/>
  <c r="Z93" i="19"/>
  <c r="AA93" i="19"/>
  <c r="AB93" i="19"/>
  <c r="AC93" i="19"/>
  <c r="AD93" i="19"/>
  <c r="AE93" i="19"/>
  <c r="AF93" i="19"/>
  <c r="AG93" i="19"/>
  <c r="AH93" i="19"/>
  <c r="AI93" i="19"/>
  <c r="AJ93" i="19"/>
  <c r="AK93" i="19"/>
  <c r="AL93" i="19"/>
  <c r="AM93" i="19"/>
  <c r="AN93" i="19"/>
  <c r="AO93" i="19"/>
  <c r="AP93" i="19"/>
  <c r="AQ93" i="19"/>
  <c r="AR93" i="19"/>
  <c r="AS93" i="19"/>
  <c r="AT93" i="19"/>
  <c r="AU93" i="19"/>
  <c r="AV93" i="19"/>
  <c r="AW93" i="19"/>
  <c r="AX93" i="19"/>
  <c r="C19" i="19"/>
  <c r="C28" i="19" s="1"/>
  <c r="D19" i="19"/>
  <c r="D28" i="19" s="1"/>
  <c r="E19" i="19"/>
  <c r="E28" i="19" s="1"/>
  <c r="F19" i="19"/>
  <c r="F28" i="19" s="1"/>
  <c r="G19" i="19"/>
  <c r="G28" i="19" s="1"/>
  <c r="H19" i="19"/>
  <c r="H28" i="19" s="1"/>
  <c r="I19" i="19"/>
  <c r="I28" i="19" s="1"/>
  <c r="J19" i="19"/>
  <c r="J28" i="19" s="1"/>
  <c r="K19" i="19"/>
  <c r="K28" i="19" s="1"/>
  <c r="L19" i="19"/>
  <c r="L28" i="19" s="1"/>
  <c r="M19" i="19"/>
  <c r="M28" i="19" s="1"/>
  <c r="N19" i="19"/>
  <c r="N28" i="19" s="1"/>
  <c r="C20" i="19"/>
  <c r="C29" i="19" s="1"/>
  <c r="D20" i="19"/>
  <c r="D29" i="19" s="1"/>
  <c r="E20" i="19"/>
  <c r="E29" i="19" s="1"/>
  <c r="F20" i="19"/>
  <c r="F29" i="19" s="1"/>
  <c r="G20" i="19"/>
  <c r="G29" i="19" s="1"/>
  <c r="H20" i="19"/>
  <c r="H29" i="19" s="1"/>
  <c r="I20" i="19"/>
  <c r="I29" i="19" s="1"/>
  <c r="J20" i="19"/>
  <c r="J29" i="19" s="1"/>
  <c r="K20" i="19"/>
  <c r="K29" i="19" s="1"/>
  <c r="L20" i="19"/>
  <c r="L29" i="19" s="1"/>
  <c r="M20" i="19"/>
  <c r="M29" i="19" s="1"/>
  <c r="N20" i="19"/>
  <c r="N29" i="19" s="1"/>
  <c r="C21" i="19"/>
  <c r="C30" i="19" s="1"/>
  <c r="D21" i="19"/>
  <c r="D30" i="19" s="1"/>
  <c r="E21" i="19"/>
  <c r="E30" i="19" s="1"/>
  <c r="F21" i="19"/>
  <c r="F30" i="19" s="1"/>
  <c r="G21" i="19"/>
  <c r="G30" i="19" s="1"/>
  <c r="H21" i="19"/>
  <c r="H30" i="19" s="1"/>
  <c r="I21" i="19"/>
  <c r="I30" i="19" s="1"/>
  <c r="J21" i="19"/>
  <c r="J30" i="19" s="1"/>
  <c r="K21" i="19"/>
  <c r="K30" i="19" s="1"/>
  <c r="L21" i="19"/>
  <c r="L30" i="19" s="1"/>
  <c r="M21" i="19"/>
  <c r="M30" i="19" s="1"/>
  <c r="N21" i="19"/>
  <c r="N30" i="19" s="1"/>
  <c r="C22" i="19"/>
  <c r="C31" i="19" s="1"/>
  <c r="D22" i="19"/>
  <c r="D31" i="19" s="1"/>
  <c r="E22" i="19"/>
  <c r="E31" i="19" s="1"/>
  <c r="F22" i="19"/>
  <c r="F31" i="19" s="1"/>
  <c r="G22" i="19"/>
  <c r="G31" i="19" s="1"/>
  <c r="H22" i="19"/>
  <c r="H31" i="19" s="1"/>
  <c r="I22" i="19"/>
  <c r="I31" i="19" s="1"/>
  <c r="J22" i="19"/>
  <c r="J31" i="19" s="1"/>
  <c r="K22" i="19"/>
  <c r="K31" i="19" s="1"/>
  <c r="L22" i="19"/>
  <c r="L31" i="19" s="1"/>
  <c r="M22" i="19"/>
  <c r="M31" i="19" s="1"/>
  <c r="N22" i="19"/>
  <c r="N31" i="19" s="1"/>
  <c r="C23" i="19"/>
  <c r="C32" i="19" s="1"/>
  <c r="D23" i="19"/>
  <c r="D32" i="19" s="1"/>
  <c r="E23" i="19"/>
  <c r="E32" i="19" s="1"/>
  <c r="F23" i="19"/>
  <c r="F32" i="19" s="1"/>
  <c r="G23" i="19"/>
  <c r="G32" i="19" s="1"/>
  <c r="H23" i="19"/>
  <c r="H32" i="19" s="1"/>
  <c r="I23" i="19"/>
  <c r="I32" i="19" s="1"/>
  <c r="J23" i="19"/>
  <c r="J32" i="19" s="1"/>
  <c r="K23" i="19"/>
  <c r="K32" i="19" s="1"/>
  <c r="L23" i="19"/>
  <c r="L32" i="19" s="1"/>
  <c r="M23" i="19"/>
  <c r="M32" i="19" s="1"/>
  <c r="N23" i="19"/>
  <c r="N32" i="19" s="1"/>
  <c r="C24" i="19"/>
  <c r="C33" i="19" s="1"/>
  <c r="D24" i="19"/>
  <c r="D33" i="19" s="1"/>
  <c r="E24" i="19"/>
  <c r="E33" i="19" s="1"/>
  <c r="F24" i="19"/>
  <c r="F33" i="19" s="1"/>
  <c r="G24" i="19"/>
  <c r="G33" i="19" s="1"/>
  <c r="H24" i="19"/>
  <c r="H33" i="19" s="1"/>
  <c r="I24" i="19"/>
  <c r="I33" i="19" s="1"/>
  <c r="J24" i="19"/>
  <c r="J33" i="19" s="1"/>
  <c r="K24" i="19"/>
  <c r="K33" i="19" s="1"/>
  <c r="L24" i="19"/>
  <c r="L33" i="19" s="1"/>
  <c r="M24" i="19"/>
  <c r="M33" i="19" s="1"/>
  <c r="N24" i="19"/>
  <c r="N33" i="19" s="1"/>
  <c r="B22" i="17"/>
  <c r="D22" i="17" s="1"/>
  <c r="B22" i="16"/>
  <c r="AM22" i="17" l="1"/>
  <c r="AM21" i="17"/>
  <c r="AM21" i="18"/>
  <c r="AM22" i="18"/>
  <c r="H21" i="17"/>
  <c r="H22" i="17"/>
  <c r="P22" i="16"/>
  <c r="P21" i="16"/>
  <c r="AM21" i="16"/>
  <c r="AM22" i="16"/>
  <c r="L21" i="18"/>
  <c r="R24" i="18"/>
  <c r="R45" i="18"/>
  <c r="R51" i="18" s="1"/>
  <c r="R34" i="18"/>
  <c r="R40" i="18" s="1"/>
  <c r="V10" i="18"/>
  <c r="V13" i="18" s="1"/>
  <c r="AP22" i="18"/>
  <c r="AP21" i="18"/>
  <c r="AX22" i="16"/>
  <c r="AX21" i="16"/>
  <c r="H44" i="18"/>
  <c r="H23" i="18"/>
  <c r="H33" i="18"/>
  <c r="AD21" i="18"/>
  <c r="AD22" i="18"/>
  <c r="X10" i="17"/>
  <c r="X13" i="17" s="1"/>
  <c r="AY22" i="17"/>
  <c r="AY21" i="17"/>
  <c r="AW21" i="16"/>
  <c r="AW22" i="16"/>
  <c r="AG21" i="18"/>
  <c r="AG22" i="18"/>
  <c r="J22" i="18"/>
  <c r="J21" i="18"/>
  <c r="L24" i="18"/>
  <c r="O45" i="18"/>
  <c r="O51" i="18" s="1"/>
  <c r="O24" i="18"/>
  <c r="O34" i="18"/>
  <c r="O40" i="18" s="1"/>
  <c r="AJ35" i="18"/>
  <c r="AJ39" i="18"/>
  <c r="Q22" i="17"/>
  <c r="Q21" i="17"/>
  <c r="T22" i="17"/>
  <c r="T21" i="17"/>
  <c r="T23" i="16"/>
  <c r="T33" i="16"/>
  <c r="T44" i="16"/>
  <c r="AA33" i="16"/>
  <c r="AA44" i="16"/>
  <c r="AK21" i="16"/>
  <c r="AK22" i="16"/>
  <c r="D46" i="18"/>
  <c r="D50" i="18"/>
  <c r="J10" i="18"/>
  <c r="J13" i="18" s="1"/>
  <c r="S10" i="18"/>
  <c r="S13" i="18" s="1"/>
  <c r="L45" i="18"/>
  <c r="L51" i="18" s="1"/>
  <c r="AC21" i="18"/>
  <c r="AC22" i="18"/>
  <c r="AX35" i="18"/>
  <c r="AX39" i="18"/>
  <c r="S21" i="17"/>
  <c r="S22" i="17"/>
  <c r="U21" i="17"/>
  <c r="U22" i="17"/>
  <c r="AK21" i="17"/>
  <c r="AK22" i="17"/>
  <c r="T34" i="16"/>
  <c r="T40" i="16" s="1"/>
  <c r="T45" i="16"/>
  <c r="T51" i="16" s="1"/>
  <c r="T24" i="16"/>
  <c r="F10" i="18"/>
  <c r="F13" i="18" s="1"/>
  <c r="P22" i="18"/>
  <c r="P21" i="18"/>
  <c r="Y21" i="18"/>
  <c r="F33" i="17"/>
  <c r="F44" i="17"/>
  <c r="F23" i="17"/>
  <c r="AA23" i="17"/>
  <c r="AA44" i="17"/>
  <c r="AA33" i="17"/>
  <c r="AJ22" i="17"/>
  <c r="AJ21" i="17"/>
  <c r="S21" i="18"/>
  <c r="S22" i="18"/>
  <c r="AL21" i="17"/>
  <c r="AL22" i="17"/>
  <c r="Y22" i="16"/>
  <c r="Y21" i="16"/>
  <c r="Y45" i="18"/>
  <c r="Y51" i="18" s="1"/>
  <c r="Y24" i="18"/>
  <c r="Y34" i="18"/>
  <c r="Y40" i="18" s="1"/>
  <c r="F34" i="17"/>
  <c r="F40" i="17" s="1"/>
  <c r="F24" i="17"/>
  <c r="F45" i="17"/>
  <c r="F51" i="17" s="1"/>
  <c r="D13" i="18"/>
  <c r="V22" i="18"/>
  <c r="V21" i="18"/>
  <c r="AI50" i="18"/>
  <c r="D35" i="18"/>
  <c r="D39" i="18"/>
  <c r="O23" i="18"/>
  <c r="O44" i="18"/>
  <c r="O33" i="18"/>
  <c r="N21" i="18"/>
  <c r="N22" i="18"/>
  <c r="H45" i="18"/>
  <c r="H51" i="18" s="1"/>
  <c r="H34" i="18"/>
  <c r="H40" i="18" s="1"/>
  <c r="R21" i="18"/>
  <c r="AS21" i="18"/>
  <c r="AS22" i="18"/>
  <c r="X21" i="17"/>
  <c r="X22" i="17"/>
  <c r="F34" i="16"/>
  <c r="F40" i="16" s="1"/>
  <c r="F24" i="16"/>
  <c r="F45" i="16"/>
  <c r="F51" i="16" s="1"/>
  <c r="M23" i="16"/>
  <c r="M44" i="16"/>
  <c r="M33" i="16"/>
  <c r="S21" i="16"/>
  <c r="S22" i="16"/>
  <c r="D34" i="17"/>
  <c r="D40" i="17" s="1"/>
  <c r="D24" i="17"/>
  <c r="D45" i="17"/>
  <c r="D51" i="17" s="1"/>
  <c r="H10" i="18"/>
  <c r="H13" i="18" s="1"/>
  <c r="L10" i="18"/>
  <c r="L13" i="18" s="1"/>
  <c r="AK22" i="18"/>
  <c r="AM10" i="18"/>
  <c r="AM13" i="18" s="1"/>
  <c r="AO21" i="18"/>
  <c r="AO22" i="18"/>
  <c r="E27" i="17"/>
  <c r="M10" i="17"/>
  <c r="M13" i="17" s="1"/>
  <c r="R22" i="17"/>
  <c r="R21" i="17"/>
  <c r="AG10" i="17"/>
  <c r="AG13" i="17" s="1"/>
  <c r="AN21" i="17"/>
  <c r="AN22" i="17"/>
  <c r="AO21" i="16"/>
  <c r="AO22" i="16"/>
  <c r="D10" i="17"/>
  <c r="E27" i="16"/>
  <c r="D30" i="16"/>
  <c r="E27" i="18"/>
  <c r="U22" i="18"/>
  <c r="X21" i="18"/>
  <c r="X22" i="18"/>
  <c r="Y10" i="18"/>
  <c r="Y13" i="18" s="1"/>
  <c r="AA23" i="18"/>
  <c r="AA33" i="18"/>
  <c r="AF33" i="18"/>
  <c r="AF44" i="18"/>
  <c r="AF23" i="18"/>
  <c r="AF22" i="18"/>
  <c r="AX44" i="18"/>
  <c r="AX23" i="18"/>
  <c r="G21" i="17"/>
  <c r="G22" i="17"/>
  <c r="L22" i="17"/>
  <c r="L21" i="17"/>
  <c r="AT21" i="17"/>
  <c r="AT22" i="17"/>
  <c r="H21" i="16"/>
  <c r="AT21" i="18"/>
  <c r="AT22" i="18"/>
  <c r="K21" i="17"/>
  <c r="K22" i="17"/>
  <c r="O21" i="16"/>
  <c r="O22" i="16"/>
  <c r="AA22" i="18"/>
  <c r="AX24" i="18"/>
  <c r="AX45" i="18"/>
  <c r="AX51" i="18" s="1"/>
  <c r="AX34" i="18"/>
  <c r="AX40" i="18" s="1"/>
  <c r="AI21" i="17"/>
  <c r="AI22" i="17"/>
  <c r="AI23" i="18"/>
  <c r="AI33" i="18"/>
  <c r="AR22" i="18"/>
  <c r="AR21" i="18"/>
  <c r="AT10" i="18"/>
  <c r="AT13" i="18" s="1"/>
  <c r="AF45" i="17"/>
  <c r="AF51" i="17" s="1"/>
  <c r="AF34" i="17"/>
  <c r="AF40" i="17" s="1"/>
  <c r="AF24" i="17"/>
  <c r="D23" i="18"/>
  <c r="U23" i="18"/>
  <c r="U44" i="18"/>
  <c r="AE22" i="18"/>
  <c r="AE21" i="18"/>
  <c r="AK33" i="18"/>
  <c r="AK44" i="18"/>
  <c r="AK23" i="18"/>
  <c r="O44" i="17"/>
  <c r="O33" i="17"/>
  <c r="AA22" i="17"/>
  <c r="AB23" i="17"/>
  <c r="AB44" i="17"/>
  <c r="AB33" i="17"/>
  <c r="E22" i="16"/>
  <c r="E21" i="16"/>
  <c r="H45" i="16"/>
  <c r="H51" i="16" s="1"/>
  <c r="H24" i="16"/>
  <c r="H34" i="16"/>
  <c r="H40" i="16" s="1"/>
  <c r="I22" i="16"/>
  <c r="I21" i="16"/>
  <c r="Q21" i="16"/>
  <c r="Q22" i="16"/>
  <c r="AD50" i="16"/>
  <c r="AQ45" i="16"/>
  <c r="AQ51" i="16" s="1"/>
  <c r="AQ24" i="16"/>
  <c r="AQ34" i="16"/>
  <c r="AQ40" i="16" s="1"/>
  <c r="AJ23" i="18"/>
  <c r="AJ44" i="18"/>
  <c r="L10" i="17"/>
  <c r="L13" i="17" s="1"/>
  <c r="AC33" i="17"/>
  <c r="AC23" i="17"/>
  <c r="AE39" i="17"/>
  <c r="AF44" i="17"/>
  <c r="AF33" i="17"/>
  <c r="AQ22" i="17"/>
  <c r="AQ21" i="17"/>
  <c r="F44" i="16"/>
  <c r="F23" i="16"/>
  <c r="F33" i="16"/>
  <c r="G21" i="16"/>
  <c r="G22" i="16"/>
  <c r="L34" i="16"/>
  <c r="L40" i="16" s="1"/>
  <c r="L45" i="16"/>
  <c r="L51" i="16" s="1"/>
  <c r="L24" i="16"/>
  <c r="Q10" i="16"/>
  <c r="Q13" i="16" s="1"/>
  <c r="V21" i="16"/>
  <c r="V22" i="16"/>
  <c r="X21" i="16"/>
  <c r="X22" i="16"/>
  <c r="AD34" i="16"/>
  <c r="AD40" i="16" s="1"/>
  <c r="AD45" i="16"/>
  <c r="AD51" i="16" s="1"/>
  <c r="AD24" i="16"/>
  <c r="I127" i="13"/>
  <c r="D22" i="16"/>
  <c r="AB22" i="16"/>
  <c r="AS22" i="16"/>
  <c r="E10" i="18"/>
  <c r="E13" i="18" s="1"/>
  <c r="AH21" i="18"/>
  <c r="AH22" i="18"/>
  <c r="AU10" i="18"/>
  <c r="AU13" i="18" s="1"/>
  <c r="U10" i="17"/>
  <c r="U13" i="17" s="1"/>
  <c r="AS22" i="17"/>
  <c r="AS21" i="17"/>
  <c r="L116" i="11"/>
  <c r="AA24" i="16"/>
  <c r="AA34" i="16"/>
  <c r="AA40" i="16" s="1"/>
  <c r="AE21" i="16"/>
  <c r="AE22" i="16"/>
  <c r="AT22" i="16"/>
  <c r="AT21" i="16"/>
  <c r="AZ17" i="18"/>
  <c r="AA10" i="18"/>
  <c r="AA13" i="18" s="1"/>
  <c r="AI22" i="18"/>
  <c r="AK10" i="18"/>
  <c r="AK13" i="18" s="1"/>
  <c r="O22" i="17"/>
  <c r="AE23" i="17"/>
  <c r="M22" i="16"/>
  <c r="AB23" i="16"/>
  <c r="AB44" i="16"/>
  <c r="AB33" i="16"/>
  <c r="AU21" i="16"/>
  <c r="AU22" i="16"/>
  <c r="D23" i="17"/>
  <c r="D44" i="17"/>
  <c r="D33" i="17"/>
  <c r="W22" i="17"/>
  <c r="W21" i="17"/>
  <c r="AB22" i="17"/>
  <c r="AC22" i="17"/>
  <c r="AE22" i="17"/>
  <c r="AR21" i="17"/>
  <c r="AR22" i="17"/>
  <c r="N21" i="16"/>
  <c r="N22" i="16"/>
  <c r="AA45" i="16"/>
  <c r="AA51" i="16" s="1"/>
  <c r="AD33" i="16"/>
  <c r="AD23" i="16"/>
  <c r="AN21" i="16"/>
  <c r="AN22" i="16"/>
  <c r="S7" i="20"/>
  <c r="H138" i="12"/>
  <c r="L138" i="12"/>
  <c r="D138" i="12"/>
  <c r="H121" i="12"/>
  <c r="H127" i="12" s="1"/>
  <c r="H116" i="12"/>
  <c r="L116" i="12"/>
  <c r="L120" i="12"/>
  <c r="L127" i="12" s="1"/>
  <c r="D120" i="12"/>
  <c r="D127" i="12" s="1"/>
  <c r="D116" i="12"/>
  <c r="O138" i="11"/>
  <c r="G138" i="11"/>
  <c r="K138" i="11"/>
  <c r="D127" i="11"/>
  <c r="H116" i="11"/>
  <c r="H9" i="20" s="1"/>
  <c r="H120" i="11"/>
  <c r="H127" i="11" s="1"/>
  <c r="L138" i="10"/>
  <c r="H138" i="10"/>
  <c r="P21" i="17"/>
  <c r="P22" i="17"/>
  <c r="Z21" i="17"/>
  <c r="Z22" i="17"/>
  <c r="AG21" i="17"/>
  <c r="AG22" i="17"/>
  <c r="AT10" i="17"/>
  <c r="AT13" i="17" s="1"/>
  <c r="I10" i="16"/>
  <c r="I13" i="16" s="1"/>
  <c r="AC22" i="16"/>
  <c r="AC21" i="16"/>
  <c r="AF21" i="16"/>
  <c r="AF22" i="16"/>
  <c r="AG10" i="16"/>
  <c r="AG13" i="16" s="1"/>
  <c r="AO10" i="16"/>
  <c r="AO13" i="16" s="1"/>
  <c r="AS260" i="14"/>
  <c r="O116" i="13"/>
  <c r="O121" i="13"/>
  <c r="O127" i="13" s="1"/>
  <c r="G127" i="13"/>
  <c r="K116" i="13"/>
  <c r="K120" i="13"/>
  <c r="K127" i="13" s="1"/>
  <c r="AJ24" i="18"/>
  <c r="AJ45" i="18"/>
  <c r="AJ51" i="18" s="1"/>
  <c r="AP10" i="18"/>
  <c r="AP13" i="18" s="1"/>
  <c r="I10" i="17"/>
  <c r="I13" i="17" s="1"/>
  <c r="AU10" i="17"/>
  <c r="AU13" i="17" s="1"/>
  <c r="J10" i="16"/>
  <c r="J13" i="16" s="1"/>
  <c r="L23" i="16"/>
  <c r="L33" i="16"/>
  <c r="L44" i="16"/>
  <c r="AF10" i="16"/>
  <c r="AF13" i="16" s="1"/>
  <c r="BA14" i="15"/>
  <c r="X260" i="15"/>
  <c r="Z260" i="14"/>
  <c r="K138" i="13"/>
  <c r="O127" i="12"/>
  <c r="AO21" i="17"/>
  <c r="AO22" i="17"/>
  <c r="M138" i="13"/>
  <c r="S31" i="20" s="1"/>
  <c r="T32" i="20" s="1"/>
  <c r="I138" i="13"/>
  <c r="AX10" i="18"/>
  <c r="AX13" i="18" s="1"/>
  <c r="AO10" i="17"/>
  <c r="AO13" i="17" s="1"/>
  <c r="D39" i="16"/>
  <c r="F127" i="13"/>
  <c r="K138" i="12"/>
  <c r="N138" i="11"/>
  <c r="F138" i="11"/>
  <c r="J138" i="11"/>
  <c r="P10" i="18"/>
  <c r="P13" i="18" s="1"/>
  <c r="AV10" i="18"/>
  <c r="AV13" i="18" s="1"/>
  <c r="AC10" i="17"/>
  <c r="AC13" i="17" s="1"/>
  <c r="U22" i="16"/>
  <c r="U21" i="16"/>
  <c r="Z21" i="16"/>
  <c r="Z22" i="16"/>
  <c r="E127" i="13"/>
  <c r="N138" i="12"/>
  <c r="J138" i="12"/>
  <c r="K127" i="12"/>
  <c r="H10" i="17"/>
  <c r="H13" i="17" s="1"/>
  <c r="AI10" i="16"/>
  <c r="AI13" i="16" s="1"/>
  <c r="AZ259" i="15"/>
  <c r="L138" i="13"/>
  <c r="H138" i="13"/>
  <c r="M116" i="12"/>
  <c r="M121" i="12"/>
  <c r="M127" i="12" s="1"/>
  <c r="E127" i="12"/>
  <c r="I116" i="12"/>
  <c r="I120" i="12"/>
  <c r="I127" i="12" s="1"/>
  <c r="I127" i="11"/>
  <c r="O138" i="10"/>
  <c r="K138" i="10"/>
  <c r="AV10" i="17"/>
  <c r="AV13" i="17" s="1"/>
  <c r="D23" i="16"/>
  <c r="AQ44" i="16"/>
  <c r="AQ23" i="16"/>
  <c r="AQ33" i="16"/>
  <c r="AS23" i="16"/>
  <c r="AS44" i="16"/>
  <c r="AS33" i="16"/>
  <c r="Y260" i="15"/>
  <c r="AM260" i="15"/>
  <c r="F127" i="11"/>
  <c r="N138" i="10"/>
  <c r="J138" i="10"/>
  <c r="AZ17" i="17"/>
  <c r="AZ17" i="16"/>
  <c r="V10" i="16"/>
  <c r="V13" i="16" s="1"/>
  <c r="AX10" i="16"/>
  <c r="AX13" i="16" s="1"/>
  <c r="K260" i="15"/>
  <c r="AZ260" i="15" s="1"/>
  <c r="O260" i="15"/>
  <c r="S260" i="15"/>
  <c r="AL260" i="15"/>
  <c r="T260" i="14"/>
  <c r="AI260" i="14"/>
  <c r="J127" i="13"/>
  <c r="M138" i="10"/>
  <c r="I138" i="10"/>
  <c r="AL22" i="16"/>
  <c r="AL21" i="16"/>
  <c r="AU10" i="16"/>
  <c r="AU13" i="16" s="1"/>
  <c r="M260" i="15"/>
  <c r="Q260" i="15"/>
  <c r="AB260" i="14"/>
  <c r="N127" i="13"/>
  <c r="J116" i="13"/>
  <c r="J127" i="12"/>
  <c r="I138" i="11"/>
  <c r="L127" i="11"/>
  <c r="I127" i="10"/>
  <c r="O116" i="10"/>
  <c r="O121" i="10"/>
  <c r="O127" i="10" s="1"/>
  <c r="G127" i="10"/>
  <c r="K116" i="10"/>
  <c r="K120" i="10"/>
  <c r="K127" i="10" s="1"/>
  <c r="AW10" i="17"/>
  <c r="AW13" i="17" s="1"/>
  <c r="E259" i="14"/>
  <c r="BA14" i="14"/>
  <c r="AK260" i="14"/>
  <c r="I116" i="13"/>
  <c r="K116" i="11"/>
  <c r="H127" i="10"/>
  <c r="G116" i="10"/>
  <c r="J116" i="10"/>
  <c r="J120" i="10"/>
  <c r="J127" i="10" s="1"/>
  <c r="F260" i="15"/>
  <c r="G260" i="15"/>
  <c r="L260" i="15"/>
  <c r="U260" i="15"/>
  <c r="F260" i="14"/>
  <c r="AZ260" i="14" s="1"/>
  <c r="K260" i="14"/>
  <c r="U260" i="14"/>
  <c r="L116" i="13"/>
  <c r="L121" i="13"/>
  <c r="L127" i="13" s="1"/>
  <c r="H116" i="13"/>
  <c r="H120" i="13"/>
  <c r="H127" i="13" s="1"/>
  <c r="AH10" i="16"/>
  <c r="AH13" i="16" s="1"/>
  <c r="N260" i="15"/>
  <c r="AI260" i="15"/>
  <c r="AN260" i="15"/>
  <c r="AS260" i="15"/>
  <c r="M260" i="14"/>
  <c r="AC260" i="14"/>
  <c r="AG260" i="14"/>
  <c r="AL260" i="14"/>
  <c r="D138" i="11"/>
  <c r="D116" i="10"/>
  <c r="D120" i="10"/>
  <c r="D127" i="10" s="1"/>
  <c r="AQ10" i="16"/>
  <c r="AQ13" i="16" s="1"/>
  <c r="AD260" i="15"/>
  <c r="AK260" i="15"/>
  <c r="AZ259" i="14"/>
  <c r="AT260" i="14"/>
  <c r="J138" i="13"/>
  <c r="I138" i="12"/>
  <c r="K116" i="12"/>
  <c r="J116" i="11"/>
  <c r="I116" i="10"/>
  <c r="J116" i="12"/>
  <c r="I116" i="11"/>
  <c r="S40" i="20"/>
  <c r="T43" i="20" s="1"/>
  <c r="H50" i="18" l="1"/>
  <c r="H46" i="18"/>
  <c r="AV21" i="16"/>
  <c r="AV22" i="16"/>
  <c r="AQ35" i="16"/>
  <c r="AQ39" i="16"/>
  <c r="AP22" i="17"/>
  <c r="AP21" i="17"/>
  <c r="AV21" i="17"/>
  <c r="AV22" i="17"/>
  <c r="AC34" i="16"/>
  <c r="AC40" i="16" s="1"/>
  <c r="AC24" i="16"/>
  <c r="AC45" i="16"/>
  <c r="AC51" i="16" s="1"/>
  <c r="P33" i="17"/>
  <c r="P23" i="17"/>
  <c r="P44" i="17"/>
  <c r="AD35" i="16"/>
  <c r="AD39" i="16"/>
  <c r="AB24" i="17"/>
  <c r="AB34" i="17"/>
  <c r="AB40" i="17" s="1"/>
  <c r="AB45" i="17"/>
  <c r="AB51" i="17" s="1"/>
  <c r="AU33" i="16"/>
  <c r="AU44" i="16"/>
  <c r="AU23" i="16"/>
  <c r="AI34" i="18"/>
  <c r="AI40" i="18" s="1"/>
  <c r="AI45" i="18"/>
  <c r="AI24" i="18"/>
  <c r="AH44" i="18"/>
  <c r="AH33" i="18"/>
  <c r="AH23" i="18"/>
  <c r="AQ24" i="17"/>
  <c r="AQ34" i="17"/>
  <c r="AQ40" i="17" s="1"/>
  <c r="AQ45" i="17"/>
  <c r="AQ51" i="17" s="1"/>
  <c r="AJ46" i="18"/>
  <c r="AJ50" i="18"/>
  <c r="Q33" i="16"/>
  <c r="Q23" i="16"/>
  <c r="Q44" i="16"/>
  <c r="AB35" i="17"/>
  <c r="AB39" i="17"/>
  <c r="AK39" i="18"/>
  <c r="AI23" i="17"/>
  <c r="AI44" i="17"/>
  <c r="AI33" i="17"/>
  <c r="K45" i="17"/>
  <c r="K51" i="17" s="1"/>
  <c r="K24" i="17"/>
  <c r="K34" i="17"/>
  <c r="K40" i="17" s="1"/>
  <c r="L34" i="17"/>
  <c r="L40" i="17" s="1"/>
  <c r="L24" i="17"/>
  <c r="L45" i="17"/>
  <c r="L51" i="17" s="1"/>
  <c r="AF39" i="18"/>
  <c r="AF35" i="18"/>
  <c r="R33" i="17"/>
  <c r="R23" i="17"/>
  <c r="R44" i="17"/>
  <c r="M21" i="18"/>
  <c r="M22" i="18"/>
  <c r="M35" i="16"/>
  <c r="M39" i="16"/>
  <c r="AS34" i="18"/>
  <c r="AS40" i="18" s="1"/>
  <c r="AS45" i="18"/>
  <c r="AS51" i="18" s="1"/>
  <c r="AS24" i="18"/>
  <c r="O46" i="18"/>
  <c r="O50" i="18"/>
  <c r="E21" i="18"/>
  <c r="E22" i="18"/>
  <c r="Y44" i="16"/>
  <c r="Y23" i="16"/>
  <c r="Y33" i="16"/>
  <c r="AA39" i="17"/>
  <c r="P45" i="18"/>
  <c r="P51" i="18" s="1"/>
  <c r="P34" i="18"/>
  <c r="P40" i="18" s="1"/>
  <c r="P24" i="18"/>
  <c r="U33" i="17"/>
  <c r="U44" i="17"/>
  <c r="U23" i="17"/>
  <c r="AA39" i="16"/>
  <c r="AA35" i="16"/>
  <c r="Q24" i="17"/>
  <c r="Q45" i="17"/>
  <c r="Q51" i="17" s="1"/>
  <c r="Q34" i="17"/>
  <c r="Q40" i="17" s="1"/>
  <c r="J24" i="18"/>
  <c r="J34" i="18"/>
  <c r="J40" i="18" s="1"/>
  <c r="J45" i="18"/>
  <c r="J51" i="18" s="1"/>
  <c r="AD45" i="18"/>
  <c r="AD51" i="18" s="1"/>
  <c r="AD24" i="18"/>
  <c r="AD34" i="18"/>
  <c r="AD40" i="18" s="1"/>
  <c r="AP24" i="18"/>
  <c r="AP34" i="18"/>
  <c r="AP40" i="18" s="1"/>
  <c r="AP45" i="18"/>
  <c r="AP51" i="18" s="1"/>
  <c r="P23" i="16"/>
  <c r="P44" i="16"/>
  <c r="P33" i="16"/>
  <c r="S10" i="20"/>
  <c r="AX21" i="17"/>
  <c r="AX22" i="17"/>
  <c r="AL23" i="16"/>
  <c r="AL33" i="16"/>
  <c r="AL44" i="16"/>
  <c r="Z24" i="16"/>
  <c r="Z34" i="16"/>
  <c r="Z40" i="16" s="1"/>
  <c r="Z45" i="16"/>
  <c r="Z51" i="16" s="1"/>
  <c r="AY22" i="18"/>
  <c r="AY21" i="18"/>
  <c r="J21" i="17"/>
  <c r="J22" i="17"/>
  <c r="J21" i="16"/>
  <c r="J22" i="16"/>
  <c r="AZ22" i="16" s="1"/>
  <c r="W23" i="17"/>
  <c r="W44" i="17"/>
  <c r="W33" i="17"/>
  <c r="AB39" i="16"/>
  <c r="AB35" i="16"/>
  <c r="AB22" i="18"/>
  <c r="AB21" i="18"/>
  <c r="F22" i="18"/>
  <c r="F21" i="18"/>
  <c r="AF35" i="17"/>
  <c r="AF39" i="17"/>
  <c r="I33" i="16"/>
  <c r="I23" i="16"/>
  <c r="I44" i="16"/>
  <c r="AB46" i="17"/>
  <c r="AB50" i="17"/>
  <c r="AE23" i="18"/>
  <c r="AE44" i="18"/>
  <c r="AE33" i="18"/>
  <c r="K23" i="17"/>
  <c r="K44" i="17"/>
  <c r="K33" i="17"/>
  <c r="G45" i="17"/>
  <c r="G51" i="17" s="1"/>
  <c r="G24" i="17"/>
  <c r="G34" i="17"/>
  <c r="G40" i="17" s="1"/>
  <c r="AA39" i="18"/>
  <c r="AA35" i="18"/>
  <c r="F27" i="16"/>
  <c r="E30" i="16"/>
  <c r="R24" i="17"/>
  <c r="R34" i="17"/>
  <c r="R40" i="17" s="1"/>
  <c r="R45" i="17"/>
  <c r="R51" i="17" s="1"/>
  <c r="I21" i="18"/>
  <c r="I22" i="18"/>
  <c r="M50" i="16"/>
  <c r="AS23" i="18"/>
  <c r="AS33" i="18"/>
  <c r="AS44" i="18"/>
  <c r="AZ10" i="18"/>
  <c r="Y45" i="16"/>
  <c r="Y51" i="16" s="1"/>
  <c r="Y34" i="16"/>
  <c r="Y40" i="16" s="1"/>
  <c r="Y24" i="16"/>
  <c r="AA46" i="17"/>
  <c r="AA50" i="17"/>
  <c r="G22" i="18"/>
  <c r="G21" i="18"/>
  <c r="S34" i="17"/>
  <c r="S40" i="17" s="1"/>
  <c r="S24" i="17"/>
  <c r="S45" i="17"/>
  <c r="S51" i="17" s="1"/>
  <c r="T22" i="18"/>
  <c r="T21" i="18"/>
  <c r="T46" i="16"/>
  <c r="T50" i="16"/>
  <c r="AG24" i="18"/>
  <c r="AG45" i="18"/>
  <c r="AG51" i="18" s="1"/>
  <c r="AG34" i="18"/>
  <c r="AG40" i="18" s="1"/>
  <c r="AD33" i="18"/>
  <c r="AD44" i="18"/>
  <c r="AD23" i="18"/>
  <c r="W22" i="18"/>
  <c r="W21" i="18"/>
  <c r="P24" i="16"/>
  <c r="P45" i="16"/>
  <c r="P51" i="16" s="1"/>
  <c r="P34" i="16"/>
  <c r="P40" i="16" s="1"/>
  <c r="AG45" i="17"/>
  <c r="AG51" i="17" s="1"/>
  <c r="AG24" i="17"/>
  <c r="AG34" i="17"/>
  <c r="AG40" i="17" s="1"/>
  <c r="H10" i="20"/>
  <c r="AL45" i="16"/>
  <c r="AL51" i="16" s="1"/>
  <c r="AL34" i="16"/>
  <c r="AL40" i="16" s="1"/>
  <c r="AL24" i="16"/>
  <c r="AQ46" i="16"/>
  <c r="AQ50" i="16"/>
  <c r="AJ22" i="16"/>
  <c r="AJ21" i="16"/>
  <c r="Z44" i="16"/>
  <c r="Z23" i="16"/>
  <c r="Z33" i="16"/>
  <c r="AQ21" i="18"/>
  <c r="AQ22" i="18"/>
  <c r="AU22" i="17"/>
  <c r="AU21" i="17"/>
  <c r="H8" i="20"/>
  <c r="N34" i="16"/>
  <c r="N40" i="16" s="1"/>
  <c r="N45" i="16"/>
  <c r="N51" i="16" s="1"/>
  <c r="N24" i="16"/>
  <c r="W45" i="17"/>
  <c r="W51" i="17" s="1"/>
  <c r="W24" i="17"/>
  <c r="W34" i="17"/>
  <c r="W40" i="17" s="1"/>
  <c r="AB46" i="16"/>
  <c r="AB50" i="16"/>
  <c r="X34" i="16"/>
  <c r="X40" i="16" s="1"/>
  <c r="X24" i="16"/>
  <c r="X45" i="16"/>
  <c r="X51" i="16" s="1"/>
  <c r="G34" i="16"/>
  <c r="G40" i="16" s="1"/>
  <c r="G24" i="16"/>
  <c r="G45" i="16"/>
  <c r="G51" i="16" s="1"/>
  <c r="AF46" i="17"/>
  <c r="AF50" i="17"/>
  <c r="I45" i="16"/>
  <c r="I51" i="16" s="1"/>
  <c r="I24" i="16"/>
  <c r="I34" i="16"/>
  <c r="I40" i="16" s="1"/>
  <c r="AE24" i="18"/>
  <c r="AE34" i="18"/>
  <c r="AE40" i="18" s="1"/>
  <c r="AE45" i="18"/>
  <c r="AE51" i="18" s="1"/>
  <c r="AU21" i="18"/>
  <c r="AU22" i="18"/>
  <c r="AT45" i="18"/>
  <c r="AT51" i="18" s="1"/>
  <c r="AT34" i="18"/>
  <c r="AT40" i="18" s="1"/>
  <c r="AT24" i="18"/>
  <c r="G23" i="17"/>
  <c r="G44" i="17"/>
  <c r="G33" i="17"/>
  <c r="AZ10" i="17"/>
  <c r="D13" i="17"/>
  <c r="N22" i="17"/>
  <c r="N21" i="17"/>
  <c r="R44" i="18"/>
  <c r="R33" i="18"/>
  <c r="R23" i="18"/>
  <c r="AL24" i="17"/>
  <c r="AL34" i="17"/>
  <c r="AL40" i="17" s="1"/>
  <c r="AL45" i="17"/>
  <c r="AL51" i="17" s="1"/>
  <c r="S23" i="17"/>
  <c r="S33" i="17"/>
  <c r="S44" i="17"/>
  <c r="K21" i="18"/>
  <c r="K22" i="18"/>
  <c r="T39" i="16"/>
  <c r="T35" i="16"/>
  <c r="AG44" i="18"/>
  <c r="AG23" i="18"/>
  <c r="AG33" i="18"/>
  <c r="H39" i="18"/>
  <c r="H35" i="18"/>
  <c r="H45" i="17"/>
  <c r="H51" i="17" s="1"/>
  <c r="H34" i="17"/>
  <c r="H40" i="17" s="1"/>
  <c r="H24" i="17"/>
  <c r="AI21" i="16"/>
  <c r="AI22" i="16"/>
  <c r="AO45" i="17"/>
  <c r="AO51" i="17" s="1"/>
  <c r="AO34" i="17"/>
  <c r="AO40" i="17" s="1"/>
  <c r="AO24" i="17"/>
  <c r="AH21" i="16"/>
  <c r="AH22" i="16"/>
  <c r="AR45" i="17"/>
  <c r="AR51" i="17" s="1"/>
  <c r="AR24" i="17"/>
  <c r="AR34" i="17"/>
  <c r="AR40" i="17" s="1"/>
  <c r="AT23" i="16"/>
  <c r="AT33" i="16"/>
  <c r="AT44" i="16"/>
  <c r="AB24" i="16"/>
  <c r="AB45" i="16"/>
  <c r="AB51" i="16" s="1"/>
  <c r="AB34" i="16"/>
  <c r="AB40" i="16" s="1"/>
  <c r="F39" i="16"/>
  <c r="F35" i="16"/>
  <c r="O39" i="17"/>
  <c r="O35" i="17"/>
  <c r="AX50" i="18"/>
  <c r="AX46" i="18"/>
  <c r="X45" i="18"/>
  <c r="X51" i="18" s="1"/>
  <c r="X34" i="18"/>
  <c r="X40" i="18" s="1"/>
  <c r="X24" i="18"/>
  <c r="AO34" i="18"/>
  <c r="AO40" i="18" s="1"/>
  <c r="AO45" i="18"/>
  <c r="AO51" i="18" s="1"/>
  <c r="AO24" i="18"/>
  <c r="F50" i="17"/>
  <c r="F46" i="17"/>
  <c r="AW22" i="17"/>
  <c r="AW21" i="17"/>
  <c r="AZ10" i="16"/>
  <c r="AF45" i="16"/>
  <c r="AF51" i="16" s="1"/>
  <c r="AF24" i="16"/>
  <c r="AF34" i="16"/>
  <c r="AF40" i="16" s="1"/>
  <c r="Z24" i="17"/>
  <c r="Z34" i="17"/>
  <c r="Z40" i="17" s="1"/>
  <c r="Z45" i="17"/>
  <c r="Z51" i="17" s="1"/>
  <c r="AR23" i="17"/>
  <c r="AR33" i="17"/>
  <c r="AR44" i="17"/>
  <c r="D24" i="16"/>
  <c r="D34" i="16"/>
  <c r="D45" i="16"/>
  <c r="AT34" i="17"/>
  <c r="AT40" i="17" s="1"/>
  <c r="AT45" i="17"/>
  <c r="AT51" i="17" s="1"/>
  <c r="AT24" i="17"/>
  <c r="X44" i="18"/>
  <c r="X23" i="18"/>
  <c r="X33" i="18"/>
  <c r="AO44" i="18"/>
  <c r="AO23" i="18"/>
  <c r="AO33" i="18"/>
  <c r="N24" i="18"/>
  <c r="N45" i="18"/>
  <c r="N51" i="18" s="1"/>
  <c r="N34" i="18"/>
  <c r="N40" i="18" s="1"/>
  <c r="L33" i="18"/>
  <c r="L23" i="18"/>
  <c r="L44" i="18"/>
  <c r="H7" i="20"/>
  <c r="AS50" i="16"/>
  <c r="AW21" i="18"/>
  <c r="AW22" i="18"/>
  <c r="AF33" i="16"/>
  <c r="AF23" i="16"/>
  <c r="AF44" i="16"/>
  <c r="Z23" i="17"/>
  <c r="Z44" i="17"/>
  <c r="Z33" i="17"/>
  <c r="AN33" i="16"/>
  <c r="AN44" i="16"/>
  <c r="AN23" i="16"/>
  <c r="AE34" i="17"/>
  <c r="AE45" i="17"/>
  <c r="AE24" i="17"/>
  <c r="O24" i="17"/>
  <c r="O34" i="17"/>
  <c r="O40" i="17" s="1"/>
  <c r="O45" i="17"/>
  <c r="O51" i="17" s="1"/>
  <c r="AE34" i="16"/>
  <c r="AE40" i="16" s="1"/>
  <c r="AE24" i="16"/>
  <c r="AE45" i="16"/>
  <c r="AE51" i="16" s="1"/>
  <c r="AV21" i="18"/>
  <c r="AV22" i="18"/>
  <c r="R21" i="16"/>
  <c r="R22" i="16"/>
  <c r="F50" i="16"/>
  <c r="F46" i="16"/>
  <c r="AC39" i="17"/>
  <c r="AD46" i="16"/>
  <c r="E33" i="16"/>
  <c r="E44" i="16"/>
  <c r="E23" i="16"/>
  <c r="O34" i="16"/>
  <c r="O40" i="16" s="1"/>
  <c r="O45" i="16"/>
  <c r="O51" i="16" s="1"/>
  <c r="O24" i="16"/>
  <c r="AT33" i="17"/>
  <c r="AT44" i="17"/>
  <c r="AT23" i="17"/>
  <c r="U34" i="18"/>
  <c r="U24" i="18"/>
  <c r="U45" i="18"/>
  <c r="U51" i="18" s="1"/>
  <c r="AN33" i="17"/>
  <c r="AN23" i="17"/>
  <c r="AN44" i="17"/>
  <c r="AN21" i="18"/>
  <c r="AN22" i="18"/>
  <c r="S24" i="16"/>
  <c r="S34" i="16"/>
  <c r="S40" i="16" s="1"/>
  <c r="S45" i="16"/>
  <c r="S51" i="16" s="1"/>
  <c r="X45" i="17"/>
  <c r="X51" i="17" s="1"/>
  <c r="X24" i="17"/>
  <c r="X34" i="17"/>
  <c r="X40" i="17" s="1"/>
  <c r="N33" i="18"/>
  <c r="N23" i="18"/>
  <c r="N44" i="18"/>
  <c r="V33" i="18"/>
  <c r="V23" i="18"/>
  <c r="V44" i="18"/>
  <c r="AJ23" i="17"/>
  <c r="AJ44" i="17"/>
  <c r="AJ33" i="17"/>
  <c r="Y44" i="18"/>
  <c r="Y33" i="18"/>
  <c r="Y23" i="18"/>
  <c r="AK23" i="17"/>
  <c r="AK44" i="17"/>
  <c r="AK33" i="17"/>
  <c r="AC23" i="18"/>
  <c r="AC44" i="18"/>
  <c r="AC33" i="18"/>
  <c r="AK23" i="16"/>
  <c r="AK33" i="16"/>
  <c r="AK44" i="16"/>
  <c r="T45" i="17"/>
  <c r="T51" i="17" s="1"/>
  <c r="T24" i="17"/>
  <c r="T34" i="17"/>
  <c r="T40" i="17" s="1"/>
  <c r="AY24" i="17"/>
  <c r="AY45" i="17"/>
  <c r="AY51" i="17" s="1"/>
  <c r="AY34" i="17"/>
  <c r="AY40" i="17" s="1"/>
  <c r="AX45" i="16"/>
  <c r="AX51" i="16" s="1"/>
  <c r="AX34" i="16"/>
  <c r="AX40" i="16" s="1"/>
  <c r="AX24" i="16"/>
  <c r="AM34" i="16"/>
  <c r="AM40" i="16" s="1"/>
  <c r="AM24" i="16"/>
  <c r="AM45" i="16"/>
  <c r="AM51" i="16" s="1"/>
  <c r="AM33" i="17"/>
  <c r="AM44" i="17"/>
  <c r="AM23" i="17"/>
  <c r="I22" i="17"/>
  <c r="I21" i="17"/>
  <c r="U23" i="16"/>
  <c r="U44" i="16"/>
  <c r="U33" i="16"/>
  <c r="AG21" i="16"/>
  <c r="AG22" i="16"/>
  <c r="AP22" i="16"/>
  <c r="AP21" i="16"/>
  <c r="S8" i="20"/>
  <c r="N33" i="16"/>
  <c r="N44" i="16"/>
  <c r="N23" i="16"/>
  <c r="D35" i="17"/>
  <c r="D39" i="17"/>
  <c r="AS44" i="17"/>
  <c r="AS23" i="17"/>
  <c r="AS33" i="17"/>
  <c r="AS24" i="16"/>
  <c r="AS34" i="16"/>
  <c r="AS40" i="16" s="1"/>
  <c r="AS45" i="16"/>
  <c r="AS51" i="16" s="1"/>
  <c r="X23" i="16"/>
  <c r="X33" i="16"/>
  <c r="X44" i="16"/>
  <c r="G33" i="16"/>
  <c r="G23" i="16"/>
  <c r="G44" i="16"/>
  <c r="AA24" i="17"/>
  <c r="AA45" i="17"/>
  <c r="AA51" i="17" s="1"/>
  <c r="AA34" i="17"/>
  <c r="AA40" i="17" s="1"/>
  <c r="U50" i="18"/>
  <c r="U46" i="18"/>
  <c r="AR23" i="18"/>
  <c r="AR33" i="18"/>
  <c r="AR44" i="18"/>
  <c r="AT33" i="18"/>
  <c r="AT23" i="18"/>
  <c r="AT44" i="18"/>
  <c r="Z22" i="18"/>
  <c r="Z21" i="18"/>
  <c r="AO34" i="16"/>
  <c r="AO40" i="16" s="1"/>
  <c r="AO45" i="16"/>
  <c r="AO51" i="16" s="1"/>
  <c r="AO24" i="16"/>
  <c r="F27" i="17"/>
  <c r="E30" i="17"/>
  <c r="AL33" i="17"/>
  <c r="AL23" i="17"/>
  <c r="AL44" i="17"/>
  <c r="AW45" i="16"/>
  <c r="AW51" i="16" s="1"/>
  <c r="AW34" i="16"/>
  <c r="AW40" i="16" s="1"/>
  <c r="AW24" i="16"/>
  <c r="H23" i="17"/>
  <c r="H33" i="17"/>
  <c r="H44" i="17"/>
  <c r="AY21" i="16"/>
  <c r="AY22" i="16"/>
  <c r="U24" i="16"/>
  <c r="U45" i="16"/>
  <c r="U51" i="16" s="1"/>
  <c r="U34" i="16"/>
  <c r="U40" i="16" s="1"/>
  <c r="L46" i="16"/>
  <c r="L50" i="16"/>
  <c r="AG44" i="17"/>
  <c r="AG23" i="17"/>
  <c r="AG33" i="17"/>
  <c r="D46" i="17"/>
  <c r="D50" i="17"/>
  <c r="M24" i="16"/>
  <c r="M34" i="16"/>
  <c r="M40" i="16" s="1"/>
  <c r="M45" i="16"/>
  <c r="M51" i="16" s="1"/>
  <c r="AS45" i="17"/>
  <c r="AS51" i="17" s="1"/>
  <c r="AS24" i="17"/>
  <c r="AS34" i="17"/>
  <c r="AS40" i="17" s="1"/>
  <c r="V34" i="16"/>
  <c r="V40" i="16" s="1"/>
  <c r="V45" i="16"/>
  <c r="V51" i="16" s="1"/>
  <c r="V24" i="16"/>
  <c r="AR34" i="18"/>
  <c r="AR40" i="18" s="1"/>
  <c r="AR24" i="18"/>
  <c r="AR45" i="18"/>
  <c r="AR51" i="18" s="1"/>
  <c r="H23" i="16"/>
  <c r="H44" i="16"/>
  <c r="H33" i="16"/>
  <c r="AO33" i="16"/>
  <c r="AO23" i="16"/>
  <c r="AO44" i="16"/>
  <c r="S34" i="18"/>
  <c r="S40" i="18" s="1"/>
  <c r="S24" i="18"/>
  <c r="S45" i="18"/>
  <c r="S51" i="18" s="1"/>
  <c r="AW33" i="16"/>
  <c r="AW23" i="16"/>
  <c r="AW44" i="16"/>
  <c r="AM34" i="18"/>
  <c r="AM40" i="18" s="1"/>
  <c r="AM45" i="18"/>
  <c r="AM51" i="18" s="1"/>
  <c r="AM24" i="18"/>
  <c r="W22" i="16"/>
  <c r="W21" i="16"/>
  <c r="AS39" i="16"/>
  <c r="AS35" i="16"/>
  <c r="AD22" i="17"/>
  <c r="AD21" i="17"/>
  <c r="AO44" i="17"/>
  <c r="AO33" i="17"/>
  <c r="AO23" i="17"/>
  <c r="L39" i="16"/>
  <c r="L35" i="16"/>
  <c r="S9" i="20"/>
  <c r="T11" i="20" s="1"/>
  <c r="T45" i="20" s="1"/>
  <c r="AN34" i="16"/>
  <c r="AN40" i="16" s="1"/>
  <c r="AN45" i="16"/>
  <c r="AN51" i="16" s="1"/>
  <c r="AN24" i="16"/>
  <c r="AT34" i="16"/>
  <c r="AT40" i="16" s="1"/>
  <c r="AT24" i="16"/>
  <c r="AT45" i="16"/>
  <c r="AT51" i="16" s="1"/>
  <c r="V21" i="17"/>
  <c r="V22" i="17"/>
  <c r="V33" i="16"/>
  <c r="V44" i="16"/>
  <c r="V23" i="16"/>
  <c r="O46" i="17"/>
  <c r="O50" i="17"/>
  <c r="AI39" i="18"/>
  <c r="AI35" i="18"/>
  <c r="AA34" i="18"/>
  <c r="AA40" i="18" s="1"/>
  <c r="AA45" i="18"/>
  <c r="AA24" i="18"/>
  <c r="AF45" i="18"/>
  <c r="AF51" i="18" s="1"/>
  <c r="AF34" i="18"/>
  <c r="AF40" i="18" s="1"/>
  <c r="AF24" i="18"/>
  <c r="AN45" i="17"/>
  <c r="AN51" i="17" s="1"/>
  <c r="AN24" i="17"/>
  <c r="AN34" i="17"/>
  <c r="AN40" i="17" s="1"/>
  <c r="S23" i="18"/>
  <c r="S33" i="18"/>
  <c r="S44" i="18"/>
  <c r="F35" i="17"/>
  <c r="F39" i="17"/>
  <c r="AK34" i="17"/>
  <c r="AK40" i="17" s="1"/>
  <c r="AK45" i="17"/>
  <c r="AK51" i="17" s="1"/>
  <c r="AK24" i="17"/>
  <c r="AC34" i="18"/>
  <c r="AC40" i="18" s="1"/>
  <c r="AC45" i="18"/>
  <c r="AC51" i="18" s="1"/>
  <c r="AC24" i="18"/>
  <c r="AK24" i="16"/>
  <c r="AK34" i="16"/>
  <c r="AK40" i="16" s="1"/>
  <c r="AK45" i="16"/>
  <c r="AK51" i="16" s="1"/>
  <c r="T23" i="17"/>
  <c r="T44" i="17"/>
  <c r="T33" i="17"/>
  <c r="AY23" i="17"/>
  <c r="AY33" i="17"/>
  <c r="AY44" i="17"/>
  <c r="AX23" i="16"/>
  <c r="AX44" i="16"/>
  <c r="AX33" i="16"/>
  <c r="AM44" i="18"/>
  <c r="AM23" i="18"/>
  <c r="AM33" i="18"/>
  <c r="AR21" i="16"/>
  <c r="AR22" i="16"/>
  <c r="Q21" i="18"/>
  <c r="Q22" i="18"/>
  <c r="K22" i="16"/>
  <c r="K21" i="16"/>
  <c r="AC23" i="16"/>
  <c r="AC33" i="16"/>
  <c r="AC44" i="16"/>
  <c r="P45" i="17"/>
  <c r="P51" i="17" s="1"/>
  <c r="P34" i="17"/>
  <c r="P40" i="17" s="1"/>
  <c r="P24" i="17"/>
  <c r="AC34" i="17"/>
  <c r="AC40" i="17" s="1"/>
  <c r="AC24" i="17"/>
  <c r="AC45" i="17"/>
  <c r="AU34" i="16"/>
  <c r="AU40" i="16" s="1"/>
  <c r="AU24" i="16"/>
  <c r="AU45" i="16"/>
  <c r="AU51" i="16" s="1"/>
  <c r="AL21" i="18"/>
  <c r="AL22" i="18"/>
  <c r="AE23" i="16"/>
  <c r="AE33" i="16"/>
  <c r="AE44" i="16"/>
  <c r="AH24" i="18"/>
  <c r="AH34" i="18"/>
  <c r="AH40" i="18" s="1"/>
  <c r="AH45" i="18"/>
  <c r="AH51" i="18" s="1"/>
  <c r="AQ33" i="17"/>
  <c r="AQ23" i="17"/>
  <c r="AQ44" i="17"/>
  <c r="M21" i="17"/>
  <c r="M22" i="17"/>
  <c r="Q45" i="16"/>
  <c r="Q51" i="16" s="1"/>
  <c r="Q34" i="16"/>
  <c r="Q40" i="16" s="1"/>
  <c r="Q24" i="16"/>
  <c r="E24" i="16"/>
  <c r="E45" i="16"/>
  <c r="E51" i="16" s="1"/>
  <c r="E34" i="16"/>
  <c r="E40" i="16" s="1"/>
  <c r="AK50" i="18"/>
  <c r="AI24" i="17"/>
  <c r="AI45" i="17"/>
  <c r="AI51" i="17" s="1"/>
  <c r="AI34" i="17"/>
  <c r="AI40" i="17" s="1"/>
  <c r="O33" i="16"/>
  <c r="O23" i="16"/>
  <c r="O44" i="16"/>
  <c r="L33" i="17"/>
  <c r="L44" i="17"/>
  <c r="L23" i="17"/>
  <c r="AF50" i="18"/>
  <c r="AF46" i="18"/>
  <c r="E30" i="18"/>
  <c r="F27" i="18"/>
  <c r="AH21" i="17"/>
  <c r="AH22" i="17"/>
  <c r="AK34" i="18"/>
  <c r="AK40" i="18" s="1"/>
  <c r="AK24" i="18"/>
  <c r="AK45" i="18"/>
  <c r="AK51" i="18" s="1"/>
  <c r="S23" i="16"/>
  <c r="S44" i="16"/>
  <c r="S33" i="16"/>
  <c r="X33" i="17"/>
  <c r="X23" i="17"/>
  <c r="X44" i="17"/>
  <c r="O35" i="18"/>
  <c r="O39" i="18"/>
  <c r="V34" i="18"/>
  <c r="V40" i="18" s="1"/>
  <c r="V24" i="18"/>
  <c r="V45" i="18"/>
  <c r="V51" i="18" s="1"/>
  <c r="AJ34" i="17"/>
  <c r="AJ40" i="17" s="1"/>
  <c r="AJ45" i="17"/>
  <c r="AJ51" i="17" s="1"/>
  <c r="AJ24" i="17"/>
  <c r="P23" i="18"/>
  <c r="P44" i="18"/>
  <c r="P33" i="18"/>
  <c r="U34" i="17"/>
  <c r="U40" i="17" s="1"/>
  <c r="U24" i="17"/>
  <c r="U45" i="17"/>
  <c r="U51" i="17" s="1"/>
  <c r="AA50" i="16"/>
  <c r="AA46" i="16"/>
  <c r="Q44" i="17"/>
  <c r="Q23" i="17"/>
  <c r="Q33" i="17"/>
  <c r="J44" i="18"/>
  <c r="J23" i="18"/>
  <c r="J33" i="18"/>
  <c r="Y21" i="17"/>
  <c r="Y22" i="17"/>
  <c r="AP33" i="18"/>
  <c r="AP23" i="18"/>
  <c r="AP44" i="18"/>
  <c r="AM23" i="16"/>
  <c r="AM33" i="16"/>
  <c r="AM44" i="16"/>
  <c r="AM24" i="17"/>
  <c r="AM45" i="17"/>
  <c r="AM51" i="17" s="1"/>
  <c r="AM34" i="17"/>
  <c r="AM40" i="17" s="1"/>
  <c r="AM46" i="16" l="1"/>
  <c r="AM50" i="16"/>
  <c r="X35" i="17"/>
  <c r="X39" i="17"/>
  <c r="K24" i="16"/>
  <c r="K45" i="16"/>
  <c r="K51" i="16" s="1"/>
  <c r="K34" i="16"/>
  <c r="K40" i="16" s="1"/>
  <c r="H39" i="16"/>
  <c r="H35" i="16"/>
  <c r="AS35" i="17"/>
  <c r="AS39" i="17"/>
  <c r="AE40" i="17"/>
  <c r="AE35" i="17"/>
  <c r="AL24" i="18"/>
  <c r="AL45" i="18"/>
  <c r="AL51" i="18" s="1"/>
  <c r="AL34" i="18"/>
  <c r="AL40" i="18" s="1"/>
  <c r="AY45" i="16"/>
  <c r="AY51" i="16" s="1"/>
  <c r="AY34" i="16"/>
  <c r="AY40" i="16" s="1"/>
  <c r="AY24" i="16"/>
  <c r="AC35" i="17"/>
  <c r="L35" i="18"/>
  <c r="L39" i="18"/>
  <c r="AT35" i="16"/>
  <c r="AT39" i="16"/>
  <c r="S50" i="17"/>
  <c r="S46" i="17"/>
  <c r="R46" i="18"/>
  <c r="R50" i="18"/>
  <c r="G33" i="18"/>
  <c r="G23" i="18"/>
  <c r="G44" i="18"/>
  <c r="AS46" i="18"/>
  <c r="AS50" i="18"/>
  <c r="AB23" i="18"/>
  <c r="AB33" i="18"/>
  <c r="AB44" i="18"/>
  <c r="J44" i="16"/>
  <c r="J23" i="16"/>
  <c r="AZ23" i="16" s="1"/>
  <c r="J33" i="16"/>
  <c r="AL46" i="16"/>
  <c r="AL50" i="16"/>
  <c r="U50" i="17"/>
  <c r="U46" i="17"/>
  <c r="Q46" i="16"/>
  <c r="Q50" i="16"/>
  <c r="AU35" i="16"/>
  <c r="AU39" i="16"/>
  <c r="P35" i="17"/>
  <c r="P39" i="17"/>
  <c r="O50" i="16"/>
  <c r="O46" i="16"/>
  <c r="AQ46" i="17"/>
  <c r="AQ50" i="17"/>
  <c r="AX39" i="16"/>
  <c r="AX35" i="16"/>
  <c r="AR35" i="18"/>
  <c r="AR39" i="18"/>
  <c r="X35" i="18"/>
  <c r="X39" i="18"/>
  <c r="P46" i="16"/>
  <c r="P50" i="16"/>
  <c r="AP24" i="17"/>
  <c r="AP45" i="17"/>
  <c r="AP51" i="17" s="1"/>
  <c r="AP34" i="17"/>
  <c r="AP40" i="17" s="1"/>
  <c r="J35" i="18"/>
  <c r="J39" i="18"/>
  <c r="AH33" i="17"/>
  <c r="AH44" i="17"/>
  <c r="AH23" i="17"/>
  <c r="V33" i="17"/>
  <c r="V44" i="17"/>
  <c r="V23" i="17"/>
  <c r="AN46" i="17"/>
  <c r="AN50" i="17"/>
  <c r="K23" i="18"/>
  <c r="K44" i="18"/>
  <c r="K33" i="18"/>
  <c r="AQ23" i="18"/>
  <c r="AQ44" i="18"/>
  <c r="AQ33" i="18"/>
  <c r="F24" i="18"/>
  <c r="F45" i="18"/>
  <c r="F51" i="18" s="1"/>
  <c r="F34" i="18"/>
  <c r="F40" i="18" s="1"/>
  <c r="AU46" i="16"/>
  <c r="AU50" i="16"/>
  <c r="S35" i="16"/>
  <c r="S39" i="16"/>
  <c r="Q34" i="18"/>
  <c r="Q40" i="18" s="1"/>
  <c r="Q45" i="18"/>
  <c r="Q51" i="18" s="1"/>
  <c r="Q24" i="18"/>
  <c r="AX46" i="16"/>
  <c r="AX50" i="16"/>
  <c r="H46" i="16"/>
  <c r="H50" i="16"/>
  <c r="AL50" i="17"/>
  <c r="AL46" i="17"/>
  <c r="AQ39" i="17"/>
  <c r="AQ35" i="17"/>
  <c r="AS46" i="17"/>
  <c r="AS50" i="17"/>
  <c r="I34" i="17"/>
  <c r="I40" i="17" s="1"/>
  <c r="I45" i="17"/>
  <c r="I51" i="17" s="1"/>
  <c r="I24" i="17"/>
  <c r="AK46" i="17"/>
  <c r="AK50" i="17"/>
  <c r="AN35" i="17"/>
  <c r="AN39" i="17"/>
  <c r="AG39" i="18"/>
  <c r="AG35" i="18"/>
  <c r="N33" i="17"/>
  <c r="N23" i="17"/>
  <c r="N44" i="17"/>
  <c r="W44" i="18"/>
  <c r="W33" i="18"/>
  <c r="W23" i="18"/>
  <c r="AS39" i="18"/>
  <c r="AS35" i="18"/>
  <c r="K39" i="17"/>
  <c r="K35" i="17"/>
  <c r="AB45" i="18"/>
  <c r="AB51" i="18" s="1"/>
  <c r="AB34" i="18"/>
  <c r="AB40" i="18" s="1"/>
  <c r="AB24" i="18"/>
  <c r="AL35" i="16"/>
  <c r="AL39" i="16"/>
  <c r="Y46" i="16"/>
  <c r="Y50" i="16"/>
  <c r="AI39" i="17"/>
  <c r="AI35" i="17"/>
  <c r="AH35" i="18"/>
  <c r="AH39" i="18"/>
  <c r="AP50" i="18"/>
  <c r="AP46" i="18"/>
  <c r="AR24" i="16"/>
  <c r="AR34" i="16"/>
  <c r="AR40" i="16" s="1"/>
  <c r="AR45" i="16"/>
  <c r="AR51" i="16" s="1"/>
  <c r="W24" i="16"/>
  <c r="W45" i="16"/>
  <c r="W51" i="16" s="1"/>
  <c r="W34" i="16"/>
  <c r="W40" i="16" s="1"/>
  <c r="Z24" i="18"/>
  <c r="Z34" i="18"/>
  <c r="Z40" i="18" s="1"/>
  <c r="Z45" i="18"/>
  <c r="Z51" i="18" s="1"/>
  <c r="AK46" i="16"/>
  <c r="AK50" i="16"/>
  <c r="AW44" i="18"/>
  <c r="AW33" i="18"/>
  <c r="AW23" i="18"/>
  <c r="N24" i="17"/>
  <c r="N45" i="17"/>
  <c r="N51" i="17" s="1"/>
  <c r="N34" i="17"/>
  <c r="N40" i="17" s="1"/>
  <c r="K46" i="17"/>
  <c r="K50" i="17"/>
  <c r="E34" i="18"/>
  <c r="E40" i="18" s="1"/>
  <c r="E45" i="18"/>
  <c r="E51" i="18" s="1"/>
  <c r="E24" i="18"/>
  <c r="AZ22" i="18"/>
  <c r="Q35" i="16"/>
  <c r="Q39" i="16"/>
  <c r="AR44" i="16"/>
  <c r="AR33" i="16"/>
  <c r="AR23" i="16"/>
  <c r="AP35" i="18"/>
  <c r="AP39" i="18"/>
  <c r="AC35" i="16"/>
  <c r="AC39" i="16"/>
  <c r="S39" i="18"/>
  <c r="S35" i="18"/>
  <c r="AO46" i="16"/>
  <c r="AO50" i="16"/>
  <c r="AG33" i="16"/>
  <c r="AG23" i="16"/>
  <c r="AG44" i="16"/>
  <c r="Y35" i="18"/>
  <c r="Y39" i="18"/>
  <c r="U40" i="18"/>
  <c r="U35" i="18"/>
  <c r="R44" i="16"/>
  <c r="R23" i="16"/>
  <c r="R33" i="16"/>
  <c r="AS46" i="16"/>
  <c r="AO35" i="18"/>
  <c r="AO39" i="18"/>
  <c r="AW33" i="17"/>
  <c r="AW44" i="17"/>
  <c r="AW23" i="17"/>
  <c r="AU33" i="18"/>
  <c r="AU23" i="18"/>
  <c r="AU44" i="18"/>
  <c r="AU33" i="17"/>
  <c r="AU23" i="17"/>
  <c r="AU44" i="17"/>
  <c r="AJ24" i="16"/>
  <c r="AJ45" i="16"/>
  <c r="AJ51" i="16" s="1"/>
  <c r="AJ34" i="16"/>
  <c r="AJ40" i="16" s="1"/>
  <c r="AD50" i="18"/>
  <c r="AD46" i="18"/>
  <c r="T24" i="18"/>
  <c r="T45" i="18"/>
  <c r="T51" i="18" s="1"/>
  <c r="T34" i="18"/>
  <c r="T40" i="18" s="1"/>
  <c r="M46" i="16"/>
  <c r="AE39" i="18"/>
  <c r="AE35" i="18"/>
  <c r="W39" i="17"/>
  <c r="W35" i="17"/>
  <c r="AY24" i="18"/>
  <c r="AY45" i="18"/>
  <c r="AY51" i="18" s="1"/>
  <c r="AY34" i="18"/>
  <c r="AY40" i="18" s="1"/>
  <c r="AX44" i="17"/>
  <c r="AX23" i="17"/>
  <c r="AX33" i="17"/>
  <c r="M23" i="18"/>
  <c r="M44" i="18"/>
  <c r="M33" i="18"/>
  <c r="AI51" i="18"/>
  <c r="AI46" i="18"/>
  <c r="AV24" i="17"/>
  <c r="AV45" i="17"/>
  <c r="AV51" i="17" s="1"/>
  <c r="AV34" i="17"/>
  <c r="AV40" i="17" s="1"/>
  <c r="Y24" i="17"/>
  <c r="Y45" i="17"/>
  <c r="Y51" i="17" s="1"/>
  <c r="Y34" i="17"/>
  <c r="Y40" i="17" s="1"/>
  <c r="X50" i="17"/>
  <c r="X46" i="17"/>
  <c r="L50" i="17"/>
  <c r="L46" i="17"/>
  <c r="AK46" i="18"/>
  <c r="M34" i="17"/>
  <c r="M40" i="17" s="1"/>
  <c r="M45" i="17"/>
  <c r="M51" i="17" s="1"/>
  <c r="M24" i="17"/>
  <c r="AE50" i="16"/>
  <c r="AE46" i="16"/>
  <c r="AC51" i="17"/>
  <c r="AC46" i="17"/>
  <c r="T35" i="17"/>
  <c r="T39" i="17"/>
  <c r="AA51" i="18"/>
  <c r="AA46" i="18"/>
  <c r="V35" i="16"/>
  <c r="V39" i="16"/>
  <c r="AD33" i="17"/>
  <c r="AD23" i="17"/>
  <c r="AD44" i="17"/>
  <c r="F30" i="17"/>
  <c r="G27" i="17"/>
  <c r="AT35" i="18"/>
  <c r="AT39" i="18"/>
  <c r="N50" i="16"/>
  <c r="N46" i="16"/>
  <c r="U35" i="16"/>
  <c r="U39" i="16"/>
  <c r="AM39" i="17"/>
  <c r="AM35" i="17"/>
  <c r="AC35" i="18"/>
  <c r="AC39" i="18"/>
  <c r="Y46" i="18"/>
  <c r="Y50" i="18"/>
  <c r="AN45" i="18"/>
  <c r="AN51" i="18" s="1"/>
  <c r="AN34" i="18"/>
  <c r="AN40" i="18" s="1"/>
  <c r="AN24" i="18"/>
  <c r="E35" i="16"/>
  <c r="E39" i="16"/>
  <c r="AV45" i="18"/>
  <c r="AV51" i="18" s="1"/>
  <c r="AV24" i="18"/>
  <c r="AV34" i="18"/>
  <c r="AV40" i="18" s="1"/>
  <c r="AW45" i="17"/>
  <c r="AW51" i="17" s="1"/>
  <c r="AW24" i="17"/>
  <c r="AW34" i="17"/>
  <c r="AW40" i="17" s="1"/>
  <c r="AH45" i="16"/>
  <c r="AH51" i="16" s="1"/>
  <c r="AH34" i="16"/>
  <c r="AH40" i="16" s="1"/>
  <c r="AH24" i="16"/>
  <c r="G35" i="17"/>
  <c r="G39" i="17"/>
  <c r="AU45" i="17"/>
  <c r="AU51" i="17" s="1"/>
  <c r="AU34" i="17"/>
  <c r="AU40" i="17" s="1"/>
  <c r="AU24" i="17"/>
  <c r="AD35" i="18"/>
  <c r="AD39" i="18"/>
  <c r="I34" i="18"/>
  <c r="I40" i="18" s="1"/>
  <c r="I24" i="18"/>
  <c r="I45" i="18"/>
  <c r="I51" i="18" s="1"/>
  <c r="AE46" i="18"/>
  <c r="AE50" i="18"/>
  <c r="W46" i="17"/>
  <c r="W50" i="17"/>
  <c r="AA35" i="17"/>
  <c r="R50" i="17"/>
  <c r="R46" i="17"/>
  <c r="AK35" i="18"/>
  <c r="AV33" i="17"/>
  <c r="AV44" i="17"/>
  <c r="AV23" i="17"/>
  <c r="AJ46" i="17"/>
  <c r="AJ50" i="17"/>
  <c r="AT35" i="17"/>
  <c r="AT39" i="17"/>
  <c r="D40" i="16"/>
  <c r="D35" i="16"/>
  <c r="AT50" i="16"/>
  <c r="AT46" i="16"/>
  <c r="R35" i="18"/>
  <c r="R39" i="18"/>
  <c r="J45" i="16"/>
  <c r="J51" i="16" s="1"/>
  <c r="J34" i="16"/>
  <c r="J40" i="16" s="1"/>
  <c r="J24" i="16"/>
  <c r="AZ24" i="16" s="1"/>
  <c r="Y35" i="16"/>
  <c r="Y39" i="16"/>
  <c r="R39" i="17"/>
  <c r="R35" i="17"/>
  <c r="AM35" i="16"/>
  <c r="AM39" i="16"/>
  <c r="F30" i="18"/>
  <c r="G27" i="18"/>
  <c r="AW39" i="16"/>
  <c r="AW35" i="16"/>
  <c r="AG35" i="17"/>
  <c r="AG39" i="17"/>
  <c r="G35" i="16"/>
  <c r="G39" i="16"/>
  <c r="I44" i="17"/>
  <c r="I33" i="17"/>
  <c r="I23" i="17"/>
  <c r="AK39" i="17"/>
  <c r="AK35" i="17"/>
  <c r="AF35" i="16"/>
  <c r="AF39" i="16"/>
  <c r="Z35" i="16"/>
  <c r="Z39" i="16"/>
  <c r="J50" i="18"/>
  <c r="J46" i="18"/>
  <c r="S46" i="16"/>
  <c r="S50" i="16"/>
  <c r="O35" i="16"/>
  <c r="O39" i="16"/>
  <c r="AL33" i="18"/>
  <c r="AL23" i="18"/>
  <c r="AL44" i="18"/>
  <c r="Q44" i="18"/>
  <c r="Q33" i="18"/>
  <c r="Q23" i="18"/>
  <c r="W33" i="16"/>
  <c r="W23" i="16"/>
  <c r="W44" i="16"/>
  <c r="AY44" i="16"/>
  <c r="AY23" i="16"/>
  <c r="AY33" i="16"/>
  <c r="Z23" i="18"/>
  <c r="Z44" i="18"/>
  <c r="Z33" i="18"/>
  <c r="X46" i="16"/>
  <c r="X50" i="16"/>
  <c r="AP33" i="16"/>
  <c r="AP44" i="16"/>
  <c r="AP23" i="16"/>
  <c r="V50" i="18"/>
  <c r="V46" i="18"/>
  <c r="AN50" i="16"/>
  <c r="AN46" i="16"/>
  <c r="AW34" i="18"/>
  <c r="AW40" i="18" s="1"/>
  <c r="AW45" i="18"/>
  <c r="AW51" i="18" s="1"/>
  <c r="AW24" i="18"/>
  <c r="X50" i="18"/>
  <c r="X46" i="18"/>
  <c r="S39" i="17"/>
  <c r="S35" i="17"/>
  <c r="G34" i="18"/>
  <c r="G40" i="18" s="1"/>
  <c r="G45" i="18"/>
  <c r="G51" i="18" s="1"/>
  <c r="G24" i="18"/>
  <c r="I46" i="16"/>
  <c r="I50" i="16"/>
  <c r="J24" i="17"/>
  <c r="J45" i="17"/>
  <c r="J51" i="17" s="1"/>
  <c r="J34" i="17"/>
  <c r="J40" i="17" s="1"/>
  <c r="U35" i="17"/>
  <c r="U39" i="17"/>
  <c r="Q39" i="17"/>
  <c r="Q35" i="17"/>
  <c r="P39" i="18"/>
  <c r="P35" i="18"/>
  <c r="AY46" i="17"/>
  <c r="AY50" i="17"/>
  <c r="AG46" i="17"/>
  <c r="AG50" i="17"/>
  <c r="H46" i="17"/>
  <c r="H50" i="17"/>
  <c r="AL35" i="17"/>
  <c r="AL39" i="17"/>
  <c r="X35" i="16"/>
  <c r="X39" i="16"/>
  <c r="AP45" i="16"/>
  <c r="AP51" i="16" s="1"/>
  <c r="AP24" i="16"/>
  <c r="AP34" i="16"/>
  <c r="AP40" i="16" s="1"/>
  <c r="AN39" i="16"/>
  <c r="AN35" i="16"/>
  <c r="AR46" i="17"/>
  <c r="AR50" i="17"/>
  <c r="AI45" i="16"/>
  <c r="AI51" i="16" s="1"/>
  <c r="AI34" i="16"/>
  <c r="AI40" i="16" s="1"/>
  <c r="AI24" i="16"/>
  <c r="Z46" i="16"/>
  <c r="Z50" i="16"/>
  <c r="W24" i="18"/>
  <c r="W45" i="18"/>
  <c r="W51" i="18" s="1"/>
  <c r="W34" i="18"/>
  <c r="W40" i="18" s="1"/>
  <c r="J44" i="17"/>
  <c r="J23" i="17"/>
  <c r="J33" i="17"/>
  <c r="AI46" i="17"/>
  <c r="AI50" i="17"/>
  <c r="AH46" i="18"/>
  <c r="AH50" i="18"/>
  <c r="AV34" i="16"/>
  <c r="AV40" i="16" s="1"/>
  <c r="AV45" i="16"/>
  <c r="AV51" i="16" s="1"/>
  <c r="AV24" i="16"/>
  <c r="P50" i="18"/>
  <c r="P46" i="18"/>
  <c r="AC46" i="16"/>
  <c r="AC50" i="16"/>
  <c r="AY39" i="17"/>
  <c r="AY35" i="17"/>
  <c r="S50" i="18"/>
  <c r="S46" i="18"/>
  <c r="AO35" i="17"/>
  <c r="AO39" i="17"/>
  <c r="H39" i="17"/>
  <c r="H35" i="17"/>
  <c r="AT50" i="18"/>
  <c r="AT46" i="18"/>
  <c r="AG24" i="16"/>
  <c r="AG45" i="16"/>
  <c r="AG51" i="16" s="1"/>
  <c r="AG34" i="16"/>
  <c r="AG40" i="16" s="1"/>
  <c r="AK39" i="16"/>
  <c r="AK35" i="16"/>
  <c r="V39" i="18"/>
  <c r="V35" i="18"/>
  <c r="R24" i="16"/>
  <c r="R45" i="16"/>
  <c r="R51" i="16" s="1"/>
  <c r="R34" i="16"/>
  <c r="R40" i="16" s="1"/>
  <c r="Z35" i="17"/>
  <c r="Z39" i="17"/>
  <c r="AR39" i="17"/>
  <c r="AR35" i="17"/>
  <c r="AI44" i="16"/>
  <c r="AI33" i="16"/>
  <c r="AI23" i="16"/>
  <c r="AG46" i="18"/>
  <c r="AG50" i="18"/>
  <c r="E21" i="17"/>
  <c r="E22" i="17"/>
  <c r="AU34" i="18"/>
  <c r="AU40" i="18" s="1"/>
  <c r="AU24" i="18"/>
  <c r="AU45" i="18"/>
  <c r="AU51" i="18" s="1"/>
  <c r="AJ44" i="16"/>
  <c r="AJ23" i="16"/>
  <c r="AJ33" i="16"/>
  <c r="T33" i="18"/>
  <c r="T44" i="18"/>
  <c r="T23" i="18"/>
  <c r="F30" i="16"/>
  <c r="G27" i="16"/>
  <c r="I35" i="16"/>
  <c r="I39" i="16"/>
  <c r="AY23" i="18"/>
  <c r="AY44" i="18"/>
  <c r="AY33" i="18"/>
  <c r="AX34" i="17"/>
  <c r="AX40" i="17" s="1"/>
  <c r="AX24" i="17"/>
  <c r="AX45" i="17"/>
  <c r="AX51" i="17" s="1"/>
  <c r="E23" i="18"/>
  <c r="E44" i="18"/>
  <c r="E33" i="18"/>
  <c r="AZ21" i="18"/>
  <c r="M34" i="18"/>
  <c r="M40" i="18" s="1"/>
  <c r="M45" i="18"/>
  <c r="M51" i="18" s="1"/>
  <c r="M24" i="18"/>
  <c r="AV33" i="16"/>
  <c r="AV23" i="16"/>
  <c r="AV44" i="16"/>
  <c r="Q46" i="17"/>
  <c r="Q50" i="17"/>
  <c r="AM35" i="18"/>
  <c r="AM39" i="18"/>
  <c r="V50" i="16"/>
  <c r="V46" i="16"/>
  <c r="AO46" i="17"/>
  <c r="AO50" i="17"/>
  <c r="AM50" i="17"/>
  <c r="AM46" i="17"/>
  <c r="N50" i="18"/>
  <c r="N46" i="18"/>
  <c r="E46" i="16"/>
  <c r="E50" i="16"/>
  <c r="Z46" i="17"/>
  <c r="Z50" i="17"/>
  <c r="Y44" i="17"/>
  <c r="Y23" i="17"/>
  <c r="Y33" i="17"/>
  <c r="AH24" i="17"/>
  <c r="AH45" i="17"/>
  <c r="AH51" i="17" s="1"/>
  <c r="AH34" i="17"/>
  <c r="AH40" i="17" s="1"/>
  <c r="L35" i="17"/>
  <c r="L39" i="17"/>
  <c r="M23" i="17"/>
  <c r="M44" i="17"/>
  <c r="M33" i="17"/>
  <c r="AE39" i="16"/>
  <c r="AE35" i="16"/>
  <c r="K23" i="16"/>
  <c r="K44" i="16"/>
  <c r="K33" i="16"/>
  <c r="AM46" i="18"/>
  <c r="AM50" i="18"/>
  <c r="T46" i="17"/>
  <c r="T50" i="17"/>
  <c r="V45" i="17"/>
  <c r="V51" i="17" s="1"/>
  <c r="V34" i="17"/>
  <c r="V40" i="17" s="1"/>
  <c r="V24" i="17"/>
  <c r="AD24" i="17"/>
  <c r="AD34" i="17"/>
  <c r="AD40" i="17" s="1"/>
  <c r="AD45" i="17"/>
  <c r="AD51" i="17" s="1"/>
  <c r="AW46" i="16"/>
  <c r="AW50" i="16"/>
  <c r="AO39" i="16"/>
  <c r="AO35" i="16"/>
  <c r="AR46" i="18"/>
  <c r="AR50" i="18"/>
  <c r="G50" i="16"/>
  <c r="G46" i="16"/>
  <c r="N39" i="16"/>
  <c r="N35" i="16"/>
  <c r="U46" i="16"/>
  <c r="U50" i="16"/>
  <c r="AC46" i="18"/>
  <c r="AC50" i="18"/>
  <c r="AJ35" i="17"/>
  <c r="AJ39" i="17"/>
  <c r="N35" i="18"/>
  <c r="N39" i="18"/>
  <c r="AN44" i="18"/>
  <c r="AN33" i="18"/>
  <c r="AN23" i="18"/>
  <c r="AT46" i="17"/>
  <c r="AT50" i="17"/>
  <c r="AV23" i="18"/>
  <c r="AV44" i="18"/>
  <c r="AV33" i="18"/>
  <c r="AE51" i="17"/>
  <c r="AE46" i="17"/>
  <c r="AF46" i="16"/>
  <c r="AF50" i="16"/>
  <c r="L50" i="18"/>
  <c r="L46" i="18"/>
  <c r="AO46" i="18"/>
  <c r="AO50" i="18"/>
  <c r="D51" i="16"/>
  <c r="D46" i="16"/>
  <c r="AH33" i="16"/>
  <c r="AH23" i="16"/>
  <c r="AH44" i="16"/>
  <c r="K24" i="18"/>
  <c r="K45" i="18"/>
  <c r="K51" i="18" s="1"/>
  <c r="K34" i="18"/>
  <c r="K40" i="18" s="1"/>
  <c r="G46" i="17"/>
  <c r="G50" i="17"/>
  <c r="AQ24" i="18"/>
  <c r="AQ45" i="18"/>
  <c r="AQ51" i="18" s="1"/>
  <c r="AQ34" i="18"/>
  <c r="AQ40" i="18" s="1"/>
  <c r="I44" i="18"/>
  <c r="I33" i="18"/>
  <c r="I23" i="18"/>
  <c r="F33" i="18"/>
  <c r="F23" i="18"/>
  <c r="F44" i="18"/>
  <c r="P35" i="16"/>
  <c r="P39" i="16"/>
  <c r="P46" i="17"/>
  <c r="P50" i="17"/>
  <c r="AP44" i="17"/>
  <c r="AP23" i="17"/>
  <c r="AP33" i="17"/>
  <c r="AZ21" i="16"/>
  <c r="H27" i="16" l="1"/>
  <c r="G30" i="16"/>
  <c r="R39" i="16"/>
  <c r="R35" i="16"/>
  <c r="AB46" i="18"/>
  <c r="AB50" i="18"/>
  <c r="Q39" i="18"/>
  <c r="Q35" i="18"/>
  <c r="AV50" i="18"/>
  <c r="AV46" i="18"/>
  <c r="Y35" i="17"/>
  <c r="Y39" i="17"/>
  <c r="Q46" i="18"/>
  <c r="Q50" i="18"/>
  <c r="AV35" i="17"/>
  <c r="AV39" i="17"/>
  <c r="R46" i="16"/>
  <c r="R50" i="16"/>
  <c r="K35" i="16"/>
  <c r="K39" i="16"/>
  <c r="E39" i="18"/>
  <c r="E35" i="18"/>
  <c r="AJ35" i="16"/>
  <c r="AJ39" i="16"/>
  <c r="J35" i="17"/>
  <c r="J39" i="17"/>
  <c r="W50" i="16"/>
  <c r="W46" i="16"/>
  <c r="AL35" i="18"/>
  <c r="AL39" i="18"/>
  <c r="AQ46" i="18"/>
  <c r="AQ50" i="18"/>
  <c r="V50" i="17"/>
  <c r="V46" i="17"/>
  <c r="J35" i="16"/>
  <c r="J39" i="16"/>
  <c r="G46" i="18"/>
  <c r="G50" i="18"/>
  <c r="F50" i="18"/>
  <c r="F46" i="18"/>
  <c r="AH35" i="16"/>
  <c r="AH39" i="16"/>
  <c r="K46" i="16"/>
  <c r="K50" i="16"/>
  <c r="AV50" i="16"/>
  <c r="AV46" i="16"/>
  <c r="E50" i="18"/>
  <c r="E46" i="18"/>
  <c r="M35" i="18"/>
  <c r="M39" i="18"/>
  <c r="AU39" i="17"/>
  <c r="AU35" i="17"/>
  <c r="V35" i="17"/>
  <c r="V39" i="17"/>
  <c r="AP39" i="17"/>
  <c r="AP35" i="17"/>
  <c r="AN35" i="18"/>
  <c r="AN39" i="18"/>
  <c r="AZ23" i="18"/>
  <c r="AJ46" i="16"/>
  <c r="AJ50" i="16"/>
  <c r="J46" i="17"/>
  <c r="J50" i="17"/>
  <c r="Z39" i="18"/>
  <c r="Z35" i="18"/>
  <c r="W35" i="16"/>
  <c r="W39" i="16"/>
  <c r="G30" i="17"/>
  <c r="H27" i="17"/>
  <c r="M50" i="18"/>
  <c r="M46" i="18"/>
  <c r="AU46" i="18"/>
  <c r="AU50" i="18"/>
  <c r="AG46" i="16"/>
  <c r="AG50" i="16"/>
  <c r="K39" i="18"/>
  <c r="K35" i="18"/>
  <c r="J50" i="16"/>
  <c r="J46" i="16"/>
  <c r="G35" i="18"/>
  <c r="G39" i="18"/>
  <c r="AV39" i="16"/>
  <c r="AV35" i="16"/>
  <c r="AZ24" i="18"/>
  <c r="AH50" i="17"/>
  <c r="AH46" i="17"/>
  <c r="AP46" i="17"/>
  <c r="AP50" i="17"/>
  <c r="AV39" i="18"/>
  <c r="AV35" i="18"/>
  <c r="AV46" i="17"/>
  <c r="AV50" i="17"/>
  <c r="AG39" i="16"/>
  <c r="AG35" i="16"/>
  <c r="W46" i="18"/>
  <c r="W50" i="18"/>
  <c r="I50" i="18"/>
  <c r="I46" i="18"/>
  <c r="M50" i="17"/>
  <c r="M46" i="17"/>
  <c r="AY39" i="18"/>
  <c r="AY35" i="18"/>
  <c r="T50" i="18"/>
  <c r="T46" i="18"/>
  <c r="E34" i="17"/>
  <c r="E40" i="17" s="1"/>
  <c r="E45" i="17"/>
  <c r="E51" i="17" s="1"/>
  <c r="E24" i="17"/>
  <c r="AZ24" i="17" s="1"/>
  <c r="AZ22" i="17"/>
  <c r="AP46" i="16"/>
  <c r="AP50" i="16"/>
  <c r="AL50" i="18"/>
  <c r="AL46" i="18"/>
  <c r="I35" i="17"/>
  <c r="I39" i="17"/>
  <c r="G30" i="18"/>
  <c r="H27" i="18"/>
  <c r="AD39" i="17"/>
  <c r="AD35" i="17"/>
  <c r="AX50" i="17"/>
  <c r="AX46" i="17"/>
  <c r="AW46" i="17"/>
  <c r="AW50" i="17"/>
  <c r="AR39" i="16"/>
  <c r="AR35" i="16"/>
  <c r="F39" i="18"/>
  <c r="F35" i="18"/>
  <c r="AN46" i="18"/>
  <c r="AN50" i="18"/>
  <c r="AI35" i="16"/>
  <c r="AI39" i="16"/>
  <c r="Z50" i="18"/>
  <c r="Z46" i="18"/>
  <c r="W35" i="18"/>
  <c r="W39" i="18"/>
  <c r="K50" i="18"/>
  <c r="K46" i="18"/>
  <c r="AI50" i="16"/>
  <c r="AI46" i="16"/>
  <c r="AD50" i="17"/>
  <c r="AD46" i="17"/>
  <c r="AX39" i="17"/>
  <c r="AX35" i="17"/>
  <c r="AU35" i="18"/>
  <c r="AU39" i="18"/>
  <c r="AW35" i="18"/>
  <c r="AW39" i="18"/>
  <c r="AH39" i="17"/>
  <c r="AH35" i="17"/>
  <c r="AB35" i="18"/>
  <c r="AB39" i="18"/>
  <c r="I35" i="18"/>
  <c r="I39" i="18"/>
  <c r="M35" i="17"/>
  <c r="M39" i="17"/>
  <c r="AY35" i="16"/>
  <c r="AY39" i="16"/>
  <c r="AW50" i="18"/>
  <c r="AW46" i="18"/>
  <c r="N50" i="17"/>
  <c r="N46" i="17"/>
  <c r="AH46" i="16"/>
  <c r="AH50" i="16"/>
  <c r="Y46" i="17"/>
  <c r="Y50" i="17"/>
  <c r="AY50" i="18"/>
  <c r="AY46" i="18"/>
  <c r="T35" i="18"/>
  <c r="T39" i="18"/>
  <c r="E23" i="17"/>
  <c r="AZ23" i="17" s="1"/>
  <c r="E44" i="17"/>
  <c r="E33" i="17"/>
  <c r="AZ21" i="17"/>
  <c r="AP39" i="16"/>
  <c r="AP35" i="16"/>
  <c r="AY46" i="16"/>
  <c r="AY50" i="16"/>
  <c r="I46" i="17"/>
  <c r="I50" i="17"/>
  <c r="AU50" i="17"/>
  <c r="AU46" i="17"/>
  <c r="AW39" i="17"/>
  <c r="AW35" i="17"/>
  <c r="AR50" i="16"/>
  <c r="AR46" i="16"/>
  <c r="N35" i="17"/>
  <c r="N39" i="17"/>
  <c r="AQ39" i="18"/>
  <c r="AQ35" i="18"/>
  <c r="I27" i="18" l="1"/>
  <c r="H30" i="18"/>
  <c r="E39" i="17"/>
  <c r="E35" i="17"/>
  <c r="E46" i="17"/>
  <c r="E50" i="17"/>
  <c r="H30" i="16"/>
  <c r="I27" i="16"/>
  <c r="I27" i="17"/>
  <c r="H30" i="17"/>
  <c r="I30" i="18" l="1"/>
  <c r="J27" i="18"/>
  <c r="J27" i="16"/>
  <c r="I30" i="16"/>
  <c r="J27" i="17"/>
  <c r="I30" i="17"/>
  <c r="J30" i="18" l="1"/>
  <c r="K27" i="18"/>
  <c r="K27" i="17"/>
  <c r="J30" i="17"/>
  <c r="J30" i="16"/>
  <c r="K27" i="16"/>
  <c r="L27" i="16" l="1"/>
  <c r="K30" i="16"/>
  <c r="K30" i="17"/>
  <c r="L27" i="17"/>
  <c r="L27" i="18"/>
  <c r="K30" i="18"/>
  <c r="M27" i="18" l="1"/>
  <c r="L30" i="18"/>
  <c r="L30" i="17"/>
  <c r="M27" i="17"/>
  <c r="L30" i="16"/>
  <c r="M27" i="16"/>
  <c r="N27" i="16" l="1"/>
  <c r="M30" i="16"/>
  <c r="M30" i="17"/>
  <c r="N27" i="17"/>
  <c r="M30" i="18"/>
  <c r="N27" i="18"/>
  <c r="O27" i="18" l="1"/>
  <c r="N30" i="18"/>
  <c r="N30" i="17"/>
  <c r="O27" i="17"/>
  <c r="N30" i="16"/>
  <c r="O27" i="16"/>
  <c r="O30" i="16" l="1"/>
  <c r="P27" i="16"/>
  <c r="O30" i="17"/>
  <c r="P27" i="17"/>
  <c r="O30" i="18"/>
  <c r="P27" i="18"/>
  <c r="Q27" i="18" l="1"/>
  <c r="P30" i="18"/>
  <c r="Q27" i="17"/>
  <c r="P30" i="17"/>
  <c r="P30" i="16"/>
  <c r="Q27" i="16"/>
  <c r="R27" i="16" l="1"/>
  <c r="Q30" i="16"/>
  <c r="Q30" i="17"/>
  <c r="R27" i="17"/>
  <c r="R27" i="18"/>
  <c r="Q30" i="18"/>
  <c r="R30" i="16" l="1"/>
  <c r="S27" i="16"/>
  <c r="R30" i="18"/>
  <c r="S27" i="18"/>
  <c r="R30" i="17"/>
  <c r="S27" i="17"/>
  <c r="T27" i="17" l="1"/>
  <c r="S30" i="17"/>
  <c r="T27" i="18"/>
  <c r="S30" i="18"/>
  <c r="S30" i="16"/>
  <c r="T27" i="16"/>
  <c r="T30" i="16" l="1"/>
  <c r="U27" i="16"/>
  <c r="T30" i="18"/>
  <c r="U27" i="18"/>
  <c r="U27" i="17"/>
  <c r="T30" i="17"/>
  <c r="V27" i="17" l="1"/>
  <c r="U30" i="17"/>
  <c r="V27" i="18"/>
  <c r="U30" i="18"/>
  <c r="V27" i="16"/>
  <c r="U30" i="16"/>
  <c r="V30" i="16" l="1"/>
  <c r="W27" i="16"/>
  <c r="V30" i="18"/>
  <c r="W27" i="18"/>
  <c r="V30" i="17"/>
  <c r="W27" i="17"/>
  <c r="W30" i="17" l="1"/>
  <c r="X27" i="17"/>
  <c r="W30" i="18"/>
  <c r="X27" i="18"/>
  <c r="X27" i="16"/>
  <c r="W30" i="16"/>
  <c r="X30" i="16" l="1"/>
  <c r="Y27" i="16"/>
  <c r="Y27" i="18"/>
  <c r="X30" i="18"/>
  <c r="Y27" i="17"/>
  <c r="X30" i="17"/>
  <c r="Z27" i="17" l="1"/>
  <c r="Y30" i="17"/>
  <c r="Y30" i="18"/>
  <c r="Z27" i="18"/>
  <c r="Z27" i="16"/>
  <c r="Y30" i="16"/>
  <c r="AA27" i="16" l="1"/>
  <c r="Z30" i="16"/>
  <c r="AA27" i="18"/>
  <c r="Z30" i="18"/>
  <c r="AA27" i="17"/>
  <c r="Z30" i="17"/>
  <c r="AA30" i="17" l="1"/>
  <c r="AB27" i="17"/>
  <c r="AB27" i="18"/>
  <c r="AA30" i="18"/>
  <c r="AA30" i="16"/>
  <c r="AB27" i="16"/>
  <c r="AC27" i="16" l="1"/>
  <c r="AB30" i="16"/>
  <c r="AB30" i="18"/>
  <c r="AC27" i="18"/>
  <c r="AC27" i="17"/>
  <c r="AB30" i="17"/>
  <c r="AC30" i="17" l="1"/>
  <c r="AD27" i="17"/>
  <c r="AD27" i="18"/>
  <c r="AC30" i="18"/>
  <c r="AD27" i="16"/>
  <c r="AC30" i="16"/>
  <c r="AD30" i="16" l="1"/>
  <c r="AE27" i="16"/>
  <c r="AD30" i="18"/>
  <c r="AE27" i="18"/>
  <c r="AD30" i="17"/>
  <c r="AE27" i="17"/>
  <c r="AE30" i="17" l="1"/>
  <c r="AF27" i="17"/>
  <c r="AE30" i="18"/>
  <c r="AF27" i="18"/>
  <c r="AE30" i="16"/>
  <c r="AF27" i="16"/>
  <c r="AG27" i="16" l="1"/>
  <c r="AF30" i="16"/>
  <c r="AG27" i="18"/>
  <c r="AF30" i="18"/>
  <c r="AG27" i="17"/>
  <c r="AF30" i="17"/>
  <c r="AH27" i="17" l="1"/>
  <c r="AG30" i="17"/>
  <c r="AG30" i="18"/>
  <c r="AH27" i="18"/>
  <c r="AG30" i="16"/>
  <c r="AH27" i="16"/>
  <c r="AI27" i="16" l="1"/>
  <c r="AH30" i="16"/>
  <c r="AH30" i="18"/>
  <c r="AI27" i="18"/>
  <c r="AH30" i="17"/>
  <c r="AI27" i="17"/>
  <c r="AJ27" i="16" l="1"/>
  <c r="AI30" i="16"/>
  <c r="AJ27" i="17"/>
  <c r="AI30" i="17"/>
  <c r="AI30" i="18"/>
  <c r="AJ27" i="18"/>
  <c r="AJ30" i="18" l="1"/>
  <c r="AK27" i="18"/>
  <c r="AK27" i="17"/>
  <c r="AJ30" i="17"/>
  <c r="AK27" i="16"/>
  <c r="AJ30" i="16"/>
  <c r="AK30" i="16" l="1"/>
  <c r="AL27" i="16"/>
  <c r="AL27" i="17"/>
  <c r="AK30" i="17"/>
  <c r="AK30" i="18"/>
  <c r="AL27" i="18"/>
  <c r="AM27" i="18" l="1"/>
  <c r="AL30" i="18"/>
  <c r="AM27" i="17"/>
  <c r="AL30" i="17"/>
  <c r="AL30" i="16"/>
  <c r="AM27" i="16"/>
  <c r="AN27" i="16" l="1"/>
  <c r="AM30" i="16"/>
  <c r="AN27" i="17"/>
  <c r="AM30" i="17"/>
  <c r="AM30" i="18"/>
  <c r="AN27" i="18"/>
  <c r="AO27" i="18" l="1"/>
  <c r="AN30" i="18"/>
  <c r="AN30" i="17"/>
  <c r="AO27" i="17"/>
  <c r="AO27" i="16"/>
  <c r="AN30" i="16"/>
  <c r="AO30" i="16" l="1"/>
  <c r="AP27" i="16"/>
  <c r="AP27" i="17"/>
  <c r="AO30" i="17"/>
  <c r="AO30" i="18"/>
  <c r="AP27" i="18"/>
  <c r="AP30" i="18" l="1"/>
  <c r="AQ27" i="18"/>
  <c r="AQ27" i="17"/>
  <c r="AP30" i="17"/>
  <c r="AQ27" i="16"/>
  <c r="AP30" i="16"/>
  <c r="AR27" i="16" l="1"/>
  <c r="AQ30" i="16"/>
  <c r="AR27" i="17"/>
  <c r="AQ30" i="17"/>
  <c r="AQ30" i="18"/>
  <c r="AR27" i="18"/>
  <c r="AR30" i="16" l="1"/>
  <c r="AS27" i="16"/>
  <c r="AS27" i="18"/>
  <c r="AR30" i="18"/>
  <c r="AS27" i="17"/>
  <c r="AR30" i="17"/>
  <c r="AT27" i="17" l="1"/>
  <c r="AS30" i="17"/>
  <c r="AS30" i="18"/>
  <c r="AT27" i="18"/>
  <c r="AS30" i="16"/>
  <c r="AT27" i="16"/>
  <c r="AU27" i="16" l="1"/>
  <c r="AT30" i="16"/>
  <c r="AT30" i="18"/>
  <c r="AU27" i="18"/>
  <c r="AT30" i="17"/>
  <c r="AU27" i="17"/>
  <c r="AU30" i="16" l="1"/>
  <c r="AV27" i="16"/>
  <c r="AV27" i="17"/>
  <c r="AU30" i="17"/>
  <c r="AU30" i="18"/>
  <c r="AV27" i="18"/>
  <c r="AW27" i="18" l="1"/>
  <c r="AV30" i="18"/>
  <c r="AV30" i="17"/>
  <c r="AW27" i="17"/>
  <c r="AW27" i="16"/>
  <c r="AV30" i="16"/>
  <c r="AX27" i="18" l="1"/>
  <c r="AW30" i="18"/>
  <c r="AW30" i="16"/>
  <c r="AX27" i="16"/>
  <c r="AX27" i="17"/>
  <c r="AW30" i="17"/>
  <c r="AY27" i="17" l="1"/>
  <c r="AY30" i="17" s="1"/>
  <c r="AX30" i="17"/>
  <c r="AY27" i="16"/>
  <c r="AY30" i="16" s="1"/>
  <c r="AZ30" i="16" s="1"/>
  <c r="AX30" i="16"/>
  <c r="AX30" i="18"/>
  <c r="AY27" i="18"/>
  <c r="AY30" i="18" s="1"/>
  <c r="AZ30" i="18" s="1"/>
  <c r="AZ30" i="17" l="1"/>
  <c r="I29" i="7" l="1"/>
  <c r="H29" i="7"/>
  <c r="G29" i="7"/>
  <c r="F29" i="7"/>
  <c r="E29" i="7"/>
  <c r="D29" i="7"/>
  <c r="C29" i="7"/>
  <c r="H19" i="7"/>
  <c r="F19" i="7"/>
  <c r="D19" i="7"/>
  <c r="H11" i="7"/>
  <c r="H10" i="7"/>
  <c r="H9" i="7"/>
  <c r="H8" i="7"/>
  <c r="H7" i="7"/>
  <c r="H6" i="7"/>
  <c r="G12" i="5" l="1"/>
  <c r="G9" i="5"/>
  <c r="D16" i="5"/>
  <c r="P36" i="6" l="1"/>
  <c r="P30" i="6"/>
  <c r="G21" i="5"/>
  <c r="G6" i="5"/>
  <c r="G7" i="5"/>
  <c r="H7" i="5" s="1"/>
  <c r="G8" i="5"/>
  <c r="H8" i="5" s="1"/>
  <c r="H9" i="5"/>
  <c r="G10" i="5"/>
  <c r="H10" i="5" s="1"/>
  <c r="G11" i="5"/>
  <c r="H11" i="5" s="1"/>
  <c r="H12" i="5"/>
  <c r="G13" i="5"/>
  <c r="H13" i="5" s="1"/>
  <c r="G14" i="5"/>
  <c r="H14" i="5" s="1"/>
  <c r="G15" i="5"/>
  <c r="H15" i="5" s="1"/>
  <c r="G22" i="5"/>
  <c r="G23" i="5"/>
  <c r="G24" i="5"/>
  <c r="G25" i="5"/>
  <c r="G26" i="5"/>
  <c r="G27" i="5"/>
  <c r="G28" i="5"/>
  <c r="G29" i="5"/>
  <c r="G30" i="5"/>
  <c r="D31" i="5"/>
  <c r="G36" i="5"/>
  <c r="G107" i="5" s="1"/>
  <c r="G37" i="5"/>
  <c r="H37" i="5"/>
  <c r="G38" i="5"/>
  <c r="H38" i="5" s="1"/>
  <c r="G39" i="5"/>
  <c r="H39" i="5"/>
  <c r="G40" i="5"/>
  <c r="H40" i="5" s="1"/>
  <c r="G41" i="5"/>
  <c r="H41" i="5"/>
  <c r="G42" i="5"/>
  <c r="H42" i="5" s="1"/>
  <c r="G43" i="5"/>
  <c r="H43" i="5"/>
  <c r="G44" i="5"/>
  <c r="H44" i="5" s="1"/>
  <c r="G45" i="5"/>
  <c r="H45" i="5"/>
  <c r="G46" i="5"/>
  <c r="H46" i="5" s="1"/>
  <c r="G47" i="5"/>
  <c r="H47" i="5"/>
  <c r="G48" i="5"/>
  <c r="H48" i="5" s="1"/>
  <c r="G49" i="5"/>
  <c r="H49" i="5"/>
  <c r="G50" i="5"/>
  <c r="H50" i="5" s="1"/>
  <c r="G51" i="5"/>
  <c r="H51" i="5"/>
  <c r="G52" i="5"/>
  <c r="H52" i="5" s="1"/>
  <c r="G53" i="5"/>
  <c r="H53" i="5"/>
  <c r="G54" i="5"/>
  <c r="H54" i="5" s="1"/>
  <c r="G55" i="5"/>
  <c r="H55" i="5"/>
  <c r="G56" i="5"/>
  <c r="H56" i="5" s="1"/>
  <c r="G57" i="5"/>
  <c r="H57" i="5"/>
  <c r="G58" i="5"/>
  <c r="H58" i="5" s="1"/>
  <c r="G59" i="5"/>
  <c r="H59" i="5"/>
  <c r="G60" i="5"/>
  <c r="H60" i="5" s="1"/>
  <c r="G61" i="5"/>
  <c r="H61" i="5"/>
  <c r="G62" i="5"/>
  <c r="H62" i="5" s="1"/>
  <c r="G63" i="5"/>
  <c r="H63" i="5"/>
  <c r="G64" i="5"/>
  <c r="H64" i="5" s="1"/>
  <c r="G65" i="5"/>
  <c r="H65" i="5"/>
  <c r="G66" i="5"/>
  <c r="H66" i="5" s="1"/>
  <c r="G67" i="5"/>
  <c r="H67" i="5"/>
  <c r="G68" i="5"/>
  <c r="H68" i="5" s="1"/>
  <c r="G69" i="5"/>
  <c r="H69" i="5"/>
  <c r="G70" i="5"/>
  <c r="H70" i="5" s="1"/>
  <c r="G71" i="5"/>
  <c r="H71" i="5"/>
  <c r="G72" i="5"/>
  <c r="H72" i="5" s="1"/>
  <c r="G73" i="5"/>
  <c r="H73" i="5"/>
  <c r="G74" i="5"/>
  <c r="H74" i="5" s="1"/>
  <c r="G75" i="5"/>
  <c r="H75" i="5"/>
  <c r="G76" i="5"/>
  <c r="H76" i="5" s="1"/>
  <c r="G77" i="5"/>
  <c r="H77" i="5"/>
  <c r="G78" i="5"/>
  <c r="H78" i="5" s="1"/>
  <c r="G79" i="5"/>
  <c r="H79" i="5"/>
  <c r="G80" i="5"/>
  <c r="H80" i="5" s="1"/>
  <c r="G81" i="5"/>
  <c r="H81" i="5"/>
  <c r="G82" i="5"/>
  <c r="H82" i="5" s="1"/>
  <c r="G83" i="5"/>
  <c r="H83" i="5"/>
  <c r="G84" i="5"/>
  <c r="H84" i="5" s="1"/>
  <c r="G85" i="5"/>
  <c r="H85" i="5"/>
  <c r="G86" i="5"/>
  <c r="H86" i="5" s="1"/>
  <c r="G87" i="5"/>
  <c r="H87" i="5"/>
  <c r="G88" i="5"/>
  <c r="H88" i="5" s="1"/>
  <c r="G89" i="5"/>
  <c r="H89" i="5"/>
  <c r="G90" i="5"/>
  <c r="H90" i="5" s="1"/>
  <c r="G91" i="5"/>
  <c r="H91" i="5"/>
  <c r="G92" i="5"/>
  <c r="H92" i="5" s="1"/>
  <c r="G93" i="5"/>
  <c r="H93" i="5"/>
  <c r="G94" i="5"/>
  <c r="H94" i="5" s="1"/>
  <c r="G95" i="5"/>
  <c r="H95" i="5"/>
  <c r="G96" i="5"/>
  <c r="H96" i="5" s="1"/>
  <c r="G97" i="5"/>
  <c r="H97" i="5"/>
  <c r="G98" i="5"/>
  <c r="H98" i="5" s="1"/>
  <c r="G99" i="5"/>
  <c r="H99" i="5"/>
  <c r="G100" i="5"/>
  <c r="H100" i="5" s="1"/>
  <c r="G101" i="5"/>
  <c r="H101" i="5"/>
  <c r="G102" i="5"/>
  <c r="H102" i="5" s="1"/>
  <c r="G103" i="5"/>
  <c r="H103" i="5"/>
  <c r="G104" i="5"/>
  <c r="H104" i="5" s="1"/>
  <c r="G105" i="5"/>
  <c r="H105" i="5"/>
  <c r="G106" i="5"/>
  <c r="H106" i="5" s="1"/>
  <c r="D107" i="5"/>
  <c r="P41" i="6"/>
  <c r="P40" i="6"/>
  <c r="P39" i="6"/>
  <c r="P38" i="6"/>
  <c r="P37" i="6"/>
  <c r="P35" i="6"/>
  <c r="P34" i="6"/>
  <c r="P33" i="6"/>
  <c r="P32" i="6"/>
  <c r="P31" i="6"/>
  <c r="C41" i="6"/>
  <c r="C40" i="6"/>
  <c r="C39" i="6"/>
  <c r="C38" i="6"/>
  <c r="C37" i="6"/>
  <c r="C36" i="6"/>
  <c r="D28" i="6"/>
  <c r="F28" i="6"/>
  <c r="H28" i="6"/>
  <c r="J28" i="6"/>
  <c r="L28" i="6"/>
  <c r="N28" i="6"/>
  <c r="C30" i="6"/>
  <c r="C31" i="6"/>
  <c r="C32" i="6"/>
  <c r="C33" i="6"/>
  <c r="C34" i="6"/>
  <c r="C35" i="6"/>
  <c r="O48" i="6"/>
  <c r="O47" i="6"/>
  <c r="H36" i="5" l="1"/>
  <c r="H6" i="5"/>
  <c r="G16" i="5"/>
</calcChain>
</file>

<file path=xl/sharedStrings.xml><?xml version="1.0" encoding="utf-8"?>
<sst xmlns="http://schemas.openxmlformats.org/spreadsheetml/2006/main" count="2523" uniqueCount="413">
  <si>
    <t>Basic Information</t>
  </si>
  <si>
    <t>Company Name</t>
  </si>
  <si>
    <t>Facilities</t>
  </si>
  <si>
    <t>Location</t>
  </si>
  <si>
    <t>Buy/Sell capacity</t>
  </si>
  <si>
    <t>P01</t>
  </si>
  <si>
    <t xml:space="preserve"> -&gt;</t>
  </si>
  <si>
    <t>P02</t>
  </si>
  <si>
    <t>P03</t>
  </si>
  <si>
    <t>P04</t>
  </si>
  <si>
    <t>P05</t>
  </si>
  <si>
    <t>P06</t>
  </si>
  <si>
    <t>P07</t>
  </si>
  <si>
    <t>P08</t>
  </si>
  <si>
    <t>P09</t>
  </si>
  <si>
    <t>P10</t>
  </si>
  <si>
    <t>Plants</t>
  </si>
  <si>
    <t>Buy/Sell tankcars</t>
  </si>
  <si>
    <t>TankCars</t>
  </si>
  <si>
    <t>S01</t>
  </si>
  <si>
    <t>S13</t>
  </si>
  <si>
    <t>S14</t>
  </si>
  <si>
    <t>S15</t>
  </si>
  <si>
    <t>S21</t>
  </si>
  <si>
    <t>S22</t>
  </si>
  <si>
    <t>S23</t>
  </si>
  <si>
    <t>S24</t>
  </si>
  <si>
    <t>S25</t>
  </si>
  <si>
    <t>S26</t>
  </si>
  <si>
    <t>S27</t>
  </si>
  <si>
    <t>S31</t>
  </si>
  <si>
    <t>S32</t>
  </si>
  <si>
    <t>S33</t>
  </si>
  <si>
    <t>S34</t>
  </si>
  <si>
    <t>S35</t>
  </si>
  <si>
    <t>S36</t>
  </si>
  <si>
    <t>S37</t>
  </si>
  <si>
    <t>S38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</si>
  <si>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</si>
  <si>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</si>
  <si>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</si>
  <si>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</si>
  <si>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</si>
  <si>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</si>
  <si>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</si>
  <si>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</si>
  <si>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</si>
  <si>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</si>
  <si>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</si>
  <si>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</si>
  <si>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</si>
  <si>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S53</t>
  </si>
  <si>
    <t>S54</t>
  </si>
  <si>
    <t>S55</t>
  </si>
  <si>
    <t>S56</t>
  </si>
  <si>
    <t>S57</t>
  </si>
  <si>
    <t>S58</t>
  </si>
  <si>
    <t>S59</t>
  </si>
  <si>
    <t>S60</t>
  </si>
  <si>
    <t>S61</t>
  </si>
  <si>
    <t>S62</t>
  </si>
  <si>
    <t>S63</t>
  </si>
  <si>
    <t>S64</t>
  </si>
  <si>
    <t>S65</t>
  </si>
  <si>
    <t>S66</t>
  </si>
  <si>
    <t>S67</t>
  </si>
  <si>
    <t>S68</t>
  </si>
  <si>
    <t>S69</t>
  </si>
  <si>
    <t>S70</t>
  </si>
  <si>
    <t>S72</t>
  </si>
  <si>
    <t>S73</t>
  </si>
  <si>
    <t>S74</t>
  </si>
  <si>
    <t>S75</t>
  </si>
  <si>
    <t>S76</t>
  </si>
  <si>
    <t>S77</t>
  </si>
  <si>
    <t>S78</t>
  </si>
  <si>
    <t>S79</t>
  </si>
  <si>
    <t>S83</t>
  </si>
  <si>
    <t>S84</t>
  </si>
  <si>
    <t>S85</t>
  </si>
  <si>
    <t>S86</t>
  </si>
  <si>
    <t>S87</t>
  </si>
  <si>
    <t>S88</t>
  </si>
  <si>
    <t>S89</t>
  </si>
  <si>
    <t>S94</t>
  </si>
  <si>
    <t>S95</t>
  </si>
  <si>
    <t>S96</t>
  </si>
  <si>
    <t>S97</t>
  </si>
  <si>
    <t>S98</t>
  </si>
  <si>
    <t>S99</t>
  </si>
  <si>
    <t>Storages</t>
  </si>
  <si>
    <t>Grove:Month</t>
  </si>
  <si>
    <t>Sep</t>
  </si>
  <si>
    <t>Oct</t>
  </si>
  <si>
    <t>Nov</t>
  </si>
  <si>
    <t>Dec</t>
  </si>
  <si>
    <t>Jan</t>
  </si>
  <si>
    <t>Feb</t>
  </si>
  <si>
    <t>Mar</t>
  </si>
  <si>
    <t>Apr</t>
  </si>
  <si>
    <t>May</t>
  </si>
  <si>
    <t>Jun</t>
  </si>
  <si>
    <t>Jul</t>
  </si>
  <si>
    <t>Aug</t>
  </si>
  <si>
    <t>FLA</t>
  </si>
  <si>
    <t>CAL</t>
  </si>
  <si>
    <t>TEX</t>
  </si>
  <si>
    <t>ARZ</t>
  </si>
  <si>
    <t>BRA</t>
  </si>
  <si>
    <t>SPA</t>
  </si>
  <si>
    <t xml:space="preserve"> </t>
  </si>
  <si>
    <t>Year</t>
  </si>
  <si>
    <t>ORA Contracts</t>
  </si>
  <si>
    <t>FCOJ Contracts</t>
  </si>
  <si>
    <t>Shipping</t>
  </si>
  <si>
    <t>From:To</t>
  </si>
  <si>
    <t>Manufacturing</t>
  </si>
  <si>
    <t>Process ORA into POJ or FCOJ(%)</t>
  </si>
  <si>
    <t>Plant</t>
  </si>
  <si>
    <t>Product</t>
  </si>
  <si>
    <t>Proportion</t>
  </si>
  <si>
    <t>From</t>
  </si>
  <si>
    <t>Futures</t>
  </si>
  <si>
    <t>FCOJ</t>
  </si>
  <si>
    <t>Reconstitution</t>
  </si>
  <si>
    <t>ORA</t>
  </si>
  <si>
    <t>NE</t>
  </si>
  <si>
    <t>MA</t>
  </si>
  <si>
    <t>SE</t>
  </si>
  <si>
    <t>MW</t>
  </si>
  <si>
    <t>DS</t>
  </si>
  <si>
    <t>NW</t>
  </si>
  <si>
    <t>SW</t>
  </si>
  <si>
    <t>POJ</t>
  </si>
  <si>
    <t>ROJ</t>
  </si>
  <si>
    <t>Price 3</t>
  </si>
  <si>
    <t>Price 2</t>
  </si>
  <si>
    <t>Price 1</t>
  </si>
  <si>
    <t>Pricing for each product in each region($/lb)</t>
  </si>
  <si>
    <t>Grove:Multiplier</t>
  </si>
  <si>
    <t>Raw Materials</t>
  </si>
  <si>
    <t>Type</t>
  </si>
  <si>
    <t>Multiplier</t>
  </si>
  <si>
    <t>Reconstitute FCOJ into ROJ at Storages(%)</t>
  </si>
  <si>
    <t>Ship ORA from Groves to Plants or Storages(%)</t>
  </si>
  <si>
    <t>Ship FCOJ (futures) from FLA to Storages; Ship POJ, FCOJ from Plants to Storages(%)</t>
  </si>
  <si>
    <t>Region:Month</t>
  </si>
  <si>
    <t>Storage:Month</t>
  </si>
  <si>
    <t>TankCars(unit of cars)</t>
  </si>
  <si>
    <t>Type:Month</t>
  </si>
  <si>
    <t>Sum</t>
  </si>
  <si>
    <t>This year</t>
  </si>
  <si>
    <t>Next year</t>
  </si>
  <si>
    <t>Arrival of matured ORA Futures and FCOJ Futures(%)</t>
  </si>
  <si>
    <t>Purchases at the Futures Market(tons) (ORA and FCOJ)</t>
  </si>
  <si>
    <t>Plants(tons)</t>
  </si>
  <si>
    <t>Storages(tons)</t>
  </si>
  <si>
    <t>Quantity Multipliers(unit, $/lb)</t>
  </si>
  <si>
    <t>Pricing</t>
  </si>
  <si>
    <t>Price</t>
  </si>
  <si>
    <t>Quantity</t>
  </si>
  <si>
    <t>Maturity</t>
  </si>
  <si>
    <t>Matured Amount:</t>
  </si>
  <si>
    <r>
      <t xml:space="preserve">FLA </t>
    </r>
    <r>
      <rPr>
        <i/>
        <sz val="10"/>
        <rFont val="Arial"/>
        <family val="2"/>
      </rPr>
      <t>(spot &amp; futures)</t>
    </r>
  </si>
  <si>
    <r>
      <t xml:space="preserve">Purchases at the Spot Market(tons per </t>
    </r>
    <r>
      <rPr>
        <b/>
        <i/>
        <sz val="10"/>
        <rFont val="Arial"/>
        <family val="2"/>
      </rPr>
      <t>week</t>
    </r>
    <r>
      <rPr>
        <i/>
        <sz val="10"/>
        <rFont val="Arial"/>
        <family val="2"/>
      </rPr>
      <t xml:space="preserve"> in a month) (ORA)</t>
    </r>
  </si>
  <si>
    <t>MomPop</t>
  </si>
  <si>
    <t/>
  </si>
  <si>
    <t>Region</t>
  </si>
  <si>
    <t>Market</t>
  </si>
  <si>
    <t>Nearest Storage</t>
  </si>
  <si>
    <t>Distance(miles)</t>
  </si>
  <si>
    <t>Transportation Cost($/ton)</t>
  </si>
  <si>
    <t>ANY</t>
  </si>
  <si>
    <t>BOS</t>
  </si>
  <si>
    <t>CLP</t>
  </si>
  <si>
    <t>KEE</t>
  </si>
  <si>
    <t>LAK</t>
  </si>
  <si>
    <t>MBK</t>
  </si>
  <si>
    <t>MVY</t>
  </si>
  <si>
    <t>PGH</t>
  </si>
  <si>
    <t>PHI</t>
  </si>
  <si>
    <t>PVD</t>
  </si>
  <si>
    <t>RER</t>
  </si>
  <si>
    <t>SCR</t>
  </si>
  <si>
    <t>SMS</t>
  </si>
  <si>
    <t>SUP</t>
  </si>
  <si>
    <t>CRS</t>
  </si>
  <si>
    <t>CVE</t>
  </si>
  <si>
    <t>CWV</t>
  </si>
  <si>
    <t>DTN</t>
  </si>
  <si>
    <t>FRY</t>
  </si>
  <si>
    <t>HIP</t>
  </si>
  <si>
    <t>JTC</t>
  </si>
  <si>
    <t>LXK</t>
  </si>
  <si>
    <t>MAO</t>
  </si>
  <si>
    <t>MAY</t>
  </si>
  <si>
    <t>MSD</t>
  </si>
  <si>
    <t>MSP</t>
  </si>
  <si>
    <t>MTH</t>
  </si>
  <si>
    <t>RCH</t>
  </si>
  <si>
    <t>RRN</t>
  </si>
  <si>
    <t>SHK</t>
  </si>
  <si>
    <t>TIL</t>
  </si>
  <si>
    <t>CHR</t>
  </si>
  <si>
    <t>DAY</t>
  </si>
  <si>
    <t>FPR</t>
  </si>
  <si>
    <t>FSC</t>
  </si>
  <si>
    <t>GRN</t>
  </si>
  <si>
    <t>HVA</t>
  </si>
  <si>
    <t>JFL</t>
  </si>
  <si>
    <t>MTG</t>
  </si>
  <si>
    <t>OCL</t>
  </si>
  <si>
    <t>PAN</t>
  </si>
  <si>
    <t>WPB</t>
  </si>
  <si>
    <t>YEM</t>
  </si>
  <si>
    <t>ABL</t>
  </si>
  <si>
    <t>BYO</t>
  </si>
  <si>
    <t>CED</t>
  </si>
  <si>
    <t>CUP</t>
  </si>
  <si>
    <t>ELK</t>
  </si>
  <si>
    <t>FWA</t>
  </si>
  <si>
    <t>GBW</t>
  </si>
  <si>
    <t>GEE</t>
  </si>
  <si>
    <t>GFK</t>
  </si>
  <si>
    <t>HER</t>
  </si>
  <si>
    <t>JAC</t>
  </si>
  <si>
    <t>LSL</t>
  </si>
  <si>
    <t>MAS</t>
  </si>
  <si>
    <t>MND</t>
  </si>
  <si>
    <t>NLW</t>
  </si>
  <si>
    <t>OWT</t>
  </si>
  <si>
    <t>SDL</t>
  </si>
  <si>
    <t>SHL</t>
  </si>
  <si>
    <t>SJF</t>
  </si>
  <si>
    <t>STP</t>
  </si>
  <si>
    <t>SWI</t>
  </si>
  <si>
    <t>TRV</t>
  </si>
  <si>
    <t>BST</t>
  </si>
  <si>
    <t>DEL</t>
  </si>
  <si>
    <t>ELP</t>
  </si>
  <si>
    <t>FTW</t>
  </si>
  <si>
    <t>GRL</t>
  </si>
  <si>
    <t>LAF</t>
  </si>
  <si>
    <t>LRO</t>
  </si>
  <si>
    <t>MCX</t>
  </si>
  <si>
    <t>MKO</t>
  </si>
  <si>
    <t>MRE</t>
  </si>
  <si>
    <t>PRA</t>
  </si>
  <si>
    <t>RSW</t>
  </si>
  <si>
    <t>SGE</t>
  </si>
  <si>
    <t>SME</t>
  </si>
  <si>
    <t>SNA</t>
  </si>
  <si>
    <t>TYE</t>
  </si>
  <si>
    <t>BTT</t>
  </si>
  <si>
    <t>DIM</t>
  </si>
  <si>
    <t>EUG</t>
  </si>
  <si>
    <t>LEW</t>
  </si>
  <si>
    <t>PCO</t>
  </si>
  <si>
    <t>RSP</t>
  </si>
  <si>
    <t>TWF</t>
  </si>
  <si>
    <t>YKM</t>
  </si>
  <si>
    <t>BKR</t>
  </si>
  <si>
    <t>DOZ</t>
  </si>
  <si>
    <t>FSO</t>
  </si>
  <si>
    <t>GRU</t>
  </si>
  <si>
    <t>HUL</t>
  </si>
  <si>
    <t>LOS</t>
  </si>
  <si>
    <t>RFE</t>
  </si>
  <si>
    <t>RNE</t>
  </si>
  <si>
    <t>SCM</t>
  </si>
  <si>
    <t>SFC</t>
  </si>
  <si>
    <t>TCY</t>
  </si>
  <si>
    <t>Sales</t>
  </si>
  <si>
    <t>Sales For FCOJ(tons)(1st Column), Transportation Cost($)(2nd Column) (by market and week)</t>
  </si>
  <si>
    <t>Month</t>
  </si>
  <si>
    <t>Mar:Week</t>
  </si>
  <si>
    <t>Sales(tons) (by region and month)</t>
  </si>
  <si>
    <t>Reg:Mon</t>
  </si>
  <si>
    <t>Total</t>
  </si>
  <si>
    <t>Sales Revenue($) (by region and month)</t>
  </si>
  <si>
    <t>Transportation Cost from storages to markets($) (by region and month)</t>
  </si>
  <si>
    <t>Sales For ROJ(tons)(1st Column), Transportation Cost($)(2nd Column) (by market and week)</t>
  </si>
  <si>
    <t>Sales For POJ(tons)(1st Column), Transportation Cost($)(2nd Column) (by market and week)</t>
  </si>
  <si>
    <t>Sales For ORA(tons)(1st Column), Transportation Cost($)(2nd Column) (by market and week)</t>
  </si>
  <si>
    <t>Storage</t>
  </si>
  <si>
    <t>Storage:</t>
  </si>
  <si>
    <t>Capacity:</t>
  </si>
  <si>
    <t>Time (beginning of week)</t>
  </si>
  <si>
    <t>|-------</t>
  </si>
  <si>
    <t xml:space="preserve"> -------|-------</t>
  </si>
  <si>
    <t xml:space="preserve"> -------|</t>
  </si>
  <si>
    <t>Scheduled to ship in/Sum</t>
  </si>
  <si>
    <t>Shipped In + Reconstituted</t>
  </si>
  <si>
    <t xml:space="preserve"> -</t>
  </si>
  <si>
    <t>Toss Out</t>
  </si>
  <si>
    <t>Inventory</t>
  </si>
  <si>
    <t>rotten</t>
  </si>
  <si>
    <t>% of FCOJ</t>
  </si>
  <si>
    <t>Available</t>
  </si>
  <si>
    <t>Sold</t>
  </si>
  <si>
    <t>Ship Out</t>
  </si>
  <si>
    <t>Costs at storage</t>
  </si>
  <si>
    <t>Hold Inventory</t>
  </si>
  <si>
    <t>Plant:</t>
  </si>
  <si>
    <t>Shipped In</t>
  </si>
  <si>
    <t>Breakdown?</t>
  </si>
  <si>
    <t>(Yes/"")</t>
  </si>
  <si>
    <t>Cost for POJ</t>
  </si>
  <si>
    <t>Cost for FCOJ</t>
  </si>
  <si>
    <t>At home</t>
  </si>
  <si>
    <t>Going out</t>
  </si>
  <si>
    <t>Coming home</t>
  </si>
  <si>
    <t>Hold Cost</t>
  </si>
  <si>
    <t>Grove</t>
  </si>
  <si>
    <r>
      <t xml:space="preserve">Prices of oranges at the Spot Market(Currency/lb) </t>
    </r>
    <r>
      <rPr>
        <i/>
        <u/>
        <sz val="10"/>
        <rFont val="Arial"/>
        <family val="2"/>
      </rPr>
      <t>ORA</t>
    </r>
  </si>
  <si>
    <t>Foreign Exchange Rate: US$ value of 1 BRA Real or 1 SPA Euro ($/BRL)($/EUR)</t>
  </si>
  <si>
    <t>Currency:Month</t>
  </si>
  <si>
    <t>BRA Real</t>
  </si>
  <si>
    <t>SPA Euro</t>
  </si>
  <si>
    <r>
      <t xml:space="preserve">US$ Prices of oranges at the Spot Market($/lb) </t>
    </r>
    <r>
      <rPr>
        <i/>
        <u/>
        <sz val="10"/>
        <rFont val="Arial"/>
        <family val="2"/>
      </rPr>
      <t>ORA</t>
    </r>
  </si>
  <si>
    <t>Actual Quantity Multiplier(unit)</t>
  </si>
  <si>
    <t>Gro:Mon</t>
  </si>
  <si>
    <r>
      <t xml:space="preserve">Amount of oranges harvested(tons) </t>
    </r>
    <r>
      <rPr>
        <i/>
        <u/>
        <sz val="10"/>
        <rFont val="Arial"/>
        <family val="2"/>
      </rPr>
      <t>ORA</t>
    </r>
  </si>
  <si>
    <t>Gro:Week</t>
  </si>
  <si>
    <r>
      <t xml:space="preserve">Actual amount of oranges purchased(tons) </t>
    </r>
    <r>
      <rPr>
        <i/>
        <u/>
        <sz val="10"/>
        <rFont val="Arial"/>
        <family val="2"/>
      </rPr>
      <t>ORA</t>
    </r>
  </si>
  <si>
    <t>Gro:Wk</t>
  </si>
  <si>
    <r>
      <t xml:space="preserve">Purchasing cost of oranges($) </t>
    </r>
    <r>
      <rPr>
        <i/>
        <u/>
        <sz val="10"/>
        <rFont val="Arial"/>
        <family val="2"/>
      </rPr>
      <t>ORA</t>
    </r>
  </si>
  <si>
    <r>
      <t xml:space="preserve">Amount of matured futures products(tons) </t>
    </r>
    <r>
      <rPr>
        <i/>
        <u/>
        <sz val="10"/>
        <rFont val="Arial"/>
        <family val="2"/>
      </rPr>
      <t>ORA Futures, FCOJ Futures</t>
    </r>
  </si>
  <si>
    <t>from FLA:Month</t>
  </si>
  <si>
    <t>ORA Futures</t>
  </si>
  <si>
    <t>FCOJ Futures</t>
  </si>
  <si>
    <r>
      <t xml:space="preserve">Transportation Cost($) for shipping </t>
    </r>
    <r>
      <rPr>
        <i/>
        <u/>
        <sz val="10"/>
        <rFont val="Arial"/>
        <family val="2"/>
      </rPr>
      <t>FCOJ Futures</t>
    </r>
  </si>
  <si>
    <t>Month:Storage</t>
  </si>
  <si>
    <r>
      <t xml:space="preserve">Actual amount of oranges shipped out from groves(tons) </t>
    </r>
    <r>
      <rPr>
        <i/>
        <u/>
        <sz val="10"/>
        <rFont val="Arial"/>
        <family val="2"/>
      </rPr>
      <t>ORA, ORA Futures</t>
    </r>
  </si>
  <si>
    <t>from Grove:Week</t>
  </si>
  <si>
    <r>
      <t xml:space="preserve">Transportation Cost($) for shipping </t>
    </r>
    <r>
      <rPr>
        <i/>
        <u/>
        <sz val="10"/>
        <rFont val="Arial"/>
        <family val="2"/>
      </rPr>
      <t>ORA + ORA Futures</t>
    </r>
  </si>
  <si>
    <t>To</t>
  </si>
  <si>
    <t>plants</t>
  </si>
  <si>
    <t>storages</t>
  </si>
  <si>
    <t>Distance:</t>
  </si>
  <si>
    <t>POJ to ship</t>
  </si>
  <si>
    <t>FCOJ to ship</t>
  </si>
  <si>
    <t>OJ to ship (Sum)</t>
  </si>
  <si>
    <t>POJ by TankCars</t>
  </si>
  <si>
    <t>FCOJ by TankCars</t>
  </si>
  <si>
    <t>No. TankCars</t>
  </si>
  <si>
    <t>POJ by Carrier</t>
  </si>
  <si>
    <t>FCOJ by Carrier</t>
  </si>
  <si>
    <t>No. Weeks</t>
  </si>
  <si>
    <t>Cost by TankCars</t>
  </si>
  <si>
    <t>Cost by Carrier</t>
  </si>
  <si>
    <t>Activities</t>
  </si>
  <si>
    <t>Earnings</t>
  </si>
  <si>
    <t>Sales (tons)</t>
  </si>
  <si>
    <t>Sales Revenue</t>
  </si>
  <si>
    <t>Fresh Oranges (ORA)</t>
  </si>
  <si>
    <t>Premium Orange Juice (POJ)</t>
  </si>
  <si>
    <t>Reconstituted Orange Juice (ROJ)</t>
  </si>
  <si>
    <t>Frozen Concentrated Orange Juice (FCOJ)</t>
  </si>
  <si>
    <t>Total Revenue</t>
  </si>
  <si>
    <t>Materials Acquisitions &amp; Losses (tons)</t>
  </si>
  <si>
    <t>Oranges Harvested</t>
  </si>
  <si>
    <t>Materials Costs</t>
  </si>
  <si>
    <t>ORA Futures Matured</t>
  </si>
  <si>
    <t xml:space="preserve">Orange (ORA) Purchases </t>
  </si>
  <si>
    <t>FCOJ Futures Matured</t>
  </si>
  <si>
    <t>ORA Futures Costs</t>
  </si>
  <si>
    <t>Premium Orange Juice (POJ) Manufactured</t>
  </si>
  <si>
    <t>FCOJ Futures Costs</t>
  </si>
  <si>
    <t>Frozen Concentrated Orange Juice (FCOJ) Manufactured</t>
  </si>
  <si>
    <t>Transportation Costs from Groves (ORA &amp; ORA futures)</t>
  </si>
  <si>
    <t>Reconstituted Orange Juice (ROJ) Manufactured</t>
  </si>
  <si>
    <t>Transportation Costs from Groves (FCOJ futures)</t>
  </si>
  <si>
    <t>Products Lost due to Capacity Shortage</t>
  </si>
  <si>
    <t>Total Materials Costs</t>
  </si>
  <si>
    <t>(</t>
  </si>
  <si>
    <t>)</t>
  </si>
  <si>
    <t>Products Lost due to Spoilage</t>
  </si>
  <si>
    <t>Manufacturing Costs</t>
  </si>
  <si>
    <t>Futures Contracts Purchases (tons)</t>
  </si>
  <si>
    <t>POJ Manufacturing Costs</t>
  </si>
  <si>
    <t>ORA Futures Contracts</t>
  </si>
  <si>
    <t>FCOJ Manufacturing Costs</t>
  </si>
  <si>
    <t>FCOJ Futures Contracts</t>
  </si>
  <si>
    <t>ROJ Reconstitution Costs</t>
  </si>
  <si>
    <t>Total Processing Costs</t>
  </si>
  <si>
    <t>Facilities Adjustment (tons of capacity)</t>
  </si>
  <si>
    <t>Processing Plants Capacity Upgrade</t>
  </si>
  <si>
    <t>Transportation Costs from Plants and Storages &amp; Inventory Hold Costs</t>
  </si>
  <si>
    <t>Storage Centers Capacity Upgrade</t>
  </si>
  <si>
    <t>Transportation Costs from Plants (TankCars)</t>
  </si>
  <si>
    <t>Processing Plants Capacity Downgrade</t>
  </si>
  <si>
    <t>Transportation Costs from Plants (Carriers)</t>
  </si>
  <si>
    <t>Storage Centers Capacity Downgrade</t>
  </si>
  <si>
    <t>Inventory Hold Costs at Storages</t>
  </si>
  <si>
    <t>Transportation Costs from Storages</t>
  </si>
  <si>
    <t>Facilities Acquisitions (unit)</t>
  </si>
  <si>
    <t>Total Transportation and Storage Costs</t>
  </si>
  <si>
    <t>Processing Plants</t>
  </si>
  <si>
    <t>Storage Centers</t>
  </si>
  <si>
    <t>Facilities Adjustment &amp; Maintenance Costs</t>
  </si>
  <si>
    <t>Processing Plant Maintenance Costs</t>
  </si>
  <si>
    <t>Costs(/Gains) of Acquiring(/Selling) Processing Plant</t>
  </si>
  <si>
    <t>Facilities Sold (unit)</t>
  </si>
  <si>
    <t>Processing Plant Capacity Adjustment Costs(/Gains)</t>
  </si>
  <si>
    <t>Storage Center Maintenance Costs</t>
  </si>
  <si>
    <t>Costs(/Gains) of Acquiring(/Selling) Storage Center</t>
  </si>
  <si>
    <t>Storage Center Capacity Adjustment Costs(/Gains)</t>
  </si>
  <si>
    <t>TankCars Hold Costs</t>
  </si>
  <si>
    <t>TankCars Purchase Costs(/Selling Gains)</t>
  </si>
  <si>
    <t>Total Facilities Costs</t>
  </si>
  <si>
    <t>Net Profit</t>
  </si>
  <si>
    <t>Annual Report for the year ending August 31st,  2011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</si>
</sst>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&quot;$&quot;#,##0"/>
  </numFmts>
  <fonts count="14" x14ac:knownFonts="1">
    <font>
      <sz val="10"/>
      <name val="Arial"/>
    </font>
    <font>
      <b/>
      <sz val="10"/>
      <name val="Arial"/>
      <family val="2"/>
    </font>
    <font>
      <i/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i/>
      <sz val="10"/>
      <name val="Arial"/>
      <family val="2"/>
    </font>
    <font>
      <i/>
      <u/>
      <sz val="10"/>
      <name val="Arial"/>
      <family val="2"/>
    </font>
    <font>
      <b/>
      <sz val="12"/>
      <name val="Times New Roman"/>
      <family val="1"/>
    </font>
    <font>
      <u/>
      <sz val="12"/>
      <name val="Times New Roman"/>
      <family val="1"/>
    </font>
    <font>
      <sz val="10"/>
      <name val="Times New Roman"/>
      <family val="1"/>
    </font>
    <font>
      <u/>
      <sz val="10"/>
      <name val="Times New Roman"/>
      <family val="1"/>
    </font>
    <font>
      <i/>
      <sz val="10"/>
      <name val="Times New Roman"/>
      <family val="1"/>
    </font>
    <font>
      <sz val="8"/>
      <name val="Arial"/>
      <family val="2"/>
    </font>
    <font>
      <b/>
      <i/>
      <sz val="10"/>
      <name val="Times New Roman"/>
      <family val="1"/>
    </font>
  </fonts>
  <fills count="11">
    <fill>
      <patternFill patternType="none"/>
    </fill>
    <fill>
      <patternFill patternType="gray125"/>
    </fill>
    <fill>
      <patternFill patternType="solid">
        <fgColor indexed="5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44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</borders>
  <cellStyleXfs count="2">
    <xf numFmtId="0" fontId="0" fillId="0" borderId="0"/>
    <xf numFmtId="0" fontId="4" fillId="0" borderId="0"/>
  </cellStyleXfs>
  <cellXfs count="214">
    <xf numFmtId="0" fontId="0" fillId="0" borderId="0" xfId="0"/>
    <xf numFmtId="0" fontId="1" fillId="0" borderId="0" xfId="0" applyFont="1"/>
    <xf numFmtId="0" fontId="1" fillId="2" borderId="0" xfId="0" applyFont="1" applyFill="1"/>
    <xf numFmtId="0" fontId="0" fillId="2" borderId="0" xfId="0" applyFill="1"/>
    <xf numFmtId="0" fontId="0" fillId="3" borderId="1" xfId="0" applyFill="1" applyBorder="1"/>
    <xf numFmtId="0" fontId="0" fillId="3" borderId="2" xfId="0" applyFill="1" applyBorder="1" applyAlignment="1">
      <alignment horizontal="right"/>
    </xf>
    <xf numFmtId="0" fontId="0" fillId="3" borderId="3" xfId="0" applyFill="1" applyBorder="1"/>
    <xf numFmtId="0" fontId="0" fillId="3" borderId="4" xfId="0" applyFill="1" applyBorder="1" applyAlignment="1">
      <alignment horizontal="right"/>
    </xf>
    <xf numFmtId="0" fontId="1" fillId="0" borderId="0" xfId="0" applyFont="1" applyAlignment="1"/>
    <xf numFmtId="0" fontId="0" fillId="0" borderId="0" xfId="0" applyAlignment="1"/>
    <xf numFmtId="0" fontId="2" fillId="0" borderId="0" xfId="0" applyFont="1" applyAlignment="1"/>
    <xf numFmtId="0" fontId="1" fillId="2" borderId="0" xfId="0" applyFont="1" applyFill="1" applyAlignment="1"/>
    <xf numFmtId="0" fontId="0" fillId="2" borderId="0" xfId="0" applyFill="1" applyAlignment="1"/>
    <xf numFmtId="0" fontId="0" fillId="3" borderId="5" xfId="0" applyFill="1" applyBorder="1" applyAlignment="1"/>
    <xf numFmtId="0" fontId="0" fillId="3" borderId="6" xfId="0" applyFill="1" applyBorder="1" applyAlignment="1"/>
    <xf numFmtId="0" fontId="0" fillId="3" borderId="0" xfId="0" applyFill="1" applyBorder="1" applyAlignment="1"/>
    <xf numFmtId="0" fontId="0" fillId="3" borderId="2" xfId="0" applyFill="1" applyBorder="1" applyAlignment="1"/>
    <xf numFmtId="0" fontId="0" fillId="3" borderId="7" xfId="0" applyFill="1" applyBorder="1" applyAlignment="1"/>
    <xf numFmtId="0" fontId="0" fillId="3" borderId="3" xfId="0" applyFill="1" applyBorder="1" applyAlignment="1"/>
    <xf numFmtId="0" fontId="0" fillId="3" borderId="8" xfId="0" applyFill="1" applyBorder="1" applyAlignment="1"/>
    <xf numFmtId="0" fontId="0" fillId="3" borderId="4" xfId="0" applyFill="1" applyBorder="1" applyAlignment="1"/>
    <xf numFmtId="0" fontId="0" fillId="2" borderId="9" xfId="0" applyFill="1" applyBorder="1" applyAlignment="1"/>
    <xf numFmtId="0" fontId="0" fillId="2" borderId="0" xfId="0" applyFill="1" applyBorder="1" applyAlignment="1"/>
    <xf numFmtId="0" fontId="0" fillId="3" borderId="10" xfId="0" applyFill="1" applyBorder="1" applyAlignment="1"/>
    <xf numFmtId="0" fontId="0" fillId="3" borderId="11" xfId="0" applyFill="1" applyBorder="1" applyAlignment="1"/>
    <xf numFmtId="0" fontId="0" fillId="3" borderId="1" xfId="0" applyFill="1" applyBorder="1" applyAlignment="1"/>
    <xf numFmtId="0" fontId="0" fillId="3" borderId="9" xfId="0" applyFill="1" applyBorder="1" applyAlignment="1"/>
    <xf numFmtId="0" fontId="0" fillId="3" borderId="12" xfId="0" applyFill="1" applyBorder="1" applyAlignment="1"/>
    <xf numFmtId="0" fontId="1" fillId="0" borderId="0" xfId="0" applyNumberFormat="1" applyFont="1" applyAlignment="1"/>
    <xf numFmtId="0" fontId="0" fillId="0" borderId="0" xfId="0" applyNumberFormat="1" applyAlignment="1"/>
    <xf numFmtId="0" fontId="2" fillId="0" borderId="0" xfId="0" applyNumberFormat="1" applyFont="1" applyAlignment="1"/>
    <xf numFmtId="0" fontId="2" fillId="2" borderId="0" xfId="0" applyNumberFormat="1" applyFont="1" applyFill="1" applyAlignment="1"/>
    <xf numFmtId="0" fontId="0" fillId="2" borderId="0" xfId="0" applyNumberFormat="1" applyFill="1" applyAlignment="1"/>
    <xf numFmtId="0" fontId="0" fillId="3" borderId="5" xfId="0" applyNumberFormat="1" applyFill="1" applyBorder="1" applyAlignment="1"/>
    <xf numFmtId="0" fontId="0" fillId="3" borderId="13" xfId="0" applyNumberFormat="1" applyFill="1" applyBorder="1" applyAlignment="1"/>
    <xf numFmtId="0" fontId="0" fillId="3" borderId="14" xfId="0" applyNumberFormat="1" applyFill="1" applyBorder="1" applyAlignment="1"/>
    <xf numFmtId="0" fontId="0" fillId="3" borderId="12" xfId="0" applyNumberFormat="1" applyFill="1" applyBorder="1" applyAlignment="1"/>
    <xf numFmtId="0" fontId="0" fillId="3" borderId="15" xfId="0" applyNumberFormat="1" applyFill="1" applyBorder="1" applyAlignment="1"/>
    <xf numFmtId="0" fontId="0" fillId="2" borderId="3" xfId="0" applyNumberFormat="1" applyFill="1" applyBorder="1" applyAlignment="1"/>
    <xf numFmtId="0" fontId="0" fillId="2" borderId="8" xfId="0" applyNumberFormat="1" applyFill="1" applyBorder="1" applyAlignment="1"/>
    <xf numFmtId="0" fontId="0" fillId="2" borderId="4" xfId="0" applyNumberFormat="1" applyFill="1" applyBorder="1" applyAlignment="1"/>
    <xf numFmtId="0" fontId="0" fillId="3" borderId="10" xfId="0" applyNumberFormat="1" applyFill="1" applyBorder="1" applyAlignment="1"/>
    <xf numFmtId="0" fontId="0" fillId="2" borderId="9" xfId="0" applyNumberFormat="1" applyFill="1" applyBorder="1" applyAlignment="1"/>
    <xf numFmtId="0" fontId="3" fillId="2" borderId="9" xfId="0" applyNumberFormat="1" applyFont="1" applyFill="1" applyBorder="1" applyAlignment="1"/>
    <xf numFmtId="0" fontId="0" fillId="3" borderId="11" xfId="0" applyNumberFormat="1" applyFill="1" applyBorder="1" applyAlignment="1"/>
    <xf numFmtId="0" fontId="0" fillId="3" borderId="0" xfId="0" applyNumberFormat="1" applyFill="1" applyBorder="1" applyAlignment="1"/>
    <xf numFmtId="0" fontId="0" fillId="3" borderId="7" xfId="0" applyNumberFormat="1" applyFill="1" applyBorder="1" applyAlignment="1"/>
    <xf numFmtId="0" fontId="0" fillId="3" borderId="6" xfId="0" applyNumberFormat="1" applyFill="1" applyBorder="1" applyAlignment="1"/>
    <xf numFmtId="0" fontId="2" fillId="2" borderId="0" xfId="0" applyNumberFormat="1" applyFont="1" applyFill="1" applyBorder="1" applyAlignment="1"/>
    <xf numFmtId="0" fontId="0" fillId="0" borderId="0" xfId="0" applyNumberFormat="1" applyFill="1" applyBorder="1" applyAlignment="1"/>
    <xf numFmtId="0" fontId="0" fillId="0" borderId="0" xfId="0" applyNumberFormat="1" applyFill="1" applyAlignment="1"/>
    <xf numFmtId="0" fontId="0" fillId="2" borderId="0" xfId="0" applyNumberFormat="1" applyFill="1" applyBorder="1" applyAlignment="1"/>
    <xf numFmtId="0" fontId="1" fillId="0" borderId="0" xfId="0" applyNumberFormat="1" applyFont="1" applyFill="1" applyBorder="1" applyAlignment="1"/>
    <xf numFmtId="0" fontId="2" fillId="0" borderId="0" xfId="0" applyNumberFormat="1" applyFont="1" applyFill="1" applyAlignment="1"/>
    <xf numFmtId="0" fontId="1" fillId="2" borderId="0" xfId="0" applyNumberFormat="1" applyFont="1" applyFill="1" applyBorder="1" applyAlignment="1"/>
    <xf numFmtId="0" fontId="2" fillId="0" borderId="0" xfId="0" applyNumberFormat="1" applyFont="1" applyFill="1" applyBorder="1" applyAlignment="1"/>
    <xf numFmtId="0" fontId="3" fillId="0" borderId="0" xfId="0" applyNumberFormat="1" applyFont="1" applyFill="1" applyAlignment="1"/>
    <xf numFmtId="0" fontId="1" fillId="2" borderId="0" xfId="0" applyNumberFormat="1" applyFont="1" applyFill="1" applyAlignment="1"/>
    <xf numFmtId="0" fontId="2" fillId="0" borderId="0" xfId="0" applyNumberFormat="1" applyFont="1" applyAlignment="1">
      <alignment horizontal="right"/>
    </xf>
    <xf numFmtId="0" fontId="4" fillId="3" borderId="5" xfId="0" applyNumberFormat="1" applyFont="1" applyFill="1" applyBorder="1" applyAlignment="1"/>
    <xf numFmtId="0" fontId="0" fillId="0" borderId="6" xfId="0" applyNumberFormat="1" applyBorder="1" applyAlignment="1"/>
    <xf numFmtId="0" fontId="0" fillId="3" borderId="16" xfId="0" applyNumberFormat="1" applyFill="1" applyBorder="1" applyAlignment="1"/>
    <xf numFmtId="0" fontId="0" fillId="3" borderId="17" xfId="0" applyNumberFormat="1" applyFill="1" applyBorder="1" applyAlignment="1"/>
    <xf numFmtId="0" fontId="0" fillId="3" borderId="18" xfId="0" applyNumberFormat="1" applyFill="1" applyBorder="1" applyAlignment="1"/>
    <xf numFmtId="0" fontId="0" fillId="3" borderId="19" xfId="0" applyNumberFormat="1" applyFill="1" applyBorder="1" applyAlignment="1"/>
    <xf numFmtId="0" fontId="0" fillId="3" borderId="20" xfId="0" applyNumberFormat="1" applyFill="1" applyBorder="1" applyAlignment="1"/>
    <xf numFmtId="0" fontId="0" fillId="3" borderId="21" xfId="0" applyNumberFormat="1" applyFill="1" applyBorder="1" applyAlignment="1"/>
    <xf numFmtId="0" fontId="0" fillId="3" borderId="22" xfId="0" applyNumberFormat="1" applyFill="1" applyBorder="1" applyAlignment="1"/>
    <xf numFmtId="0" fontId="0" fillId="0" borderId="21" xfId="0" applyNumberFormat="1" applyBorder="1" applyAlignment="1"/>
    <xf numFmtId="0" fontId="0" fillId="3" borderId="23" xfId="0" applyNumberFormat="1" applyFill="1" applyBorder="1" applyAlignment="1"/>
    <xf numFmtId="0" fontId="4" fillId="0" borderId="0" xfId="0" applyNumberFormat="1" applyFont="1" applyAlignment="1"/>
    <xf numFmtId="0" fontId="0" fillId="0" borderId="7" xfId="0" applyNumberFormat="1" applyBorder="1" applyAlignment="1">
      <alignment horizontal="right"/>
    </xf>
    <xf numFmtId="0" fontId="0" fillId="3" borderId="3" xfId="0" applyNumberFormat="1" applyFill="1" applyBorder="1" applyAlignment="1"/>
    <xf numFmtId="0" fontId="0" fillId="3" borderId="24" xfId="0" applyNumberFormat="1" applyFill="1" applyBorder="1" applyAlignment="1"/>
    <xf numFmtId="0" fontId="0" fillId="3" borderId="25" xfId="0" applyNumberFormat="1" applyFill="1" applyBorder="1" applyAlignment="1"/>
    <xf numFmtId="0" fontId="0" fillId="4" borderId="0" xfId="0" applyNumberFormat="1" applyFill="1" applyBorder="1" applyAlignment="1"/>
    <xf numFmtId="0" fontId="0" fillId="4" borderId="6" xfId="0" applyNumberFormat="1" applyFill="1" applyBorder="1" applyAlignment="1"/>
    <xf numFmtId="0" fontId="0" fillId="4" borderId="3" xfId="0" applyNumberFormat="1" applyFill="1" applyBorder="1" applyAlignment="1"/>
    <xf numFmtId="0" fontId="0" fillId="4" borderId="8" xfId="0" applyNumberFormat="1" applyFill="1" applyBorder="1" applyAlignment="1"/>
    <xf numFmtId="0" fontId="0" fillId="3" borderId="26" xfId="0" applyNumberFormat="1" applyFill="1" applyBorder="1" applyAlignment="1"/>
    <xf numFmtId="0" fontId="0" fillId="0" borderId="8" xfId="0" applyNumberFormat="1" applyBorder="1" applyAlignment="1"/>
    <xf numFmtId="0" fontId="0" fillId="0" borderId="4" xfId="0" applyNumberFormat="1" applyBorder="1" applyAlignment="1"/>
    <xf numFmtId="0" fontId="4" fillId="2" borderId="0" xfId="0" applyFont="1" applyFill="1" applyBorder="1" applyAlignment="1"/>
    <xf numFmtId="0" fontId="4" fillId="2" borderId="0" xfId="0" applyFont="1" applyFill="1" applyAlignment="1"/>
    <xf numFmtId="0" fontId="0" fillId="0" borderId="5" xfId="0" applyFill="1" applyBorder="1" applyAlignment="1" applyProtection="1">
      <protection locked="0"/>
    </xf>
    <xf numFmtId="0" fontId="0" fillId="0" borderId="5" xfId="0" applyBorder="1" applyAlignment="1" applyProtection="1">
      <protection locked="0"/>
    </xf>
    <xf numFmtId="0" fontId="0" fillId="0" borderId="5" xfId="0" applyNumberFormat="1" applyFill="1" applyBorder="1" applyAlignment="1" applyProtection="1">
      <protection locked="0"/>
    </xf>
    <xf numFmtId="0" fontId="0" fillId="0" borderId="11" xfId="0" applyNumberFormat="1" applyFill="1" applyBorder="1" applyAlignment="1" applyProtection="1">
      <protection locked="0"/>
    </xf>
    <xf numFmtId="0" fontId="0" fillId="3" borderId="5" xfId="0" applyNumberFormat="1" applyFill="1" applyBorder="1" applyAlignment="1" applyProtection="1"/>
    <xf numFmtId="0" fontId="0" fillId="3" borderId="10" xfId="0" applyNumberFormat="1" applyFill="1" applyBorder="1" applyAlignment="1" applyProtection="1"/>
    <xf numFmtId="0" fontId="0" fillId="3" borderId="11" xfId="0" applyNumberFormat="1" applyFill="1" applyBorder="1" applyAlignment="1" applyProtection="1"/>
    <xf numFmtId="0" fontId="0" fillId="0" borderId="4" xfId="0" applyNumberFormat="1" applyFill="1" applyBorder="1" applyAlignment="1" applyProtection="1">
      <protection locked="0"/>
    </xf>
    <xf numFmtId="0" fontId="0" fillId="0" borderId="15" xfId="0" applyNumberFormat="1" applyFill="1" applyBorder="1" applyAlignment="1" applyProtection="1">
      <protection locked="0"/>
    </xf>
    <xf numFmtId="0" fontId="0" fillId="0" borderId="14" xfId="0" applyNumberFormat="1" applyFill="1" applyBorder="1" applyAlignment="1" applyProtection="1">
      <protection locked="0"/>
    </xf>
    <xf numFmtId="0" fontId="0" fillId="0" borderId="5" xfId="0" applyNumberFormat="1" applyFill="1" applyBorder="1" applyAlignment="1" applyProtection="1">
      <protection locked="0"/>
    </xf>
    <xf numFmtId="0" fontId="3" fillId="0" borderId="15" xfId="0" applyNumberFormat="1" applyFont="1" applyFill="1" applyBorder="1" applyAlignment="1" applyProtection="1">
      <protection locked="0"/>
    </xf>
    <xf numFmtId="0" fontId="3" fillId="0" borderId="5" xfId="0" applyNumberFormat="1" applyFont="1" applyFill="1" applyBorder="1" applyAlignment="1" applyProtection="1">
      <protection locked="0"/>
    </xf>
    <xf numFmtId="0" fontId="0" fillId="0" borderId="5" xfId="0" applyNumberFormat="1" applyBorder="1" applyAlignment="1" applyProtection="1">
      <protection locked="0"/>
    </xf>
    <xf numFmtId="0" fontId="0" fillId="0" borderId="1" xfId="0" applyNumberFormat="1" applyFill="1" applyBorder="1" applyAlignment="1" applyProtection="1">
      <protection locked="0"/>
    </xf>
    <xf numFmtId="0" fontId="0" fillId="0" borderId="11" xfId="0" applyNumberFormat="1" applyFill="1" applyBorder="1" applyAlignment="1" applyProtection="1">
      <protection locked="0"/>
    </xf>
    <xf numFmtId="0" fontId="0" fillId="0" borderId="1" xfId="0" applyNumberFormat="1" applyFill="1" applyBorder="1" applyAlignment="1" applyProtection="1">
      <protection locked="0"/>
    </xf>
    <xf numFmtId="0" fontId="0" fillId="0" borderId="10" xfId="0" applyNumberFormat="1" applyFill="1" applyBorder="1" applyAlignment="1" applyProtection="1">
      <protection locked="0"/>
    </xf>
    <xf numFmtId="0" fontId="0" fillId="0" borderId="5" xfId="0" applyNumberFormat="1" applyFill="1" applyBorder="1" applyAlignment="1" applyProtection="1">
      <protection locked="0"/>
    </xf>
    <xf numFmtId="0" fontId="0" fillId="0" borderId="1" xfId="0" applyNumberFormat="1" applyFill="1" applyBorder="1" applyAlignment="1" applyProtection="1">
      <protection locked="0"/>
    </xf>
    <xf numFmtId="0" fontId="0" fillId="0" borderId="11" xfId="0" applyNumberFormat="1" applyFill="1" applyBorder="1" applyAlignment="1" applyProtection="1">
      <protection locked="0"/>
    </xf>
    <xf numFmtId="0" fontId="0" fillId="0" borderId="10" xfId="0" applyNumberFormat="1" applyFill="1" applyBorder="1" applyAlignment="1" applyProtection="1">
      <protection locked="0"/>
    </xf>
    <xf numFmtId="0" fontId="0" fillId="0" borderId="5" xfId="0" applyNumberFormat="1" applyFill="1" applyBorder="1" applyAlignment="1" applyProtection="1">
      <protection locked="0"/>
    </xf>
    <xf numFmtId="0" fontId="0" fillId="0" borderId="5" xfId="0" applyNumberFormat="1" applyFill="1" applyBorder="1" applyAlignment="1" applyProtection="1">
      <protection locked="0"/>
    </xf>
    <xf numFmtId="0" fontId="0" fillId="0" borderId="5" xfId="0" applyNumberFormat="1" applyFill="1" applyBorder="1" applyAlignment="1" applyProtection="1">
      <protection locked="0"/>
    </xf>
    <xf numFmtId="0" fontId="0" fillId="0" borderId="5" xfId="0" applyNumberFormat="1" applyFill="1" applyBorder="1" applyAlignment="1" applyProtection="1">
      <protection locked="0"/>
    </xf>
    <xf numFmtId="0" fontId="0" fillId="3" borderId="1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5" borderId="0" xfId="0" applyFill="1"/>
    <xf numFmtId="0" fontId="0" fillId="0" borderId="0" xfId="0" applyFill="1"/>
    <xf numFmtId="0" fontId="2" fillId="0" borderId="0" xfId="0" applyFont="1"/>
    <xf numFmtId="0" fontId="2" fillId="0" borderId="0" xfId="0" applyFont="1" applyFill="1"/>
    <xf numFmtId="0" fontId="0" fillId="6" borderId="0" xfId="0" applyFill="1"/>
    <xf numFmtId="0" fontId="0" fillId="0" borderId="0" xfId="0" applyFill="1" applyBorder="1"/>
    <xf numFmtId="0" fontId="0" fillId="0" borderId="5" xfId="0" applyBorder="1"/>
    <xf numFmtId="0" fontId="0" fillId="0" borderId="11" xfId="0" applyBorder="1"/>
    <xf numFmtId="0" fontId="0" fillId="0" borderId="6" xfId="0" applyBorder="1"/>
    <xf numFmtId="0" fontId="0" fillId="0" borderId="0" xfId="0" applyBorder="1"/>
    <xf numFmtId="0" fontId="0" fillId="0" borderId="0" xfId="0" applyAlignment="1">
      <alignment horizontal="center"/>
    </xf>
    <xf numFmtId="0" fontId="0" fillId="0" borderId="0" xfId="0" applyBorder="1" applyAlignment="1">
      <alignment horizontal="right"/>
    </xf>
    <xf numFmtId="0" fontId="0" fillId="0" borderId="8" xfId="0" applyFill="1" applyBorder="1"/>
    <xf numFmtId="0" fontId="0" fillId="5" borderId="13" xfId="0" applyFill="1" applyBorder="1" applyAlignment="1">
      <alignment horizontal="right"/>
    </xf>
    <xf numFmtId="0" fontId="0" fillId="7" borderId="8" xfId="0" applyFill="1" applyBorder="1"/>
    <xf numFmtId="0" fontId="0" fillId="0" borderId="13" xfId="0" applyBorder="1"/>
    <xf numFmtId="0" fontId="0" fillId="5" borderId="0" xfId="0" applyFill="1" applyAlignment="1">
      <alignment horizontal="right"/>
    </xf>
    <xf numFmtId="0" fontId="0" fillId="7" borderId="0" xfId="0" applyFill="1" applyBorder="1"/>
    <xf numFmtId="0" fontId="0" fillId="2" borderId="0" xfId="0" applyFill="1" applyBorder="1"/>
    <xf numFmtId="0" fontId="0" fillId="7" borderId="13" xfId="0" applyFill="1" applyBorder="1"/>
    <xf numFmtId="0" fontId="0" fillId="5" borderId="9" xfId="0" applyFill="1" applyBorder="1" applyAlignment="1">
      <alignment horizontal="right"/>
    </xf>
    <xf numFmtId="0" fontId="0" fillId="7" borderId="9" xfId="0" applyFill="1" applyBorder="1"/>
    <xf numFmtId="0" fontId="0" fillId="0" borderId="9" xfId="0" applyBorder="1"/>
    <xf numFmtId="0" fontId="0" fillId="0" borderId="8" xfId="0" applyBorder="1"/>
    <xf numFmtId="0" fontId="0" fillId="5" borderId="1" xfId="0" applyFill="1" applyBorder="1" applyAlignment="1">
      <alignment horizontal="right"/>
    </xf>
    <xf numFmtId="0" fontId="0" fillId="3" borderId="0" xfId="0" applyFill="1" applyBorder="1"/>
    <xf numFmtId="0" fontId="0" fillId="0" borderId="3" xfId="0" applyBorder="1"/>
    <xf numFmtId="0" fontId="0" fillId="8" borderId="8" xfId="0" applyFill="1" applyBorder="1"/>
    <xf numFmtId="0" fontId="0" fillId="8" borderId="0" xfId="0" applyFill="1" applyBorder="1"/>
    <xf numFmtId="0" fontId="0" fillId="5" borderId="6" xfId="0" applyFill="1" applyBorder="1" applyAlignment="1">
      <alignment horizontal="right"/>
    </xf>
    <xf numFmtId="0" fontId="0" fillId="9" borderId="8" xfId="0" applyFill="1" applyBorder="1" applyAlignment="1">
      <alignment horizontal="right"/>
    </xf>
    <xf numFmtId="0" fontId="0" fillId="5" borderId="13" xfId="0" applyFill="1" applyBorder="1"/>
    <xf numFmtId="10" fontId="0" fillId="0" borderId="13" xfId="0" applyNumberFormat="1" applyBorder="1"/>
    <xf numFmtId="0" fontId="0" fillId="5" borderId="9" xfId="0" applyFill="1" applyBorder="1"/>
    <xf numFmtId="0" fontId="0" fillId="5" borderId="8" xfId="0" applyFill="1" applyBorder="1"/>
    <xf numFmtId="0" fontId="0" fillId="6" borderId="9" xfId="0" applyFill="1" applyBorder="1"/>
    <xf numFmtId="0" fontId="0" fillId="0" borderId="9" xfId="0" applyFill="1" applyBorder="1"/>
    <xf numFmtId="0" fontId="0" fillId="0" borderId="10" xfId="0" applyFill="1" applyBorder="1"/>
    <xf numFmtId="0" fontId="0" fillId="6" borderId="8" xfId="0" applyFill="1" applyBorder="1"/>
    <xf numFmtId="0" fontId="0" fillId="0" borderId="15" xfId="0" applyFill="1" applyBorder="1"/>
    <xf numFmtId="0" fontId="0" fillId="0" borderId="0" xfId="0" applyFill="1" applyBorder="1" applyAlignment="1">
      <alignment horizontal="left"/>
    </xf>
    <xf numFmtId="0" fontId="0" fillId="7" borderId="13" xfId="0" applyFill="1" applyBorder="1" applyAlignment="1">
      <alignment horizontal="right"/>
    </xf>
    <xf numFmtId="0" fontId="0" fillId="0" borderId="13" xfId="0" applyFill="1" applyBorder="1"/>
    <xf numFmtId="0" fontId="4" fillId="0" borderId="9" xfId="0" applyFont="1" applyFill="1" applyBorder="1"/>
    <xf numFmtId="0" fontId="4" fillId="0" borderId="0" xfId="0" applyFont="1" applyFill="1" applyBorder="1" applyAlignment="1">
      <alignment horizontal="right"/>
    </xf>
    <xf numFmtId="0" fontId="4" fillId="0" borderId="0" xfId="0" applyFont="1" applyFill="1" applyBorder="1"/>
    <xf numFmtId="0" fontId="4" fillId="0" borderId="0" xfId="0" applyFont="1" applyFill="1" applyBorder="1" applyAlignment="1"/>
    <xf numFmtId="0" fontId="4" fillId="5" borderId="13" xfId="0" applyFont="1" applyFill="1" applyBorder="1" applyAlignment="1">
      <alignment horizontal="right"/>
    </xf>
    <xf numFmtId="0" fontId="4" fillId="7" borderId="13" xfId="0" applyFont="1" applyFill="1" applyBorder="1" applyAlignment="1"/>
    <xf numFmtId="0" fontId="0" fillId="0" borderId="5" xfId="0" applyFill="1" applyBorder="1"/>
    <xf numFmtId="0" fontId="1" fillId="0" borderId="0" xfId="0" applyFont="1" applyBorder="1"/>
    <xf numFmtId="0" fontId="0" fillId="0" borderId="9" xfId="0" applyFill="1" applyBorder="1" applyAlignment="1">
      <alignment horizontal="right"/>
    </xf>
    <xf numFmtId="10" fontId="0" fillId="5" borderId="13" xfId="0" applyNumberFormat="1" applyFill="1" applyBorder="1"/>
    <xf numFmtId="0" fontId="0" fillId="5" borderId="0" xfId="0" applyFill="1" applyBorder="1" applyAlignment="1">
      <alignment horizontal="right"/>
    </xf>
    <xf numFmtId="10" fontId="0" fillId="0" borderId="0" xfId="0" applyNumberFormat="1" applyFill="1" applyBorder="1"/>
    <xf numFmtId="0" fontId="0" fillId="0" borderId="12" xfId="0" applyFill="1" applyBorder="1"/>
    <xf numFmtId="0" fontId="0" fillId="5" borderId="8" xfId="0" applyFill="1" applyBorder="1" applyAlignment="1">
      <alignment horizontal="right"/>
    </xf>
    <xf numFmtId="10" fontId="0" fillId="0" borderId="8" xfId="0" applyNumberFormat="1" applyFill="1" applyBorder="1"/>
    <xf numFmtId="0" fontId="0" fillId="6" borderId="9" xfId="0" applyFill="1" applyBorder="1" applyAlignment="1">
      <alignment horizontal="right"/>
    </xf>
    <xf numFmtId="0" fontId="0" fillId="6" borderId="8" xfId="0" applyFill="1" applyBorder="1" applyAlignment="1">
      <alignment horizontal="right"/>
    </xf>
    <xf numFmtId="0" fontId="0" fillId="0" borderId="8" xfId="0" applyNumberFormat="1" applyFill="1" applyBorder="1"/>
    <xf numFmtId="0" fontId="1" fillId="0" borderId="0" xfId="0" applyFont="1" applyFill="1" applyBorder="1" applyAlignment="1"/>
    <xf numFmtId="0" fontId="0" fillId="0" borderId="2" xfId="0" applyBorder="1"/>
    <xf numFmtId="0" fontId="0" fillId="5" borderId="0" xfId="0" applyFill="1" applyBorder="1"/>
    <xf numFmtId="0" fontId="0" fillId="0" borderId="7" xfId="0" applyBorder="1"/>
    <xf numFmtId="0" fontId="0" fillId="0" borderId="4" xfId="0" applyBorder="1"/>
    <xf numFmtId="0" fontId="0" fillId="0" borderId="3" xfId="0" applyFill="1" applyBorder="1"/>
    <xf numFmtId="0" fontId="0" fillId="6" borderId="13" xfId="0" applyFill="1" applyBorder="1" applyAlignment="1">
      <alignment horizontal="right"/>
    </xf>
    <xf numFmtId="0" fontId="0" fillId="10" borderId="0" xfId="0" applyFill="1"/>
    <xf numFmtId="0" fontId="4" fillId="10" borderId="0" xfId="0" applyFont="1" applyFill="1"/>
    <xf numFmtId="0" fontId="4" fillId="0" borderId="0" xfId="0" applyFont="1" applyFill="1"/>
    <xf numFmtId="0" fontId="4" fillId="5" borderId="0" xfId="0" applyFont="1" applyFill="1"/>
    <xf numFmtId="0" fontId="0" fillId="6" borderId="0" xfId="0" applyNumberFormat="1" applyFill="1" applyAlignment="1"/>
    <xf numFmtId="0" fontId="0" fillId="0" borderId="0" xfId="0" applyAlignment="1">
      <alignment horizontal="right"/>
    </xf>
    <xf numFmtId="0" fontId="0" fillId="6" borderId="0" xfId="0" applyFill="1" applyBorder="1"/>
    <xf numFmtId="0" fontId="0" fillId="0" borderId="0" xfId="0" applyNumberFormat="1"/>
    <xf numFmtId="0" fontId="7" fillId="0" borderId="0" xfId="0" applyFont="1" applyAlignment="1">
      <alignment horizontal="center"/>
    </xf>
    <xf numFmtId="0" fontId="7" fillId="0" borderId="0" xfId="0" applyFont="1"/>
    <xf numFmtId="0" fontId="8" fillId="0" borderId="0" xfId="0" applyFont="1"/>
    <xf numFmtId="0" fontId="9" fillId="0" borderId="0" xfId="0" applyFont="1"/>
    <xf numFmtId="0" fontId="10" fillId="0" borderId="0" xfId="0" applyFont="1"/>
    <xf numFmtId="0" fontId="11" fillId="0" borderId="0" xfId="0" applyFont="1"/>
    <xf numFmtId="0" fontId="12" fillId="0" borderId="0" xfId="0" applyNumberFormat="1" applyFont="1" applyAlignment="1">
      <alignment horizontal="left"/>
    </xf>
    <xf numFmtId="1" fontId="0" fillId="0" borderId="10" xfId="0" applyNumberFormat="1" applyBorder="1"/>
    <xf numFmtId="164" fontId="0" fillId="0" borderId="10" xfId="0" applyNumberFormat="1" applyBorder="1"/>
    <xf numFmtId="1" fontId="0" fillId="0" borderId="12" xfId="0" applyNumberFormat="1" applyBorder="1"/>
    <xf numFmtId="164" fontId="0" fillId="0" borderId="12" xfId="0" applyNumberFormat="1" applyBorder="1"/>
    <xf numFmtId="1" fontId="0" fillId="0" borderId="15" xfId="0" applyNumberFormat="1" applyBorder="1"/>
    <xf numFmtId="164" fontId="0" fillId="0" borderId="15" xfId="0" applyNumberFormat="1" applyBorder="1"/>
    <xf numFmtId="164" fontId="0" fillId="0" borderId="13" xfId="0" applyNumberFormat="1" applyBorder="1"/>
    <xf numFmtId="1" fontId="0" fillId="0" borderId="5" xfId="0" applyNumberFormat="1" applyBorder="1"/>
    <xf numFmtId="1" fontId="0" fillId="0" borderId="10" xfId="0" applyNumberFormat="1" applyFill="1" applyBorder="1"/>
    <xf numFmtId="1" fontId="0" fillId="0" borderId="12" xfId="0" applyNumberFormat="1" applyFill="1" applyBorder="1"/>
    <xf numFmtId="1" fontId="0" fillId="0" borderId="15" xfId="0" applyNumberFormat="1" applyFill="1" applyBorder="1"/>
    <xf numFmtId="0" fontId="0" fillId="0" borderId="9" xfId="0" applyBorder="1" applyAlignment="1">
      <alignment horizontal="right"/>
    </xf>
    <xf numFmtId="164" fontId="0" fillId="0" borderId="0" xfId="0" applyNumberFormat="1"/>
    <xf numFmtId="0" fontId="13" fillId="0" borderId="0" xfId="0" applyFont="1"/>
    <xf numFmtId="164" fontId="0" fillId="0" borderId="27" xfId="0" applyNumberFormat="1" applyBorder="1"/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F12"/>
  <sheetViews>
    <sheetView showGridLines="0" workbookViewId="0"/>
  </sheetViews>
  <sheetFormatPr defaultRowHeight="12.75" x14ac:dyDescent="0.2"/>
  <cols>
    <col min="1" max="1" width="4.7109375" customWidth="1"/>
  </cols>
  <sheetData>
    <row r="2" spans="2:6" x14ac:dyDescent="0.2">
      <c r="B2" s="1" t="s">
        <v>0</v>
      </c>
    </row>
    <row r="3" spans="2:6" x14ac:dyDescent="0.2">
      <c r="B3" s="2"/>
      <c r="C3" s="3"/>
      <c r="D3" s="3"/>
      <c r="E3" s="3"/>
      <c r="F3" s="3"/>
    </row>
    <row r="4" spans="2:6" x14ac:dyDescent="0.2">
      <c r="B4" s="4"/>
      <c r="C4" s="5" t="s">
        <v>1</v>
      </c>
      <c r="D4" s="110" t="s">
        <v>165</v>
      </c>
      <c r="E4" s="111"/>
      <c r="F4" s="112"/>
    </row>
    <row r="5" spans="2:6" x14ac:dyDescent="0.2">
      <c r="B5" s="6"/>
      <c r="C5" s="7" t="s">
        <v>111</v>
      </c>
      <c r="D5" s="113">
        <v>2011</v>
      </c>
      <c r="E5" s="114"/>
      <c r="F5" s="115"/>
    </row>
    <row r="6" spans="2:6" x14ac:dyDescent="0.2">
      <c r="B6" s="3"/>
      <c r="C6" s="3"/>
      <c r="D6" s="3"/>
      <c r="E6" s="3"/>
      <c r="F6" s="3"/>
    </row>
    <row r="8" spans="2:6" x14ac:dyDescent="0.2">
      <c r="B8">
        <v>3</v>
      </c>
      <c r="C8" t="s">
        <v>337</v>
      </c>
      <c r="D8">
        <v>2</v>
      </c>
      <c r="E8" t="s">
        <v>338</v>
      </c>
    </row>
    <row r="10" spans="2:6" x14ac:dyDescent="0.2">
      <c r="C10" t="s">
        <v>5</v>
      </c>
      <c r="E10" t="s">
        <v>22</v>
      </c>
    </row>
    <row r="11" spans="2:6" x14ac:dyDescent="0.2">
      <c r="C11" t="s">
        <v>10</v>
      </c>
      <c r="E11" t="s">
        <v>59</v>
      </c>
    </row>
    <row r="12" spans="2:6" x14ac:dyDescent="0.2">
      <c r="C12" t="s">
        <v>12</v>
      </c>
    </row>
  </sheetData>
  <mergeCells count="2">
    <mergeCell ref="D4:F4"/>
    <mergeCell ref="D5:F5"/>
  </mergeCells>
  <phoneticPr fontId="0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H107"/>
  <sheetViews>
    <sheetView showGridLines="0" workbookViewId="0"/>
  </sheetViews>
  <sheetFormatPr defaultRowHeight="12.75" x14ac:dyDescent="0.2"/>
  <cols>
    <col min="1" max="1" width="4.7109375" style="9" customWidth="1"/>
    <col min="2" max="2" width="8" style="9" bestFit="1" customWidth="1"/>
    <col min="3" max="3" width="15.7109375" style="9" bestFit="1" customWidth="1"/>
    <col min="4" max="4" width="8.7109375" style="9" customWidth="1"/>
    <col min="5" max="5" width="4.42578125" style="9" customWidth="1"/>
    <col min="6" max="6" width="3.28515625" style="9" bestFit="1" customWidth="1"/>
    <col min="7" max="7" width="8.7109375" style="9" customWidth="1"/>
    <col min="8" max="8" width="9.42578125" style="9" customWidth="1"/>
    <col min="9" max="16384" width="9.140625" style="9"/>
  </cols>
  <sheetData>
    <row r="2" spans="2:8" x14ac:dyDescent="0.2">
      <c r="B2" s="8" t="s">
        <v>2</v>
      </c>
    </row>
    <row r="3" spans="2:8" x14ac:dyDescent="0.2">
      <c r="B3" s="10" t="s">
        <v>155</v>
      </c>
    </row>
    <row r="4" spans="2:8" x14ac:dyDescent="0.2">
      <c r="B4" s="11"/>
      <c r="C4" s="12"/>
      <c r="D4" s="12"/>
      <c r="E4" s="12"/>
      <c r="F4" s="12"/>
      <c r="G4" s="12"/>
      <c r="H4" s="12"/>
    </row>
    <row r="5" spans="2:8" x14ac:dyDescent="0.2">
      <c r="B5" s="13" t="s">
        <v>3</v>
      </c>
      <c r="C5" s="13" t="s">
        <v>4</v>
      </c>
      <c r="D5" s="13" t="s">
        <v>151</v>
      </c>
      <c r="E5" s="13"/>
      <c r="F5" s="13"/>
      <c r="G5" s="13" t="s">
        <v>152</v>
      </c>
      <c r="H5" s="13"/>
    </row>
    <row r="6" spans="2:8" x14ac:dyDescent="0.2">
      <c r="B6" s="14" t="s">
        <v>5</v>
      </c>
      <c r="C6" s="84"/>
      <c r="D6" s="15">
        <v>345</v>
      </c>
      <c r="E6" s="15" t="s">
        <v>166</v>
      </c>
      <c r="F6" s="15" t="s">
        <v>6</v>
      </c>
      <c r="G6" s="15">
        <f t="shared" ref="G6:G15" si="0">$D6+$C6</f>
        <v>345</v>
      </c>
      <c r="H6" s="16" t="str">
        <f t="shared" ref="H6:H15" si="1">IF(AND($D6=0, $G6&gt;0),"new", IF(AND($D6&gt;0, $G6=0),"sold",""))</f>
        <v/>
      </c>
    </row>
    <row r="7" spans="2:8" x14ac:dyDescent="0.2">
      <c r="B7" s="14" t="s">
        <v>7</v>
      </c>
      <c r="C7" s="84"/>
      <c r="D7" s="15">
        <v>0</v>
      </c>
      <c r="E7" s="15" t="s">
        <v>166</v>
      </c>
      <c r="F7" s="15" t="s">
        <v>6</v>
      </c>
      <c r="G7" s="15">
        <f t="shared" si="0"/>
        <v>0</v>
      </c>
      <c r="H7" s="17" t="str">
        <f t="shared" si="1"/>
        <v/>
      </c>
    </row>
    <row r="8" spans="2:8" x14ac:dyDescent="0.2">
      <c r="B8" s="14" t="s">
        <v>8</v>
      </c>
      <c r="C8" s="84"/>
      <c r="D8" s="15">
        <v>0</v>
      </c>
      <c r="E8" s="15" t="s">
        <v>166</v>
      </c>
      <c r="F8" s="15" t="s">
        <v>6</v>
      </c>
      <c r="G8" s="15">
        <f t="shared" si="0"/>
        <v>0</v>
      </c>
      <c r="H8" s="17" t="str">
        <f t="shared" si="1"/>
        <v/>
      </c>
    </row>
    <row r="9" spans="2:8" x14ac:dyDescent="0.2">
      <c r="B9" s="14" t="s">
        <v>9</v>
      </c>
      <c r="C9" s="84"/>
      <c r="D9" s="15">
        <v>0</v>
      </c>
      <c r="E9" s="15" t="s">
        <v>166</v>
      </c>
      <c r="F9" s="15" t="s">
        <v>6</v>
      </c>
      <c r="G9" s="15">
        <f t="shared" si="0"/>
        <v>0</v>
      </c>
      <c r="H9" s="17" t="str">
        <f t="shared" si="1"/>
        <v/>
      </c>
    </row>
    <row r="10" spans="2:8" x14ac:dyDescent="0.2">
      <c r="B10" s="14" t="s">
        <v>10</v>
      </c>
      <c r="C10" s="84"/>
      <c r="D10" s="15">
        <v>500</v>
      </c>
      <c r="E10" s="15" t="s">
        <v>166</v>
      </c>
      <c r="F10" s="15" t="s">
        <v>6</v>
      </c>
      <c r="G10" s="15">
        <f t="shared" si="0"/>
        <v>500</v>
      </c>
      <c r="H10" s="17" t="str">
        <f t="shared" si="1"/>
        <v/>
      </c>
    </row>
    <row r="11" spans="2:8" x14ac:dyDescent="0.2">
      <c r="B11" s="14" t="s">
        <v>11</v>
      </c>
      <c r="C11" s="84"/>
      <c r="D11" s="15">
        <v>0</v>
      </c>
      <c r="E11" s="15" t="s">
        <v>166</v>
      </c>
      <c r="F11" s="15" t="s">
        <v>6</v>
      </c>
      <c r="G11" s="15">
        <f t="shared" si="0"/>
        <v>0</v>
      </c>
      <c r="H11" s="17" t="str">
        <f t="shared" si="1"/>
        <v/>
      </c>
    </row>
    <row r="12" spans="2:8" x14ac:dyDescent="0.2">
      <c r="B12" s="14" t="s">
        <v>12</v>
      </c>
      <c r="C12" s="84"/>
      <c r="D12" s="15">
        <v>3589</v>
      </c>
      <c r="E12" s="15" t="s">
        <v>166</v>
      </c>
      <c r="F12" s="15" t="s">
        <v>6</v>
      </c>
      <c r="G12" s="15">
        <f t="shared" si="0"/>
        <v>3589</v>
      </c>
      <c r="H12" s="17" t="str">
        <f t="shared" si="1"/>
        <v/>
      </c>
    </row>
    <row r="13" spans="2:8" x14ac:dyDescent="0.2">
      <c r="B13" s="14" t="s">
        <v>13</v>
      </c>
      <c r="C13" s="84"/>
      <c r="D13" s="15">
        <v>0</v>
      </c>
      <c r="E13" s="15" t="s">
        <v>166</v>
      </c>
      <c r="F13" s="15" t="s">
        <v>6</v>
      </c>
      <c r="G13" s="15">
        <f t="shared" si="0"/>
        <v>0</v>
      </c>
      <c r="H13" s="17" t="str">
        <f t="shared" si="1"/>
        <v/>
      </c>
    </row>
    <row r="14" spans="2:8" x14ac:dyDescent="0.2">
      <c r="B14" s="14" t="s">
        <v>14</v>
      </c>
      <c r="C14" s="84"/>
      <c r="D14" s="15">
        <v>0</v>
      </c>
      <c r="E14" s="15" t="s">
        <v>166</v>
      </c>
      <c r="F14" s="15" t="s">
        <v>6</v>
      </c>
      <c r="G14" s="15">
        <f t="shared" si="0"/>
        <v>0</v>
      </c>
      <c r="H14" s="17" t="str">
        <f t="shared" si="1"/>
        <v/>
      </c>
    </row>
    <row r="15" spans="2:8" x14ac:dyDescent="0.2">
      <c r="B15" s="18" t="s">
        <v>15</v>
      </c>
      <c r="C15" s="84"/>
      <c r="D15" s="15">
        <v>0</v>
      </c>
      <c r="E15" s="15" t="s">
        <v>166</v>
      </c>
      <c r="F15" s="19" t="s">
        <v>6</v>
      </c>
      <c r="G15" s="15">
        <f t="shared" si="0"/>
        <v>0</v>
      </c>
      <c r="H15" s="20" t="str">
        <f t="shared" si="1"/>
        <v/>
      </c>
    </row>
    <row r="16" spans="2:8" x14ac:dyDescent="0.2">
      <c r="B16" s="21"/>
      <c r="C16" s="21"/>
      <c r="D16" s="21">
        <f>COUNTIF($D$6:$D$15,"&gt;0")</f>
        <v>3</v>
      </c>
      <c r="E16" s="21" t="s">
        <v>16</v>
      </c>
      <c r="F16" s="12"/>
      <c r="G16" s="21">
        <f>COUNTIF(G6:G15,"&gt;0")</f>
        <v>3</v>
      </c>
      <c r="H16" s="82" t="s">
        <v>16</v>
      </c>
    </row>
    <row r="18" spans="2:8" x14ac:dyDescent="0.2">
      <c r="B18" s="10" t="s">
        <v>148</v>
      </c>
    </row>
    <row r="19" spans="2:8" x14ac:dyDescent="0.2">
      <c r="B19" s="11"/>
      <c r="C19" s="12"/>
      <c r="D19" s="12"/>
      <c r="E19" s="12"/>
      <c r="F19" s="12"/>
      <c r="G19" s="12"/>
      <c r="H19" s="12"/>
    </row>
    <row r="20" spans="2:8" x14ac:dyDescent="0.2">
      <c r="B20" s="13" t="s">
        <v>3</v>
      </c>
      <c r="C20" s="13" t="s">
        <v>17</v>
      </c>
      <c r="D20" s="13" t="s">
        <v>151</v>
      </c>
      <c r="E20" s="13"/>
      <c r="F20" s="13"/>
      <c r="G20" s="13" t="s">
        <v>152</v>
      </c>
      <c r="H20" s="13"/>
    </row>
    <row r="21" spans="2:8" x14ac:dyDescent="0.2">
      <c r="B21" s="14" t="s">
        <v>5</v>
      </c>
      <c r="C21" s="85"/>
      <c r="D21" s="15">
        <v>11</v>
      </c>
      <c r="E21" s="15"/>
      <c r="F21" s="15" t="s">
        <v>6</v>
      </c>
      <c r="G21" s="15">
        <f t="shared" ref="G21:G30" si="2">$D21+$C21</f>
        <v>11</v>
      </c>
      <c r="H21" s="17"/>
    </row>
    <row r="22" spans="2:8" x14ac:dyDescent="0.2">
      <c r="B22" s="14" t="s">
        <v>7</v>
      </c>
      <c r="C22" s="85"/>
      <c r="D22" s="15">
        <v>0</v>
      </c>
      <c r="E22" s="15"/>
      <c r="F22" s="15" t="s">
        <v>6</v>
      </c>
      <c r="G22" s="15">
        <f t="shared" si="2"/>
        <v>0</v>
      </c>
      <c r="H22" s="17"/>
    </row>
    <row r="23" spans="2:8" x14ac:dyDescent="0.2">
      <c r="B23" s="14" t="s">
        <v>8</v>
      </c>
      <c r="C23" s="85"/>
      <c r="D23" s="15">
        <v>0</v>
      </c>
      <c r="E23" s="15"/>
      <c r="F23" s="15" t="s">
        <v>6</v>
      </c>
      <c r="G23" s="15">
        <f t="shared" si="2"/>
        <v>0</v>
      </c>
      <c r="H23" s="17"/>
    </row>
    <row r="24" spans="2:8" x14ac:dyDescent="0.2">
      <c r="B24" s="14" t="s">
        <v>9</v>
      </c>
      <c r="C24" s="85"/>
      <c r="D24" s="15">
        <v>0</v>
      </c>
      <c r="E24" s="15"/>
      <c r="F24" s="15" t="s">
        <v>6</v>
      </c>
      <c r="G24" s="15">
        <f t="shared" si="2"/>
        <v>0</v>
      </c>
      <c r="H24" s="17"/>
    </row>
    <row r="25" spans="2:8" x14ac:dyDescent="0.2">
      <c r="B25" s="14" t="s">
        <v>10</v>
      </c>
      <c r="C25" s="85"/>
      <c r="D25" s="15">
        <v>22</v>
      </c>
      <c r="E25" s="15"/>
      <c r="F25" s="15" t="s">
        <v>6</v>
      </c>
      <c r="G25" s="15">
        <f t="shared" si="2"/>
        <v>22</v>
      </c>
      <c r="H25" s="17"/>
    </row>
    <row r="26" spans="2:8" x14ac:dyDescent="0.2">
      <c r="B26" s="14" t="s">
        <v>11</v>
      </c>
      <c r="C26" s="85"/>
      <c r="D26" s="15">
        <v>0</v>
      </c>
      <c r="E26" s="15"/>
      <c r="F26" s="15" t="s">
        <v>6</v>
      </c>
      <c r="G26" s="15">
        <f t="shared" si="2"/>
        <v>0</v>
      </c>
      <c r="H26" s="17"/>
    </row>
    <row r="27" spans="2:8" x14ac:dyDescent="0.2">
      <c r="B27" s="14" t="s">
        <v>12</v>
      </c>
      <c r="C27" s="85"/>
      <c r="D27" s="15">
        <v>53</v>
      </c>
      <c r="E27" s="15"/>
      <c r="F27" s="15" t="s">
        <v>6</v>
      </c>
      <c r="G27" s="15">
        <f t="shared" si="2"/>
        <v>53</v>
      </c>
      <c r="H27" s="17"/>
    </row>
    <row r="28" spans="2:8" x14ac:dyDescent="0.2">
      <c r="B28" s="14" t="s">
        <v>13</v>
      </c>
      <c r="C28" s="85"/>
      <c r="D28" s="15">
        <v>0</v>
      </c>
      <c r="E28" s="15"/>
      <c r="F28" s="15" t="s">
        <v>6</v>
      </c>
      <c r="G28" s="15">
        <f t="shared" si="2"/>
        <v>0</v>
      </c>
      <c r="H28" s="17"/>
    </row>
    <row r="29" spans="2:8" x14ac:dyDescent="0.2">
      <c r="B29" s="14" t="s">
        <v>14</v>
      </c>
      <c r="C29" s="85"/>
      <c r="D29" s="15">
        <v>0</v>
      </c>
      <c r="E29" s="15"/>
      <c r="F29" s="15" t="s">
        <v>6</v>
      </c>
      <c r="G29" s="15">
        <f t="shared" si="2"/>
        <v>0</v>
      </c>
      <c r="H29" s="17"/>
    </row>
    <row r="30" spans="2:8" x14ac:dyDescent="0.2">
      <c r="B30" s="18" t="s">
        <v>15</v>
      </c>
      <c r="C30" s="85"/>
      <c r="D30" s="15">
        <v>0</v>
      </c>
      <c r="E30" s="15"/>
      <c r="F30" s="19" t="s">
        <v>6</v>
      </c>
      <c r="G30" s="15">
        <f t="shared" si="2"/>
        <v>0</v>
      </c>
      <c r="H30" s="20"/>
    </row>
    <row r="31" spans="2:8" x14ac:dyDescent="0.2">
      <c r="B31" s="21"/>
      <c r="C31" s="21"/>
      <c r="D31" s="21">
        <f>SUM($D$21:$D$30)</f>
        <v>86</v>
      </c>
      <c r="E31" s="21" t="s">
        <v>18</v>
      </c>
      <c r="F31" s="21"/>
      <c r="G31" s="21"/>
      <c r="H31" s="22"/>
    </row>
    <row r="33" spans="2:8" x14ac:dyDescent="0.2">
      <c r="B33" s="10" t="s">
        <v>156</v>
      </c>
    </row>
    <row r="34" spans="2:8" x14ac:dyDescent="0.2">
      <c r="B34" s="11"/>
      <c r="C34" s="12"/>
      <c r="D34" s="12"/>
      <c r="E34" s="12"/>
      <c r="F34" s="12"/>
      <c r="G34" s="12"/>
      <c r="H34" s="12"/>
    </row>
    <row r="35" spans="2:8" x14ac:dyDescent="0.2">
      <c r="B35" s="13" t="s">
        <v>3</v>
      </c>
      <c r="C35" s="13" t="s">
        <v>4</v>
      </c>
      <c r="D35" s="23" t="s">
        <v>151</v>
      </c>
      <c r="E35" s="23"/>
      <c r="F35" s="23"/>
      <c r="G35" s="24" t="s">
        <v>152</v>
      </c>
      <c r="H35" s="13"/>
    </row>
    <row r="36" spans="2:8" x14ac:dyDescent="0.2">
      <c r="B36" s="25" t="s">
        <v>19</v>
      </c>
      <c r="C36" s="84"/>
      <c r="D36" s="25">
        <v>0</v>
      </c>
      <c r="E36" s="26" t="s">
        <v>166</v>
      </c>
      <c r="F36" s="26" t="s">
        <v>6</v>
      </c>
      <c r="G36" s="15">
        <f t="shared" ref="G36:G67" si="3">$D36+$C36</f>
        <v>0</v>
      </c>
      <c r="H36" s="17" t="str">
        <f t="shared" ref="H36:H67" si="4">IF(AND($D36=0, $G36&gt;0),"new", IF(AND($D36&gt;0, $G36=0),"sold",""))</f>
        <v/>
      </c>
    </row>
    <row r="37" spans="2:8" x14ac:dyDescent="0.2">
      <c r="B37" s="14" t="s">
        <v>20</v>
      </c>
      <c r="C37" s="84"/>
      <c r="D37" s="14">
        <v>0</v>
      </c>
      <c r="E37" s="15" t="s">
        <v>166</v>
      </c>
      <c r="F37" s="15" t="s">
        <v>6</v>
      </c>
      <c r="G37" s="15">
        <f t="shared" si="3"/>
        <v>0</v>
      </c>
      <c r="H37" s="17" t="str">
        <f t="shared" si="4"/>
        <v/>
      </c>
    </row>
    <row r="38" spans="2:8" x14ac:dyDescent="0.2">
      <c r="B38" s="14" t="s">
        <v>21</v>
      </c>
      <c r="C38" s="84"/>
      <c r="D38" s="14">
        <v>0</v>
      </c>
      <c r="E38" s="15" t="s">
        <v>166</v>
      </c>
      <c r="F38" s="15" t="s">
        <v>6</v>
      </c>
      <c r="G38" s="15">
        <f t="shared" si="3"/>
        <v>0</v>
      </c>
      <c r="H38" s="17" t="str">
        <f t="shared" si="4"/>
        <v/>
      </c>
    </row>
    <row r="39" spans="2:8" x14ac:dyDescent="0.2">
      <c r="B39" s="14" t="s">
        <v>22</v>
      </c>
      <c r="C39" s="84"/>
      <c r="D39" s="14">
        <v>40000</v>
      </c>
      <c r="E39" s="15" t="s">
        <v>166</v>
      </c>
      <c r="F39" s="15" t="s">
        <v>6</v>
      </c>
      <c r="G39" s="15">
        <f t="shared" si="3"/>
        <v>40000</v>
      </c>
      <c r="H39" s="17" t="str">
        <f t="shared" si="4"/>
        <v/>
      </c>
    </row>
    <row r="40" spans="2:8" x14ac:dyDescent="0.2">
      <c r="B40" s="14" t="s">
        <v>23</v>
      </c>
      <c r="C40" s="84"/>
      <c r="D40" s="14">
        <v>0</v>
      </c>
      <c r="E40" s="15" t="s">
        <v>166</v>
      </c>
      <c r="F40" s="15" t="s">
        <v>6</v>
      </c>
      <c r="G40" s="15">
        <f t="shared" si="3"/>
        <v>0</v>
      </c>
      <c r="H40" s="17" t="str">
        <f t="shared" si="4"/>
        <v/>
      </c>
    </row>
    <row r="41" spans="2:8" x14ac:dyDescent="0.2">
      <c r="B41" s="14" t="s">
        <v>24</v>
      </c>
      <c r="C41" s="84"/>
      <c r="D41" s="14">
        <v>0</v>
      </c>
      <c r="E41" s="15" t="s">
        <v>166</v>
      </c>
      <c r="F41" s="15" t="s">
        <v>6</v>
      </c>
      <c r="G41" s="15">
        <f t="shared" si="3"/>
        <v>0</v>
      </c>
      <c r="H41" s="17" t="str">
        <f t="shared" si="4"/>
        <v/>
      </c>
    </row>
    <row r="42" spans="2:8" x14ac:dyDescent="0.2">
      <c r="B42" s="14" t="s">
        <v>25</v>
      </c>
      <c r="C42" s="84"/>
      <c r="D42" s="14">
        <v>0</v>
      </c>
      <c r="E42" s="15" t="s">
        <v>166</v>
      </c>
      <c r="F42" s="15" t="s">
        <v>6</v>
      </c>
      <c r="G42" s="15">
        <f t="shared" si="3"/>
        <v>0</v>
      </c>
      <c r="H42" s="17" t="str">
        <f t="shared" si="4"/>
        <v/>
      </c>
    </row>
    <row r="43" spans="2:8" x14ac:dyDescent="0.2">
      <c r="B43" s="14" t="s">
        <v>26</v>
      </c>
      <c r="C43" s="84"/>
      <c r="D43" s="14">
        <v>0</v>
      </c>
      <c r="E43" s="15" t="s">
        <v>166</v>
      </c>
      <c r="F43" s="15" t="s">
        <v>6</v>
      </c>
      <c r="G43" s="15">
        <f t="shared" si="3"/>
        <v>0</v>
      </c>
      <c r="H43" s="17" t="str">
        <f t="shared" si="4"/>
        <v/>
      </c>
    </row>
    <row r="44" spans="2:8" x14ac:dyDescent="0.2">
      <c r="B44" s="14" t="s">
        <v>27</v>
      </c>
      <c r="C44" s="84"/>
      <c r="D44" s="14">
        <v>0</v>
      </c>
      <c r="E44" s="15" t="s">
        <v>166</v>
      </c>
      <c r="F44" s="15" t="s">
        <v>6</v>
      </c>
      <c r="G44" s="15">
        <f t="shared" si="3"/>
        <v>0</v>
      </c>
      <c r="H44" s="17" t="str">
        <f t="shared" si="4"/>
        <v/>
      </c>
    </row>
    <row r="45" spans="2:8" x14ac:dyDescent="0.2">
      <c r="B45" s="14" t="s">
        <v>28</v>
      </c>
      <c r="C45" s="84"/>
      <c r="D45" s="14">
        <v>0</v>
      </c>
      <c r="E45" s="15" t="s">
        <v>166</v>
      </c>
      <c r="F45" s="15" t="s">
        <v>6</v>
      </c>
      <c r="G45" s="15">
        <f t="shared" si="3"/>
        <v>0</v>
      </c>
      <c r="H45" s="17" t="str">
        <f t="shared" si="4"/>
        <v/>
      </c>
    </row>
    <row r="46" spans="2:8" x14ac:dyDescent="0.2">
      <c r="B46" s="14" t="s">
        <v>29</v>
      </c>
      <c r="C46" s="84"/>
      <c r="D46" s="14">
        <v>0</v>
      </c>
      <c r="E46" s="15" t="s">
        <v>166</v>
      </c>
      <c r="F46" s="15" t="s">
        <v>6</v>
      </c>
      <c r="G46" s="15">
        <f t="shared" si="3"/>
        <v>0</v>
      </c>
      <c r="H46" s="17" t="str">
        <f t="shared" si="4"/>
        <v/>
      </c>
    </row>
    <row r="47" spans="2:8" x14ac:dyDescent="0.2">
      <c r="B47" s="14" t="s">
        <v>30</v>
      </c>
      <c r="C47" s="84"/>
      <c r="D47" s="14">
        <v>0</v>
      </c>
      <c r="E47" s="15" t="s">
        <v>166</v>
      </c>
      <c r="F47" s="15" t="s">
        <v>6</v>
      </c>
      <c r="G47" s="15">
        <f t="shared" si="3"/>
        <v>0</v>
      </c>
      <c r="H47" s="17" t="str">
        <f t="shared" si="4"/>
        <v/>
      </c>
    </row>
    <row r="48" spans="2:8" x14ac:dyDescent="0.2">
      <c r="B48" s="14" t="s">
        <v>31</v>
      </c>
      <c r="C48" s="84"/>
      <c r="D48" s="14">
        <v>0</v>
      </c>
      <c r="E48" s="15" t="s">
        <v>166</v>
      </c>
      <c r="F48" s="15" t="s">
        <v>6</v>
      </c>
      <c r="G48" s="15">
        <f t="shared" si="3"/>
        <v>0</v>
      </c>
      <c r="H48" s="17" t="str">
        <f t="shared" si="4"/>
        <v/>
      </c>
    </row>
    <row r="49" spans="2:8" x14ac:dyDescent="0.2">
      <c r="B49" s="14" t="s">
        <v>32</v>
      </c>
      <c r="C49" s="84"/>
      <c r="D49" s="14">
        <v>0</v>
      </c>
      <c r="E49" s="15" t="s">
        <v>166</v>
      </c>
      <c r="F49" s="15" t="s">
        <v>6</v>
      </c>
      <c r="G49" s="15">
        <f t="shared" si="3"/>
        <v>0</v>
      </c>
      <c r="H49" s="17" t="str">
        <f t="shared" si="4"/>
        <v/>
      </c>
    </row>
    <row r="50" spans="2:8" x14ac:dyDescent="0.2">
      <c r="B50" s="14" t="s">
        <v>33</v>
      </c>
      <c r="C50" s="84"/>
      <c r="D50" s="14">
        <v>0</v>
      </c>
      <c r="E50" s="15" t="s">
        <v>166</v>
      </c>
      <c r="F50" s="15" t="s">
        <v>6</v>
      </c>
      <c r="G50" s="15">
        <f t="shared" si="3"/>
        <v>0</v>
      </c>
      <c r="H50" s="17" t="str">
        <f t="shared" si="4"/>
        <v/>
      </c>
    </row>
    <row r="51" spans="2:8" x14ac:dyDescent="0.2">
      <c r="B51" s="14" t="s">
        <v>34</v>
      </c>
      <c r="C51" s="84"/>
      <c r="D51" s="14">
        <v>0</v>
      </c>
      <c r="E51" s="15" t="s">
        <v>166</v>
      </c>
      <c r="F51" s="15" t="s">
        <v>6</v>
      </c>
      <c r="G51" s="15">
        <f t="shared" si="3"/>
        <v>0</v>
      </c>
      <c r="H51" s="17" t="str">
        <f t="shared" si="4"/>
        <v/>
      </c>
    </row>
    <row r="52" spans="2:8" x14ac:dyDescent="0.2">
      <c r="B52" s="14" t="s">
        <v>35</v>
      </c>
      <c r="C52" s="84"/>
      <c r="D52" s="14">
        <v>0</v>
      </c>
      <c r="E52" s="15" t="s">
        <v>166</v>
      </c>
      <c r="F52" s="15" t="s">
        <v>6</v>
      </c>
      <c r="G52" s="15">
        <f t="shared" si="3"/>
        <v>0</v>
      </c>
      <c r="H52" s="17" t="str">
        <f t="shared" si="4"/>
        <v/>
      </c>
    </row>
    <row r="53" spans="2:8" x14ac:dyDescent="0.2">
      <c r="B53" s="14" t="s">
        <v>36</v>
      </c>
      <c r="C53" s="84"/>
      <c r="D53" s="14">
        <v>0</v>
      </c>
      <c r="E53" s="15" t="s">
        <v>166</v>
      </c>
      <c r="F53" s="15" t="s">
        <v>6</v>
      </c>
      <c r="G53" s="15">
        <f t="shared" si="3"/>
        <v>0</v>
      </c>
      <c r="H53" s="17" t="str">
        <f t="shared" si="4"/>
        <v/>
      </c>
    </row>
    <row r="54" spans="2:8" x14ac:dyDescent="0.2">
      <c r="B54" s="14" t="s">
        <v>37</v>
      </c>
      <c r="C54" s="84"/>
      <c r="D54" s="14">
        <v>0</v>
      </c>
      <c r="E54" s="15" t="s">
        <v>166</v>
      </c>
      <c r="F54" s="15" t="s">
        <v>6</v>
      </c>
      <c r="G54" s="15">
        <f t="shared" si="3"/>
        <v>0</v>
      </c>
      <c r="H54" s="17" t="str">
        <f t="shared" si="4"/>
        <v/>
      </c>
    </row>
    <row r="55" spans="2:8" x14ac:dyDescent="0.2">
      <c r="B55" s="14" t="s">
        <v>38</v>
      </c>
      <c r="C55" s="84"/>
      <c r="D55" s="14">
        <v>0</v>
      </c>
      <c r="E55" s="15" t="s">
        <v>166</v>
      </c>
      <c r="F55" s="15" t="s">
        <v>6</v>
      </c>
      <c r="G55" s="15">
        <f t="shared" si="3"/>
        <v>0</v>
      </c>
      <c r="H55" s="17" t="str">
        <f t="shared" si="4"/>
        <v/>
      </c>
    </row>
    <row r="56" spans="2:8" x14ac:dyDescent="0.2">
      <c r="B56" s="14" t="s">
        <v>39</v>
      </c>
      <c r="C56" s="84"/>
      <c r="D56" s="14">
        <v>0</v>
      </c>
      <c r="E56" s="15" t="s">
        <v>166</v>
      </c>
      <c r="F56" s="15" t="s">
        <v>6</v>
      </c>
      <c r="G56" s="15">
        <f t="shared" si="3"/>
        <v>0</v>
      </c>
      <c r="H56" s="17" t="str">
        <f t="shared" si="4"/>
        <v/>
      </c>
    </row>
    <row r="57" spans="2:8" x14ac:dyDescent="0.2">
      <c r="B57" s="14" t="s">
        <v>40</v>
      </c>
      <c r="C57" s="84"/>
      <c r="D57" s="14">
        <v>0</v>
      </c>
      <c r="E57" s="15" t="s">
        <v>166</v>
      </c>
      <c r="F57" s="15" t="s">
        <v>6</v>
      </c>
      <c r="G57" s="15">
        <f t="shared" si="3"/>
        <v>0</v>
      </c>
      <c r="H57" s="17" t="str">
        <f t="shared" si="4"/>
        <v/>
      </c>
    </row>
    <row r="58" spans="2:8" x14ac:dyDescent="0.2">
      <c r="B58" s="14" t="s">
        <v>41</v>
      </c>
      <c r="C58" s="84"/>
      <c r="D58" s="14">
        <v>0</v>
      </c>
      <c r="E58" s="15" t="s">
        <v>166</v>
      </c>
      <c r="F58" s="15" t="s">
        <v>6</v>
      </c>
      <c r="G58" s="15">
        <f t="shared" si="3"/>
        <v>0</v>
      </c>
      <c r="H58" s="17" t="str">
        <f t="shared" si="4"/>
        <v/>
      </c>
    </row>
    <row r="59" spans="2:8" x14ac:dyDescent="0.2">
      <c r="B59" s="14" t="s">
        <v>42</v>
      </c>
      <c r="C59" s="84"/>
      <c r="D59" s="14">
        <v>0</v>
      </c>
      <c r="E59" s="15" t="s">
        <v>166</v>
      </c>
      <c r="F59" s="15" t="s">
        <v>6</v>
      </c>
      <c r="G59" s="15">
        <f t="shared" si="3"/>
        <v>0</v>
      </c>
      <c r="H59" s="17" t="str">
        <f t="shared" si="4"/>
        <v/>
      </c>
    </row>
    <row r="60" spans="2:8" x14ac:dyDescent="0.2">
      <c r="B60" s="14" t="s">
        <v>43</v>
      </c>
      <c r="C60" s="84"/>
      <c r="D60" s="15">
        <v>0</v>
      </c>
      <c r="E60" s="15" t="s">
        <v>166</v>
      </c>
      <c r="F60" s="15" t="s">
        <v>6</v>
      </c>
      <c r="G60" s="15">
        <f t="shared" si="3"/>
        <v>0</v>
      </c>
      <c r="H60" s="17" t="str">
        <f t="shared" si="4"/>
        <v/>
      </c>
    </row>
    <row r="61" spans="2:8" x14ac:dyDescent="0.2">
      <c r="B61" s="14" t="s">
        <v>44</v>
      </c>
      <c r="C61" s="85"/>
      <c r="D61" s="15">
        <v>0</v>
      </c>
      <c r="E61" s="15" t="s">
        <v>166</v>
      </c>
      <c r="F61" s="15" t="s">
        <v>6</v>
      </c>
      <c r="G61" s="15">
        <f t="shared" si="3"/>
        <v>0</v>
      </c>
      <c r="H61" s="17" t="str">
        <f t="shared" si="4"/>
        <v/>
      </c>
    </row>
    <row r="62" spans="2:8" x14ac:dyDescent="0.2">
      <c r="B62" s="14" t="s">
        <v>45</v>
      </c>
      <c r="C62" s="85"/>
      <c r="D62" s="15">
        <v>0</v>
      </c>
      <c r="E62" s="15" t="s">
        <v>166</v>
      </c>
      <c r="F62" s="15" t="s">
        <v>6</v>
      </c>
      <c r="G62" s="15">
        <f t="shared" si="3"/>
        <v>0</v>
      </c>
      <c r="H62" s="17" t="str">
        <f t="shared" si="4"/>
        <v/>
      </c>
    </row>
    <row r="63" spans="2:8" x14ac:dyDescent="0.2">
      <c r="B63" s="14" t="s">
        <v>46</v>
      </c>
      <c r="C63" s="85"/>
      <c r="D63" s="15">
        <v>0</v>
      </c>
      <c r="E63" s="15" t="s">
        <v>166</v>
      </c>
      <c r="F63" s="15" t="s">
        <v>6</v>
      </c>
      <c r="G63" s="15">
        <f t="shared" si="3"/>
        <v>0</v>
      </c>
      <c r="H63" s="17" t="str">
        <f t="shared" si="4"/>
        <v/>
      </c>
    </row>
    <row r="64" spans="2:8" x14ac:dyDescent="0.2">
      <c r="B64" s="14" t="s">
        <v>47</v>
      </c>
      <c r="C64" s="85"/>
      <c r="D64" s="15">
        <v>0</v>
      </c>
      <c r="E64" s="15" t="s">
        <v>166</v>
      </c>
      <c r="F64" s="15" t="s">
        <v>6</v>
      </c>
      <c r="G64" s="15">
        <f t="shared" si="3"/>
        <v>0</v>
      </c>
      <c r="H64" s="17" t="str">
        <f t="shared" si="4"/>
        <v/>
      </c>
    </row>
    <row r="65" spans="2:8" x14ac:dyDescent="0.2">
      <c r="B65" s="14" t="s">
        <v>48</v>
      </c>
      <c r="C65" s="85"/>
      <c r="D65" s="15">
        <v>0</v>
      </c>
      <c r="E65" s="15" t="s">
        <v>166</v>
      </c>
      <c r="F65" s="15" t="s">
        <v>6</v>
      </c>
      <c r="G65" s="15">
        <f t="shared" si="3"/>
        <v>0</v>
      </c>
      <c r="H65" s="17" t="str">
        <f t="shared" si="4"/>
        <v/>
      </c>
    </row>
    <row r="66" spans="2:8" x14ac:dyDescent="0.2">
      <c r="B66" s="14" t="s">
        <v>49</v>
      </c>
      <c r="C66" s="85"/>
      <c r="D66" s="15">
        <v>0</v>
      </c>
      <c r="E66" s="15" t="s">
        <v>166</v>
      </c>
      <c r="F66" s="15" t="s">
        <v>6</v>
      </c>
      <c r="G66" s="15">
        <f t="shared" si="3"/>
        <v>0</v>
      </c>
      <c r="H66" s="17" t="str">
        <f t="shared" si="4"/>
        <v/>
      </c>
    </row>
    <row r="67" spans="2:8" x14ac:dyDescent="0.2">
      <c r="B67" s="14" t="s">
        <v>50</v>
      </c>
      <c r="C67" s="85"/>
      <c r="D67" s="15">
        <v>0</v>
      </c>
      <c r="E67" s="15" t="s">
        <v>166</v>
      </c>
      <c r="F67" s="15" t="s">
        <v>6</v>
      </c>
      <c r="G67" s="15">
        <f t="shared" si="3"/>
        <v>0</v>
      </c>
      <c r="H67" s="17" t="str">
        <f t="shared" si="4"/>
        <v/>
      </c>
    </row>
    <row r="68" spans="2:8" x14ac:dyDescent="0.2">
      <c r="B68" s="14" t="s">
        <v>51</v>
      </c>
      <c r="C68" s="85"/>
      <c r="D68" s="15">
        <v>0</v>
      </c>
      <c r="E68" s="15" t="s">
        <v>166</v>
      </c>
      <c r="F68" s="15" t="s">
        <v>6</v>
      </c>
      <c r="G68" s="15">
        <f t="shared" ref="G68:G99" si="5">$D68+$C68</f>
        <v>0</v>
      </c>
      <c r="H68" s="17" t="str">
        <f t="shared" ref="H68:H99" si="6">IF(AND($D68=0, $G68&gt;0),"new", IF(AND($D68&gt;0, $G68=0),"sold",""))</f>
        <v/>
      </c>
    </row>
    <row r="69" spans="2:8" x14ac:dyDescent="0.2">
      <c r="B69" s="14" t="s">
        <v>52</v>
      </c>
      <c r="C69" s="85"/>
      <c r="D69" s="15">
        <v>0</v>
      </c>
      <c r="E69" s="15" t="s">
        <v>166</v>
      </c>
      <c r="F69" s="15" t="s">
        <v>6</v>
      </c>
      <c r="G69" s="15">
        <f t="shared" si="5"/>
        <v>0</v>
      </c>
      <c r="H69" s="17" t="str">
        <f t="shared" si="6"/>
        <v/>
      </c>
    </row>
    <row r="70" spans="2:8" x14ac:dyDescent="0.2">
      <c r="B70" s="14" t="s">
        <v>53</v>
      </c>
      <c r="C70" s="85"/>
      <c r="D70" s="15">
        <v>0</v>
      </c>
      <c r="E70" s="15" t="s">
        <v>166</v>
      </c>
      <c r="F70" s="15" t="s">
        <v>6</v>
      </c>
      <c r="G70" s="15">
        <f t="shared" si="5"/>
        <v>0</v>
      </c>
      <c r="H70" s="17" t="str">
        <f t="shared" si="6"/>
        <v/>
      </c>
    </row>
    <row r="71" spans="2:8" x14ac:dyDescent="0.2">
      <c r="B71" s="14" t="s">
        <v>54</v>
      </c>
      <c r="C71" s="85"/>
      <c r="D71" s="15">
        <v>0</v>
      </c>
      <c r="E71" s="15" t="s">
        <v>166</v>
      </c>
      <c r="F71" s="15" t="s">
        <v>6</v>
      </c>
      <c r="G71" s="15">
        <f t="shared" si="5"/>
        <v>0</v>
      </c>
      <c r="H71" s="17" t="str">
        <f t="shared" si="6"/>
        <v/>
      </c>
    </row>
    <row r="72" spans="2:8" x14ac:dyDescent="0.2">
      <c r="B72" s="14" t="s">
        <v>55</v>
      </c>
      <c r="C72" s="85"/>
      <c r="D72" s="15">
        <v>0</v>
      </c>
      <c r="E72" s="15" t="s">
        <v>166</v>
      </c>
      <c r="F72" s="15" t="s">
        <v>6</v>
      </c>
      <c r="G72" s="15">
        <f t="shared" si="5"/>
        <v>0</v>
      </c>
      <c r="H72" s="17" t="str">
        <f t="shared" si="6"/>
        <v/>
      </c>
    </row>
    <row r="73" spans="2:8" x14ac:dyDescent="0.2">
      <c r="B73" s="14" t="s">
        <v>56</v>
      </c>
      <c r="C73" s="85"/>
      <c r="D73" s="15">
        <v>0</v>
      </c>
      <c r="E73" s="15" t="s">
        <v>166</v>
      </c>
      <c r="F73" s="15" t="s">
        <v>6</v>
      </c>
      <c r="G73" s="15">
        <f t="shared" si="5"/>
        <v>0</v>
      </c>
      <c r="H73" s="17" t="str">
        <f t="shared" si="6"/>
        <v/>
      </c>
    </row>
    <row r="74" spans="2:8" x14ac:dyDescent="0.2">
      <c r="B74" s="14" t="s">
        <v>57</v>
      </c>
      <c r="C74" s="85"/>
      <c r="D74" s="15">
        <v>0</v>
      </c>
      <c r="E74" s="15" t="s">
        <v>166</v>
      </c>
      <c r="F74" s="15" t="s">
        <v>6</v>
      </c>
      <c r="G74" s="15">
        <f t="shared" si="5"/>
        <v>0</v>
      </c>
      <c r="H74" s="17" t="str">
        <f t="shared" si="6"/>
        <v/>
      </c>
    </row>
    <row r="75" spans="2:8" x14ac:dyDescent="0.2">
      <c r="B75" s="14" t="s">
        <v>58</v>
      </c>
      <c r="C75" s="85"/>
      <c r="D75" s="15">
        <v>0</v>
      </c>
      <c r="E75" s="15" t="s">
        <v>166</v>
      </c>
      <c r="F75" s="15" t="s">
        <v>6</v>
      </c>
      <c r="G75" s="15">
        <f t="shared" si="5"/>
        <v>0</v>
      </c>
      <c r="H75" s="17" t="str">
        <f t="shared" si="6"/>
        <v/>
      </c>
    </row>
    <row r="76" spans="2:8" x14ac:dyDescent="0.2">
      <c r="B76" s="14" t="s">
        <v>59</v>
      </c>
      <c r="C76" s="85"/>
      <c r="D76" s="15">
        <v>43000</v>
      </c>
      <c r="E76" s="15" t="s">
        <v>166</v>
      </c>
      <c r="F76" s="15" t="s">
        <v>6</v>
      </c>
      <c r="G76" s="15">
        <f t="shared" si="5"/>
        <v>43000</v>
      </c>
      <c r="H76" s="17" t="str">
        <f t="shared" si="6"/>
        <v/>
      </c>
    </row>
    <row r="77" spans="2:8" x14ac:dyDescent="0.2">
      <c r="B77" s="14" t="s">
        <v>60</v>
      </c>
      <c r="C77" s="85"/>
      <c r="D77" s="15">
        <v>0</v>
      </c>
      <c r="E77" s="15" t="s">
        <v>166</v>
      </c>
      <c r="F77" s="15" t="s">
        <v>6</v>
      </c>
      <c r="G77" s="15">
        <f t="shared" si="5"/>
        <v>0</v>
      </c>
      <c r="H77" s="17" t="str">
        <f t="shared" si="6"/>
        <v/>
      </c>
    </row>
    <row r="78" spans="2:8" x14ac:dyDescent="0.2">
      <c r="B78" s="14" t="s">
        <v>61</v>
      </c>
      <c r="C78" s="85"/>
      <c r="D78" s="15">
        <v>0</v>
      </c>
      <c r="E78" s="15" t="s">
        <v>166</v>
      </c>
      <c r="F78" s="15" t="s">
        <v>6</v>
      </c>
      <c r="G78" s="15">
        <f t="shared" si="5"/>
        <v>0</v>
      </c>
      <c r="H78" s="17" t="str">
        <f t="shared" si="6"/>
        <v/>
      </c>
    </row>
    <row r="79" spans="2:8" x14ac:dyDescent="0.2">
      <c r="B79" s="14" t="s">
        <v>62</v>
      </c>
      <c r="C79" s="85"/>
      <c r="D79" s="15">
        <v>0</v>
      </c>
      <c r="E79" s="15" t="s">
        <v>166</v>
      </c>
      <c r="F79" s="15" t="s">
        <v>6</v>
      </c>
      <c r="G79" s="15">
        <f t="shared" si="5"/>
        <v>0</v>
      </c>
      <c r="H79" s="17" t="str">
        <f t="shared" si="6"/>
        <v/>
      </c>
    </row>
    <row r="80" spans="2:8" x14ac:dyDescent="0.2">
      <c r="B80" s="14" t="s">
        <v>63</v>
      </c>
      <c r="C80" s="85"/>
      <c r="D80" s="15">
        <v>0</v>
      </c>
      <c r="E80" s="15" t="s">
        <v>166</v>
      </c>
      <c r="F80" s="15" t="s">
        <v>6</v>
      </c>
      <c r="G80" s="15">
        <f t="shared" si="5"/>
        <v>0</v>
      </c>
      <c r="H80" s="17" t="str">
        <f t="shared" si="6"/>
        <v/>
      </c>
    </row>
    <row r="81" spans="2:8" x14ac:dyDescent="0.2">
      <c r="B81" s="14" t="s">
        <v>64</v>
      </c>
      <c r="C81" s="85"/>
      <c r="D81" s="15">
        <v>0</v>
      </c>
      <c r="E81" s="15" t="s">
        <v>166</v>
      </c>
      <c r="F81" s="15" t="s">
        <v>6</v>
      </c>
      <c r="G81" s="15">
        <f t="shared" si="5"/>
        <v>0</v>
      </c>
      <c r="H81" s="17" t="str">
        <f t="shared" si="6"/>
        <v/>
      </c>
    </row>
    <row r="82" spans="2:8" x14ac:dyDescent="0.2">
      <c r="B82" s="14" t="s">
        <v>65</v>
      </c>
      <c r="C82" s="85"/>
      <c r="D82" s="15">
        <v>0</v>
      </c>
      <c r="E82" s="15" t="s">
        <v>166</v>
      </c>
      <c r="F82" s="15" t="s">
        <v>6</v>
      </c>
      <c r="G82" s="15">
        <f t="shared" si="5"/>
        <v>0</v>
      </c>
      <c r="H82" s="17" t="str">
        <f t="shared" si="6"/>
        <v/>
      </c>
    </row>
    <row r="83" spans="2:8" x14ac:dyDescent="0.2">
      <c r="B83" s="27" t="s">
        <v>66</v>
      </c>
      <c r="C83" s="85"/>
      <c r="D83" s="14">
        <v>0</v>
      </c>
      <c r="E83" s="15" t="s">
        <v>166</v>
      </c>
      <c r="F83" s="15" t="s">
        <v>6</v>
      </c>
      <c r="G83" s="15">
        <f t="shared" si="5"/>
        <v>0</v>
      </c>
      <c r="H83" s="17" t="str">
        <f t="shared" si="6"/>
        <v/>
      </c>
    </row>
    <row r="84" spans="2:8" x14ac:dyDescent="0.2">
      <c r="B84" s="14" t="s">
        <v>67</v>
      </c>
      <c r="C84" s="85"/>
      <c r="D84" s="15">
        <v>0</v>
      </c>
      <c r="E84" s="15" t="s">
        <v>166</v>
      </c>
      <c r="F84" s="15" t="s">
        <v>6</v>
      </c>
      <c r="G84" s="15">
        <f t="shared" si="5"/>
        <v>0</v>
      </c>
      <c r="H84" s="17" t="str">
        <f t="shared" si="6"/>
        <v/>
      </c>
    </row>
    <row r="85" spans="2:8" x14ac:dyDescent="0.2">
      <c r="B85" s="14" t="s">
        <v>68</v>
      </c>
      <c r="C85" s="85"/>
      <c r="D85" s="15">
        <v>0</v>
      </c>
      <c r="E85" s="15" t="s">
        <v>166</v>
      </c>
      <c r="F85" s="15" t="s">
        <v>6</v>
      </c>
      <c r="G85" s="15">
        <f t="shared" si="5"/>
        <v>0</v>
      </c>
      <c r="H85" s="17" t="str">
        <f t="shared" si="6"/>
        <v/>
      </c>
    </row>
    <row r="86" spans="2:8" x14ac:dyDescent="0.2">
      <c r="B86" s="14" t="s">
        <v>69</v>
      </c>
      <c r="C86" s="85"/>
      <c r="D86" s="15">
        <v>0</v>
      </c>
      <c r="E86" s="15" t="s">
        <v>166</v>
      </c>
      <c r="F86" s="15" t="s">
        <v>6</v>
      </c>
      <c r="G86" s="15">
        <f t="shared" si="5"/>
        <v>0</v>
      </c>
      <c r="H86" s="17" t="str">
        <f t="shared" si="6"/>
        <v/>
      </c>
    </row>
    <row r="87" spans="2:8" x14ac:dyDescent="0.2">
      <c r="B87" s="14" t="s">
        <v>70</v>
      </c>
      <c r="C87" s="85"/>
      <c r="D87" s="15">
        <v>0</v>
      </c>
      <c r="E87" s="15" t="s">
        <v>166</v>
      </c>
      <c r="F87" s="15" t="s">
        <v>6</v>
      </c>
      <c r="G87" s="15">
        <f t="shared" si="5"/>
        <v>0</v>
      </c>
      <c r="H87" s="17" t="str">
        <f t="shared" si="6"/>
        <v/>
      </c>
    </row>
    <row r="88" spans="2:8" x14ac:dyDescent="0.2">
      <c r="B88" s="14" t="s">
        <v>71</v>
      </c>
      <c r="C88" s="85"/>
      <c r="D88" s="15">
        <v>0</v>
      </c>
      <c r="E88" s="15" t="s">
        <v>166</v>
      </c>
      <c r="F88" s="15" t="s">
        <v>6</v>
      </c>
      <c r="G88" s="15">
        <f t="shared" si="5"/>
        <v>0</v>
      </c>
      <c r="H88" s="17" t="str">
        <f t="shared" si="6"/>
        <v/>
      </c>
    </row>
    <row r="89" spans="2:8" x14ac:dyDescent="0.2">
      <c r="B89" s="14" t="s">
        <v>72</v>
      </c>
      <c r="C89" s="85"/>
      <c r="D89" s="15">
        <v>0</v>
      </c>
      <c r="E89" s="15" t="s">
        <v>166</v>
      </c>
      <c r="F89" s="15" t="s">
        <v>6</v>
      </c>
      <c r="G89" s="15">
        <f t="shared" si="5"/>
        <v>0</v>
      </c>
      <c r="H89" s="17" t="str">
        <f t="shared" si="6"/>
        <v/>
      </c>
    </row>
    <row r="90" spans="2:8" x14ac:dyDescent="0.2">
      <c r="B90" s="14" t="s">
        <v>73</v>
      </c>
      <c r="C90" s="85"/>
      <c r="D90" s="15">
        <v>0</v>
      </c>
      <c r="E90" s="15" t="s">
        <v>166</v>
      </c>
      <c r="F90" s="15" t="s">
        <v>6</v>
      </c>
      <c r="G90" s="15">
        <f t="shared" si="5"/>
        <v>0</v>
      </c>
      <c r="H90" s="17" t="str">
        <f t="shared" si="6"/>
        <v/>
      </c>
    </row>
    <row r="91" spans="2:8" x14ac:dyDescent="0.2">
      <c r="B91" s="14" t="s">
        <v>74</v>
      </c>
      <c r="C91" s="85"/>
      <c r="D91" s="15">
        <v>0</v>
      </c>
      <c r="E91" s="15" t="s">
        <v>166</v>
      </c>
      <c r="F91" s="15" t="s">
        <v>6</v>
      </c>
      <c r="G91" s="15">
        <f t="shared" si="5"/>
        <v>0</v>
      </c>
      <c r="H91" s="17" t="str">
        <f t="shared" si="6"/>
        <v/>
      </c>
    </row>
    <row r="92" spans="2:8" x14ac:dyDescent="0.2">
      <c r="B92" s="14" t="s">
        <v>75</v>
      </c>
      <c r="C92" s="85"/>
      <c r="D92" s="15">
        <v>0</v>
      </c>
      <c r="E92" s="15" t="s">
        <v>166</v>
      </c>
      <c r="F92" s="15" t="s">
        <v>6</v>
      </c>
      <c r="G92" s="15">
        <f t="shared" si="5"/>
        <v>0</v>
      </c>
      <c r="H92" s="17" t="str">
        <f t="shared" si="6"/>
        <v/>
      </c>
    </row>
    <row r="93" spans="2:8" x14ac:dyDescent="0.2">
      <c r="B93" s="14" t="s">
        <v>76</v>
      </c>
      <c r="C93" s="85"/>
      <c r="D93" s="15">
        <v>0</v>
      </c>
      <c r="E93" s="15" t="s">
        <v>166</v>
      </c>
      <c r="F93" s="15" t="s">
        <v>6</v>
      </c>
      <c r="G93" s="15">
        <f t="shared" si="5"/>
        <v>0</v>
      </c>
      <c r="H93" s="17" t="str">
        <f t="shared" si="6"/>
        <v/>
      </c>
    </row>
    <row r="94" spans="2:8" x14ac:dyDescent="0.2">
      <c r="B94" s="14" t="s">
        <v>77</v>
      </c>
      <c r="C94" s="85"/>
      <c r="D94" s="15">
        <v>0</v>
      </c>
      <c r="E94" s="15" t="s">
        <v>166</v>
      </c>
      <c r="F94" s="15" t="s">
        <v>6</v>
      </c>
      <c r="G94" s="15">
        <f t="shared" si="5"/>
        <v>0</v>
      </c>
      <c r="H94" s="17" t="str">
        <f t="shared" si="6"/>
        <v/>
      </c>
    </row>
    <row r="95" spans="2:8" x14ac:dyDescent="0.2">
      <c r="B95" s="14" t="s">
        <v>78</v>
      </c>
      <c r="C95" s="85"/>
      <c r="D95" s="15">
        <v>0</v>
      </c>
      <c r="E95" s="15" t="s">
        <v>166</v>
      </c>
      <c r="F95" s="15" t="s">
        <v>6</v>
      </c>
      <c r="G95" s="15">
        <f t="shared" si="5"/>
        <v>0</v>
      </c>
      <c r="H95" s="17" t="str">
        <f t="shared" si="6"/>
        <v/>
      </c>
    </row>
    <row r="96" spans="2:8" x14ac:dyDescent="0.2">
      <c r="B96" s="14" t="s">
        <v>79</v>
      </c>
      <c r="C96" s="85"/>
      <c r="D96" s="15">
        <v>0</v>
      </c>
      <c r="E96" s="15" t="s">
        <v>166</v>
      </c>
      <c r="F96" s="15" t="s">
        <v>6</v>
      </c>
      <c r="G96" s="15">
        <f t="shared" si="5"/>
        <v>0</v>
      </c>
      <c r="H96" s="17" t="str">
        <f t="shared" si="6"/>
        <v/>
      </c>
    </row>
    <row r="97" spans="2:8" x14ac:dyDescent="0.2">
      <c r="B97" s="14" t="s">
        <v>80</v>
      </c>
      <c r="C97" s="85"/>
      <c r="D97" s="15">
        <v>0</v>
      </c>
      <c r="E97" s="15" t="s">
        <v>166</v>
      </c>
      <c r="F97" s="15" t="s">
        <v>6</v>
      </c>
      <c r="G97" s="15">
        <f t="shared" si="5"/>
        <v>0</v>
      </c>
      <c r="H97" s="17" t="str">
        <f t="shared" si="6"/>
        <v/>
      </c>
    </row>
    <row r="98" spans="2:8" x14ac:dyDescent="0.2">
      <c r="B98" s="14" t="s">
        <v>81</v>
      </c>
      <c r="C98" s="85"/>
      <c r="D98" s="15">
        <v>0</v>
      </c>
      <c r="E98" s="15" t="s">
        <v>166</v>
      </c>
      <c r="F98" s="15" t="s">
        <v>6</v>
      </c>
      <c r="G98" s="15">
        <f t="shared" si="5"/>
        <v>0</v>
      </c>
      <c r="H98" s="17" t="str">
        <f t="shared" si="6"/>
        <v/>
      </c>
    </row>
    <row r="99" spans="2:8" x14ac:dyDescent="0.2">
      <c r="B99" s="14" t="s">
        <v>82</v>
      </c>
      <c r="C99" s="85"/>
      <c r="D99" s="15">
        <v>0</v>
      </c>
      <c r="E99" s="15" t="s">
        <v>166</v>
      </c>
      <c r="F99" s="15" t="s">
        <v>6</v>
      </c>
      <c r="G99" s="15">
        <f t="shared" si="5"/>
        <v>0</v>
      </c>
      <c r="H99" s="17" t="str">
        <f t="shared" si="6"/>
        <v/>
      </c>
    </row>
    <row r="100" spans="2:8" x14ac:dyDescent="0.2">
      <c r="B100" s="14" t="s">
        <v>83</v>
      </c>
      <c r="C100" s="85"/>
      <c r="D100" s="15">
        <v>0</v>
      </c>
      <c r="E100" s="15" t="s">
        <v>166</v>
      </c>
      <c r="F100" s="15" t="s">
        <v>6</v>
      </c>
      <c r="G100" s="15">
        <f t="shared" ref="G100:G106" si="7">$D100+$C100</f>
        <v>0</v>
      </c>
      <c r="H100" s="17" t="str">
        <f t="shared" ref="H100:H106" si="8">IF(AND($D100=0, $G100&gt;0),"new", IF(AND($D100&gt;0, $G100=0),"sold",""))</f>
        <v/>
      </c>
    </row>
    <row r="101" spans="2:8" x14ac:dyDescent="0.2">
      <c r="B101" s="14" t="s">
        <v>84</v>
      </c>
      <c r="C101" s="85"/>
      <c r="D101" s="15">
        <v>0</v>
      </c>
      <c r="E101" s="15" t="s">
        <v>166</v>
      </c>
      <c r="F101" s="15" t="s">
        <v>6</v>
      </c>
      <c r="G101" s="15">
        <f t="shared" si="7"/>
        <v>0</v>
      </c>
      <c r="H101" s="17" t="str">
        <f t="shared" si="8"/>
        <v/>
      </c>
    </row>
    <row r="102" spans="2:8" x14ac:dyDescent="0.2">
      <c r="B102" s="14" t="s">
        <v>85</v>
      </c>
      <c r="C102" s="85"/>
      <c r="D102" s="15">
        <v>0</v>
      </c>
      <c r="E102" s="15" t="s">
        <v>166</v>
      </c>
      <c r="F102" s="15" t="s">
        <v>6</v>
      </c>
      <c r="G102" s="15">
        <f t="shared" si="7"/>
        <v>0</v>
      </c>
      <c r="H102" s="17" t="str">
        <f t="shared" si="8"/>
        <v/>
      </c>
    </row>
    <row r="103" spans="2:8" x14ac:dyDescent="0.2">
      <c r="B103" s="14" t="s">
        <v>86</v>
      </c>
      <c r="C103" s="85"/>
      <c r="D103" s="15">
        <v>0</v>
      </c>
      <c r="E103" s="15" t="s">
        <v>166</v>
      </c>
      <c r="F103" s="15" t="s">
        <v>6</v>
      </c>
      <c r="G103" s="15">
        <f t="shared" si="7"/>
        <v>0</v>
      </c>
      <c r="H103" s="17" t="str">
        <f t="shared" si="8"/>
        <v/>
      </c>
    </row>
    <row r="104" spans="2:8" x14ac:dyDescent="0.2">
      <c r="B104" s="14" t="s">
        <v>87</v>
      </c>
      <c r="C104" s="85"/>
      <c r="D104" s="15">
        <v>0</v>
      </c>
      <c r="E104" s="15" t="s">
        <v>166</v>
      </c>
      <c r="F104" s="15" t="s">
        <v>6</v>
      </c>
      <c r="G104" s="15">
        <f t="shared" si="7"/>
        <v>0</v>
      </c>
      <c r="H104" s="17" t="str">
        <f t="shared" si="8"/>
        <v/>
      </c>
    </row>
    <row r="105" spans="2:8" x14ac:dyDescent="0.2">
      <c r="B105" s="14" t="s">
        <v>88</v>
      </c>
      <c r="C105" s="85"/>
      <c r="D105" s="15">
        <v>0</v>
      </c>
      <c r="E105" s="15" t="s">
        <v>166</v>
      </c>
      <c r="F105" s="15" t="s">
        <v>6</v>
      </c>
      <c r="G105" s="15">
        <f t="shared" si="7"/>
        <v>0</v>
      </c>
      <c r="H105" s="17" t="str">
        <f t="shared" si="8"/>
        <v/>
      </c>
    </row>
    <row r="106" spans="2:8" x14ac:dyDescent="0.2">
      <c r="B106" s="18" t="s">
        <v>89</v>
      </c>
      <c r="C106" s="85"/>
      <c r="D106" s="19">
        <v>0</v>
      </c>
      <c r="E106" s="19" t="s">
        <v>166</v>
      </c>
      <c r="F106" s="19" t="s">
        <v>6</v>
      </c>
      <c r="G106" s="19">
        <f t="shared" si="7"/>
        <v>0</v>
      </c>
      <c r="H106" s="20" t="str">
        <f t="shared" si="8"/>
        <v/>
      </c>
    </row>
    <row r="107" spans="2:8" x14ac:dyDescent="0.2">
      <c r="B107" s="12"/>
      <c r="C107" s="12"/>
      <c r="D107" s="12">
        <f>COUNTIF($D$36:$D$106,"&gt;0")</f>
        <v>2</v>
      </c>
      <c r="E107" s="12" t="s">
        <v>90</v>
      </c>
      <c r="F107" s="12"/>
      <c r="G107" s="12">
        <f>COUNTIF(G36:G106,"&gt;0")</f>
        <v>2</v>
      </c>
      <c r="H107" s="83" t="s">
        <v>90</v>
      </c>
    </row>
  </sheetData>
  <phoneticPr fontId="0" type="noConversion"/>
  <dataValidations count="3">
    <dataValidation type="decimal" operator="greaterThanOrEqual" allowBlank="1" showInputMessage="1" showErrorMessage="1" errorTitle="Error" error="This error occurred because user was trying to sell more than owned" promptTitle="Plants" prompt="Enter Capacity (Positive number to buy, Negative number to sell)" sqref="C6:C15">
      <formula1>-D6:D15</formula1>
    </dataValidation>
    <dataValidation type="whole" operator="greaterThanOrEqual" allowBlank="1" showInputMessage="1" showErrorMessage="1" errorTitle="Error" error="This error occurred because a non-integer was entered or user was trying to sell more than owned" promptTitle="TankCars" prompt="Enter Unit of Cars (Positive integer to buy, Negative integer to sell)" sqref="C21:C30">
      <formula1>-D21:D30</formula1>
    </dataValidation>
    <dataValidation type="decimal" operator="greaterThanOrEqual" allowBlank="1" showInputMessage="1" showErrorMessage="1" errorTitle="Error" error="This error occurred because user was trying to sell more than owned" promptTitle="Storages" prompt="Enter Capacity (Positive number to buy, Negative number to sell)" sqref="C36:C106">
      <formula1>-D36:D106</formula1>
    </dataValidation>
  </dataValidations>
  <pageMargins left="0.75" right="0.75" top="1" bottom="1" header="0.5" footer="0.5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AG49"/>
  <sheetViews>
    <sheetView showGridLines="0" workbookViewId="0"/>
  </sheetViews>
  <sheetFormatPr defaultRowHeight="12.75" x14ac:dyDescent="0.2"/>
  <cols>
    <col min="1" max="1" width="4.7109375" style="29" customWidth="1"/>
    <col min="2" max="2" width="16.7109375" style="29" customWidth="1"/>
    <col min="3" max="14" width="8.7109375" style="29" customWidth="1"/>
    <col min="15" max="16384" width="9.140625" style="29"/>
  </cols>
  <sheetData>
    <row r="2" spans="2:14" x14ac:dyDescent="0.2">
      <c r="B2" s="28" t="s">
        <v>140</v>
      </c>
    </row>
    <row r="3" spans="2:14" x14ac:dyDescent="0.2">
      <c r="B3" s="30" t="s">
        <v>164</v>
      </c>
    </row>
    <row r="4" spans="2:14" x14ac:dyDescent="0.2">
      <c r="B4" s="31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</row>
    <row r="5" spans="2:14" x14ac:dyDescent="0.2">
      <c r="B5" s="33" t="s">
        <v>91</v>
      </c>
      <c r="C5" s="34" t="s">
        <v>92</v>
      </c>
      <c r="D5" s="34" t="s">
        <v>93</v>
      </c>
      <c r="E5" s="34" t="s">
        <v>94</v>
      </c>
      <c r="F5" s="34" t="s">
        <v>95</v>
      </c>
      <c r="G5" s="34" t="s">
        <v>96</v>
      </c>
      <c r="H5" s="34" t="s">
        <v>97</v>
      </c>
      <c r="I5" s="34" t="s">
        <v>98</v>
      </c>
      <c r="J5" s="34" t="s">
        <v>99</v>
      </c>
      <c r="K5" s="34" t="s">
        <v>100</v>
      </c>
      <c r="L5" s="34" t="s">
        <v>101</v>
      </c>
      <c r="M5" s="34" t="s">
        <v>102</v>
      </c>
      <c r="N5" s="35" t="s">
        <v>103</v>
      </c>
    </row>
    <row r="6" spans="2:14" x14ac:dyDescent="0.2">
      <c r="B6" s="36" t="s">
        <v>104</v>
      </c>
      <c r="C6" s="91">
        <v>1527.5662318969544</v>
      </c>
      <c r="D6" s="92">
        <v>1527.5662318969544</v>
      </c>
      <c r="E6" s="92">
        <v>1527.5662318969544</v>
      </c>
      <c r="F6" s="92">
        <v>1527.5662318969544</v>
      </c>
      <c r="G6" s="92">
        <v>1527.5662318969544</v>
      </c>
      <c r="H6" s="92">
        <v>1527.5662318969544</v>
      </c>
      <c r="I6" s="92">
        <v>1527.5662318969544</v>
      </c>
      <c r="J6" s="92">
        <v>1527.5662318969544</v>
      </c>
      <c r="K6" s="92">
        <v>1527.5662318969544</v>
      </c>
      <c r="L6" s="92">
        <v>1527.5662318969544</v>
      </c>
      <c r="M6" s="92">
        <v>1527.5662318969544</v>
      </c>
      <c r="N6" s="92">
        <v>1527.5662318969544</v>
      </c>
    </row>
    <row r="7" spans="2:14" x14ac:dyDescent="0.2">
      <c r="B7" s="36" t="s">
        <v>105</v>
      </c>
      <c r="C7" s="93">
        <v>1611.4385541512133</v>
      </c>
      <c r="D7" s="94">
        <v>1611.4385541512133</v>
      </c>
      <c r="E7" s="94">
        <v>1611.4385541512133</v>
      </c>
      <c r="F7" s="94">
        <v>1611.4385541512133</v>
      </c>
      <c r="G7" s="94">
        <v>1611.4385541512133</v>
      </c>
      <c r="H7" s="94">
        <v>1611.4385541512133</v>
      </c>
      <c r="I7" s="94">
        <v>1611.4385541512133</v>
      </c>
      <c r="J7" s="94">
        <v>1611.4385541512133</v>
      </c>
      <c r="K7" s="94">
        <v>1611.4385541512133</v>
      </c>
      <c r="L7" s="94">
        <v>1611.4385541512133</v>
      </c>
      <c r="M7" s="94">
        <v>1611.4385541512133</v>
      </c>
      <c r="N7" s="94">
        <v>1611.4385541512133</v>
      </c>
    </row>
    <row r="8" spans="2:14" x14ac:dyDescent="0.2">
      <c r="B8" s="36" t="s">
        <v>106</v>
      </c>
      <c r="C8" s="93">
        <v>1455.9692481309228</v>
      </c>
      <c r="D8" s="94">
        <v>1455.9692481309228</v>
      </c>
      <c r="E8" s="94">
        <v>1455.9692481309228</v>
      </c>
      <c r="F8" s="94">
        <v>1455.9692481309228</v>
      </c>
      <c r="G8" s="94">
        <v>1455.9692481309228</v>
      </c>
      <c r="H8" s="94">
        <v>1455.9692481309228</v>
      </c>
      <c r="I8" s="94">
        <v>1455.9692481309228</v>
      </c>
      <c r="J8" s="94">
        <v>1455.9692481309228</v>
      </c>
      <c r="K8" s="94">
        <v>1455.9692481309228</v>
      </c>
      <c r="L8" s="94">
        <v>1455.9692481309228</v>
      </c>
      <c r="M8" s="94">
        <v>1455.9692481309228</v>
      </c>
      <c r="N8" s="94">
        <v>1455.9692481309228</v>
      </c>
    </row>
    <row r="9" spans="2:14" x14ac:dyDescent="0.2">
      <c r="B9" s="36" t="s">
        <v>107</v>
      </c>
      <c r="C9" s="93">
        <v>1527.5662318969544</v>
      </c>
      <c r="D9" s="94">
        <v>1527.5662318969544</v>
      </c>
      <c r="E9" s="94">
        <v>1527.5662318969544</v>
      </c>
      <c r="F9" s="94">
        <v>1527.5662318969544</v>
      </c>
      <c r="G9" s="94">
        <v>1527.5662318969544</v>
      </c>
      <c r="H9" s="94">
        <v>1527.5662318969544</v>
      </c>
      <c r="I9" s="94">
        <v>1527.5662318969544</v>
      </c>
      <c r="J9" s="94">
        <v>1527.5662318969544</v>
      </c>
      <c r="K9" s="94">
        <v>1527.5662318969544</v>
      </c>
      <c r="L9" s="94">
        <v>1527.5662318969544</v>
      </c>
      <c r="M9" s="94">
        <v>1527.5662318969544</v>
      </c>
      <c r="N9" s="94">
        <v>1527.5662318969544</v>
      </c>
    </row>
    <row r="10" spans="2:14" x14ac:dyDescent="0.2">
      <c r="B10" s="36" t="s">
        <v>108</v>
      </c>
      <c r="C10" s="93">
        <v>1611.4385541512133</v>
      </c>
      <c r="D10" s="94">
        <v>1611.4385541512133</v>
      </c>
      <c r="E10" s="94">
        <v>1611.4385541512133</v>
      </c>
      <c r="F10" s="94">
        <v>1611.4385541512133</v>
      </c>
      <c r="G10" s="94">
        <v>1611.4385541512133</v>
      </c>
      <c r="H10" s="94">
        <v>1611.4385541512133</v>
      </c>
      <c r="I10" s="94">
        <v>1611.4385541512133</v>
      </c>
      <c r="J10" s="94">
        <v>1611.4385541512133</v>
      </c>
      <c r="K10" s="94">
        <v>1611.4385541512133</v>
      </c>
      <c r="L10" s="94">
        <v>1611.4385541512133</v>
      </c>
      <c r="M10" s="94">
        <v>1611.4385541512133</v>
      </c>
      <c r="N10" s="94">
        <v>1611.4385541512133</v>
      </c>
    </row>
    <row r="11" spans="2:14" x14ac:dyDescent="0.2">
      <c r="B11" s="37" t="s">
        <v>109</v>
      </c>
      <c r="C11" s="93">
        <v>1455.9692481309228</v>
      </c>
      <c r="D11" s="94">
        <v>1455.9692481309228</v>
      </c>
      <c r="E11" s="94">
        <v>1455.9692481309228</v>
      </c>
      <c r="F11" s="94">
        <v>1455.9692481309228</v>
      </c>
      <c r="G11" s="94">
        <v>1455.9692481309228</v>
      </c>
      <c r="H11" s="94">
        <v>1455.9692481309228</v>
      </c>
      <c r="I11" s="94">
        <v>1455.9692481309228</v>
      </c>
      <c r="J11" s="94">
        <v>1455.9692481309228</v>
      </c>
      <c r="K11" s="94">
        <v>1455.9692481309228</v>
      </c>
      <c r="L11" s="94">
        <v>1455.9692481309228</v>
      </c>
      <c r="M11" s="94">
        <v>1455.9692481309228</v>
      </c>
      <c r="N11" s="94">
        <v>1455.9692481309228</v>
      </c>
    </row>
    <row r="12" spans="2:14" x14ac:dyDescent="0.2">
      <c r="B12" s="38"/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40"/>
    </row>
    <row r="14" spans="2:14" x14ac:dyDescent="0.2">
      <c r="B14" s="30" t="s">
        <v>157</v>
      </c>
    </row>
    <row r="15" spans="2:14" x14ac:dyDescent="0.2">
      <c r="B15" s="31"/>
      <c r="C15" s="32"/>
      <c r="D15" s="32"/>
      <c r="E15" s="51"/>
      <c r="F15" s="32"/>
      <c r="G15" s="32"/>
      <c r="H15" s="32"/>
    </row>
    <row r="16" spans="2:14" x14ac:dyDescent="0.2">
      <c r="B16" s="33" t="s">
        <v>139</v>
      </c>
      <c r="C16" s="34" t="s">
        <v>142</v>
      </c>
      <c r="D16" s="34" t="s">
        <v>137</v>
      </c>
      <c r="E16" s="34" t="s">
        <v>142</v>
      </c>
      <c r="F16" s="34" t="s">
        <v>136</v>
      </c>
      <c r="G16" s="34" t="s">
        <v>142</v>
      </c>
      <c r="H16" s="34" t="s">
        <v>135</v>
      </c>
    </row>
    <row r="17" spans="2:33" x14ac:dyDescent="0.2">
      <c r="B17" s="41" t="s">
        <v>104</v>
      </c>
      <c r="C17" s="95">
        <v>1</v>
      </c>
      <c r="D17" s="95">
        <v>0.7</v>
      </c>
      <c r="E17" s="95">
        <v>0.75</v>
      </c>
      <c r="F17" s="95">
        <v>1.5</v>
      </c>
      <c r="G17" s="95">
        <v>0.3</v>
      </c>
      <c r="H17" s="95">
        <v>10</v>
      </c>
      <c r="I17" s="29" t="s">
        <v>110</v>
      </c>
    </row>
    <row r="18" spans="2:33" x14ac:dyDescent="0.2">
      <c r="B18" s="36" t="s">
        <v>105</v>
      </c>
      <c r="C18" s="96">
        <v>1</v>
      </c>
      <c r="D18" s="96">
        <v>0.7</v>
      </c>
      <c r="E18" s="96">
        <v>0.75</v>
      </c>
      <c r="F18" s="96">
        <v>1.5</v>
      </c>
      <c r="G18" s="96">
        <v>0.3</v>
      </c>
      <c r="H18" s="96">
        <v>10</v>
      </c>
      <c r="I18" s="29" t="s">
        <v>110</v>
      </c>
    </row>
    <row r="19" spans="2:33" x14ac:dyDescent="0.2">
      <c r="B19" s="36" t="s">
        <v>106</v>
      </c>
      <c r="C19" s="96">
        <v>1</v>
      </c>
      <c r="D19" s="96">
        <v>0.7</v>
      </c>
      <c r="E19" s="96">
        <v>0.75</v>
      </c>
      <c r="F19" s="96">
        <v>1.5</v>
      </c>
      <c r="G19" s="96">
        <v>0.3</v>
      </c>
      <c r="H19" s="96">
        <v>10</v>
      </c>
      <c r="I19" s="29" t="s">
        <v>110</v>
      </c>
    </row>
    <row r="20" spans="2:33" x14ac:dyDescent="0.2">
      <c r="B20" s="36" t="s">
        <v>107</v>
      </c>
      <c r="C20" s="96">
        <v>1</v>
      </c>
      <c r="D20" s="96">
        <v>0.7</v>
      </c>
      <c r="E20" s="96">
        <v>0.75</v>
      </c>
      <c r="F20" s="96">
        <v>1.5</v>
      </c>
      <c r="G20" s="96">
        <v>0.3</v>
      </c>
      <c r="H20" s="96">
        <v>10</v>
      </c>
    </row>
    <row r="21" spans="2:33" x14ac:dyDescent="0.2">
      <c r="B21" s="36" t="s">
        <v>108</v>
      </c>
      <c r="C21" s="96">
        <v>1</v>
      </c>
      <c r="D21" s="96">
        <v>0.7</v>
      </c>
      <c r="E21" s="96">
        <v>0.75</v>
      </c>
      <c r="F21" s="96">
        <v>1.5</v>
      </c>
      <c r="G21" s="96">
        <v>0.3</v>
      </c>
      <c r="H21" s="96">
        <v>10</v>
      </c>
    </row>
    <row r="22" spans="2:33" x14ac:dyDescent="0.2">
      <c r="B22" s="37" t="s">
        <v>109</v>
      </c>
      <c r="C22" s="96">
        <v>1</v>
      </c>
      <c r="D22" s="96">
        <v>0.7</v>
      </c>
      <c r="E22" s="96">
        <v>0.75</v>
      </c>
      <c r="F22" s="96">
        <v>1.5</v>
      </c>
      <c r="G22" s="96">
        <v>0.3</v>
      </c>
      <c r="H22" s="96">
        <v>10</v>
      </c>
      <c r="K22" s="50"/>
      <c r="L22" s="49"/>
      <c r="M22" s="49"/>
      <c r="N22" s="49"/>
      <c r="O22" s="49"/>
      <c r="P22" s="49"/>
      <c r="Q22" s="49"/>
      <c r="R22" s="49"/>
      <c r="S22" s="49"/>
      <c r="T22" s="49"/>
      <c r="U22" s="50"/>
      <c r="V22" s="49"/>
      <c r="W22" s="50"/>
      <c r="X22" s="49"/>
      <c r="Y22" s="50"/>
      <c r="Z22" s="49"/>
      <c r="AA22" s="50"/>
      <c r="AB22" s="49"/>
      <c r="AC22" s="50"/>
      <c r="AD22" s="49"/>
      <c r="AE22" s="50"/>
      <c r="AF22" s="49"/>
      <c r="AG22" s="50"/>
    </row>
    <row r="23" spans="2:33" x14ac:dyDescent="0.2">
      <c r="B23" s="42"/>
      <c r="C23" s="43"/>
      <c r="D23" s="43"/>
      <c r="E23" s="43"/>
      <c r="F23" s="43"/>
      <c r="G23" s="43"/>
      <c r="H23" s="32"/>
      <c r="K23" s="50"/>
      <c r="L23" s="49"/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  <c r="Z23" s="49"/>
      <c r="AA23" s="49"/>
      <c r="AB23" s="49"/>
      <c r="AC23" s="49"/>
      <c r="AD23" s="49"/>
      <c r="AE23" s="49"/>
      <c r="AF23" s="49"/>
      <c r="AG23" s="49"/>
    </row>
    <row r="24" spans="2:33" x14ac:dyDescent="0.2">
      <c r="K24" s="49"/>
      <c r="L24" s="50"/>
      <c r="M24" s="50"/>
      <c r="N24" s="50"/>
      <c r="O24" s="50"/>
      <c r="P24" s="50"/>
      <c r="Q24" s="50"/>
      <c r="R24" s="50"/>
      <c r="S24" s="50"/>
      <c r="T24" s="50"/>
      <c r="U24" s="50"/>
      <c r="V24" s="50"/>
      <c r="W24" s="50"/>
      <c r="X24" s="50"/>
      <c r="Y24" s="50"/>
      <c r="Z24" s="50"/>
      <c r="AA24" s="50"/>
      <c r="AB24" s="50"/>
      <c r="AC24" s="50"/>
      <c r="AD24" s="50"/>
      <c r="AE24" s="50"/>
      <c r="AF24" s="50"/>
      <c r="AG24" s="50"/>
    </row>
    <row r="25" spans="2:33" x14ac:dyDescent="0.2">
      <c r="K25" s="49"/>
      <c r="L25" s="50"/>
      <c r="M25" s="50"/>
      <c r="N25" s="50"/>
      <c r="O25" s="50"/>
      <c r="P25" s="50"/>
      <c r="Q25" s="50"/>
      <c r="R25" s="50"/>
      <c r="S25" s="50"/>
      <c r="T25" s="50"/>
      <c r="U25" s="50"/>
      <c r="V25" s="50"/>
      <c r="W25" s="50"/>
      <c r="X25" s="50"/>
      <c r="Y25" s="50"/>
      <c r="Z25" s="50"/>
      <c r="AA25" s="50"/>
      <c r="AB25" s="50"/>
      <c r="AC25" s="50"/>
      <c r="AD25" s="50"/>
      <c r="AE25" s="50"/>
      <c r="AF25" s="50"/>
      <c r="AG25" s="50"/>
    </row>
    <row r="26" spans="2:33" x14ac:dyDescent="0.2">
      <c r="B26" s="30" t="s">
        <v>154</v>
      </c>
      <c r="K26" s="49"/>
      <c r="L26" s="50"/>
      <c r="M26" s="50"/>
      <c r="N26" s="50"/>
      <c r="O26" s="50"/>
      <c r="P26" s="50"/>
      <c r="Q26" s="50"/>
      <c r="R26" s="50"/>
      <c r="S26" s="50"/>
      <c r="T26" s="50"/>
      <c r="U26" s="50"/>
      <c r="V26" s="50"/>
      <c r="W26" s="50"/>
      <c r="X26" s="50"/>
      <c r="Y26" s="50"/>
      <c r="Z26" s="50"/>
      <c r="AA26" s="50"/>
      <c r="AB26" s="50"/>
      <c r="AC26" s="50"/>
      <c r="AD26" s="50"/>
      <c r="AE26" s="50"/>
      <c r="AF26" s="50"/>
      <c r="AG26" s="50"/>
    </row>
    <row r="27" spans="2:33" x14ac:dyDescent="0.2">
      <c r="B27" s="31"/>
      <c r="C27" s="32"/>
      <c r="D27" s="32"/>
      <c r="E27" s="32"/>
      <c r="F27" s="32"/>
      <c r="G27" s="32"/>
      <c r="H27" s="32"/>
      <c r="I27" s="32"/>
      <c r="J27" s="32"/>
      <c r="K27" s="51"/>
      <c r="L27" s="32"/>
      <c r="M27" s="32"/>
      <c r="N27" s="32"/>
      <c r="O27" s="32"/>
      <c r="P27" s="32"/>
      <c r="Q27" s="50"/>
      <c r="R27" s="50"/>
      <c r="S27" s="50"/>
      <c r="T27" s="50"/>
      <c r="U27" s="50"/>
      <c r="V27" s="50"/>
      <c r="W27" s="50"/>
      <c r="X27" s="50"/>
      <c r="Y27" s="50"/>
      <c r="Z27" s="50"/>
      <c r="AA27" s="50"/>
      <c r="AB27" s="50"/>
      <c r="AC27" s="50"/>
      <c r="AD27" s="50"/>
      <c r="AE27" s="50"/>
      <c r="AF27" s="50"/>
      <c r="AG27" s="50"/>
    </row>
    <row r="28" spans="2:33" x14ac:dyDescent="0.2">
      <c r="D28" s="45">
        <f>basic_info!$D$5-5</f>
        <v>2006</v>
      </c>
      <c r="E28" s="49"/>
      <c r="F28" s="45">
        <f>basic_info!$D$5-4</f>
        <v>2007</v>
      </c>
      <c r="G28" s="49"/>
      <c r="H28" s="45">
        <f>basic_info!$D$5-3</f>
        <v>2008</v>
      </c>
      <c r="I28" s="49"/>
      <c r="J28" s="45">
        <f>basic_info!$D$5-2</f>
        <v>2009</v>
      </c>
      <c r="K28" s="49"/>
      <c r="L28" s="45">
        <f>basic_info!$D$5-1</f>
        <v>2010</v>
      </c>
      <c r="N28" s="45">
        <f>basic_info!$D$5</f>
        <v>2011</v>
      </c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  <c r="AA28" s="50"/>
      <c r="AB28" s="50"/>
      <c r="AC28" s="50"/>
      <c r="AD28" s="50"/>
      <c r="AE28" s="50"/>
      <c r="AF28" s="50"/>
      <c r="AG28" s="50"/>
    </row>
    <row r="29" spans="2:33" x14ac:dyDescent="0.2">
      <c r="B29" s="33" t="s">
        <v>141</v>
      </c>
      <c r="C29" s="33" t="s">
        <v>161</v>
      </c>
      <c r="D29" s="44" t="s">
        <v>159</v>
      </c>
      <c r="E29" s="35" t="s">
        <v>160</v>
      </c>
      <c r="F29" s="44" t="s">
        <v>159</v>
      </c>
      <c r="G29" s="35" t="s">
        <v>160</v>
      </c>
      <c r="H29" s="44" t="s">
        <v>159</v>
      </c>
      <c r="I29" s="35" t="s">
        <v>160</v>
      </c>
      <c r="J29" s="44" t="s">
        <v>159</v>
      </c>
      <c r="K29" s="35" t="s">
        <v>160</v>
      </c>
      <c r="L29" s="44" t="s">
        <v>159</v>
      </c>
      <c r="M29" s="35" t="s">
        <v>160</v>
      </c>
      <c r="N29" s="44" t="s">
        <v>159</v>
      </c>
      <c r="O29" s="35" t="s">
        <v>160</v>
      </c>
      <c r="P29" s="33" t="s">
        <v>150</v>
      </c>
      <c r="Q29" s="50"/>
      <c r="R29" s="50"/>
      <c r="S29" s="50"/>
      <c r="T29" s="50"/>
      <c r="U29" s="50"/>
      <c r="V29" s="50"/>
      <c r="W29" s="50"/>
      <c r="X29" s="50"/>
      <c r="Y29" s="50"/>
      <c r="Z29" s="50"/>
      <c r="AA29" s="50"/>
      <c r="AB29" s="50"/>
      <c r="AC29" s="50"/>
      <c r="AD29" s="50"/>
      <c r="AE29" s="50"/>
      <c r="AF29" s="50"/>
      <c r="AG29" s="50"/>
    </row>
    <row r="30" spans="2:33" x14ac:dyDescent="0.2">
      <c r="B30" s="41" t="s">
        <v>112</v>
      </c>
      <c r="C30" s="36">
        <f>basic_info!$D$5</f>
        <v>2011</v>
      </c>
      <c r="D30" s="44">
        <v>0.66759713542461396</v>
      </c>
      <c r="E30" s="35">
        <v>400000</v>
      </c>
      <c r="F30" s="47">
        <v>0.81134172439645946</v>
      </c>
      <c r="G30" s="46">
        <v>100000</v>
      </c>
      <c r="H30" s="47">
        <v>0.81188912511999345</v>
      </c>
      <c r="I30" s="46">
        <v>200000</v>
      </c>
      <c r="J30" s="47">
        <v>0.69770012734349673</v>
      </c>
      <c r="K30" s="46"/>
      <c r="L30" s="47">
        <v>0.81979439563375311</v>
      </c>
      <c r="M30" s="46"/>
      <c r="N30" s="60"/>
      <c r="O30" s="71" t="s">
        <v>162</v>
      </c>
      <c r="P30" s="41">
        <f>M30+K30+I30+E30+G30</f>
        <v>700000</v>
      </c>
      <c r="Q30" s="70"/>
    </row>
    <row r="31" spans="2:33" x14ac:dyDescent="0.2">
      <c r="B31" s="36"/>
      <c r="C31" s="47">
        <f>basic_info!$D$5+1</f>
        <v>2012</v>
      </c>
      <c r="D31" s="76"/>
      <c r="E31" s="75"/>
      <c r="F31" s="69">
        <v>0.77419792761206629</v>
      </c>
      <c r="G31" s="79">
        <v>100000</v>
      </c>
      <c r="H31" s="61">
        <v>0.75988620984963406</v>
      </c>
      <c r="I31" s="62"/>
      <c r="J31" s="61">
        <v>0.70400269357188838</v>
      </c>
      <c r="K31" s="62"/>
      <c r="L31" s="61">
        <v>0.75933230319260714</v>
      </c>
      <c r="M31" s="62"/>
      <c r="N31" s="63">
        <v>0.79110236905498132</v>
      </c>
      <c r="O31" s="86"/>
      <c r="P31" s="63">
        <f>O31+M31+K31+I31+G31</f>
        <v>100000</v>
      </c>
    </row>
    <row r="32" spans="2:33" x14ac:dyDescent="0.2">
      <c r="B32" s="36"/>
      <c r="C32" s="47">
        <f>basic_info!$D$5+2</f>
        <v>2013</v>
      </c>
      <c r="D32" s="76"/>
      <c r="E32" s="75"/>
      <c r="F32" s="75"/>
      <c r="G32" s="75"/>
      <c r="H32" s="69">
        <v>0.72473765751123431</v>
      </c>
      <c r="I32" s="79">
        <v>100000</v>
      </c>
      <c r="J32" s="61">
        <v>0.71441382370859263</v>
      </c>
      <c r="K32" s="62"/>
      <c r="L32" s="61">
        <v>0.69091416758853352</v>
      </c>
      <c r="M32" s="62"/>
      <c r="N32" s="63">
        <v>0.75192074042674273</v>
      </c>
      <c r="O32" s="86"/>
      <c r="P32" s="63">
        <f>O32+M32+K32+I32</f>
        <v>100000</v>
      </c>
    </row>
    <row r="33" spans="2:17" x14ac:dyDescent="0.2">
      <c r="B33" s="36"/>
      <c r="C33" s="47">
        <f>basic_info!$D$5+3</f>
        <v>2014</v>
      </c>
      <c r="D33" s="76"/>
      <c r="E33" s="75"/>
      <c r="F33" s="75"/>
      <c r="G33" s="75"/>
      <c r="H33" s="75"/>
      <c r="I33" s="75"/>
      <c r="J33" s="69">
        <v>0.67398288510441784</v>
      </c>
      <c r="K33" s="79">
        <v>300000</v>
      </c>
      <c r="L33" s="61">
        <v>0.7025784495475329</v>
      </c>
      <c r="M33" s="62"/>
      <c r="N33" s="63">
        <v>0.75974471053693216</v>
      </c>
      <c r="O33" s="86"/>
      <c r="P33" s="63">
        <f>O33+M33+K33</f>
        <v>300000</v>
      </c>
    </row>
    <row r="34" spans="2:17" x14ac:dyDescent="0.2">
      <c r="B34" s="36"/>
      <c r="C34" s="47">
        <f>basic_info!$D$5+4</f>
        <v>2015</v>
      </c>
      <c r="D34" s="76"/>
      <c r="E34" s="75"/>
      <c r="F34" s="75"/>
      <c r="G34" s="75"/>
      <c r="H34" s="75"/>
      <c r="I34" s="75"/>
      <c r="J34" s="75"/>
      <c r="K34" s="75"/>
      <c r="L34" s="69">
        <v>0.71552384896278387</v>
      </c>
      <c r="M34" s="79"/>
      <c r="N34" s="63">
        <v>0.73352858177408109</v>
      </c>
      <c r="O34" s="86"/>
      <c r="P34" s="63">
        <f>O34+M34</f>
        <v>0</v>
      </c>
    </row>
    <row r="35" spans="2:17" x14ac:dyDescent="0.2">
      <c r="B35" s="37"/>
      <c r="C35" s="72">
        <f>basic_info!$D$5+5</f>
        <v>2016</v>
      </c>
      <c r="D35" s="77"/>
      <c r="E35" s="78"/>
      <c r="F35" s="78"/>
      <c r="G35" s="78"/>
      <c r="H35" s="78"/>
      <c r="I35" s="78"/>
      <c r="J35" s="78"/>
      <c r="K35" s="78"/>
      <c r="L35" s="80"/>
      <c r="M35" s="81"/>
      <c r="N35" s="64">
        <v>0.68859153167605403</v>
      </c>
      <c r="O35" s="86"/>
      <c r="P35" s="65">
        <f>O35</f>
        <v>0</v>
      </c>
    </row>
    <row r="36" spans="2:17" x14ac:dyDescent="0.2">
      <c r="B36" s="41" t="s">
        <v>113</v>
      </c>
      <c r="C36" s="36">
        <f>basic_info!$D$5</f>
        <v>2011</v>
      </c>
      <c r="D36" s="44">
        <v>0.89032073213160046</v>
      </c>
      <c r="E36" s="35"/>
      <c r="F36" s="73">
        <v>0.91383547859681491</v>
      </c>
      <c r="G36" s="74">
        <v>100000</v>
      </c>
      <c r="H36" s="73">
        <v>1.0175796433406761</v>
      </c>
      <c r="I36" s="74"/>
      <c r="J36" s="73">
        <v>1.0991066984060751</v>
      </c>
      <c r="K36" s="74"/>
      <c r="L36" s="66">
        <v>1.1501363751654021</v>
      </c>
      <c r="M36" s="67"/>
      <c r="N36" s="68"/>
      <c r="O36" s="71" t="s">
        <v>162</v>
      </c>
      <c r="P36" s="41">
        <f>M36+K36+I36+E36+G36</f>
        <v>100000</v>
      </c>
      <c r="Q36" s="70"/>
    </row>
    <row r="37" spans="2:17" x14ac:dyDescent="0.2">
      <c r="B37" s="36"/>
      <c r="C37" s="47">
        <f>basic_info!$D$5+1</f>
        <v>2012</v>
      </c>
      <c r="D37" s="76"/>
      <c r="E37" s="75"/>
      <c r="F37" s="69">
        <v>0.87400841210782521</v>
      </c>
      <c r="G37" s="79">
        <v>100000</v>
      </c>
      <c r="H37" s="61">
        <v>0.98773074448833686</v>
      </c>
      <c r="I37" s="62">
        <v>100000</v>
      </c>
      <c r="J37" s="61">
        <v>1.0158087168858814</v>
      </c>
      <c r="K37" s="62"/>
      <c r="L37" s="61">
        <v>1.1144936542893142</v>
      </c>
      <c r="M37" s="62"/>
      <c r="N37" s="61">
        <v>1.1730117703794187</v>
      </c>
      <c r="O37" s="86"/>
      <c r="P37" s="63">
        <f>O37+M37+K37+I37+G37</f>
        <v>200000</v>
      </c>
    </row>
    <row r="38" spans="2:17" x14ac:dyDescent="0.2">
      <c r="B38" s="36"/>
      <c r="C38" s="47">
        <f>basic_info!$D$5+2</f>
        <v>2013</v>
      </c>
      <c r="D38" s="76"/>
      <c r="E38" s="75"/>
      <c r="F38" s="75"/>
      <c r="G38" s="75"/>
      <c r="H38" s="69">
        <v>0.97905324764549728</v>
      </c>
      <c r="I38" s="79"/>
      <c r="J38" s="61">
        <v>1.004390797006619</v>
      </c>
      <c r="K38" s="62"/>
      <c r="L38" s="61">
        <v>1.1358391365953338</v>
      </c>
      <c r="M38" s="62">
        <v>300000</v>
      </c>
      <c r="N38" s="61">
        <v>1.114568040022595</v>
      </c>
      <c r="O38" s="86"/>
      <c r="P38" s="63">
        <f>O38+M38+K38+I38</f>
        <v>300000</v>
      </c>
    </row>
    <row r="39" spans="2:17" x14ac:dyDescent="0.2">
      <c r="B39" s="36"/>
      <c r="C39" s="47">
        <f>basic_info!$D$5+3</f>
        <v>2014</v>
      </c>
      <c r="D39" s="76"/>
      <c r="E39" s="75"/>
      <c r="F39" s="75"/>
      <c r="G39" s="75"/>
      <c r="H39" s="75"/>
      <c r="I39" s="75"/>
      <c r="J39" s="69">
        <v>0.92318454591929922</v>
      </c>
      <c r="K39" s="79">
        <v>200000</v>
      </c>
      <c r="L39" s="61">
        <v>1.0932932166591005</v>
      </c>
      <c r="M39" s="62"/>
      <c r="N39" s="61">
        <v>1.0797159727823964</v>
      </c>
      <c r="O39" s="86"/>
      <c r="P39" s="63">
        <f>O39+M39+K39</f>
        <v>200000</v>
      </c>
    </row>
    <row r="40" spans="2:17" x14ac:dyDescent="0.2">
      <c r="B40" s="36"/>
      <c r="C40" s="47">
        <f>basic_info!$D$5+4</f>
        <v>2015</v>
      </c>
      <c r="D40" s="76"/>
      <c r="E40" s="75"/>
      <c r="F40" s="75"/>
      <c r="G40" s="75"/>
      <c r="H40" s="75"/>
      <c r="I40" s="75"/>
      <c r="J40" s="75"/>
      <c r="K40" s="75"/>
      <c r="L40" s="69">
        <v>1.023757758513093</v>
      </c>
      <c r="M40" s="79"/>
      <c r="N40" s="61">
        <v>1.057380701748182</v>
      </c>
      <c r="O40" s="86"/>
      <c r="P40" s="63">
        <f>O40+M40</f>
        <v>0</v>
      </c>
    </row>
    <row r="41" spans="2:17" x14ac:dyDescent="0.2">
      <c r="B41" s="37"/>
      <c r="C41" s="72">
        <f>basic_info!$D$5+5</f>
        <v>2016</v>
      </c>
      <c r="D41" s="77"/>
      <c r="E41" s="78"/>
      <c r="F41" s="78"/>
      <c r="G41" s="78"/>
      <c r="H41" s="78"/>
      <c r="I41" s="78"/>
      <c r="J41" s="78"/>
      <c r="K41" s="78"/>
      <c r="L41" s="80"/>
      <c r="M41" s="81"/>
      <c r="N41" s="69">
        <v>0.96417330466210838</v>
      </c>
      <c r="O41" s="86"/>
      <c r="P41" s="64">
        <f>O41</f>
        <v>0</v>
      </c>
    </row>
    <row r="42" spans="2:17" x14ac:dyDescent="0.2"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50"/>
    </row>
    <row r="44" spans="2:17" x14ac:dyDescent="0.2">
      <c r="B44" s="30" t="s">
        <v>153</v>
      </c>
    </row>
    <row r="45" spans="2:17" x14ac:dyDescent="0.2">
      <c r="B45" s="31"/>
      <c r="C45" s="32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</row>
    <row r="46" spans="2:17" x14ac:dyDescent="0.2">
      <c r="B46" s="33" t="s">
        <v>149</v>
      </c>
      <c r="C46" s="34" t="s">
        <v>92</v>
      </c>
      <c r="D46" s="34" t="s">
        <v>93</v>
      </c>
      <c r="E46" s="34" t="s">
        <v>94</v>
      </c>
      <c r="F46" s="34" t="s">
        <v>95</v>
      </c>
      <c r="G46" s="34" t="s">
        <v>96</v>
      </c>
      <c r="H46" s="34" t="s">
        <v>97</v>
      </c>
      <c r="I46" s="34" t="s">
        <v>98</v>
      </c>
      <c r="J46" s="34" t="s">
        <v>99</v>
      </c>
      <c r="K46" s="34" t="s">
        <v>100</v>
      </c>
      <c r="L46" s="34" t="s">
        <v>101</v>
      </c>
      <c r="M46" s="34" t="s">
        <v>102</v>
      </c>
      <c r="N46" s="35" t="s">
        <v>103</v>
      </c>
      <c r="O46" s="33" t="s">
        <v>150</v>
      </c>
    </row>
    <row r="47" spans="2:17" x14ac:dyDescent="0.2">
      <c r="B47" s="41" t="s">
        <v>112</v>
      </c>
      <c r="C47" s="97">
        <v>8.3333333333333321</v>
      </c>
      <c r="D47" s="97">
        <v>8.3333333333333321</v>
      </c>
      <c r="E47" s="97">
        <v>8.3333333333333321</v>
      </c>
      <c r="F47" s="97">
        <v>8.3333333333333321</v>
      </c>
      <c r="G47" s="97">
        <v>8.3333333333333321</v>
      </c>
      <c r="H47" s="97">
        <v>8.3333333333333321</v>
      </c>
      <c r="I47" s="97">
        <v>8.3333333333333321</v>
      </c>
      <c r="J47" s="97">
        <v>8.3333333333333321</v>
      </c>
      <c r="K47" s="97">
        <v>8.3333333333333321</v>
      </c>
      <c r="L47" s="97">
        <v>8.3333333333333321</v>
      </c>
      <c r="M47" s="97">
        <v>8.3333333333333321</v>
      </c>
      <c r="N47" s="97">
        <v>8.3333333333333321</v>
      </c>
      <c r="O47" s="33">
        <f>SUM(C47:N47)</f>
        <v>99.999999999999957</v>
      </c>
    </row>
    <row r="48" spans="2:17" x14ac:dyDescent="0.2">
      <c r="B48" s="37" t="s">
        <v>113</v>
      </c>
      <c r="C48" s="97">
        <v>8.3333333333333321</v>
      </c>
      <c r="D48" s="97">
        <v>8.3333333333333321</v>
      </c>
      <c r="E48" s="97">
        <v>8.3333333333333321</v>
      </c>
      <c r="F48" s="97">
        <v>8.3333333333333321</v>
      </c>
      <c r="G48" s="97">
        <v>8.3333333333333321</v>
      </c>
      <c r="H48" s="97">
        <v>8.3333333333333321</v>
      </c>
      <c r="I48" s="97">
        <v>8.3333333333333321</v>
      </c>
      <c r="J48" s="97">
        <v>8.3333333333333321</v>
      </c>
      <c r="K48" s="97">
        <v>8.3333333333333321</v>
      </c>
      <c r="L48" s="97">
        <v>8.3333333333333321</v>
      </c>
      <c r="M48" s="97">
        <v>8.3333333333333321</v>
      </c>
      <c r="N48" s="97">
        <v>8.3333333333333321</v>
      </c>
      <c r="O48" s="33">
        <f>SUM(C48:N48)</f>
        <v>99.999999999999957</v>
      </c>
    </row>
    <row r="49" spans="2:15" x14ac:dyDescent="0.2">
      <c r="B49" s="32"/>
      <c r="C49" s="32"/>
      <c r="D49" s="32"/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</row>
  </sheetData>
  <phoneticPr fontId="0" type="noConversion"/>
  <dataValidations count="8">
    <dataValidation type="decimal" operator="greaterThanOrEqual" allowBlank="1" showInputMessage="1" showErrorMessage="1" errorTitle="Error" error="This error occurred because a non-positive number was entered" promptTitle="Purchases" prompt="Enter amount of fresh oranges (ORA) to purchase" sqref="C6:N11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0 &lt; real price &lt;= price 1" sqref="C17:C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1 &lt; real price &lt;= price 2" sqref="E17:E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2 &lt; real price &lt;= price 3 (Note: quantity multiplier = 0 if real price &gt; price 3)" sqref="G17:G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Prices" prompt="Enter prices (Note Unit: $/lb)" sqref="D17:D22 F17:F22 H17:H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ORA futures to purchase" sqref="O31:O35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FCOJ futures to purchase" sqref="O37:O41">
      <formula1>0</formula1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47:N48">
      <formula1>0</formula1>
      <formula2>100</formula2>
    </dataValidation>
  </dataValidations>
  <pageMargins left="0.75" right="0.75" top="1" bottom="1" header="0.5" footer="0.5"/>
  <pageSetup orientation="portrait" horizontalDpi="300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2:X63"/>
  <sheetViews>
    <sheetView showGridLines="0" topLeftCell="A8" workbookViewId="0">
      <selection activeCell="B34" sqref="B34"/>
    </sheetView>
  </sheetViews>
  <sheetFormatPr defaultRowHeight="12.75" x14ac:dyDescent="0.2"/>
  <cols>
    <col min="1" max="1" width="4.7109375" style="29" customWidth="1"/>
    <col min="2" max="2" width="17.28515625" style="29" customWidth="1"/>
    <col min="3" max="16384" width="9.140625" style="29"/>
  </cols>
  <sheetData>
    <row r="2" spans="2:17" x14ac:dyDescent="0.2">
      <c r="B2" s="28" t="s">
        <v>114</v>
      </c>
    </row>
    <row r="3" spans="2:17" x14ac:dyDescent="0.2">
      <c r="B3" s="30" t="s">
        <v>144</v>
      </c>
    </row>
    <row r="4" spans="2:17" x14ac:dyDescent="0.2">
      <c r="B4" s="48"/>
      <c r="C4" s="48"/>
      <c r="D4" s="48"/>
      <c r="E4" s="48"/>
      <c r="F4" s="48"/>
      <c r="G4" s="48"/>
      <c r="H4" s="48"/>
      <c r="I4" s="49"/>
      <c r="J4" s="49"/>
      <c r="K4" s="49"/>
      <c r="L4" s="49"/>
      <c r="M4" s="49"/>
      <c r="N4" s="49"/>
    </row>
    <row r="5" spans="2:17" x14ac:dyDescent="0.2">
      <c r="B5" s="45" t="s">
        <v>115</v>
      </c>
      <c r="C5" s="45" t="s">
        <v>5</v>
      </c>
      <c r="D5" s="45" t="s">
        <v>10</v>
      </c>
      <c r="E5" s="45" t="s">
        <v>12</v>
      </c>
      <c r="F5" s="45" t="s">
        <v>22</v>
      </c>
      <c r="G5" s="45" t="s">
        <v>59</v>
      </c>
      <c r="H5" s="45" t="s">
        <v>150</v>
      </c>
      <c r="I5" s="50"/>
      <c r="J5" s="50"/>
      <c r="K5" s="50"/>
      <c r="L5" s="50"/>
      <c r="M5" s="50"/>
      <c r="N5" s="50"/>
      <c r="O5" s="50"/>
      <c r="P5" s="50"/>
      <c r="Q5" s="50"/>
    </row>
    <row r="6" spans="2:17" x14ac:dyDescent="0.2">
      <c r="B6" s="45" t="s">
        <v>163</v>
      </c>
      <c r="C6" s="98">
        <v>6.0911599612436236</v>
      </c>
      <c r="D6" s="98">
        <v>0</v>
      </c>
      <c r="E6" s="98">
        <v>16.630671352390682</v>
      </c>
      <c r="F6" s="98">
        <v>37.34534</v>
      </c>
      <c r="G6" s="98">
        <v>39.932828686365696</v>
      </c>
      <c r="H6" s="89">
        <f>SUM($C$6:$G$6)</f>
        <v>100</v>
      </c>
      <c r="I6" s="49"/>
      <c r="J6" s="49"/>
      <c r="K6" s="49"/>
      <c r="L6" s="49"/>
      <c r="M6" s="49"/>
      <c r="N6" s="49"/>
      <c r="O6" s="50"/>
      <c r="P6" s="50"/>
      <c r="Q6" s="50"/>
    </row>
    <row r="7" spans="2:17" x14ac:dyDescent="0.2">
      <c r="B7" s="45" t="s">
        <v>105</v>
      </c>
      <c r="C7" s="98">
        <v>0</v>
      </c>
      <c r="D7" s="98">
        <v>36.49781275649871</v>
      </c>
      <c r="E7" s="98">
        <v>0</v>
      </c>
      <c r="F7" s="98">
        <v>12.345599999999999</v>
      </c>
      <c r="G7" s="98">
        <v>51.156587243501292</v>
      </c>
      <c r="H7" s="89">
        <f>SUM($C$7:$G$7)</f>
        <v>100</v>
      </c>
      <c r="I7" s="49"/>
      <c r="J7" s="49"/>
      <c r="K7" s="49"/>
      <c r="L7" s="49"/>
      <c r="M7" s="49"/>
      <c r="N7" s="49"/>
      <c r="O7" s="50"/>
      <c r="P7" s="50"/>
      <c r="Q7" s="50"/>
    </row>
    <row r="8" spans="2:17" x14ac:dyDescent="0.2">
      <c r="B8" s="45" t="s">
        <v>106</v>
      </c>
      <c r="C8" s="98">
        <v>0</v>
      </c>
      <c r="D8" s="98">
        <v>16.650427434247622</v>
      </c>
      <c r="E8" s="98">
        <v>0</v>
      </c>
      <c r="F8" s="98">
        <v>51.234499999999997</v>
      </c>
      <c r="G8" s="98">
        <v>32.115072565752385</v>
      </c>
      <c r="H8" s="89">
        <f>SUM($C$8:$G$8)</f>
        <v>100</v>
      </c>
      <c r="I8" s="49"/>
      <c r="J8" s="49"/>
      <c r="K8" s="49"/>
      <c r="L8" s="49"/>
      <c r="M8" s="49"/>
      <c r="N8" s="49"/>
      <c r="O8" s="50"/>
      <c r="P8" s="50"/>
      <c r="Q8" s="50"/>
    </row>
    <row r="9" spans="2:17" x14ac:dyDescent="0.2">
      <c r="B9" s="45" t="s">
        <v>107</v>
      </c>
      <c r="C9" s="98">
        <v>0</v>
      </c>
      <c r="D9" s="98">
        <v>100</v>
      </c>
      <c r="E9" s="98"/>
      <c r="F9" s="98"/>
      <c r="G9" s="98"/>
      <c r="H9" s="89">
        <f>SUM($C$9:$G$9)</f>
        <v>100</v>
      </c>
      <c r="I9" s="49"/>
      <c r="J9" s="49"/>
      <c r="K9" s="49"/>
      <c r="L9" s="49"/>
      <c r="M9" s="49"/>
      <c r="N9" s="49"/>
      <c r="O9" s="50"/>
      <c r="P9" s="50"/>
      <c r="Q9" s="50"/>
    </row>
    <row r="10" spans="2:17" x14ac:dyDescent="0.2">
      <c r="B10" s="45" t="s">
        <v>108</v>
      </c>
      <c r="C10" s="98">
        <v>100</v>
      </c>
      <c r="D10" s="98"/>
      <c r="E10" s="98"/>
      <c r="F10" s="98"/>
      <c r="G10" s="98"/>
      <c r="H10" s="89">
        <f>SUM($C$10:$G$10)</f>
        <v>100</v>
      </c>
      <c r="I10" s="49"/>
      <c r="J10" s="49"/>
      <c r="K10" s="49"/>
      <c r="L10" s="49"/>
      <c r="M10" s="49"/>
      <c r="N10" s="49"/>
      <c r="O10" s="50"/>
      <c r="P10" s="50"/>
      <c r="Q10" s="50"/>
    </row>
    <row r="11" spans="2:17" x14ac:dyDescent="0.2">
      <c r="B11" s="45" t="s">
        <v>109</v>
      </c>
      <c r="C11" s="99">
        <v>100</v>
      </c>
      <c r="D11" s="99"/>
      <c r="E11" s="99"/>
      <c r="F11" s="99"/>
      <c r="G11" s="99"/>
      <c r="H11" s="88">
        <f>SUM($C$11:$G$11)</f>
        <v>100</v>
      </c>
      <c r="I11" s="49"/>
      <c r="J11" s="49"/>
      <c r="K11" s="49"/>
      <c r="L11" s="49"/>
      <c r="M11" s="49"/>
      <c r="N11" s="49"/>
      <c r="O11" s="50"/>
      <c r="P11" s="50"/>
      <c r="Q11" s="50"/>
    </row>
    <row r="12" spans="2:17" x14ac:dyDescent="0.2">
      <c r="B12" s="51"/>
      <c r="C12" s="51"/>
      <c r="D12" s="51"/>
      <c r="E12" s="51"/>
      <c r="F12" s="51"/>
      <c r="G12" s="51"/>
      <c r="H12" s="51"/>
      <c r="I12" s="49"/>
      <c r="J12" s="49"/>
      <c r="K12" s="49"/>
      <c r="L12" s="49"/>
      <c r="M12" s="49"/>
      <c r="N12" s="49"/>
      <c r="O12" s="50"/>
      <c r="P12" s="50"/>
      <c r="Q12" s="50"/>
    </row>
    <row r="13" spans="2:17" x14ac:dyDescent="0.2">
      <c r="C13" s="49"/>
      <c r="D13" s="49"/>
      <c r="E13" s="49"/>
      <c r="F13" s="49"/>
      <c r="G13" s="49"/>
      <c r="H13" s="49"/>
      <c r="I13" s="50"/>
      <c r="J13" s="50"/>
      <c r="K13" s="50"/>
    </row>
    <row r="14" spans="2:17" x14ac:dyDescent="0.2">
      <c r="B14" s="52" t="s">
        <v>116</v>
      </c>
      <c r="C14" s="49"/>
      <c r="D14" s="49"/>
      <c r="E14" s="49"/>
      <c r="F14" s="49"/>
      <c r="G14" s="49"/>
      <c r="H14" s="49"/>
      <c r="I14" s="50"/>
      <c r="J14" s="50"/>
      <c r="K14" s="50"/>
    </row>
    <row r="15" spans="2:17" x14ac:dyDescent="0.2">
      <c r="B15" s="53" t="s">
        <v>117</v>
      </c>
      <c r="C15" s="50"/>
      <c r="D15" s="50"/>
      <c r="E15" s="50"/>
      <c r="F15" s="50"/>
      <c r="G15" s="50"/>
      <c r="H15" s="50"/>
      <c r="I15" s="50"/>
      <c r="J15" s="50"/>
      <c r="K15" s="50"/>
    </row>
    <row r="16" spans="2:17" x14ac:dyDescent="0.2">
      <c r="B16" s="31"/>
      <c r="C16" s="31"/>
      <c r="D16" s="31"/>
      <c r="E16" s="31"/>
      <c r="F16" s="31"/>
      <c r="G16" s="31"/>
      <c r="H16" s="31"/>
      <c r="I16" s="50"/>
      <c r="J16" s="50"/>
      <c r="K16" s="50"/>
      <c r="L16" s="50"/>
      <c r="O16" s="50"/>
      <c r="P16" s="50"/>
      <c r="Q16" s="50"/>
    </row>
    <row r="17" spans="2:18" x14ac:dyDescent="0.2">
      <c r="B17" s="45" t="s">
        <v>118</v>
      </c>
      <c r="C17" s="45" t="s">
        <v>5</v>
      </c>
      <c r="D17" s="45"/>
      <c r="E17" s="45" t="s">
        <v>10</v>
      </c>
      <c r="F17" s="45"/>
      <c r="G17" s="45" t="s">
        <v>12</v>
      </c>
      <c r="H17" s="45"/>
      <c r="I17" s="50"/>
      <c r="J17" s="50"/>
      <c r="K17" s="50"/>
      <c r="L17" s="50"/>
      <c r="O17" s="50"/>
      <c r="P17" s="50"/>
      <c r="Q17" s="50"/>
    </row>
    <row r="18" spans="2:18" x14ac:dyDescent="0.2">
      <c r="B18" s="45" t="s">
        <v>119</v>
      </c>
      <c r="C18" s="45" t="s">
        <v>133</v>
      </c>
      <c r="D18" s="45" t="s">
        <v>123</v>
      </c>
      <c r="E18" s="45" t="s">
        <v>133</v>
      </c>
      <c r="F18" s="45" t="s">
        <v>123</v>
      </c>
      <c r="G18" s="45" t="s">
        <v>133</v>
      </c>
      <c r="H18" s="45" t="s">
        <v>123</v>
      </c>
      <c r="I18" s="50"/>
      <c r="J18" s="50"/>
      <c r="K18" s="50"/>
      <c r="L18" s="50"/>
      <c r="M18" s="50"/>
      <c r="O18" s="50"/>
      <c r="P18" s="50"/>
      <c r="Q18" s="50"/>
    </row>
    <row r="19" spans="2:18" x14ac:dyDescent="0.2">
      <c r="B19" s="45" t="s">
        <v>120</v>
      </c>
      <c r="C19" s="87">
        <v>100</v>
      </c>
      <c r="D19" s="44">
        <f>100-$C$19</f>
        <v>0</v>
      </c>
      <c r="E19" s="87">
        <v>100</v>
      </c>
      <c r="F19" s="44">
        <f>100-$E$19</f>
        <v>0</v>
      </c>
      <c r="G19" s="87">
        <v>100</v>
      </c>
      <c r="H19" s="33">
        <f>100-$G$19</f>
        <v>0</v>
      </c>
      <c r="O19" s="50"/>
      <c r="P19" s="50"/>
      <c r="Q19" s="50"/>
    </row>
    <row r="20" spans="2:18" x14ac:dyDescent="0.2">
      <c r="B20" s="54"/>
      <c r="C20" s="54"/>
      <c r="D20" s="54"/>
      <c r="E20" s="54"/>
      <c r="F20" s="54"/>
      <c r="G20" s="54"/>
      <c r="H20" s="54"/>
      <c r="I20" s="50"/>
      <c r="J20" s="50"/>
      <c r="K20" s="50"/>
      <c r="L20" s="50"/>
      <c r="O20" s="50"/>
      <c r="P20" s="50"/>
      <c r="Q20" s="50"/>
    </row>
    <row r="21" spans="2:18" x14ac:dyDescent="0.2">
      <c r="I21" s="50"/>
      <c r="J21" s="50"/>
      <c r="K21" s="50"/>
    </row>
    <row r="22" spans="2:18" x14ac:dyDescent="0.2">
      <c r="B22" s="52" t="s">
        <v>114</v>
      </c>
      <c r="I22" s="50"/>
      <c r="J22" s="50"/>
      <c r="K22" s="50"/>
    </row>
    <row r="23" spans="2:18" x14ac:dyDescent="0.2">
      <c r="B23" s="55" t="s">
        <v>145</v>
      </c>
      <c r="I23" s="50"/>
      <c r="J23" s="50"/>
      <c r="K23" s="50"/>
    </row>
    <row r="24" spans="2:18" x14ac:dyDescent="0.2">
      <c r="B24" s="31"/>
      <c r="C24" s="31"/>
      <c r="D24" s="31"/>
      <c r="E24" s="31"/>
      <c r="F24" s="31"/>
      <c r="G24" s="31"/>
      <c r="H24" s="31"/>
      <c r="I24" s="31"/>
      <c r="P24" s="50"/>
      <c r="Q24" s="50"/>
      <c r="R24" s="50"/>
    </row>
    <row r="25" spans="2:18" x14ac:dyDescent="0.2">
      <c r="B25" s="45" t="s">
        <v>121</v>
      </c>
      <c r="C25" s="45" t="s">
        <v>122</v>
      </c>
      <c r="D25" s="45" t="s">
        <v>5</v>
      </c>
      <c r="E25" s="45"/>
      <c r="F25" s="45" t="s">
        <v>10</v>
      </c>
      <c r="G25" s="45"/>
      <c r="H25" s="45" t="s">
        <v>12</v>
      </c>
      <c r="I25" s="45"/>
      <c r="P25" s="50"/>
      <c r="Q25" s="50"/>
      <c r="R25" s="50"/>
    </row>
    <row r="26" spans="2:18" x14ac:dyDescent="0.2">
      <c r="B26" s="45" t="s">
        <v>119</v>
      </c>
      <c r="C26" s="45" t="s">
        <v>123</v>
      </c>
      <c r="D26" s="45" t="s">
        <v>133</v>
      </c>
      <c r="E26" s="45" t="s">
        <v>123</v>
      </c>
      <c r="F26" s="45" t="s">
        <v>133</v>
      </c>
      <c r="G26" s="45" t="s">
        <v>123</v>
      </c>
      <c r="H26" s="45" t="s">
        <v>133</v>
      </c>
      <c r="I26" s="45" t="s">
        <v>123</v>
      </c>
      <c r="P26" s="50"/>
      <c r="Q26" s="50"/>
      <c r="R26" s="50"/>
    </row>
    <row r="27" spans="2:18" x14ac:dyDescent="0.2">
      <c r="B27" s="45" t="s">
        <v>22</v>
      </c>
      <c r="C27" s="100">
        <v>9.9340677426410444</v>
      </c>
      <c r="D27" s="100">
        <v>100</v>
      </c>
      <c r="E27" s="100">
        <v>100</v>
      </c>
      <c r="F27" s="100">
        <v>36</v>
      </c>
      <c r="G27" s="100">
        <v>100</v>
      </c>
      <c r="H27" s="100">
        <v>0</v>
      </c>
      <c r="I27" s="101">
        <v>68</v>
      </c>
      <c r="P27" s="50"/>
      <c r="Q27" s="50"/>
      <c r="R27" s="50"/>
    </row>
    <row r="28" spans="2:18" x14ac:dyDescent="0.2">
      <c r="B28" s="45" t="s">
        <v>59</v>
      </c>
      <c r="C28" s="100">
        <v>90.065932257358952</v>
      </c>
      <c r="D28" s="100">
        <v>0</v>
      </c>
      <c r="E28" s="100">
        <v>0</v>
      </c>
      <c r="F28" s="100">
        <v>64</v>
      </c>
      <c r="G28" s="100">
        <v>0</v>
      </c>
      <c r="H28" s="100">
        <v>100</v>
      </c>
      <c r="I28" s="101">
        <v>32</v>
      </c>
      <c r="P28" s="50"/>
      <c r="Q28" s="50"/>
      <c r="R28" s="50"/>
    </row>
    <row r="29" spans="2:18" x14ac:dyDescent="0.2">
      <c r="B29" s="45" t="s">
        <v>150</v>
      </c>
      <c r="C29" s="90">
        <f>SUM($C$27:$C$28)</f>
        <v>100</v>
      </c>
      <c r="D29" s="90">
        <f>SUM($D$27:$D$28)</f>
        <v>100</v>
      </c>
      <c r="E29" s="90">
        <f>SUM($E$27:$E$28)</f>
        <v>100</v>
      </c>
      <c r="F29" s="90">
        <f>SUM($F$27:$F$28)</f>
        <v>100</v>
      </c>
      <c r="G29" s="90">
        <f>SUM($G$27:$G$28)</f>
        <v>100</v>
      </c>
      <c r="H29" s="90">
        <f>SUM($H$27:$H$28)</f>
        <v>100</v>
      </c>
      <c r="I29" s="88">
        <f>SUM($I$27:$I$28)</f>
        <v>100</v>
      </c>
      <c r="P29" s="50"/>
      <c r="Q29" s="50"/>
      <c r="R29" s="50"/>
    </row>
    <row r="30" spans="2:18" x14ac:dyDescent="0.2">
      <c r="B30" s="54"/>
      <c r="C30" s="54"/>
      <c r="D30" s="54"/>
      <c r="E30" s="54"/>
      <c r="F30" s="54"/>
      <c r="G30" s="54"/>
      <c r="H30" s="54"/>
      <c r="I30" s="54"/>
      <c r="P30" s="50"/>
      <c r="Q30" s="50"/>
      <c r="R30" s="50"/>
    </row>
    <row r="31" spans="2:18" x14ac:dyDescent="0.2">
      <c r="I31" s="50"/>
      <c r="J31" s="50"/>
      <c r="K31" s="50"/>
    </row>
    <row r="32" spans="2:18" x14ac:dyDescent="0.2">
      <c r="B32" s="52" t="s">
        <v>124</v>
      </c>
      <c r="C32" s="50"/>
      <c r="D32" s="50"/>
      <c r="E32" s="50"/>
      <c r="F32" s="50"/>
      <c r="G32" s="50"/>
      <c r="H32" s="50"/>
      <c r="I32" s="50"/>
      <c r="J32" s="50"/>
      <c r="K32" s="50"/>
    </row>
    <row r="33" spans="2:14" x14ac:dyDescent="0.2">
      <c r="B33" s="53" t="s">
        <v>143</v>
      </c>
      <c r="C33" s="50"/>
      <c r="D33" s="50"/>
      <c r="E33" s="50"/>
      <c r="F33" s="50"/>
      <c r="G33" s="50"/>
      <c r="H33" s="50"/>
      <c r="I33" s="50"/>
      <c r="J33" s="50"/>
      <c r="K33" s="50"/>
    </row>
    <row r="34" spans="2:14" x14ac:dyDescent="0.2">
      <c r="B34" s="32"/>
      <c r="C34" s="32"/>
      <c r="D34" s="32"/>
      <c r="E34" s="32"/>
      <c r="F34" s="32"/>
      <c r="G34" s="32"/>
      <c r="H34" s="32"/>
      <c r="I34" s="32"/>
      <c r="J34" s="32"/>
      <c r="K34" s="32"/>
      <c r="L34" s="32"/>
      <c r="M34" s="32"/>
      <c r="N34" s="32"/>
    </row>
    <row r="35" spans="2:14" x14ac:dyDescent="0.2">
      <c r="B35" s="45" t="s">
        <v>147</v>
      </c>
      <c r="C35" s="45" t="s">
        <v>92</v>
      </c>
      <c r="D35" s="45" t="s">
        <v>93</v>
      </c>
      <c r="E35" s="45" t="s">
        <v>94</v>
      </c>
      <c r="F35" s="45" t="s">
        <v>95</v>
      </c>
      <c r="G35" s="45" t="s">
        <v>96</v>
      </c>
      <c r="H35" s="45" t="s">
        <v>97</v>
      </c>
      <c r="I35" s="45" t="s">
        <v>98</v>
      </c>
      <c r="J35" s="45" t="s">
        <v>99</v>
      </c>
      <c r="K35" s="45" t="s">
        <v>100</v>
      </c>
      <c r="L35" s="45" t="s">
        <v>101</v>
      </c>
      <c r="M35" s="45" t="s">
        <v>102</v>
      </c>
      <c r="N35" s="45" t="s">
        <v>103</v>
      </c>
    </row>
    <row r="36" spans="2:14" x14ac:dyDescent="0.2">
      <c r="B36" s="45" t="s">
        <v>22</v>
      </c>
      <c r="C36" s="103">
        <v>40.615531769122597</v>
      </c>
      <c r="D36" s="103">
        <v>40.615531769122597</v>
      </c>
      <c r="E36" s="103">
        <v>40.615531769122597</v>
      </c>
      <c r="F36" s="103">
        <v>40.615531769122597</v>
      </c>
      <c r="G36" s="103">
        <v>40.615531769122597</v>
      </c>
      <c r="H36" s="103">
        <v>40.615531769122597</v>
      </c>
      <c r="I36" s="103">
        <v>40.615531769122597</v>
      </c>
      <c r="J36" s="103">
        <v>40.615531769122597</v>
      </c>
      <c r="K36" s="103">
        <v>40.615531769122597</v>
      </c>
      <c r="L36" s="103">
        <v>40.615531769122597</v>
      </c>
      <c r="M36" s="103">
        <v>40.615531769122597</v>
      </c>
      <c r="N36" s="105">
        <v>40.615531769122597</v>
      </c>
    </row>
    <row r="37" spans="2:14" x14ac:dyDescent="0.2">
      <c r="B37" s="45" t="s">
        <v>59</v>
      </c>
      <c r="C37" s="104">
        <v>45.857219391613704</v>
      </c>
      <c r="D37" s="104">
        <v>45.857219391613704</v>
      </c>
      <c r="E37" s="104">
        <v>45.857219391613704</v>
      </c>
      <c r="F37" s="104">
        <v>45.857219391613704</v>
      </c>
      <c r="G37" s="104">
        <v>45.857219391613704</v>
      </c>
      <c r="H37" s="104">
        <v>45.857219391613704</v>
      </c>
      <c r="I37" s="104">
        <v>45.857219391613704</v>
      </c>
      <c r="J37" s="104">
        <v>45.857219391613704</v>
      </c>
      <c r="K37" s="104">
        <v>45.857219391613704</v>
      </c>
      <c r="L37" s="104">
        <v>45.857219391613704</v>
      </c>
      <c r="M37" s="104">
        <v>45.857219391613704</v>
      </c>
      <c r="N37" s="102">
        <v>45.857219391613704</v>
      </c>
    </row>
    <row r="38" spans="2:14" x14ac:dyDescent="0.2">
      <c r="B38" s="32"/>
      <c r="C38" s="32"/>
      <c r="D38" s="32"/>
      <c r="E38" s="32"/>
      <c r="F38" s="32"/>
      <c r="G38" s="32"/>
      <c r="H38" s="32"/>
      <c r="I38" s="32"/>
      <c r="J38" s="32"/>
      <c r="K38" s="32"/>
      <c r="L38" s="32"/>
      <c r="M38" s="32"/>
      <c r="N38" s="32"/>
    </row>
    <row r="39" spans="2:14" x14ac:dyDescent="0.2">
      <c r="I39" s="50"/>
      <c r="J39" s="50"/>
      <c r="K39" s="50"/>
    </row>
    <row r="40" spans="2:14" x14ac:dyDescent="0.2">
      <c r="B40" s="50"/>
      <c r="C40" s="50"/>
      <c r="D40" s="50"/>
      <c r="E40" s="50"/>
      <c r="F40" s="50"/>
      <c r="G40" s="50"/>
      <c r="H40" s="50"/>
      <c r="I40" s="50"/>
      <c r="J40" s="50"/>
      <c r="K40" s="50"/>
      <c r="L40" s="50"/>
      <c r="M40" s="50"/>
      <c r="N40" s="50"/>
    </row>
    <row r="41" spans="2:14" x14ac:dyDescent="0.2">
      <c r="B41" s="50"/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</row>
    <row r="42" spans="2:14" x14ac:dyDescent="0.2">
      <c r="B42" s="50"/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  <c r="N42" s="50"/>
    </row>
    <row r="43" spans="2:14" x14ac:dyDescent="0.2">
      <c r="B43" s="56"/>
      <c r="C43" s="50"/>
      <c r="D43" s="50"/>
      <c r="E43" s="50"/>
      <c r="F43" s="50"/>
      <c r="G43" s="50"/>
      <c r="H43" s="50"/>
      <c r="I43" s="50"/>
      <c r="J43" s="50"/>
      <c r="K43" s="50"/>
      <c r="L43" s="50"/>
      <c r="M43" s="50"/>
      <c r="N43" s="50"/>
    </row>
    <row r="44" spans="2:14" x14ac:dyDescent="0.2">
      <c r="B44" s="50"/>
      <c r="C44" s="50"/>
      <c r="D44" s="50"/>
      <c r="E44" s="50"/>
      <c r="F44" s="50"/>
      <c r="G44" s="50"/>
      <c r="H44" s="50"/>
      <c r="I44" s="50"/>
      <c r="J44" s="50"/>
      <c r="K44" s="50"/>
      <c r="L44" s="50"/>
      <c r="M44" s="50"/>
      <c r="N44" s="50"/>
    </row>
    <row r="45" spans="2:14" x14ac:dyDescent="0.2">
      <c r="B45" s="50"/>
      <c r="C45" s="50"/>
      <c r="D45" s="50"/>
      <c r="E45" s="50"/>
      <c r="F45" s="50"/>
      <c r="G45" s="50"/>
      <c r="H45" s="50"/>
      <c r="I45" s="50"/>
      <c r="J45" s="50"/>
      <c r="K45" s="50"/>
      <c r="L45" s="50"/>
      <c r="M45" s="50"/>
      <c r="N45" s="50"/>
    </row>
    <row r="46" spans="2:14" x14ac:dyDescent="0.2">
      <c r="B46" s="50"/>
      <c r="C46" s="50"/>
      <c r="D46" s="50"/>
      <c r="E46" s="50"/>
      <c r="F46" s="50"/>
      <c r="G46" s="50"/>
      <c r="H46" s="50"/>
      <c r="I46" s="50"/>
      <c r="J46" s="50"/>
      <c r="K46" s="50"/>
      <c r="L46" s="50"/>
      <c r="M46" s="50"/>
      <c r="N46" s="50"/>
    </row>
    <row r="47" spans="2:14" x14ac:dyDescent="0.2">
      <c r="B47" s="50"/>
      <c r="C47" s="50"/>
      <c r="D47" s="50"/>
      <c r="E47" s="50"/>
      <c r="F47" s="50"/>
      <c r="G47" s="50"/>
      <c r="H47" s="50"/>
      <c r="I47" s="50"/>
      <c r="J47" s="50"/>
      <c r="K47" s="50"/>
      <c r="L47" s="50"/>
      <c r="M47" s="50"/>
      <c r="N47" s="50"/>
    </row>
    <row r="49" spans="9:24" x14ac:dyDescent="0.2">
      <c r="P49" s="50"/>
      <c r="Q49" s="50"/>
      <c r="R49" s="50"/>
      <c r="S49" s="50"/>
      <c r="T49" s="50"/>
      <c r="U49" s="50"/>
      <c r="V49" s="50"/>
      <c r="W49" s="50"/>
      <c r="X49" s="50"/>
    </row>
    <row r="61" spans="9:24" x14ac:dyDescent="0.2">
      <c r="I61" s="50"/>
      <c r="J61" s="50"/>
    </row>
    <row r="62" spans="9:24" x14ac:dyDescent="0.2">
      <c r="I62" s="50"/>
      <c r="J62" s="50"/>
    </row>
    <row r="63" spans="9:24" x14ac:dyDescent="0.2">
      <c r="I63" s="50"/>
      <c r="J63" s="50"/>
    </row>
  </sheetData>
  <phoneticPr fontId="0" type="noConversion"/>
  <dataValidations count="2">
    <dataValidation type="decimal" allowBlank="1" showInputMessage="1" showErrorMessage="1" errorTitle="Error" error="You must enter a number between 0 and 100 (inclusive)" promptTitle="Percentage" prompt="Enter a number between 0 and 100 (inclusive)" sqref="C6:G11 C19 E19 G19 C27:I28">
      <formula1>0</formula1>
      <formula2>100</formula2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36:N37">
      <formula1>0</formula1>
      <formula2>100</formula2>
    </dataValidation>
  </dataValidations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O41"/>
  <sheetViews>
    <sheetView showGridLines="0" workbookViewId="0"/>
  </sheetViews>
  <sheetFormatPr defaultRowHeight="12.75" x14ac:dyDescent="0.2"/>
  <cols>
    <col min="1" max="2" width="4.7109375" style="29" customWidth="1"/>
    <col min="3" max="3" width="12.7109375" style="29" customWidth="1"/>
    <col min="4" max="15" width="8.7109375" style="29" customWidth="1"/>
    <col min="16" max="16384" width="9.140625" style="29"/>
  </cols>
  <sheetData>
    <row r="2" spans="2:15" x14ac:dyDescent="0.2">
      <c r="C2" s="28" t="s">
        <v>158</v>
      </c>
    </row>
    <row r="3" spans="2:15" x14ac:dyDescent="0.2">
      <c r="C3" s="30" t="s">
        <v>138</v>
      </c>
    </row>
    <row r="4" spans="2:15" x14ac:dyDescent="0.2">
      <c r="C4" s="57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</row>
    <row r="5" spans="2:15" x14ac:dyDescent="0.2">
      <c r="B5" s="58" t="s">
        <v>125</v>
      </c>
      <c r="C5" s="59" t="s">
        <v>146</v>
      </c>
      <c r="D5" s="34" t="s">
        <v>92</v>
      </c>
      <c r="E5" s="34" t="s">
        <v>93</v>
      </c>
      <c r="F5" s="34" t="s">
        <v>94</v>
      </c>
      <c r="G5" s="34" t="s">
        <v>95</v>
      </c>
      <c r="H5" s="34" t="s">
        <v>96</v>
      </c>
      <c r="I5" s="34" t="s">
        <v>97</v>
      </c>
      <c r="J5" s="34" t="s">
        <v>98</v>
      </c>
      <c r="K5" s="34" t="s">
        <v>99</v>
      </c>
      <c r="L5" s="34" t="s">
        <v>100</v>
      </c>
      <c r="M5" s="34" t="s">
        <v>101</v>
      </c>
      <c r="N5" s="34" t="s">
        <v>102</v>
      </c>
      <c r="O5" s="35" t="s">
        <v>103</v>
      </c>
    </row>
    <row r="6" spans="2:15" x14ac:dyDescent="0.2">
      <c r="C6" s="41" t="s">
        <v>126</v>
      </c>
      <c r="D6" s="106">
        <v>1.8049999999999999</v>
      </c>
      <c r="E6" s="106">
        <v>1.8049999999999999</v>
      </c>
      <c r="F6" s="106">
        <v>1.8049999999999999</v>
      </c>
      <c r="G6" s="106">
        <v>1.8049999999999999</v>
      </c>
      <c r="H6" s="106">
        <v>1.8049999999999999</v>
      </c>
      <c r="I6" s="106">
        <v>1.8049999999999999</v>
      </c>
      <c r="J6" s="106">
        <v>1.8049999999999999</v>
      </c>
      <c r="K6" s="106">
        <v>1.8049999999999999</v>
      </c>
      <c r="L6" s="106">
        <v>1.8049999999999999</v>
      </c>
      <c r="M6" s="106">
        <v>1.8049999999999999</v>
      </c>
      <c r="N6" s="106">
        <v>1.8049999999999999</v>
      </c>
      <c r="O6" s="106">
        <v>1.8049999999999999</v>
      </c>
    </row>
    <row r="7" spans="2:15" x14ac:dyDescent="0.2">
      <c r="C7" s="36" t="s">
        <v>127</v>
      </c>
      <c r="D7" s="106">
        <v>1.8049999999999999</v>
      </c>
      <c r="E7" s="106">
        <v>1.8049999999999999</v>
      </c>
      <c r="F7" s="106">
        <v>1.8049999999999999</v>
      </c>
      <c r="G7" s="106">
        <v>1.8049999999999999</v>
      </c>
      <c r="H7" s="106">
        <v>1.8049999999999999</v>
      </c>
      <c r="I7" s="106">
        <v>1.8049999999999999</v>
      </c>
      <c r="J7" s="106">
        <v>1.8049999999999999</v>
      </c>
      <c r="K7" s="106">
        <v>1.8049999999999999</v>
      </c>
      <c r="L7" s="106">
        <v>1.8049999999999999</v>
      </c>
      <c r="M7" s="106">
        <v>1.8049999999999999</v>
      </c>
      <c r="N7" s="106">
        <v>1.8049999999999999</v>
      </c>
      <c r="O7" s="106">
        <v>1.8049999999999999</v>
      </c>
    </row>
    <row r="8" spans="2:15" x14ac:dyDescent="0.2">
      <c r="C8" s="36" t="s">
        <v>128</v>
      </c>
      <c r="D8" s="106">
        <v>2.0425</v>
      </c>
      <c r="E8" s="106">
        <v>2.0425</v>
      </c>
      <c r="F8" s="106">
        <v>2.0425</v>
      </c>
      <c r="G8" s="106">
        <v>2.0425</v>
      </c>
      <c r="H8" s="106">
        <v>2.0425</v>
      </c>
      <c r="I8" s="106">
        <v>2.0425</v>
      </c>
      <c r="J8" s="106">
        <v>2.0425</v>
      </c>
      <c r="K8" s="106">
        <v>2.0425</v>
      </c>
      <c r="L8" s="106">
        <v>2.0425</v>
      </c>
      <c r="M8" s="106">
        <v>2.0425</v>
      </c>
      <c r="N8" s="106">
        <v>2.0425</v>
      </c>
      <c r="O8" s="106">
        <v>2.0425</v>
      </c>
    </row>
    <row r="9" spans="2:15" x14ac:dyDescent="0.2">
      <c r="C9" s="36" t="s">
        <v>129</v>
      </c>
      <c r="D9" s="106">
        <v>2.09</v>
      </c>
      <c r="E9" s="106">
        <v>2.09</v>
      </c>
      <c r="F9" s="106">
        <v>2.09</v>
      </c>
      <c r="G9" s="106">
        <v>2.09</v>
      </c>
      <c r="H9" s="106">
        <v>2.09</v>
      </c>
      <c r="I9" s="106">
        <v>2.09</v>
      </c>
      <c r="J9" s="106">
        <v>2.09</v>
      </c>
      <c r="K9" s="106">
        <v>2.09</v>
      </c>
      <c r="L9" s="106">
        <v>2.09</v>
      </c>
      <c r="M9" s="106">
        <v>2.09</v>
      </c>
      <c r="N9" s="106">
        <v>2.09</v>
      </c>
      <c r="O9" s="106">
        <v>2.09</v>
      </c>
    </row>
    <row r="10" spans="2:15" x14ac:dyDescent="0.2">
      <c r="C10" s="36" t="s">
        <v>130</v>
      </c>
      <c r="D10" s="106">
        <v>2.09</v>
      </c>
      <c r="E10" s="106">
        <v>2.09</v>
      </c>
      <c r="F10" s="106">
        <v>2.09</v>
      </c>
      <c r="G10" s="106">
        <v>2.09</v>
      </c>
      <c r="H10" s="106">
        <v>2.09</v>
      </c>
      <c r="I10" s="106">
        <v>2.09</v>
      </c>
      <c r="J10" s="106">
        <v>2.09</v>
      </c>
      <c r="K10" s="106">
        <v>2.09</v>
      </c>
      <c r="L10" s="106">
        <v>2.09</v>
      </c>
      <c r="M10" s="106">
        <v>2.09</v>
      </c>
      <c r="N10" s="106">
        <v>2.09</v>
      </c>
      <c r="O10" s="106">
        <v>2.09</v>
      </c>
    </row>
    <row r="11" spans="2:15" x14ac:dyDescent="0.2">
      <c r="C11" s="36" t="s">
        <v>131</v>
      </c>
      <c r="D11" s="106">
        <v>2.3861349115742527</v>
      </c>
      <c r="E11" s="106">
        <v>2.3861349115742527</v>
      </c>
      <c r="F11" s="106">
        <v>2.3861349115742527</v>
      </c>
      <c r="G11" s="106">
        <v>2.3861349115742527</v>
      </c>
      <c r="H11" s="106">
        <v>2.3861349115742527</v>
      </c>
      <c r="I11" s="106">
        <v>2.3861349115742527</v>
      </c>
      <c r="J11" s="106">
        <v>2.3861349115742527</v>
      </c>
      <c r="K11" s="106">
        <v>2.3861349115742527</v>
      </c>
      <c r="L11" s="106">
        <v>2.3861349115742527</v>
      </c>
      <c r="M11" s="106">
        <v>2.3861349115742527</v>
      </c>
      <c r="N11" s="106">
        <v>2.3861349115742527</v>
      </c>
      <c r="O11" s="106">
        <v>2.3861349115742527</v>
      </c>
    </row>
    <row r="12" spans="2:15" x14ac:dyDescent="0.2">
      <c r="C12" s="37" t="s">
        <v>132</v>
      </c>
      <c r="D12" s="106">
        <v>2</v>
      </c>
      <c r="E12" s="106">
        <v>2</v>
      </c>
      <c r="F12" s="106">
        <v>2</v>
      </c>
      <c r="G12" s="106">
        <v>2</v>
      </c>
      <c r="H12" s="106">
        <v>2</v>
      </c>
      <c r="I12" s="106">
        <v>2</v>
      </c>
      <c r="J12" s="106">
        <v>2</v>
      </c>
      <c r="K12" s="106">
        <v>2</v>
      </c>
      <c r="L12" s="106">
        <v>2</v>
      </c>
      <c r="M12" s="106">
        <v>2</v>
      </c>
      <c r="N12" s="106">
        <v>2</v>
      </c>
      <c r="O12" s="106">
        <v>2</v>
      </c>
    </row>
    <row r="13" spans="2:15" x14ac:dyDescent="0.2">
      <c r="C13" s="57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</row>
    <row r="14" spans="2:15" x14ac:dyDescent="0.2">
      <c r="B14" s="58" t="s">
        <v>133</v>
      </c>
      <c r="C14" s="59" t="s">
        <v>146</v>
      </c>
      <c r="D14" s="34" t="s">
        <v>92</v>
      </c>
      <c r="E14" s="34" t="s">
        <v>93</v>
      </c>
      <c r="F14" s="34" t="s">
        <v>94</v>
      </c>
      <c r="G14" s="34" t="s">
        <v>95</v>
      </c>
      <c r="H14" s="34" t="s">
        <v>96</v>
      </c>
      <c r="I14" s="34" t="s">
        <v>97</v>
      </c>
      <c r="J14" s="34" t="s">
        <v>98</v>
      </c>
      <c r="K14" s="34" t="s">
        <v>99</v>
      </c>
      <c r="L14" s="34" t="s">
        <v>100</v>
      </c>
      <c r="M14" s="34" t="s">
        <v>101</v>
      </c>
      <c r="N14" s="34" t="s">
        <v>102</v>
      </c>
      <c r="O14" s="35" t="s">
        <v>103</v>
      </c>
    </row>
    <row r="15" spans="2:15" x14ac:dyDescent="0.2">
      <c r="C15" s="41" t="s">
        <v>126</v>
      </c>
      <c r="D15" s="107">
        <v>1.8172519803571427</v>
      </c>
      <c r="E15" s="107">
        <v>1.8172519803571427</v>
      </c>
      <c r="F15" s="107">
        <v>1.8172519803571427</v>
      </c>
      <c r="G15" s="107">
        <v>1.8172519803571427</v>
      </c>
      <c r="H15" s="107">
        <v>1.8172519803571427</v>
      </c>
      <c r="I15" s="107">
        <v>1.8172519803571427</v>
      </c>
      <c r="J15" s="107">
        <v>1.8172519803571427</v>
      </c>
      <c r="K15" s="107">
        <v>1.8172519803571427</v>
      </c>
      <c r="L15" s="107">
        <v>1.8172519803571427</v>
      </c>
      <c r="M15" s="107">
        <v>1.8172519803571427</v>
      </c>
      <c r="N15" s="107">
        <v>1.8172519803571427</v>
      </c>
      <c r="O15" s="107">
        <v>1.8172519803571427</v>
      </c>
    </row>
    <row r="16" spans="2:15" x14ac:dyDescent="0.2">
      <c r="C16" s="36" t="s">
        <v>127</v>
      </c>
      <c r="D16" s="107">
        <v>1.9627019000000001</v>
      </c>
      <c r="E16" s="107">
        <v>1.9627019000000001</v>
      </c>
      <c r="F16" s="107">
        <v>1.9627019000000001</v>
      </c>
      <c r="G16" s="107">
        <v>1.9627019000000001</v>
      </c>
      <c r="H16" s="107">
        <v>1.9627019000000001</v>
      </c>
      <c r="I16" s="107">
        <v>1.9627019000000001</v>
      </c>
      <c r="J16" s="107">
        <v>1.9627019000000001</v>
      </c>
      <c r="K16" s="107">
        <v>1.9627019000000001</v>
      </c>
      <c r="L16" s="107">
        <v>1.9627019000000001</v>
      </c>
      <c r="M16" s="107">
        <v>1.9627019000000001</v>
      </c>
      <c r="N16" s="107">
        <v>1.9627019000000001</v>
      </c>
      <c r="O16" s="107">
        <v>1.9627019000000001</v>
      </c>
    </row>
    <row r="17" spans="2:15" x14ac:dyDescent="0.2">
      <c r="C17" s="36" t="s">
        <v>128</v>
      </c>
      <c r="D17" s="107">
        <v>1.8584004104166665</v>
      </c>
      <c r="E17" s="107">
        <v>1.8584004104166665</v>
      </c>
      <c r="F17" s="107">
        <v>1.8584004104166665</v>
      </c>
      <c r="G17" s="107">
        <v>1.8584004104166665</v>
      </c>
      <c r="H17" s="107">
        <v>1.8584004104166665</v>
      </c>
      <c r="I17" s="107">
        <v>1.8584004104166665</v>
      </c>
      <c r="J17" s="107">
        <v>1.8584004104166665</v>
      </c>
      <c r="K17" s="107">
        <v>1.8584004104166665</v>
      </c>
      <c r="L17" s="107">
        <v>1.8584004104166665</v>
      </c>
      <c r="M17" s="107">
        <v>1.8584004104166665</v>
      </c>
      <c r="N17" s="107">
        <v>1.8584004104166665</v>
      </c>
      <c r="O17" s="107">
        <v>1.8584004104166665</v>
      </c>
    </row>
    <row r="18" spans="2:15" x14ac:dyDescent="0.2">
      <c r="C18" s="36" t="s">
        <v>129</v>
      </c>
      <c r="D18" s="107">
        <v>2.1405815193181814</v>
      </c>
      <c r="E18" s="107">
        <v>2.1405815193181814</v>
      </c>
      <c r="F18" s="107">
        <v>2.1405815193181814</v>
      </c>
      <c r="G18" s="107">
        <v>2.1405815193181814</v>
      </c>
      <c r="H18" s="107">
        <v>2.1405815193181814</v>
      </c>
      <c r="I18" s="107">
        <v>2.1405815193181814</v>
      </c>
      <c r="J18" s="107">
        <v>2.1405815193181814</v>
      </c>
      <c r="K18" s="107">
        <v>2.1405815193181814</v>
      </c>
      <c r="L18" s="107">
        <v>2.1405815193181814</v>
      </c>
      <c r="M18" s="107">
        <v>2.1405815193181814</v>
      </c>
      <c r="N18" s="107">
        <v>2.1405815193181814</v>
      </c>
      <c r="O18" s="107">
        <v>2.1405815193181814</v>
      </c>
    </row>
    <row r="19" spans="2:15" x14ac:dyDescent="0.2">
      <c r="C19" s="36" t="s">
        <v>130</v>
      </c>
      <c r="D19" s="107">
        <v>1.7897407437499997</v>
      </c>
      <c r="E19" s="107">
        <v>1.7897407437499997</v>
      </c>
      <c r="F19" s="107">
        <v>1.7897407437499997</v>
      </c>
      <c r="G19" s="107">
        <v>1.7897407437499997</v>
      </c>
      <c r="H19" s="107">
        <v>1.7897407437499997</v>
      </c>
      <c r="I19" s="107">
        <v>1.7897407437499997</v>
      </c>
      <c r="J19" s="107">
        <v>1.7897407437499997</v>
      </c>
      <c r="K19" s="107">
        <v>1.7897407437499997</v>
      </c>
      <c r="L19" s="107">
        <v>1.7897407437499997</v>
      </c>
      <c r="M19" s="107">
        <v>1.7897407437499997</v>
      </c>
      <c r="N19" s="107">
        <v>1.7897407437499997</v>
      </c>
      <c r="O19" s="107">
        <v>1.7897407437499997</v>
      </c>
    </row>
    <row r="20" spans="2:15" x14ac:dyDescent="0.2">
      <c r="C20" s="36" t="s">
        <v>131</v>
      </c>
      <c r="D20" s="107">
        <v>1.949710946875</v>
      </c>
      <c r="E20" s="107">
        <v>1.949710946875</v>
      </c>
      <c r="F20" s="107">
        <v>1.949710946875</v>
      </c>
      <c r="G20" s="107">
        <v>1.949710946875</v>
      </c>
      <c r="H20" s="107">
        <v>1.949710946875</v>
      </c>
      <c r="I20" s="107">
        <v>1.949710946875</v>
      </c>
      <c r="J20" s="107">
        <v>1.949710946875</v>
      </c>
      <c r="K20" s="107">
        <v>1.949710946875</v>
      </c>
      <c r="L20" s="107">
        <v>1.949710946875</v>
      </c>
      <c r="M20" s="107">
        <v>1.949710946875</v>
      </c>
      <c r="N20" s="107">
        <v>1.949710946875</v>
      </c>
      <c r="O20" s="107">
        <v>1.949710946875</v>
      </c>
    </row>
    <row r="21" spans="2:15" x14ac:dyDescent="0.2">
      <c r="C21" s="37" t="s">
        <v>132</v>
      </c>
      <c r="D21" s="107">
        <v>1.987587194273474</v>
      </c>
      <c r="E21" s="107">
        <v>1.987587194273474</v>
      </c>
      <c r="F21" s="107">
        <v>1.987587194273474</v>
      </c>
      <c r="G21" s="107">
        <v>1.987587194273474</v>
      </c>
      <c r="H21" s="107">
        <v>1.987587194273474</v>
      </c>
      <c r="I21" s="107">
        <v>1.987587194273474</v>
      </c>
      <c r="J21" s="107">
        <v>1.987587194273474</v>
      </c>
      <c r="K21" s="107">
        <v>1.987587194273474</v>
      </c>
      <c r="L21" s="107">
        <v>1.987587194273474</v>
      </c>
      <c r="M21" s="107">
        <v>1.987587194273474</v>
      </c>
      <c r="N21" s="107">
        <v>1.987587194273474</v>
      </c>
      <c r="O21" s="107">
        <v>1.987587194273474</v>
      </c>
    </row>
    <row r="22" spans="2:15" x14ac:dyDescent="0.2">
      <c r="C22" s="57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</row>
    <row r="23" spans="2:15" x14ac:dyDescent="0.2">
      <c r="B23" s="58" t="s">
        <v>134</v>
      </c>
      <c r="C23" s="59" t="s">
        <v>146</v>
      </c>
      <c r="D23" s="34" t="s">
        <v>92</v>
      </c>
      <c r="E23" s="34" t="s">
        <v>93</v>
      </c>
      <c r="F23" s="34" t="s">
        <v>94</v>
      </c>
      <c r="G23" s="34" t="s">
        <v>95</v>
      </c>
      <c r="H23" s="34" t="s">
        <v>96</v>
      </c>
      <c r="I23" s="34" t="s">
        <v>97</v>
      </c>
      <c r="J23" s="34" t="s">
        <v>98</v>
      </c>
      <c r="K23" s="34" t="s">
        <v>99</v>
      </c>
      <c r="L23" s="34" t="s">
        <v>100</v>
      </c>
      <c r="M23" s="34" t="s">
        <v>101</v>
      </c>
      <c r="N23" s="34" t="s">
        <v>102</v>
      </c>
      <c r="O23" s="35" t="s">
        <v>103</v>
      </c>
    </row>
    <row r="24" spans="2:15" x14ac:dyDescent="0.2">
      <c r="C24" s="41" t="s">
        <v>126</v>
      </c>
      <c r="D24" s="108">
        <v>2.5235867262815299</v>
      </c>
      <c r="E24" s="108">
        <v>2.5235867262815299</v>
      </c>
      <c r="F24" s="108">
        <v>2.5235867262815299</v>
      </c>
      <c r="G24" s="108">
        <v>2.5235867262815299</v>
      </c>
      <c r="H24" s="108">
        <v>2.5235867262815299</v>
      </c>
      <c r="I24" s="108">
        <v>2.5235867262815299</v>
      </c>
      <c r="J24" s="108">
        <v>2.5235867262815299</v>
      </c>
      <c r="K24" s="108">
        <v>2.5235867262815299</v>
      </c>
      <c r="L24" s="108">
        <v>2.5235867262815299</v>
      </c>
      <c r="M24" s="108">
        <v>2.5235867262815299</v>
      </c>
      <c r="N24" s="108">
        <v>2.5235867262815299</v>
      </c>
      <c r="O24" s="108">
        <v>2.5235867262815299</v>
      </c>
    </row>
    <row r="25" spans="2:15" x14ac:dyDescent="0.2">
      <c r="C25" s="36" t="s">
        <v>127</v>
      </c>
      <c r="D25" s="108">
        <v>2.1341240776815487</v>
      </c>
      <c r="E25" s="108">
        <v>2.1341240776815487</v>
      </c>
      <c r="F25" s="108">
        <v>2.1341240776815487</v>
      </c>
      <c r="G25" s="108">
        <v>2.1341240776815487</v>
      </c>
      <c r="H25" s="108">
        <v>2.1341240776815487</v>
      </c>
      <c r="I25" s="108">
        <v>2.1341240776815487</v>
      </c>
      <c r="J25" s="108">
        <v>2.1341240776815487</v>
      </c>
      <c r="K25" s="108">
        <v>2.1341240776815487</v>
      </c>
      <c r="L25" s="108">
        <v>2.1341240776815487</v>
      </c>
      <c r="M25" s="108">
        <v>2.1341240776815487</v>
      </c>
      <c r="N25" s="108">
        <v>2.1341240776815487</v>
      </c>
      <c r="O25" s="108">
        <v>2.1341240776815487</v>
      </c>
    </row>
    <row r="26" spans="2:15" x14ac:dyDescent="0.2">
      <c r="C26" s="36" t="s">
        <v>128</v>
      </c>
      <c r="D26" s="108">
        <v>1.9738412176369371</v>
      </c>
      <c r="E26" s="108">
        <v>1.9738412176369371</v>
      </c>
      <c r="F26" s="108">
        <v>1.9738412176369371</v>
      </c>
      <c r="G26" s="108">
        <v>1.9738412176369371</v>
      </c>
      <c r="H26" s="108">
        <v>1.9738412176369371</v>
      </c>
      <c r="I26" s="108">
        <v>1.9738412176369371</v>
      </c>
      <c r="J26" s="108">
        <v>1.9738412176369371</v>
      </c>
      <c r="K26" s="108">
        <v>1.9738412176369371</v>
      </c>
      <c r="L26" s="108">
        <v>1.9738412176369371</v>
      </c>
      <c r="M26" s="108">
        <v>1.9738412176369371</v>
      </c>
      <c r="N26" s="108">
        <v>1.9738412176369371</v>
      </c>
      <c r="O26" s="108">
        <v>1.9738412176369371</v>
      </c>
    </row>
    <row r="27" spans="2:15" x14ac:dyDescent="0.2">
      <c r="C27" s="36" t="s">
        <v>129</v>
      </c>
      <c r="D27" s="108">
        <v>1.9491379584757023</v>
      </c>
      <c r="E27" s="108">
        <v>1.9491379584757023</v>
      </c>
      <c r="F27" s="108">
        <v>1.9491379584757023</v>
      </c>
      <c r="G27" s="108">
        <v>1.9491379584757023</v>
      </c>
      <c r="H27" s="108">
        <v>1.9491379584757023</v>
      </c>
      <c r="I27" s="108">
        <v>1.9491379584757023</v>
      </c>
      <c r="J27" s="108">
        <v>1.9491379584757023</v>
      </c>
      <c r="K27" s="108">
        <v>1.9491379584757023</v>
      </c>
      <c r="L27" s="108">
        <v>1.9491379584757023</v>
      </c>
      <c r="M27" s="108">
        <v>1.9491379584757023</v>
      </c>
      <c r="N27" s="108">
        <v>1.9491379584757023</v>
      </c>
      <c r="O27" s="108">
        <v>1.9491379584757023</v>
      </c>
    </row>
    <row r="28" spans="2:15" x14ac:dyDescent="0.2">
      <c r="C28" s="36" t="s">
        <v>130</v>
      </c>
      <c r="D28" s="108">
        <v>1.8066889189365047</v>
      </c>
      <c r="E28" s="108">
        <v>1.8066889189365047</v>
      </c>
      <c r="F28" s="108">
        <v>1.8066889189365047</v>
      </c>
      <c r="G28" s="108">
        <v>1.8066889189365047</v>
      </c>
      <c r="H28" s="108">
        <v>1.8066889189365047</v>
      </c>
      <c r="I28" s="108">
        <v>1.8066889189365047</v>
      </c>
      <c r="J28" s="108">
        <v>1.8066889189365047</v>
      </c>
      <c r="K28" s="108">
        <v>1.8066889189365047</v>
      </c>
      <c r="L28" s="108">
        <v>1.8066889189365047</v>
      </c>
      <c r="M28" s="108">
        <v>1.8066889189365047</v>
      </c>
      <c r="N28" s="108">
        <v>1.8066889189365047</v>
      </c>
      <c r="O28" s="108">
        <v>1.8066889189365047</v>
      </c>
    </row>
    <row r="29" spans="2:15" x14ac:dyDescent="0.2">
      <c r="C29" s="36" t="s">
        <v>131</v>
      </c>
      <c r="D29" s="108">
        <v>1.8366608415465673</v>
      </c>
      <c r="E29" s="108">
        <v>1.8366608415465673</v>
      </c>
      <c r="F29" s="108">
        <v>1.8366608415465673</v>
      </c>
      <c r="G29" s="108">
        <v>1.8366608415465673</v>
      </c>
      <c r="H29" s="108">
        <v>1.8366608415465673</v>
      </c>
      <c r="I29" s="108">
        <v>1.8366608415465673</v>
      </c>
      <c r="J29" s="108">
        <v>1.8366608415465673</v>
      </c>
      <c r="K29" s="108">
        <v>1.8366608415465673</v>
      </c>
      <c r="L29" s="108">
        <v>1.8366608415465673</v>
      </c>
      <c r="M29" s="108">
        <v>1.8366608415465673</v>
      </c>
      <c r="N29" s="108">
        <v>1.8366608415465673</v>
      </c>
      <c r="O29" s="108">
        <v>1.8366608415465673</v>
      </c>
    </row>
    <row r="30" spans="2:15" x14ac:dyDescent="0.2">
      <c r="C30" s="37" t="s">
        <v>132</v>
      </c>
      <c r="D30" s="108">
        <v>2.2416704340742362</v>
      </c>
      <c r="E30" s="108">
        <v>2.2416704340742362</v>
      </c>
      <c r="F30" s="108">
        <v>2.2416704340742362</v>
      </c>
      <c r="G30" s="108">
        <v>2.2416704340742362</v>
      </c>
      <c r="H30" s="108">
        <v>2.2416704340742362</v>
      </c>
      <c r="I30" s="108">
        <v>2.2416704340742362</v>
      </c>
      <c r="J30" s="108">
        <v>2.2416704340742362</v>
      </c>
      <c r="K30" s="108">
        <v>2.2416704340742362</v>
      </c>
      <c r="L30" s="108">
        <v>2.2416704340742362</v>
      </c>
      <c r="M30" s="108">
        <v>2.2416704340742362</v>
      </c>
      <c r="N30" s="108">
        <v>2.2416704340742362</v>
      </c>
      <c r="O30" s="108">
        <v>2.2416704340742402</v>
      </c>
    </row>
    <row r="31" spans="2:15" x14ac:dyDescent="0.2">
      <c r="C31" s="57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</row>
    <row r="32" spans="2:15" x14ac:dyDescent="0.2">
      <c r="B32" s="58" t="s">
        <v>123</v>
      </c>
      <c r="C32" s="59" t="s">
        <v>146</v>
      </c>
      <c r="D32" s="34" t="s">
        <v>92</v>
      </c>
      <c r="E32" s="34" t="s">
        <v>93</v>
      </c>
      <c r="F32" s="34" t="s">
        <v>94</v>
      </c>
      <c r="G32" s="34" t="s">
        <v>95</v>
      </c>
      <c r="H32" s="34" t="s">
        <v>96</v>
      </c>
      <c r="I32" s="34" t="s">
        <v>97</v>
      </c>
      <c r="J32" s="34" t="s">
        <v>98</v>
      </c>
      <c r="K32" s="34" t="s">
        <v>99</v>
      </c>
      <c r="L32" s="34" t="s">
        <v>100</v>
      </c>
      <c r="M32" s="34" t="s">
        <v>101</v>
      </c>
      <c r="N32" s="34" t="s">
        <v>102</v>
      </c>
      <c r="O32" s="35" t="s">
        <v>103</v>
      </c>
    </row>
    <row r="33" spans="3:15" x14ac:dyDescent="0.2">
      <c r="C33" s="41" t="s">
        <v>126</v>
      </c>
      <c r="D33" s="109">
        <v>3.0387094855480896</v>
      </c>
      <c r="E33" s="109">
        <v>3.0387094855480896</v>
      </c>
      <c r="F33" s="109">
        <v>3.0387094855480896</v>
      </c>
      <c r="G33" s="109">
        <v>3.0387094855480896</v>
      </c>
      <c r="H33" s="109">
        <v>3.0387094855480896</v>
      </c>
      <c r="I33" s="109">
        <v>3.0387094855480896</v>
      </c>
      <c r="J33" s="109">
        <v>3.0387094855480896</v>
      </c>
      <c r="K33" s="109">
        <v>3.0387094855480896</v>
      </c>
      <c r="L33" s="109">
        <v>3.0387094855480896</v>
      </c>
      <c r="M33" s="109">
        <v>3.0387094855480896</v>
      </c>
      <c r="N33" s="109">
        <v>3.0387094855480896</v>
      </c>
      <c r="O33" s="109">
        <v>3.0387094855480896</v>
      </c>
    </row>
    <row r="34" spans="3:15" x14ac:dyDescent="0.2">
      <c r="C34" s="36" t="s">
        <v>127</v>
      </c>
      <c r="D34" s="109">
        <v>2.7558598991874139</v>
      </c>
      <c r="E34" s="109">
        <v>2.7558598991874139</v>
      </c>
      <c r="F34" s="109">
        <v>2.7558598991874139</v>
      </c>
      <c r="G34" s="109">
        <v>2.7558598991874139</v>
      </c>
      <c r="H34" s="109">
        <v>2.7558598991874139</v>
      </c>
      <c r="I34" s="109">
        <v>2.7558598991874139</v>
      </c>
      <c r="J34" s="109">
        <v>2.7558598991874139</v>
      </c>
      <c r="K34" s="109">
        <v>2.7558598991874139</v>
      </c>
      <c r="L34" s="109">
        <v>2.7558598991874139</v>
      </c>
      <c r="M34" s="109">
        <v>2.7558598991874139</v>
      </c>
      <c r="N34" s="109">
        <v>2.7558598991874139</v>
      </c>
      <c r="O34" s="109">
        <v>2.7558598991874139</v>
      </c>
    </row>
    <row r="35" spans="3:15" x14ac:dyDescent="0.2">
      <c r="C35" s="36" t="s">
        <v>128</v>
      </c>
      <c r="D35" s="109">
        <v>2.2015069852357154</v>
      </c>
      <c r="E35" s="109">
        <v>2.2015069852357154</v>
      </c>
      <c r="F35" s="109">
        <v>2.2015069852357154</v>
      </c>
      <c r="G35" s="109">
        <v>2.2015069852357154</v>
      </c>
      <c r="H35" s="109">
        <v>2.2015069852357154</v>
      </c>
      <c r="I35" s="109">
        <v>2.2015069852357154</v>
      </c>
      <c r="J35" s="109">
        <v>2.2015069852357154</v>
      </c>
      <c r="K35" s="109">
        <v>2.2015069852357154</v>
      </c>
      <c r="L35" s="109">
        <v>2.2015069852357154</v>
      </c>
      <c r="M35" s="109">
        <v>2.2015069852357154</v>
      </c>
      <c r="N35" s="109">
        <v>2.2015069852357154</v>
      </c>
      <c r="O35" s="109">
        <v>2.2015069852357154</v>
      </c>
    </row>
    <row r="36" spans="3:15" x14ac:dyDescent="0.2">
      <c r="C36" s="36" t="s">
        <v>129</v>
      </c>
      <c r="D36" s="109">
        <v>2.276086759208376</v>
      </c>
      <c r="E36" s="109">
        <v>2.276086759208376</v>
      </c>
      <c r="F36" s="109">
        <v>2.276086759208376</v>
      </c>
      <c r="G36" s="109">
        <v>2.276086759208376</v>
      </c>
      <c r="H36" s="109">
        <v>2.276086759208376</v>
      </c>
      <c r="I36" s="109">
        <v>2.276086759208376</v>
      </c>
      <c r="J36" s="109">
        <v>2.276086759208376</v>
      </c>
      <c r="K36" s="109">
        <v>2.276086759208376</v>
      </c>
      <c r="L36" s="109">
        <v>2.276086759208376</v>
      </c>
      <c r="M36" s="109">
        <v>2.276086759208376</v>
      </c>
      <c r="N36" s="109">
        <v>2.276086759208376</v>
      </c>
      <c r="O36" s="109">
        <v>2.276086759208376</v>
      </c>
    </row>
    <row r="37" spans="3:15" x14ac:dyDescent="0.2">
      <c r="C37" s="36" t="s">
        <v>130</v>
      </c>
      <c r="D37" s="109">
        <v>2.0672333495500124</v>
      </c>
      <c r="E37" s="109">
        <v>2.0672333495500124</v>
      </c>
      <c r="F37" s="109">
        <v>2.0672333495500124</v>
      </c>
      <c r="G37" s="109">
        <v>2.0672333495500124</v>
      </c>
      <c r="H37" s="109">
        <v>2.0672333495500124</v>
      </c>
      <c r="I37" s="109">
        <v>2.0672333495500124</v>
      </c>
      <c r="J37" s="109">
        <v>2.0672333495500124</v>
      </c>
      <c r="K37" s="109">
        <v>2.0672333495500124</v>
      </c>
      <c r="L37" s="109">
        <v>2.0672333495500124</v>
      </c>
      <c r="M37" s="109">
        <v>2.0672333495500124</v>
      </c>
      <c r="N37" s="109">
        <v>2.0672333495500124</v>
      </c>
      <c r="O37" s="109">
        <v>2.0672333495500124</v>
      </c>
    </row>
    <row r="38" spans="3:15" x14ac:dyDescent="0.2">
      <c r="C38" s="36" t="s">
        <v>131</v>
      </c>
      <c r="D38" s="109">
        <v>2.0663727657424378</v>
      </c>
      <c r="E38" s="109">
        <v>2.0663727657424378</v>
      </c>
      <c r="F38" s="109">
        <v>2.0663727657424378</v>
      </c>
      <c r="G38" s="109">
        <v>2.0663727657424378</v>
      </c>
      <c r="H38" s="109">
        <v>2.0663727657424378</v>
      </c>
      <c r="I38" s="109">
        <v>2.0663727657424378</v>
      </c>
      <c r="J38" s="109">
        <v>2.0663727657424378</v>
      </c>
      <c r="K38" s="109">
        <v>2.0663727657424378</v>
      </c>
      <c r="L38" s="109">
        <v>2.0663727657424378</v>
      </c>
      <c r="M38" s="109">
        <v>2.0663727657424378</v>
      </c>
      <c r="N38" s="109">
        <v>2.0663727657424378</v>
      </c>
      <c r="O38" s="109">
        <v>2.0663727657424378</v>
      </c>
    </row>
    <row r="39" spans="3:15" x14ac:dyDescent="0.2">
      <c r="C39" s="37" t="s">
        <v>132</v>
      </c>
      <c r="D39" s="109">
        <v>2.4555939786947043</v>
      </c>
      <c r="E39" s="109">
        <v>2.4555939786947043</v>
      </c>
      <c r="F39" s="109">
        <v>2.4555939786947043</v>
      </c>
      <c r="G39" s="109">
        <v>2.4555939786947043</v>
      </c>
      <c r="H39" s="109">
        <v>2.4555939786947043</v>
      </c>
      <c r="I39" s="109">
        <v>2.4555939786947043</v>
      </c>
      <c r="J39" s="109">
        <v>2.4555939786947043</v>
      </c>
      <c r="K39" s="109">
        <v>2.4555939786947043</v>
      </c>
      <c r="L39" s="109">
        <v>2.4555939786947043</v>
      </c>
      <c r="M39" s="109">
        <v>2.4555939786947043</v>
      </c>
      <c r="N39" s="109">
        <v>2.4555939786947043</v>
      </c>
      <c r="O39" s="109">
        <v>2.4555939786947043</v>
      </c>
    </row>
    <row r="40" spans="3:15" x14ac:dyDescent="0.2"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</row>
    <row r="41" spans="3:15" x14ac:dyDescent="0.2"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</row>
  </sheetData>
  <phoneticPr fontId="0" type="noConversion"/>
  <dataValidations count="1">
    <dataValidation type="decimal" allowBlank="1" showInputMessage="1" showErrorMessage="1" errorTitle="Error" error="You must enter a number between 0 and 4 (inclusive)" promptTitle="Pricing" prompt="Enter a number between 0 and 4 (inclusive)" sqref="D6:O12 D15:O21 D24:O30 D33:O39">
      <formula1>0</formula1>
      <formula2>4</formula2>
    </dataValidation>
  </dataValidations>
  <pageMargins left="0.75" right="0.75" top="1" bottom="1" header="0.5" footer="0.5"/>
  <pageSetup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350"/>
  <sheetViews>
    <sheetView showGridLines="0" tabSelected="1" workbookViewId="0"/>
  </sheetViews>
  <sheetFormatPr defaultRowHeight="12.75" x14ac:dyDescent="0.2"/>
  <cols>
    <col min="1" max="1" width="4.7109375" customWidth="1"/>
    <col min="7" max="7" width="2.7109375" customWidth="1"/>
    <col min="8" max="8" width="11.140625" customWidth="1"/>
    <col min="11" max="12" width="4.7109375" customWidth="1"/>
    <col min="18" max="18" width="2.7109375" customWidth="1"/>
    <col min="19" max="19" width="14.7109375" customWidth="1"/>
    <col min="20" max="20" width="16.7109375" customWidth="1"/>
    <col min="21" max="21" width="4.7109375" customWidth="1"/>
  </cols>
  <sheetData>
    <row r="1" spans="1:20" x14ac:dyDescent="0.2">
      <c r="A1" s="191"/>
    </row>
    <row r="2" spans="1:20" ht="15.75" x14ac:dyDescent="0.25">
      <c r="C2" s="192" t="s">
        <v>165</v>
      </c>
      <c r="D2" s="192"/>
      <c r="E2" s="192"/>
      <c r="F2" s="192"/>
      <c r="G2" s="192"/>
      <c r="H2" s="192"/>
    </row>
    <row r="3" spans="1:20" ht="18.75" x14ac:dyDescent="0.25">
      <c r="C3" s="193" t="s">
        <v>412</v>
      </c>
      <c r="D3" s="193"/>
      <c r="E3" s="193"/>
      <c r="F3" s="193"/>
      <c r="G3" s="193"/>
    </row>
    <row r="5" spans="1:20" ht="15.75" x14ac:dyDescent="0.25">
      <c r="A5" s="194" t="s">
        <v>351</v>
      </c>
      <c r="B5" s="195"/>
      <c r="G5" s="196"/>
      <c r="L5" s="194" t="s">
        <v>352</v>
      </c>
      <c r="M5" s="195"/>
      <c r="R5" s="196"/>
    </row>
    <row r="6" spans="1:20" x14ac:dyDescent="0.2">
      <c r="A6" s="197" t="s">
        <v>353</v>
      </c>
      <c r="B6" s="195"/>
      <c r="G6" s="198"/>
      <c r="H6" s="125"/>
      <c r="L6" s="197" t="s">
        <v>354</v>
      </c>
      <c r="M6" s="195"/>
      <c r="S6" s="139"/>
    </row>
    <row r="7" spans="1:20" x14ac:dyDescent="0.2">
      <c r="A7" s="195"/>
      <c r="B7" s="195" t="s">
        <v>355</v>
      </c>
      <c r="G7" s="198"/>
      <c r="H7" s="199">
        <f>SUM(ORA!$D$116:$O$116)</f>
        <v>80266.253271447669</v>
      </c>
      <c r="L7" s="195"/>
      <c r="M7" s="195" t="s">
        <v>355</v>
      </c>
      <c r="S7" s="200">
        <f>SUM(ORA!$D$127:$O$127)</f>
        <v>315898066.5233534</v>
      </c>
    </row>
    <row r="8" spans="1:20" x14ac:dyDescent="0.2">
      <c r="A8" s="195"/>
      <c r="B8" s="195" t="s">
        <v>356</v>
      </c>
      <c r="G8" s="198"/>
      <c r="H8" s="201">
        <f>SUM(POJ!$D$116:$O$116)</f>
        <v>112569.0846907599</v>
      </c>
      <c r="L8" s="195"/>
      <c r="M8" s="195" t="s">
        <v>356</v>
      </c>
      <c r="S8" s="202">
        <f>SUM(POJ!$D$127:$O$127)</f>
        <v>434403229.30902195</v>
      </c>
    </row>
    <row r="9" spans="1:20" x14ac:dyDescent="0.2">
      <c r="A9" s="195"/>
      <c r="B9" s="195" t="s">
        <v>357</v>
      </c>
      <c r="G9" s="198"/>
      <c r="H9" s="201">
        <f>SUM(ROJ!$D$116:$O$116)</f>
        <v>72101.21005129478</v>
      </c>
      <c r="L9" s="195"/>
      <c r="M9" s="195" t="s">
        <v>357</v>
      </c>
      <c r="S9" s="202">
        <f>SUM(ROJ!$D$127:$O$127)</f>
        <v>301073624.11882579</v>
      </c>
    </row>
    <row r="10" spans="1:20" x14ac:dyDescent="0.2">
      <c r="A10" s="195"/>
      <c r="B10" s="195" t="s">
        <v>358</v>
      </c>
      <c r="G10" s="198"/>
      <c r="H10" s="203">
        <f>SUM(FCOJ!$D$116:$O$116)</f>
        <v>40076.822531800368</v>
      </c>
      <c r="L10" s="195"/>
      <c r="M10" s="195" t="s">
        <v>358</v>
      </c>
      <c r="S10" s="204">
        <f>SUM(FCOJ!$D$127:$O$127)</f>
        <v>192120796.91905069</v>
      </c>
    </row>
    <row r="11" spans="1:20" x14ac:dyDescent="0.2">
      <c r="A11" s="195"/>
      <c r="B11" s="195"/>
      <c r="G11" s="198"/>
      <c r="M11" s="195" t="s">
        <v>359</v>
      </c>
      <c r="T11" s="205">
        <f>SUM($S$7:$S$10)</f>
        <v>1243495716.8702517</v>
      </c>
    </row>
    <row r="12" spans="1:20" x14ac:dyDescent="0.2">
      <c r="A12" s="197" t="s">
        <v>360</v>
      </c>
      <c r="B12" s="195"/>
      <c r="G12" s="198"/>
    </row>
    <row r="13" spans="1:20" x14ac:dyDescent="0.2">
      <c r="A13" s="195"/>
      <c r="B13" s="195" t="s">
        <v>361</v>
      </c>
      <c r="G13" s="198"/>
      <c r="H13" s="206">
        <f>SUM(grove!$C$48:$AX$53)</f>
        <v>367188.51034225244</v>
      </c>
      <c r="L13" s="197" t="s">
        <v>362</v>
      </c>
      <c r="M13" s="195"/>
    </row>
    <row r="14" spans="1:20" x14ac:dyDescent="0.2">
      <c r="A14" s="195"/>
      <c r="B14" s="195" t="s">
        <v>363</v>
      </c>
      <c r="G14" s="198"/>
      <c r="H14" s="199">
        <f>raw_materials!$P$30</f>
        <v>700000</v>
      </c>
      <c r="L14" s="195"/>
      <c r="M14" s="195" t="s">
        <v>364</v>
      </c>
      <c r="S14" s="200">
        <f>SUM(grove!$C$58:$AX$63)</f>
        <v>522976331.16278344</v>
      </c>
    </row>
    <row r="15" spans="1:20" x14ac:dyDescent="0.2">
      <c r="A15" s="195"/>
      <c r="B15" s="195" t="s">
        <v>365</v>
      </c>
      <c r="G15" s="198"/>
      <c r="H15" s="203">
        <f>raw_materials!$P$36</f>
        <v>100000</v>
      </c>
      <c r="L15" s="195"/>
      <c r="M15" s="195" t="s">
        <v>366</v>
      </c>
      <c r="S15" s="202">
        <f>(raw_materials!D30*raw_materials!E30+raw_materials!F30*raw_materials!G30+raw_materials!H30*raw_materials!I30+raw_materials!J30*raw_materials!K30+raw_materials!L30*raw_materials!M30)*2000</f>
        <v>1021101703.2669805</v>
      </c>
    </row>
    <row r="16" spans="1:20" x14ac:dyDescent="0.2">
      <c r="A16" s="195"/>
      <c r="B16" s="195" t="s">
        <v>367</v>
      </c>
      <c r="G16" s="198"/>
      <c r="H16" s="207">
        <v>168027.22361730522</v>
      </c>
      <c r="L16" s="195"/>
      <c r="M16" s="195" t="s">
        <v>368</v>
      </c>
      <c r="S16" s="202">
        <f>(raw_materials!D36*raw_materials!E36+raw_materials!F36*raw_materials!G36+raw_materials!H36*raw_materials!I36+raw_materials!J36*raw_materials!K36+raw_materials!L36*raw_materials!M36)*2000</f>
        <v>182767095.71936297</v>
      </c>
    </row>
    <row r="17" spans="1:21" x14ac:dyDescent="0.2">
      <c r="A17" s="195"/>
      <c r="B17" s="195" t="s">
        <v>369</v>
      </c>
      <c r="G17" s="198"/>
      <c r="H17" s="208">
        <v>0</v>
      </c>
      <c r="L17" s="195"/>
      <c r="M17" s="195" t="s">
        <v>370</v>
      </c>
      <c r="S17" s="202">
        <v>255654677.98653254</v>
      </c>
    </row>
    <row r="18" spans="1:21" x14ac:dyDescent="0.2">
      <c r="A18" s="195"/>
      <c r="B18" s="195" t="s">
        <v>371</v>
      </c>
      <c r="G18" s="198"/>
      <c r="H18" s="209">
        <v>66845.389527033723</v>
      </c>
      <c r="L18" s="195"/>
      <c r="M18" s="195" t="s">
        <v>372</v>
      </c>
      <c r="S18" s="204">
        <v>25858471.338502217</v>
      </c>
    </row>
    <row r="19" spans="1:21" x14ac:dyDescent="0.2">
      <c r="A19" s="195"/>
      <c r="B19" s="195" t="s">
        <v>373</v>
      </c>
      <c r="G19" s="198"/>
      <c r="H19" s="208">
        <v>568050.43568194774</v>
      </c>
      <c r="L19" s="195"/>
      <c r="M19" s="195" t="s">
        <v>374</v>
      </c>
      <c r="S19" s="210" t="s">
        <v>375</v>
      </c>
      <c r="T19" s="211">
        <f>SUM($S$14:$S$18)</f>
        <v>2008358279.4741616</v>
      </c>
      <c r="U19" t="s">
        <v>376</v>
      </c>
    </row>
    <row r="20" spans="1:21" x14ac:dyDescent="0.2">
      <c r="A20" s="195"/>
      <c r="B20" s="195" t="s">
        <v>377</v>
      </c>
      <c r="G20" s="198"/>
      <c r="H20" s="203">
        <v>292131.01779374096</v>
      </c>
      <c r="L20" s="195"/>
      <c r="M20" s="195"/>
    </row>
    <row r="21" spans="1:21" x14ac:dyDescent="0.2">
      <c r="A21" s="195"/>
      <c r="B21" s="195"/>
      <c r="G21" s="198"/>
      <c r="L21" s="197" t="s">
        <v>378</v>
      </c>
      <c r="M21" s="195"/>
      <c r="S21" s="139"/>
    </row>
    <row r="22" spans="1:21" x14ac:dyDescent="0.2">
      <c r="A22" s="197" t="s">
        <v>379</v>
      </c>
      <c r="B22" s="195"/>
      <c r="G22" s="198"/>
      <c r="L22" s="195"/>
      <c r="M22" s="195" t="s">
        <v>380</v>
      </c>
      <c r="S22" s="202">
        <v>336054447.2346105</v>
      </c>
    </row>
    <row r="23" spans="1:21" x14ac:dyDescent="0.2">
      <c r="A23" s="195"/>
      <c r="B23" s="195" t="s">
        <v>381</v>
      </c>
      <c r="G23" s="198"/>
      <c r="H23" s="199">
        <f>SUM(raw_materials!$O$31:$O$35)</f>
        <v>0</v>
      </c>
      <c r="L23" s="195"/>
      <c r="M23" s="195" t="s">
        <v>382</v>
      </c>
      <c r="S23" s="202">
        <v>0</v>
      </c>
    </row>
    <row r="24" spans="1:21" x14ac:dyDescent="0.2">
      <c r="A24" s="195"/>
      <c r="B24" s="195" t="s">
        <v>383</v>
      </c>
      <c r="G24" s="198"/>
      <c r="H24" s="203">
        <f>SUM(raw_materials!$O$37:$O$41)</f>
        <v>0</v>
      </c>
      <c r="L24" s="195"/>
      <c r="M24" s="195" t="s">
        <v>384</v>
      </c>
      <c r="S24" s="204">
        <v>43449503.192571916</v>
      </c>
    </row>
    <row r="25" spans="1:21" x14ac:dyDescent="0.2">
      <c r="A25" s="195"/>
      <c r="B25" s="195"/>
      <c r="G25" s="198"/>
      <c r="L25" s="195"/>
      <c r="M25" s="195" t="s">
        <v>385</v>
      </c>
      <c r="S25" s="210" t="s">
        <v>375</v>
      </c>
      <c r="T25" s="211">
        <f>SUM($S$22:$S$24)</f>
        <v>379503950.42718244</v>
      </c>
      <c r="U25" t="s">
        <v>376</v>
      </c>
    </row>
    <row r="26" spans="1:21" x14ac:dyDescent="0.2">
      <c r="A26" s="197" t="s">
        <v>386</v>
      </c>
      <c r="B26" s="195"/>
      <c r="G26" s="198"/>
      <c r="L26" s="195"/>
      <c r="M26" s="195"/>
    </row>
    <row r="27" spans="1:21" x14ac:dyDescent="0.2">
      <c r="A27" s="195"/>
      <c r="B27" s="195" t="s">
        <v>387</v>
      </c>
      <c r="G27" s="198"/>
      <c r="H27" s="199">
        <f>SUMIF(facilities!$C$6:$C$15,"&gt;0",facilities!$C$6:$C$15)</f>
        <v>0</v>
      </c>
      <c r="L27" s="197" t="s">
        <v>388</v>
      </c>
      <c r="M27" s="195"/>
    </row>
    <row r="28" spans="1:21" x14ac:dyDescent="0.2">
      <c r="A28" s="195"/>
      <c r="B28" s="195" t="s">
        <v>389</v>
      </c>
      <c r="G28" s="198"/>
      <c r="H28" s="201">
        <f>SUMIF(facilities!$C$36:$C$106,"&gt;0",facilities!$C$36:$C$106)</f>
        <v>0</v>
      </c>
      <c r="L28" s="195"/>
      <c r="M28" s="195" t="s">
        <v>390</v>
      </c>
      <c r="S28" s="200">
        <v>73955412</v>
      </c>
    </row>
    <row r="29" spans="1:21" x14ac:dyDescent="0.2">
      <c r="A29" s="195"/>
      <c r="B29" s="195" t="s">
        <v>391</v>
      </c>
      <c r="G29" s="198"/>
      <c r="H29" s="201">
        <f>SUMIF(facilities!$C$6:$C$15,"&lt;0",facilities!$C$6:$C$15)</f>
        <v>0</v>
      </c>
      <c r="L29" s="195"/>
      <c r="M29" s="195" t="s">
        <v>392</v>
      </c>
      <c r="S29" s="202">
        <v>45951546.634867936</v>
      </c>
    </row>
    <row r="30" spans="1:21" x14ac:dyDescent="0.2">
      <c r="A30" s="195"/>
      <c r="B30" s="195" t="s">
        <v>393</v>
      </c>
      <c r="G30" s="198"/>
      <c r="H30" s="203">
        <f>SUMIF(facilities!$C$36:$C$106,"&lt;0",facilities!$C$36:$C$106)</f>
        <v>0</v>
      </c>
      <c r="L30" s="195"/>
      <c r="M30" s="195" t="s">
        <v>394</v>
      </c>
      <c r="S30" s="202">
        <v>184746090.69033271</v>
      </c>
    </row>
    <row r="31" spans="1:21" x14ac:dyDescent="0.2">
      <c r="L31" s="195"/>
      <c r="M31" s="195" t="s">
        <v>395</v>
      </c>
      <c r="S31" s="204">
        <f>SUM(ORA!D138:O138)+SUM(POJ!D138:O138)+SUM(ROJ!D138:O138)+SUM(FCOJ!D138:O138)</f>
        <v>239825102.53341001</v>
      </c>
    </row>
    <row r="32" spans="1:21" x14ac:dyDescent="0.2">
      <c r="A32" s="197" t="s">
        <v>396</v>
      </c>
      <c r="B32" s="195"/>
      <c r="G32" s="198"/>
      <c r="L32" s="195"/>
      <c r="M32" s="195" t="s">
        <v>397</v>
      </c>
      <c r="S32" s="127" t="s">
        <v>375</v>
      </c>
      <c r="T32" s="211">
        <f>SUM($S$28:$S$31)</f>
        <v>544478151.85861063</v>
      </c>
      <c r="U32" t="s">
        <v>376</v>
      </c>
    </row>
    <row r="33" spans="1:21" x14ac:dyDescent="0.2">
      <c r="A33" s="195"/>
      <c r="B33" s="195" t="s">
        <v>398</v>
      </c>
      <c r="G33" s="198"/>
      <c r="H33" s="199">
        <f>COUNTIF(facilities!$H$6:$H$15,"=new")</f>
        <v>0</v>
      </c>
      <c r="M33" s="195"/>
    </row>
    <row r="34" spans="1:21" x14ac:dyDescent="0.2">
      <c r="A34" s="195"/>
      <c r="B34" s="195" t="s">
        <v>399</v>
      </c>
      <c r="G34" s="198"/>
      <c r="H34" s="201">
        <f>COUNTIF(facilities!$H$36:$H$106,"=new")</f>
        <v>0</v>
      </c>
      <c r="L34" s="197" t="s">
        <v>400</v>
      </c>
      <c r="M34" s="195"/>
    </row>
    <row r="35" spans="1:21" x14ac:dyDescent="0.2">
      <c r="B35" s="195" t="s">
        <v>18</v>
      </c>
      <c r="H35" s="203">
        <f>SUMIF(facilities!$C$21:$C$30,"&gt;0",facilities!$C$21:$C$30)</f>
        <v>0</v>
      </c>
      <c r="L35" s="195"/>
      <c r="M35" s="195" t="s">
        <v>401</v>
      </c>
      <c r="S35" s="200">
        <v>35085000</v>
      </c>
    </row>
    <row r="36" spans="1:21" x14ac:dyDescent="0.2">
      <c r="L36" s="195"/>
      <c r="M36" s="195" t="s">
        <v>402</v>
      </c>
      <c r="S36" s="202">
        <f>H33*12000000-H38*70/100*12000000</f>
        <v>0</v>
      </c>
    </row>
    <row r="37" spans="1:21" x14ac:dyDescent="0.2">
      <c r="A37" s="197" t="s">
        <v>403</v>
      </c>
      <c r="L37" s="195"/>
      <c r="M37" s="195" t="s">
        <v>404</v>
      </c>
      <c r="S37" s="202">
        <f>H27*8000+H29*70/100*8000</f>
        <v>0</v>
      </c>
    </row>
    <row r="38" spans="1:21" x14ac:dyDescent="0.2">
      <c r="B38" s="195" t="s">
        <v>398</v>
      </c>
      <c r="H38" s="199">
        <f>COUNTIF(facilities!$H$6:$H$15,"=sold")</f>
        <v>0</v>
      </c>
      <c r="L38" s="195"/>
      <c r="M38" s="195" t="s">
        <v>405</v>
      </c>
      <c r="S38" s="202">
        <v>68950000</v>
      </c>
    </row>
    <row r="39" spans="1:21" x14ac:dyDescent="0.2">
      <c r="B39" s="195" t="s">
        <v>399</v>
      </c>
      <c r="H39" s="201">
        <f>COUNTIF(facilities!$H$36:$H$106,"=sold")</f>
        <v>0</v>
      </c>
      <c r="L39" s="195"/>
      <c r="M39" s="195" t="s">
        <v>406</v>
      </c>
      <c r="S39" s="202">
        <f>H34*9000000-H39*80/100*9000000</f>
        <v>0</v>
      </c>
    </row>
    <row r="40" spans="1:21" x14ac:dyDescent="0.2">
      <c r="B40" s="195" t="s">
        <v>18</v>
      </c>
      <c r="H40" s="203">
        <f>-SUMIF(facilities!$C$21:$C$30,"&lt;0",facilities!$C$21:$C$30)</f>
        <v>0</v>
      </c>
      <c r="L40" s="195"/>
      <c r="M40" s="195" t="s">
        <v>407</v>
      </c>
      <c r="S40" s="202">
        <f>H28*6000+H30*80/100*6000</f>
        <v>0</v>
      </c>
    </row>
    <row r="41" spans="1:21" x14ac:dyDescent="0.2">
      <c r="L41" s="195"/>
      <c r="M41" s="195" t="s">
        <v>408</v>
      </c>
      <c r="S41" s="202">
        <v>20610</v>
      </c>
    </row>
    <row r="42" spans="1:21" x14ac:dyDescent="0.2">
      <c r="L42" s="195"/>
      <c r="M42" s="195" t="s">
        <v>409</v>
      </c>
      <c r="S42" s="204">
        <f>H35*100000-H40*60/100*100000</f>
        <v>0</v>
      </c>
    </row>
    <row r="43" spans="1:21" x14ac:dyDescent="0.2">
      <c r="L43" s="195"/>
      <c r="M43" s="195" t="s">
        <v>410</v>
      </c>
      <c r="S43" s="189" t="s">
        <v>375</v>
      </c>
      <c r="T43" s="211">
        <f>SUM($S$35:$S$42)</f>
        <v>104055610</v>
      </c>
      <c r="U43" t="s">
        <v>376</v>
      </c>
    </row>
    <row r="44" spans="1:21" x14ac:dyDescent="0.2">
      <c r="L44" s="195"/>
      <c r="S44" s="125"/>
    </row>
    <row r="45" spans="1:21" ht="14.25" thickBot="1" x14ac:dyDescent="0.3">
      <c r="L45" s="212" t="s">
        <v>411</v>
      </c>
      <c r="M45" s="195"/>
      <c r="T45" s="213">
        <f>$T$11-$T$19-$T$25-$T$32-$T$43</f>
        <v>-1792900274.889703</v>
      </c>
    </row>
    <row r="46" spans="1:21" ht="13.5" thickTop="1" x14ac:dyDescent="0.2">
      <c r="M46" s="195"/>
    </row>
    <row r="316" spans="1:1" x14ac:dyDescent="0.2">
      <c r="A316" s="191"/>
    </row>
    <row r="317" spans="1:1" x14ac:dyDescent="0.2">
      <c r="A317" s="191"/>
    </row>
    <row r="318" spans="1:1" x14ac:dyDescent="0.2">
      <c r="A318" s="191"/>
    </row>
    <row r="319" spans="1:1" x14ac:dyDescent="0.2">
      <c r="A319" s="191"/>
    </row>
    <row r="320" spans="1:1" x14ac:dyDescent="0.2">
      <c r="A320" s="191"/>
    </row>
    <row r="321" spans="1:1" x14ac:dyDescent="0.2">
      <c r="A321" s="191"/>
    </row>
    <row r="322" spans="1:1" x14ac:dyDescent="0.2">
      <c r="A322" s="191"/>
    </row>
    <row r="323" spans="1:1" x14ac:dyDescent="0.2">
      <c r="A323" s="191"/>
    </row>
    <row r="325" spans="1:1" x14ac:dyDescent="0.2">
      <c r="A325" s="191"/>
    </row>
    <row r="326" spans="1:1" x14ac:dyDescent="0.2">
      <c r="A326" s="191"/>
    </row>
    <row r="327" spans="1:1" x14ac:dyDescent="0.2">
      <c r="A327" s="191"/>
    </row>
    <row r="328" spans="1:1" x14ac:dyDescent="0.2">
      <c r="A328" s="191"/>
    </row>
    <row r="329" spans="1:1" x14ac:dyDescent="0.2">
      <c r="A329" s="191"/>
    </row>
    <row r="330" spans="1:1" x14ac:dyDescent="0.2">
      <c r="A330" s="191"/>
    </row>
    <row r="331" spans="1:1" x14ac:dyDescent="0.2">
      <c r="A331" s="191"/>
    </row>
    <row r="332" spans="1:1" x14ac:dyDescent="0.2">
      <c r="A332" s="191"/>
    </row>
    <row r="334" spans="1:1" x14ac:dyDescent="0.2">
      <c r="A334" s="191"/>
    </row>
    <row r="335" spans="1:1" x14ac:dyDescent="0.2">
      <c r="A335" s="191"/>
    </row>
    <row r="336" spans="1:1" x14ac:dyDescent="0.2">
      <c r="A336" s="191"/>
    </row>
    <row r="337" spans="1:1" x14ac:dyDescent="0.2">
      <c r="A337" s="191"/>
    </row>
    <row r="338" spans="1:1" x14ac:dyDescent="0.2">
      <c r="A338" s="191"/>
    </row>
    <row r="339" spans="1:1" x14ac:dyDescent="0.2">
      <c r="A339" s="191"/>
    </row>
    <row r="340" spans="1:1" x14ac:dyDescent="0.2">
      <c r="A340" s="191"/>
    </row>
    <row r="341" spans="1:1" x14ac:dyDescent="0.2">
      <c r="A341" s="191"/>
    </row>
    <row r="343" spans="1:1" x14ac:dyDescent="0.2">
      <c r="A343" s="191"/>
    </row>
    <row r="344" spans="1:1" x14ac:dyDescent="0.2">
      <c r="A344" s="191"/>
    </row>
    <row r="345" spans="1:1" x14ac:dyDescent="0.2">
      <c r="A345" s="191"/>
    </row>
    <row r="346" spans="1:1" x14ac:dyDescent="0.2">
      <c r="A346" s="191"/>
    </row>
    <row r="347" spans="1:1" x14ac:dyDescent="0.2">
      <c r="A347" s="191"/>
    </row>
    <row r="348" spans="1:1" x14ac:dyDescent="0.2">
      <c r="A348" s="191"/>
    </row>
    <row r="349" spans="1:1" x14ac:dyDescent="0.2">
      <c r="A349" s="191"/>
    </row>
    <row r="350" spans="1:1" x14ac:dyDescent="0.2">
      <c r="A350" s="191"/>
    </row>
  </sheetData>
  <mergeCells count="1">
    <mergeCell ref="C2:H2"/>
  </mergeCells>
  <pageMargins left="0.75" right="0.75" top="1" bottom="1" header="0.5" footer="0.5"/>
  <pageSetup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AY133"/>
  <sheetViews>
    <sheetView topLeftCell="A25" workbookViewId="0">
      <selection activeCell="C38" sqref="C38:AX43"/>
    </sheetView>
  </sheetViews>
  <sheetFormatPr defaultRowHeight="12.75" x14ac:dyDescent="0.2"/>
  <cols>
    <col min="1" max="1" width="4.7109375" customWidth="1"/>
    <col min="2" max="2" width="15.7109375" customWidth="1"/>
  </cols>
  <sheetData>
    <row r="2" spans="2:14" x14ac:dyDescent="0.2">
      <c r="B2" s="1" t="s">
        <v>313</v>
      </c>
    </row>
    <row r="3" spans="2:14" x14ac:dyDescent="0.2">
      <c r="B3" s="118" t="s">
        <v>314</v>
      </c>
    </row>
    <row r="4" spans="2:14" x14ac:dyDescent="0.2">
      <c r="B4" s="184" t="s">
        <v>91</v>
      </c>
      <c r="C4" s="184" t="s">
        <v>92</v>
      </c>
      <c r="D4" s="184" t="s">
        <v>93</v>
      </c>
      <c r="E4" s="184" t="s">
        <v>94</v>
      </c>
      <c r="F4" s="184" t="s">
        <v>95</v>
      </c>
      <c r="G4" s="184" t="s">
        <v>96</v>
      </c>
      <c r="H4" s="184" t="s">
        <v>97</v>
      </c>
      <c r="I4" s="184" t="s">
        <v>98</v>
      </c>
      <c r="J4" s="184" t="s">
        <v>99</v>
      </c>
      <c r="K4" s="184" t="s">
        <v>100</v>
      </c>
      <c r="L4" s="184" t="s">
        <v>101</v>
      </c>
      <c r="M4" s="184" t="s">
        <v>102</v>
      </c>
      <c r="N4" s="184" t="s">
        <v>103</v>
      </c>
    </row>
    <row r="5" spans="2:14" x14ac:dyDescent="0.2">
      <c r="B5" s="185" t="s">
        <v>104</v>
      </c>
      <c r="C5">
        <v>0.61691435597386712</v>
      </c>
      <c r="D5">
        <v>0.70803733140458802</v>
      </c>
      <c r="E5">
        <v>0.65496121314514189</v>
      </c>
      <c r="F5">
        <v>0.64557113770321639</v>
      </c>
      <c r="G5">
        <v>0.59070255864291066</v>
      </c>
      <c r="H5">
        <v>0.6673553941479029</v>
      </c>
      <c r="I5">
        <v>0.6474329308010266</v>
      </c>
      <c r="J5">
        <v>0.67442087957591124</v>
      </c>
      <c r="K5">
        <v>0.54033746896806389</v>
      </c>
      <c r="L5">
        <v>0.62605241420088631</v>
      </c>
      <c r="M5">
        <v>0.6152862732511839</v>
      </c>
      <c r="N5">
        <v>0.78488408924428232</v>
      </c>
    </row>
    <row r="6" spans="2:14" x14ac:dyDescent="0.2">
      <c r="B6" s="185" t="s">
        <v>105</v>
      </c>
      <c r="C6">
        <v>0.67691779107100647</v>
      </c>
      <c r="D6">
        <v>0.71152909526594843</v>
      </c>
      <c r="E6">
        <v>0.66019944670455233</v>
      </c>
      <c r="F6">
        <v>0.72741177881354246</v>
      </c>
      <c r="G6">
        <v>0.68284517686000634</v>
      </c>
      <c r="H6">
        <v>0.66816658237885274</v>
      </c>
      <c r="I6">
        <v>0.90590499592903173</v>
      </c>
      <c r="J6">
        <v>0.6846429579893577</v>
      </c>
      <c r="K6">
        <v>0.67282096677792225</v>
      </c>
      <c r="L6">
        <v>0.66699670271219025</v>
      </c>
      <c r="M6">
        <v>0.71984330008417652</v>
      </c>
      <c r="N6">
        <v>0.62169260454334108</v>
      </c>
    </row>
    <row r="7" spans="2:14" x14ac:dyDescent="0.2">
      <c r="B7" s="185" t="s">
        <v>106</v>
      </c>
      <c r="C7">
        <v>0.77660943628789381</v>
      </c>
      <c r="D7">
        <v>0.79939809315540267</v>
      </c>
      <c r="E7">
        <v>0.75603177527847498</v>
      </c>
      <c r="F7">
        <v>0.72713430429008874</v>
      </c>
      <c r="G7">
        <v>0.7033021396943504</v>
      </c>
      <c r="H7">
        <v>0.71342299072838811</v>
      </c>
      <c r="I7">
        <v>1.1000000000000001</v>
      </c>
      <c r="J7">
        <v>0.72171357424127036</v>
      </c>
      <c r="K7">
        <v>0.75679998555913497</v>
      </c>
      <c r="L7">
        <v>0.68240963216943429</v>
      </c>
      <c r="M7">
        <v>0.68685238139944094</v>
      </c>
      <c r="N7">
        <v>0.74513241578397404</v>
      </c>
    </row>
    <row r="8" spans="2:14" x14ac:dyDescent="0.2">
      <c r="B8" s="185" t="s">
        <v>107</v>
      </c>
      <c r="C8">
        <v>0.63137692480854779</v>
      </c>
      <c r="D8">
        <v>0.63790543574027536</v>
      </c>
      <c r="E8">
        <v>0.6323816360501866</v>
      </c>
      <c r="F8">
        <v>0.72156223143215048</v>
      </c>
      <c r="G8">
        <v>0.76781948875922867</v>
      </c>
      <c r="H8">
        <v>0.79078179796769943</v>
      </c>
      <c r="I8">
        <v>0.6595996173549088</v>
      </c>
      <c r="J8">
        <v>0.61629987237577577</v>
      </c>
      <c r="K8">
        <v>0.71088602386003019</v>
      </c>
      <c r="L8">
        <v>1.1000000000000001</v>
      </c>
      <c r="M8">
        <v>1.1000000000000001</v>
      </c>
      <c r="N8">
        <v>0.61366991079314426</v>
      </c>
    </row>
    <row r="9" spans="2:14" x14ac:dyDescent="0.2">
      <c r="B9" s="185" t="s">
        <v>108</v>
      </c>
      <c r="C9">
        <v>2.0217488622665405</v>
      </c>
      <c r="D9">
        <v>2.0550493752956389</v>
      </c>
      <c r="E9">
        <v>2.1032130217552187</v>
      </c>
      <c r="F9">
        <v>2.0332765257358552</v>
      </c>
      <c r="G9">
        <v>2.0631726837158202</v>
      </c>
      <c r="H9">
        <v>2.0819742000102996</v>
      </c>
      <c r="I9">
        <v>2.0938496804237365</v>
      </c>
      <c r="J9">
        <v>2.072133151292801</v>
      </c>
      <c r="K9">
        <v>2.039303002357483</v>
      </c>
      <c r="L9">
        <v>2.1004826581478118</v>
      </c>
      <c r="M9">
        <v>2.0226260638236999</v>
      </c>
      <c r="N9">
        <v>2.0578987276554108</v>
      </c>
    </row>
    <row r="10" spans="2:14" x14ac:dyDescent="0.2">
      <c r="B10" s="185" t="s">
        <v>109</v>
      </c>
      <c r="C10">
        <v>0.6807220935821533</v>
      </c>
      <c r="D10">
        <v>0.63507792353630066</v>
      </c>
      <c r="E10">
        <v>0.60728265047073371</v>
      </c>
      <c r="F10">
        <v>0.60360181927680967</v>
      </c>
      <c r="G10">
        <v>0.61959426403045659</v>
      </c>
      <c r="H10">
        <v>0.62551707625389097</v>
      </c>
      <c r="I10">
        <v>0.63979820013046262</v>
      </c>
      <c r="J10">
        <v>0.61955614686012273</v>
      </c>
      <c r="K10">
        <v>0.65622835159301762</v>
      </c>
      <c r="L10">
        <v>0.68712360262870786</v>
      </c>
      <c r="M10">
        <v>0.66545225381851203</v>
      </c>
      <c r="N10">
        <v>0.63617308735847478</v>
      </c>
    </row>
    <row r="11" spans="2:14" x14ac:dyDescent="0.2">
      <c r="B11" s="186"/>
      <c r="C11" s="117"/>
      <c r="D11" s="117"/>
      <c r="E11" s="117"/>
      <c r="F11" s="117"/>
      <c r="G11" s="117"/>
    </row>
    <row r="12" spans="2:14" x14ac:dyDescent="0.2">
      <c r="B12" s="119" t="s">
        <v>315</v>
      </c>
      <c r="C12" s="117"/>
      <c r="D12" s="117"/>
      <c r="E12" s="117"/>
      <c r="F12" s="117"/>
      <c r="G12" s="117"/>
    </row>
    <row r="13" spans="2:14" x14ac:dyDescent="0.2">
      <c r="B13" s="185" t="s">
        <v>316</v>
      </c>
      <c r="C13" s="185" t="s">
        <v>92</v>
      </c>
      <c r="D13" s="185" t="s">
        <v>93</v>
      </c>
      <c r="E13" s="184" t="s">
        <v>94</v>
      </c>
      <c r="F13" s="184" t="s">
        <v>95</v>
      </c>
      <c r="G13" s="184" t="s">
        <v>96</v>
      </c>
      <c r="H13" s="184" t="s">
        <v>97</v>
      </c>
      <c r="I13" s="184" t="s">
        <v>98</v>
      </c>
      <c r="J13" s="184" t="s">
        <v>99</v>
      </c>
      <c r="K13" s="184" t="s">
        <v>100</v>
      </c>
      <c r="L13" s="184" t="s">
        <v>101</v>
      </c>
      <c r="M13" s="184" t="s">
        <v>102</v>
      </c>
      <c r="N13" s="184" t="s">
        <v>103</v>
      </c>
    </row>
    <row r="14" spans="2:14" x14ac:dyDescent="0.2">
      <c r="B14" s="184" t="s">
        <v>317</v>
      </c>
      <c r="C14" s="117">
        <v>0.37393911443784089</v>
      </c>
      <c r="D14" s="117">
        <v>0.37532712916581684</v>
      </c>
      <c r="E14" s="117">
        <v>0.37671123827396852</v>
      </c>
      <c r="F14" s="117">
        <v>0.37808754713217219</v>
      </c>
      <c r="G14" s="117">
        <v>0.37945218305878198</v>
      </c>
      <c r="H14">
        <v>0.38080130621764896</v>
      </c>
      <c r="I14">
        <v>0.38213112042271796</v>
      </c>
      <c r="J14">
        <v>0.38343788381980165</v>
      </c>
      <c r="K14">
        <v>0.38471791941547451</v>
      </c>
      <c r="L14">
        <v>0.3859676254234603</v>
      </c>
      <c r="M14">
        <v>0.38718348539940084</v>
      </c>
      <c r="N14">
        <v>0.38836207813548773</v>
      </c>
    </row>
    <row r="15" spans="2:14" x14ac:dyDescent="0.2">
      <c r="B15" s="184" t="s">
        <v>318</v>
      </c>
      <c r="C15">
        <v>1.1167729880185027</v>
      </c>
      <c r="D15">
        <v>1.119733931000406</v>
      </c>
      <c r="E15">
        <v>1.1226865424297865</v>
      </c>
      <c r="F15">
        <v>1.1256225141975873</v>
      </c>
      <c r="G15">
        <v>1.1285335850157194</v>
      </c>
      <c r="H15">
        <v>1.1314115636628161</v>
      </c>
      <c r="I15">
        <v>1.1342483520328333</v>
      </c>
      <c r="J15">
        <v>1.1370359679216395</v>
      </c>
      <c r="K15">
        <v>1.1397665674874815</v>
      </c>
      <c r="L15">
        <v>1.1424324673221211</v>
      </c>
      <c r="M15">
        <v>1.1450261660705399</v>
      </c>
      <c r="N15">
        <v>1.1475403655383853</v>
      </c>
    </row>
    <row r="16" spans="2:14" x14ac:dyDescent="0.2">
      <c r="B16" s="117"/>
    </row>
    <row r="17" spans="2:14" x14ac:dyDescent="0.2">
      <c r="B17" s="118" t="s">
        <v>319</v>
      </c>
    </row>
    <row r="18" spans="2:14" x14ac:dyDescent="0.2">
      <c r="B18" s="116" t="s">
        <v>91</v>
      </c>
      <c r="C18" s="116" t="s">
        <v>92</v>
      </c>
      <c r="D18" s="116" t="s">
        <v>93</v>
      </c>
      <c r="E18" s="116" t="s">
        <v>94</v>
      </c>
      <c r="F18" s="116" t="s">
        <v>95</v>
      </c>
      <c r="G18" s="116" t="s">
        <v>96</v>
      </c>
      <c r="H18" s="116" t="s">
        <v>97</v>
      </c>
      <c r="I18" s="116" t="s">
        <v>98</v>
      </c>
      <c r="J18" s="116" t="s">
        <v>99</v>
      </c>
      <c r="K18" s="116" t="s">
        <v>100</v>
      </c>
      <c r="L18" s="116" t="s">
        <v>101</v>
      </c>
      <c r="M18" s="116" t="s">
        <v>102</v>
      </c>
      <c r="N18" s="116" t="s">
        <v>103</v>
      </c>
    </row>
    <row r="19" spans="2:14" x14ac:dyDescent="0.2">
      <c r="B19" s="187" t="s">
        <v>104</v>
      </c>
      <c r="C19">
        <f>C5</f>
        <v>0.61691435597386712</v>
      </c>
      <c r="D19">
        <f t="shared" ref="D19:N20" si="0">D5</f>
        <v>0.70803733140458802</v>
      </c>
      <c r="E19">
        <f t="shared" si="0"/>
        <v>0.65496121314514189</v>
      </c>
      <c r="F19">
        <f t="shared" si="0"/>
        <v>0.64557113770321639</v>
      </c>
      <c r="G19">
        <f t="shared" si="0"/>
        <v>0.59070255864291066</v>
      </c>
      <c r="H19">
        <f t="shared" si="0"/>
        <v>0.6673553941479029</v>
      </c>
      <c r="I19">
        <f t="shared" si="0"/>
        <v>0.6474329308010266</v>
      </c>
      <c r="J19">
        <f t="shared" si="0"/>
        <v>0.67442087957591124</v>
      </c>
      <c r="K19">
        <f t="shared" si="0"/>
        <v>0.54033746896806389</v>
      </c>
      <c r="L19">
        <f t="shared" si="0"/>
        <v>0.62605241420088631</v>
      </c>
      <c r="M19">
        <f t="shared" si="0"/>
        <v>0.6152862732511839</v>
      </c>
      <c r="N19">
        <f t="shared" si="0"/>
        <v>0.78488408924428232</v>
      </c>
    </row>
    <row r="20" spans="2:14" x14ac:dyDescent="0.2">
      <c r="B20" s="187" t="s">
        <v>105</v>
      </c>
      <c r="C20">
        <f>C6</f>
        <v>0.67691779107100647</v>
      </c>
      <c r="D20">
        <f t="shared" si="0"/>
        <v>0.71152909526594843</v>
      </c>
      <c r="E20">
        <f t="shared" si="0"/>
        <v>0.66019944670455233</v>
      </c>
      <c r="F20">
        <f t="shared" si="0"/>
        <v>0.72741177881354246</v>
      </c>
      <c r="G20">
        <f t="shared" si="0"/>
        <v>0.68284517686000634</v>
      </c>
      <c r="H20">
        <f t="shared" si="0"/>
        <v>0.66816658237885274</v>
      </c>
      <c r="I20">
        <f t="shared" si="0"/>
        <v>0.90590499592903173</v>
      </c>
      <c r="J20">
        <f t="shared" si="0"/>
        <v>0.6846429579893577</v>
      </c>
      <c r="K20">
        <f t="shared" si="0"/>
        <v>0.67282096677792225</v>
      </c>
      <c r="L20">
        <f t="shared" si="0"/>
        <v>0.66699670271219025</v>
      </c>
      <c r="M20">
        <f t="shared" si="0"/>
        <v>0.71984330008417652</v>
      </c>
      <c r="N20">
        <f t="shared" si="0"/>
        <v>0.62169260454334108</v>
      </c>
    </row>
    <row r="21" spans="2:14" x14ac:dyDescent="0.2">
      <c r="B21" s="187" t="s">
        <v>106</v>
      </c>
      <c r="C21">
        <f t="shared" ref="C21:N22" si="1">C7</f>
        <v>0.77660943628789381</v>
      </c>
      <c r="D21">
        <f t="shared" si="1"/>
        <v>0.79939809315540267</v>
      </c>
      <c r="E21">
        <f t="shared" si="1"/>
        <v>0.75603177527847498</v>
      </c>
      <c r="F21">
        <f t="shared" si="1"/>
        <v>0.72713430429008874</v>
      </c>
      <c r="G21">
        <f t="shared" si="1"/>
        <v>0.7033021396943504</v>
      </c>
      <c r="H21">
        <f t="shared" si="1"/>
        <v>0.71342299072838811</v>
      </c>
      <c r="I21">
        <f t="shared" si="1"/>
        <v>1.1000000000000001</v>
      </c>
      <c r="J21">
        <f t="shared" si="1"/>
        <v>0.72171357424127036</v>
      </c>
      <c r="K21">
        <f t="shared" si="1"/>
        <v>0.75679998555913497</v>
      </c>
      <c r="L21">
        <f t="shared" si="1"/>
        <v>0.68240963216943429</v>
      </c>
      <c r="M21">
        <f t="shared" si="1"/>
        <v>0.68685238139944094</v>
      </c>
      <c r="N21">
        <f t="shared" si="1"/>
        <v>0.74513241578397404</v>
      </c>
    </row>
    <row r="22" spans="2:14" x14ac:dyDescent="0.2">
      <c r="B22" s="187" t="s">
        <v>107</v>
      </c>
      <c r="C22">
        <f t="shared" si="1"/>
        <v>0.63137692480854779</v>
      </c>
      <c r="D22">
        <f t="shared" si="1"/>
        <v>0.63790543574027536</v>
      </c>
      <c r="E22">
        <f t="shared" si="1"/>
        <v>0.6323816360501866</v>
      </c>
      <c r="F22">
        <f t="shared" si="1"/>
        <v>0.72156223143215048</v>
      </c>
      <c r="G22">
        <f t="shared" si="1"/>
        <v>0.76781948875922867</v>
      </c>
      <c r="H22">
        <f t="shared" si="1"/>
        <v>0.79078179796769943</v>
      </c>
      <c r="I22">
        <f t="shared" si="1"/>
        <v>0.6595996173549088</v>
      </c>
      <c r="J22">
        <f t="shared" si="1"/>
        <v>0.61629987237577577</v>
      </c>
      <c r="K22">
        <f t="shared" si="1"/>
        <v>0.71088602386003019</v>
      </c>
      <c r="L22">
        <f t="shared" si="1"/>
        <v>1.1000000000000001</v>
      </c>
      <c r="M22">
        <f t="shared" si="1"/>
        <v>1.1000000000000001</v>
      </c>
      <c r="N22">
        <f t="shared" si="1"/>
        <v>0.61366991079314426</v>
      </c>
    </row>
    <row r="23" spans="2:14" x14ac:dyDescent="0.2">
      <c r="B23" s="187" t="s">
        <v>108</v>
      </c>
      <c r="C23">
        <f>C9*C14</f>
        <v>0.75601097917166249</v>
      </c>
      <c r="D23">
        <f t="shared" ref="D23:N24" si="2">D9*D14</f>
        <v>0.77131578232371745</v>
      </c>
      <c r="E23">
        <f t="shared" si="2"/>
        <v>0.79230398177934358</v>
      </c>
      <c r="F23">
        <f t="shared" si="2"/>
        <v>0.7687565342568945</v>
      </c>
      <c r="G23">
        <f t="shared" si="2"/>
        <v>0.7828753788632139</v>
      </c>
      <c r="H23">
        <f t="shared" si="2"/>
        <v>0.79281849487536682</v>
      </c>
      <c r="I23">
        <f t="shared" si="2"/>
        <v>0.80012512437707239</v>
      </c>
      <c r="J23">
        <f t="shared" si="2"/>
        <v>0.79453435052456844</v>
      </c>
      <c r="K23">
        <f t="shared" si="2"/>
        <v>0.7845564081247014</v>
      </c>
      <c r="L23">
        <f t="shared" si="2"/>
        <v>0.81071830380846888</v>
      </c>
      <c r="M23">
        <f t="shared" si="2"/>
        <v>0.78312740905093114</v>
      </c>
      <c r="N23">
        <f t="shared" si="2"/>
        <v>0.79920982646463146</v>
      </c>
    </row>
    <row r="24" spans="2:14" x14ac:dyDescent="0.2">
      <c r="B24" s="187" t="s">
        <v>109</v>
      </c>
      <c r="C24">
        <f>C10*C15</f>
        <v>0.76021204645995211</v>
      </c>
      <c r="D24">
        <f t="shared" si="2"/>
        <v>0.71111829981287722</v>
      </c>
      <c r="E24">
        <f t="shared" si="2"/>
        <v>0.68178805913458462</v>
      </c>
      <c r="F24">
        <f t="shared" si="2"/>
        <v>0.67942779738860026</v>
      </c>
      <c r="G24">
        <f t="shared" si="2"/>
        <v>0.69923293604146741</v>
      </c>
      <c r="H24">
        <f t="shared" si="2"/>
        <v>0.70771725334220781</v>
      </c>
      <c r="I24">
        <f t="shared" si="2"/>
        <v>0.72569005413155008</v>
      </c>
      <c r="J24">
        <f t="shared" si="2"/>
        <v>0.70445762312690108</v>
      </c>
      <c r="K24">
        <f t="shared" si="2"/>
        <v>0.74794713578314187</v>
      </c>
      <c r="L24">
        <f t="shared" si="2"/>
        <v>0.78499231270637948</v>
      </c>
      <c r="M24">
        <f t="shared" si="2"/>
        <v>0.76196024289281061</v>
      </c>
      <c r="N24">
        <f t="shared" si="2"/>
        <v>0.73003429721302726</v>
      </c>
    </row>
    <row r="25" spans="2:14" x14ac:dyDescent="0.2">
      <c r="B25" s="186"/>
    </row>
    <row r="26" spans="2:14" x14ac:dyDescent="0.2">
      <c r="B26" s="119" t="s">
        <v>320</v>
      </c>
    </row>
    <row r="27" spans="2:14" x14ac:dyDescent="0.2">
      <c r="B27" s="116" t="s">
        <v>321</v>
      </c>
      <c r="C27" s="116" t="s">
        <v>92</v>
      </c>
      <c r="D27" s="116" t="s">
        <v>93</v>
      </c>
      <c r="E27" s="116" t="s">
        <v>94</v>
      </c>
      <c r="F27" s="116" t="s">
        <v>95</v>
      </c>
      <c r="G27" s="116" t="s">
        <v>96</v>
      </c>
      <c r="H27" s="116" t="s">
        <v>97</v>
      </c>
      <c r="I27" s="116" t="s">
        <v>98</v>
      </c>
      <c r="J27" s="116" t="s">
        <v>99</v>
      </c>
      <c r="K27" s="116" t="s">
        <v>100</v>
      </c>
      <c r="L27" s="116" t="s">
        <v>101</v>
      </c>
      <c r="M27" s="116" t="s">
        <v>102</v>
      </c>
      <c r="N27" s="116" t="s">
        <v>103</v>
      </c>
    </row>
    <row r="28" spans="2:14" x14ac:dyDescent="0.2">
      <c r="B28" s="116" t="s">
        <v>104</v>
      </c>
      <c r="C28">
        <f>IF(C19&lt;=raw_materials!$D17,raw_materials!$C17,IF(C19&lt;=raw_materials!$F17,raw_materials!$E17,IF(C19&lt;=raw_materials!$H17,raw_materials!$G17,0)))</f>
        <v>1</v>
      </c>
      <c r="D28">
        <f>IF(D19&lt;=raw_materials!$D17,raw_materials!$C17,IF(D19&lt;=raw_materials!$F17,raw_materials!$E17,IF(D19&lt;=raw_materials!$H17,raw_materials!$G17,0)))</f>
        <v>0.75</v>
      </c>
      <c r="E28">
        <f>IF(E19&lt;=raw_materials!$D17,raw_materials!$C17,IF(E19&lt;=raw_materials!$F17,raw_materials!$E17,IF(E19&lt;=raw_materials!$H17,raw_materials!$G17,0)))</f>
        <v>1</v>
      </c>
      <c r="F28">
        <f>IF(F19&lt;=raw_materials!$D17,raw_materials!$C17,IF(F19&lt;=raw_materials!$F17,raw_materials!$E17,IF(F19&lt;=raw_materials!$H17,raw_materials!$G17,0)))</f>
        <v>1</v>
      </c>
      <c r="G28">
        <f>IF(G19&lt;=raw_materials!$D17,raw_materials!$C17,IF(G19&lt;=raw_materials!$F17,raw_materials!$E17,IF(G19&lt;=raw_materials!$H17,raw_materials!$G17,0)))</f>
        <v>1</v>
      </c>
      <c r="H28">
        <f>IF(H19&lt;=raw_materials!$D17,raw_materials!$C17,IF(H19&lt;=raw_materials!$F17,raw_materials!$E17,IF(H19&lt;=raw_materials!$H17,raw_materials!$G17,0)))</f>
        <v>1</v>
      </c>
      <c r="I28">
        <f>IF(I19&lt;=raw_materials!$D17,raw_materials!$C17,IF(I19&lt;=raw_materials!$F17,raw_materials!$E17,IF(I19&lt;=raw_materials!$H17,raw_materials!$G17,0)))</f>
        <v>1</v>
      </c>
      <c r="J28">
        <f>IF(J19&lt;=raw_materials!$D17,raw_materials!$C17,IF(J19&lt;=raw_materials!$F17,raw_materials!$E17,IF(J19&lt;=raw_materials!$H17,raw_materials!$G17,0)))</f>
        <v>1</v>
      </c>
      <c r="K28">
        <f>IF(K19&lt;=raw_materials!$D17,raw_materials!$C17,IF(K19&lt;=raw_materials!$F17,raw_materials!$E17,IF(K19&lt;=raw_materials!$H17,raw_materials!$G17,0)))</f>
        <v>1</v>
      </c>
      <c r="L28">
        <f>IF(L19&lt;=raw_materials!$D17,raw_materials!$C17,IF(L19&lt;=raw_materials!$F17,raw_materials!$E17,IF(L19&lt;=raw_materials!$H17,raw_materials!$G17,0)))</f>
        <v>1</v>
      </c>
      <c r="M28">
        <f>IF(M19&lt;=raw_materials!$D17,raw_materials!$C17,IF(M19&lt;=raw_materials!$F17,raw_materials!$E17,IF(M19&lt;=raw_materials!$H17,raw_materials!$G17,0)))</f>
        <v>1</v>
      </c>
      <c r="N28">
        <f>IF(N19&lt;=raw_materials!$D17,raw_materials!$C17,IF(N19&lt;=raw_materials!$F17,raw_materials!$E17,IF(N19&lt;=raw_materials!$H17,raw_materials!$G17,0)))</f>
        <v>0.75</v>
      </c>
    </row>
    <row r="29" spans="2:14" x14ac:dyDescent="0.2">
      <c r="B29" s="116" t="s">
        <v>105</v>
      </c>
      <c r="C29">
        <f>IF(C20&lt;=raw_materials!$D18,raw_materials!$C18,IF(C20&lt;=raw_materials!$F18,raw_materials!$E18,IF(C20&lt;=raw_materials!$H18,raw_materials!$G18,0)))</f>
        <v>1</v>
      </c>
      <c r="D29">
        <f>IF(D20&lt;=raw_materials!$D18,raw_materials!$C18,IF(D20&lt;=raw_materials!$F18,raw_materials!$E18,IF(D20&lt;=raw_materials!$H18,raw_materials!$G18,0)))</f>
        <v>0.75</v>
      </c>
      <c r="E29">
        <f>IF(E20&lt;=raw_materials!$D18,raw_materials!$C18,IF(E20&lt;=raw_materials!$F18,raw_materials!$E18,IF(E20&lt;=raw_materials!$H18,raw_materials!$G18,0)))</f>
        <v>1</v>
      </c>
      <c r="F29">
        <f>IF(F20&lt;=raw_materials!$D18,raw_materials!$C18,IF(F20&lt;=raw_materials!$F18,raw_materials!$E18,IF(F20&lt;=raw_materials!$H18,raw_materials!$G18,0)))</f>
        <v>0.75</v>
      </c>
      <c r="G29">
        <f>IF(G20&lt;=raw_materials!$D18,raw_materials!$C18,IF(G20&lt;=raw_materials!$F18,raw_materials!$E18,IF(G20&lt;=raw_materials!$H18,raw_materials!$G18,0)))</f>
        <v>1</v>
      </c>
      <c r="H29">
        <f>IF(H20&lt;=raw_materials!$D18,raw_materials!$C18,IF(H20&lt;=raw_materials!$F18,raw_materials!$E18,IF(H20&lt;=raw_materials!$H18,raw_materials!$G18,0)))</f>
        <v>1</v>
      </c>
      <c r="I29">
        <f>IF(I20&lt;=raw_materials!$D18,raw_materials!$C18,IF(I20&lt;=raw_materials!$F18,raw_materials!$E18,IF(I20&lt;=raw_materials!$H18,raw_materials!$G18,0)))</f>
        <v>0.75</v>
      </c>
      <c r="J29">
        <f>IF(J20&lt;=raw_materials!$D18,raw_materials!$C18,IF(J20&lt;=raw_materials!$F18,raw_materials!$E18,IF(J20&lt;=raw_materials!$H18,raw_materials!$G18,0)))</f>
        <v>1</v>
      </c>
      <c r="K29">
        <f>IF(K20&lt;=raw_materials!$D18,raw_materials!$C18,IF(K20&lt;=raw_materials!$F18,raw_materials!$E18,IF(K20&lt;=raw_materials!$H18,raw_materials!$G18,0)))</f>
        <v>1</v>
      </c>
      <c r="L29">
        <f>IF(L20&lt;=raw_materials!$D18,raw_materials!$C18,IF(L20&lt;=raw_materials!$F18,raw_materials!$E18,IF(L20&lt;=raw_materials!$H18,raw_materials!$G18,0)))</f>
        <v>1</v>
      </c>
      <c r="M29">
        <f>IF(M20&lt;=raw_materials!$D18,raw_materials!$C18,IF(M20&lt;=raw_materials!$F18,raw_materials!$E18,IF(M20&lt;=raw_materials!$H18,raw_materials!$G18,0)))</f>
        <v>0.75</v>
      </c>
      <c r="N29">
        <f>IF(N20&lt;=raw_materials!$D18,raw_materials!$C18,IF(N20&lt;=raw_materials!$F18,raw_materials!$E18,IF(N20&lt;=raw_materials!$H18,raw_materials!$G18,0)))</f>
        <v>1</v>
      </c>
    </row>
    <row r="30" spans="2:14" x14ac:dyDescent="0.2">
      <c r="B30" s="116" t="s">
        <v>106</v>
      </c>
      <c r="C30">
        <f>IF(C21&lt;=raw_materials!$D19,raw_materials!$C19,IF(C21&lt;=raw_materials!$F19,raw_materials!$E19,IF(C21&lt;=raw_materials!$H19,raw_materials!$G19,0)))</f>
        <v>0.75</v>
      </c>
      <c r="D30">
        <f>IF(D21&lt;=raw_materials!$D19,raw_materials!$C19,IF(D21&lt;=raw_materials!$F19,raw_materials!$E19,IF(D21&lt;=raw_materials!$H19,raw_materials!$G19,0)))</f>
        <v>0.75</v>
      </c>
      <c r="E30">
        <f>IF(E21&lt;=raw_materials!$D19,raw_materials!$C19,IF(E21&lt;=raw_materials!$F19,raw_materials!$E19,IF(E21&lt;=raw_materials!$H19,raw_materials!$G19,0)))</f>
        <v>0.75</v>
      </c>
      <c r="F30">
        <f>IF(F21&lt;=raw_materials!$D19,raw_materials!$C19,IF(F21&lt;=raw_materials!$F19,raw_materials!$E19,IF(F21&lt;=raw_materials!$H19,raw_materials!$G19,0)))</f>
        <v>0.75</v>
      </c>
      <c r="G30">
        <f>IF(G21&lt;=raw_materials!$D19,raw_materials!$C19,IF(G21&lt;=raw_materials!$F19,raw_materials!$E19,IF(G21&lt;=raw_materials!$H19,raw_materials!$G19,0)))</f>
        <v>0.75</v>
      </c>
      <c r="H30">
        <f>IF(H21&lt;=raw_materials!$D19,raw_materials!$C19,IF(H21&lt;=raw_materials!$F19,raw_materials!$E19,IF(H21&lt;=raw_materials!$H19,raw_materials!$G19,0)))</f>
        <v>0.75</v>
      </c>
      <c r="I30">
        <f>IF(I21&lt;=raw_materials!$D19,raw_materials!$C19,IF(I21&lt;=raw_materials!$F19,raw_materials!$E19,IF(I21&lt;=raw_materials!$H19,raw_materials!$G19,0)))</f>
        <v>0.75</v>
      </c>
      <c r="J30">
        <f>IF(J21&lt;=raw_materials!$D19,raw_materials!$C19,IF(J21&lt;=raw_materials!$F19,raw_materials!$E19,IF(J21&lt;=raw_materials!$H19,raw_materials!$G19,0)))</f>
        <v>0.75</v>
      </c>
      <c r="K30">
        <f>IF(K21&lt;=raw_materials!$D19,raw_materials!$C19,IF(K21&lt;=raw_materials!$F19,raw_materials!$E19,IF(K21&lt;=raw_materials!$H19,raw_materials!$G19,0)))</f>
        <v>0.75</v>
      </c>
      <c r="L30">
        <f>IF(L21&lt;=raw_materials!$D19,raw_materials!$C19,IF(L21&lt;=raw_materials!$F19,raw_materials!$E19,IF(L21&lt;=raw_materials!$H19,raw_materials!$G19,0)))</f>
        <v>1</v>
      </c>
      <c r="M30">
        <f>IF(M21&lt;=raw_materials!$D19,raw_materials!$C19,IF(M21&lt;=raw_materials!$F19,raw_materials!$E19,IF(M21&lt;=raw_materials!$H19,raw_materials!$G19,0)))</f>
        <v>1</v>
      </c>
      <c r="N30">
        <f>IF(N21&lt;=raw_materials!$D19,raw_materials!$C19,IF(N21&lt;=raw_materials!$F19,raw_materials!$E19,IF(N21&lt;=raw_materials!$H19,raw_materials!$G19,0)))</f>
        <v>0.75</v>
      </c>
    </row>
    <row r="31" spans="2:14" x14ac:dyDescent="0.2">
      <c r="B31" s="116" t="s">
        <v>107</v>
      </c>
      <c r="C31">
        <f>IF(C22&lt;=raw_materials!$D20,raw_materials!$C20,IF(C22&lt;=raw_materials!$F20,raw_materials!$E20,IF(C22&lt;=raw_materials!$H20,raw_materials!$G20,0)))</f>
        <v>1</v>
      </c>
      <c r="D31">
        <f>IF(D22&lt;=raw_materials!$D20,raw_materials!$C20,IF(D22&lt;=raw_materials!$F20,raw_materials!$E20,IF(D22&lt;=raw_materials!$H20,raw_materials!$G20,0)))</f>
        <v>1</v>
      </c>
      <c r="E31">
        <f>IF(E22&lt;=raw_materials!$D20,raw_materials!$C20,IF(E22&lt;=raw_materials!$F20,raw_materials!$E20,IF(E22&lt;=raw_materials!$H20,raw_materials!$G20,0)))</f>
        <v>1</v>
      </c>
      <c r="F31">
        <f>IF(F22&lt;=raw_materials!$D20,raw_materials!$C20,IF(F22&lt;=raw_materials!$F20,raw_materials!$E20,IF(F22&lt;=raw_materials!$H20,raw_materials!$G20,0)))</f>
        <v>0.75</v>
      </c>
      <c r="G31">
        <f>IF(G22&lt;=raw_materials!$D20,raw_materials!$C20,IF(G22&lt;=raw_materials!$F20,raw_materials!$E20,IF(G22&lt;=raw_materials!$H20,raw_materials!$G20,0)))</f>
        <v>0.75</v>
      </c>
      <c r="H31">
        <f>IF(H22&lt;=raw_materials!$D20,raw_materials!$C20,IF(H22&lt;=raw_materials!$F20,raw_materials!$E20,IF(H22&lt;=raw_materials!$H20,raw_materials!$G20,0)))</f>
        <v>0.75</v>
      </c>
      <c r="I31">
        <f>IF(I22&lt;=raw_materials!$D20,raw_materials!$C20,IF(I22&lt;=raw_materials!$F20,raw_materials!$E20,IF(I22&lt;=raw_materials!$H20,raw_materials!$G20,0)))</f>
        <v>1</v>
      </c>
      <c r="J31">
        <f>IF(J22&lt;=raw_materials!$D20,raw_materials!$C20,IF(J22&lt;=raw_materials!$F20,raw_materials!$E20,IF(J22&lt;=raw_materials!$H20,raw_materials!$G20,0)))</f>
        <v>1</v>
      </c>
      <c r="K31">
        <f>IF(K22&lt;=raw_materials!$D20,raw_materials!$C20,IF(K22&lt;=raw_materials!$F20,raw_materials!$E20,IF(K22&lt;=raw_materials!$H20,raw_materials!$G20,0)))</f>
        <v>0.75</v>
      </c>
      <c r="L31">
        <f>IF(L22&lt;=raw_materials!$D20,raw_materials!$C20,IF(L22&lt;=raw_materials!$F20,raw_materials!$E20,IF(L22&lt;=raw_materials!$H20,raw_materials!$G20,0)))</f>
        <v>0.75</v>
      </c>
      <c r="M31">
        <f>IF(M22&lt;=raw_materials!$D20,raw_materials!$C20,IF(M22&lt;=raw_materials!$F20,raw_materials!$E20,IF(M22&lt;=raw_materials!$H20,raw_materials!$G20,0)))</f>
        <v>0.75</v>
      </c>
      <c r="N31">
        <f>IF(N22&lt;=raw_materials!$D20,raw_materials!$C20,IF(N22&lt;=raw_materials!$F20,raw_materials!$E20,IF(N22&lt;=raw_materials!$H20,raw_materials!$G20,0)))</f>
        <v>1</v>
      </c>
    </row>
    <row r="32" spans="2:14" x14ac:dyDescent="0.2">
      <c r="B32" s="116" t="s">
        <v>108</v>
      </c>
      <c r="C32">
        <f>IF(C23&lt;=raw_materials!$D21,raw_materials!$C21,IF(C23&lt;=raw_materials!$F21,raw_materials!$E21,IF(C23&lt;=raw_materials!$H21,raw_materials!$G21,0)))</f>
        <v>0.75</v>
      </c>
      <c r="D32">
        <f>IF(D23&lt;=raw_materials!$D21,raw_materials!$C21,IF(D23&lt;=raw_materials!$F21,raw_materials!$E21,IF(D23&lt;=raw_materials!$H21,raw_materials!$G21,0)))</f>
        <v>0.75</v>
      </c>
      <c r="E32">
        <f>IF(E23&lt;=raw_materials!$D21,raw_materials!$C21,IF(E23&lt;=raw_materials!$F21,raw_materials!$E21,IF(E23&lt;=raw_materials!$H21,raw_materials!$G21,0)))</f>
        <v>0.75</v>
      </c>
      <c r="F32">
        <f>IF(F23&lt;=raw_materials!$D21,raw_materials!$C21,IF(F23&lt;=raw_materials!$F21,raw_materials!$E21,IF(F23&lt;=raw_materials!$H21,raw_materials!$G21,0)))</f>
        <v>0.75</v>
      </c>
      <c r="G32">
        <f>IF(G23&lt;=raw_materials!$D21,raw_materials!$C21,IF(G23&lt;=raw_materials!$F21,raw_materials!$E21,IF(G23&lt;=raw_materials!$H21,raw_materials!$G21,0)))</f>
        <v>0.75</v>
      </c>
      <c r="H32">
        <f>IF(H23&lt;=raw_materials!$D21,raw_materials!$C21,IF(H23&lt;=raw_materials!$F21,raw_materials!$E21,IF(H23&lt;=raw_materials!$H21,raw_materials!$G21,0)))</f>
        <v>0.75</v>
      </c>
      <c r="I32">
        <f>IF(I23&lt;=raw_materials!$D21,raw_materials!$C21,IF(I23&lt;=raw_materials!$F21,raw_materials!$E21,IF(I23&lt;=raw_materials!$H21,raw_materials!$G21,0)))</f>
        <v>0.75</v>
      </c>
      <c r="J32">
        <f>IF(J23&lt;=raw_materials!$D21,raw_materials!$C21,IF(J23&lt;=raw_materials!$F21,raw_materials!$E21,IF(J23&lt;=raw_materials!$H21,raw_materials!$G21,0)))</f>
        <v>0.75</v>
      </c>
      <c r="K32">
        <f>IF(K23&lt;=raw_materials!$D21,raw_materials!$C21,IF(K23&lt;=raw_materials!$F21,raw_materials!$E21,IF(K23&lt;=raw_materials!$H21,raw_materials!$G21,0)))</f>
        <v>0.75</v>
      </c>
      <c r="L32">
        <f>IF(L23&lt;=raw_materials!$D21,raw_materials!$C21,IF(L23&lt;=raw_materials!$F21,raw_materials!$E21,IF(L23&lt;=raw_materials!$H21,raw_materials!$G21,0)))</f>
        <v>0.75</v>
      </c>
      <c r="M32">
        <f>IF(M23&lt;=raw_materials!$D21,raw_materials!$C21,IF(M23&lt;=raw_materials!$F21,raw_materials!$E21,IF(M23&lt;=raw_materials!$H21,raw_materials!$G21,0)))</f>
        <v>0.75</v>
      </c>
      <c r="N32">
        <f>IF(N23&lt;=raw_materials!$D21,raw_materials!$C21,IF(N23&lt;=raw_materials!$F21,raw_materials!$E21,IF(N23&lt;=raw_materials!$H21,raw_materials!$G21,0)))</f>
        <v>0.75</v>
      </c>
    </row>
    <row r="33" spans="2:50" x14ac:dyDescent="0.2">
      <c r="B33" s="116" t="s">
        <v>109</v>
      </c>
      <c r="C33">
        <f>IF(C24&lt;=raw_materials!$D22,raw_materials!$C22,IF(C24&lt;=raw_materials!$F22,raw_materials!$E22,IF(C24&lt;=raw_materials!$H22,raw_materials!$G22,0)))</f>
        <v>0.75</v>
      </c>
      <c r="D33">
        <f>IF(D24&lt;=raw_materials!$D22,raw_materials!$C22,IF(D24&lt;=raw_materials!$F22,raw_materials!$E22,IF(D24&lt;=raw_materials!$H22,raw_materials!$G22,0)))</f>
        <v>0.75</v>
      </c>
      <c r="E33">
        <f>IF(E24&lt;=raw_materials!$D22,raw_materials!$C22,IF(E24&lt;=raw_materials!$F22,raw_materials!$E22,IF(E24&lt;=raw_materials!$H22,raw_materials!$G22,0)))</f>
        <v>1</v>
      </c>
      <c r="F33">
        <f>IF(F24&lt;=raw_materials!$D22,raw_materials!$C22,IF(F24&lt;=raw_materials!$F22,raw_materials!$E22,IF(F24&lt;=raw_materials!$H22,raw_materials!$G22,0)))</f>
        <v>1</v>
      </c>
      <c r="G33">
        <f>IF(G24&lt;=raw_materials!$D22,raw_materials!$C22,IF(G24&lt;=raw_materials!$F22,raw_materials!$E22,IF(G24&lt;=raw_materials!$H22,raw_materials!$G22,0)))</f>
        <v>1</v>
      </c>
      <c r="H33">
        <f>IF(H24&lt;=raw_materials!$D22,raw_materials!$C22,IF(H24&lt;=raw_materials!$F22,raw_materials!$E22,IF(H24&lt;=raw_materials!$H22,raw_materials!$G22,0)))</f>
        <v>0.75</v>
      </c>
      <c r="I33">
        <f>IF(I24&lt;=raw_materials!$D22,raw_materials!$C22,IF(I24&lt;=raw_materials!$F22,raw_materials!$E22,IF(I24&lt;=raw_materials!$H22,raw_materials!$G22,0)))</f>
        <v>0.75</v>
      </c>
      <c r="J33">
        <f>IF(J24&lt;=raw_materials!$D22,raw_materials!$C22,IF(J24&lt;=raw_materials!$F22,raw_materials!$E22,IF(J24&lt;=raw_materials!$H22,raw_materials!$G22,0)))</f>
        <v>0.75</v>
      </c>
      <c r="K33">
        <f>IF(K24&lt;=raw_materials!$D22,raw_materials!$C22,IF(K24&lt;=raw_materials!$F22,raw_materials!$E22,IF(K24&lt;=raw_materials!$H22,raw_materials!$G22,0)))</f>
        <v>0.75</v>
      </c>
      <c r="L33">
        <f>IF(L24&lt;=raw_materials!$D22,raw_materials!$C22,IF(L24&lt;=raw_materials!$F22,raw_materials!$E22,IF(L24&lt;=raw_materials!$H22,raw_materials!$G22,0)))</f>
        <v>0.75</v>
      </c>
      <c r="M33">
        <f>IF(M24&lt;=raw_materials!$D22,raw_materials!$C22,IF(M24&lt;=raw_materials!$F22,raw_materials!$E22,IF(M24&lt;=raw_materials!$H22,raw_materials!$G22,0)))</f>
        <v>0.75</v>
      </c>
      <c r="N33">
        <f>IF(N24&lt;=raw_materials!$D22,raw_materials!$C22,IF(N24&lt;=raw_materials!$F22,raw_materials!$E22,IF(N24&lt;=raw_materials!$H22,raw_materials!$G22,0)))</f>
        <v>0.75</v>
      </c>
    </row>
    <row r="35" spans="2:50" x14ac:dyDescent="0.2">
      <c r="B35" s="118" t="s">
        <v>322</v>
      </c>
    </row>
    <row r="36" spans="2:50" x14ac:dyDescent="0.2">
      <c r="B36" s="184" t="s">
        <v>274</v>
      </c>
      <c r="C36" s="184" t="s">
        <v>92</v>
      </c>
      <c r="D36" s="117"/>
      <c r="E36" s="117"/>
      <c r="F36" s="117"/>
      <c r="G36" s="184" t="s">
        <v>93</v>
      </c>
      <c r="H36" s="117"/>
      <c r="I36" s="117"/>
      <c r="J36" s="117"/>
      <c r="K36" s="184" t="s">
        <v>94</v>
      </c>
      <c r="L36" s="117"/>
      <c r="M36" s="117"/>
      <c r="N36" s="117"/>
      <c r="O36" s="184" t="s">
        <v>95</v>
      </c>
      <c r="P36" s="117"/>
      <c r="Q36" s="117"/>
      <c r="R36" s="117"/>
      <c r="S36" s="184" t="s">
        <v>96</v>
      </c>
      <c r="T36" s="117"/>
      <c r="U36" s="117"/>
      <c r="V36" s="117"/>
      <c r="W36" s="184" t="s">
        <v>97</v>
      </c>
      <c r="X36" s="117"/>
      <c r="Y36" s="117"/>
      <c r="Z36" s="117"/>
      <c r="AA36" s="184" t="s">
        <v>98</v>
      </c>
      <c r="AB36" s="117"/>
      <c r="AC36" s="117"/>
      <c r="AD36" s="117"/>
      <c r="AE36" s="184" t="s">
        <v>99</v>
      </c>
      <c r="AF36" s="117"/>
      <c r="AG36" s="117"/>
      <c r="AH36" s="117"/>
      <c r="AI36" s="184" t="s">
        <v>100</v>
      </c>
      <c r="AJ36" s="117"/>
      <c r="AK36" s="117"/>
      <c r="AL36" s="117"/>
      <c r="AM36" s="184" t="s">
        <v>101</v>
      </c>
      <c r="AN36" s="117"/>
      <c r="AO36" s="117"/>
      <c r="AP36" s="117"/>
      <c r="AQ36" s="184" t="s">
        <v>102</v>
      </c>
      <c r="AR36" s="117"/>
      <c r="AS36" s="117"/>
      <c r="AT36" s="117"/>
      <c r="AU36" s="184" t="s">
        <v>103</v>
      </c>
      <c r="AV36" s="117"/>
      <c r="AW36" s="117"/>
      <c r="AX36" s="117"/>
    </row>
    <row r="37" spans="2:50" x14ac:dyDescent="0.2">
      <c r="B37" s="184" t="s">
        <v>323</v>
      </c>
      <c r="C37" s="184">
        <v>1</v>
      </c>
      <c r="D37" s="184">
        <v>2</v>
      </c>
      <c r="E37" s="184">
        <v>3</v>
      </c>
      <c r="F37" s="184">
        <v>4</v>
      </c>
      <c r="G37" s="184">
        <v>1</v>
      </c>
      <c r="H37" s="184">
        <v>2</v>
      </c>
      <c r="I37" s="184">
        <v>3</v>
      </c>
      <c r="J37" s="184">
        <v>4</v>
      </c>
      <c r="K37" s="184">
        <v>1</v>
      </c>
      <c r="L37" s="184">
        <v>2</v>
      </c>
      <c r="M37" s="184">
        <v>3</v>
      </c>
      <c r="N37" s="184">
        <v>4</v>
      </c>
      <c r="O37" s="184">
        <v>1</v>
      </c>
      <c r="P37" s="184">
        <v>2</v>
      </c>
      <c r="Q37" s="184">
        <v>3</v>
      </c>
      <c r="R37" s="184">
        <v>4</v>
      </c>
      <c r="S37" s="184">
        <v>1</v>
      </c>
      <c r="T37" s="184">
        <v>2</v>
      </c>
      <c r="U37" s="184">
        <v>3</v>
      </c>
      <c r="V37" s="184">
        <v>4</v>
      </c>
      <c r="W37" s="184">
        <v>1</v>
      </c>
      <c r="X37" s="184">
        <v>2</v>
      </c>
      <c r="Y37" s="184">
        <v>3</v>
      </c>
      <c r="Z37" s="184">
        <v>4</v>
      </c>
      <c r="AA37" s="184">
        <v>1</v>
      </c>
      <c r="AB37" s="184">
        <v>2</v>
      </c>
      <c r="AC37" s="184">
        <v>3</v>
      </c>
      <c r="AD37" s="184">
        <v>4</v>
      </c>
      <c r="AE37" s="184">
        <v>1</v>
      </c>
      <c r="AF37" s="184">
        <v>2</v>
      </c>
      <c r="AG37" s="184">
        <v>3</v>
      </c>
      <c r="AH37" s="184">
        <v>4</v>
      </c>
      <c r="AI37" s="184">
        <v>1</v>
      </c>
      <c r="AJ37" s="184">
        <v>2</v>
      </c>
      <c r="AK37" s="184">
        <v>3</v>
      </c>
      <c r="AL37" s="184">
        <v>4</v>
      </c>
      <c r="AM37" s="184">
        <v>1</v>
      </c>
      <c r="AN37" s="184">
        <v>2</v>
      </c>
      <c r="AO37" s="184">
        <v>3</v>
      </c>
      <c r="AP37" s="184">
        <v>4</v>
      </c>
      <c r="AQ37" s="184">
        <v>1</v>
      </c>
      <c r="AR37" s="184">
        <v>2</v>
      </c>
      <c r="AS37" s="184">
        <v>3</v>
      </c>
      <c r="AT37" s="184">
        <v>4</v>
      </c>
      <c r="AU37" s="184">
        <v>1</v>
      </c>
      <c r="AV37" s="184">
        <v>2</v>
      </c>
      <c r="AW37" s="184">
        <v>3</v>
      </c>
      <c r="AX37" s="184">
        <v>4</v>
      </c>
    </row>
    <row r="38" spans="2:50" x14ac:dyDescent="0.2">
      <c r="B38" s="184" t="s">
        <v>104</v>
      </c>
      <c r="C38">
        <v>25054.902514011505</v>
      </c>
      <c r="D38">
        <v>25109.81675262624</v>
      </c>
      <c r="E38">
        <v>25164.733912812586</v>
      </c>
      <c r="F38">
        <v>25219.64518704552</v>
      </c>
      <c r="G38">
        <v>25274.541764850626</v>
      </c>
      <c r="H38">
        <v>25329.41483434946</v>
      </c>
      <c r="I38">
        <v>17768.978908664292</v>
      </c>
      <c r="J38">
        <v>17807.338642222287</v>
      </c>
      <c r="K38">
        <v>25493.804885647136</v>
      </c>
      <c r="L38">
        <v>25548.495829201689</v>
      </c>
      <c r="M38">
        <v>17922.183466705839</v>
      </c>
      <c r="N38">
        <v>25657.666324691218</v>
      </c>
      <c r="O38">
        <v>25712.128310447646</v>
      </c>
      <c r="P38">
        <v>25766.496428023554</v>
      </c>
      <c r="Q38">
        <v>25820.761922544945</v>
      </c>
      <c r="R38">
        <v>25874.916053205223</v>
      </c>
      <c r="S38">
        <v>25928.950094808049</v>
      </c>
      <c r="T38">
        <v>25982.855339308269</v>
      </c>
      <c r="U38">
        <v>26036.623097350748</v>
      </c>
      <c r="V38">
        <v>26090.24469980675</v>
      </c>
      <c r="W38">
        <v>26143.711499307632</v>
      </c>
      <c r="X38">
        <v>26197.014871775551</v>
      </c>
      <c r="Y38">
        <v>26250.146217950878</v>
      </c>
      <c r="Z38">
        <v>26303.096964916222</v>
      </c>
      <c r="AA38">
        <v>26355.858567616488</v>
      </c>
      <c r="AB38">
        <v>26408.422510375025</v>
      </c>
      <c r="AC38">
        <v>26460.780308405316</v>
      </c>
      <c r="AD38">
        <v>26512.923509318131</v>
      </c>
      <c r="AE38">
        <v>26564.8436946238</v>
      </c>
      <c r="AF38">
        <v>26616.532481229282</v>
      </c>
      <c r="AG38">
        <v>26667.981522929855</v>
      </c>
      <c r="AH38">
        <v>26719.182511895149</v>
      </c>
      <c r="AI38">
        <v>26770.127180149142</v>
      </c>
      <c r="AJ38">
        <v>26820.807301044035</v>
      </c>
      <c r="AK38">
        <v>26871.21469072756</v>
      </c>
      <c r="AL38">
        <v>26921.341209603564</v>
      </c>
      <c r="AM38">
        <v>18879.825134649927</v>
      </c>
      <c r="AN38">
        <v>27020.719306543244</v>
      </c>
      <c r="AO38">
        <v>27069.954839740756</v>
      </c>
      <c r="AP38">
        <v>27118.877415268147</v>
      </c>
      <c r="AQ38">
        <v>27167.47913646403</v>
      </c>
      <c r="AR38">
        <v>19051.02651167112</v>
      </c>
      <c r="AS38">
        <v>27263.688694937566</v>
      </c>
      <c r="AT38">
        <v>27311.281008823513</v>
      </c>
      <c r="AU38">
        <v>27358.521424379818</v>
      </c>
      <c r="AV38">
        <v>27405.40232323145</v>
      </c>
      <c r="AW38">
        <v>19216.341302764056</v>
      </c>
      <c r="AX38">
        <v>12362.553833286331</v>
      </c>
    </row>
    <row r="39" spans="2:50" x14ac:dyDescent="0.2">
      <c r="B39" s="184" t="s">
        <v>105</v>
      </c>
      <c r="C39">
        <v>15032.941508406904</v>
      </c>
      <c r="D39">
        <v>15065.890051575743</v>
      </c>
      <c r="E39">
        <v>15098.84034768755</v>
      </c>
      <c r="F39">
        <v>15131.787112227312</v>
      </c>
      <c r="G39">
        <v>15164.725058910377</v>
      </c>
      <c r="H39">
        <v>15197.648900609674</v>
      </c>
      <c r="I39">
        <v>15230.553350283679</v>
      </c>
      <c r="J39">
        <v>15263.433121904818</v>
      </c>
      <c r="K39">
        <v>15296.282931388283</v>
      </c>
      <c r="L39">
        <v>15329.097497521014</v>
      </c>
      <c r="M39">
        <v>15361.87154289072</v>
      </c>
      <c r="N39">
        <v>15394.599794814729</v>
      </c>
      <c r="O39">
        <v>15427.276986268587</v>
      </c>
      <c r="P39">
        <v>15459.897856814132</v>
      </c>
      <c r="Q39">
        <v>15492.457153526968</v>
      </c>
      <c r="R39">
        <v>15524.949631923135</v>
      </c>
      <c r="S39">
        <v>15557.370056884829</v>
      </c>
      <c r="T39">
        <v>15589.713203584963</v>
      </c>
      <c r="U39">
        <v>15621.973858410449</v>
      </c>
      <c r="V39">
        <v>15654.14681988405</v>
      </c>
      <c r="W39">
        <v>15686.226899584581</v>
      </c>
      <c r="X39">
        <v>15718.208923065331</v>
      </c>
      <c r="Y39">
        <v>15750.087730770527</v>
      </c>
      <c r="Z39">
        <v>15781.858178949733</v>
      </c>
      <c r="AA39">
        <v>11069.460598398924</v>
      </c>
      <c r="AB39">
        <v>6338.021402490006</v>
      </c>
      <c r="AC39">
        <v>6350.5872740172754</v>
      </c>
      <c r="AD39">
        <v>15907.754105590879</v>
      </c>
      <c r="AE39">
        <v>15938.90621677428</v>
      </c>
      <c r="AF39">
        <v>15969.919488737569</v>
      </c>
      <c r="AG39">
        <v>16000.788913757913</v>
      </c>
      <c r="AH39">
        <v>16031.509507137089</v>
      </c>
      <c r="AI39">
        <v>16062.076308089485</v>
      </c>
      <c r="AJ39">
        <v>16092.48438062642</v>
      </c>
      <c r="AK39">
        <v>16122.728814436536</v>
      </c>
      <c r="AL39">
        <v>16152.80472576214</v>
      </c>
      <c r="AM39">
        <v>16182.707258271368</v>
      </c>
      <c r="AN39">
        <v>16212.431583925947</v>
      </c>
      <c r="AO39">
        <v>16241.972903844453</v>
      </c>
      <c r="AP39">
        <v>16271.326449160888</v>
      </c>
      <c r="AQ39">
        <v>16300.487481878417</v>
      </c>
      <c r="AR39">
        <v>16329.451295718105</v>
      </c>
      <c r="AS39">
        <v>11450.749251873776</v>
      </c>
      <c r="AT39">
        <v>11470.738023705875</v>
      </c>
      <c r="AU39">
        <v>16415.112854627889</v>
      </c>
      <c r="AV39">
        <v>16443.241393938872</v>
      </c>
      <c r="AW39">
        <v>16471.149688083475</v>
      </c>
      <c r="AX39">
        <v>16498.833238615145</v>
      </c>
    </row>
    <row r="40" spans="2:50" x14ac:dyDescent="0.2">
      <c r="B40" s="184" t="s">
        <v>106</v>
      </c>
      <c r="C40">
        <v>5010.9805028023011</v>
      </c>
      <c r="D40">
        <v>5021.9633505252477</v>
      </c>
      <c r="E40">
        <v>5032.946782562517</v>
      </c>
      <c r="F40">
        <v>5043.9290374091042</v>
      </c>
      <c r="G40">
        <v>2021.9633411880502</v>
      </c>
      <c r="H40">
        <v>5065.8829668698918</v>
      </c>
      <c r="I40">
        <v>5076.851116761226</v>
      </c>
      <c r="J40">
        <v>5087.8110406349388</v>
      </c>
      <c r="K40">
        <v>5098.7609771294274</v>
      </c>
      <c r="L40">
        <v>5109.6991658403376</v>
      </c>
      <c r="M40">
        <v>5120.6238476302397</v>
      </c>
      <c r="N40">
        <v>5131.5332649382435</v>
      </c>
      <c r="O40">
        <v>5142.4256620895294</v>
      </c>
      <c r="P40">
        <v>5153.2992856047113</v>
      </c>
      <c r="Q40">
        <v>5164.1523845089887</v>
      </c>
      <c r="R40">
        <v>5174.9832106410449</v>
      </c>
      <c r="S40">
        <v>5185.7900189616103</v>
      </c>
      <c r="T40">
        <v>5196.5710678616542</v>
      </c>
      <c r="U40">
        <v>5207.3246194701496</v>
      </c>
      <c r="V40">
        <v>5218.0489399613498</v>
      </c>
      <c r="W40">
        <v>5228.7422998615266</v>
      </c>
      <c r="X40">
        <v>5239.40297435511</v>
      </c>
      <c r="Y40">
        <v>5250.0292435901756</v>
      </c>
      <c r="Z40">
        <v>5260.6193929832443</v>
      </c>
      <c r="AA40">
        <v>5271.1717135232975</v>
      </c>
      <c r="AB40">
        <v>528.16845020750054</v>
      </c>
      <c r="AC40">
        <v>529.21560616810632</v>
      </c>
      <c r="AD40">
        <v>530.25847018636262</v>
      </c>
      <c r="AE40">
        <v>5312.9687389247601</v>
      </c>
      <c r="AF40">
        <v>5323.3064962458566</v>
      </c>
      <c r="AG40">
        <v>5333.5963045859717</v>
      </c>
      <c r="AH40">
        <v>5343.8365023790293</v>
      </c>
      <c r="AI40">
        <v>5354.0254360298286</v>
      </c>
      <c r="AJ40">
        <v>5364.1614602088066</v>
      </c>
      <c r="AK40">
        <v>5374.2429381455113</v>
      </c>
      <c r="AL40">
        <v>5384.2682419207131</v>
      </c>
      <c r="AM40">
        <v>5394.2357527571221</v>
      </c>
      <c r="AN40">
        <v>5404.1438613086484</v>
      </c>
      <c r="AO40">
        <v>5413.9909679481507</v>
      </c>
      <c r="AP40">
        <v>5423.7754830536296</v>
      </c>
      <c r="AQ40">
        <v>5433.4958272928061</v>
      </c>
      <c r="AR40">
        <v>5443.150431906035</v>
      </c>
      <c r="AS40">
        <v>5452.7377389875128</v>
      </c>
      <c r="AT40">
        <v>5462.2562017647024</v>
      </c>
      <c r="AU40">
        <v>5471.7042848759638</v>
      </c>
      <c r="AV40">
        <v>5481.0804646462902</v>
      </c>
      <c r="AW40">
        <v>5490.3832293611586</v>
      </c>
      <c r="AX40">
        <v>5499.611079538382</v>
      </c>
    </row>
    <row r="41" spans="2:50" x14ac:dyDescent="0.2">
      <c r="B41" s="184" t="s">
        <v>107</v>
      </c>
      <c r="C41">
        <v>3006.5883016813805</v>
      </c>
      <c r="D41">
        <v>3013.1780103151486</v>
      </c>
      <c r="E41">
        <v>3019.7680695375102</v>
      </c>
      <c r="F41">
        <v>3026.3574224454624</v>
      </c>
      <c r="G41">
        <v>3032.9450117820752</v>
      </c>
      <c r="H41">
        <v>3039.5297801219349</v>
      </c>
      <c r="I41">
        <v>3046.1106700567357</v>
      </c>
      <c r="J41">
        <v>3052.6866243809636</v>
      </c>
      <c r="K41">
        <v>3059.2565862776564</v>
      </c>
      <c r="L41">
        <v>3065.8194995042027</v>
      </c>
      <c r="M41">
        <v>3072.3743085781439</v>
      </c>
      <c r="N41">
        <v>3078.9199589629461</v>
      </c>
      <c r="O41">
        <v>3085.4553972537178</v>
      </c>
      <c r="P41">
        <v>2164.3856999539785</v>
      </c>
      <c r="Q41">
        <v>2168.9440014937754</v>
      </c>
      <c r="R41">
        <v>2173.4929484692389</v>
      </c>
      <c r="S41">
        <v>2178.031807963876</v>
      </c>
      <c r="T41">
        <v>2182.5598485018945</v>
      </c>
      <c r="U41">
        <v>2187.076340177463</v>
      </c>
      <c r="V41">
        <v>2191.5805547837667</v>
      </c>
      <c r="W41">
        <v>1254.8981519667666</v>
      </c>
      <c r="X41">
        <v>314.36417846130661</v>
      </c>
      <c r="Y41">
        <v>3150.0175461541053</v>
      </c>
      <c r="Z41">
        <v>3156.3716357899466</v>
      </c>
      <c r="AA41">
        <v>3162.7030281139782</v>
      </c>
      <c r="AB41">
        <v>3169.010701245003</v>
      </c>
      <c r="AC41">
        <v>3175.2936370086377</v>
      </c>
      <c r="AD41">
        <v>3181.5508211181759</v>
      </c>
      <c r="AE41">
        <v>3187.7812433548561</v>
      </c>
      <c r="AF41">
        <v>3193.9838977475138</v>
      </c>
      <c r="AG41">
        <v>3200.1577827515825</v>
      </c>
      <c r="AH41">
        <v>3206.3019014274178</v>
      </c>
      <c r="AI41">
        <v>3212.4152616178967</v>
      </c>
      <c r="AJ41">
        <v>3218.496876125284</v>
      </c>
      <c r="AK41">
        <v>3224.5457628873069</v>
      </c>
      <c r="AL41">
        <v>323.05609451524282</v>
      </c>
      <c r="AM41">
        <v>323.65414516542739</v>
      </c>
      <c r="AN41">
        <v>324.24863167851896</v>
      </c>
      <c r="AO41">
        <v>324.83945807688906</v>
      </c>
      <c r="AP41">
        <v>3254.2652898321776</v>
      </c>
      <c r="AQ41">
        <v>3260.0974963756835</v>
      </c>
      <c r="AR41">
        <v>326.58902591436208</v>
      </c>
      <c r="AS41">
        <v>327.16426433925079</v>
      </c>
      <c r="AT41">
        <v>327.73537210588216</v>
      </c>
      <c r="AU41">
        <v>3283.0225709255783</v>
      </c>
      <c r="AV41">
        <v>3288.648278787774</v>
      </c>
      <c r="AW41">
        <v>3294.2299376166952</v>
      </c>
      <c r="AX41">
        <v>3299.7666477230291</v>
      </c>
    </row>
    <row r="42" spans="2:50" x14ac:dyDescent="0.2">
      <c r="B42" s="184" t="s">
        <v>108</v>
      </c>
      <c r="C42">
        <v>10000000</v>
      </c>
      <c r="D42">
        <v>10000000</v>
      </c>
      <c r="E42">
        <v>10000000</v>
      </c>
      <c r="F42">
        <v>10000000</v>
      </c>
      <c r="G42">
        <v>10000000</v>
      </c>
      <c r="H42">
        <v>10000000</v>
      </c>
      <c r="I42">
        <v>10000000</v>
      </c>
      <c r="J42">
        <v>10000000</v>
      </c>
      <c r="K42">
        <v>10000000</v>
      </c>
      <c r="L42">
        <v>10000000</v>
      </c>
      <c r="M42">
        <v>10000000</v>
      </c>
      <c r="N42">
        <v>10000000</v>
      </c>
      <c r="O42">
        <v>10000000</v>
      </c>
      <c r="P42">
        <v>10000000</v>
      </c>
      <c r="Q42">
        <v>10000000</v>
      </c>
      <c r="R42">
        <v>10000000</v>
      </c>
      <c r="S42">
        <v>10000000</v>
      </c>
      <c r="T42">
        <v>10000000</v>
      </c>
      <c r="U42">
        <v>10000000</v>
      </c>
      <c r="V42">
        <v>10000000</v>
      </c>
      <c r="W42">
        <v>10000000</v>
      </c>
      <c r="X42">
        <v>10000000</v>
      </c>
      <c r="Y42">
        <v>10000000</v>
      </c>
      <c r="Z42">
        <v>10000000</v>
      </c>
      <c r="AA42">
        <v>10000000</v>
      </c>
      <c r="AB42">
        <v>10000000</v>
      </c>
      <c r="AC42">
        <v>10000000</v>
      </c>
      <c r="AD42">
        <v>10000000</v>
      </c>
      <c r="AE42">
        <v>10000000</v>
      </c>
      <c r="AF42">
        <v>10000000</v>
      </c>
      <c r="AG42">
        <v>10000000</v>
      </c>
      <c r="AH42">
        <v>10000000</v>
      </c>
      <c r="AI42">
        <v>10000000</v>
      </c>
      <c r="AJ42">
        <v>10000000</v>
      </c>
      <c r="AK42">
        <v>10000000</v>
      </c>
      <c r="AL42">
        <v>10000000</v>
      </c>
      <c r="AM42">
        <v>10000000</v>
      </c>
      <c r="AN42">
        <v>10000000</v>
      </c>
      <c r="AO42">
        <v>10000000</v>
      </c>
      <c r="AP42">
        <v>10000000</v>
      </c>
      <c r="AQ42">
        <v>10000000</v>
      </c>
      <c r="AR42">
        <v>10000000</v>
      </c>
      <c r="AS42">
        <v>10000000</v>
      </c>
      <c r="AT42">
        <v>10000000</v>
      </c>
      <c r="AU42">
        <v>10000000</v>
      </c>
      <c r="AV42">
        <v>10000000</v>
      </c>
      <c r="AW42">
        <v>10000000</v>
      </c>
      <c r="AX42">
        <v>10000000</v>
      </c>
    </row>
    <row r="43" spans="2:50" x14ac:dyDescent="0.2">
      <c r="B43" s="184" t="s">
        <v>109</v>
      </c>
      <c r="C43">
        <v>10000000</v>
      </c>
      <c r="D43">
        <v>10000000</v>
      </c>
      <c r="E43">
        <v>10000000</v>
      </c>
      <c r="F43">
        <v>10000000</v>
      </c>
      <c r="G43">
        <v>10000000</v>
      </c>
      <c r="H43">
        <v>10000000</v>
      </c>
      <c r="I43">
        <v>10000000</v>
      </c>
      <c r="J43">
        <v>10000000</v>
      </c>
      <c r="K43">
        <v>10000000</v>
      </c>
      <c r="L43">
        <v>10000000</v>
      </c>
      <c r="M43">
        <v>10000000</v>
      </c>
      <c r="N43">
        <v>10000000</v>
      </c>
      <c r="O43">
        <v>10000000</v>
      </c>
      <c r="P43">
        <v>10000000</v>
      </c>
      <c r="Q43">
        <v>10000000</v>
      </c>
      <c r="R43">
        <v>10000000</v>
      </c>
      <c r="S43">
        <v>10000000</v>
      </c>
      <c r="T43">
        <v>10000000</v>
      </c>
      <c r="U43">
        <v>10000000</v>
      </c>
      <c r="V43">
        <v>10000000</v>
      </c>
      <c r="W43">
        <v>10000000</v>
      </c>
      <c r="X43">
        <v>10000000</v>
      </c>
      <c r="Y43">
        <v>10000000</v>
      </c>
      <c r="Z43">
        <v>10000000</v>
      </c>
      <c r="AA43">
        <v>10000000</v>
      </c>
      <c r="AB43">
        <v>10000000</v>
      </c>
      <c r="AC43">
        <v>10000000</v>
      </c>
      <c r="AD43">
        <v>10000000</v>
      </c>
      <c r="AE43">
        <v>10000000</v>
      </c>
      <c r="AF43">
        <v>10000000</v>
      </c>
      <c r="AG43">
        <v>10000000</v>
      </c>
      <c r="AH43">
        <v>10000000</v>
      </c>
      <c r="AI43">
        <v>10000000</v>
      </c>
      <c r="AJ43">
        <v>10000000</v>
      </c>
      <c r="AK43">
        <v>10000000</v>
      </c>
      <c r="AL43">
        <v>10000000</v>
      </c>
      <c r="AM43">
        <v>10000000</v>
      </c>
      <c r="AN43">
        <v>10000000</v>
      </c>
      <c r="AO43">
        <v>10000000</v>
      </c>
      <c r="AP43">
        <v>10000000</v>
      </c>
      <c r="AQ43">
        <v>10000000</v>
      </c>
      <c r="AR43">
        <v>10000000</v>
      </c>
      <c r="AS43">
        <v>10000000</v>
      </c>
      <c r="AT43">
        <v>10000000</v>
      </c>
      <c r="AU43">
        <v>10000000</v>
      </c>
      <c r="AV43">
        <v>10000000</v>
      </c>
      <c r="AW43">
        <v>10000000</v>
      </c>
      <c r="AX43">
        <v>10000000</v>
      </c>
    </row>
    <row r="45" spans="2:50" x14ac:dyDescent="0.2">
      <c r="B45" s="118" t="s">
        <v>324</v>
      </c>
    </row>
    <row r="46" spans="2:50" x14ac:dyDescent="0.2">
      <c r="B46" s="116" t="s">
        <v>274</v>
      </c>
      <c r="C46" s="116" t="s">
        <v>92</v>
      </c>
      <c r="D46" s="117"/>
      <c r="E46" s="117"/>
      <c r="F46" s="117"/>
      <c r="G46" s="116" t="s">
        <v>93</v>
      </c>
      <c r="H46" s="117"/>
      <c r="I46" s="117"/>
      <c r="J46" s="117"/>
      <c r="K46" s="116" t="s">
        <v>94</v>
      </c>
      <c r="L46" s="117"/>
      <c r="M46" s="117"/>
      <c r="N46" s="117"/>
      <c r="O46" s="116" t="s">
        <v>95</v>
      </c>
      <c r="P46" s="117"/>
      <c r="Q46" s="117"/>
      <c r="R46" s="117"/>
      <c r="S46" s="116" t="s">
        <v>96</v>
      </c>
      <c r="T46" s="117"/>
      <c r="U46" s="117"/>
      <c r="V46" s="117"/>
      <c r="W46" s="116" t="s">
        <v>97</v>
      </c>
      <c r="X46" s="117"/>
      <c r="Y46" s="117"/>
      <c r="Z46" s="117"/>
      <c r="AA46" s="116" t="s">
        <v>98</v>
      </c>
      <c r="AB46" s="117"/>
      <c r="AC46" s="117"/>
      <c r="AD46" s="117"/>
      <c r="AE46" s="116" t="s">
        <v>99</v>
      </c>
      <c r="AF46" s="117"/>
      <c r="AG46" s="117"/>
      <c r="AH46" s="117"/>
      <c r="AI46" s="116" t="s">
        <v>100</v>
      </c>
      <c r="AJ46" s="117"/>
      <c r="AK46" s="117"/>
      <c r="AL46" s="117"/>
      <c r="AM46" s="116" t="s">
        <v>101</v>
      </c>
      <c r="AN46" s="117"/>
      <c r="AO46" s="117"/>
      <c r="AP46" s="117"/>
      <c r="AQ46" s="116" t="s">
        <v>102</v>
      </c>
      <c r="AR46" s="117"/>
      <c r="AS46" s="117"/>
      <c r="AT46" s="117"/>
      <c r="AU46" s="116" t="s">
        <v>103</v>
      </c>
      <c r="AV46" s="117"/>
      <c r="AW46" s="117"/>
    </row>
    <row r="47" spans="2:50" x14ac:dyDescent="0.2">
      <c r="B47" s="116" t="s">
        <v>325</v>
      </c>
      <c r="C47" s="116">
        <v>1</v>
      </c>
      <c r="D47" s="116">
        <v>2</v>
      </c>
      <c r="E47" s="116">
        <v>3</v>
      </c>
      <c r="F47" s="116">
        <v>4</v>
      </c>
      <c r="G47" s="116">
        <v>1</v>
      </c>
      <c r="H47" s="116">
        <v>2</v>
      </c>
      <c r="I47" s="116">
        <v>3</v>
      </c>
      <c r="J47" s="116">
        <v>4</v>
      </c>
      <c r="K47" s="116">
        <v>1</v>
      </c>
      <c r="L47" s="116">
        <v>2</v>
      </c>
      <c r="M47" s="116">
        <v>3</v>
      </c>
      <c r="N47" s="116">
        <v>4</v>
      </c>
      <c r="O47" s="116">
        <v>1</v>
      </c>
      <c r="P47" s="116">
        <v>2</v>
      </c>
      <c r="Q47" s="116">
        <v>3</v>
      </c>
      <c r="R47" s="116">
        <v>4</v>
      </c>
      <c r="S47" s="116">
        <v>1</v>
      </c>
      <c r="T47" s="116">
        <v>2</v>
      </c>
      <c r="U47" s="116">
        <v>3</v>
      </c>
      <c r="V47" s="116">
        <v>4</v>
      </c>
      <c r="W47" s="116">
        <v>1</v>
      </c>
      <c r="X47" s="116">
        <v>2</v>
      </c>
      <c r="Y47" s="116">
        <v>3</v>
      </c>
      <c r="Z47" s="116">
        <v>4</v>
      </c>
      <c r="AA47" s="116">
        <v>1</v>
      </c>
      <c r="AB47" s="116">
        <v>2</v>
      </c>
      <c r="AC47" s="116">
        <v>3</v>
      </c>
      <c r="AD47" s="116">
        <v>4</v>
      </c>
      <c r="AE47" s="116">
        <v>1</v>
      </c>
      <c r="AF47" s="116">
        <v>2</v>
      </c>
      <c r="AG47" s="116">
        <v>3</v>
      </c>
      <c r="AH47" s="116">
        <v>4</v>
      </c>
      <c r="AI47" s="116">
        <v>1</v>
      </c>
      <c r="AJ47" s="116">
        <v>2</v>
      </c>
      <c r="AK47" s="116">
        <v>3</v>
      </c>
      <c r="AL47" s="116">
        <v>4</v>
      </c>
      <c r="AM47" s="116">
        <v>1</v>
      </c>
      <c r="AN47" s="116">
        <v>2</v>
      </c>
      <c r="AO47" s="116">
        <v>3</v>
      </c>
      <c r="AP47" s="116">
        <v>4</v>
      </c>
      <c r="AQ47" s="116">
        <v>1</v>
      </c>
      <c r="AR47" s="116">
        <v>2</v>
      </c>
      <c r="AS47" s="116">
        <v>3</v>
      </c>
      <c r="AT47" s="116">
        <v>4</v>
      </c>
      <c r="AU47" s="116">
        <v>1</v>
      </c>
      <c r="AV47" s="116">
        <v>2</v>
      </c>
      <c r="AW47" s="116">
        <v>3</v>
      </c>
      <c r="AX47" s="116">
        <v>4</v>
      </c>
    </row>
    <row r="48" spans="2:50" x14ac:dyDescent="0.2">
      <c r="B48" s="116" t="s">
        <v>104</v>
      </c>
      <c r="C48">
        <v>1527.5662318969544</v>
      </c>
      <c r="D48">
        <v>1527.5662318969544</v>
      </c>
      <c r="E48">
        <v>1527.5662318969544</v>
      </c>
      <c r="F48">
        <v>1527.5662318969544</v>
      </c>
      <c r="G48">
        <v>1145.6746739227158</v>
      </c>
      <c r="H48">
        <v>1145.6746739227158</v>
      </c>
      <c r="I48">
        <v>1145.6746739227158</v>
      </c>
      <c r="J48">
        <v>1145.6746739227158</v>
      </c>
      <c r="K48">
        <v>1527.5662318969544</v>
      </c>
      <c r="L48">
        <v>1527.5662318969544</v>
      </c>
      <c r="M48">
        <v>1527.5662318969544</v>
      </c>
      <c r="N48">
        <v>1527.5662318969544</v>
      </c>
      <c r="O48">
        <v>1527.5662318969544</v>
      </c>
      <c r="P48">
        <v>1527.5662318969544</v>
      </c>
      <c r="Q48">
        <v>1527.5662318969544</v>
      </c>
      <c r="R48">
        <v>1527.5662318969544</v>
      </c>
      <c r="S48">
        <v>1527.5662318969544</v>
      </c>
      <c r="T48">
        <v>1527.5662318969544</v>
      </c>
      <c r="U48">
        <v>1527.5662318969544</v>
      </c>
      <c r="V48">
        <v>1527.5662318969544</v>
      </c>
      <c r="W48">
        <v>1527.5662318969544</v>
      </c>
      <c r="X48">
        <v>1527.5662318969544</v>
      </c>
      <c r="Y48">
        <v>1527.5662318969544</v>
      </c>
      <c r="Z48">
        <v>1527.5662318969544</v>
      </c>
      <c r="AA48">
        <v>1527.5662318969544</v>
      </c>
      <c r="AB48">
        <v>1527.5662318969544</v>
      </c>
      <c r="AC48">
        <v>1527.5662318969544</v>
      </c>
      <c r="AD48">
        <v>1527.5662318969544</v>
      </c>
      <c r="AE48">
        <v>1527.5662318969544</v>
      </c>
      <c r="AF48">
        <v>1527.5662318969544</v>
      </c>
      <c r="AG48">
        <v>1527.5662318969544</v>
      </c>
      <c r="AH48">
        <v>1527.5662318969544</v>
      </c>
      <c r="AI48">
        <v>1527.5662318969544</v>
      </c>
      <c r="AJ48">
        <v>1527.5662318969544</v>
      </c>
      <c r="AK48">
        <v>1527.5662318969544</v>
      </c>
      <c r="AL48">
        <v>1527.5662318969544</v>
      </c>
      <c r="AM48">
        <v>1527.5662318969544</v>
      </c>
      <c r="AN48">
        <v>1527.5662318969544</v>
      </c>
      <c r="AO48">
        <v>1527.5662318969544</v>
      </c>
      <c r="AP48">
        <v>1527.5662318969544</v>
      </c>
      <c r="AQ48">
        <v>1527.5662318969544</v>
      </c>
      <c r="AR48">
        <v>1527.5662318969544</v>
      </c>
      <c r="AS48">
        <v>1527.5662318969544</v>
      </c>
      <c r="AT48">
        <v>1527.5662318969544</v>
      </c>
      <c r="AU48">
        <v>1145.6746739227158</v>
      </c>
      <c r="AV48">
        <v>1145.6746739227158</v>
      </c>
      <c r="AW48">
        <v>1145.6746739227158</v>
      </c>
      <c r="AX48">
        <v>1145.6746739227158</v>
      </c>
    </row>
    <row r="49" spans="2:51" x14ac:dyDescent="0.2">
      <c r="B49" s="116" t="s">
        <v>105</v>
      </c>
      <c r="C49">
        <v>1611.4385541512133</v>
      </c>
      <c r="D49">
        <v>1611.4385541512133</v>
      </c>
      <c r="E49">
        <v>1611.4385541512133</v>
      </c>
      <c r="F49">
        <v>1611.4385541512133</v>
      </c>
      <c r="G49">
        <v>1208.5789156134101</v>
      </c>
      <c r="H49">
        <v>1208.5789156134101</v>
      </c>
      <c r="I49">
        <v>1208.5789156134101</v>
      </c>
      <c r="J49">
        <v>1208.5789156134101</v>
      </c>
      <c r="K49">
        <v>1611.4385541512133</v>
      </c>
      <c r="L49">
        <v>1611.4385541512133</v>
      </c>
      <c r="M49">
        <v>1611.4385541512133</v>
      </c>
      <c r="N49">
        <v>1611.4385541512133</v>
      </c>
      <c r="O49">
        <v>1208.5789156134101</v>
      </c>
      <c r="P49">
        <v>1208.5789156134101</v>
      </c>
      <c r="Q49">
        <v>1208.5789156134101</v>
      </c>
      <c r="R49">
        <v>1208.5789156134101</v>
      </c>
      <c r="S49">
        <v>1611.4385541512133</v>
      </c>
      <c r="T49">
        <v>1611.4385541512133</v>
      </c>
      <c r="U49">
        <v>1611.4385541512133</v>
      </c>
      <c r="V49">
        <v>1611.4385541512133</v>
      </c>
      <c r="W49">
        <v>1611.4385541512133</v>
      </c>
      <c r="X49">
        <v>1611.4385541512133</v>
      </c>
      <c r="Y49">
        <v>1611.4385541512133</v>
      </c>
      <c r="Z49">
        <v>1611.4385541512133</v>
      </c>
      <c r="AA49">
        <v>1208.5789156134101</v>
      </c>
      <c r="AB49">
        <v>1208.5789156134101</v>
      </c>
      <c r="AC49">
        <v>1208.5789156134101</v>
      </c>
      <c r="AD49">
        <v>1208.5789156134101</v>
      </c>
      <c r="AE49">
        <v>1611.4385541512133</v>
      </c>
      <c r="AF49">
        <v>1611.4385541512133</v>
      </c>
      <c r="AG49">
        <v>1611.4385541512133</v>
      </c>
      <c r="AH49">
        <v>1611.4385541512133</v>
      </c>
      <c r="AI49">
        <v>1611.4385541512133</v>
      </c>
      <c r="AJ49">
        <v>1611.4385541512133</v>
      </c>
      <c r="AK49">
        <v>1611.4385541512133</v>
      </c>
      <c r="AL49">
        <v>1611.4385541512133</v>
      </c>
      <c r="AM49">
        <v>1611.4385541512133</v>
      </c>
      <c r="AN49">
        <v>1611.4385541512133</v>
      </c>
      <c r="AO49">
        <v>1611.4385541512133</v>
      </c>
      <c r="AP49">
        <v>1611.4385541512133</v>
      </c>
      <c r="AQ49">
        <v>1208.5789156134101</v>
      </c>
      <c r="AR49">
        <v>1208.5789156134101</v>
      </c>
      <c r="AS49">
        <v>1208.5789156134101</v>
      </c>
      <c r="AT49">
        <v>1208.5789156134101</v>
      </c>
      <c r="AU49">
        <v>1611.4385541512133</v>
      </c>
      <c r="AV49">
        <v>1611.4385541512133</v>
      </c>
      <c r="AW49">
        <v>1611.4385541512133</v>
      </c>
      <c r="AX49">
        <v>1611.4385541512133</v>
      </c>
    </row>
    <row r="50" spans="2:51" x14ac:dyDescent="0.2">
      <c r="B50" s="116" t="s">
        <v>106</v>
      </c>
      <c r="C50">
        <v>1091.976936098192</v>
      </c>
      <c r="D50">
        <v>1091.976936098192</v>
      </c>
      <c r="E50">
        <v>1091.976936098192</v>
      </c>
      <c r="F50">
        <v>1091.976936098192</v>
      </c>
      <c r="G50">
        <v>1091.976936098192</v>
      </c>
      <c r="H50">
        <v>1091.976936098192</v>
      </c>
      <c r="I50">
        <v>1091.976936098192</v>
      </c>
      <c r="J50">
        <v>1091.976936098192</v>
      </c>
      <c r="K50">
        <v>1091.976936098192</v>
      </c>
      <c r="L50">
        <v>1091.976936098192</v>
      </c>
      <c r="M50">
        <v>1091.976936098192</v>
      </c>
      <c r="N50">
        <v>1091.976936098192</v>
      </c>
      <c r="O50">
        <v>1091.976936098192</v>
      </c>
      <c r="P50">
        <v>1091.976936098192</v>
      </c>
      <c r="Q50">
        <v>1091.976936098192</v>
      </c>
      <c r="R50">
        <v>1091.976936098192</v>
      </c>
      <c r="S50">
        <v>1091.976936098192</v>
      </c>
      <c r="T50">
        <v>1091.976936098192</v>
      </c>
      <c r="U50">
        <v>1091.976936098192</v>
      </c>
      <c r="V50">
        <v>1091.976936098192</v>
      </c>
      <c r="W50">
        <v>1091.976936098192</v>
      </c>
      <c r="X50">
        <v>1091.976936098192</v>
      </c>
      <c r="Y50">
        <v>1091.976936098192</v>
      </c>
      <c r="Z50">
        <v>1091.976936098192</v>
      </c>
      <c r="AA50">
        <v>1091.976936098192</v>
      </c>
      <c r="AB50">
        <v>528.16845020750054</v>
      </c>
      <c r="AC50">
        <v>529.21560616810632</v>
      </c>
      <c r="AD50">
        <v>530.25847018636262</v>
      </c>
      <c r="AE50">
        <v>1091.976936098192</v>
      </c>
      <c r="AF50">
        <v>1091.976936098192</v>
      </c>
      <c r="AG50">
        <v>1091.976936098192</v>
      </c>
      <c r="AH50">
        <v>1091.976936098192</v>
      </c>
      <c r="AI50">
        <v>1091.976936098192</v>
      </c>
      <c r="AJ50">
        <v>1091.976936098192</v>
      </c>
      <c r="AK50">
        <v>1091.976936098192</v>
      </c>
      <c r="AL50">
        <v>1091.976936098192</v>
      </c>
      <c r="AM50">
        <v>1455.9692481309228</v>
      </c>
      <c r="AN50">
        <v>1455.9692481309228</v>
      </c>
      <c r="AO50">
        <v>1455.9692481309228</v>
      </c>
      <c r="AP50">
        <v>1455.9692481309228</v>
      </c>
      <c r="AQ50">
        <v>1455.9692481309228</v>
      </c>
      <c r="AR50">
        <v>1455.9692481309228</v>
      </c>
      <c r="AS50">
        <v>1455.9692481309228</v>
      </c>
      <c r="AT50">
        <v>1455.9692481309228</v>
      </c>
      <c r="AU50">
        <v>1091.976936098192</v>
      </c>
      <c r="AV50">
        <v>1091.976936098192</v>
      </c>
      <c r="AW50">
        <v>1091.976936098192</v>
      </c>
      <c r="AX50">
        <v>1091.976936098192</v>
      </c>
      <c r="AY50" s="126"/>
    </row>
    <row r="51" spans="2:51" x14ac:dyDescent="0.2">
      <c r="B51" s="116" t="s">
        <v>107</v>
      </c>
      <c r="C51">
        <v>1527.5662318969544</v>
      </c>
      <c r="D51">
        <v>1527.5662318969544</v>
      </c>
      <c r="E51">
        <v>1527.5662318969544</v>
      </c>
      <c r="F51">
        <v>1527.5662318969544</v>
      </c>
      <c r="G51">
        <v>1527.5662318969544</v>
      </c>
      <c r="H51">
        <v>1527.5662318969544</v>
      </c>
      <c r="I51">
        <v>1527.5662318969544</v>
      </c>
      <c r="J51">
        <v>1527.5662318969544</v>
      </c>
      <c r="K51">
        <v>1527.5662318969544</v>
      </c>
      <c r="L51">
        <v>1527.5662318969544</v>
      </c>
      <c r="M51">
        <v>1527.5662318969544</v>
      </c>
      <c r="N51">
        <v>1527.5662318969544</v>
      </c>
      <c r="O51">
        <v>1145.6746739227158</v>
      </c>
      <c r="P51">
        <v>1145.6746739227158</v>
      </c>
      <c r="Q51">
        <v>1145.6746739227158</v>
      </c>
      <c r="R51">
        <v>1145.6746739227158</v>
      </c>
      <c r="S51">
        <v>1145.6746739227158</v>
      </c>
      <c r="T51">
        <v>1145.6746739227158</v>
      </c>
      <c r="U51">
        <v>1145.6746739227158</v>
      </c>
      <c r="V51">
        <v>1145.6746739227158</v>
      </c>
      <c r="W51">
        <v>1145.6746739227158</v>
      </c>
      <c r="X51">
        <v>314.36417846130661</v>
      </c>
      <c r="Y51">
        <v>1145.6746739227158</v>
      </c>
      <c r="Z51">
        <v>1145.6746739227158</v>
      </c>
      <c r="AA51">
        <v>1527.5662318969544</v>
      </c>
      <c r="AB51">
        <v>1527.5662318969544</v>
      </c>
      <c r="AC51">
        <v>1527.5662318969544</v>
      </c>
      <c r="AD51">
        <v>1527.5662318969544</v>
      </c>
      <c r="AE51">
        <v>1527.5662318969544</v>
      </c>
      <c r="AF51">
        <v>1527.5662318969544</v>
      </c>
      <c r="AG51">
        <v>1527.5662318969544</v>
      </c>
      <c r="AH51">
        <v>1527.5662318969544</v>
      </c>
      <c r="AI51">
        <v>1145.6746739227158</v>
      </c>
      <c r="AJ51">
        <v>1145.6746739227158</v>
      </c>
      <c r="AK51">
        <v>1145.6746739227158</v>
      </c>
      <c r="AL51">
        <v>323.05609451524282</v>
      </c>
      <c r="AM51">
        <v>323.65414516542739</v>
      </c>
      <c r="AN51">
        <v>324.24863167851896</v>
      </c>
      <c r="AO51">
        <v>324.83945807688906</v>
      </c>
      <c r="AP51">
        <v>1145.6746739227158</v>
      </c>
      <c r="AQ51">
        <v>1145.6746739227158</v>
      </c>
      <c r="AR51">
        <v>326.58902591436208</v>
      </c>
      <c r="AS51">
        <v>327.16426433925079</v>
      </c>
      <c r="AT51">
        <v>327.73537210588216</v>
      </c>
      <c r="AU51">
        <v>1527.5662318969544</v>
      </c>
      <c r="AV51">
        <v>1527.5662318969544</v>
      </c>
      <c r="AW51">
        <v>1527.5662318969544</v>
      </c>
      <c r="AX51">
        <v>1527.5662318969544</v>
      </c>
      <c r="AY51" s="9"/>
    </row>
    <row r="52" spans="2:51" x14ac:dyDescent="0.2">
      <c r="B52" s="116" t="s">
        <v>108</v>
      </c>
      <c r="C52">
        <v>1208.5789156134101</v>
      </c>
      <c r="D52">
        <v>1208.5789156134101</v>
      </c>
      <c r="E52">
        <v>1208.5789156134101</v>
      </c>
      <c r="F52">
        <v>1208.5789156134101</v>
      </c>
      <c r="G52">
        <v>1208.5789156134101</v>
      </c>
      <c r="H52">
        <v>1208.5789156134101</v>
      </c>
      <c r="I52">
        <v>1208.5789156134101</v>
      </c>
      <c r="J52">
        <v>1208.5789156134101</v>
      </c>
      <c r="K52">
        <v>1208.5789156134101</v>
      </c>
      <c r="L52">
        <v>1208.5789156134101</v>
      </c>
      <c r="M52">
        <v>1208.5789156134101</v>
      </c>
      <c r="N52">
        <v>1208.5789156134101</v>
      </c>
      <c r="O52">
        <v>1208.5789156134101</v>
      </c>
      <c r="P52">
        <v>1208.5789156134101</v>
      </c>
      <c r="Q52">
        <v>1208.5789156134101</v>
      </c>
      <c r="R52">
        <v>1208.5789156134101</v>
      </c>
      <c r="S52">
        <v>1208.5789156134101</v>
      </c>
      <c r="T52">
        <v>1208.5789156134101</v>
      </c>
      <c r="U52">
        <v>1208.5789156134101</v>
      </c>
      <c r="V52">
        <v>1208.5789156134101</v>
      </c>
      <c r="W52">
        <v>1208.5789156134101</v>
      </c>
      <c r="X52">
        <v>1208.5789156134101</v>
      </c>
      <c r="Y52">
        <v>1208.5789156134101</v>
      </c>
      <c r="Z52">
        <v>1208.5789156134101</v>
      </c>
      <c r="AA52">
        <v>1208.5789156134101</v>
      </c>
      <c r="AB52">
        <v>1208.5789156134101</v>
      </c>
      <c r="AC52">
        <v>1208.5789156134101</v>
      </c>
      <c r="AD52">
        <v>1208.5789156134101</v>
      </c>
      <c r="AE52">
        <v>1208.5789156134101</v>
      </c>
      <c r="AF52">
        <v>1208.5789156134101</v>
      </c>
      <c r="AG52">
        <v>1208.5789156134101</v>
      </c>
      <c r="AH52">
        <v>1208.5789156134101</v>
      </c>
      <c r="AI52">
        <v>1208.5789156134101</v>
      </c>
      <c r="AJ52">
        <v>1208.5789156134101</v>
      </c>
      <c r="AK52">
        <v>1208.5789156134101</v>
      </c>
      <c r="AL52">
        <v>1208.5789156134101</v>
      </c>
      <c r="AM52">
        <v>1208.5789156134101</v>
      </c>
      <c r="AN52">
        <v>1208.5789156134101</v>
      </c>
      <c r="AO52">
        <v>1208.5789156134101</v>
      </c>
      <c r="AP52">
        <v>1208.5789156134101</v>
      </c>
      <c r="AQ52">
        <v>1208.5789156134101</v>
      </c>
      <c r="AR52">
        <v>1208.5789156134101</v>
      </c>
      <c r="AS52">
        <v>1208.5789156134101</v>
      </c>
      <c r="AT52">
        <v>1208.5789156134101</v>
      </c>
      <c r="AU52">
        <v>1208.5789156134101</v>
      </c>
      <c r="AV52">
        <v>1208.5789156134101</v>
      </c>
      <c r="AW52">
        <v>1208.5789156134101</v>
      </c>
      <c r="AX52">
        <v>1208.5789156134101</v>
      </c>
    </row>
    <row r="53" spans="2:51" x14ac:dyDescent="0.2">
      <c r="B53" s="116" t="s">
        <v>109</v>
      </c>
      <c r="C53">
        <v>1091.976936098192</v>
      </c>
      <c r="D53">
        <v>1091.976936098192</v>
      </c>
      <c r="E53">
        <v>1091.976936098192</v>
      </c>
      <c r="F53">
        <v>1091.976936098192</v>
      </c>
      <c r="G53">
        <v>1091.976936098192</v>
      </c>
      <c r="H53">
        <v>1091.976936098192</v>
      </c>
      <c r="I53">
        <v>1091.976936098192</v>
      </c>
      <c r="J53">
        <v>1091.976936098192</v>
      </c>
      <c r="K53">
        <v>1455.9692481309228</v>
      </c>
      <c r="L53">
        <v>1455.9692481309228</v>
      </c>
      <c r="M53">
        <v>1455.9692481309228</v>
      </c>
      <c r="N53">
        <v>1455.9692481309228</v>
      </c>
      <c r="O53">
        <v>1455.9692481309228</v>
      </c>
      <c r="P53">
        <v>1455.9692481309228</v>
      </c>
      <c r="Q53">
        <v>1455.9692481309228</v>
      </c>
      <c r="R53">
        <v>1455.9692481309228</v>
      </c>
      <c r="S53">
        <v>1455.9692481309228</v>
      </c>
      <c r="T53">
        <v>1455.9692481309228</v>
      </c>
      <c r="U53">
        <v>1455.9692481309228</v>
      </c>
      <c r="V53">
        <v>1455.9692481309228</v>
      </c>
      <c r="W53">
        <v>1091.976936098192</v>
      </c>
      <c r="X53">
        <v>1091.976936098192</v>
      </c>
      <c r="Y53">
        <v>1091.976936098192</v>
      </c>
      <c r="Z53">
        <v>1091.976936098192</v>
      </c>
      <c r="AA53">
        <v>1091.976936098192</v>
      </c>
      <c r="AB53">
        <v>1091.976936098192</v>
      </c>
      <c r="AC53">
        <v>1091.976936098192</v>
      </c>
      <c r="AD53">
        <v>1091.976936098192</v>
      </c>
      <c r="AE53">
        <v>1091.976936098192</v>
      </c>
      <c r="AF53">
        <v>1091.976936098192</v>
      </c>
      <c r="AG53">
        <v>1091.976936098192</v>
      </c>
      <c r="AH53">
        <v>1091.976936098192</v>
      </c>
      <c r="AI53">
        <v>1091.976936098192</v>
      </c>
      <c r="AJ53">
        <v>1091.976936098192</v>
      </c>
      <c r="AK53">
        <v>1091.976936098192</v>
      </c>
      <c r="AL53">
        <v>1091.976936098192</v>
      </c>
      <c r="AM53">
        <v>1091.976936098192</v>
      </c>
      <c r="AN53">
        <v>1091.976936098192</v>
      </c>
      <c r="AO53">
        <v>1091.976936098192</v>
      </c>
      <c r="AP53">
        <v>1091.976936098192</v>
      </c>
      <c r="AQ53">
        <v>1091.976936098192</v>
      </c>
      <c r="AR53">
        <v>1091.976936098192</v>
      </c>
      <c r="AS53">
        <v>1091.976936098192</v>
      </c>
      <c r="AT53">
        <v>1091.976936098192</v>
      </c>
      <c r="AU53">
        <v>1091.976936098192</v>
      </c>
      <c r="AV53">
        <v>1091.976936098192</v>
      </c>
      <c r="AW53">
        <v>1091.976936098192</v>
      </c>
      <c r="AX53">
        <v>1091.976936098192</v>
      </c>
    </row>
    <row r="55" spans="2:51" x14ac:dyDescent="0.2">
      <c r="B55" s="53" t="s">
        <v>326</v>
      </c>
      <c r="C55" s="29"/>
      <c r="D55" s="29"/>
      <c r="E55" s="29"/>
      <c r="F55" s="29"/>
      <c r="G55" s="29"/>
      <c r="H55" s="29"/>
      <c r="I55" s="29"/>
      <c r="J55" s="29"/>
      <c r="K55" s="29"/>
      <c r="L55" s="29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29"/>
      <c r="X55" s="29"/>
      <c r="Y55" s="29"/>
      <c r="Z55" s="29"/>
      <c r="AA55" s="29"/>
      <c r="AB55" s="29"/>
      <c r="AC55" s="29"/>
      <c r="AD55" s="29"/>
      <c r="AE55" s="29"/>
      <c r="AF55" s="29"/>
      <c r="AG55" s="29"/>
      <c r="AH55" s="29"/>
      <c r="AI55" s="29"/>
      <c r="AJ55" s="29"/>
      <c r="AK55" s="29"/>
      <c r="AL55" s="29"/>
      <c r="AM55" s="29"/>
      <c r="AN55" s="29"/>
      <c r="AO55" s="29"/>
      <c r="AP55" s="29"/>
      <c r="AQ55" s="29"/>
      <c r="AR55" s="29"/>
      <c r="AS55" s="29"/>
      <c r="AT55" s="29"/>
      <c r="AU55" s="29"/>
      <c r="AV55" s="29"/>
      <c r="AW55" s="29"/>
      <c r="AX55" s="29"/>
    </row>
    <row r="56" spans="2:51" x14ac:dyDescent="0.2">
      <c r="B56" s="120" t="s">
        <v>274</v>
      </c>
      <c r="C56" s="120" t="s">
        <v>92</v>
      </c>
      <c r="D56" s="117"/>
      <c r="E56" s="117"/>
      <c r="F56" s="117"/>
      <c r="G56" s="120" t="s">
        <v>93</v>
      </c>
      <c r="H56" s="117"/>
      <c r="I56" s="117"/>
      <c r="J56" s="117"/>
      <c r="K56" s="120" t="s">
        <v>94</v>
      </c>
      <c r="L56" s="117"/>
      <c r="M56" s="117"/>
      <c r="N56" s="117"/>
      <c r="O56" s="120" t="s">
        <v>95</v>
      </c>
      <c r="P56" s="117"/>
      <c r="Q56" s="117"/>
      <c r="R56" s="117"/>
      <c r="S56" s="120" t="s">
        <v>96</v>
      </c>
      <c r="T56" s="117"/>
      <c r="U56" s="117"/>
      <c r="V56" s="117"/>
      <c r="W56" s="120" t="s">
        <v>97</v>
      </c>
      <c r="X56" s="117"/>
      <c r="Y56" s="117"/>
      <c r="Z56" s="117"/>
      <c r="AA56" s="120" t="s">
        <v>98</v>
      </c>
      <c r="AB56" s="117"/>
      <c r="AC56" s="117"/>
      <c r="AD56" s="117"/>
      <c r="AE56" s="120" t="s">
        <v>99</v>
      </c>
      <c r="AF56" s="117"/>
      <c r="AG56" s="117"/>
      <c r="AH56" s="117"/>
      <c r="AI56" s="120" t="s">
        <v>100</v>
      </c>
      <c r="AJ56" s="117"/>
      <c r="AK56" s="117"/>
      <c r="AL56" s="117"/>
      <c r="AM56" s="120" t="s">
        <v>101</v>
      </c>
      <c r="AN56" s="117"/>
      <c r="AO56" s="117"/>
      <c r="AP56" s="117"/>
      <c r="AQ56" s="120" t="s">
        <v>102</v>
      </c>
      <c r="AR56" s="117"/>
      <c r="AS56" s="117"/>
      <c r="AT56" s="117"/>
      <c r="AU56" s="120" t="s">
        <v>103</v>
      </c>
      <c r="AV56" s="117"/>
      <c r="AW56" s="117"/>
    </row>
    <row r="57" spans="2:51" x14ac:dyDescent="0.2">
      <c r="B57" s="120" t="s">
        <v>325</v>
      </c>
      <c r="C57" s="120">
        <v>1</v>
      </c>
      <c r="D57" s="120">
        <v>2</v>
      </c>
      <c r="E57" s="120">
        <v>3</v>
      </c>
      <c r="F57" s="120">
        <v>4</v>
      </c>
      <c r="G57" s="120">
        <v>1</v>
      </c>
      <c r="H57" s="120">
        <v>2</v>
      </c>
      <c r="I57" s="120">
        <v>3</v>
      </c>
      <c r="J57" s="120">
        <v>4</v>
      </c>
      <c r="K57" s="120">
        <v>1</v>
      </c>
      <c r="L57" s="120">
        <v>2</v>
      </c>
      <c r="M57" s="120">
        <v>3</v>
      </c>
      <c r="N57" s="120">
        <v>4</v>
      </c>
      <c r="O57" s="120">
        <v>1</v>
      </c>
      <c r="P57" s="120">
        <v>2</v>
      </c>
      <c r="Q57" s="120">
        <v>3</v>
      </c>
      <c r="R57" s="120">
        <v>4</v>
      </c>
      <c r="S57" s="120">
        <v>1</v>
      </c>
      <c r="T57" s="120">
        <v>2</v>
      </c>
      <c r="U57" s="120">
        <v>3</v>
      </c>
      <c r="V57" s="120">
        <v>4</v>
      </c>
      <c r="W57" s="120">
        <v>1</v>
      </c>
      <c r="X57" s="120">
        <v>2</v>
      </c>
      <c r="Y57" s="120">
        <v>3</v>
      </c>
      <c r="Z57" s="120">
        <v>4</v>
      </c>
      <c r="AA57" s="120">
        <v>1</v>
      </c>
      <c r="AB57" s="120">
        <v>2</v>
      </c>
      <c r="AC57" s="120">
        <v>3</v>
      </c>
      <c r="AD57" s="120">
        <v>4</v>
      </c>
      <c r="AE57" s="120">
        <v>1</v>
      </c>
      <c r="AF57" s="120">
        <v>2</v>
      </c>
      <c r="AG57" s="120">
        <v>3</v>
      </c>
      <c r="AH57" s="120">
        <v>4</v>
      </c>
      <c r="AI57" s="120">
        <v>1</v>
      </c>
      <c r="AJ57" s="120">
        <v>2</v>
      </c>
      <c r="AK57" s="120">
        <v>3</v>
      </c>
      <c r="AL57" s="120">
        <v>4</v>
      </c>
      <c r="AM57" s="120">
        <v>1</v>
      </c>
      <c r="AN57" s="120">
        <v>2</v>
      </c>
      <c r="AO57" s="120">
        <v>3</v>
      </c>
      <c r="AP57" s="120">
        <v>4</v>
      </c>
      <c r="AQ57" s="120">
        <v>1</v>
      </c>
      <c r="AR57" s="120">
        <v>2</v>
      </c>
      <c r="AS57" s="120">
        <v>3</v>
      </c>
      <c r="AT57" s="120">
        <v>4</v>
      </c>
      <c r="AU57" s="120">
        <v>1</v>
      </c>
      <c r="AV57" s="120">
        <v>2</v>
      </c>
      <c r="AW57" s="120">
        <v>3</v>
      </c>
      <c r="AX57" s="120">
        <v>4</v>
      </c>
    </row>
    <row r="58" spans="2:51" x14ac:dyDescent="0.2">
      <c r="B58" s="120" t="s">
        <v>104</v>
      </c>
      <c r="C58">
        <v>1884755.0763162731</v>
      </c>
      <c r="D58">
        <v>1884755.0763162731</v>
      </c>
      <c r="E58">
        <v>1884755.0763162731</v>
      </c>
      <c r="F58">
        <v>1884755.0763162731</v>
      </c>
      <c r="G58">
        <v>1622360.8775641227</v>
      </c>
      <c r="H58">
        <v>1622360.8775641227</v>
      </c>
      <c r="I58">
        <v>1622360.8775641227</v>
      </c>
      <c r="J58">
        <v>1622360.8775641227</v>
      </c>
      <c r="K58">
        <v>2000993.2648055647</v>
      </c>
      <c r="L58">
        <v>2000993.2648055647</v>
      </c>
      <c r="M58">
        <v>2000993.2648055647</v>
      </c>
      <c r="N58">
        <v>2000993.2648055647</v>
      </c>
      <c r="O58">
        <v>1972305.3404854643</v>
      </c>
      <c r="P58">
        <v>1972305.3404854643</v>
      </c>
      <c r="Q58">
        <v>1972305.3404854643</v>
      </c>
      <c r="R58">
        <v>1972305.3404854643</v>
      </c>
      <c r="S58">
        <v>1804674.5633560815</v>
      </c>
      <c r="T58">
        <v>1804674.5633560815</v>
      </c>
      <c r="U58">
        <v>1804674.5633560815</v>
      </c>
      <c r="V58">
        <v>1804674.5633560815</v>
      </c>
      <c r="W58">
        <v>2038859.1295492377</v>
      </c>
      <c r="X58">
        <v>2038859.1295492377</v>
      </c>
      <c r="Y58">
        <v>2038859.1295492377</v>
      </c>
      <c r="Z58">
        <v>2038859.1295492377</v>
      </c>
      <c r="AA58">
        <v>1977993.3650194516</v>
      </c>
      <c r="AB58">
        <v>1977993.3650194516</v>
      </c>
      <c r="AC58">
        <v>1977993.3650194516</v>
      </c>
      <c r="AD58">
        <v>1977993.3650194516</v>
      </c>
      <c r="AE58">
        <v>2060445.1234528087</v>
      </c>
      <c r="AF58">
        <v>2060445.1234528087</v>
      </c>
      <c r="AG58">
        <v>2060445.1234528087</v>
      </c>
      <c r="AH58">
        <v>2060445.1234528087</v>
      </c>
      <c r="AI58">
        <v>1650802.5428485658</v>
      </c>
      <c r="AJ58">
        <v>1650802.5428485658</v>
      </c>
      <c r="AK58">
        <v>1650802.5428485658</v>
      </c>
      <c r="AL58">
        <v>1650802.5428485658</v>
      </c>
      <c r="AM58">
        <v>1912673.0546616784</v>
      </c>
      <c r="AN58">
        <v>1912673.0546616784</v>
      </c>
      <c r="AO58">
        <v>1912673.0546616784</v>
      </c>
      <c r="AP58">
        <v>1912673.0546616784</v>
      </c>
      <c r="AQ58">
        <v>1879781.0679364617</v>
      </c>
      <c r="AR58">
        <v>1879781.0679364617</v>
      </c>
      <c r="AS58">
        <v>1879781.0679364617</v>
      </c>
      <c r="AT58">
        <v>1879781.0679364617</v>
      </c>
      <c r="AU58">
        <v>1798443.6460241417</v>
      </c>
      <c r="AV58">
        <v>1798443.6460241417</v>
      </c>
      <c r="AW58">
        <v>1798443.6460241417</v>
      </c>
      <c r="AX58">
        <v>1798443.6460241417</v>
      </c>
    </row>
    <row r="59" spans="2:51" x14ac:dyDescent="0.2">
      <c r="B59" s="120" t="s">
        <v>105</v>
      </c>
      <c r="C59">
        <v>2181622.8530453914</v>
      </c>
      <c r="D59">
        <v>2181622.8530453914</v>
      </c>
      <c r="E59">
        <v>2181622.8530453914</v>
      </c>
      <c r="F59">
        <v>2181622.8530453914</v>
      </c>
      <c r="G59">
        <v>1719878.1247678215</v>
      </c>
      <c r="H59">
        <v>1719878.1247678215</v>
      </c>
      <c r="I59">
        <v>1719878.1247678215</v>
      </c>
      <c r="J59">
        <v>1719878.1247678215</v>
      </c>
      <c r="K59">
        <v>2127741.6836980297</v>
      </c>
      <c r="L59">
        <v>2127741.6836980297</v>
      </c>
      <c r="M59">
        <v>2127741.6836980297</v>
      </c>
      <c r="N59">
        <v>2127741.6836980297</v>
      </c>
      <c r="O59">
        <v>1758269.0776857857</v>
      </c>
      <c r="P59">
        <v>1758269.0776857857</v>
      </c>
      <c r="Q59">
        <v>1758269.0776857857</v>
      </c>
      <c r="R59">
        <v>1758269.0776857857</v>
      </c>
      <c r="S59">
        <v>2200726.0890168361</v>
      </c>
      <c r="T59">
        <v>2200726.0890168361</v>
      </c>
      <c r="U59">
        <v>2200726.0890168361</v>
      </c>
      <c r="V59">
        <v>2200726.0890168361</v>
      </c>
      <c r="W59">
        <v>2153418.7828814718</v>
      </c>
      <c r="X59">
        <v>2153418.7828814718</v>
      </c>
      <c r="Y59">
        <v>2153418.7828814718</v>
      </c>
      <c r="Z59">
        <v>2153418.7828814718</v>
      </c>
      <c r="AA59">
        <v>2189715.3552573593</v>
      </c>
      <c r="AB59">
        <v>2189715.3552573593</v>
      </c>
      <c r="AC59">
        <v>2189715.3552573593</v>
      </c>
      <c r="AD59">
        <v>2189715.3552573593</v>
      </c>
      <c r="AE59">
        <v>2206520.1166643612</v>
      </c>
      <c r="AF59">
        <v>2206520.1166643612</v>
      </c>
      <c r="AG59">
        <v>2206520.1166643612</v>
      </c>
      <c r="AH59">
        <v>2206520.1166643612</v>
      </c>
      <c r="AI59">
        <v>2168419.291814473</v>
      </c>
      <c r="AJ59">
        <v>2168419.291814473</v>
      </c>
      <c r="AK59">
        <v>2168419.291814473</v>
      </c>
      <c r="AL59">
        <v>2168419.291814473</v>
      </c>
      <c r="AM59">
        <v>2149648.4044843167</v>
      </c>
      <c r="AN59">
        <v>2149648.4044843167</v>
      </c>
      <c r="AO59">
        <v>2149648.4044843167</v>
      </c>
      <c r="AP59">
        <v>2149648.4044843167</v>
      </c>
      <c r="AQ59">
        <v>1739974.8700546252</v>
      </c>
      <c r="AR59">
        <v>1739974.8700546252</v>
      </c>
      <c r="AS59">
        <v>1739974.8700546252</v>
      </c>
      <c r="AT59">
        <v>1739974.8700546252</v>
      </c>
      <c r="AU59">
        <v>2003638.8635836472</v>
      </c>
      <c r="AV59">
        <v>2003638.8635836472</v>
      </c>
      <c r="AW59">
        <v>2003638.8635836472</v>
      </c>
      <c r="AX59">
        <v>2003638.8635836472</v>
      </c>
    </row>
    <row r="60" spans="2:51" x14ac:dyDescent="0.2">
      <c r="B60" s="120" t="s">
        <v>106</v>
      </c>
      <c r="C60">
        <v>1696079.1855651967</v>
      </c>
      <c r="D60">
        <v>1696079.1855651967</v>
      </c>
      <c r="E60">
        <v>1696079.1855651967</v>
      </c>
      <c r="F60">
        <v>1696079.1855651967</v>
      </c>
      <c r="G60">
        <v>1745848.5609731474</v>
      </c>
      <c r="H60">
        <v>1745848.5609731474</v>
      </c>
      <c r="I60">
        <v>1745848.5609731474</v>
      </c>
      <c r="J60">
        <v>1745848.5609731474</v>
      </c>
      <c r="K60">
        <v>1651138.5231229318</v>
      </c>
      <c r="L60">
        <v>1651138.5231229318</v>
      </c>
      <c r="M60">
        <v>1651138.5231229318</v>
      </c>
      <c r="N60">
        <v>1651138.5231229318</v>
      </c>
      <c r="O60">
        <v>1588027.7794611631</v>
      </c>
      <c r="P60">
        <v>1588027.7794611631</v>
      </c>
      <c r="Q60">
        <v>1588027.7794611631</v>
      </c>
      <c r="R60">
        <v>1588027.7794611631</v>
      </c>
      <c r="S60">
        <v>1535979.4313094788</v>
      </c>
      <c r="T60">
        <v>1535979.4313094788</v>
      </c>
      <c r="U60">
        <v>1535979.4313094788</v>
      </c>
      <c r="V60">
        <v>1535979.4313094788</v>
      </c>
      <c r="W60">
        <v>1558082.9031151882</v>
      </c>
      <c r="X60">
        <v>1558082.9031151882</v>
      </c>
      <c r="Y60">
        <v>1558082.9031151882</v>
      </c>
      <c r="Z60">
        <v>1558082.9031151882</v>
      </c>
      <c r="AA60">
        <v>2402349.2594160223</v>
      </c>
      <c r="AB60">
        <v>1161970.5904565011</v>
      </c>
      <c r="AC60">
        <v>1164274.333569834</v>
      </c>
      <c r="AD60">
        <v>1166568.6344099978</v>
      </c>
      <c r="AE60">
        <v>1576189.1550809147</v>
      </c>
      <c r="AF60">
        <v>1576189.1550809147</v>
      </c>
      <c r="AG60">
        <v>1576189.1550809147</v>
      </c>
      <c r="AH60">
        <v>1576189.1550809147</v>
      </c>
      <c r="AI60">
        <v>1652816.2589400404</v>
      </c>
      <c r="AJ60">
        <v>1652816.2589400404</v>
      </c>
      <c r="AK60">
        <v>1652816.2589400404</v>
      </c>
      <c r="AL60">
        <v>1652816.2589400404</v>
      </c>
      <c r="AM60">
        <v>1987134.8781340616</v>
      </c>
      <c r="AN60">
        <v>1987134.8781340616</v>
      </c>
      <c r="AO60">
        <v>1987134.8781340616</v>
      </c>
      <c r="AP60">
        <v>1987134.8781340616</v>
      </c>
      <c r="AQ60">
        <v>2000071.8906461557</v>
      </c>
      <c r="AR60">
        <v>2000071.8906461557</v>
      </c>
      <c r="AS60">
        <v>2000071.8906461557</v>
      </c>
      <c r="AT60">
        <v>2000071.8906461557</v>
      </c>
      <c r="AU60">
        <v>1627334.8247504563</v>
      </c>
      <c r="AV60">
        <v>1627334.8247504563</v>
      </c>
      <c r="AW60">
        <v>1627334.8247504563</v>
      </c>
      <c r="AX60">
        <v>1627334.8247504563</v>
      </c>
    </row>
    <row r="61" spans="2:51" x14ac:dyDescent="0.2">
      <c r="B61" s="120" t="s">
        <v>107</v>
      </c>
      <c r="C61">
        <v>1928940.13987296</v>
      </c>
      <c r="D61">
        <v>1928940.13987296</v>
      </c>
      <c r="E61">
        <v>1928940.13987296</v>
      </c>
      <c r="F61">
        <v>1928940.13987296</v>
      </c>
      <c r="G61">
        <v>1948885.6055607144</v>
      </c>
      <c r="H61">
        <v>1948885.6055607144</v>
      </c>
      <c r="I61">
        <v>1948885.6055607144</v>
      </c>
      <c r="J61">
        <v>1948885.6055607144</v>
      </c>
      <c r="K61">
        <v>1932009.6658040294</v>
      </c>
      <c r="L61">
        <v>1932009.6658040294</v>
      </c>
      <c r="M61">
        <v>1932009.6658040294</v>
      </c>
      <c r="N61">
        <v>1932009.6658040294</v>
      </c>
      <c r="O61">
        <v>1653351.1484219523</v>
      </c>
      <c r="P61">
        <v>1653351.1484219523</v>
      </c>
      <c r="Q61">
        <v>1653351.1484219523</v>
      </c>
      <c r="R61">
        <v>1653351.1484219523</v>
      </c>
      <c r="S61">
        <v>1759342.6848314714</v>
      </c>
      <c r="T61">
        <v>1759342.6848314714</v>
      </c>
      <c r="U61">
        <v>1759342.6848314714</v>
      </c>
      <c r="V61">
        <v>1759342.6848314714</v>
      </c>
      <c r="W61">
        <v>1811957.3570613258</v>
      </c>
      <c r="X61">
        <v>497186.94052054157</v>
      </c>
      <c r="Y61">
        <v>1811957.3570613258</v>
      </c>
      <c r="Z61">
        <v>1811957.3570613258</v>
      </c>
      <c r="AA61">
        <v>2015164.204087022</v>
      </c>
      <c r="AB61">
        <v>2015164.204087022</v>
      </c>
      <c r="AC61">
        <v>2015164.204087022</v>
      </c>
      <c r="AD61">
        <v>2015164.204087022</v>
      </c>
      <c r="AE61">
        <v>1882877.7475272755</v>
      </c>
      <c r="AF61">
        <v>1882877.7475272755</v>
      </c>
      <c r="AG61">
        <v>1882877.7475272755</v>
      </c>
      <c r="AH61">
        <v>1882877.7475272755</v>
      </c>
      <c r="AI61">
        <v>1628888.227164112</v>
      </c>
      <c r="AJ61">
        <v>1628888.227164112</v>
      </c>
      <c r="AK61">
        <v>1628888.227164112</v>
      </c>
      <c r="AL61">
        <v>459312.12502738216</v>
      </c>
      <c r="AM61">
        <v>712039.11936394032</v>
      </c>
      <c r="AN61">
        <v>713346.98969274177</v>
      </c>
      <c r="AO61">
        <v>714646.80776915594</v>
      </c>
      <c r="AP61">
        <v>2520484.2826299751</v>
      </c>
      <c r="AQ61">
        <v>2520484.2826299751</v>
      </c>
      <c r="AR61">
        <v>718495.85701159667</v>
      </c>
      <c r="AS61">
        <v>719761.38154635183</v>
      </c>
      <c r="AT61">
        <v>721017.81863294076</v>
      </c>
      <c r="AU61">
        <v>1874842.8665176472</v>
      </c>
      <c r="AV61">
        <v>1874842.8665176472</v>
      </c>
      <c r="AW61">
        <v>1874842.8665176472</v>
      </c>
      <c r="AX61">
        <v>1874842.8665176472</v>
      </c>
    </row>
    <row r="62" spans="2:51" x14ac:dyDescent="0.2">
      <c r="B62" s="120" t="s">
        <v>108</v>
      </c>
      <c r="C62">
        <v>1827397.8587982405</v>
      </c>
      <c r="D62">
        <v>1827397.8587982405</v>
      </c>
      <c r="E62">
        <v>1827397.8587982405</v>
      </c>
      <c r="F62">
        <v>1827397.8587982405</v>
      </c>
      <c r="G62">
        <v>1864391.9835926152</v>
      </c>
      <c r="H62">
        <v>1864391.9835926152</v>
      </c>
      <c r="I62">
        <v>1864391.9835926152</v>
      </c>
      <c r="J62">
        <v>1864391.9835926152</v>
      </c>
      <c r="K62">
        <v>1915123.7742701322</v>
      </c>
      <c r="L62">
        <v>1915123.7742701322</v>
      </c>
      <c r="M62">
        <v>1915123.7742701322</v>
      </c>
      <c r="N62">
        <v>1915123.7742701322</v>
      </c>
      <c r="O62">
        <v>1858205.877085842</v>
      </c>
      <c r="P62">
        <v>1858205.877085842</v>
      </c>
      <c r="Q62">
        <v>1858205.877085842</v>
      </c>
      <c r="R62">
        <v>1858205.877085842</v>
      </c>
      <c r="S62">
        <v>1892333.3528938813</v>
      </c>
      <c r="T62">
        <v>1892333.3528938813</v>
      </c>
      <c r="U62">
        <v>1892333.3528938813</v>
      </c>
      <c r="V62">
        <v>1892333.3528938813</v>
      </c>
      <c r="W62">
        <v>1916367.4336294534</v>
      </c>
      <c r="X62">
        <v>1916367.4336294534</v>
      </c>
      <c r="Y62">
        <v>1916367.4336294534</v>
      </c>
      <c r="Z62">
        <v>1916367.4336294534</v>
      </c>
      <c r="AA62">
        <v>1934028.710349374</v>
      </c>
      <c r="AB62">
        <v>1934028.710349374</v>
      </c>
      <c r="AC62">
        <v>1934028.710349374</v>
      </c>
      <c r="AD62">
        <v>1934028.710349374</v>
      </c>
      <c r="AE62">
        <v>1920514.9275491762</v>
      </c>
      <c r="AF62">
        <v>1920514.9275491762</v>
      </c>
      <c r="AG62">
        <v>1920514.9275491762</v>
      </c>
      <c r="AH62">
        <v>1920514.9275491762</v>
      </c>
      <c r="AI62">
        <v>1896396.6659378072</v>
      </c>
      <c r="AJ62">
        <v>1896396.6659378072</v>
      </c>
      <c r="AK62">
        <v>1896396.6659378072</v>
      </c>
      <c r="AL62">
        <v>1896396.6659378072</v>
      </c>
      <c r="AM62">
        <v>1959634.0969695649</v>
      </c>
      <c r="AN62">
        <v>1959634.0969695649</v>
      </c>
      <c r="AO62">
        <v>1959634.0969695649</v>
      </c>
      <c r="AP62">
        <v>1959634.0969695649</v>
      </c>
      <c r="AQ62">
        <v>1892942.5496358275</v>
      </c>
      <c r="AR62">
        <v>1892942.5496358275</v>
      </c>
      <c r="AS62">
        <v>1892942.5496358275</v>
      </c>
      <c r="AT62">
        <v>1892942.5496358275</v>
      </c>
      <c r="AU62">
        <v>1931816.2908324117</v>
      </c>
      <c r="AV62">
        <v>1931816.2908324117</v>
      </c>
      <c r="AW62">
        <v>1931816.2908324117</v>
      </c>
      <c r="AX62">
        <v>1931816.2908324117</v>
      </c>
    </row>
    <row r="63" spans="2:51" x14ac:dyDescent="0.2">
      <c r="B63" s="120" t="s">
        <v>109</v>
      </c>
      <c r="C63">
        <v>1660268.0425565497</v>
      </c>
      <c r="D63">
        <v>1660268.0425565497</v>
      </c>
      <c r="E63">
        <v>1660268.0425565497</v>
      </c>
      <c r="F63">
        <v>1660268.0425565497</v>
      </c>
      <c r="G63">
        <v>1553049.5644660422</v>
      </c>
      <c r="H63">
        <v>1553049.5644660422</v>
      </c>
      <c r="I63">
        <v>1553049.5644660422</v>
      </c>
      <c r="J63">
        <v>1553049.5644660422</v>
      </c>
      <c r="K63">
        <v>1985324.8956856446</v>
      </c>
      <c r="L63">
        <v>1985324.8956856446</v>
      </c>
      <c r="M63">
        <v>1985324.8956856446</v>
      </c>
      <c r="N63">
        <v>1985324.8956856446</v>
      </c>
      <c r="O63">
        <v>1978451.9586462586</v>
      </c>
      <c r="P63">
        <v>1978451.9586462586</v>
      </c>
      <c r="Q63">
        <v>1978451.9586462586</v>
      </c>
      <c r="R63">
        <v>1978451.9586462586</v>
      </c>
      <c r="S63">
        <v>2036123.3043133458</v>
      </c>
      <c r="T63">
        <v>2036123.3043133458</v>
      </c>
      <c r="U63">
        <v>2036123.3043133458</v>
      </c>
      <c r="V63">
        <v>2036123.3043133458</v>
      </c>
      <c r="W63">
        <v>1545621.835856904</v>
      </c>
      <c r="X63">
        <v>1545621.835856904</v>
      </c>
      <c r="Y63">
        <v>1545621.835856904</v>
      </c>
      <c r="Z63">
        <v>1545621.835856904</v>
      </c>
      <c r="AA63">
        <v>1584873.6037350022</v>
      </c>
      <c r="AB63">
        <v>1584873.6037350022</v>
      </c>
      <c r="AC63">
        <v>1584873.6037350022</v>
      </c>
      <c r="AD63">
        <v>1584873.6037350022</v>
      </c>
      <c r="AE63">
        <v>1538502.9538262566</v>
      </c>
      <c r="AF63">
        <v>1538502.9538262566</v>
      </c>
      <c r="AG63">
        <v>1538502.9538262566</v>
      </c>
      <c r="AH63">
        <v>1538502.9538262566</v>
      </c>
      <c r="AI63">
        <v>1633482.0433917872</v>
      </c>
      <c r="AJ63">
        <v>1633482.0433917872</v>
      </c>
      <c r="AK63">
        <v>1633482.0433917872</v>
      </c>
      <c r="AL63">
        <v>1633482.0433917872</v>
      </c>
      <c r="AM63">
        <v>1714387.0009794922</v>
      </c>
      <c r="AN63">
        <v>1714387.0009794922</v>
      </c>
      <c r="AO63">
        <v>1714387.0009794922</v>
      </c>
      <c r="AP63">
        <v>1714387.0009794922</v>
      </c>
      <c r="AQ63">
        <v>1664086.0229254512</v>
      </c>
      <c r="AR63">
        <v>1664086.0229254512</v>
      </c>
      <c r="AS63">
        <v>1664086.0229254512</v>
      </c>
      <c r="AT63">
        <v>1664086.0229254512</v>
      </c>
      <c r="AU63">
        <v>1594361.2302345568</v>
      </c>
      <c r="AV63">
        <v>1594361.2302345568</v>
      </c>
      <c r="AW63">
        <v>1594361.2302345568</v>
      </c>
      <c r="AX63">
        <v>1594361.2302345568</v>
      </c>
    </row>
    <row r="64" spans="2:51" x14ac:dyDescent="0.2">
      <c r="B64" s="117"/>
    </row>
    <row r="65" spans="1:14" x14ac:dyDescent="0.2">
      <c r="B65" s="119" t="s">
        <v>327</v>
      </c>
    </row>
    <row r="66" spans="1:14" x14ac:dyDescent="0.2">
      <c r="B66" s="116" t="s">
        <v>328</v>
      </c>
      <c r="C66" s="116" t="s">
        <v>92</v>
      </c>
      <c r="D66" s="116" t="s">
        <v>93</v>
      </c>
      <c r="E66" s="116" t="s">
        <v>94</v>
      </c>
      <c r="F66" s="116" t="s">
        <v>95</v>
      </c>
      <c r="G66" s="116" t="s">
        <v>96</v>
      </c>
      <c r="H66" s="116" t="s">
        <v>97</v>
      </c>
      <c r="I66" s="116" t="s">
        <v>98</v>
      </c>
      <c r="J66" s="116" t="s">
        <v>99</v>
      </c>
      <c r="K66" s="116" t="s">
        <v>100</v>
      </c>
      <c r="L66" s="116" t="s">
        <v>101</v>
      </c>
      <c r="M66" s="116" t="s">
        <v>102</v>
      </c>
      <c r="N66" s="116" t="s">
        <v>103</v>
      </c>
    </row>
    <row r="67" spans="1:14" x14ac:dyDescent="0.2">
      <c r="B67" s="116" t="s">
        <v>329</v>
      </c>
      <c r="C67">
        <v>58333.333333333321</v>
      </c>
      <c r="D67">
        <v>58333.333333333321</v>
      </c>
      <c r="E67">
        <v>58333.333333333321</v>
      </c>
      <c r="F67">
        <v>58333.333333333321</v>
      </c>
      <c r="G67">
        <v>58333.333333333321</v>
      </c>
      <c r="H67">
        <v>58333.333333333321</v>
      </c>
      <c r="I67">
        <v>58333.333333333321</v>
      </c>
      <c r="J67">
        <v>58333.333333333321</v>
      </c>
      <c r="K67">
        <v>58333.333333333321</v>
      </c>
      <c r="L67">
        <v>58333.333333333321</v>
      </c>
      <c r="M67">
        <v>58333.333333333321</v>
      </c>
      <c r="N67">
        <v>58333.333333333321</v>
      </c>
    </row>
    <row r="68" spans="1:14" x14ac:dyDescent="0.2">
      <c r="B68" s="116" t="s">
        <v>330</v>
      </c>
      <c r="C68">
        <v>8333.3333333333321</v>
      </c>
      <c r="D68">
        <v>8333.3333333333321</v>
      </c>
      <c r="E68">
        <v>8333.3333333333321</v>
      </c>
      <c r="F68">
        <v>8333.3333333333321</v>
      </c>
      <c r="G68">
        <v>8333.3333333333321</v>
      </c>
      <c r="H68">
        <v>8333.3333333333321</v>
      </c>
      <c r="I68">
        <v>8333.3333333333321</v>
      </c>
      <c r="J68">
        <v>8333.3333333333321</v>
      </c>
      <c r="K68">
        <v>8333.3333333333321</v>
      </c>
      <c r="L68">
        <v>8333.3333333333321</v>
      </c>
      <c r="M68">
        <v>8333.3333333333321</v>
      </c>
      <c r="N68">
        <v>8333.3333333333321</v>
      </c>
    </row>
    <row r="70" spans="1:14" x14ac:dyDescent="0.2">
      <c r="B70" s="119" t="s">
        <v>331</v>
      </c>
    </row>
    <row r="71" spans="1:14" x14ac:dyDescent="0.2">
      <c r="A71" s="120" t="s">
        <v>121</v>
      </c>
      <c r="B71" s="120" t="s">
        <v>332</v>
      </c>
      <c r="C71" s="120" t="s">
        <v>22</v>
      </c>
      <c r="D71" s="120" t="s">
        <v>59</v>
      </c>
    </row>
    <row r="72" spans="1:14" x14ac:dyDescent="0.2">
      <c r="A72" s="120" t="s">
        <v>104</v>
      </c>
      <c r="B72" s="120" t="s">
        <v>92</v>
      </c>
      <c r="C72">
        <v>267541.00108889432</v>
      </c>
      <c r="D72">
        <v>1887331.6104529565</v>
      </c>
    </row>
    <row r="73" spans="1:14" x14ac:dyDescent="0.2">
      <c r="B73" s="120" t="s">
        <v>93</v>
      </c>
      <c r="C73">
        <v>267541.00108889432</v>
      </c>
      <c r="D73">
        <v>1887331.6104529565</v>
      </c>
    </row>
    <row r="74" spans="1:14" x14ac:dyDescent="0.2">
      <c r="B74" s="120" t="s">
        <v>94</v>
      </c>
      <c r="C74">
        <v>267541.00108889432</v>
      </c>
      <c r="D74">
        <v>1887331.6104529565</v>
      </c>
    </row>
    <row r="75" spans="1:14" x14ac:dyDescent="0.2">
      <c r="B75" s="120" t="s">
        <v>95</v>
      </c>
      <c r="C75">
        <v>267541.00108889432</v>
      </c>
      <c r="D75">
        <v>1887331.6104529565</v>
      </c>
    </row>
    <row r="76" spans="1:14" x14ac:dyDescent="0.2">
      <c r="B76" s="120" t="s">
        <v>96</v>
      </c>
      <c r="C76">
        <v>267541.00108889432</v>
      </c>
      <c r="D76">
        <v>1887331.6104529565</v>
      </c>
    </row>
    <row r="77" spans="1:14" x14ac:dyDescent="0.2">
      <c r="B77" s="120" t="s">
        <v>97</v>
      </c>
      <c r="C77">
        <v>267541.00108889432</v>
      </c>
      <c r="D77">
        <v>1887331.6104529565</v>
      </c>
    </row>
    <row r="78" spans="1:14" x14ac:dyDescent="0.2">
      <c r="B78" s="120" t="s">
        <v>98</v>
      </c>
      <c r="C78">
        <v>267541.00108889432</v>
      </c>
      <c r="D78">
        <v>1887331.6104529565</v>
      </c>
    </row>
    <row r="79" spans="1:14" x14ac:dyDescent="0.2">
      <c r="B79" s="120" t="s">
        <v>99</v>
      </c>
      <c r="C79">
        <v>267541.00108889432</v>
      </c>
      <c r="D79">
        <v>1887331.6104529565</v>
      </c>
    </row>
    <row r="80" spans="1:14" x14ac:dyDescent="0.2">
      <c r="B80" s="120" t="s">
        <v>100</v>
      </c>
      <c r="C80">
        <v>267541.00108889432</v>
      </c>
      <c r="D80">
        <v>1887331.6104529565</v>
      </c>
    </row>
    <row r="81" spans="2:50" x14ac:dyDescent="0.2">
      <c r="B81" s="120" t="s">
        <v>101</v>
      </c>
      <c r="C81">
        <v>267541.00108889432</v>
      </c>
      <c r="D81">
        <v>1887331.6104529565</v>
      </c>
    </row>
    <row r="82" spans="2:50" x14ac:dyDescent="0.2">
      <c r="B82" s="120" t="s">
        <v>102</v>
      </c>
      <c r="C82">
        <v>267541.00108889432</v>
      </c>
      <c r="D82">
        <v>1887331.6104529565</v>
      </c>
    </row>
    <row r="83" spans="2:50" x14ac:dyDescent="0.2">
      <c r="B83" s="120" t="s">
        <v>103</v>
      </c>
      <c r="C83">
        <v>267541.00108889432</v>
      </c>
      <c r="D83">
        <v>1887331.6104529565</v>
      </c>
    </row>
    <row r="85" spans="2:50" x14ac:dyDescent="0.2">
      <c r="B85" s="118" t="s">
        <v>333</v>
      </c>
    </row>
    <row r="86" spans="2:50" x14ac:dyDescent="0.2">
      <c r="B86" s="116" t="s">
        <v>274</v>
      </c>
      <c r="C86" s="116" t="s">
        <v>92</v>
      </c>
      <c r="D86" s="117"/>
      <c r="E86" s="117"/>
      <c r="F86" s="117"/>
      <c r="G86" s="116" t="s">
        <v>93</v>
      </c>
      <c r="H86" s="117"/>
      <c r="I86" s="117"/>
      <c r="J86" s="117"/>
      <c r="K86" s="116" t="s">
        <v>94</v>
      </c>
      <c r="L86" s="117"/>
      <c r="M86" s="117"/>
      <c r="N86" s="117"/>
      <c r="O86" s="116" t="s">
        <v>95</v>
      </c>
      <c r="P86" s="117"/>
      <c r="Q86" s="117"/>
      <c r="R86" s="117"/>
      <c r="S86" s="116" t="s">
        <v>96</v>
      </c>
      <c r="T86" s="117"/>
      <c r="U86" s="117"/>
      <c r="V86" s="117"/>
      <c r="W86" s="116" t="s">
        <v>97</v>
      </c>
      <c r="X86" s="117"/>
      <c r="Y86" s="117"/>
      <c r="Z86" s="117"/>
      <c r="AA86" s="116" t="s">
        <v>98</v>
      </c>
      <c r="AB86" s="117"/>
      <c r="AC86" s="117"/>
      <c r="AD86" s="117"/>
      <c r="AE86" s="116" t="s">
        <v>99</v>
      </c>
      <c r="AF86" s="117"/>
      <c r="AG86" s="117"/>
      <c r="AH86" s="117"/>
      <c r="AI86" s="116" t="s">
        <v>100</v>
      </c>
      <c r="AJ86" s="117"/>
      <c r="AK86" s="117"/>
      <c r="AL86" s="117"/>
      <c r="AM86" s="116" t="s">
        <v>101</v>
      </c>
      <c r="AN86" s="117"/>
      <c r="AO86" s="117"/>
      <c r="AP86" s="117"/>
      <c r="AQ86" s="116" t="s">
        <v>102</v>
      </c>
      <c r="AR86" s="117"/>
      <c r="AS86" s="117"/>
      <c r="AT86" s="117"/>
      <c r="AU86" s="116" t="s">
        <v>103</v>
      </c>
      <c r="AV86" s="117"/>
      <c r="AW86" s="117"/>
    </row>
    <row r="87" spans="2:50" x14ac:dyDescent="0.2">
      <c r="B87" s="116" t="s">
        <v>334</v>
      </c>
      <c r="C87" s="116">
        <v>1</v>
      </c>
      <c r="D87" s="116">
        <v>2</v>
      </c>
      <c r="E87" s="116">
        <v>3</v>
      </c>
      <c r="F87" s="116">
        <v>4</v>
      </c>
      <c r="G87" s="116">
        <v>1</v>
      </c>
      <c r="H87" s="116">
        <v>2</v>
      </c>
      <c r="I87" s="116">
        <v>3</v>
      </c>
      <c r="J87" s="116">
        <v>4</v>
      </c>
      <c r="K87" s="116">
        <v>1</v>
      </c>
      <c r="L87" s="116">
        <v>2</v>
      </c>
      <c r="M87" s="116">
        <v>3</v>
      </c>
      <c r="N87" s="116">
        <v>4</v>
      </c>
      <c r="O87" s="116">
        <v>1</v>
      </c>
      <c r="P87" s="116">
        <v>2</v>
      </c>
      <c r="Q87" s="116">
        <v>3</v>
      </c>
      <c r="R87" s="116">
        <v>4</v>
      </c>
      <c r="S87" s="116">
        <v>1</v>
      </c>
      <c r="T87" s="116">
        <v>2</v>
      </c>
      <c r="U87" s="116">
        <v>3</v>
      </c>
      <c r="V87" s="116">
        <v>4</v>
      </c>
      <c r="W87" s="116">
        <v>1</v>
      </c>
      <c r="X87" s="116">
        <v>2</v>
      </c>
      <c r="Y87" s="116">
        <v>3</v>
      </c>
      <c r="Z87" s="116">
        <v>4</v>
      </c>
      <c r="AA87" s="116">
        <v>1</v>
      </c>
      <c r="AB87" s="116">
        <v>2</v>
      </c>
      <c r="AC87" s="116">
        <v>3</v>
      </c>
      <c r="AD87" s="116">
        <v>4</v>
      </c>
      <c r="AE87" s="116">
        <v>1</v>
      </c>
      <c r="AF87" s="116">
        <v>2</v>
      </c>
      <c r="AG87" s="116">
        <v>3</v>
      </c>
      <c r="AH87" s="116">
        <v>4</v>
      </c>
      <c r="AI87" s="116">
        <v>1</v>
      </c>
      <c r="AJ87" s="116">
        <v>2</v>
      </c>
      <c r="AK87" s="116">
        <v>3</v>
      </c>
      <c r="AL87" s="116">
        <v>4</v>
      </c>
      <c r="AM87" s="116">
        <v>1</v>
      </c>
      <c r="AN87" s="116">
        <v>2</v>
      </c>
      <c r="AO87" s="116">
        <v>3</v>
      </c>
      <c r="AP87" s="116">
        <v>4</v>
      </c>
      <c r="AQ87" s="116">
        <v>1</v>
      </c>
      <c r="AR87" s="116">
        <v>2</v>
      </c>
      <c r="AS87" s="116">
        <v>3</v>
      </c>
      <c r="AT87" s="116">
        <v>4</v>
      </c>
      <c r="AU87" s="116">
        <v>1</v>
      </c>
      <c r="AV87" s="116">
        <v>2</v>
      </c>
      <c r="AW87" s="116">
        <v>3</v>
      </c>
      <c r="AX87" s="116">
        <v>4</v>
      </c>
    </row>
    <row r="88" spans="2:50" x14ac:dyDescent="0.2">
      <c r="B88" s="116" t="s">
        <v>104</v>
      </c>
      <c r="C88">
        <f>C48+$C$67/4</f>
        <v>16110.899565230284</v>
      </c>
      <c r="D88">
        <f>D48+$C$67/4</f>
        <v>16110.899565230284</v>
      </c>
      <c r="E88">
        <f>E48+$C$67/4</f>
        <v>16110.899565230284</v>
      </c>
      <c r="F88">
        <f>F48+$C$67/4</f>
        <v>16110.899565230284</v>
      </c>
      <c r="G88">
        <f>G48+$D$67/4</f>
        <v>15729.008007256047</v>
      </c>
      <c r="H88">
        <f>H48+$D$67/4</f>
        <v>15729.008007256047</v>
      </c>
      <c r="I88">
        <f>I48+$D$67/4</f>
        <v>15729.008007256047</v>
      </c>
      <c r="J88">
        <f>J48+$D$67/4</f>
        <v>15729.008007256047</v>
      </c>
      <c r="K88">
        <f>K48+$E$67/4</f>
        <v>16110.899565230284</v>
      </c>
      <c r="L88">
        <f>L48+$E$67/4</f>
        <v>16110.899565230284</v>
      </c>
      <c r="M88">
        <f>M48+$E$67/4</f>
        <v>16110.899565230284</v>
      </c>
      <c r="N88">
        <f>N48+$E$67/4</f>
        <v>16110.899565230284</v>
      </c>
      <c r="O88">
        <f>O48+$F$67/4</f>
        <v>16110.899565230284</v>
      </c>
      <c r="P88">
        <f>P48+$F$67/4</f>
        <v>16110.899565230284</v>
      </c>
      <c r="Q88">
        <f>Q48+$F$67/4</f>
        <v>16110.899565230284</v>
      </c>
      <c r="R88">
        <f>R48+$F$67/4</f>
        <v>16110.899565230284</v>
      </c>
      <c r="S88">
        <f>S48+$G$67/4</f>
        <v>16110.899565230284</v>
      </c>
      <c r="T88">
        <f>T48+$G$67/4</f>
        <v>16110.899565230284</v>
      </c>
      <c r="U88">
        <f>U48+$G$67/4</f>
        <v>16110.899565230284</v>
      </c>
      <c r="V88">
        <f>V48+$G$67/4</f>
        <v>16110.899565230284</v>
      </c>
      <c r="W88">
        <f>W48+$H$67/4</f>
        <v>16110.899565230284</v>
      </c>
      <c r="X88">
        <f>X48+$H$67/4</f>
        <v>16110.899565230284</v>
      </c>
      <c r="Y88">
        <f>Y48+$H$67/4</f>
        <v>16110.899565230284</v>
      </c>
      <c r="Z88">
        <f>Z48+$H$67/4</f>
        <v>16110.899565230284</v>
      </c>
      <c r="AA88">
        <f>AA48+$I$67/4</f>
        <v>16110.899565230284</v>
      </c>
      <c r="AB88">
        <f>AB48+$I$67/4</f>
        <v>16110.899565230284</v>
      </c>
      <c r="AC88">
        <f>AC48+$I$67/4</f>
        <v>16110.899565230284</v>
      </c>
      <c r="AD88">
        <f>AD48+$I$67/4</f>
        <v>16110.899565230284</v>
      </c>
      <c r="AE88">
        <f>AE48+$J$67/4</f>
        <v>16110.899565230284</v>
      </c>
      <c r="AF88">
        <f>AF48+$J$67/4</f>
        <v>16110.899565230284</v>
      </c>
      <c r="AG88">
        <f>AG48+$J$67/4</f>
        <v>16110.899565230284</v>
      </c>
      <c r="AH88">
        <f>AH48+$J$67/4</f>
        <v>16110.899565230284</v>
      </c>
      <c r="AI88">
        <f>AI48+$K$67/4</f>
        <v>16110.899565230284</v>
      </c>
      <c r="AJ88">
        <f>AJ48+$K$67/4</f>
        <v>16110.899565230284</v>
      </c>
      <c r="AK88">
        <f>AK48+$K$67/4</f>
        <v>16110.899565230284</v>
      </c>
      <c r="AL88">
        <f>AL48+$K$67/4</f>
        <v>16110.899565230284</v>
      </c>
      <c r="AM88">
        <f>AM48+$L$67/4</f>
        <v>16110.899565230284</v>
      </c>
      <c r="AN88">
        <f>AN48+$L$67/4</f>
        <v>16110.899565230284</v>
      </c>
      <c r="AO88">
        <f>AO48+$L$67/4</f>
        <v>16110.899565230284</v>
      </c>
      <c r="AP88">
        <f>AP48+$L$67/4</f>
        <v>16110.899565230284</v>
      </c>
      <c r="AQ88">
        <f>AQ48+$M$67/4</f>
        <v>16110.899565230284</v>
      </c>
      <c r="AR88">
        <f>AR48+$M$67/4</f>
        <v>16110.899565230284</v>
      </c>
      <c r="AS88">
        <f>AS48+$M$67/4</f>
        <v>16110.899565230284</v>
      </c>
      <c r="AT88">
        <f>AT48+$M$67/4</f>
        <v>16110.899565230284</v>
      </c>
      <c r="AU88">
        <f>AU48+$N$67/4</f>
        <v>15729.008007256047</v>
      </c>
      <c r="AV88">
        <f>AV48+$N$67/4</f>
        <v>15729.008007256047</v>
      </c>
      <c r="AW88">
        <f>AW48+$N$67/4</f>
        <v>15729.008007256047</v>
      </c>
      <c r="AX88">
        <f>AX48+$N$67/4</f>
        <v>15729.008007256047</v>
      </c>
    </row>
    <row r="89" spans="2:50" x14ac:dyDescent="0.2">
      <c r="B89" s="116" t="s">
        <v>105</v>
      </c>
      <c r="C89">
        <f>C49</f>
        <v>1611.4385541512133</v>
      </c>
      <c r="D89">
        <f t="shared" ref="D89:AX93" si="3">D49</f>
        <v>1611.4385541512133</v>
      </c>
      <c r="E89">
        <f t="shared" si="3"/>
        <v>1611.4385541512133</v>
      </c>
      <c r="F89">
        <f t="shared" si="3"/>
        <v>1611.4385541512133</v>
      </c>
      <c r="G89">
        <f t="shared" si="3"/>
        <v>1208.5789156134101</v>
      </c>
      <c r="H89">
        <f t="shared" si="3"/>
        <v>1208.5789156134101</v>
      </c>
      <c r="I89">
        <f t="shared" si="3"/>
        <v>1208.5789156134101</v>
      </c>
      <c r="J89">
        <f t="shared" si="3"/>
        <v>1208.5789156134101</v>
      </c>
      <c r="K89">
        <f t="shared" si="3"/>
        <v>1611.4385541512133</v>
      </c>
      <c r="L89">
        <f t="shared" si="3"/>
        <v>1611.4385541512133</v>
      </c>
      <c r="M89">
        <f t="shared" si="3"/>
        <v>1611.4385541512133</v>
      </c>
      <c r="N89">
        <f t="shared" si="3"/>
        <v>1611.4385541512133</v>
      </c>
      <c r="O89">
        <f t="shared" si="3"/>
        <v>1208.5789156134101</v>
      </c>
      <c r="P89">
        <f t="shared" si="3"/>
        <v>1208.5789156134101</v>
      </c>
      <c r="Q89">
        <f t="shared" si="3"/>
        <v>1208.5789156134101</v>
      </c>
      <c r="R89">
        <f t="shared" si="3"/>
        <v>1208.5789156134101</v>
      </c>
      <c r="S89">
        <f t="shared" si="3"/>
        <v>1611.4385541512133</v>
      </c>
      <c r="T89">
        <f t="shared" si="3"/>
        <v>1611.4385541512133</v>
      </c>
      <c r="U89">
        <f t="shared" si="3"/>
        <v>1611.4385541512133</v>
      </c>
      <c r="V89">
        <f t="shared" si="3"/>
        <v>1611.4385541512133</v>
      </c>
      <c r="W89">
        <f t="shared" si="3"/>
        <v>1611.4385541512133</v>
      </c>
      <c r="X89">
        <f t="shared" si="3"/>
        <v>1611.4385541512133</v>
      </c>
      <c r="Y89">
        <f t="shared" si="3"/>
        <v>1611.4385541512133</v>
      </c>
      <c r="Z89">
        <f t="shared" si="3"/>
        <v>1611.4385541512133</v>
      </c>
      <c r="AA89">
        <f t="shared" si="3"/>
        <v>1208.5789156134101</v>
      </c>
      <c r="AB89">
        <f t="shared" si="3"/>
        <v>1208.5789156134101</v>
      </c>
      <c r="AC89">
        <f t="shared" si="3"/>
        <v>1208.5789156134101</v>
      </c>
      <c r="AD89">
        <f t="shared" si="3"/>
        <v>1208.5789156134101</v>
      </c>
      <c r="AE89">
        <f t="shared" si="3"/>
        <v>1611.4385541512133</v>
      </c>
      <c r="AF89">
        <f t="shared" si="3"/>
        <v>1611.4385541512133</v>
      </c>
      <c r="AG89">
        <f t="shared" si="3"/>
        <v>1611.4385541512133</v>
      </c>
      <c r="AH89">
        <f t="shared" si="3"/>
        <v>1611.4385541512133</v>
      </c>
      <c r="AI89">
        <f t="shared" si="3"/>
        <v>1611.4385541512133</v>
      </c>
      <c r="AJ89">
        <f t="shared" si="3"/>
        <v>1611.4385541512133</v>
      </c>
      <c r="AK89">
        <f t="shared" si="3"/>
        <v>1611.4385541512133</v>
      </c>
      <c r="AL89">
        <f t="shared" si="3"/>
        <v>1611.4385541512133</v>
      </c>
      <c r="AM89">
        <f t="shared" si="3"/>
        <v>1611.4385541512133</v>
      </c>
      <c r="AN89">
        <f t="shared" si="3"/>
        <v>1611.4385541512133</v>
      </c>
      <c r="AO89">
        <f t="shared" si="3"/>
        <v>1611.4385541512133</v>
      </c>
      <c r="AP89">
        <f t="shared" si="3"/>
        <v>1611.4385541512133</v>
      </c>
      <c r="AQ89">
        <f t="shared" si="3"/>
        <v>1208.5789156134101</v>
      </c>
      <c r="AR89">
        <f t="shared" si="3"/>
        <v>1208.5789156134101</v>
      </c>
      <c r="AS89">
        <f t="shared" si="3"/>
        <v>1208.5789156134101</v>
      </c>
      <c r="AT89">
        <f t="shared" si="3"/>
        <v>1208.5789156134101</v>
      </c>
      <c r="AU89">
        <f t="shared" si="3"/>
        <v>1611.4385541512133</v>
      </c>
      <c r="AV89">
        <f t="shared" si="3"/>
        <v>1611.4385541512133</v>
      </c>
      <c r="AW89">
        <f t="shared" si="3"/>
        <v>1611.4385541512133</v>
      </c>
      <c r="AX89">
        <f t="shared" si="3"/>
        <v>1611.4385541512133</v>
      </c>
    </row>
    <row r="90" spans="2:50" x14ac:dyDescent="0.2">
      <c r="B90" s="116" t="s">
        <v>106</v>
      </c>
      <c r="C90">
        <f t="shared" ref="C90:R93" si="4">C50</f>
        <v>1091.976936098192</v>
      </c>
      <c r="D90">
        <f t="shared" si="4"/>
        <v>1091.976936098192</v>
      </c>
      <c r="E90">
        <f t="shared" si="4"/>
        <v>1091.976936098192</v>
      </c>
      <c r="F90">
        <f t="shared" si="4"/>
        <v>1091.976936098192</v>
      </c>
      <c r="G90">
        <f t="shared" si="4"/>
        <v>1091.976936098192</v>
      </c>
      <c r="H90">
        <f t="shared" si="4"/>
        <v>1091.976936098192</v>
      </c>
      <c r="I90">
        <f t="shared" si="4"/>
        <v>1091.976936098192</v>
      </c>
      <c r="J90">
        <f t="shared" si="4"/>
        <v>1091.976936098192</v>
      </c>
      <c r="K90">
        <f t="shared" si="4"/>
        <v>1091.976936098192</v>
      </c>
      <c r="L90">
        <f t="shared" si="4"/>
        <v>1091.976936098192</v>
      </c>
      <c r="M90">
        <f t="shared" si="4"/>
        <v>1091.976936098192</v>
      </c>
      <c r="N90">
        <f t="shared" si="4"/>
        <v>1091.976936098192</v>
      </c>
      <c r="O90">
        <f t="shared" si="4"/>
        <v>1091.976936098192</v>
      </c>
      <c r="P90">
        <f t="shared" si="4"/>
        <v>1091.976936098192</v>
      </c>
      <c r="Q90">
        <f t="shared" si="4"/>
        <v>1091.976936098192</v>
      </c>
      <c r="R90">
        <f t="shared" si="4"/>
        <v>1091.976936098192</v>
      </c>
      <c r="S90">
        <f t="shared" si="3"/>
        <v>1091.976936098192</v>
      </c>
      <c r="T90">
        <f t="shared" si="3"/>
        <v>1091.976936098192</v>
      </c>
      <c r="U90">
        <f t="shared" si="3"/>
        <v>1091.976936098192</v>
      </c>
      <c r="V90">
        <f t="shared" si="3"/>
        <v>1091.976936098192</v>
      </c>
      <c r="W90">
        <f t="shared" si="3"/>
        <v>1091.976936098192</v>
      </c>
      <c r="X90">
        <f t="shared" si="3"/>
        <v>1091.976936098192</v>
      </c>
      <c r="Y90">
        <f t="shared" si="3"/>
        <v>1091.976936098192</v>
      </c>
      <c r="Z90">
        <f t="shared" si="3"/>
        <v>1091.976936098192</v>
      </c>
      <c r="AA90">
        <f t="shared" si="3"/>
        <v>1091.976936098192</v>
      </c>
      <c r="AB90">
        <f t="shared" si="3"/>
        <v>528.16845020750054</v>
      </c>
      <c r="AC90">
        <f t="shared" si="3"/>
        <v>529.21560616810632</v>
      </c>
      <c r="AD90">
        <f t="shared" si="3"/>
        <v>530.25847018636262</v>
      </c>
      <c r="AE90">
        <f t="shared" si="3"/>
        <v>1091.976936098192</v>
      </c>
      <c r="AF90">
        <f t="shared" si="3"/>
        <v>1091.976936098192</v>
      </c>
      <c r="AG90">
        <f t="shared" si="3"/>
        <v>1091.976936098192</v>
      </c>
      <c r="AH90">
        <f t="shared" si="3"/>
        <v>1091.976936098192</v>
      </c>
      <c r="AI90">
        <f t="shared" si="3"/>
        <v>1091.976936098192</v>
      </c>
      <c r="AJ90">
        <f t="shared" si="3"/>
        <v>1091.976936098192</v>
      </c>
      <c r="AK90">
        <f t="shared" si="3"/>
        <v>1091.976936098192</v>
      </c>
      <c r="AL90">
        <f t="shared" si="3"/>
        <v>1091.976936098192</v>
      </c>
      <c r="AM90">
        <f t="shared" si="3"/>
        <v>1455.9692481309228</v>
      </c>
      <c r="AN90">
        <f t="shared" si="3"/>
        <v>1455.9692481309228</v>
      </c>
      <c r="AO90">
        <f t="shared" si="3"/>
        <v>1455.9692481309228</v>
      </c>
      <c r="AP90">
        <f t="shared" si="3"/>
        <v>1455.9692481309228</v>
      </c>
      <c r="AQ90">
        <f t="shared" si="3"/>
        <v>1455.9692481309228</v>
      </c>
      <c r="AR90">
        <f t="shared" si="3"/>
        <v>1455.9692481309228</v>
      </c>
      <c r="AS90">
        <f t="shared" si="3"/>
        <v>1455.9692481309228</v>
      </c>
      <c r="AT90">
        <f t="shared" si="3"/>
        <v>1455.9692481309228</v>
      </c>
      <c r="AU90">
        <f t="shared" si="3"/>
        <v>1091.976936098192</v>
      </c>
      <c r="AV90">
        <f t="shared" si="3"/>
        <v>1091.976936098192</v>
      </c>
      <c r="AW90">
        <f t="shared" si="3"/>
        <v>1091.976936098192</v>
      </c>
      <c r="AX90">
        <f t="shared" si="3"/>
        <v>1091.976936098192</v>
      </c>
    </row>
    <row r="91" spans="2:50" x14ac:dyDescent="0.2">
      <c r="B91" s="116" t="s">
        <v>107</v>
      </c>
      <c r="C91">
        <f t="shared" si="4"/>
        <v>1527.5662318969544</v>
      </c>
      <c r="D91">
        <f t="shared" si="3"/>
        <v>1527.5662318969544</v>
      </c>
      <c r="E91">
        <f t="shared" si="3"/>
        <v>1527.5662318969544</v>
      </c>
      <c r="F91">
        <f t="shared" si="3"/>
        <v>1527.5662318969544</v>
      </c>
      <c r="G91">
        <f t="shared" si="3"/>
        <v>1527.5662318969544</v>
      </c>
      <c r="H91">
        <f t="shared" si="3"/>
        <v>1527.5662318969544</v>
      </c>
      <c r="I91">
        <f t="shared" si="3"/>
        <v>1527.5662318969544</v>
      </c>
      <c r="J91">
        <f t="shared" si="3"/>
        <v>1527.5662318969544</v>
      </c>
      <c r="K91">
        <f t="shared" si="3"/>
        <v>1527.5662318969544</v>
      </c>
      <c r="L91">
        <f t="shared" si="3"/>
        <v>1527.5662318969544</v>
      </c>
      <c r="M91">
        <f t="shared" si="3"/>
        <v>1527.5662318969544</v>
      </c>
      <c r="N91">
        <f t="shared" si="3"/>
        <v>1527.5662318969544</v>
      </c>
      <c r="O91">
        <f t="shared" si="3"/>
        <v>1145.6746739227158</v>
      </c>
      <c r="P91">
        <f t="shared" si="3"/>
        <v>1145.6746739227158</v>
      </c>
      <c r="Q91">
        <f t="shared" si="3"/>
        <v>1145.6746739227158</v>
      </c>
      <c r="R91">
        <f t="shared" si="3"/>
        <v>1145.6746739227158</v>
      </c>
      <c r="S91">
        <f t="shared" si="3"/>
        <v>1145.6746739227158</v>
      </c>
      <c r="T91">
        <f t="shared" si="3"/>
        <v>1145.6746739227158</v>
      </c>
      <c r="U91">
        <f t="shared" si="3"/>
        <v>1145.6746739227158</v>
      </c>
      <c r="V91">
        <f t="shared" si="3"/>
        <v>1145.6746739227158</v>
      </c>
      <c r="W91">
        <f t="shared" si="3"/>
        <v>1145.6746739227158</v>
      </c>
      <c r="X91">
        <f t="shared" si="3"/>
        <v>314.36417846130661</v>
      </c>
      <c r="Y91">
        <f t="shared" si="3"/>
        <v>1145.6746739227158</v>
      </c>
      <c r="Z91">
        <f t="shared" si="3"/>
        <v>1145.6746739227158</v>
      </c>
      <c r="AA91">
        <f t="shared" si="3"/>
        <v>1527.5662318969544</v>
      </c>
      <c r="AB91">
        <f t="shared" si="3"/>
        <v>1527.5662318969544</v>
      </c>
      <c r="AC91">
        <f t="shared" si="3"/>
        <v>1527.5662318969544</v>
      </c>
      <c r="AD91">
        <f t="shared" si="3"/>
        <v>1527.5662318969544</v>
      </c>
      <c r="AE91">
        <f t="shared" si="3"/>
        <v>1527.5662318969544</v>
      </c>
      <c r="AF91">
        <f t="shared" si="3"/>
        <v>1527.5662318969544</v>
      </c>
      <c r="AG91">
        <f t="shared" si="3"/>
        <v>1527.5662318969544</v>
      </c>
      <c r="AH91">
        <f t="shared" si="3"/>
        <v>1527.5662318969544</v>
      </c>
      <c r="AI91">
        <f t="shared" si="3"/>
        <v>1145.6746739227158</v>
      </c>
      <c r="AJ91">
        <f t="shared" si="3"/>
        <v>1145.6746739227158</v>
      </c>
      <c r="AK91">
        <f t="shared" si="3"/>
        <v>1145.6746739227158</v>
      </c>
      <c r="AL91">
        <f t="shared" si="3"/>
        <v>323.05609451524282</v>
      </c>
      <c r="AM91">
        <f t="shared" si="3"/>
        <v>323.65414516542739</v>
      </c>
      <c r="AN91">
        <f t="shared" si="3"/>
        <v>324.24863167851896</v>
      </c>
      <c r="AO91">
        <f t="shared" si="3"/>
        <v>324.83945807688906</v>
      </c>
      <c r="AP91">
        <f t="shared" si="3"/>
        <v>1145.6746739227158</v>
      </c>
      <c r="AQ91">
        <f t="shared" si="3"/>
        <v>1145.6746739227158</v>
      </c>
      <c r="AR91">
        <f t="shared" si="3"/>
        <v>326.58902591436208</v>
      </c>
      <c r="AS91">
        <f t="shared" si="3"/>
        <v>327.16426433925079</v>
      </c>
      <c r="AT91">
        <f t="shared" si="3"/>
        <v>327.73537210588216</v>
      </c>
      <c r="AU91">
        <f t="shared" si="3"/>
        <v>1527.5662318969544</v>
      </c>
      <c r="AV91">
        <f t="shared" si="3"/>
        <v>1527.5662318969544</v>
      </c>
      <c r="AW91">
        <f t="shared" si="3"/>
        <v>1527.5662318969544</v>
      </c>
      <c r="AX91">
        <f t="shared" si="3"/>
        <v>1527.5662318969544</v>
      </c>
    </row>
    <row r="92" spans="2:50" x14ac:dyDescent="0.2">
      <c r="B92" s="116" t="s">
        <v>108</v>
      </c>
      <c r="C92">
        <f t="shared" si="4"/>
        <v>1208.5789156134101</v>
      </c>
      <c r="D92">
        <f t="shared" si="4"/>
        <v>1208.5789156134101</v>
      </c>
      <c r="E92">
        <f t="shared" si="4"/>
        <v>1208.5789156134101</v>
      </c>
      <c r="F92">
        <f t="shared" si="4"/>
        <v>1208.5789156134101</v>
      </c>
      <c r="G92">
        <f t="shared" si="4"/>
        <v>1208.5789156134101</v>
      </c>
      <c r="H92">
        <f t="shared" si="4"/>
        <v>1208.5789156134101</v>
      </c>
      <c r="I92">
        <f t="shared" si="4"/>
        <v>1208.5789156134101</v>
      </c>
      <c r="J92">
        <f t="shared" si="4"/>
        <v>1208.5789156134101</v>
      </c>
      <c r="K92">
        <f t="shared" si="4"/>
        <v>1208.5789156134101</v>
      </c>
      <c r="L92">
        <f t="shared" si="4"/>
        <v>1208.5789156134101</v>
      </c>
      <c r="M92">
        <f t="shared" si="4"/>
        <v>1208.5789156134101</v>
      </c>
      <c r="N92">
        <f t="shared" si="4"/>
        <v>1208.5789156134101</v>
      </c>
      <c r="O92">
        <f t="shared" si="4"/>
        <v>1208.5789156134101</v>
      </c>
      <c r="P92">
        <f t="shared" si="4"/>
        <v>1208.5789156134101</v>
      </c>
      <c r="Q92">
        <f t="shared" si="4"/>
        <v>1208.5789156134101</v>
      </c>
      <c r="R92">
        <f t="shared" si="4"/>
        <v>1208.5789156134101</v>
      </c>
      <c r="S92">
        <f t="shared" si="3"/>
        <v>1208.5789156134101</v>
      </c>
      <c r="T92">
        <f t="shared" si="3"/>
        <v>1208.5789156134101</v>
      </c>
      <c r="U92">
        <f t="shared" si="3"/>
        <v>1208.5789156134101</v>
      </c>
      <c r="V92">
        <f t="shared" si="3"/>
        <v>1208.5789156134101</v>
      </c>
      <c r="W92">
        <f t="shared" si="3"/>
        <v>1208.5789156134101</v>
      </c>
      <c r="X92">
        <f t="shared" si="3"/>
        <v>1208.5789156134101</v>
      </c>
      <c r="Y92">
        <f t="shared" si="3"/>
        <v>1208.5789156134101</v>
      </c>
      <c r="Z92">
        <f t="shared" si="3"/>
        <v>1208.5789156134101</v>
      </c>
      <c r="AA92">
        <f t="shared" si="3"/>
        <v>1208.5789156134101</v>
      </c>
      <c r="AB92">
        <f t="shared" si="3"/>
        <v>1208.5789156134101</v>
      </c>
      <c r="AC92">
        <f t="shared" si="3"/>
        <v>1208.5789156134101</v>
      </c>
      <c r="AD92">
        <f t="shared" si="3"/>
        <v>1208.5789156134101</v>
      </c>
      <c r="AE92">
        <f t="shared" si="3"/>
        <v>1208.5789156134101</v>
      </c>
      <c r="AF92">
        <f t="shared" si="3"/>
        <v>1208.5789156134101</v>
      </c>
      <c r="AG92">
        <f t="shared" si="3"/>
        <v>1208.5789156134101</v>
      </c>
      <c r="AH92">
        <f t="shared" si="3"/>
        <v>1208.5789156134101</v>
      </c>
      <c r="AI92">
        <f t="shared" si="3"/>
        <v>1208.5789156134101</v>
      </c>
      <c r="AJ92">
        <f t="shared" si="3"/>
        <v>1208.5789156134101</v>
      </c>
      <c r="AK92">
        <f t="shared" si="3"/>
        <v>1208.5789156134101</v>
      </c>
      <c r="AL92">
        <f t="shared" si="3"/>
        <v>1208.5789156134101</v>
      </c>
      <c r="AM92">
        <f t="shared" si="3"/>
        <v>1208.5789156134101</v>
      </c>
      <c r="AN92">
        <f t="shared" si="3"/>
        <v>1208.5789156134101</v>
      </c>
      <c r="AO92">
        <f t="shared" si="3"/>
        <v>1208.5789156134101</v>
      </c>
      <c r="AP92">
        <f t="shared" si="3"/>
        <v>1208.5789156134101</v>
      </c>
      <c r="AQ92">
        <f t="shared" si="3"/>
        <v>1208.5789156134101</v>
      </c>
      <c r="AR92">
        <f t="shared" si="3"/>
        <v>1208.5789156134101</v>
      </c>
      <c r="AS92">
        <f t="shared" si="3"/>
        <v>1208.5789156134101</v>
      </c>
      <c r="AT92">
        <f t="shared" si="3"/>
        <v>1208.5789156134101</v>
      </c>
      <c r="AU92">
        <f t="shared" si="3"/>
        <v>1208.5789156134101</v>
      </c>
      <c r="AV92">
        <f t="shared" si="3"/>
        <v>1208.5789156134101</v>
      </c>
      <c r="AW92">
        <f t="shared" si="3"/>
        <v>1208.5789156134101</v>
      </c>
      <c r="AX92">
        <f t="shared" si="3"/>
        <v>1208.5789156134101</v>
      </c>
    </row>
    <row r="93" spans="2:50" x14ac:dyDescent="0.2">
      <c r="B93" s="116" t="s">
        <v>109</v>
      </c>
      <c r="C93">
        <f t="shared" si="4"/>
        <v>1091.976936098192</v>
      </c>
      <c r="D93">
        <f t="shared" si="4"/>
        <v>1091.976936098192</v>
      </c>
      <c r="E93">
        <f t="shared" si="4"/>
        <v>1091.976936098192</v>
      </c>
      <c r="F93">
        <f t="shared" si="4"/>
        <v>1091.976936098192</v>
      </c>
      <c r="G93">
        <f t="shared" si="4"/>
        <v>1091.976936098192</v>
      </c>
      <c r="H93">
        <f t="shared" si="4"/>
        <v>1091.976936098192</v>
      </c>
      <c r="I93">
        <f t="shared" si="4"/>
        <v>1091.976936098192</v>
      </c>
      <c r="J93">
        <f t="shared" si="4"/>
        <v>1091.976936098192</v>
      </c>
      <c r="K93">
        <f t="shared" si="4"/>
        <v>1455.9692481309228</v>
      </c>
      <c r="L93">
        <f t="shared" si="4"/>
        <v>1455.9692481309228</v>
      </c>
      <c r="M93">
        <f t="shared" si="4"/>
        <v>1455.9692481309228</v>
      </c>
      <c r="N93">
        <f t="shared" si="4"/>
        <v>1455.9692481309228</v>
      </c>
      <c r="O93">
        <f t="shared" si="4"/>
        <v>1455.9692481309228</v>
      </c>
      <c r="P93">
        <f t="shared" si="4"/>
        <v>1455.9692481309228</v>
      </c>
      <c r="Q93">
        <f t="shared" si="4"/>
        <v>1455.9692481309228</v>
      </c>
      <c r="R93">
        <f t="shared" si="4"/>
        <v>1455.9692481309228</v>
      </c>
      <c r="S93">
        <f t="shared" si="3"/>
        <v>1455.9692481309228</v>
      </c>
      <c r="T93">
        <f t="shared" si="3"/>
        <v>1455.9692481309228</v>
      </c>
      <c r="U93">
        <f t="shared" si="3"/>
        <v>1455.9692481309228</v>
      </c>
      <c r="V93">
        <f t="shared" si="3"/>
        <v>1455.9692481309228</v>
      </c>
      <c r="W93">
        <f t="shared" si="3"/>
        <v>1091.976936098192</v>
      </c>
      <c r="X93">
        <f t="shared" si="3"/>
        <v>1091.976936098192</v>
      </c>
      <c r="Y93">
        <f t="shared" si="3"/>
        <v>1091.976936098192</v>
      </c>
      <c r="Z93">
        <f t="shared" si="3"/>
        <v>1091.976936098192</v>
      </c>
      <c r="AA93">
        <f t="shared" si="3"/>
        <v>1091.976936098192</v>
      </c>
      <c r="AB93">
        <f t="shared" si="3"/>
        <v>1091.976936098192</v>
      </c>
      <c r="AC93">
        <f t="shared" si="3"/>
        <v>1091.976936098192</v>
      </c>
      <c r="AD93">
        <f t="shared" si="3"/>
        <v>1091.976936098192</v>
      </c>
      <c r="AE93">
        <f t="shared" si="3"/>
        <v>1091.976936098192</v>
      </c>
      <c r="AF93">
        <f t="shared" si="3"/>
        <v>1091.976936098192</v>
      </c>
      <c r="AG93">
        <f t="shared" si="3"/>
        <v>1091.976936098192</v>
      </c>
      <c r="AH93">
        <f t="shared" si="3"/>
        <v>1091.976936098192</v>
      </c>
      <c r="AI93">
        <f t="shared" si="3"/>
        <v>1091.976936098192</v>
      </c>
      <c r="AJ93">
        <f t="shared" si="3"/>
        <v>1091.976936098192</v>
      </c>
      <c r="AK93">
        <f t="shared" si="3"/>
        <v>1091.976936098192</v>
      </c>
      <c r="AL93">
        <f t="shared" si="3"/>
        <v>1091.976936098192</v>
      </c>
      <c r="AM93">
        <f t="shared" si="3"/>
        <v>1091.976936098192</v>
      </c>
      <c r="AN93">
        <f t="shared" si="3"/>
        <v>1091.976936098192</v>
      </c>
      <c r="AO93">
        <f t="shared" si="3"/>
        <v>1091.976936098192</v>
      </c>
      <c r="AP93">
        <f t="shared" si="3"/>
        <v>1091.976936098192</v>
      </c>
      <c r="AQ93">
        <f t="shared" si="3"/>
        <v>1091.976936098192</v>
      </c>
      <c r="AR93">
        <f t="shared" si="3"/>
        <v>1091.976936098192</v>
      </c>
      <c r="AS93">
        <f t="shared" si="3"/>
        <v>1091.976936098192</v>
      </c>
      <c r="AT93">
        <f t="shared" si="3"/>
        <v>1091.976936098192</v>
      </c>
      <c r="AU93">
        <f t="shared" si="3"/>
        <v>1091.976936098192</v>
      </c>
      <c r="AV93">
        <f t="shared" si="3"/>
        <v>1091.976936098192</v>
      </c>
      <c r="AW93">
        <f t="shared" si="3"/>
        <v>1091.976936098192</v>
      </c>
      <c r="AX93">
        <f t="shared" si="3"/>
        <v>1091.976936098192</v>
      </c>
    </row>
    <row r="94" spans="2:50" x14ac:dyDescent="0.2">
      <c r="B94" s="117"/>
    </row>
    <row r="95" spans="2:50" x14ac:dyDescent="0.2">
      <c r="B95" s="53" t="s">
        <v>335</v>
      </c>
    </row>
    <row r="96" spans="2:50" x14ac:dyDescent="0.2">
      <c r="B96" s="29"/>
      <c r="C96" s="120" t="s">
        <v>92</v>
      </c>
      <c r="D96" s="117"/>
      <c r="E96" s="117"/>
      <c r="F96" s="117"/>
      <c r="G96" s="120" t="s">
        <v>93</v>
      </c>
      <c r="H96" s="117"/>
      <c r="I96" s="117"/>
      <c r="J96" s="117"/>
      <c r="K96" s="120" t="s">
        <v>94</v>
      </c>
      <c r="L96" s="117"/>
      <c r="M96" s="117"/>
      <c r="N96" s="117"/>
      <c r="O96" s="120" t="s">
        <v>95</v>
      </c>
      <c r="P96" s="117"/>
      <c r="Q96" s="117"/>
      <c r="R96" s="117"/>
      <c r="S96" s="120" t="s">
        <v>96</v>
      </c>
      <c r="T96" s="117"/>
      <c r="U96" s="117"/>
      <c r="V96" s="117"/>
      <c r="W96" s="120" t="s">
        <v>97</v>
      </c>
      <c r="X96" s="117"/>
      <c r="Y96" s="117"/>
      <c r="Z96" s="117"/>
      <c r="AA96" s="120" t="s">
        <v>98</v>
      </c>
      <c r="AB96" s="117"/>
      <c r="AC96" s="117"/>
      <c r="AD96" s="117"/>
      <c r="AE96" s="120" t="s">
        <v>99</v>
      </c>
      <c r="AF96" s="117"/>
      <c r="AG96" s="117"/>
      <c r="AH96" s="117"/>
      <c r="AI96" s="120" t="s">
        <v>100</v>
      </c>
      <c r="AJ96" s="117"/>
      <c r="AK96" s="117"/>
      <c r="AL96" s="117"/>
      <c r="AM96" s="120" t="s">
        <v>101</v>
      </c>
      <c r="AN96" s="117"/>
      <c r="AO96" s="117"/>
      <c r="AP96" s="117"/>
      <c r="AQ96" s="120" t="s">
        <v>102</v>
      </c>
      <c r="AR96" s="117"/>
      <c r="AS96" s="117"/>
      <c r="AT96" s="117"/>
      <c r="AU96" s="120" t="s">
        <v>103</v>
      </c>
      <c r="AV96" s="117"/>
      <c r="AW96" s="117"/>
    </row>
    <row r="97" spans="1:50" x14ac:dyDescent="0.2">
      <c r="A97" s="188" t="s">
        <v>121</v>
      </c>
      <c r="B97" s="188" t="s">
        <v>336</v>
      </c>
      <c r="C97" s="120">
        <v>1</v>
      </c>
      <c r="D97" s="120">
        <v>2</v>
      </c>
      <c r="E97" s="120">
        <v>3</v>
      </c>
      <c r="F97" s="120">
        <v>4</v>
      </c>
      <c r="G97" s="120">
        <v>1</v>
      </c>
      <c r="H97" s="120">
        <v>2</v>
      </c>
      <c r="I97" s="120">
        <v>3</v>
      </c>
      <c r="J97" s="120">
        <v>4</v>
      </c>
      <c r="K97" s="120">
        <v>1</v>
      </c>
      <c r="L97" s="120">
        <v>2</v>
      </c>
      <c r="M97" s="120">
        <v>3</v>
      </c>
      <c r="N97" s="120">
        <v>4</v>
      </c>
      <c r="O97" s="120">
        <v>1</v>
      </c>
      <c r="P97" s="120">
        <v>2</v>
      </c>
      <c r="Q97" s="120">
        <v>3</v>
      </c>
      <c r="R97" s="120">
        <v>4</v>
      </c>
      <c r="S97" s="120">
        <v>1</v>
      </c>
      <c r="T97" s="120">
        <v>2</v>
      </c>
      <c r="U97" s="120">
        <v>3</v>
      </c>
      <c r="V97" s="120">
        <v>4</v>
      </c>
      <c r="W97" s="120">
        <v>1</v>
      </c>
      <c r="X97" s="120">
        <v>2</v>
      </c>
      <c r="Y97" s="120">
        <v>3</v>
      </c>
      <c r="Z97" s="120">
        <v>4</v>
      </c>
      <c r="AA97" s="120">
        <v>1</v>
      </c>
      <c r="AB97" s="120">
        <v>2</v>
      </c>
      <c r="AC97" s="120">
        <v>3</v>
      </c>
      <c r="AD97" s="120">
        <v>4</v>
      </c>
      <c r="AE97" s="120">
        <v>1</v>
      </c>
      <c r="AF97" s="120">
        <v>2</v>
      </c>
      <c r="AG97" s="120">
        <v>3</v>
      </c>
      <c r="AH97" s="120">
        <v>4</v>
      </c>
      <c r="AI97" s="120">
        <v>1</v>
      </c>
      <c r="AJ97" s="120">
        <v>2</v>
      </c>
      <c r="AK97" s="120">
        <v>3</v>
      </c>
      <c r="AL97" s="120">
        <v>4</v>
      </c>
      <c r="AM97" s="120">
        <v>1</v>
      </c>
      <c r="AN97" s="120">
        <v>2</v>
      </c>
      <c r="AO97" s="120">
        <v>3</v>
      </c>
      <c r="AP97" s="120">
        <v>4</v>
      </c>
      <c r="AQ97" s="120">
        <v>1</v>
      </c>
      <c r="AR97" s="120">
        <v>2</v>
      </c>
      <c r="AS97" s="120">
        <v>3</v>
      </c>
      <c r="AT97" s="120">
        <v>4</v>
      </c>
      <c r="AU97" s="120">
        <v>1</v>
      </c>
      <c r="AV97" s="120">
        <v>2</v>
      </c>
      <c r="AW97" s="120">
        <v>3</v>
      </c>
      <c r="AX97" s="120">
        <v>4</v>
      </c>
    </row>
    <row r="98" spans="1:50" x14ac:dyDescent="0.2">
      <c r="A98" s="120" t="s">
        <v>104</v>
      </c>
      <c r="B98" s="120" t="s">
        <v>5</v>
      </c>
      <c r="C98">
        <v>98016.305491702398</v>
      </c>
      <c r="D98">
        <v>98016.305491702398</v>
      </c>
      <c r="E98">
        <v>98016.305491702398</v>
      </c>
      <c r="F98">
        <v>98016.305491702398</v>
      </c>
      <c r="G98">
        <v>95692.934319313747</v>
      </c>
      <c r="H98">
        <v>95692.934319313747</v>
      </c>
      <c r="I98">
        <v>95692.934319313747</v>
      </c>
      <c r="J98">
        <v>95692.934319313747</v>
      </c>
      <c r="K98">
        <v>98016.305491702398</v>
      </c>
      <c r="L98">
        <v>98016.305491702398</v>
      </c>
      <c r="M98">
        <v>98016.305491702398</v>
      </c>
      <c r="N98">
        <v>98016.305491702398</v>
      </c>
      <c r="O98">
        <v>98016.305491702398</v>
      </c>
      <c r="P98">
        <v>98016.305491702398</v>
      </c>
      <c r="Q98">
        <v>98016.305491702398</v>
      </c>
      <c r="R98">
        <v>98016.305491702398</v>
      </c>
      <c r="S98">
        <v>98016.305491702398</v>
      </c>
      <c r="T98">
        <v>98016.305491702398</v>
      </c>
      <c r="U98">
        <v>98016.305491702398</v>
      </c>
      <c r="V98">
        <v>98016.305491702398</v>
      </c>
      <c r="W98">
        <v>98016.305491702398</v>
      </c>
      <c r="X98">
        <v>98016.305491702398</v>
      </c>
      <c r="Y98">
        <v>98016.305491702398</v>
      </c>
      <c r="Z98">
        <v>98016.305491702398</v>
      </c>
      <c r="AA98">
        <v>98016.305491702398</v>
      </c>
      <c r="AB98">
        <v>98016.305491702398</v>
      </c>
      <c r="AC98">
        <v>98016.305491702398</v>
      </c>
      <c r="AD98">
        <v>98016.305491702398</v>
      </c>
      <c r="AE98">
        <v>98016.305491702398</v>
      </c>
      <c r="AF98">
        <v>98016.305491702398</v>
      </c>
      <c r="AG98">
        <v>98016.305491702398</v>
      </c>
      <c r="AH98">
        <v>98016.305491702398</v>
      </c>
      <c r="AI98">
        <v>98016.305491702398</v>
      </c>
      <c r="AJ98">
        <v>98016.305491702398</v>
      </c>
      <c r="AK98">
        <v>98016.305491702398</v>
      </c>
      <c r="AL98">
        <v>98016.305491702398</v>
      </c>
      <c r="AM98">
        <v>98016.305491702398</v>
      </c>
      <c r="AN98">
        <v>98016.305491702398</v>
      </c>
      <c r="AO98">
        <v>98016.305491702398</v>
      </c>
      <c r="AP98">
        <v>98016.305491702398</v>
      </c>
      <c r="AQ98">
        <v>98016.305491702398</v>
      </c>
      <c r="AR98">
        <v>98016.305491702398</v>
      </c>
      <c r="AS98">
        <v>98016.305491702398</v>
      </c>
      <c r="AT98">
        <v>98016.305491702398</v>
      </c>
      <c r="AU98">
        <v>95692.934319313747</v>
      </c>
      <c r="AV98">
        <v>95692.934319313747</v>
      </c>
      <c r="AW98">
        <v>95692.934319313747</v>
      </c>
      <c r="AX98">
        <v>95692.934319313747</v>
      </c>
    </row>
    <row r="99" spans="1:50" x14ac:dyDescent="0.2">
      <c r="B99" s="120" t="s">
        <v>10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</row>
    <row r="100" spans="1:50" x14ac:dyDescent="0.2">
      <c r="B100" s="120" t="s">
        <v>12</v>
      </c>
      <c r="C100">
        <v>684359.77076344774</v>
      </c>
      <c r="D100">
        <v>684359.77076344774</v>
      </c>
      <c r="E100">
        <v>684359.77076344774</v>
      </c>
      <c r="F100">
        <v>684359.77076344774</v>
      </c>
      <c r="G100">
        <v>668137.75795692648</v>
      </c>
      <c r="H100">
        <v>668137.75795692648</v>
      </c>
      <c r="I100">
        <v>668137.75795692648</v>
      </c>
      <c r="J100">
        <v>668137.75795692648</v>
      </c>
      <c r="K100">
        <v>684359.77076344774</v>
      </c>
      <c r="L100">
        <v>684359.77076344774</v>
      </c>
      <c r="M100">
        <v>684359.77076344774</v>
      </c>
      <c r="N100">
        <v>684359.77076344774</v>
      </c>
      <c r="O100">
        <v>684359.77076344774</v>
      </c>
      <c r="P100">
        <v>684359.77076344774</v>
      </c>
      <c r="Q100">
        <v>684359.77076344774</v>
      </c>
      <c r="R100">
        <v>684359.77076344774</v>
      </c>
      <c r="S100">
        <v>684359.77076344774</v>
      </c>
      <c r="T100">
        <v>684359.77076344774</v>
      </c>
      <c r="U100">
        <v>684359.77076344774</v>
      </c>
      <c r="V100">
        <v>684359.77076344774</v>
      </c>
      <c r="W100">
        <v>684359.77076344774</v>
      </c>
      <c r="X100">
        <v>684359.77076344774</v>
      </c>
      <c r="Y100">
        <v>684359.77076344774</v>
      </c>
      <c r="Z100">
        <v>684359.77076344774</v>
      </c>
      <c r="AA100">
        <v>684359.77076344774</v>
      </c>
      <c r="AB100">
        <v>684359.77076344774</v>
      </c>
      <c r="AC100">
        <v>684359.77076344774</v>
      </c>
      <c r="AD100">
        <v>684359.77076344774</v>
      </c>
      <c r="AE100">
        <v>684359.77076344774</v>
      </c>
      <c r="AF100">
        <v>684359.77076344774</v>
      </c>
      <c r="AG100">
        <v>684359.77076344774</v>
      </c>
      <c r="AH100">
        <v>684359.77076344774</v>
      </c>
      <c r="AI100">
        <v>684359.77076344774</v>
      </c>
      <c r="AJ100">
        <v>684359.77076344774</v>
      </c>
      <c r="AK100">
        <v>684359.77076344774</v>
      </c>
      <c r="AL100">
        <v>684359.77076344774</v>
      </c>
      <c r="AM100">
        <v>684359.77076344774</v>
      </c>
      <c r="AN100">
        <v>684359.77076344774</v>
      </c>
      <c r="AO100">
        <v>684359.77076344774</v>
      </c>
      <c r="AP100">
        <v>684359.77076344774</v>
      </c>
      <c r="AQ100">
        <v>684359.77076344774</v>
      </c>
      <c r="AR100">
        <v>684359.77076344774</v>
      </c>
      <c r="AS100">
        <v>684359.77076344774</v>
      </c>
      <c r="AT100">
        <v>684359.77076344774</v>
      </c>
      <c r="AU100">
        <v>668137.75795692648</v>
      </c>
      <c r="AV100">
        <v>668137.75795692648</v>
      </c>
      <c r="AW100">
        <v>668137.75795692648</v>
      </c>
      <c r="AX100">
        <v>668137.75795692648</v>
      </c>
    </row>
    <row r="101" spans="1:50" x14ac:dyDescent="0.2">
      <c r="B101" s="120" t="s">
        <v>22</v>
      </c>
      <c r="C101">
        <v>1944467.4816006331</v>
      </c>
      <c r="D101">
        <v>1944467.4816006331</v>
      </c>
      <c r="E101">
        <v>1944467.4816006331</v>
      </c>
      <c r="F101">
        <v>1944467.4816006331</v>
      </c>
      <c r="G101">
        <v>1898375.9698900583</v>
      </c>
      <c r="H101">
        <v>1898375.9698900583</v>
      </c>
      <c r="I101">
        <v>1898375.9698900583</v>
      </c>
      <c r="J101">
        <v>1898375.9698900583</v>
      </c>
      <c r="K101">
        <v>1944467.4816006331</v>
      </c>
      <c r="L101">
        <v>1944467.4816006331</v>
      </c>
      <c r="M101">
        <v>1944467.4816006331</v>
      </c>
      <c r="N101">
        <v>1944467.4816006331</v>
      </c>
      <c r="O101">
        <v>1944467.4816006331</v>
      </c>
      <c r="P101">
        <v>1944467.4816006331</v>
      </c>
      <c r="Q101">
        <v>1944467.4816006331</v>
      </c>
      <c r="R101">
        <v>1944467.4816006331</v>
      </c>
      <c r="S101">
        <v>1944467.4816006331</v>
      </c>
      <c r="T101">
        <v>1944467.4816006331</v>
      </c>
      <c r="U101">
        <v>1944467.4816006331</v>
      </c>
      <c r="V101">
        <v>1944467.4816006331</v>
      </c>
      <c r="W101">
        <v>1944467.4816006331</v>
      </c>
      <c r="X101">
        <v>1944467.4816006331</v>
      </c>
      <c r="Y101">
        <v>1944467.4816006331</v>
      </c>
      <c r="Z101">
        <v>1944467.4816006331</v>
      </c>
      <c r="AA101">
        <v>1944467.4816006331</v>
      </c>
      <c r="AB101">
        <v>1944467.4816006331</v>
      </c>
      <c r="AC101">
        <v>1944467.4816006331</v>
      </c>
      <c r="AD101">
        <v>1944467.4816006331</v>
      </c>
      <c r="AE101">
        <v>1944467.4816006331</v>
      </c>
      <c r="AF101">
        <v>1944467.4816006331</v>
      </c>
      <c r="AG101">
        <v>1944467.4816006331</v>
      </c>
      <c r="AH101">
        <v>1944467.4816006331</v>
      </c>
      <c r="AI101">
        <v>1944467.4816006331</v>
      </c>
      <c r="AJ101">
        <v>1944467.4816006331</v>
      </c>
      <c r="AK101">
        <v>1944467.4816006331</v>
      </c>
      <c r="AL101">
        <v>1944467.4816006331</v>
      </c>
      <c r="AM101">
        <v>1944467.4816006331</v>
      </c>
      <c r="AN101">
        <v>1944467.4816006331</v>
      </c>
      <c r="AO101">
        <v>1944467.4816006331</v>
      </c>
      <c r="AP101">
        <v>1944467.4816006331</v>
      </c>
      <c r="AQ101">
        <v>1944467.4816006331</v>
      </c>
      <c r="AR101">
        <v>1944467.4816006331</v>
      </c>
      <c r="AS101">
        <v>1944467.4816006331</v>
      </c>
      <c r="AT101">
        <v>1944467.4816006331</v>
      </c>
      <c r="AU101">
        <v>1898375.9698900583</v>
      </c>
      <c r="AV101">
        <v>1898375.9698900583</v>
      </c>
      <c r="AW101">
        <v>1898375.9698900583</v>
      </c>
      <c r="AX101">
        <v>1898375.9698900583</v>
      </c>
    </row>
    <row r="102" spans="1:50" x14ac:dyDescent="0.2">
      <c r="B102" s="120" t="s">
        <v>59</v>
      </c>
      <c r="C102">
        <v>1617777.4461718563</v>
      </c>
      <c r="D102">
        <v>1617777.4461718563</v>
      </c>
      <c r="E102">
        <v>1617777.4461718563</v>
      </c>
      <c r="F102">
        <v>1617777.4461718563</v>
      </c>
      <c r="G102">
        <v>1579429.7706201144</v>
      </c>
      <c r="H102">
        <v>1579429.7706201144</v>
      </c>
      <c r="I102">
        <v>1579429.7706201144</v>
      </c>
      <c r="J102">
        <v>1579429.7706201144</v>
      </c>
      <c r="K102">
        <v>1617777.4461718563</v>
      </c>
      <c r="L102">
        <v>1617777.4461718563</v>
      </c>
      <c r="M102">
        <v>1617777.4461718563</v>
      </c>
      <c r="N102">
        <v>1617777.4461718563</v>
      </c>
      <c r="O102">
        <v>1617777.4461718563</v>
      </c>
      <c r="P102">
        <v>1617777.4461718563</v>
      </c>
      <c r="Q102">
        <v>1617777.4461718563</v>
      </c>
      <c r="R102">
        <v>1617777.4461718563</v>
      </c>
      <c r="S102">
        <v>1617777.4461718563</v>
      </c>
      <c r="T102">
        <v>1617777.4461718563</v>
      </c>
      <c r="U102">
        <v>1617777.4461718563</v>
      </c>
      <c r="V102">
        <v>1617777.4461718563</v>
      </c>
      <c r="W102">
        <v>1617777.4461718563</v>
      </c>
      <c r="X102">
        <v>1617777.4461718563</v>
      </c>
      <c r="Y102">
        <v>1617777.4461718563</v>
      </c>
      <c r="Z102">
        <v>1617777.4461718563</v>
      </c>
      <c r="AA102">
        <v>1617777.4461718563</v>
      </c>
      <c r="AB102">
        <v>1617777.4461718563</v>
      </c>
      <c r="AC102">
        <v>1617777.4461718563</v>
      </c>
      <c r="AD102">
        <v>1617777.4461718563</v>
      </c>
      <c r="AE102">
        <v>1617777.4461718563</v>
      </c>
      <c r="AF102">
        <v>1617777.4461718563</v>
      </c>
      <c r="AG102">
        <v>1617777.4461718563</v>
      </c>
      <c r="AH102">
        <v>1617777.4461718563</v>
      </c>
      <c r="AI102">
        <v>1617777.4461718563</v>
      </c>
      <c r="AJ102">
        <v>1617777.4461718563</v>
      </c>
      <c r="AK102">
        <v>1617777.4461718563</v>
      </c>
      <c r="AL102">
        <v>1617777.4461718563</v>
      </c>
      <c r="AM102">
        <v>1617777.4461718563</v>
      </c>
      <c r="AN102">
        <v>1617777.4461718563</v>
      </c>
      <c r="AO102">
        <v>1617777.4461718563</v>
      </c>
      <c r="AP102">
        <v>1617777.4461718563</v>
      </c>
      <c r="AQ102">
        <v>1617777.4461718563</v>
      </c>
      <c r="AR102">
        <v>1617777.4461718563</v>
      </c>
      <c r="AS102">
        <v>1617777.4461718563</v>
      </c>
      <c r="AT102">
        <v>1617777.4461718563</v>
      </c>
      <c r="AU102">
        <v>1579429.7706201144</v>
      </c>
      <c r="AV102">
        <v>1579429.7706201144</v>
      </c>
      <c r="AW102">
        <v>1579429.7706201144</v>
      </c>
      <c r="AX102">
        <v>1579429.7706201144</v>
      </c>
    </row>
    <row r="103" spans="1:50" x14ac:dyDescent="0.2">
      <c r="B103" t="s">
        <v>278</v>
      </c>
      <c r="C103" s="120">
        <f>SUM(C$98:C$102)</f>
        <v>4344621.0040276395</v>
      </c>
      <c r="D103" s="120">
        <f t="shared" ref="D103:AX103" si="5">SUM(D$98:D$102)</f>
        <v>4344621.0040276395</v>
      </c>
      <c r="E103" s="120">
        <f t="shared" si="5"/>
        <v>4344621.0040276395</v>
      </c>
      <c r="F103" s="120">
        <f t="shared" si="5"/>
        <v>4344621.0040276395</v>
      </c>
      <c r="G103" s="120">
        <f t="shared" si="5"/>
        <v>4241636.4327864125</v>
      </c>
      <c r="H103" s="120">
        <f t="shared" si="5"/>
        <v>4241636.4327864125</v>
      </c>
      <c r="I103" s="120">
        <f t="shared" si="5"/>
        <v>4241636.4327864125</v>
      </c>
      <c r="J103" s="120">
        <f t="shared" si="5"/>
        <v>4241636.4327864125</v>
      </c>
      <c r="K103" s="120">
        <f t="shared" si="5"/>
        <v>4344621.0040276395</v>
      </c>
      <c r="L103" s="120">
        <f t="shared" si="5"/>
        <v>4344621.0040276395</v>
      </c>
      <c r="M103" s="120">
        <f t="shared" si="5"/>
        <v>4344621.0040276395</v>
      </c>
      <c r="N103" s="120">
        <f t="shared" si="5"/>
        <v>4344621.0040276395</v>
      </c>
      <c r="O103" s="120">
        <f t="shared" si="5"/>
        <v>4344621.0040276395</v>
      </c>
      <c r="P103" s="120">
        <f t="shared" si="5"/>
        <v>4344621.0040276395</v>
      </c>
      <c r="Q103" s="120">
        <f t="shared" si="5"/>
        <v>4344621.0040276395</v>
      </c>
      <c r="R103" s="120">
        <f t="shared" si="5"/>
        <v>4344621.0040276395</v>
      </c>
      <c r="S103" s="120">
        <f t="shared" si="5"/>
        <v>4344621.0040276395</v>
      </c>
      <c r="T103" s="120">
        <f t="shared" si="5"/>
        <v>4344621.0040276395</v>
      </c>
      <c r="U103" s="120">
        <f t="shared" si="5"/>
        <v>4344621.0040276395</v>
      </c>
      <c r="V103" s="120">
        <f t="shared" si="5"/>
        <v>4344621.0040276395</v>
      </c>
      <c r="W103" s="120">
        <f t="shared" si="5"/>
        <v>4344621.0040276395</v>
      </c>
      <c r="X103" s="120">
        <f t="shared" si="5"/>
        <v>4344621.0040276395</v>
      </c>
      <c r="Y103" s="120">
        <f t="shared" si="5"/>
        <v>4344621.0040276395</v>
      </c>
      <c r="Z103" s="120">
        <f t="shared" si="5"/>
        <v>4344621.0040276395</v>
      </c>
      <c r="AA103" s="120">
        <f t="shared" si="5"/>
        <v>4344621.0040276395</v>
      </c>
      <c r="AB103" s="120">
        <f t="shared" si="5"/>
        <v>4344621.0040276395</v>
      </c>
      <c r="AC103" s="120">
        <f t="shared" si="5"/>
        <v>4344621.0040276395</v>
      </c>
      <c r="AD103" s="120">
        <f t="shared" si="5"/>
        <v>4344621.0040276395</v>
      </c>
      <c r="AE103" s="120">
        <f t="shared" si="5"/>
        <v>4344621.0040276395</v>
      </c>
      <c r="AF103" s="120">
        <f t="shared" si="5"/>
        <v>4344621.0040276395</v>
      </c>
      <c r="AG103" s="120">
        <f t="shared" si="5"/>
        <v>4344621.0040276395</v>
      </c>
      <c r="AH103" s="120">
        <f t="shared" si="5"/>
        <v>4344621.0040276395</v>
      </c>
      <c r="AI103" s="120">
        <f t="shared" si="5"/>
        <v>4344621.0040276395</v>
      </c>
      <c r="AJ103" s="120">
        <f t="shared" si="5"/>
        <v>4344621.0040276395</v>
      </c>
      <c r="AK103" s="120">
        <f t="shared" si="5"/>
        <v>4344621.0040276395</v>
      </c>
      <c r="AL103" s="120">
        <f t="shared" si="5"/>
        <v>4344621.0040276395</v>
      </c>
      <c r="AM103" s="120">
        <f t="shared" si="5"/>
        <v>4344621.0040276395</v>
      </c>
      <c r="AN103" s="120">
        <f t="shared" si="5"/>
        <v>4344621.0040276395</v>
      </c>
      <c r="AO103" s="120">
        <f t="shared" si="5"/>
        <v>4344621.0040276395</v>
      </c>
      <c r="AP103" s="120">
        <f t="shared" si="5"/>
        <v>4344621.0040276395</v>
      </c>
      <c r="AQ103" s="120">
        <f t="shared" si="5"/>
        <v>4344621.0040276395</v>
      </c>
      <c r="AR103" s="120">
        <f t="shared" si="5"/>
        <v>4344621.0040276395</v>
      </c>
      <c r="AS103" s="120">
        <f t="shared" si="5"/>
        <v>4344621.0040276395</v>
      </c>
      <c r="AT103" s="120">
        <f t="shared" si="5"/>
        <v>4344621.0040276395</v>
      </c>
      <c r="AU103" s="120">
        <f t="shared" si="5"/>
        <v>4241636.4327864125</v>
      </c>
      <c r="AV103" s="120">
        <f t="shared" si="5"/>
        <v>4241636.4327864125</v>
      </c>
      <c r="AW103" s="120">
        <f t="shared" si="5"/>
        <v>4241636.4327864125</v>
      </c>
      <c r="AX103" s="120">
        <f t="shared" si="5"/>
        <v>4241636.4327864125</v>
      </c>
    </row>
    <row r="104" spans="1:50" x14ac:dyDescent="0.2">
      <c r="A104" s="120" t="s">
        <v>105</v>
      </c>
      <c r="B104" s="120" t="s">
        <v>5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</row>
    <row r="105" spans="1:50" x14ac:dyDescent="0.2">
      <c r="B105" s="120" t="s">
        <v>10</v>
      </c>
      <c r="C105">
        <v>45416.157377630407</v>
      </c>
      <c r="D105">
        <v>45416.157377630407</v>
      </c>
      <c r="E105">
        <v>45416.157377630407</v>
      </c>
      <c r="F105">
        <v>45416.157377630407</v>
      </c>
      <c r="G105">
        <v>34062.118033222803</v>
      </c>
      <c r="H105">
        <v>34062.118033222803</v>
      </c>
      <c r="I105">
        <v>34062.118033222803</v>
      </c>
      <c r="J105">
        <v>34062.118033222803</v>
      </c>
      <c r="K105">
        <v>45416.157377630407</v>
      </c>
      <c r="L105">
        <v>45416.157377630407</v>
      </c>
      <c r="M105">
        <v>45416.157377630407</v>
      </c>
      <c r="N105">
        <v>45416.157377630407</v>
      </c>
      <c r="O105">
        <v>34062.118033222803</v>
      </c>
      <c r="P105">
        <v>34062.118033222803</v>
      </c>
      <c r="Q105">
        <v>34062.118033222803</v>
      </c>
      <c r="R105">
        <v>34062.118033222803</v>
      </c>
      <c r="S105">
        <v>45416.157377630407</v>
      </c>
      <c r="T105">
        <v>45416.157377630407</v>
      </c>
      <c r="U105">
        <v>45416.157377630407</v>
      </c>
      <c r="V105">
        <v>45416.157377630407</v>
      </c>
      <c r="W105">
        <v>45416.157377630407</v>
      </c>
      <c r="X105">
        <v>45416.157377630407</v>
      </c>
      <c r="Y105">
        <v>45416.157377630407</v>
      </c>
      <c r="Z105">
        <v>45416.157377630407</v>
      </c>
      <c r="AA105">
        <v>34062.118033222803</v>
      </c>
      <c r="AB105">
        <v>34062.118033222803</v>
      </c>
      <c r="AC105">
        <v>34062.118033222803</v>
      </c>
      <c r="AD105">
        <v>34062.118033222803</v>
      </c>
      <c r="AE105">
        <v>45416.157377630407</v>
      </c>
      <c r="AF105">
        <v>45416.157377630407</v>
      </c>
      <c r="AG105">
        <v>45416.157377630407</v>
      </c>
      <c r="AH105">
        <v>45416.157377630407</v>
      </c>
      <c r="AI105">
        <v>45416.157377630407</v>
      </c>
      <c r="AJ105">
        <v>45416.157377630407</v>
      </c>
      <c r="AK105">
        <v>45416.157377630407</v>
      </c>
      <c r="AL105">
        <v>45416.157377630407</v>
      </c>
      <c r="AM105">
        <v>45416.157377630407</v>
      </c>
      <c r="AN105">
        <v>45416.157377630407</v>
      </c>
      <c r="AO105">
        <v>45416.157377630407</v>
      </c>
      <c r="AP105">
        <v>45416.157377630407</v>
      </c>
      <c r="AQ105">
        <v>34062.118033222803</v>
      </c>
      <c r="AR105">
        <v>34062.118033222803</v>
      </c>
      <c r="AS105">
        <v>34062.118033222803</v>
      </c>
      <c r="AT105">
        <v>34062.118033222803</v>
      </c>
      <c r="AU105">
        <v>45416.157377630407</v>
      </c>
      <c r="AV105">
        <v>45416.157377630407</v>
      </c>
      <c r="AW105">
        <v>45416.157377630407</v>
      </c>
      <c r="AX105">
        <v>45416.157377630407</v>
      </c>
    </row>
    <row r="106" spans="1:50" x14ac:dyDescent="0.2">
      <c r="B106" s="120" t="s">
        <v>12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</row>
    <row r="107" spans="1:50" x14ac:dyDescent="0.2">
      <c r="B107" s="120" t="s">
        <v>22</v>
      </c>
      <c r="C107">
        <v>67882.90671297173</v>
      </c>
      <c r="D107">
        <v>67882.90671297173</v>
      </c>
      <c r="E107">
        <v>67882.90671297173</v>
      </c>
      <c r="F107">
        <v>67882.90671297173</v>
      </c>
      <c r="G107">
        <v>50912.180034728794</v>
      </c>
      <c r="H107">
        <v>50912.180034728794</v>
      </c>
      <c r="I107">
        <v>50912.180034728794</v>
      </c>
      <c r="J107">
        <v>50912.180034728794</v>
      </c>
      <c r="K107">
        <v>67882.90671297173</v>
      </c>
      <c r="L107">
        <v>67882.90671297173</v>
      </c>
      <c r="M107">
        <v>67882.90671297173</v>
      </c>
      <c r="N107">
        <v>67882.90671297173</v>
      </c>
      <c r="O107">
        <v>50912.180034728794</v>
      </c>
      <c r="P107">
        <v>50912.180034728794</v>
      </c>
      <c r="Q107">
        <v>50912.180034728794</v>
      </c>
      <c r="R107">
        <v>50912.180034728794</v>
      </c>
      <c r="S107">
        <v>67882.90671297173</v>
      </c>
      <c r="T107">
        <v>67882.90671297173</v>
      </c>
      <c r="U107">
        <v>67882.90671297173</v>
      </c>
      <c r="V107">
        <v>67882.90671297173</v>
      </c>
      <c r="W107">
        <v>67882.90671297173</v>
      </c>
      <c r="X107">
        <v>67882.90671297173</v>
      </c>
      <c r="Y107">
        <v>67882.90671297173</v>
      </c>
      <c r="Z107">
        <v>67882.90671297173</v>
      </c>
      <c r="AA107">
        <v>50912.180034728794</v>
      </c>
      <c r="AB107">
        <v>50912.180034728794</v>
      </c>
      <c r="AC107">
        <v>50912.180034728794</v>
      </c>
      <c r="AD107">
        <v>50912.180034728794</v>
      </c>
      <c r="AE107">
        <v>67882.90671297173</v>
      </c>
      <c r="AF107">
        <v>67882.90671297173</v>
      </c>
      <c r="AG107">
        <v>67882.90671297173</v>
      </c>
      <c r="AH107">
        <v>67882.90671297173</v>
      </c>
      <c r="AI107">
        <v>67882.90671297173</v>
      </c>
      <c r="AJ107">
        <v>67882.90671297173</v>
      </c>
      <c r="AK107">
        <v>67882.90671297173</v>
      </c>
      <c r="AL107">
        <v>67882.90671297173</v>
      </c>
      <c r="AM107">
        <v>67882.90671297173</v>
      </c>
      <c r="AN107">
        <v>67882.90671297173</v>
      </c>
      <c r="AO107">
        <v>67882.90671297173</v>
      </c>
      <c r="AP107">
        <v>67882.90671297173</v>
      </c>
      <c r="AQ107">
        <v>50912.180034728794</v>
      </c>
      <c r="AR107">
        <v>50912.180034728794</v>
      </c>
      <c r="AS107">
        <v>50912.180034728794</v>
      </c>
      <c r="AT107">
        <v>50912.180034728794</v>
      </c>
      <c r="AU107">
        <v>67882.90671297173</v>
      </c>
      <c r="AV107">
        <v>67882.90671297173</v>
      </c>
      <c r="AW107">
        <v>67882.90671297173</v>
      </c>
      <c r="AX107">
        <v>67882.90671297173</v>
      </c>
    </row>
    <row r="108" spans="1:50" x14ac:dyDescent="0.2">
      <c r="B108" s="120" t="s">
        <v>59</v>
      </c>
      <c r="C108">
        <v>484227.2840780135</v>
      </c>
      <c r="D108">
        <v>484227.2840780135</v>
      </c>
      <c r="E108">
        <v>484227.2840780135</v>
      </c>
      <c r="F108">
        <v>484227.2840780135</v>
      </c>
      <c r="G108">
        <v>363170.46305851021</v>
      </c>
      <c r="H108">
        <v>363170.46305851021</v>
      </c>
      <c r="I108">
        <v>363170.46305851021</v>
      </c>
      <c r="J108">
        <v>363170.46305851021</v>
      </c>
      <c r="K108">
        <v>484227.2840780135</v>
      </c>
      <c r="L108">
        <v>484227.2840780135</v>
      </c>
      <c r="M108">
        <v>484227.2840780135</v>
      </c>
      <c r="N108">
        <v>484227.2840780135</v>
      </c>
      <c r="O108">
        <v>363170.46305851021</v>
      </c>
      <c r="P108">
        <v>363170.46305851021</v>
      </c>
      <c r="Q108">
        <v>363170.46305851021</v>
      </c>
      <c r="R108">
        <v>363170.46305851021</v>
      </c>
      <c r="S108">
        <v>484227.2840780135</v>
      </c>
      <c r="T108">
        <v>484227.2840780135</v>
      </c>
      <c r="U108">
        <v>484227.2840780135</v>
      </c>
      <c r="V108">
        <v>484227.2840780135</v>
      </c>
      <c r="W108">
        <v>484227.2840780135</v>
      </c>
      <c r="X108">
        <v>484227.2840780135</v>
      </c>
      <c r="Y108">
        <v>484227.2840780135</v>
      </c>
      <c r="Z108">
        <v>484227.2840780135</v>
      </c>
      <c r="AA108">
        <v>363170.46305851021</v>
      </c>
      <c r="AB108">
        <v>363170.46305851021</v>
      </c>
      <c r="AC108">
        <v>363170.46305851021</v>
      </c>
      <c r="AD108">
        <v>363170.46305851021</v>
      </c>
      <c r="AE108">
        <v>484227.2840780135</v>
      </c>
      <c r="AF108">
        <v>484227.2840780135</v>
      </c>
      <c r="AG108">
        <v>484227.2840780135</v>
      </c>
      <c r="AH108">
        <v>484227.2840780135</v>
      </c>
      <c r="AI108">
        <v>484227.2840780135</v>
      </c>
      <c r="AJ108">
        <v>484227.2840780135</v>
      </c>
      <c r="AK108">
        <v>484227.2840780135</v>
      </c>
      <c r="AL108">
        <v>484227.2840780135</v>
      </c>
      <c r="AM108">
        <v>484227.2840780135</v>
      </c>
      <c r="AN108">
        <v>484227.2840780135</v>
      </c>
      <c r="AO108">
        <v>484227.2840780135</v>
      </c>
      <c r="AP108">
        <v>484227.2840780135</v>
      </c>
      <c r="AQ108">
        <v>363170.46305851021</v>
      </c>
      <c r="AR108">
        <v>363170.46305851021</v>
      </c>
      <c r="AS108">
        <v>363170.46305851021</v>
      </c>
      <c r="AT108">
        <v>363170.46305851021</v>
      </c>
      <c r="AU108">
        <v>484227.2840780135</v>
      </c>
      <c r="AV108">
        <v>484227.2840780135</v>
      </c>
      <c r="AW108">
        <v>484227.2840780135</v>
      </c>
      <c r="AX108">
        <v>484227.2840780135</v>
      </c>
    </row>
    <row r="109" spans="1:50" x14ac:dyDescent="0.2">
      <c r="B109" s="117" t="s">
        <v>278</v>
      </c>
      <c r="C109" s="120">
        <f>SUM(C$104:C$108)</f>
        <v>597526.3481686156</v>
      </c>
      <c r="D109" s="120">
        <f t="shared" ref="D109:AX109" si="6">SUM(D$104:D$108)</f>
        <v>597526.3481686156</v>
      </c>
      <c r="E109" s="120">
        <f t="shared" si="6"/>
        <v>597526.3481686156</v>
      </c>
      <c r="F109" s="120">
        <f t="shared" si="6"/>
        <v>597526.3481686156</v>
      </c>
      <c r="G109" s="120">
        <f t="shared" si="6"/>
        <v>448144.76112646179</v>
      </c>
      <c r="H109" s="120">
        <f t="shared" si="6"/>
        <v>448144.76112646179</v>
      </c>
      <c r="I109" s="120">
        <f t="shared" si="6"/>
        <v>448144.76112646179</v>
      </c>
      <c r="J109" s="120">
        <f t="shared" si="6"/>
        <v>448144.76112646179</v>
      </c>
      <c r="K109" s="120">
        <f t="shared" si="6"/>
        <v>597526.3481686156</v>
      </c>
      <c r="L109" s="120">
        <f t="shared" si="6"/>
        <v>597526.3481686156</v>
      </c>
      <c r="M109" s="120">
        <f t="shared" si="6"/>
        <v>597526.3481686156</v>
      </c>
      <c r="N109" s="120">
        <f t="shared" si="6"/>
        <v>597526.3481686156</v>
      </c>
      <c r="O109" s="120">
        <f t="shared" si="6"/>
        <v>448144.76112646179</v>
      </c>
      <c r="P109" s="120">
        <f t="shared" si="6"/>
        <v>448144.76112646179</v>
      </c>
      <c r="Q109" s="120">
        <f t="shared" si="6"/>
        <v>448144.76112646179</v>
      </c>
      <c r="R109" s="120">
        <f t="shared" si="6"/>
        <v>448144.76112646179</v>
      </c>
      <c r="S109" s="120">
        <f t="shared" si="6"/>
        <v>597526.3481686156</v>
      </c>
      <c r="T109" s="120">
        <f t="shared" si="6"/>
        <v>597526.3481686156</v>
      </c>
      <c r="U109" s="120">
        <f t="shared" si="6"/>
        <v>597526.3481686156</v>
      </c>
      <c r="V109" s="120">
        <f t="shared" si="6"/>
        <v>597526.3481686156</v>
      </c>
      <c r="W109" s="120">
        <f t="shared" si="6"/>
        <v>597526.3481686156</v>
      </c>
      <c r="X109" s="120">
        <f t="shared" si="6"/>
        <v>597526.3481686156</v>
      </c>
      <c r="Y109" s="120">
        <f t="shared" si="6"/>
        <v>597526.3481686156</v>
      </c>
      <c r="Z109" s="120">
        <f t="shared" si="6"/>
        <v>597526.3481686156</v>
      </c>
      <c r="AA109" s="120">
        <f t="shared" si="6"/>
        <v>448144.76112646179</v>
      </c>
      <c r="AB109" s="120">
        <f t="shared" si="6"/>
        <v>448144.76112646179</v>
      </c>
      <c r="AC109" s="120">
        <f t="shared" si="6"/>
        <v>448144.76112646179</v>
      </c>
      <c r="AD109" s="120">
        <f t="shared" si="6"/>
        <v>448144.76112646179</v>
      </c>
      <c r="AE109" s="120">
        <f t="shared" si="6"/>
        <v>597526.3481686156</v>
      </c>
      <c r="AF109" s="120">
        <f t="shared" si="6"/>
        <v>597526.3481686156</v>
      </c>
      <c r="AG109" s="120">
        <f t="shared" si="6"/>
        <v>597526.3481686156</v>
      </c>
      <c r="AH109" s="120">
        <f t="shared" si="6"/>
        <v>597526.3481686156</v>
      </c>
      <c r="AI109" s="120">
        <f t="shared" si="6"/>
        <v>597526.3481686156</v>
      </c>
      <c r="AJ109" s="120">
        <f t="shared" si="6"/>
        <v>597526.3481686156</v>
      </c>
      <c r="AK109" s="120">
        <f t="shared" si="6"/>
        <v>597526.3481686156</v>
      </c>
      <c r="AL109" s="120">
        <f t="shared" si="6"/>
        <v>597526.3481686156</v>
      </c>
      <c r="AM109" s="120">
        <f t="shared" si="6"/>
        <v>597526.3481686156</v>
      </c>
      <c r="AN109" s="120">
        <f t="shared" si="6"/>
        <v>597526.3481686156</v>
      </c>
      <c r="AO109" s="120">
        <f t="shared" si="6"/>
        <v>597526.3481686156</v>
      </c>
      <c r="AP109" s="120">
        <f t="shared" si="6"/>
        <v>597526.3481686156</v>
      </c>
      <c r="AQ109" s="120">
        <f t="shared" si="6"/>
        <v>448144.76112646179</v>
      </c>
      <c r="AR109" s="120">
        <f t="shared" si="6"/>
        <v>448144.76112646179</v>
      </c>
      <c r="AS109" s="120">
        <f t="shared" si="6"/>
        <v>448144.76112646179</v>
      </c>
      <c r="AT109" s="120">
        <f t="shared" si="6"/>
        <v>448144.76112646179</v>
      </c>
      <c r="AU109" s="120">
        <f t="shared" si="6"/>
        <v>597526.3481686156</v>
      </c>
      <c r="AV109" s="120">
        <f t="shared" si="6"/>
        <v>597526.3481686156</v>
      </c>
      <c r="AW109" s="120">
        <f t="shared" si="6"/>
        <v>597526.3481686156</v>
      </c>
      <c r="AX109" s="120">
        <f t="shared" si="6"/>
        <v>597526.3481686156</v>
      </c>
    </row>
    <row r="110" spans="1:50" x14ac:dyDescent="0.2">
      <c r="A110" s="120" t="s">
        <v>106</v>
      </c>
      <c r="B110" s="120" t="s">
        <v>5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</row>
    <row r="111" spans="1:50" x14ac:dyDescent="0.2">
      <c r="B111" s="120" t="s">
        <v>10</v>
      </c>
      <c r="C111">
        <v>48440.17198092187</v>
      </c>
      <c r="D111">
        <v>48440.17198092187</v>
      </c>
      <c r="E111">
        <v>48440.17198092187</v>
      </c>
      <c r="F111">
        <v>48440.17198092187</v>
      </c>
      <c r="G111">
        <v>48440.17198092187</v>
      </c>
      <c r="H111">
        <v>48440.17198092187</v>
      </c>
      <c r="I111">
        <v>48440.17198092187</v>
      </c>
      <c r="J111">
        <v>48440.17198092187</v>
      </c>
      <c r="K111">
        <v>48440.17198092187</v>
      </c>
      <c r="L111">
        <v>48440.17198092187</v>
      </c>
      <c r="M111">
        <v>48440.17198092187</v>
      </c>
      <c r="N111">
        <v>48440.17198092187</v>
      </c>
      <c r="O111">
        <v>48440.17198092187</v>
      </c>
      <c r="P111">
        <v>48440.17198092187</v>
      </c>
      <c r="Q111">
        <v>48440.17198092187</v>
      </c>
      <c r="R111">
        <v>48440.17198092187</v>
      </c>
      <c r="S111">
        <v>48440.17198092187</v>
      </c>
      <c r="T111">
        <v>48440.17198092187</v>
      </c>
      <c r="U111">
        <v>48440.17198092187</v>
      </c>
      <c r="V111">
        <v>48440.17198092187</v>
      </c>
      <c r="W111">
        <v>48440.17198092187</v>
      </c>
      <c r="X111">
        <v>48440.17198092187</v>
      </c>
      <c r="Y111">
        <v>48440.17198092187</v>
      </c>
      <c r="Z111">
        <v>48440.17198092187</v>
      </c>
      <c r="AA111">
        <v>48440.17198092187</v>
      </c>
      <c r="AB111">
        <v>23429.588773519386</v>
      </c>
      <c r="AC111">
        <v>23476.040683945113</v>
      </c>
      <c r="AD111">
        <v>23522.302203513056</v>
      </c>
      <c r="AE111">
        <v>48440.17198092187</v>
      </c>
      <c r="AF111">
        <v>48440.17198092187</v>
      </c>
      <c r="AG111">
        <v>48440.17198092187</v>
      </c>
      <c r="AH111">
        <v>48440.17198092187</v>
      </c>
      <c r="AI111">
        <v>48440.17198092187</v>
      </c>
      <c r="AJ111">
        <v>48440.17198092187</v>
      </c>
      <c r="AK111">
        <v>48440.17198092187</v>
      </c>
      <c r="AL111">
        <v>48440.17198092187</v>
      </c>
      <c r="AM111">
        <v>64586.895974562503</v>
      </c>
      <c r="AN111">
        <v>64586.895974562503</v>
      </c>
      <c r="AO111">
        <v>64586.895974562503</v>
      </c>
      <c r="AP111">
        <v>64586.895974562503</v>
      </c>
      <c r="AQ111">
        <v>64586.895974562503</v>
      </c>
      <c r="AR111">
        <v>64586.895974562503</v>
      </c>
      <c r="AS111">
        <v>64586.895974562503</v>
      </c>
      <c r="AT111">
        <v>64586.895974562503</v>
      </c>
      <c r="AU111">
        <v>48440.17198092187</v>
      </c>
      <c r="AV111">
        <v>48440.17198092187</v>
      </c>
      <c r="AW111">
        <v>48440.17198092187</v>
      </c>
      <c r="AX111">
        <v>48440.17198092187</v>
      </c>
    </row>
    <row r="112" spans="1:50" x14ac:dyDescent="0.2">
      <c r="B112" s="120" t="s">
        <v>12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</row>
    <row r="113" spans="1:50" x14ac:dyDescent="0.2">
      <c r="B113" s="120" t="s">
        <v>22</v>
      </c>
      <c r="C113">
        <v>11815.983660628819</v>
      </c>
      <c r="D113">
        <v>11815.983660628819</v>
      </c>
      <c r="E113">
        <v>11815.983660628819</v>
      </c>
      <c r="F113">
        <v>11815.983660628819</v>
      </c>
      <c r="G113">
        <v>11815.983660628819</v>
      </c>
      <c r="H113">
        <v>11815.983660628819</v>
      </c>
      <c r="I113">
        <v>11815.983660628819</v>
      </c>
      <c r="J113">
        <v>11815.983660628819</v>
      </c>
      <c r="K113">
        <v>11815.983660628819</v>
      </c>
      <c r="L113">
        <v>11815.983660628819</v>
      </c>
      <c r="M113">
        <v>11815.983660628819</v>
      </c>
      <c r="N113">
        <v>11815.983660628819</v>
      </c>
      <c r="O113">
        <v>11815.983660628819</v>
      </c>
      <c r="P113">
        <v>11815.983660628819</v>
      </c>
      <c r="Q113">
        <v>11815.983660628819</v>
      </c>
      <c r="R113">
        <v>11815.983660628819</v>
      </c>
      <c r="S113">
        <v>11815.983660628819</v>
      </c>
      <c r="T113">
        <v>11815.983660628819</v>
      </c>
      <c r="U113">
        <v>11815.983660628819</v>
      </c>
      <c r="V113">
        <v>11815.983660628819</v>
      </c>
      <c r="W113">
        <v>11815.983660628819</v>
      </c>
      <c r="X113">
        <v>11815.983660628819</v>
      </c>
      <c r="Y113">
        <v>11815.983660628819</v>
      </c>
      <c r="Z113">
        <v>11815.983660628819</v>
      </c>
      <c r="AA113">
        <v>11815.983660628819</v>
      </c>
      <c r="AB113">
        <v>5715.1662928073856</v>
      </c>
      <c r="AC113">
        <v>5726.497280955231</v>
      </c>
      <c r="AD113">
        <v>5737.7818271691867</v>
      </c>
      <c r="AE113">
        <v>11815.983660628819</v>
      </c>
      <c r="AF113">
        <v>11815.983660628819</v>
      </c>
      <c r="AG113">
        <v>11815.983660628819</v>
      </c>
      <c r="AH113">
        <v>11815.983660628819</v>
      </c>
      <c r="AI113">
        <v>11815.983660628819</v>
      </c>
      <c r="AJ113">
        <v>11815.983660628819</v>
      </c>
      <c r="AK113">
        <v>11815.983660628819</v>
      </c>
      <c r="AL113">
        <v>11815.983660628819</v>
      </c>
      <c r="AM113">
        <v>15754.644880838425</v>
      </c>
      <c r="AN113">
        <v>15754.644880838425</v>
      </c>
      <c r="AO113">
        <v>15754.644880838425</v>
      </c>
      <c r="AP113">
        <v>15754.644880838425</v>
      </c>
      <c r="AQ113">
        <v>15754.644880838425</v>
      </c>
      <c r="AR113">
        <v>15754.644880838425</v>
      </c>
      <c r="AS113">
        <v>15754.644880838425</v>
      </c>
      <c r="AT113">
        <v>15754.644880838425</v>
      </c>
      <c r="AU113">
        <v>11815.983660628819</v>
      </c>
      <c r="AV113">
        <v>11815.983660628819</v>
      </c>
      <c r="AW113">
        <v>11815.983660628819</v>
      </c>
      <c r="AX113">
        <v>11815.983660628819</v>
      </c>
    </row>
    <row r="114" spans="1:50" x14ac:dyDescent="0.2">
      <c r="B114" s="120" t="s">
        <v>59</v>
      </c>
      <c r="C114">
        <v>124291.261099822</v>
      </c>
      <c r="D114">
        <v>124291.261099822</v>
      </c>
      <c r="E114">
        <v>124291.261099822</v>
      </c>
      <c r="F114">
        <v>124291.261099822</v>
      </c>
      <c r="G114">
        <v>124291.261099822</v>
      </c>
      <c r="H114">
        <v>124291.261099822</v>
      </c>
      <c r="I114">
        <v>124291.261099822</v>
      </c>
      <c r="J114">
        <v>124291.261099822</v>
      </c>
      <c r="K114">
        <v>124291.261099822</v>
      </c>
      <c r="L114">
        <v>124291.261099822</v>
      </c>
      <c r="M114">
        <v>124291.261099822</v>
      </c>
      <c r="N114">
        <v>124291.261099822</v>
      </c>
      <c r="O114">
        <v>124291.261099822</v>
      </c>
      <c r="P114">
        <v>124291.261099822</v>
      </c>
      <c r="Q114">
        <v>124291.261099822</v>
      </c>
      <c r="R114">
        <v>124291.261099822</v>
      </c>
      <c r="S114">
        <v>124291.261099822</v>
      </c>
      <c r="T114">
        <v>124291.261099822</v>
      </c>
      <c r="U114">
        <v>124291.261099822</v>
      </c>
      <c r="V114">
        <v>124291.261099822</v>
      </c>
      <c r="W114">
        <v>124291.261099822</v>
      </c>
      <c r="X114">
        <v>124291.261099822</v>
      </c>
      <c r="Y114">
        <v>124291.261099822</v>
      </c>
      <c r="Z114">
        <v>124291.261099822</v>
      </c>
      <c r="AA114">
        <v>124291.261099822</v>
      </c>
      <c r="AB114">
        <v>60117.316198998677</v>
      </c>
      <c r="AC114">
        <v>60236.505836260563</v>
      </c>
      <c r="AD114">
        <v>60355.206955029462</v>
      </c>
      <c r="AE114">
        <v>124291.261099822</v>
      </c>
      <c r="AF114">
        <v>124291.261099822</v>
      </c>
      <c r="AG114">
        <v>124291.261099822</v>
      </c>
      <c r="AH114">
        <v>124291.261099822</v>
      </c>
      <c r="AI114">
        <v>124291.261099822</v>
      </c>
      <c r="AJ114">
        <v>124291.261099822</v>
      </c>
      <c r="AK114">
        <v>124291.261099822</v>
      </c>
      <c r="AL114">
        <v>124291.261099822</v>
      </c>
      <c r="AM114">
        <v>165721.68146642932</v>
      </c>
      <c r="AN114">
        <v>165721.68146642932</v>
      </c>
      <c r="AO114">
        <v>165721.68146642932</v>
      </c>
      <c r="AP114">
        <v>165721.68146642932</v>
      </c>
      <c r="AQ114">
        <v>165721.68146642932</v>
      </c>
      <c r="AR114">
        <v>165721.68146642932</v>
      </c>
      <c r="AS114">
        <v>165721.68146642932</v>
      </c>
      <c r="AT114">
        <v>165721.68146642932</v>
      </c>
      <c r="AU114">
        <v>124291.261099822</v>
      </c>
      <c r="AV114">
        <v>124291.261099822</v>
      </c>
      <c r="AW114">
        <v>124291.261099822</v>
      </c>
      <c r="AX114">
        <v>124291.261099822</v>
      </c>
    </row>
    <row r="115" spans="1:50" x14ac:dyDescent="0.2">
      <c r="B115" t="s">
        <v>278</v>
      </c>
      <c r="C115" s="120">
        <f>SUM(C$110:C$114)</f>
        <v>184547.4167413727</v>
      </c>
      <c r="D115" s="120">
        <f t="shared" ref="D115:AX115" si="7">SUM(D$110:D$114)</f>
        <v>184547.4167413727</v>
      </c>
      <c r="E115" s="120">
        <f t="shared" si="7"/>
        <v>184547.4167413727</v>
      </c>
      <c r="F115" s="120">
        <f t="shared" si="7"/>
        <v>184547.4167413727</v>
      </c>
      <c r="G115" s="120">
        <f t="shared" si="7"/>
        <v>184547.4167413727</v>
      </c>
      <c r="H115" s="120">
        <f t="shared" si="7"/>
        <v>184547.4167413727</v>
      </c>
      <c r="I115" s="120">
        <f t="shared" si="7"/>
        <v>184547.4167413727</v>
      </c>
      <c r="J115" s="120">
        <f t="shared" si="7"/>
        <v>184547.4167413727</v>
      </c>
      <c r="K115" s="120">
        <f t="shared" si="7"/>
        <v>184547.4167413727</v>
      </c>
      <c r="L115" s="120">
        <f t="shared" si="7"/>
        <v>184547.4167413727</v>
      </c>
      <c r="M115" s="120">
        <f t="shared" si="7"/>
        <v>184547.4167413727</v>
      </c>
      <c r="N115" s="120">
        <f t="shared" si="7"/>
        <v>184547.4167413727</v>
      </c>
      <c r="O115" s="120">
        <f t="shared" si="7"/>
        <v>184547.4167413727</v>
      </c>
      <c r="P115" s="120">
        <f t="shared" si="7"/>
        <v>184547.4167413727</v>
      </c>
      <c r="Q115" s="120">
        <f t="shared" si="7"/>
        <v>184547.4167413727</v>
      </c>
      <c r="R115" s="120">
        <f t="shared" si="7"/>
        <v>184547.4167413727</v>
      </c>
      <c r="S115" s="120">
        <f t="shared" si="7"/>
        <v>184547.4167413727</v>
      </c>
      <c r="T115" s="120">
        <f t="shared" si="7"/>
        <v>184547.4167413727</v>
      </c>
      <c r="U115" s="120">
        <f t="shared" si="7"/>
        <v>184547.4167413727</v>
      </c>
      <c r="V115" s="120">
        <f t="shared" si="7"/>
        <v>184547.4167413727</v>
      </c>
      <c r="W115" s="120">
        <f t="shared" si="7"/>
        <v>184547.4167413727</v>
      </c>
      <c r="X115" s="120">
        <f t="shared" si="7"/>
        <v>184547.4167413727</v>
      </c>
      <c r="Y115" s="120">
        <f t="shared" si="7"/>
        <v>184547.4167413727</v>
      </c>
      <c r="Z115" s="120">
        <f t="shared" si="7"/>
        <v>184547.4167413727</v>
      </c>
      <c r="AA115" s="120">
        <f t="shared" si="7"/>
        <v>184547.4167413727</v>
      </c>
      <c r="AB115" s="120">
        <f t="shared" si="7"/>
        <v>89262.071265325445</v>
      </c>
      <c r="AC115" s="120">
        <f t="shared" si="7"/>
        <v>89439.043801160908</v>
      </c>
      <c r="AD115" s="120">
        <f t="shared" si="7"/>
        <v>89615.290985711705</v>
      </c>
      <c r="AE115" s="120">
        <f t="shared" si="7"/>
        <v>184547.4167413727</v>
      </c>
      <c r="AF115" s="120">
        <f t="shared" si="7"/>
        <v>184547.4167413727</v>
      </c>
      <c r="AG115" s="120">
        <f t="shared" si="7"/>
        <v>184547.4167413727</v>
      </c>
      <c r="AH115" s="120">
        <f t="shared" si="7"/>
        <v>184547.4167413727</v>
      </c>
      <c r="AI115" s="120">
        <f t="shared" si="7"/>
        <v>184547.4167413727</v>
      </c>
      <c r="AJ115" s="120">
        <f t="shared" si="7"/>
        <v>184547.4167413727</v>
      </c>
      <c r="AK115" s="120">
        <f t="shared" si="7"/>
        <v>184547.4167413727</v>
      </c>
      <c r="AL115" s="120">
        <f t="shared" si="7"/>
        <v>184547.4167413727</v>
      </c>
      <c r="AM115" s="120">
        <f t="shared" si="7"/>
        <v>246063.22232183025</v>
      </c>
      <c r="AN115" s="120">
        <f t="shared" si="7"/>
        <v>246063.22232183025</v>
      </c>
      <c r="AO115" s="120">
        <f t="shared" si="7"/>
        <v>246063.22232183025</v>
      </c>
      <c r="AP115" s="120">
        <f t="shared" si="7"/>
        <v>246063.22232183025</v>
      </c>
      <c r="AQ115" s="120">
        <f t="shared" si="7"/>
        <v>246063.22232183025</v>
      </c>
      <c r="AR115" s="120">
        <f t="shared" si="7"/>
        <v>246063.22232183025</v>
      </c>
      <c r="AS115" s="120">
        <f t="shared" si="7"/>
        <v>246063.22232183025</v>
      </c>
      <c r="AT115" s="120">
        <f t="shared" si="7"/>
        <v>246063.22232183025</v>
      </c>
      <c r="AU115" s="120">
        <f t="shared" si="7"/>
        <v>184547.4167413727</v>
      </c>
      <c r="AV115" s="120">
        <f t="shared" si="7"/>
        <v>184547.4167413727</v>
      </c>
      <c r="AW115" s="120">
        <f t="shared" si="7"/>
        <v>184547.4167413727</v>
      </c>
      <c r="AX115" s="120">
        <f t="shared" si="7"/>
        <v>184547.4167413727</v>
      </c>
    </row>
    <row r="116" spans="1:50" x14ac:dyDescent="0.2">
      <c r="A116" s="120" t="s">
        <v>107</v>
      </c>
      <c r="B116" s="120" t="s">
        <v>5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</row>
    <row r="117" spans="1:50" x14ac:dyDescent="0.2">
      <c r="B117" s="120" t="s">
        <v>10</v>
      </c>
      <c r="C117">
        <v>29573.682249525034</v>
      </c>
      <c r="D117">
        <v>29573.682249525034</v>
      </c>
      <c r="E117">
        <v>29573.682249525034</v>
      </c>
      <c r="F117">
        <v>29573.682249525034</v>
      </c>
      <c r="G117">
        <v>29573.682249525034</v>
      </c>
      <c r="H117">
        <v>29573.682249525034</v>
      </c>
      <c r="I117">
        <v>29573.682249525034</v>
      </c>
      <c r="J117">
        <v>29573.682249525034</v>
      </c>
      <c r="K117">
        <v>29573.682249525034</v>
      </c>
      <c r="L117">
        <v>29573.682249525034</v>
      </c>
      <c r="M117">
        <v>29573.682249525034</v>
      </c>
      <c r="N117">
        <v>29573.682249525034</v>
      </c>
      <c r="O117">
        <v>22180.261687143779</v>
      </c>
      <c r="P117">
        <v>22180.261687143779</v>
      </c>
      <c r="Q117">
        <v>22180.261687143779</v>
      </c>
      <c r="R117">
        <v>22180.261687143779</v>
      </c>
      <c r="S117">
        <v>22180.261687143779</v>
      </c>
      <c r="T117">
        <v>22180.261687143779</v>
      </c>
      <c r="U117">
        <v>22180.261687143779</v>
      </c>
      <c r="V117">
        <v>22180.261687143779</v>
      </c>
      <c r="W117">
        <v>22180.261687143779</v>
      </c>
      <c r="X117">
        <v>6086.0904950108961</v>
      </c>
      <c r="Y117">
        <v>22180.261687143779</v>
      </c>
      <c r="Z117">
        <v>22180.261687143779</v>
      </c>
      <c r="AA117">
        <v>29573.682249525034</v>
      </c>
      <c r="AB117">
        <v>29573.682249525034</v>
      </c>
      <c r="AC117">
        <v>29573.682249525034</v>
      </c>
      <c r="AD117">
        <v>29573.682249525034</v>
      </c>
      <c r="AE117">
        <v>29573.682249525034</v>
      </c>
      <c r="AF117">
        <v>29573.682249525034</v>
      </c>
      <c r="AG117">
        <v>29573.682249525034</v>
      </c>
      <c r="AH117">
        <v>29573.682249525034</v>
      </c>
      <c r="AI117">
        <v>22180.261687143779</v>
      </c>
      <c r="AJ117">
        <v>22180.261687143779</v>
      </c>
      <c r="AK117">
        <v>22180.261687143779</v>
      </c>
      <c r="AL117">
        <v>6254.3659898151009</v>
      </c>
      <c r="AM117">
        <v>6265.9442504026738</v>
      </c>
      <c r="AN117">
        <v>6277.4535092961269</v>
      </c>
      <c r="AO117">
        <v>6288.8919083685723</v>
      </c>
      <c r="AP117">
        <v>22180.261687143779</v>
      </c>
      <c r="AQ117">
        <v>22180.261687143779</v>
      </c>
      <c r="AR117">
        <v>6322.7635417020501</v>
      </c>
      <c r="AS117">
        <v>6333.9001576078954</v>
      </c>
      <c r="AT117">
        <v>6344.9568039698788</v>
      </c>
      <c r="AU117">
        <v>29573.682249525034</v>
      </c>
      <c r="AV117">
        <v>29573.682249525034</v>
      </c>
      <c r="AW117">
        <v>29573.682249525034</v>
      </c>
      <c r="AX117">
        <v>29573.682249525034</v>
      </c>
    </row>
    <row r="118" spans="1:50" x14ac:dyDescent="0.2">
      <c r="B118" s="120" t="s">
        <v>12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K118">
        <v>0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</row>
    <row r="119" spans="1:50" x14ac:dyDescent="0.2">
      <c r="B119" s="120" t="s">
        <v>22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</row>
    <row r="120" spans="1:50" x14ac:dyDescent="0.2">
      <c r="B120" s="120" t="s">
        <v>59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</row>
    <row r="121" spans="1:50" x14ac:dyDescent="0.2">
      <c r="B121" t="s">
        <v>278</v>
      </c>
      <c r="C121" s="120">
        <f>SUM(C$116:C$120)</f>
        <v>29573.682249525034</v>
      </c>
      <c r="D121" s="120">
        <f t="shared" ref="D121:AX121" si="8">SUM(D$116:D$120)</f>
        <v>29573.682249525034</v>
      </c>
      <c r="E121" s="120">
        <f t="shared" si="8"/>
        <v>29573.682249525034</v>
      </c>
      <c r="F121" s="120">
        <f t="shared" si="8"/>
        <v>29573.682249525034</v>
      </c>
      <c r="G121" s="120">
        <f t="shared" si="8"/>
        <v>29573.682249525034</v>
      </c>
      <c r="H121" s="120">
        <f t="shared" si="8"/>
        <v>29573.682249525034</v>
      </c>
      <c r="I121" s="120">
        <f t="shared" si="8"/>
        <v>29573.682249525034</v>
      </c>
      <c r="J121" s="120">
        <f t="shared" si="8"/>
        <v>29573.682249525034</v>
      </c>
      <c r="K121" s="120">
        <f t="shared" si="8"/>
        <v>29573.682249525034</v>
      </c>
      <c r="L121" s="120">
        <f t="shared" si="8"/>
        <v>29573.682249525034</v>
      </c>
      <c r="M121" s="120">
        <f t="shared" si="8"/>
        <v>29573.682249525034</v>
      </c>
      <c r="N121" s="120">
        <f t="shared" si="8"/>
        <v>29573.682249525034</v>
      </c>
      <c r="O121" s="120">
        <f t="shared" si="8"/>
        <v>22180.261687143779</v>
      </c>
      <c r="P121" s="120">
        <f t="shared" si="8"/>
        <v>22180.261687143779</v>
      </c>
      <c r="Q121" s="120">
        <f t="shared" si="8"/>
        <v>22180.261687143779</v>
      </c>
      <c r="R121" s="120">
        <f t="shared" si="8"/>
        <v>22180.261687143779</v>
      </c>
      <c r="S121" s="120">
        <f t="shared" si="8"/>
        <v>22180.261687143779</v>
      </c>
      <c r="T121" s="120">
        <f t="shared" si="8"/>
        <v>22180.261687143779</v>
      </c>
      <c r="U121" s="120">
        <f t="shared" si="8"/>
        <v>22180.261687143779</v>
      </c>
      <c r="V121" s="120">
        <f t="shared" si="8"/>
        <v>22180.261687143779</v>
      </c>
      <c r="W121" s="120">
        <f t="shared" si="8"/>
        <v>22180.261687143779</v>
      </c>
      <c r="X121" s="120">
        <f t="shared" si="8"/>
        <v>6086.0904950108961</v>
      </c>
      <c r="Y121" s="120">
        <f t="shared" si="8"/>
        <v>22180.261687143779</v>
      </c>
      <c r="Z121" s="120">
        <f t="shared" si="8"/>
        <v>22180.261687143779</v>
      </c>
      <c r="AA121" s="120">
        <f t="shared" si="8"/>
        <v>29573.682249525034</v>
      </c>
      <c r="AB121" s="120">
        <f t="shared" si="8"/>
        <v>29573.682249525034</v>
      </c>
      <c r="AC121" s="120">
        <f t="shared" si="8"/>
        <v>29573.682249525034</v>
      </c>
      <c r="AD121" s="120">
        <f t="shared" si="8"/>
        <v>29573.682249525034</v>
      </c>
      <c r="AE121" s="120">
        <f t="shared" si="8"/>
        <v>29573.682249525034</v>
      </c>
      <c r="AF121" s="120">
        <f t="shared" si="8"/>
        <v>29573.682249525034</v>
      </c>
      <c r="AG121" s="120">
        <f t="shared" si="8"/>
        <v>29573.682249525034</v>
      </c>
      <c r="AH121" s="120">
        <f t="shared" si="8"/>
        <v>29573.682249525034</v>
      </c>
      <c r="AI121" s="120">
        <f t="shared" si="8"/>
        <v>22180.261687143779</v>
      </c>
      <c r="AJ121" s="120">
        <f t="shared" si="8"/>
        <v>22180.261687143779</v>
      </c>
      <c r="AK121" s="120">
        <f t="shared" si="8"/>
        <v>22180.261687143779</v>
      </c>
      <c r="AL121" s="120">
        <f t="shared" si="8"/>
        <v>6254.3659898151009</v>
      </c>
      <c r="AM121" s="120">
        <f t="shared" si="8"/>
        <v>6265.9442504026738</v>
      </c>
      <c r="AN121" s="120">
        <f t="shared" si="8"/>
        <v>6277.4535092961269</v>
      </c>
      <c r="AO121" s="120">
        <f t="shared" si="8"/>
        <v>6288.8919083685723</v>
      </c>
      <c r="AP121" s="120">
        <f t="shared" si="8"/>
        <v>22180.261687143779</v>
      </c>
      <c r="AQ121" s="120">
        <f t="shared" si="8"/>
        <v>22180.261687143779</v>
      </c>
      <c r="AR121" s="120">
        <f t="shared" si="8"/>
        <v>6322.7635417020501</v>
      </c>
      <c r="AS121" s="120">
        <f t="shared" si="8"/>
        <v>6333.9001576078954</v>
      </c>
      <c r="AT121" s="120">
        <f t="shared" si="8"/>
        <v>6344.9568039698788</v>
      </c>
      <c r="AU121" s="120">
        <f t="shared" si="8"/>
        <v>29573.682249525034</v>
      </c>
      <c r="AV121" s="120">
        <f t="shared" si="8"/>
        <v>29573.682249525034</v>
      </c>
      <c r="AW121" s="120">
        <f t="shared" si="8"/>
        <v>29573.682249525034</v>
      </c>
      <c r="AX121" s="120">
        <f t="shared" si="8"/>
        <v>29573.682249525034</v>
      </c>
    </row>
    <row r="122" spans="1:50" x14ac:dyDescent="0.2">
      <c r="A122" s="120" t="s">
        <v>108</v>
      </c>
      <c r="B122" s="120" t="s">
        <v>5</v>
      </c>
      <c r="C122">
        <v>120712.8620914674</v>
      </c>
      <c r="D122">
        <v>120712.8620914674</v>
      </c>
      <c r="E122">
        <v>120712.8620914674</v>
      </c>
      <c r="F122">
        <v>120712.8620914674</v>
      </c>
      <c r="G122">
        <v>120712.8620914674</v>
      </c>
      <c r="H122">
        <v>120712.8620914674</v>
      </c>
      <c r="I122">
        <v>120712.8620914674</v>
      </c>
      <c r="J122">
        <v>120712.8620914674</v>
      </c>
      <c r="K122">
        <v>120712.8620914674</v>
      </c>
      <c r="L122">
        <v>120712.8620914674</v>
      </c>
      <c r="M122">
        <v>120712.8620914674</v>
      </c>
      <c r="N122">
        <v>120712.8620914674</v>
      </c>
      <c r="O122">
        <v>120712.8620914674</v>
      </c>
      <c r="P122">
        <v>120712.8620914674</v>
      </c>
      <c r="Q122">
        <v>120712.8620914674</v>
      </c>
      <c r="R122">
        <v>120712.8620914674</v>
      </c>
      <c r="S122">
        <v>120712.8620914674</v>
      </c>
      <c r="T122">
        <v>120712.8620914674</v>
      </c>
      <c r="U122">
        <v>120712.8620914674</v>
      </c>
      <c r="V122">
        <v>120712.8620914674</v>
      </c>
      <c r="W122">
        <v>120712.8620914674</v>
      </c>
      <c r="X122">
        <v>120712.8620914674</v>
      </c>
      <c r="Y122">
        <v>120712.8620914674</v>
      </c>
      <c r="Z122">
        <v>120712.8620914674</v>
      </c>
      <c r="AA122">
        <v>120712.8620914674</v>
      </c>
      <c r="AB122">
        <v>120712.8620914674</v>
      </c>
      <c r="AC122">
        <v>120712.8620914674</v>
      </c>
      <c r="AD122">
        <v>120712.8620914674</v>
      </c>
      <c r="AE122">
        <v>120712.8620914674</v>
      </c>
      <c r="AF122">
        <v>120712.8620914674</v>
      </c>
      <c r="AG122">
        <v>120712.8620914674</v>
      </c>
      <c r="AH122">
        <v>120712.8620914674</v>
      </c>
      <c r="AI122">
        <v>120712.8620914674</v>
      </c>
      <c r="AJ122">
        <v>120712.8620914674</v>
      </c>
      <c r="AK122">
        <v>120712.8620914674</v>
      </c>
      <c r="AL122">
        <v>120712.8620914674</v>
      </c>
      <c r="AM122">
        <v>120712.8620914674</v>
      </c>
      <c r="AN122">
        <v>120712.8620914674</v>
      </c>
      <c r="AO122">
        <v>120712.8620914674</v>
      </c>
      <c r="AP122">
        <v>120712.8620914674</v>
      </c>
      <c r="AQ122">
        <v>120712.8620914674</v>
      </c>
      <c r="AR122">
        <v>120712.8620914674</v>
      </c>
      <c r="AS122">
        <v>120712.8620914674</v>
      </c>
      <c r="AT122">
        <v>120712.8620914674</v>
      </c>
      <c r="AU122">
        <v>120712.8620914674</v>
      </c>
      <c r="AV122">
        <v>120712.8620914674</v>
      </c>
      <c r="AW122">
        <v>120712.8620914674</v>
      </c>
      <c r="AX122">
        <v>120712.8620914674</v>
      </c>
    </row>
    <row r="123" spans="1:50" x14ac:dyDescent="0.2">
      <c r="B123" s="120" t="s">
        <v>10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</row>
    <row r="124" spans="1:50" x14ac:dyDescent="0.2">
      <c r="B124" s="120" t="s">
        <v>12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0</v>
      </c>
    </row>
    <row r="125" spans="1:50" x14ac:dyDescent="0.2">
      <c r="B125" s="120" t="s">
        <v>22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</row>
    <row r="126" spans="1:50" x14ac:dyDescent="0.2">
      <c r="B126" s="120" t="s">
        <v>59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</row>
    <row r="127" spans="1:50" x14ac:dyDescent="0.2">
      <c r="B127" t="s">
        <v>278</v>
      </c>
      <c r="C127" s="120">
        <f>SUM(C$122:C$126)</f>
        <v>120712.8620914674</v>
      </c>
      <c r="D127" s="120">
        <f t="shared" ref="D127:AX127" si="9">SUM(D$122:D$126)</f>
        <v>120712.8620914674</v>
      </c>
      <c r="E127" s="120">
        <f t="shared" si="9"/>
        <v>120712.8620914674</v>
      </c>
      <c r="F127" s="120">
        <f t="shared" si="9"/>
        <v>120712.8620914674</v>
      </c>
      <c r="G127" s="120">
        <f t="shared" si="9"/>
        <v>120712.8620914674</v>
      </c>
      <c r="H127" s="120">
        <f t="shared" si="9"/>
        <v>120712.8620914674</v>
      </c>
      <c r="I127" s="120">
        <f t="shared" si="9"/>
        <v>120712.8620914674</v>
      </c>
      <c r="J127" s="120">
        <f t="shared" si="9"/>
        <v>120712.8620914674</v>
      </c>
      <c r="K127" s="120">
        <f t="shared" si="9"/>
        <v>120712.8620914674</v>
      </c>
      <c r="L127" s="120">
        <f t="shared" si="9"/>
        <v>120712.8620914674</v>
      </c>
      <c r="M127" s="120">
        <f t="shared" si="9"/>
        <v>120712.8620914674</v>
      </c>
      <c r="N127" s="120">
        <f t="shared" si="9"/>
        <v>120712.8620914674</v>
      </c>
      <c r="O127" s="120">
        <f t="shared" si="9"/>
        <v>120712.8620914674</v>
      </c>
      <c r="P127" s="120">
        <f t="shared" si="9"/>
        <v>120712.8620914674</v>
      </c>
      <c r="Q127" s="120">
        <f t="shared" si="9"/>
        <v>120712.8620914674</v>
      </c>
      <c r="R127" s="120">
        <f t="shared" si="9"/>
        <v>120712.8620914674</v>
      </c>
      <c r="S127" s="120">
        <f t="shared" si="9"/>
        <v>120712.8620914674</v>
      </c>
      <c r="T127" s="120">
        <f t="shared" si="9"/>
        <v>120712.8620914674</v>
      </c>
      <c r="U127" s="120">
        <f t="shared" si="9"/>
        <v>120712.8620914674</v>
      </c>
      <c r="V127" s="120">
        <f t="shared" si="9"/>
        <v>120712.8620914674</v>
      </c>
      <c r="W127" s="120">
        <f t="shared" si="9"/>
        <v>120712.8620914674</v>
      </c>
      <c r="X127" s="120">
        <f t="shared" si="9"/>
        <v>120712.8620914674</v>
      </c>
      <c r="Y127" s="120">
        <f t="shared" si="9"/>
        <v>120712.8620914674</v>
      </c>
      <c r="Z127" s="120">
        <f t="shared" si="9"/>
        <v>120712.8620914674</v>
      </c>
      <c r="AA127" s="120">
        <f t="shared" si="9"/>
        <v>120712.8620914674</v>
      </c>
      <c r="AB127" s="120">
        <f t="shared" si="9"/>
        <v>120712.8620914674</v>
      </c>
      <c r="AC127" s="120">
        <f t="shared" si="9"/>
        <v>120712.8620914674</v>
      </c>
      <c r="AD127" s="120">
        <f t="shared" si="9"/>
        <v>120712.8620914674</v>
      </c>
      <c r="AE127" s="120">
        <f t="shared" si="9"/>
        <v>120712.8620914674</v>
      </c>
      <c r="AF127" s="120">
        <f t="shared" si="9"/>
        <v>120712.8620914674</v>
      </c>
      <c r="AG127" s="120">
        <f t="shared" si="9"/>
        <v>120712.8620914674</v>
      </c>
      <c r="AH127" s="120">
        <f t="shared" si="9"/>
        <v>120712.8620914674</v>
      </c>
      <c r="AI127" s="120">
        <f t="shared" si="9"/>
        <v>120712.8620914674</v>
      </c>
      <c r="AJ127" s="120">
        <f t="shared" si="9"/>
        <v>120712.8620914674</v>
      </c>
      <c r="AK127" s="120">
        <f t="shared" si="9"/>
        <v>120712.8620914674</v>
      </c>
      <c r="AL127" s="120">
        <f t="shared" si="9"/>
        <v>120712.8620914674</v>
      </c>
      <c r="AM127" s="120">
        <f t="shared" si="9"/>
        <v>120712.8620914674</v>
      </c>
      <c r="AN127" s="120">
        <f t="shared" si="9"/>
        <v>120712.8620914674</v>
      </c>
      <c r="AO127" s="120">
        <f t="shared" si="9"/>
        <v>120712.8620914674</v>
      </c>
      <c r="AP127" s="120">
        <f t="shared" si="9"/>
        <v>120712.8620914674</v>
      </c>
      <c r="AQ127" s="120">
        <f t="shared" si="9"/>
        <v>120712.8620914674</v>
      </c>
      <c r="AR127" s="120">
        <f t="shared" si="9"/>
        <v>120712.8620914674</v>
      </c>
      <c r="AS127" s="120">
        <f t="shared" si="9"/>
        <v>120712.8620914674</v>
      </c>
      <c r="AT127" s="120">
        <f t="shared" si="9"/>
        <v>120712.8620914674</v>
      </c>
      <c r="AU127" s="120">
        <f t="shared" si="9"/>
        <v>120712.8620914674</v>
      </c>
      <c r="AV127" s="120">
        <f t="shared" si="9"/>
        <v>120712.8620914674</v>
      </c>
      <c r="AW127" s="120">
        <f t="shared" si="9"/>
        <v>120712.8620914674</v>
      </c>
      <c r="AX127" s="120">
        <f t="shared" si="9"/>
        <v>120712.8620914674</v>
      </c>
    </row>
    <row r="128" spans="1:50" x14ac:dyDescent="0.2">
      <c r="A128" s="120" t="s">
        <v>109</v>
      </c>
      <c r="B128" s="120" t="s">
        <v>5</v>
      </c>
      <c r="C128">
        <v>109066.65637748742</v>
      </c>
      <c r="D128">
        <v>109066.65637748742</v>
      </c>
      <c r="E128">
        <v>109066.65637748742</v>
      </c>
      <c r="F128">
        <v>109066.65637748742</v>
      </c>
      <c r="G128">
        <v>109066.65637748742</v>
      </c>
      <c r="H128">
        <v>109066.65637748742</v>
      </c>
      <c r="I128">
        <v>109066.65637748742</v>
      </c>
      <c r="J128">
        <v>109066.65637748742</v>
      </c>
      <c r="K128">
        <v>145422.20850331656</v>
      </c>
      <c r="L128">
        <v>145422.20850331656</v>
      </c>
      <c r="M128">
        <v>145422.20850331656</v>
      </c>
      <c r="N128">
        <v>145422.20850331656</v>
      </c>
      <c r="O128">
        <v>145422.20850331656</v>
      </c>
      <c r="P128">
        <v>145422.20850331656</v>
      </c>
      <c r="Q128">
        <v>145422.20850331656</v>
      </c>
      <c r="R128">
        <v>145422.20850331656</v>
      </c>
      <c r="S128">
        <v>145422.20850331656</v>
      </c>
      <c r="T128">
        <v>145422.20850331656</v>
      </c>
      <c r="U128">
        <v>145422.20850331656</v>
      </c>
      <c r="V128">
        <v>145422.20850331656</v>
      </c>
      <c r="W128">
        <v>109066.65637748742</v>
      </c>
      <c r="X128">
        <v>109066.65637748742</v>
      </c>
      <c r="Y128">
        <v>109066.65637748742</v>
      </c>
      <c r="Z128">
        <v>109066.65637748742</v>
      </c>
      <c r="AA128">
        <v>109066.65637748742</v>
      </c>
      <c r="AB128">
        <v>109066.65637748742</v>
      </c>
      <c r="AC128">
        <v>109066.65637748742</v>
      </c>
      <c r="AD128">
        <v>109066.65637748742</v>
      </c>
      <c r="AE128">
        <v>109066.65637748742</v>
      </c>
      <c r="AF128">
        <v>109066.65637748742</v>
      </c>
      <c r="AG128">
        <v>109066.65637748742</v>
      </c>
      <c r="AH128">
        <v>109066.65637748742</v>
      </c>
      <c r="AI128">
        <v>109066.65637748742</v>
      </c>
      <c r="AJ128">
        <v>109066.65637748742</v>
      </c>
      <c r="AK128">
        <v>109066.65637748742</v>
      </c>
      <c r="AL128">
        <v>109066.65637748742</v>
      </c>
      <c r="AM128">
        <v>109066.65637748742</v>
      </c>
      <c r="AN128">
        <v>109066.65637748742</v>
      </c>
      <c r="AO128">
        <v>109066.65637748742</v>
      </c>
      <c r="AP128">
        <v>109066.65637748742</v>
      </c>
      <c r="AQ128">
        <v>109066.65637748742</v>
      </c>
      <c r="AR128">
        <v>109066.65637748742</v>
      </c>
      <c r="AS128">
        <v>109066.65637748742</v>
      </c>
      <c r="AT128">
        <v>109066.65637748742</v>
      </c>
      <c r="AU128">
        <v>109066.65637748742</v>
      </c>
      <c r="AV128">
        <v>109066.65637748742</v>
      </c>
      <c r="AW128">
        <v>109066.65637748742</v>
      </c>
      <c r="AX128">
        <v>109066.65637748742</v>
      </c>
    </row>
    <row r="129" spans="2:50" x14ac:dyDescent="0.2">
      <c r="B129" s="120" t="s">
        <v>10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</row>
    <row r="130" spans="2:50" x14ac:dyDescent="0.2">
      <c r="B130" s="120" t="s">
        <v>12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</row>
    <row r="131" spans="2:50" x14ac:dyDescent="0.2">
      <c r="B131" s="120" t="s">
        <v>22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</row>
    <row r="132" spans="2:50" x14ac:dyDescent="0.2">
      <c r="B132" s="120" t="s">
        <v>59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</v>
      </c>
      <c r="AO132">
        <v>0</v>
      </c>
      <c r="AP132">
        <v>0</v>
      </c>
      <c r="AQ132">
        <v>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0</v>
      </c>
      <c r="AX132">
        <v>0</v>
      </c>
    </row>
    <row r="133" spans="2:50" x14ac:dyDescent="0.2">
      <c r="B133" t="s">
        <v>278</v>
      </c>
      <c r="C133" s="120">
        <f>SUM(C$128:C$132)</f>
        <v>109066.65637748742</v>
      </c>
      <c r="D133" s="120">
        <f t="shared" ref="D133:AX133" si="10">SUM(D$128:D$132)</f>
        <v>109066.65637748742</v>
      </c>
      <c r="E133" s="120">
        <f t="shared" si="10"/>
        <v>109066.65637748742</v>
      </c>
      <c r="F133" s="120">
        <f t="shared" si="10"/>
        <v>109066.65637748742</v>
      </c>
      <c r="G133" s="120">
        <f t="shared" si="10"/>
        <v>109066.65637748742</v>
      </c>
      <c r="H133" s="120">
        <f t="shared" si="10"/>
        <v>109066.65637748742</v>
      </c>
      <c r="I133" s="120">
        <f t="shared" si="10"/>
        <v>109066.65637748742</v>
      </c>
      <c r="J133" s="120">
        <f t="shared" si="10"/>
        <v>109066.65637748742</v>
      </c>
      <c r="K133" s="120">
        <f t="shared" si="10"/>
        <v>145422.20850331656</v>
      </c>
      <c r="L133" s="120">
        <f t="shared" si="10"/>
        <v>145422.20850331656</v>
      </c>
      <c r="M133" s="120">
        <f t="shared" si="10"/>
        <v>145422.20850331656</v>
      </c>
      <c r="N133" s="120">
        <f t="shared" si="10"/>
        <v>145422.20850331656</v>
      </c>
      <c r="O133" s="120">
        <f t="shared" si="10"/>
        <v>145422.20850331656</v>
      </c>
      <c r="P133" s="120">
        <f t="shared" si="10"/>
        <v>145422.20850331656</v>
      </c>
      <c r="Q133" s="120">
        <f t="shared" si="10"/>
        <v>145422.20850331656</v>
      </c>
      <c r="R133" s="120">
        <f t="shared" si="10"/>
        <v>145422.20850331656</v>
      </c>
      <c r="S133" s="120">
        <f t="shared" si="10"/>
        <v>145422.20850331656</v>
      </c>
      <c r="T133" s="120">
        <f t="shared" si="10"/>
        <v>145422.20850331656</v>
      </c>
      <c r="U133" s="120">
        <f t="shared" si="10"/>
        <v>145422.20850331656</v>
      </c>
      <c r="V133" s="120">
        <f t="shared" si="10"/>
        <v>145422.20850331656</v>
      </c>
      <c r="W133" s="120">
        <f t="shared" si="10"/>
        <v>109066.65637748742</v>
      </c>
      <c r="X133" s="120">
        <f t="shared" si="10"/>
        <v>109066.65637748742</v>
      </c>
      <c r="Y133" s="120">
        <f t="shared" si="10"/>
        <v>109066.65637748742</v>
      </c>
      <c r="Z133" s="120">
        <f t="shared" si="10"/>
        <v>109066.65637748742</v>
      </c>
      <c r="AA133" s="120">
        <f t="shared" si="10"/>
        <v>109066.65637748742</v>
      </c>
      <c r="AB133" s="120">
        <f t="shared" si="10"/>
        <v>109066.65637748742</v>
      </c>
      <c r="AC133" s="120">
        <f t="shared" si="10"/>
        <v>109066.65637748742</v>
      </c>
      <c r="AD133" s="120">
        <f t="shared" si="10"/>
        <v>109066.65637748742</v>
      </c>
      <c r="AE133" s="120">
        <f t="shared" si="10"/>
        <v>109066.65637748742</v>
      </c>
      <c r="AF133" s="120">
        <f t="shared" si="10"/>
        <v>109066.65637748742</v>
      </c>
      <c r="AG133" s="120">
        <f t="shared" si="10"/>
        <v>109066.65637748742</v>
      </c>
      <c r="AH133" s="120">
        <f t="shared" si="10"/>
        <v>109066.65637748742</v>
      </c>
      <c r="AI133" s="120">
        <f t="shared" si="10"/>
        <v>109066.65637748742</v>
      </c>
      <c r="AJ133" s="120">
        <f t="shared" si="10"/>
        <v>109066.65637748742</v>
      </c>
      <c r="AK133" s="120">
        <f t="shared" si="10"/>
        <v>109066.65637748742</v>
      </c>
      <c r="AL133" s="120">
        <f t="shared" si="10"/>
        <v>109066.65637748742</v>
      </c>
      <c r="AM133" s="120">
        <f t="shared" si="10"/>
        <v>109066.65637748742</v>
      </c>
      <c r="AN133" s="120">
        <f t="shared" si="10"/>
        <v>109066.65637748742</v>
      </c>
      <c r="AO133" s="120">
        <f t="shared" si="10"/>
        <v>109066.65637748742</v>
      </c>
      <c r="AP133" s="120">
        <f t="shared" si="10"/>
        <v>109066.65637748742</v>
      </c>
      <c r="AQ133" s="120">
        <f t="shared" si="10"/>
        <v>109066.65637748742</v>
      </c>
      <c r="AR133" s="120">
        <f t="shared" si="10"/>
        <v>109066.65637748742</v>
      </c>
      <c r="AS133" s="120">
        <f t="shared" si="10"/>
        <v>109066.65637748742</v>
      </c>
      <c r="AT133" s="120">
        <f t="shared" si="10"/>
        <v>109066.65637748742</v>
      </c>
      <c r="AU133" s="120">
        <f t="shared" si="10"/>
        <v>109066.65637748742</v>
      </c>
      <c r="AV133" s="120">
        <f t="shared" si="10"/>
        <v>109066.65637748742</v>
      </c>
      <c r="AW133" s="120">
        <f t="shared" si="10"/>
        <v>109066.65637748742</v>
      </c>
      <c r="AX133" s="120">
        <f t="shared" si="10"/>
        <v>109066.65637748742</v>
      </c>
    </row>
  </sheetData>
  <pageMargins left="0.75" right="0.75" top="1" bottom="1" header="0.5" footer="0.5"/>
  <pageSetup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Z54"/>
  <sheetViews>
    <sheetView workbookViewId="0">
      <pane xSplit="2" ySplit="6" topLeftCell="C7" activePane="bottomRight" state="frozen"/>
      <selection pane="topRight"/>
      <selection pane="bottomLeft"/>
      <selection pane="bottomRight" activeCell="C27" sqref="C27:C29"/>
    </sheetView>
  </sheetViews>
  <sheetFormatPr defaultRowHeight="12.75" x14ac:dyDescent="0.2"/>
  <cols>
    <col min="1" max="1" width="14.7109375" customWidth="1"/>
    <col min="2" max="2" width="17.7109375" customWidth="1"/>
    <col min="52" max="52" width="10.7109375" customWidth="1"/>
  </cols>
  <sheetData>
    <row r="1" spans="1:52" x14ac:dyDescent="0.2">
      <c r="A1" s="1" t="s">
        <v>118</v>
      </c>
    </row>
    <row r="2" spans="1:52" x14ac:dyDescent="0.2">
      <c r="A2" t="s">
        <v>303</v>
      </c>
      <c r="B2" s="122" t="s">
        <v>5</v>
      </c>
      <c r="E2" s="125"/>
    </row>
    <row r="3" spans="1:52" x14ac:dyDescent="0.2">
      <c r="A3" t="s">
        <v>286</v>
      </c>
      <c r="B3" s="122">
        <v>345</v>
      </c>
      <c r="E3" s="125"/>
    </row>
    <row r="4" spans="1:52" x14ac:dyDescent="0.2">
      <c r="A4" s="1"/>
      <c r="C4" s="9" t="s">
        <v>287</v>
      </c>
    </row>
    <row r="5" spans="1:52" x14ac:dyDescent="0.2">
      <c r="B5" s="121"/>
      <c r="C5" s="126">
        <v>0</v>
      </c>
      <c r="D5" s="126">
        <v>1</v>
      </c>
      <c r="E5" s="126">
        <v>2</v>
      </c>
      <c r="F5" s="126">
        <v>3</v>
      </c>
      <c r="G5" s="126">
        <v>4</v>
      </c>
      <c r="H5" s="126">
        <v>5</v>
      </c>
      <c r="I5" s="126">
        <v>6</v>
      </c>
      <c r="J5" s="126">
        <v>7</v>
      </c>
      <c r="K5" s="126">
        <v>8</v>
      </c>
      <c r="L5" s="126">
        <v>9</v>
      </c>
      <c r="M5" s="126">
        <v>10</v>
      </c>
      <c r="N5" s="126">
        <v>11</v>
      </c>
      <c r="O5" s="126">
        <v>12</v>
      </c>
      <c r="P5" s="126">
        <v>13</v>
      </c>
      <c r="Q5" s="126">
        <v>14</v>
      </c>
      <c r="R5" s="126">
        <v>15</v>
      </c>
      <c r="S5" s="126">
        <v>16</v>
      </c>
      <c r="T5" s="126">
        <v>17</v>
      </c>
      <c r="U5" s="126">
        <v>18</v>
      </c>
      <c r="V5" s="126">
        <v>19</v>
      </c>
      <c r="W5" s="126">
        <v>20</v>
      </c>
      <c r="X5" s="126">
        <v>21</v>
      </c>
      <c r="Y5" s="126">
        <v>22</v>
      </c>
      <c r="Z5" s="126">
        <v>23</v>
      </c>
      <c r="AA5" s="126">
        <v>24</v>
      </c>
      <c r="AB5" s="126">
        <v>25</v>
      </c>
      <c r="AC5" s="126">
        <v>26</v>
      </c>
      <c r="AD5" s="126">
        <v>27</v>
      </c>
      <c r="AE5" s="126">
        <v>28</v>
      </c>
      <c r="AF5" s="126">
        <v>29</v>
      </c>
      <c r="AG5" s="126">
        <v>30</v>
      </c>
      <c r="AH5" s="126">
        <v>31</v>
      </c>
      <c r="AI5" s="126">
        <v>32</v>
      </c>
      <c r="AJ5" s="126">
        <v>33</v>
      </c>
      <c r="AK5" s="126">
        <v>34</v>
      </c>
      <c r="AL5" s="126">
        <v>35</v>
      </c>
      <c r="AM5" s="126">
        <v>36</v>
      </c>
      <c r="AN5" s="126">
        <v>37</v>
      </c>
      <c r="AO5" s="126">
        <v>38</v>
      </c>
      <c r="AP5" s="126">
        <v>39</v>
      </c>
      <c r="AQ5" s="126">
        <v>40</v>
      </c>
      <c r="AR5" s="126">
        <v>41</v>
      </c>
      <c r="AS5" s="126">
        <v>42</v>
      </c>
      <c r="AT5" s="126">
        <v>43</v>
      </c>
      <c r="AU5" s="126">
        <v>44</v>
      </c>
      <c r="AV5" s="126">
        <v>45</v>
      </c>
      <c r="AW5" s="126">
        <v>46</v>
      </c>
      <c r="AX5" s="126">
        <v>47</v>
      </c>
      <c r="AY5" s="126">
        <v>48</v>
      </c>
    </row>
    <row r="6" spans="1:52" x14ac:dyDescent="0.2">
      <c r="A6" s="1" t="s">
        <v>304</v>
      </c>
      <c r="B6" s="128"/>
      <c r="C6" s="127" t="s">
        <v>288</v>
      </c>
      <c r="D6" s="126" t="s">
        <v>289</v>
      </c>
      <c r="E6" s="126" t="s">
        <v>289</v>
      </c>
      <c r="F6" s="126" t="s">
        <v>289</v>
      </c>
      <c r="G6" s="126" t="s">
        <v>289</v>
      </c>
      <c r="H6" s="126" t="s">
        <v>289</v>
      </c>
      <c r="I6" s="126" t="s">
        <v>289</v>
      </c>
      <c r="J6" s="126" t="s">
        <v>289</v>
      </c>
      <c r="K6" s="126" t="s">
        <v>289</v>
      </c>
      <c r="L6" s="126" t="s">
        <v>289</v>
      </c>
      <c r="M6" s="126" t="s">
        <v>289</v>
      </c>
      <c r="N6" s="126" t="s">
        <v>289</v>
      </c>
      <c r="O6" s="126" t="s">
        <v>289</v>
      </c>
      <c r="P6" s="126" t="s">
        <v>289</v>
      </c>
      <c r="Q6" s="126" t="s">
        <v>289</v>
      </c>
      <c r="R6" s="126" t="s">
        <v>289</v>
      </c>
      <c r="S6" s="126" t="s">
        <v>289</v>
      </c>
      <c r="T6" s="126" t="s">
        <v>289</v>
      </c>
      <c r="U6" s="126" t="s">
        <v>289</v>
      </c>
      <c r="V6" s="126" t="s">
        <v>289</v>
      </c>
      <c r="W6" s="126" t="s">
        <v>289</v>
      </c>
      <c r="X6" s="126" t="s">
        <v>289</v>
      </c>
      <c r="Y6" s="126" t="s">
        <v>289</v>
      </c>
      <c r="Z6" s="126" t="s">
        <v>289</v>
      </c>
      <c r="AA6" s="126" t="s">
        <v>289</v>
      </c>
      <c r="AB6" s="126" t="s">
        <v>289</v>
      </c>
      <c r="AC6" s="126" t="s">
        <v>289</v>
      </c>
      <c r="AD6" s="126" t="s">
        <v>289</v>
      </c>
      <c r="AE6" s="126" t="s">
        <v>289</v>
      </c>
      <c r="AF6" s="126" t="s">
        <v>289</v>
      </c>
      <c r="AG6" s="126" t="s">
        <v>289</v>
      </c>
      <c r="AH6" s="126" t="s">
        <v>289</v>
      </c>
      <c r="AI6" s="126" t="s">
        <v>289</v>
      </c>
      <c r="AJ6" s="126" t="s">
        <v>289</v>
      </c>
      <c r="AK6" s="126" t="s">
        <v>289</v>
      </c>
      <c r="AL6" s="126" t="s">
        <v>289</v>
      </c>
      <c r="AM6" s="126" t="s">
        <v>289</v>
      </c>
      <c r="AN6" s="126" t="s">
        <v>289</v>
      </c>
      <c r="AO6" s="126" t="s">
        <v>289</v>
      </c>
      <c r="AP6" s="126" t="s">
        <v>289</v>
      </c>
      <c r="AQ6" s="126" t="s">
        <v>289</v>
      </c>
      <c r="AR6" s="126" t="s">
        <v>289</v>
      </c>
      <c r="AS6" s="126" t="s">
        <v>289</v>
      </c>
      <c r="AT6" s="126" t="s">
        <v>289</v>
      </c>
      <c r="AU6" s="126" t="s">
        <v>289</v>
      </c>
      <c r="AV6" s="126" t="s">
        <v>289</v>
      </c>
      <c r="AW6" s="126" t="s">
        <v>289</v>
      </c>
      <c r="AX6" s="126" t="s">
        <v>289</v>
      </c>
      <c r="AY6" s="9" t="s">
        <v>290</v>
      </c>
      <c r="AZ6" s="156" t="s">
        <v>150</v>
      </c>
    </row>
    <row r="7" spans="1:52" x14ac:dyDescent="0.2">
      <c r="A7" s="129" t="s">
        <v>125</v>
      </c>
      <c r="B7" s="157">
        <v>1</v>
      </c>
      <c r="C7" s="158" t="s">
        <v>293</v>
      </c>
      <c r="D7" s="158">
        <v>3281.8965154250818</v>
      </c>
      <c r="E7" s="158">
        <v>3281.8965154250818</v>
      </c>
      <c r="F7" s="158">
        <v>3281.8965154250818</v>
      </c>
      <c r="G7" s="158">
        <v>3281.8965154250818</v>
      </c>
      <c r="H7" s="158">
        <v>3258.6348897503858</v>
      </c>
      <c r="I7" s="158">
        <v>3258.6348897503858</v>
      </c>
      <c r="J7" s="158">
        <v>3258.6348897503858</v>
      </c>
      <c r="K7" s="158">
        <v>3258.6348897503858</v>
      </c>
      <c r="L7" s="158">
        <v>3645.888827457813</v>
      </c>
      <c r="M7" s="158">
        <v>3645.888827457813</v>
      </c>
      <c r="N7" s="158">
        <v>3645.888827457813</v>
      </c>
      <c r="O7" s="158">
        <v>3645.888827457813</v>
      </c>
      <c r="P7" s="158">
        <v>3645.888827457813</v>
      </c>
      <c r="Q7" s="158">
        <v>3645.888827457813</v>
      </c>
      <c r="R7" s="158">
        <v>3645.888827457813</v>
      </c>
      <c r="S7" s="158">
        <v>3645.888827457813</v>
      </c>
      <c r="T7" s="158">
        <v>3645.888827457813</v>
      </c>
      <c r="U7" s="158">
        <v>3645.888827457813</v>
      </c>
      <c r="V7" s="158">
        <v>3645.888827457813</v>
      </c>
      <c r="W7" s="158">
        <v>3645.888827457813</v>
      </c>
      <c r="X7" s="158">
        <v>3281.8965154250818</v>
      </c>
      <c r="Y7" s="158">
        <v>3281.8965154250818</v>
      </c>
      <c r="Z7" s="158">
        <v>3281.8965154250818</v>
      </c>
      <c r="AA7" s="158">
        <v>3281.8965154250818</v>
      </c>
      <c r="AB7" s="158">
        <v>3281.8965154250818</v>
      </c>
      <c r="AC7" s="158">
        <v>3281.8965154250818</v>
      </c>
      <c r="AD7" s="158">
        <v>3281.8965154250818</v>
      </c>
      <c r="AE7" s="158">
        <v>3281.8965154250818</v>
      </c>
      <c r="AF7" s="158">
        <v>3281.8965154250818</v>
      </c>
      <c r="AG7" s="158">
        <v>3281.8965154250818</v>
      </c>
      <c r="AH7" s="158">
        <v>3281.8965154250818</v>
      </c>
      <c r="AI7" s="158">
        <v>3281.8965154250818</v>
      </c>
      <c r="AJ7" s="158">
        <v>3281.8965154250818</v>
      </c>
      <c r="AK7" s="158">
        <v>3281.8965154250818</v>
      </c>
      <c r="AL7" s="158">
        <v>3281.8965154250818</v>
      </c>
      <c r="AM7" s="158">
        <v>3281.8965154250818</v>
      </c>
      <c r="AN7" s="158">
        <v>3281.8965154250818</v>
      </c>
      <c r="AO7" s="158">
        <v>3281.8965154250818</v>
      </c>
      <c r="AP7" s="158">
        <v>3281.8965154250818</v>
      </c>
      <c r="AQ7" s="158">
        <v>3281.8965154250818</v>
      </c>
      <c r="AR7" s="158">
        <v>3281.8965154250818</v>
      </c>
      <c r="AS7" s="158">
        <v>3281.8965154250818</v>
      </c>
      <c r="AT7" s="158">
        <v>3281.8965154250818</v>
      </c>
      <c r="AU7" s="158">
        <v>3281.8965154250818</v>
      </c>
      <c r="AV7" s="158">
        <v>3258.6348897503858</v>
      </c>
      <c r="AW7" s="158">
        <v>3258.6348897503858</v>
      </c>
      <c r="AX7" s="158">
        <v>3258.6348897503858</v>
      </c>
      <c r="AY7" s="158">
        <v>3258.6348897503858</v>
      </c>
      <c r="AZ7" s="121"/>
    </row>
    <row r="8" spans="1:52" x14ac:dyDescent="0.2">
      <c r="A8" s="159"/>
      <c r="B8" s="160"/>
      <c r="C8" s="159"/>
      <c r="D8" s="159"/>
      <c r="E8" s="159"/>
      <c r="F8" s="159"/>
      <c r="G8" s="159"/>
      <c r="H8" s="159"/>
      <c r="I8" s="159"/>
      <c r="J8" s="159"/>
      <c r="K8" s="159"/>
      <c r="L8" s="159"/>
      <c r="M8" s="159"/>
      <c r="N8" s="159"/>
      <c r="O8" s="159"/>
      <c r="P8" s="159"/>
      <c r="Q8" s="159"/>
      <c r="R8" s="159"/>
      <c r="S8" s="159"/>
      <c r="T8" s="159"/>
      <c r="U8" s="159"/>
      <c r="V8" s="159"/>
      <c r="W8" s="159"/>
      <c r="X8" s="159"/>
      <c r="Y8" s="159"/>
      <c r="Z8" s="159"/>
      <c r="AA8" s="159"/>
      <c r="AB8" s="159"/>
      <c r="AC8" s="159"/>
      <c r="AD8" s="159"/>
      <c r="AE8" s="159"/>
      <c r="AF8" s="159"/>
      <c r="AG8" s="159"/>
      <c r="AH8" s="159"/>
      <c r="AI8" s="159"/>
      <c r="AJ8" s="159"/>
      <c r="AK8" s="159"/>
      <c r="AL8" s="159"/>
      <c r="AM8" s="159"/>
      <c r="AN8" s="159"/>
      <c r="AO8" s="159"/>
      <c r="AP8" s="159"/>
      <c r="AQ8" s="159"/>
      <c r="AR8" s="159"/>
      <c r="AS8" s="159"/>
      <c r="AT8" s="159"/>
      <c r="AU8" s="159"/>
      <c r="AV8" s="159"/>
      <c r="AW8" s="159"/>
      <c r="AX8" s="159"/>
      <c r="AY8" s="159"/>
      <c r="AZ8" s="161"/>
    </row>
    <row r="9" spans="1:52" x14ac:dyDescent="0.2">
      <c r="A9" s="1" t="s">
        <v>294</v>
      </c>
      <c r="B9" s="162"/>
      <c r="C9" s="121"/>
      <c r="D9" s="121"/>
      <c r="E9" s="121"/>
      <c r="F9" s="121"/>
      <c r="G9" s="121"/>
      <c r="H9" s="121"/>
      <c r="I9" s="121"/>
      <c r="J9" s="121"/>
      <c r="K9" s="121"/>
      <c r="L9" s="121"/>
      <c r="M9" s="121"/>
      <c r="N9" s="121"/>
      <c r="O9" s="121"/>
      <c r="P9" s="121"/>
      <c r="Q9" s="121"/>
      <c r="R9" s="121"/>
      <c r="S9" s="121"/>
      <c r="T9" s="121"/>
      <c r="U9" s="121"/>
      <c r="V9" s="121"/>
      <c r="W9" s="121"/>
      <c r="X9" s="121"/>
      <c r="Y9" s="121"/>
      <c r="Z9" s="121"/>
      <c r="AA9" s="121"/>
      <c r="AB9" s="121"/>
      <c r="AC9" s="121"/>
      <c r="AD9" s="121"/>
      <c r="AE9" s="121"/>
      <c r="AF9" s="121"/>
      <c r="AG9" s="121"/>
      <c r="AH9" s="121"/>
      <c r="AI9" s="121"/>
      <c r="AJ9" s="121"/>
      <c r="AK9" s="121"/>
      <c r="AL9" s="121"/>
      <c r="AM9" s="121"/>
      <c r="AN9" s="121"/>
      <c r="AO9" s="121"/>
      <c r="AP9" s="121"/>
      <c r="AQ9" s="121"/>
      <c r="AR9" s="121"/>
      <c r="AS9" s="121"/>
      <c r="AT9" s="121"/>
      <c r="AU9" s="121"/>
      <c r="AV9" s="121"/>
      <c r="AW9" s="121"/>
      <c r="AX9" s="121"/>
      <c r="AY9" s="121"/>
      <c r="AZ9" s="121"/>
    </row>
    <row r="10" spans="1:52" x14ac:dyDescent="0.2">
      <c r="A10" s="163" t="s">
        <v>125</v>
      </c>
      <c r="B10" s="164">
        <v>1</v>
      </c>
      <c r="C10" s="158" t="s">
        <v>293</v>
      </c>
      <c r="D10" s="158">
        <f t="shared" ref="D10:AY10" si="0">MAX(SUM(D$14:D$16)+D$7-$B$3,0)</f>
        <v>2936.8965154250818</v>
      </c>
      <c r="E10" s="158">
        <f t="shared" si="0"/>
        <v>2936.8965154250818</v>
      </c>
      <c r="F10" s="158">
        <f t="shared" si="0"/>
        <v>2936.8965154250818</v>
      </c>
      <c r="G10" s="158">
        <f t="shared" si="0"/>
        <v>2936.8965154250818</v>
      </c>
      <c r="H10" s="158">
        <f t="shared" si="0"/>
        <v>2913.6348897503858</v>
      </c>
      <c r="I10" s="158">
        <f t="shared" si="0"/>
        <v>2913.6348897503858</v>
      </c>
      <c r="J10" s="158">
        <f t="shared" si="0"/>
        <v>2913.6348897503858</v>
      </c>
      <c r="K10" s="158">
        <f t="shared" si="0"/>
        <v>2913.6348897503858</v>
      </c>
      <c r="L10" s="158">
        <f t="shared" si="0"/>
        <v>3300.888827457813</v>
      </c>
      <c r="M10" s="158">
        <f t="shared" si="0"/>
        <v>3300.888827457813</v>
      </c>
      <c r="N10" s="158">
        <f t="shared" si="0"/>
        <v>3300.888827457813</v>
      </c>
      <c r="O10" s="158">
        <f t="shared" si="0"/>
        <v>3300.888827457813</v>
      </c>
      <c r="P10" s="158">
        <f t="shared" si="0"/>
        <v>3300.888827457813</v>
      </c>
      <c r="Q10" s="158">
        <f t="shared" si="0"/>
        <v>3300.888827457813</v>
      </c>
      <c r="R10" s="158">
        <f t="shared" si="0"/>
        <v>3300.888827457813</v>
      </c>
      <c r="S10" s="158">
        <f t="shared" si="0"/>
        <v>3300.888827457813</v>
      </c>
      <c r="T10" s="158">
        <f t="shared" si="0"/>
        <v>3300.888827457813</v>
      </c>
      <c r="U10" s="158">
        <f t="shared" si="0"/>
        <v>3300.888827457813</v>
      </c>
      <c r="V10" s="158">
        <f t="shared" si="0"/>
        <v>3300.888827457813</v>
      </c>
      <c r="W10" s="158">
        <f t="shared" si="0"/>
        <v>3300.888827457813</v>
      </c>
      <c r="X10" s="158">
        <f t="shared" si="0"/>
        <v>2936.8965154250818</v>
      </c>
      <c r="Y10" s="158">
        <f t="shared" si="0"/>
        <v>2936.8965154250818</v>
      </c>
      <c r="Z10" s="158">
        <f t="shared" si="0"/>
        <v>2936.8965154250818</v>
      </c>
      <c r="AA10" s="158">
        <f t="shared" si="0"/>
        <v>2936.8965154250818</v>
      </c>
      <c r="AB10" s="158">
        <f t="shared" si="0"/>
        <v>2936.8965154250818</v>
      </c>
      <c r="AC10" s="158">
        <f t="shared" si="0"/>
        <v>2936.8965154250818</v>
      </c>
      <c r="AD10" s="158">
        <f t="shared" si="0"/>
        <v>2936.8965154250818</v>
      </c>
      <c r="AE10" s="158">
        <f t="shared" si="0"/>
        <v>2936.8965154250818</v>
      </c>
      <c r="AF10" s="158">
        <f t="shared" si="0"/>
        <v>2936.8965154250818</v>
      </c>
      <c r="AG10" s="158">
        <f t="shared" si="0"/>
        <v>2936.8965154250818</v>
      </c>
      <c r="AH10" s="158">
        <f t="shared" si="0"/>
        <v>2936.8965154250818</v>
      </c>
      <c r="AI10" s="158">
        <f t="shared" si="0"/>
        <v>2936.8965154250818</v>
      </c>
      <c r="AJ10" s="158">
        <f t="shared" si="0"/>
        <v>2936.8965154250818</v>
      </c>
      <c r="AK10" s="158">
        <f t="shared" si="0"/>
        <v>2936.8965154250818</v>
      </c>
      <c r="AL10" s="158">
        <f t="shared" si="0"/>
        <v>2936.8965154250818</v>
      </c>
      <c r="AM10" s="158">
        <f t="shared" si="0"/>
        <v>2936.8965154250818</v>
      </c>
      <c r="AN10" s="158">
        <f t="shared" si="0"/>
        <v>2936.8965154250818</v>
      </c>
      <c r="AO10" s="158">
        <f t="shared" si="0"/>
        <v>2936.8965154250818</v>
      </c>
      <c r="AP10" s="158">
        <f t="shared" si="0"/>
        <v>2936.8965154250818</v>
      </c>
      <c r="AQ10" s="158">
        <f t="shared" si="0"/>
        <v>2936.8965154250818</v>
      </c>
      <c r="AR10" s="158">
        <f t="shared" si="0"/>
        <v>2936.8965154250818</v>
      </c>
      <c r="AS10" s="158">
        <f t="shared" si="0"/>
        <v>2936.8965154250818</v>
      </c>
      <c r="AT10" s="158">
        <f t="shared" si="0"/>
        <v>2936.8965154250818</v>
      </c>
      <c r="AU10" s="158">
        <f t="shared" si="0"/>
        <v>2936.8965154250818</v>
      </c>
      <c r="AV10" s="158">
        <f t="shared" si="0"/>
        <v>2913.6348897503858</v>
      </c>
      <c r="AW10" s="158">
        <f t="shared" si="0"/>
        <v>2913.6348897503858</v>
      </c>
      <c r="AX10" s="158">
        <f t="shared" si="0"/>
        <v>2913.6348897503858</v>
      </c>
      <c r="AY10" s="158">
        <f t="shared" si="0"/>
        <v>2913.6348897503858</v>
      </c>
      <c r="AZ10" s="165">
        <f>SUM($D10:$AY10)</f>
        <v>145152.84747939903</v>
      </c>
    </row>
    <row r="11" spans="1:52" x14ac:dyDescent="0.2">
      <c r="C11" s="125"/>
    </row>
    <row r="12" spans="1:52" x14ac:dyDescent="0.2">
      <c r="A12" s="166" t="s">
        <v>295</v>
      </c>
      <c r="B12" s="160"/>
      <c r="C12" s="125"/>
    </row>
    <row r="13" spans="1:52" x14ac:dyDescent="0.2">
      <c r="A13" s="136" t="s">
        <v>125</v>
      </c>
      <c r="B13" s="137">
        <v>1</v>
      </c>
      <c r="C13" s="138">
        <v>378</v>
      </c>
      <c r="D13" s="152">
        <f t="shared" ref="D13:AY13" si="1">D$7-D$10</f>
        <v>345</v>
      </c>
      <c r="E13" s="152">
        <f t="shared" si="1"/>
        <v>345</v>
      </c>
      <c r="F13" s="152">
        <f t="shared" si="1"/>
        <v>345</v>
      </c>
      <c r="G13" s="152">
        <f t="shared" si="1"/>
        <v>345</v>
      </c>
      <c r="H13" s="152">
        <f t="shared" si="1"/>
        <v>345</v>
      </c>
      <c r="I13" s="152">
        <f t="shared" si="1"/>
        <v>345</v>
      </c>
      <c r="J13" s="152">
        <f t="shared" si="1"/>
        <v>345</v>
      </c>
      <c r="K13" s="152">
        <f t="shared" si="1"/>
        <v>345</v>
      </c>
      <c r="L13" s="152">
        <f t="shared" si="1"/>
        <v>345</v>
      </c>
      <c r="M13" s="152">
        <f t="shared" si="1"/>
        <v>345</v>
      </c>
      <c r="N13" s="152">
        <f t="shared" si="1"/>
        <v>345</v>
      </c>
      <c r="O13" s="152">
        <f t="shared" si="1"/>
        <v>345</v>
      </c>
      <c r="P13" s="152">
        <f t="shared" si="1"/>
        <v>345</v>
      </c>
      <c r="Q13" s="152">
        <f t="shared" si="1"/>
        <v>345</v>
      </c>
      <c r="R13" s="152">
        <f t="shared" si="1"/>
        <v>345</v>
      </c>
      <c r="S13" s="152">
        <f t="shared" si="1"/>
        <v>345</v>
      </c>
      <c r="T13" s="152">
        <f t="shared" si="1"/>
        <v>345</v>
      </c>
      <c r="U13" s="152">
        <f t="shared" si="1"/>
        <v>345</v>
      </c>
      <c r="V13" s="152">
        <f t="shared" si="1"/>
        <v>345</v>
      </c>
      <c r="W13" s="152">
        <f t="shared" si="1"/>
        <v>345</v>
      </c>
      <c r="X13" s="152">
        <f t="shared" si="1"/>
        <v>345</v>
      </c>
      <c r="Y13" s="152">
        <f t="shared" si="1"/>
        <v>345</v>
      </c>
      <c r="Z13" s="152">
        <f t="shared" si="1"/>
        <v>345</v>
      </c>
      <c r="AA13" s="152">
        <f t="shared" si="1"/>
        <v>345</v>
      </c>
      <c r="AB13" s="152">
        <f t="shared" si="1"/>
        <v>345</v>
      </c>
      <c r="AC13" s="152">
        <f t="shared" si="1"/>
        <v>345</v>
      </c>
      <c r="AD13" s="152">
        <f t="shared" si="1"/>
        <v>345</v>
      </c>
      <c r="AE13" s="152">
        <f t="shared" si="1"/>
        <v>345</v>
      </c>
      <c r="AF13" s="152">
        <f t="shared" si="1"/>
        <v>345</v>
      </c>
      <c r="AG13" s="152">
        <f t="shared" si="1"/>
        <v>345</v>
      </c>
      <c r="AH13" s="152">
        <f t="shared" si="1"/>
        <v>345</v>
      </c>
      <c r="AI13" s="152">
        <f t="shared" si="1"/>
        <v>345</v>
      </c>
      <c r="AJ13" s="152">
        <f t="shared" si="1"/>
        <v>345</v>
      </c>
      <c r="AK13" s="152">
        <f t="shared" si="1"/>
        <v>345</v>
      </c>
      <c r="AL13" s="152">
        <f t="shared" si="1"/>
        <v>345</v>
      </c>
      <c r="AM13" s="152">
        <f t="shared" si="1"/>
        <v>345</v>
      </c>
      <c r="AN13" s="152">
        <f t="shared" si="1"/>
        <v>345</v>
      </c>
      <c r="AO13" s="152">
        <f t="shared" si="1"/>
        <v>345</v>
      </c>
      <c r="AP13" s="152">
        <f t="shared" si="1"/>
        <v>345</v>
      </c>
      <c r="AQ13" s="152">
        <f t="shared" si="1"/>
        <v>345</v>
      </c>
      <c r="AR13" s="152">
        <f t="shared" si="1"/>
        <v>345</v>
      </c>
      <c r="AS13" s="152">
        <f t="shared" si="1"/>
        <v>345</v>
      </c>
      <c r="AT13" s="152">
        <f t="shared" si="1"/>
        <v>345</v>
      </c>
      <c r="AU13" s="152">
        <f t="shared" si="1"/>
        <v>345</v>
      </c>
      <c r="AV13" s="152">
        <f t="shared" si="1"/>
        <v>345</v>
      </c>
      <c r="AW13" s="152">
        <f t="shared" si="1"/>
        <v>345</v>
      </c>
      <c r="AX13" s="152">
        <f t="shared" si="1"/>
        <v>345</v>
      </c>
      <c r="AY13" s="152">
        <f t="shared" si="1"/>
        <v>345</v>
      </c>
      <c r="AZ13" s="124"/>
    </row>
    <row r="14" spans="1:52" x14ac:dyDescent="0.2">
      <c r="A14" s="125"/>
      <c r="B14" s="134">
        <v>2</v>
      </c>
      <c r="C14" s="125">
        <v>0</v>
      </c>
      <c r="D14" s="121">
        <f>IF(C$20="Yes",C13,0)</f>
        <v>0</v>
      </c>
      <c r="E14" s="121">
        <f t="shared" ref="E14:AY17" si="2">IF(D$20="Yes",D13,0)</f>
        <v>0</v>
      </c>
      <c r="F14" s="121">
        <f t="shared" si="2"/>
        <v>0</v>
      </c>
      <c r="G14" s="121">
        <f t="shared" si="2"/>
        <v>0</v>
      </c>
      <c r="H14" s="121">
        <f t="shared" si="2"/>
        <v>0</v>
      </c>
      <c r="I14" s="121">
        <f t="shared" si="2"/>
        <v>0</v>
      </c>
      <c r="J14" s="121">
        <f t="shared" si="2"/>
        <v>0</v>
      </c>
      <c r="K14" s="121">
        <f t="shared" si="2"/>
        <v>0</v>
      </c>
      <c r="L14" s="121">
        <f t="shared" si="2"/>
        <v>0</v>
      </c>
      <c r="M14" s="121">
        <f t="shared" si="2"/>
        <v>0</v>
      </c>
      <c r="N14" s="121">
        <f t="shared" si="2"/>
        <v>0</v>
      </c>
      <c r="O14" s="121">
        <f t="shared" si="2"/>
        <v>0</v>
      </c>
      <c r="P14" s="121">
        <f t="shared" si="2"/>
        <v>0</v>
      </c>
      <c r="Q14" s="121">
        <f t="shared" si="2"/>
        <v>0</v>
      </c>
      <c r="R14" s="121">
        <f t="shared" si="2"/>
        <v>0</v>
      </c>
      <c r="S14" s="121">
        <f t="shared" si="2"/>
        <v>0</v>
      </c>
      <c r="T14" s="121">
        <f t="shared" si="2"/>
        <v>0</v>
      </c>
      <c r="U14" s="121">
        <f t="shared" si="2"/>
        <v>0</v>
      </c>
      <c r="V14" s="121">
        <f t="shared" si="2"/>
        <v>0</v>
      </c>
      <c r="W14" s="121">
        <f t="shared" si="2"/>
        <v>0</v>
      </c>
      <c r="X14" s="121">
        <f t="shared" si="2"/>
        <v>0</v>
      </c>
      <c r="Y14" s="121">
        <f t="shared" si="2"/>
        <v>0</v>
      </c>
      <c r="Z14" s="121">
        <f t="shared" si="2"/>
        <v>0</v>
      </c>
      <c r="AA14" s="121">
        <f t="shared" si="2"/>
        <v>0</v>
      </c>
      <c r="AB14" s="121">
        <f t="shared" si="2"/>
        <v>0</v>
      </c>
      <c r="AC14" s="121">
        <f t="shared" si="2"/>
        <v>0</v>
      </c>
      <c r="AD14" s="121">
        <f t="shared" si="2"/>
        <v>0</v>
      </c>
      <c r="AE14" s="121">
        <f t="shared" si="2"/>
        <v>0</v>
      </c>
      <c r="AF14" s="121">
        <f t="shared" si="2"/>
        <v>0</v>
      </c>
      <c r="AG14" s="121">
        <f t="shared" si="2"/>
        <v>0</v>
      </c>
      <c r="AH14" s="121">
        <f t="shared" si="2"/>
        <v>0</v>
      </c>
      <c r="AI14" s="121">
        <f t="shared" si="2"/>
        <v>0</v>
      </c>
      <c r="AJ14" s="121">
        <f t="shared" si="2"/>
        <v>0</v>
      </c>
      <c r="AK14" s="121">
        <f t="shared" si="2"/>
        <v>0</v>
      </c>
      <c r="AL14" s="121">
        <f t="shared" si="2"/>
        <v>0</v>
      </c>
      <c r="AM14" s="121">
        <f t="shared" si="2"/>
        <v>0</v>
      </c>
      <c r="AN14" s="121">
        <f t="shared" si="2"/>
        <v>0</v>
      </c>
      <c r="AO14" s="121">
        <f t="shared" si="2"/>
        <v>0</v>
      </c>
      <c r="AP14" s="121">
        <f t="shared" si="2"/>
        <v>0</v>
      </c>
      <c r="AQ14" s="121">
        <f t="shared" si="2"/>
        <v>0</v>
      </c>
      <c r="AR14" s="121">
        <f t="shared" si="2"/>
        <v>0</v>
      </c>
      <c r="AS14" s="121">
        <f t="shared" si="2"/>
        <v>0</v>
      </c>
      <c r="AT14" s="121">
        <f t="shared" si="2"/>
        <v>0</v>
      </c>
      <c r="AU14" s="121">
        <f t="shared" si="2"/>
        <v>0</v>
      </c>
      <c r="AV14" s="121">
        <f t="shared" si="2"/>
        <v>0</v>
      </c>
      <c r="AW14" s="121">
        <f t="shared" si="2"/>
        <v>0</v>
      </c>
      <c r="AX14" s="121">
        <f t="shared" si="2"/>
        <v>0</v>
      </c>
      <c r="AY14" s="121">
        <f t="shared" si="2"/>
        <v>0</v>
      </c>
      <c r="AZ14" s="124"/>
    </row>
    <row r="15" spans="1:52" x14ac:dyDescent="0.2">
      <c r="A15" s="125"/>
      <c r="B15" s="141">
        <v>3</v>
      </c>
      <c r="C15" s="125">
        <v>0</v>
      </c>
      <c r="D15" s="121">
        <f>IF(C$20="Yes",C14,0)</f>
        <v>0</v>
      </c>
      <c r="E15" s="121">
        <f t="shared" si="2"/>
        <v>0</v>
      </c>
      <c r="F15" s="121">
        <f t="shared" si="2"/>
        <v>0</v>
      </c>
      <c r="G15" s="121">
        <f t="shared" si="2"/>
        <v>0</v>
      </c>
      <c r="H15" s="121">
        <f t="shared" si="2"/>
        <v>0</v>
      </c>
      <c r="I15" s="121">
        <f t="shared" si="2"/>
        <v>0</v>
      </c>
      <c r="J15" s="121">
        <f t="shared" si="2"/>
        <v>0</v>
      </c>
      <c r="K15" s="121">
        <f t="shared" si="2"/>
        <v>0</v>
      </c>
      <c r="L15" s="121">
        <f t="shared" si="2"/>
        <v>0</v>
      </c>
      <c r="M15" s="121">
        <f t="shared" si="2"/>
        <v>0</v>
      </c>
      <c r="N15" s="121">
        <f t="shared" si="2"/>
        <v>0</v>
      </c>
      <c r="O15" s="121">
        <f t="shared" si="2"/>
        <v>0</v>
      </c>
      <c r="P15" s="121">
        <f t="shared" si="2"/>
        <v>0</v>
      </c>
      <c r="Q15" s="121">
        <f t="shared" si="2"/>
        <v>0</v>
      </c>
      <c r="R15" s="121">
        <f t="shared" si="2"/>
        <v>0</v>
      </c>
      <c r="S15" s="121">
        <f t="shared" si="2"/>
        <v>0</v>
      </c>
      <c r="T15" s="121">
        <f t="shared" si="2"/>
        <v>0</v>
      </c>
      <c r="U15" s="121">
        <f t="shared" si="2"/>
        <v>0</v>
      </c>
      <c r="V15" s="121">
        <f t="shared" si="2"/>
        <v>0</v>
      </c>
      <c r="W15" s="121">
        <f t="shared" si="2"/>
        <v>0</v>
      </c>
      <c r="X15" s="121">
        <f t="shared" si="2"/>
        <v>0</v>
      </c>
      <c r="Y15" s="121">
        <f t="shared" si="2"/>
        <v>0</v>
      </c>
      <c r="Z15" s="121">
        <f t="shared" si="2"/>
        <v>0</v>
      </c>
      <c r="AA15" s="121">
        <f t="shared" si="2"/>
        <v>0</v>
      </c>
      <c r="AB15" s="121">
        <f t="shared" si="2"/>
        <v>0</v>
      </c>
      <c r="AC15" s="121">
        <f t="shared" si="2"/>
        <v>0</v>
      </c>
      <c r="AD15" s="121">
        <f t="shared" si="2"/>
        <v>0</v>
      </c>
      <c r="AE15" s="121">
        <f t="shared" si="2"/>
        <v>0</v>
      </c>
      <c r="AF15" s="121">
        <f t="shared" si="2"/>
        <v>0</v>
      </c>
      <c r="AG15" s="121">
        <f t="shared" si="2"/>
        <v>0</v>
      </c>
      <c r="AH15" s="121">
        <f t="shared" si="2"/>
        <v>0</v>
      </c>
      <c r="AI15" s="121">
        <f t="shared" si="2"/>
        <v>0</v>
      </c>
      <c r="AJ15" s="121">
        <f t="shared" si="2"/>
        <v>0</v>
      </c>
      <c r="AK15" s="121">
        <f t="shared" si="2"/>
        <v>0</v>
      </c>
      <c r="AL15" s="121">
        <f t="shared" si="2"/>
        <v>0</v>
      </c>
      <c r="AM15" s="121">
        <f t="shared" si="2"/>
        <v>0</v>
      </c>
      <c r="AN15" s="121">
        <f t="shared" si="2"/>
        <v>0</v>
      </c>
      <c r="AO15" s="121">
        <f t="shared" si="2"/>
        <v>0</v>
      </c>
      <c r="AP15" s="121">
        <f t="shared" si="2"/>
        <v>0</v>
      </c>
      <c r="AQ15" s="121">
        <f t="shared" si="2"/>
        <v>0</v>
      </c>
      <c r="AR15" s="121">
        <f t="shared" si="2"/>
        <v>0</v>
      </c>
      <c r="AS15" s="121">
        <f t="shared" si="2"/>
        <v>0</v>
      </c>
      <c r="AT15" s="121">
        <f t="shared" si="2"/>
        <v>0</v>
      </c>
      <c r="AU15" s="121">
        <f t="shared" si="2"/>
        <v>0</v>
      </c>
      <c r="AV15" s="121">
        <f t="shared" si="2"/>
        <v>0</v>
      </c>
      <c r="AW15" s="121">
        <f t="shared" si="2"/>
        <v>0</v>
      </c>
      <c r="AX15" s="121">
        <f t="shared" si="2"/>
        <v>0</v>
      </c>
      <c r="AY15" s="121">
        <f t="shared" si="2"/>
        <v>0</v>
      </c>
      <c r="AZ15" s="124"/>
    </row>
    <row r="16" spans="1:52" x14ac:dyDescent="0.2">
      <c r="A16" s="125"/>
      <c r="B16" s="144">
        <v>4</v>
      </c>
      <c r="C16" s="125">
        <v>0</v>
      </c>
      <c r="D16" s="121">
        <f>IF(C$20="Yes",C15,0)</f>
        <v>0</v>
      </c>
      <c r="E16" s="121">
        <f t="shared" si="2"/>
        <v>0</v>
      </c>
      <c r="F16" s="121">
        <f t="shared" si="2"/>
        <v>0</v>
      </c>
      <c r="G16" s="121">
        <f t="shared" si="2"/>
        <v>0</v>
      </c>
      <c r="H16" s="121">
        <f t="shared" si="2"/>
        <v>0</v>
      </c>
      <c r="I16" s="121">
        <f t="shared" si="2"/>
        <v>0</v>
      </c>
      <c r="J16" s="121">
        <f t="shared" si="2"/>
        <v>0</v>
      </c>
      <c r="K16" s="121">
        <f t="shared" si="2"/>
        <v>0</v>
      </c>
      <c r="L16" s="121">
        <f t="shared" si="2"/>
        <v>0</v>
      </c>
      <c r="M16" s="121">
        <f t="shared" si="2"/>
        <v>0</v>
      </c>
      <c r="N16" s="121">
        <f t="shared" si="2"/>
        <v>0</v>
      </c>
      <c r="O16" s="121">
        <f t="shared" si="2"/>
        <v>0</v>
      </c>
      <c r="P16" s="121">
        <f t="shared" si="2"/>
        <v>0</v>
      </c>
      <c r="Q16" s="121">
        <f t="shared" si="2"/>
        <v>0</v>
      </c>
      <c r="R16" s="121">
        <f t="shared" si="2"/>
        <v>0</v>
      </c>
      <c r="S16" s="121">
        <f t="shared" si="2"/>
        <v>0</v>
      </c>
      <c r="T16" s="121">
        <f t="shared" si="2"/>
        <v>0</v>
      </c>
      <c r="U16" s="121">
        <f t="shared" si="2"/>
        <v>0</v>
      </c>
      <c r="V16" s="121">
        <f t="shared" si="2"/>
        <v>0</v>
      </c>
      <c r="W16" s="121">
        <f t="shared" si="2"/>
        <v>0</v>
      </c>
      <c r="X16" s="121">
        <f t="shared" si="2"/>
        <v>0</v>
      </c>
      <c r="Y16" s="121">
        <f t="shared" si="2"/>
        <v>0</v>
      </c>
      <c r="Z16" s="121">
        <f t="shared" si="2"/>
        <v>0</v>
      </c>
      <c r="AA16" s="121">
        <f t="shared" si="2"/>
        <v>0</v>
      </c>
      <c r="AB16" s="121">
        <f t="shared" si="2"/>
        <v>0</v>
      </c>
      <c r="AC16" s="121">
        <f t="shared" si="2"/>
        <v>0</v>
      </c>
      <c r="AD16" s="121">
        <f t="shared" si="2"/>
        <v>0</v>
      </c>
      <c r="AE16" s="121">
        <f t="shared" si="2"/>
        <v>0</v>
      </c>
      <c r="AF16" s="121">
        <f t="shared" si="2"/>
        <v>0</v>
      </c>
      <c r="AG16" s="121">
        <f t="shared" si="2"/>
        <v>0</v>
      </c>
      <c r="AH16" s="121">
        <f t="shared" si="2"/>
        <v>0</v>
      </c>
      <c r="AI16" s="121">
        <f t="shared" si="2"/>
        <v>0</v>
      </c>
      <c r="AJ16" s="121">
        <f t="shared" si="2"/>
        <v>0</v>
      </c>
      <c r="AK16" s="121">
        <f t="shared" si="2"/>
        <v>0</v>
      </c>
      <c r="AL16" s="121">
        <f t="shared" si="2"/>
        <v>0</v>
      </c>
      <c r="AM16" s="121">
        <f t="shared" si="2"/>
        <v>0</v>
      </c>
      <c r="AN16" s="121">
        <f t="shared" si="2"/>
        <v>0</v>
      </c>
      <c r="AO16" s="121">
        <f t="shared" si="2"/>
        <v>0</v>
      </c>
      <c r="AP16" s="121">
        <f t="shared" si="2"/>
        <v>0</v>
      </c>
      <c r="AQ16" s="121">
        <f t="shared" si="2"/>
        <v>0</v>
      </c>
      <c r="AR16" s="121">
        <f t="shared" si="2"/>
        <v>0</v>
      </c>
      <c r="AS16" s="121">
        <f t="shared" si="2"/>
        <v>0</v>
      </c>
      <c r="AT16" s="121">
        <f t="shared" si="2"/>
        <v>0</v>
      </c>
      <c r="AU16" s="121">
        <f t="shared" si="2"/>
        <v>0</v>
      </c>
      <c r="AV16" s="121">
        <f t="shared" si="2"/>
        <v>0</v>
      </c>
      <c r="AW16" s="121">
        <f t="shared" si="2"/>
        <v>0</v>
      </c>
      <c r="AX16" s="121">
        <f t="shared" si="2"/>
        <v>0</v>
      </c>
      <c r="AY16" s="121">
        <f t="shared" si="2"/>
        <v>0</v>
      </c>
      <c r="AZ16" s="142"/>
    </row>
    <row r="17" spans="1:52" x14ac:dyDescent="0.2">
      <c r="A17" s="139"/>
      <c r="B17" s="146" t="s">
        <v>296</v>
      </c>
      <c r="C17" s="139">
        <v>0</v>
      </c>
      <c r="D17" s="128">
        <f>IF(C$20="Yes",C16,0)</f>
        <v>0</v>
      </c>
      <c r="E17" s="128">
        <f t="shared" si="2"/>
        <v>0</v>
      </c>
      <c r="F17" s="128">
        <f t="shared" si="2"/>
        <v>0</v>
      </c>
      <c r="G17" s="128">
        <f t="shared" si="2"/>
        <v>0</v>
      </c>
      <c r="H17" s="128">
        <f t="shared" si="2"/>
        <v>0</v>
      </c>
      <c r="I17" s="128">
        <f t="shared" si="2"/>
        <v>0</v>
      </c>
      <c r="J17" s="128">
        <f t="shared" si="2"/>
        <v>0</v>
      </c>
      <c r="K17" s="128">
        <f t="shared" si="2"/>
        <v>0</v>
      </c>
      <c r="L17" s="128">
        <f t="shared" si="2"/>
        <v>0</v>
      </c>
      <c r="M17" s="128">
        <f t="shared" si="2"/>
        <v>0</v>
      </c>
      <c r="N17" s="128">
        <f t="shared" si="2"/>
        <v>0</v>
      </c>
      <c r="O17" s="128">
        <f t="shared" si="2"/>
        <v>0</v>
      </c>
      <c r="P17" s="128">
        <f t="shared" si="2"/>
        <v>0</v>
      </c>
      <c r="Q17" s="128">
        <f t="shared" si="2"/>
        <v>0</v>
      </c>
      <c r="R17" s="128">
        <f t="shared" si="2"/>
        <v>0</v>
      </c>
      <c r="S17" s="128">
        <f t="shared" si="2"/>
        <v>0</v>
      </c>
      <c r="T17" s="128">
        <f t="shared" si="2"/>
        <v>0</v>
      </c>
      <c r="U17" s="128">
        <f t="shared" si="2"/>
        <v>0</v>
      </c>
      <c r="V17" s="128">
        <f t="shared" si="2"/>
        <v>0</v>
      </c>
      <c r="W17" s="128">
        <f t="shared" si="2"/>
        <v>0</v>
      </c>
      <c r="X17" s="128">
        <f t="shared" si="2"/>
        <v>0</v>
      </c>
      <c r="Y17" s="128">
        <f t="shared" si="2"/>
        <v>0</v>
      </c>
      <c r="Z17" s="128">
        <f t="shared" si="2"/>
        <v>0</v>
      </c>
      <c r="AA17" s="128">
        <f t="shared" si="2"/>
        <v>0</v>
      </c>
      <c r="AB17" s="128">
        <f t="shared" si="2"/>
        <v>0</v>
      </c>
      <c r="AC17" s="128">
        <f t="shared" si="2"/>
        <v>0</v>
      </c>
      <c r="AD17" s="128">
        <f t="shared" si="2"/>
        <v>0</v>
      </c>
      <c r="AE17" s="128">
        <f t="shared" si="2"/>
        <v>0</v>
      </c>
      <c r="AF17" s="128">
        <f t="shared" si="2"/>
        <v>0</v>
      </c>
      <c r="AG17" s="128">
        <f t="shared" si="2"/>
        <v>0</v>
      </c>
      <c r="AH17" s="128">
        <f t="shared" si="2"/>
        <v>0</v>
      </c>
      <c r="AI17" s="128">
        <f t="shared" si="2"/>
        <v>0</v>
      </c>
      <c r="AJ17" s="128">
        <f t="shared" si="2"/>
        <v>0</v>
      </c>
      <c r="AK17" s="128">
        <f t="shared" si="2"/>
        <v>0</v>
      </c>
      <c r="AL17" s="128">
        <f t="shared" si="2"/>
        <v>0</v>
      </c>
      <c r="AM17" s="128">
        <f t="shared" si="2"/>
        <v>0</v>
      </c>
      <c r="AN17" s="128">
        <f t="shared" si="2"/>
        <v>0</v>
      </c>
      <c r="AO17" s="128">
        <f t="shared" si="2"/>
        <v>0</v>
      </c>
      <c r="AP17" s="128">
        <f t="shared" si="2"/>
        <v>0</v>
      </c>
      <c r="AQ17" s="128">
        <f t="shared" si="2"/>
        <v>0</v>
      </c>
      <c r="AR17" s="128">
        <f t="shared" si="2"/>
        <v>0</v>
      </c>
      <c r="AS17" s="128">
        <f t="shared" si="2"/>
        <v>0</v>
      </c>
      <c r="AT17" s="128">
        <f t="shared" si="2"/>
        <v>0</v>
      </c>
      <c r="AU17" s="128">
        <f t="shared" si="2"/>
        <v>0</v>
      </c>
      <c r="AV17" s="128">
        <f t="shared" si="2"/>
        <v>0</v>
      </c>
      <c r="AW17" s="128">
        <f t="shared" si="2"/>
        <v>0</v>
      </c>
      <c r="AX17" s="128">
        <f t="shared" si="2"/>
        <v>0</v>
      </c>
      <c r="AY17" s="128">
        <f t="shared" si="2"/>
        <v>0</v>
      </c>
      <c r="AZ17" s="165">
        <f>SUM($D$17:$AY$17)</f>
        <v>0</v>
      </c>
    </row>
    <row r="18" spans="1:52" x14ac:dyDescent="0.2">
      <c r="A18" s="121"/>
      <c r="B18" s="167"/>
      <c r="C18" s="152"/>
      <c r="D18" s="152"/>
      <c r="E18" s="152"/>
      <c r="F18" s="152"/>
      <c r="G18" s="152"/>
      <c r="H18" s="152"/>
      <c r="I18" s="152"/>
      <c r="J18" s="152"/>
      <c r="K18" s="152"/>
      <c r="L18" s="152"/>
      <c r="M18" s="152"/>
      <c r="N18" s="152"/>
      <c r="O18" s="152"/>
      <c r="P18" s="152"/>
      <c r="Q18" s="152"/>
      <c r="R18" s="152"/>
      <c r="S18" s="152"/>
      <c r="T18" s="152"/>
      <c r="U18" s="152"/>
      <c r="V18" s="152"/>
      <c r="W18" s="152"/>
      <c r="X18" s="152"/>
      <c r="Y18" s="152"/>
      <c r="Z18" s="152"/>
      <c r="AA18" s="152"/>
      <c r="AB18" s="152"/>
      <c r="AC18" s="152"/>
      <c r="AD18" s="152"/>
      <c r="AE18" s="152"/>
      <c r="AF18" s="152"/>
      <c r="AG18" s="152"/>
      <c r="AH18" s="152"/>
      <c r="AI18" s="152"/>
      <c r="AJ18" s="152"/>
      <c r="AK18" s="152"/>
      <c r="AL18" s="152"/>
      <c r="AM18" s="152"/>
      <c r="AN18" s="152"/>
      <c r="AO18" s="152"/>
      <c r="AP18" s="152"/>
      <c r="AQ18" s="152"/>
      <c r="AR18" s="152"/>
      <c r="AS18" s="152"/>
      <c r="AT18" s="152"/>
      <c r="AU18" s="152"/>
      <c r="AV18" s="152"/>
      <c r="AW18" s="152"/>
      <c r="AX18" s="152"/>
      <c r="AY18" s="152"/>
      <c r="AZ18" s="121"/>
    </row>
    <row r="19" spans="1:52" x14ac:dyDescent="0.2">
      <c r="A19" s="1" t="s">
        <v>116</v>
      </c>
      <c r="B19" s="121"/>
      <c r="C19" s="121"/>
      <c r="D19" s="121"/>
      <c r="E19" s="121"/>
      <c r="F19" s="121"/>
      <c r="G19" s="121"/>
      <c r="H19" s="121"/>
      <c r="I19" s="121"/>
      <c r="J19" s="121"/>
      <c r="K19" s="121"/>
      <c r="L19" s="121"/>
      <c r="M19" s="121"/>
      <c r="N19" s="121"/>
      <c r="O19" s="121"/>
      <c r="P19" s="121"/>
      <c r="Q19" s="121"/>
      <c r="R19" s="121"/>
      <c r="S19" s="121"/>
      <c r="T19" s="121"/>
      <c r="U19" s="121"/>
      <c r="V19" s="121"/>
      <c r="W19" s="121"/>
      <c r="X19" s="121"/>
      <c r="Y19" s="121"/>
      <c r="Z19" s="121"/>
      <c r="AA19" s="121"/>
      <c r="AB19" s="121"/>
      <c r="AC19" s="121"/>
      <c r="AD19" s="121"/>
      <c r="AE19" s="121"/>
      <c r="AF19" s="121"/>
      <c r="AG19" s="121"/>
      <c r="AH19" s="121"/>
      <c r="AI19" s="121"/>
      <c r="AJ19" s="121"/>
      <c r="AK19" s="121"/>
      <c r="AL19" s="121"/>
      <c r="AM19" s="121"/>
      <c r="AN19" s="121"/>
      <c r="AO19" s="121"/>
      <c r="AP19" s="121"/>
      <c r="AQ19" s="121"/>
      <c r="AR19" s="121"/>
      <c r="AS19" s="121"/>
      <c r="AT19" s="121"/>
      <c r="AU19" s="121"/>
      <c r="AV19" s="121"/>
      <c r="AW19" s="121"/>
      <c r="AX19" s="121"/>
      <c r="AY19" s="121"/>
    </row>
    <row r="20" spans="1:52" s="125" customFormat="1" x14ac:dyDescent="0.2">
      <c r="A20" s="129" t="s">
        <v>305</v>
      </c>
      <c r="B20" s="168" t="s">
        <v>306</v>
      </c>
      <c r="C20" s="131"/>
      <c r="D20" s="131"/>
      <c r="E20" s="131"/>
      <c r="F20" s="131"/>
      <c r="G20" s="131"/>
      <c r="H20" s="131"/>
      <c r="I20" s="131"/>
      <c r="J20" s="131"/>
      <c r="K20" s="131"/>
      <c r="L20" s="131"/>
      <c r="M20" s="131"/>
      <c r="N20" s="131"/>
      <c r="O20" s="131"/>
      <c r="P20" s="131"/>
      <c r="Q20" s="131"/>
      <c r="R20" s="131"/>
      <c r="S20" s="131"/>
      <c r="T20" s="131"/>
      <c r="U20" s="131"/>
      <c r="V20" s="131"/>
      <c r="W20" s="131"/>
      <c r="X20" s="131"/>
      <c r="Y20" s="131"/>
      <c r="Z20" s="131"/>
      <c r="AA20" s="131"/>
      <c r="AB20" s="131"/>
      <c r="AC20" s="131"/>
      <c r="AD20" s="131"/>
      <c r="AE20" s="131"/>
      <c r="AF20" s="131"/>
      <c r="AG20" s="131"/>
      <c r="AH20" s="131"/>
      <c r="AI20" s="131"/>
      <c r="AJ20" s="131"/>
      <c r="AK20" s="131"/>
      <c r="AL20" s="131"/>
      <c r="AM20" s="131"/>
      <c r="AN20" s="131"/>
      <c r="AO20" s="131"/>
      <c r="AP20" s="131"/>
      <c r="AQ20" s="131"/>
      <c r="AR20" s="131"/>
      <c r="AS20" s="131"/>
      <c r="AT20" s="131"/>
      <c r="AU20" s="131"/>
      <c r="AV20" s="131"/>
      <c r="AW20" s="131"/>
      <c r="AX20" s="131"/>
      <c r="AY20" s="131"/>
      <c r="AZ20" s="122"/>
    </row>
    <row r="21" spans="1:52" s="125" customFormat="1" x14ac:dyDescent="0.2">
      <c r="A21" s="169" t="s">
        <v>133</v>
      </c>
      <c r="B21" s="170">
        <f>shipping_manufacturing!$C$19/100</f>
        <v>1</v>
      </c>
      <c r="C21" s="170" t="s">
        <v>293</v>
      </c>
      <c r="D21" s="121">
        <f>IF(C$20="Yes",0,SUM(C$13:C$16)*$B$21)</f>
        <v>378</v>
      </c>
      <c r="E21" s="121">
        <f t="shared" ref="E21:AY21" si="3">IF(D$20="Yes",0,SUM(D$13:D$16)*$B$21)</f>
        <v>345</v>
      </c>
      <c r="F21" s="121">
        <f t="shared" si="3"/>
        <v>345</v>
      </c>
      <c r="G21" s="121">
        <f t="shared" si="3"/>
        <v>345</v>
      </c>
      <c r="H21" s="121">
        <f t="shared" si="3"/>
        <v>345</v>
      </c>
      <c r="I21" s="121">
        <f t="shared" si="3"/>
        <v>345</v>
      </c>
      <c r="J21" s="121">
        <f t="shared" si="3"/>
        <v>345</v>
      </c>
      <c r="K21" s="121">
        <f t="shared" si="3"/>
        <v>345</v>
      </c>
      <c r="L21" s="121">
        <f t="shared" si="3"/>
        <v>345</v>
      </c>
      <c r="M21" s="121">
        <f t="shared" si="3"/>
        <v>345</v>
      </c>
      <c r="N21" s="121">
        <f t="shared" si="3"/>
        <v>345</v>
      </c>
      <c r="O21" s="121">
        <f t="shared" si="3"/>
        <v>345</v>
      </c>
      <c r="P21" s="121">
        <f t="shared" si="3"/>
        <v>345</v>
      </c>
      <c r="Q21" s="121">
        <f t="shared" si="3"/>
        <v>345</v>
      </c>
      <c r="R21" s="121">
        <f t="shared" si="3"/>
        <v>345</v>
      </c>
      <c r="S21" s="121">
        <f t="shared" si="3"/>
        <v>345</v>
      </c>
      <c r="T21" s="121">
        <f t="shared" si="3"/>
        <v>345</v>
      </c>
      <c r="U21" s="121">
        <f t="shared" si="3"/>
        <v>345</v>
      </c>
      <c r="V21" s="121">
        <f t="shared" si="3"/>
        <v>345</v>
      </c>
      <c r="W21" s="121">
        <f t="shared" si="3"/>
        <v>345</v>
      </c>
      <c r="X21" s="121">
        <f t="shared" si="3"/>
        <v>345</v>
      </c>
      <c r="Y21" s="121">
        <f t="shared" si="3"/>
        <v>345</v>
      </c>
      <c r="Z21" s="121">
        <f t="shared" si="3"/>
        <v>345</v>
      </c>
      <c r="AA21" s="121">
        <f t="shared" si="3"/>
        <v>345</v>
      </c>
      <c r="AB21" s="121">
        <f t="shared" si="3"/>
        <v>345</v>
      </c>
      <c r="AC21" s="121">
        <f t="shared" si="3"/>
        <v>345</v>
      </c>
      <c r="AD21" s="121">
        <f t="shared" si="3"/>
        <v>345</v>
      </c>
      <c r="AE21" s="121">
        <f t="shared" si="3"/>
        <v>345</v>
      </c>
      <c r="AF21" s="121">
        <f t="shared" si="3"/>
        <v>345</v>
      </c>
      <c r="AG21" s="121">
        <f t="shared" si="3"/>
        <v>345</v>
      </c>
      <c r="AH21" s="121">
        <f t="shared" si="3"/>
        <v>345</v>
      </c>
      <c r="AI21" s="121">
        <f t="shared" si="3"/>
        <v>345</v>
      </c>
      <c r="AJ21" s="121">
        <f t="shared" si="3"/>
        <v>345</v>
      </c>
      <c r="AK21" s="121">
        <f t="shared" si="3"/>
        <v>345</v>
      </c>
      <c r="AL21" s="121">
        <f t="shared" si="3"/>
        <v>345</v>
      </c>
      <c r="AM21" s="121">
        <f t="shared" si="3"/>
        <v>345</v>
      </c>
      <c r="AN21" s="121">
        <f t="shared" si="3"/>
        <v>345</v>
      </c>
      <c r="AO21" s="121">
        <f t="shared" si="3"/>
        <v>345</v>
      </c>
      <c r="AP21" s="121">
        <f t="shared" si="3"/>
        <v>345</v>
      </c>
      <c r="AQ21" s="121">
        <f t="shared" si="3"/>
        <v>345</v>
      </c>
      <c r="AR21" s="121">
        <f t="shared" si="3"/>
        <v>345</v>
      </c>
      <c r="AS21" s="121">
        <f t="shared" si="3"/>
        <v>345</v>
      </c>
      <c r="AT21" s="121">
        <f t="shared" si="3"/>
        <v>345</v>
      </c>
      <c r="AU21" s="121">
        <f t="shared" si="3"/>
        <v>345</v>
      </c>
      <c r="AV21" s="121">
        <f t="shared" si="3"/>
        <v>345</v>
      </c>
      <c r="AW21" s="121">
        <f t="shared" si="3"/>
        <v>345</v>
      </c>
      <c r="AX21" s="121">
        <f t="shared" si="3"/>
        <v>345</v>
      </c>
      <c r="AY21" s="121">
        <f t="shared" si="3"/>
        <v>345</v>
      </c>
      <c r="AZ21" s="171">
        <f>SUM($D21:$AY21)</f>
        <v>16593</v>
      </c>
    </row>
    <row r="22" spans="1:52" s="125" customFormat="1" x14ac:dyDescent="0.2">
      <c r="A22" s="172" t="s">
        <v>123</v>
      </c>
      <c r="B22" s="173">
        <f>1-$B$21</f>
        <v>0</v>
      </c>
      <c r="C22" s="173" t="s">
        <v>293</v>
      </c>
      <c r="D22" s="128">
        <f>IF(C$20="Yes",0,SUM(C$13:C$16)*$B$22)</f>
        <v>0</v>
      </c>
      <c r="E22" s="128">
        <f t="shared" ref="E22:AY22" si="4">IF(D$20="Yes",0,SUM(D$13:D$16)*$B$22)</f>
        <v>0</v>
      </c>
      <c r="F22" s="128">
        <f t="shared" si="4"/>
        <v>0</v>
      </c>
      <c r="G22" s="128">
        <f t="shared" si="4"/>
        <v>0</v>
      </c>
      <c r="H22" s="128">
        <f t="shared" si="4"/>
        <v>0</v>
      </c>
      <c r="I22" s="128">
        <f t="shared" si="4"/>
        <v>0</v>
      </c>
      <c r="J22" s="128">
        <f t="shared" si="4"/>
        <v>0</v>
      </c>
      <c r="K22" s="128">
        <f t="shared" si="4"/>
        <v>0</v>
      </c>
      <c r="L22" s="128">
        <f t="shared" si="4"/>
        <v>0</v>
      </c>
      <c r="M22" s="128">
        <f t="shared" si="4"/>
        <v>0</v>
      </c>
      <c r="N22" s="128">
        <f t="shared" si="4"/>
        <v>0</v>
      </c>
      <c r="O22" s="128">
        <f t="shared" si="4"/>
        <v>0</v>
      </c>
      <c r="P22" s="128">
        <f t="shared" si="4"/>
        <v>0</v>
      </c>
      <c r="Q22" s="128">
        <f t="shared" si="4"/>
        <v>0</v>
      </c>
      <c r="R22" s="128">
        <f t="shared" si="4"/>
        <v>0</v>
      </c>
      <c r="S22" s="128">
        <f t="shared" si="4"/>
        <v>0</v>
      </c>
      <c r="T22" s="128">
        <f t="shared" si="4"/>
        <v>0</v>
      </c>
      <c r="U22" s="128">
        <f t="shared" si="4"/>
        <v>0</v>
      </c>
      <c r="V22" s="128">
        <f t="shared" si="4"/>
        <v>0</v>
      </c>
      <c r="W22" s="128">
        <f t="shared" si="4"/>
        <v>0</v>
      </c>
      <c r="X22" s="128">
        <f t="shared" si="4"/>
        <v>0</v>
      </c>
      <c r="Y22" s="128">
        <f t="shared" si="4"/>
        <v>0</v>
      </c>
      <c r="Z22" s="128">
        <f t="shared" si="4"/>
        <v>0</v>
      </c>
      <c r="AA22" s="128">
        <f t="shared" si="4"/>
        <v>0</v>
      </c>
      <c r="AB22" s="128">
        <f t="shared" si="4"/>
        <v>0</v>
      </c>
      <c r="AC22" s="128">
        <f t="shared" si="4"/>
        <v>0</v>
      </c>
      <c r="AD22" s="128">
        <f t="shared" si="4"/>
        <v>0</v>
      </c>
      <c r="AE22" s="128">
        <f t="shared" si="4"/>
        <v>0</v>
      </c>
      <c r="AF22" s="128">
        <f t="shared" si="4"/>
        <v>0</v>
      </c>
      <c r="AG22" s="128">
        <f t="shared" si="4"/>
        <v>0</v>
      </c>
      <c r="AH22" s="128">
        <f t="shared" si="4"/>
        <v>0</v>
      </c>
      <c r="AI22" s="128">
        <f t="shared" si="4"/>
        <v>0</v>
      </c>
      <c r="AJ22" s="128">
        <f t="shared" si="4"/>
        <v>0</v>
      </c>
      <c r="AK22" s="128">
        <f t="shared" si="4"/>
        <v>0</v>
      </c>
      <c r="AL22" s="128">
        <f t="shared" si="4"/>
        <v>0</v>
      </c>
      <c r="AM22" s="128">
        <f t="shared" si="4"/>
        <v>0</v>
      </c>
      <c r="AN22" s="128">
        <f t="shared" si="4"/>
        <v>0</v>
      </c>
      <c r="AO22" s="128">
        <f t="shared" si="4"/>
        <v>0</v>
      </c>
      <c r="AP22" s="128">
        <f t="shared" si="4"/>
        <v>0</v>
      </c>
      <c r="AQ22" s="128">
        <f t="shared" si="4"/>
        <v>0</v>
      </c>
      <c r="AR22" s="128">
        <f t="shared" si="4"/>
        <v>0</v>
      </c>
      <c r="AS22" s="128">
        <f t="shared" si="4"/>
        <v>0</v>
      </c>
      <c r="AT22" s="128">
        <f t="shared" si="4"/>
        <v>0</v>
      </c>
      <c r="AU22" s="128">
        <f t="shared" si="4"/>
        <v>0</v>
      </c>
      <c r="AV22" s="128">
        <f t="shared" si="4"/>
        <v>0</v>
      </c>
      <c r="AW22" s="128">
        <f t="shared" si="4"/>
        <v>0</v>
      </c>
      <c r="AX22" s="128">
        <f t="shared" si="4"/>
        <v>0</v>
      </c>
      <c r="AY22" s="128">
        <f t="shared" si="4"/>
        <v>0</v>
      </c>
      <c r="AZ22" s="155">
        <f t="shared" ref="AZ22:AZ30" si="5">SUM($D22:$AY22)</f>
        <v>0</v>
      </c>
    </row>
    <row r="23" spans="1:52" x14ac:dyDescent="0.2">
      <c r="A23" s="174" t="s">
        <v>307</v>
      </c>
      <c r="B23" s="138">
        <v>2000</v>
      </c>
      <c r="C23" t="s">
        <v>293</v>
      </c>
      <c r="D23">
        <f>D$21*$B$23</f>
        <v>756000</v>
      </c>
      <c r="E23">
        <f t="shared" ref="E23:AY23" si="6">E$21*$B$23</f>
        <v>690000</v>
      </c>
      <c r="F23">
        <f t="shared" si="6"/>
        <v>690000</v>
      </c>
      <c r="G23">
        <f t="shared" si="6"/>
        <v>690000</v>
      </c>
      <c r="H23">
        <f t="shared" si="6"/>
        <v>690000</v>
      </c>
      <c r="I23">
        <f t="shared" si="6"/>
        <v>690000</v>
      </c>
      <c r="J23">
        <f t="shared" si="6"/>
        <v>690000</v>
      </c>
      <c r="K23">
        <f t="shared" si="6"/>
        <v>690000</v>
      </c>
      <c r="L23">
        <f t="shared" si="6"/>
        <v>690000</v>
      </c>
      <c r="M23">
        <f t="shared" si="6"/>
        <v>690000</v>
      </c>
      <c r="N23">
        <f t="shared" si="6"/>
        <v>690000</v>
      </c>
      <c r="O23">
        <f t="shared" si="6"/>
        <v>690000</v>
      </c>
      <c r="P23">
        <f t="shared" si="6"/>
        <v>690000</v>
      </c>
      <c r="Q23">
        <f t="shared" si="6"/>
        <v>690000</v>
      </c>
      <c r="R23">
        <f t="shared" si="6"/>
        <v>690000</v>
      </c>
      <c r="S23">
        <f t="shared" si="6"/>
        <v>690000</v>
      </c>
      <c r="T23">
        <f t="shared" si="6"/>
        <v>690000</v>
      </c>
      <c r="U23">
        <f t="shared" si="6"/>
        <v>690000</v>
      </c>
      <c r="V23">
        <f t="shared" si="6"/>
        <v>690000</v>
      </c>
      <c r="W23">
        <f t="shared" si="6"/>
        <v>690000</v>
      </c>
      <c r="X23">
        <f t="shared" si="6"/>
        <v>690000</v>
      </c>
      <c r="Y23">
        <f t="shared" si="6"/>
        <v>690000</v>
      </c>
      <c r="Z23">
        <f t="shared" si="6"/>
        <v>690000</v>
      </c>
      <c r="AA23">
        <f t="shared" si="6"/>
        <v>690000</v>
      </c>
      <c r="AB23">
        <f t="shared" si="6"/>
        <v>690000</v>
      </c>
      <c r="AC23">
        <f t="shared" si="6"/>
        <v>690000</v>
      </c>
      <c r="AD23">
        <f t="shared" si="6"/>
        <v>690000</v>
      </c>
      <c r="AE23">
        <f t="shared" si="6"/>
        <v>690000</v>
      </c>
      <c r="AF23">
        <f t="shared" si="6"/>
        <v>690000</v>
      </c>
      <c r="AG23">
        <f t="shared" si="6"/>
        <v>690000</v>
      </c>
      <c r="AH23">
        <f t="shared" si="6"/>
        <v>690000</v>
      </c>
      <c r="AI23">
        <f t="shared" si="6"/>
        <v>690000</v>
      </c>
      <c r="AJ23">
        <f t="shared" si="6"/>
        <v>690000</v>
      </c>
      <c r="AK23">
        <f t="shared" si="6"/>
        <v>690000</v>
      </c>
      <c r="AL23">
        <f t="shared" si="6"/>
        <v>690000</v>
      </c>
      <c r="AM23">
        <f t="shared" si="6"/>
        <v>690000</v>
      </c>
      <c r="AN23">
        <f t="shared" si="6"/>
        <v>690000</v>
      </c>
      <c r="AO23">
        <f t="shared" si="6"/>
        <v>690000</v>
      </c>
      <c r="AP23">
        <f t="shared" si="6"/>
        <v>690000</v>
      </c>
      <c r="AQ23">
        <f t="shared" si="6"/>
        <v>690000</v>
      </c>
      <c r="AR23">
        <f t="shared" si="6"/>
        <v>690000</v>
      </c>
      <c r="AS23">
        <f t="shared" si="6"/>
        <v>690000</v>
      </c>
      <c r="AT23">
        <f t="shared" si="6"/>
        <v>690000</v>
      </c>
      <c r="AU23">
        <f t="shared" si="6"/>
        <v>690000</v>
      </c>
      <c r="AV23">
        <f t="shared" si="6"/>
        <v>690000</v>
      </c>
      <c r="AW23">
        <f t="shared" si="6"/>
        <v>690000</v>
      </c>
      <c r="AX23">
        <f t="shared" si="6"/>
        <v>690000</v>
      </c>
      <c r="AY23">
        <f t="shared" si="6"/>
        <v>690000</v>
      </c>
      <c r="AZ23" s="153">
        <f t="shared" si="5"/>
        <v>33186000</v>
      </c>
    </row>
    <row r="24" spans="1:52" s="125" customFormat="1" x14ac:dyDescent="0.2">
      <c r="A24" s="175" t="s">
        <v>308</v>
      </c>
      <c r="B24" s="176">
        <v>1000</v>
      </c>
      <c r="C24" s="170" t="s">
        <v>293</v>
      </c>
      <c r="D24" s="121">
        <f>D$22*$B$24</f>
        <v>0</v>
      </c>
      <c r="E24" s="121">
        <f t="shared" ref="E24:AY24" si="7">E$22*$B$24</f>
        <v>0</v>
      </c>
      <c r="F24" s="121">
        <f t="shared" si="7"/>
        <v>0</v>
      </c>
      <c r="G24" s="121">
        <f t="shared" si="7"/>
        <v>0</v>
      </c>
      <c r="H24" s="121">
        <f t="shared" si="7"/>
        <v>0</v>
      </c>
      <c r="I24" s="121">
        <f t="shared" si="7"/>
        <v>0</v>
      </c>
      <c r="J24" s="121">
        <f t="shared" si="7"/>
        <v>0</v>
      </c>
      <c r="K24" s="121">
        <f t="shared" si="7"/>
        <v>0</v>
      </c>
      <c r="L24" s="121">
        <f t="shared" si="7"/>
        <v>0</v>
      </c>
      <c r="M24" s="121">
        <f t="shared" si="7"/>
        <v>0</v>
      </c>
      <c r="N24" s="121">
        <f t="shared" si="7"/>
        <v>0</v>
      </c>
      <c r="O24" s="121">
        <f t="shared" si="7"/>
        <v>0</v>
      </c>
      <c r="P24" s="121">
        <f t="shared" si="7"/>
        <v>0</v>
      </c>
      <c r="Q24" s="121">
        <f t="shared" si="7"/>
        <v>0</v>
      </c>
      <c r="R24" s="121">
        <f t="shared" si="7"/>
        <v>0</v>
      </c>
      <c r="S24" s="121">
        <f t="shared" si="7"/>
        <v>0</v>
      </c>
      <c r="T24" s="121">
        <f t="shared" si="7"/>
        <v>0</v>
      </c>
      <c r="U24" s="121">
        <f t="shared" si="7"/>
        <v>0</v>
      </c>
      <c r="V24" s="121">
        <f t="shared" si="7"/>
        <v>0</v>
      </c>
      <c r="W24" s="121">
        <f t="shared" si="7"/>
        <v>0</v>
      </c>
      <c r="X24" s="121">
        <f t="shared" si="7"/>
        <v>0</v>
      </c>
      <c r="Y24" s="121">
        <f t="shared" si="7"/>
        <v>0</v>
      </c>
      <c r="Z24" s="121">
        <f t="shared" si="7"/>
        <v>0</v>
      </c>
      <c r="AA24" s="121">
        <f t="shared" si="7"/>
        <v>0</v>
      </c>
      <c r="AB24" s="121">
        <f t="shared" si="7"/>
        <v>0</v>
      </c>
      <c r="AC24" s="121">
        <f t="shared" si="7"/>
        <v>0</v>
      </c>
      <c r="AD24" s="121">
        <f t="shared" si="7"/>
        <v>0</v>
      </c>
      <c r="AE24" s="121">
        <f t="shared" si="7"/>
        <v>0</v>
      </c>
      <c r="AF24" s="121">
        <f t="shared" si="7"/>
        <v>0</v>
      </c>
      <c r="AG24" s="121">
        <f t="shared" si="7"/>
        <v>0</v>
      </c>
      <c r="AH24" s="121">
        <f t="shared" si="7"/>
        <v>0</v>
      </c>
      <c r="AI24" s="121">
        <f t="shared" si="7"/>
        <v>0</v>
      </c>
      <c r="AJ24" s="121">
        <f t="shared" si="7"/>
        <v>0</v>
      </c>
      <c r="AK24" s="121">
        <f t="shared" si="7"/>
        <v>0</v>
      </c>
      <c r="AL24" s="121">
        <f t="shared" si="7"/>
        <v>0</v>
      </c>
      <c r="AM24" s="121">
        <f t="shared" si="7"/>
        <v>0</v>
      </c>
      <c r="AN24" s="121">
        <f t="shared" si="7"/>
        <v>0</v>
      </c>
      <c r="AO24" s="121">
        <f t="shared" si="7"/>
        <v>0</v>
      </c>
      <c r="AP24" s="121">
        <f t="shared" si="7"/>
        <v>0</v>
      </c>
      <c r="AQ24" s="121">
        <f t="shared" si="7"/>
        <v>0</v>
      </c>
      <c r="AR24" s="121">
        <f t="shared" si="7"/>
        <v>0</v>
      </c>
      <c r="AS24" s="121">
        <f t="shared" si="7"/>
        <v>0</v>
      </c>
      <c r="AT24" s="121">
        <f t="shared" si="7"/>
        <v>0</v>
      </c>
      <c r="AU24" s="121">
        <f t="shared" si="7"/>
        <v>0</v>
      </c>
      <c r="AV24" s="121">
        <f t="shared" si="7"/>
        <v>0</v>
      </c>
      <c r="AW24" s="121">
        <f t="shared" si="7"/>
        <v>0</v>
      </c>
      <c r="AX24" s="121">
        <f t="shared" si="7"/>
        <v>0</v>
      </c>
      <c r="AY24" s="121">
        <f t="shared" si="7"/>
        <v>0</v>
      </c>
      <c r="AZ24" s="155">
        <f t="shared" si="5"/>
        <v>0</v>
      </c>
    </row>
    <row r="25" spans="1:52" x14ac:dyDescent="0.2">
      <c r="C25" s="152"/>
      <c r="D25" s="152"/>
      <c r="E25" s="152"/>
      <c r="F25" s="152"/>
      <c r="G25" s="152"/>
      <c r="H25" s="152"/>
      <c r="I25" s="152"/>
      <c r="J25" s="152"/>
      <c r="K25" s="152"/>
      <c r="L25" s="152"/>
      <c r="M25" s="152"/>
      <c r="N25" s="152"/>
      <c r="O25" s="152"/>
      <c r="P25" s="152"/>
      <c r="Q25" s="152"/>
      <c r="R25" s="152"/>
      <c r="S25" s="152"/>
      <c r="T25" s="152"/>
      <c r="U25" s="152"/>
      <c r="V25" s="152"/>
      <c r="W25" s="152"/>
      <c r="X25" s="152"/>
      <c r="Y25" s="152"/>
      <c r="Z25" s="152"/>
      <c r="AA25" s="152"/>
      <c r="AB25" s="152"/>
      <c r="AC25" s="152"/>
      <c r="AD25" s="152"/>
      <c r="AE25" s="152"/>
      <c r="AF25" s="152"/>
      <c r="AG25" s="152"/>
      <c r="AH25" s="152"/>
      <c r="AI25" s="152"/>
      <c r="AJ25" s="152"/>
      <c r="AK25" s="152"/>
      <c r="AL25" s="152"/>
      <c r="AM25" s="152"/>
      <c r="AN25" s="152"/>
      <c r="AO25" s="152"/>
      <c r="AP25" s="152"/>
      <c r="AQ25" s="152"/>
      <c r="AR25" s="152"/>
      <c r="AS25" s="152"/>
      <c r="AT25" s="152"/>
      <c r="AU25" s="152"/>
      <c r="AV25" s="152"/>
      <c r="AW25" s="152"/>
      <c r="AX25" s="152"/>
      <c r="AY25" s="152"/>
      <c r="AZ25" s="121"/>
    </row>
    <row r="26" spans="1:52" x14ac:dyDescent="0.2">
      <c r="A26" s="177" t="s">
        <v>18</v>
      </c>
      <c r="C26" s="121"/>
      <c r="D26" s="121"/>
      <c r="E26" s="121"/>
      <c r="F26" s="121"/>
      <c r="G26" s="121"/>
      <c r="H26" s="121"/>
      <c r="I26" s="121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  <c r="AB26" s="121"/>
      <c r="AC26" s="121"/>
      <c r="AD26" s="121"/>
      <c r="AE26" s="121"/>
      <c r="AF26" s="121"/>
      <c r="AG26" s="121"/>
      <c r="AH26" s="121"/>
      <c r="AI26" s="121"/>
      <c r="AJ26" s="121"/>
      <c r="AK26" s="121"/>
      <c r="AL26" s="121"/>
      <c r="AM26" s="121"/>
      <c r="AN26" s="121"/>
      <c r="AO26" s="121"/>
      <c r="AP26" s="121"/>
      <c r="AQ26" s="121"/>
      <c r="AR26" s="121"/>
      <c r="AS26" s="121"/>
      <c r="AT26" s="121"/>
      <c r="AU26" s="121"/>
      <c r="AV26" s="121"/>
      <c r="AW26" s="121"/>
      <c r="AX26" s="121"/>
      <c r="AY26" s="121"/>
      <c r="AZ26" s="121"/>
    </row>
    <row r="27" spans="1:52" x14ac:dyDescent="0.2">
      <c r="B27" s="149" t="s">
        <v>309</v>
      </c>
      <c r="C27" s="138">
        <v>-1</v>
      </c>
      <c r="D27" s="138">
        <f>C$27-C$28+C$29</f>
        <v>11</v>
      </c>
      <c r="E27" s="138">
        <f t="shared" ref="E27:AY27" si="8">D27-D28+D29</f>
        <v>0</v>
      </c>
      <c r="F27" s="138">
        <f t="shared" si="8"/>
        <v>11</v>
      </c>
      <c r="G27" s="138">
        <f t="shared" si="8"/>
        <v>0</v>
      </c>
      <c r="H27" s="138">
        <f t="shared" si="8"/>
        <v>11</v>
      </c>
      <c r="I27" s="138">
        <f t="shared" si="8"/>
        <v>0</v>
      </c>
      <c r="J27" s="138">
        <f t="shared" si="8"/>
        <v>11</v>
      </c>
      <c r="K27" s="138">
        <f t="shared" si="8"/>
        <v>0</v>
      </c>
      <c r="L27" s="138">
        <f t="shared" si="8"/>
        <v>11</v>
      </c>
      <c r="M27" s="138">
        <f t="shared" si="8"/>
        <v>0</v>
      </c>
      <c r="N27" s="138">
        <f t="shared" si="8"/>
        <v>11</v>
      </c>
      <c r="O27" s="138">
        <f t="shared" si="8"/>
        <v>0</v>
      </c>
      <c r="P27" s="138">
        <f t="shared" si="8"/>
        <v>11</v>
      </c>
      <c r="Q27" s="138">
        <f t="shared" si="8"/>
        <v>0</v>
      </c>
      <c r="R27" s="138">
        <f t="shared" si="8"/>
        <v>11</v>
      </c>
      <c r="S27" s="138">
        <f t="shared" si="8"/>
        <v>0</v>
      </c>
      <c r="T27" s="138">
        <f t="shared" si="8"/>
        <v>11</v>
      </c>
      <c r="U27" s="138">
        <f t="shared" si="8"/>
        <v>0</v>
      </c>
      <c r="V27" s="138">
        <f t="shared" si="8"/>
        <v>11</v>
      </c>
      <c r="W27" s="138">
        <f t="shared" si="8"/>
        <v>0</v>
      </c>
      <c r="X27" s="138">
        <f t="shared" si="8"/>
        <v>11</v>
      </c>
      <c r="Y27" s="138">
        <f t="shared" si="8"/>
        <v>0</v>
      </c>
      <c r="Z27" s="138">
        <f t="shared" si="8"/>
        <v>11</v>
      </c>
      <c r="AA27" s="138">
        <f t="shared" si="8"/>
        <v>0</v>
      </c>
      <c r="AB27" s="138">
        <f t="shared" si="8"/>
        <v>11</v>
      </c>
      <c r="AC27" s="138">
        <f t="shared" si="8"/>
        <v>0</v>
      </c>
      <c r="AD27" s="138">
        <f t="shared" si="8"/>
        <v>11</v>
      </c>
      <c r="AE27" s="138">
        <f t="shared" si="8"/>
        <v>0</v>
      </c>
      <c r="AF27" s="138">
        <f t="shared" si="8"/>
        <v>11</v>
      </c>
      <c r="AG27" s="138">
        <f t="shared" si="8"/>
        <v>0</v>
      </c>
      <c r="AH27" s="138">
        <f t="shared" si="8"/>
        <v>11</v>
      </c>
      <c r="AI27" s="138">
        <f t="shared" si="8"/>
        <v>0</v>
      </c>
      <c r="AJ27" s="138">
        <f t="shared" si="8"/>
        <v>11</v>
      </c>
      <c r="AK27" s="138">
        <f t="shared" si="8"/>
        <v>0</v>
      </c>
      <c r="AL27" s="138">
        <f t="shared" si="8"/>
        <v>11</v>
      </c>
      <c r="AM27" s="138">
        <f t="shared" si="8"/>
        <v>0</v>
      </c>
      <c r="AN27" s="138">
        <f t="shared" si="8"/>
        <v>11</v>
      </c>
      <c r="AO27" s="138">
        <f t="shared" si="8"/>
        <v>0</v>
      </c>
      <c r="AP27" s="138">
        <f t="shared" si="8"/>
        <v>11</v>
      </c>
      <c r="AQ27" s="138">
        <f t="shared" si="8"/>
        <v>0</v>
      </c>
      <c r="AR27" s="138">
        <f t="shared" si="8"/>
        <v>11</v>
      </c>
      <c r="AS27" s="138">
        <f t="shared" si="8"/>
        <v>0</v>
      </c>
      <c r="AT27" s="138">
        <f t="shared" si="8"/>
        <v>11</v>
      </c>
      <c r="AU27" s="138">
        <f t="shared" si="8"/>
        <v>0</v>
      </c>
      <c r="AV27" s="138">
        <f t="shared" si="8"/>
        <v>11</v>
      </c>
      <c r="AW27" s="138">
        <f t="shared" si="8"/>
        <v>0</v>
      </c>
      <c r="AX27" s="138">
        <f t="shared" si="8"/>
        <v>11</v>
      </c>
      <c r="AY27" s="178">
        <f t="shared" si="8"/>
        <v>0</v>
      </c>
      <c r="AZ27" s="121"/>
    </row>
    <row r="28" spans="1:52" x14ac:dyDescent="0.2">
      <c r="B28" s="179" t="s">
        <v>310</v>
      </c>
      <c r="C28" s="125">
        <v>0</v>
      </c>
      <c r="D28" s="125">
        <v>11</v>
      </c>
      <c r="E28" s="125">
        <v>0</v>
      </c>
      <c r="F28" s="125">
        <v>11</v>
      </c>
      <c r="G28" s="125">
        <v>0</v>
      </c>
      <c r="H28" s="125">
        <v>11</v>
      </c>
      <c r="I28" s="125">
        <v>0</v>
      </c>
      <c r="J28" s="125">
        <v>11</v>
      </c>
      <c r="K28" s="125">
        <v>0</v>
      </c>
      <c r="L28" s="125">
        <v>11</v>
      </c>
      <c r="M28" s="125">
        <v>0</v>
      </c>
      <c r="N28" s="125">
        <v>11</v>
      </c>
      <c r="O28" s="125">
        <v>0</v>
      </c>
      <c r="P28" s="125">
        <v>11</v>
      </c>
      <c r="Q28" s="125">
        <v>0</v>
      </c>
      <c r="R28" s="125">
        <v>11</v>
      </c>
      <c r="S28" s="125">
        <v>0</v>
      </c>
      <c r="T28" s="125">
        <v>11</v>
      </c>
      <c r="U28" s="125">
        <v>0</v>
      </c>
      <c r="V28" s="125">
        <v>11</v>
      </c>
      <c r="W28" s="125">
        <v>0</v>
      </c>
      <c r="X28" s="125">
        <v>11</v>
      </c>
      <c r="Y28" s="125">
        <v>0</v>
      </c>
      <c r="Z28" s="125">
        <v>11</v>
      </c>
      <c r="AA28" s="125">
        <v>0</v>
      </c>
      <c r="AB28" s="125">
        <v>11</v>
      </c>
      <c r="AC28" s="125">
        <v>0</v>
      </c>
      <c r="AD28" s="125">
        <v>11</v>
      </c>
      <c r="AE28" s="125">
        <v>0</v>
      </c>
      <c r="AF28" s="125">
        <v>11</v>
      </c>
      <c r="AG28" s="125">
        <v>0</v>
      </c>
      <c r="AH28" s="125">
        <v>11</v>
      </c>
      <c r="AI28" s="125">
        <v>0</v>
      </c>
      <c r="AJ28" s="125">
        <v>11</v>
      </c>
      <c r="AK28" s="125">
        <v>0</v>
      </c>
      <c r="AL28" s="125">
        <v>11</v>
      </c>
      <c r="AM28" s="125">
        <v>0</v>
      </c>
      <c r="AN28" s="125">
        <v>11</v>
      </c>
      <c r="AO28" s="125">
        <v>0</v>
      </c>
      <c r="AP28" s="125">
        <v>11</v>
      </c>
      <c r="AQ28" s="125">
        <v>0</v>
      </c>
      <c r="AR28" s="125">
        <v>11</v>
      </c>
      <c r="AS28" s="125">
        <v>0</v>
      </c>
      <c r="AT28" s="125">
        <v>11</v>
      </c>
      <c r="AU28" s="125">
        <v>0</v>
      </c>
      <c r="AV28" s="125">
        <v>11</v>
      </c>
      <c r="AW28" s="125">
        <v>0</v>
      </c>
      <c r="AX28" s="125">
        <v>11</v>
      </c>
      <c r="AY28" s="180">
        <v>0</v>
      </c>
      <c r="AZ28" s="121"/>
    </row>
    <row r="29" spans="1:52" x14ac:dyDescent="0.2">
      <c r="B29" s="150" t="s">
        <v>311</v>
      </c>
      <c r="C29" s="139">
        <v>12</v>
      </c>
      <c r="D29" s="139">
        <f>C$28</f>
        <v>0</v>
      </c>
      <c r="E29" s="139">
        <f t="shared" ref="E29:AY29" si="9">D$28</f>
        <v>11</v>
      </c>
      <c r="F29" s="139">
        <f t="shared" si="9"/>
        <v>0</v>
      </c>
      <c r="G29" s="139">
        <f t="shared" si="9"/>
        <v>11</v>
      </c>
      <c r="H29" s="139">
        <f t="shared" si="9"/>
        <v>0</v>
      </c>
      <c r="I29" s="139">
        <f t="shared" si="9"/>
        <v>11</v>
      </c>
      <c r="J29" s="139">
        <f t="shared" si="9"/>
        <v>0</v>
      </c>
      <c r="K29" s="139">
        <f t="shared" si="9"/>
        <v>11</v>
      </c>
      <c r="L29" s="139">
        <f t="shared" si="9"/>
        <v>0</v>
      </c>
      <c r="M29" s="139">
        <f t="shared" si="9"/>
        <v>11</v>
      </c>
      <c r="N29" s="139">
        <f t="shared" si="9"/>
        <v>0</v>
      </c>
      <c r="O29" s="139">
        <f t="shared" si="9"/>
        <v>11</v>
      </c>
      <c r="P29" s="139">
        <f t="shared" si="9"/>
        <v>0</v>
      </c>
      <c r="Q29" s="139">
        <f t="shared" si="9"/>
        <v>11</v>
      </c>
      <c r="R29" s="139">
        <f t="shared" si="9"/>
        <v>0</v>
      </c>
      <c r="S29" s="139">
        <f t="shared" si="9"/>
        <v>11</v>
      </c>
      <c r="T29" s="139">
        <f t="shared" si="9"/>
        <v>0</v>
      </c>
      <c r="U29" s="139">
        <f t="shared" si="9"/>
        <v>11</v>
      </c>
      <c r="V29" s="139">
        <f t="shared" si="9"/>
        <v>0</v>
      </c>
      <c r="W29" s="139">
        <f t="shared" si="9"/>
        <v>11</v>
      </c>
      <c r="X29" s="139">
        <f t="shared" si="9"/>
        <v>0</v>
      </c>
      <c r="Y29" s="139">
        <f t="shared" si="9"/>
        <v>11</v>
      </c>
      <c r="Z29" s="139">
        <f t="shared" si="9"/>
        <v>0</v>
      </c>
      <c r="AA29" s="139">
        <f t="shared" si="9"/>
        <v>11</v>
      </c>
      <c r="AB29" s="139">
        <f t="shared" si="9"/>
        <v>0</v>
      </c>
      <c r="AC29" s="139">
        <f t="shared" si="9"/>
        <v>11</v>
      </c>
      <c r="AD29" s="139">
        <f t="shared" si="9"/>
        <v>0</v>
      </c>
      <c r="AE29" s="139">
        <f t="shared" si="9"/>
        <v>11</v>
      </c>
      <c r="AF29" s="139">
        <f t="shared" si="9"/>
        <v>0</v>
      </c>
      <c r="AG29" s="139">
        <f t="shared" si="9"/>
        <v>11</v>
      </c>
      <c r="AH29" s="139">
        <f t="shared" si="9"/>
        <v>0</v>
      </c>
      <c r="AI29" s="139">
        <f t="shared" si="9"/>
        <v>11</v>
      </c>
      <c r="AJ29" s="139">
        <f t="shared" si="9"/>
        <v>0</v>
      </c>
      <c r="AK29" s="139">
        <f t="shared" si="9"/>
        <v>11</v>
      </c>
      <c r="AL29" s="139">
        <f t="shared" si="9"/>
        <v>0</v>
      </c>
      <c r="AM29" s="139">
        <f t="shared" si="9"/>
        <v>11</v>
      </c>
      <c r="AN29" s="139">
        <f t="shared" si="9"/>
        <v>0</v>
      </c>
      <c r="AO29" s="139">
        <f t="shared" si="9"/>
        <v>11</v>
      </c>
      <c r="AP29" s="139">
        <f t="shared" si="9"/>
        <v>0</v>
      </c>
      <c r="AQ29" s="139">
        <f t="shared" si="9"/>
        <v>11</v>
      </c>
      <c r="AR29" s="139">
        <f t="shared" si="9"/>
        <v>0</v>
      </c>
      <c r="AS29" s="139">
        <f t="shared" si="9"/>
        <v>11</v>
      </c>
      <c r="AT29" s="139">
        <f t="shared" si="9"/>
        <v>0</v>
      </c>
      <c r="AU29" s="139">
        <f t="shared" si="9"/>
        <v>11</v>
      </c>
      <c r="AV29" s="139">
        <f t="shared" si="9"/>
        <v>0</v>
      </c>
      <c r="AW29" s="139">
        <f t="shared" si="9"/>
        <v>11</v>
      </c>
      <c r="AX29" s="139">
        <f t="shared" si="9"/>
        <v>0</v>
      </c>
      <c r="AY29" s="181">
        <f t="shared" si="9"/>
        <v>11</v>
      </c>
      <c r="AZ29" s="182"/>
    </row>
    <row r="30" spans="1:52" x14ac:dyDescent="0.2">
      <c r="A30" s="183" t="s">
        <v>312</v>
      </c>
      <c r="B30" s="158">
        <v>10</v>
      </c>
      <c r="C30" s="131" t="s">
        <v>293</v>
      </c>
      <c r="D30" s="131">
        <f>D$27*$B$30</f>
        <v>110</v>
      </c>
      <c r="E30" s="131">
        <f t="shared" ref="E30:AY30" si="10">E$27*$B$30</f>
        <v>0</v>
      </c>
      <c r="F30" s="131">
        <f t="shared" si="10"/>
        <v>110</v>
      </c>
      <c r="G30" s="131">
        <f t="shared" si="10"/>
        <v>0</v>
      </c>
      <c r="H30" s="131">
        <f t="shared" si="10"/>
        <v>110</v>
      </c>
      <c r="I30" s="131">
        <f t="shared" si="10"/>
        <v>0</v>
      </c>
      <c r="J30" s="131">
        <f t="shared" si="10"/>
        <v>110</v>
      </c>
      <c r="K30" s="131">
        <f t="shared" si="10"/>
        <v>0</v>
      </c>
      <c r="L30" s="131">
        <f t="shared" si="10"/>
        <v>110</v>
      </c>
      <c r="M30" s="131">
        <f t="shared" si="10"/>
        <v>0</v>
      </c>
      <c r="N30" s="131">
        <f t="shared" si="10"/>
        <v>110</v>
      </c>
      <c r="O30" s="131">
        <f t="shared" si="10"/>
        <v>0</v>
      </c>
      <c r="P30" s="131">
        <f t="shared" si="10"/>
        <v>110</v>
      </c>
      <c r="Q30" s="131">
        <f t="shared" si="10"/>
        <v>0</v>
      </c>
      <c r="R30" s="131">
        <f>R$27*$B$30</f>
        <v>110</v>
      </c>
      <c r="S30" s="131">
        <f t="shared" si="10"/>
        <v>0</v>
      </c>
      <c r="T30" s="131">
        <f t="shared" si="10"/>
        <v>110</v>
      </c>
      <c r="U30" s="131">
        <f t="shared" si="10"/>
        <v>0</v>
      </c>
      <c r="V30" s="131">
        <f t="shared" si="10"/>
        <v>110</v>
      </c>
      <c r="W30" s="131">
        <f t="shared" si="10"/>
        <v>0</v>
      </c>
      <c r="X30" s="131">
        <f t="shared" si="10"/>
        <v>110</v>
      </c>
      <c r="Y30" s="131">
        <f t="shared" si="10"/>
        <v>0</v>
      </c>
      <c r="Z30" s="131">
        <f t="shared" si="10"/>
        <v>110</v>
      </c>
      <c r="AA30" s="131">
        <f t="shared" si="10"/>
        <v>0</v>
      </c>
      <c r="AB30" s="131">
        <f t="shared" si="10"/>
        <v>110</v>
      </c>
      <c r="AC30" s="131">
        <f t="shared" si="10"/>
        <v>0</v>
      </c>
      <c r="AD30" s="131">
        <f t="shared" si="10"/>
        <v>110</v>
      </c>
      <c r="AE30" s="131">
        <f>AE$27*$B$30</f>
        <v>0</v>
      </c>
      <c r="AF30" s="131">
        <f t="shared" si="10"/>
        <v>110</v>
      </c>
      <c r="AG30" s="131">
        <f t="shared" si="10"/>
        <v>0</v>
      </c>
      <c r="AH30" s="131">
        <f t="shared" si="10"/>
        <v>110</v>
      </c>
      <c r="AI30" s="131">
        <f t="shared" si="10"/>
        <v>0</v>
      </c>
      <c r="AJ30" s="131">
        <f t="shared" si="10"/>
        <v>110</v>
      </c>
      <c r="AK30" s="131">
        <f t="shared" si="10"/>
        <v>0</v>
      </c>
      <c r="AL30" s="131">
        <f t="shared" si="10"/>
        <v>110</v>
      </c>
      <c r="AM30" s="131">
        <f t="shared" si="10"/>
        <v>0</v>
      </c>
      <c r="AN30" s="131">
        <f t="shared" si="10"/>
        <v>110</v>
      </c>
      <c r="AO30" s="131">
        <f t="shared" si="10"/>
        <v>0</v>
      </c>
      <c r="AP30" s="131">
        <f t="shared" si="10"/>
        <v>110</v>
      </c>
      <c r="AQ30" s="131">
        <f t="shared" si="10"/>
        <v>0</v>
      </c>
      <c r="AR30" s="131">
        <f t="shared" si="10"/>
        <v>110</v>
      </c>
      <c r="AS30" s="131">
        <f t="shared" si="10"/>
        <v>0</v>
      </c>
      <c r="AT30" s="131">
        <f t="shared" si="10"/>
        <v>110</v>
      </c>
      <c r="AU30" s="131">
        <f t="shared" si="10"/>
        <v>0</v>
      </c>
      <c r="AV30" s="131">
        <f t="shared" si="10"/>
        <v>110</v>
      </c>
      <c r="AW30" s="131">
        <f t="shared" si="10"/>
        <v>0</v>
      </c>
      <c r="AX30" s="131">
        <f t="shared" si="10"/>
        <v>110</v>
      </c>
      <c r="AY30" s="131">
        <f t="shared" si="10"/>
        <v>0</v>
      </c>
      <c r="AZ30" s="155">
        <f t="shared" si="5"/>
        <v>2640</v>
      </c>
    </row>
    <row r="32" spans="1:52" x14ac:dyDescent="0.2">
      <c r="A32" s="1" t="s">
        <v>300</v>
      </c>
    </row>
    <row r="33" spans="1:52" x14ac:dyDescent="0.2">
      <c r="A33" s="149" t="s">
        <v>22</v>
      </c>
      <c r="B33" s="149" t="s">
        <v>340</v>
      </c>
      <c r="C33" s="138"/>
      <c r="D33" s="138">
        <f>D$21*shipping_manufacturing!$D$27/100</f>
        <v>378</v>
      </c>
      <c r="E33" s="138">
        <f>E$21*shipping_manufacturing!$D$27/100</f>
        <v>345</v>
      </c>
      <c r="F33" s="138">
        <f>F$21*shipping_manufacturing!$D$27/100</f>
        <v>345</v>
      </c>
      <c r="G33" s="138">
        <f>G$21*shipping_manufacturing!$D$27/100</f>
        <v>345</v>
      </c>
      <c r="H33" s="138">
        <f>H$21*shipping_manufacturing!$D$27/100</f>
        <v>345</v>
      </c>
      <c r="I33" s="138">
        <f>I$21*shipping_manufacturing!$D$27/100</f>
        <v>345</v>
      </c>
      <c r="J33" s="138">
        <f>J$21*shipping_manufacturing!$D$27/100</f>
        <v>345</v>
      </c>
      <c r="K33" s="138">
        <f>K$21*shipping_manufacturing!$D$27/100</f>
        <v>345</v>
      </c>
      <c r="L33" s="138">
        <f>L$21*shipping_manufacturing!$D$27/100</f>
        <v>345</v>
      </c>
      <c r="M33" s="138">
        <f>M$21*shipping_manufacturing!$D$27/100</f>
        <v>345</v>
      </c>
      <c r="N33" s="138">
        <f>N$21*shipping_manufacturing!$D$27/100</f>
        <v>345</v>
      </c>
      <c r="O33" s="138">
        <f>O$21*shipping_manufacturing!$D$27/100</f>
        <v>345</v>
      </c>
      <c r="P33" s="138">
        <f>P$21*shipping_manufacturing!$D$27/100</f>
        <v>345</v>
      </c>
      <c r="Q33" s="138">
        <f>Q$21*shipping_manufacturing!$D$27/100</f>
        <v>345</v>
      </c>
      <c r="R33" s="138">
        <f>R$21*shipping_manufacturing!$D$27/100</f>
        <v>345</v>
      </c>
      <c r="S33" s="138">
        <f>S$21*shipping_manufacturing!$D$27/100</f>
        <v>345</v>
      </c>
      <c r="T33" s="138">
        <f>T$21*shipping_manufacturing!$D$27/100</f>
        <v>345</v>
      </c>
      <c r="U33" s="138">
        <f>U$21*shipping_manufacturing!$D$27/100</f>
        <v>345</v>
      </c>
      <c r="V33" s="138">
        <f>V$21*shipping_manufacturing!$D$27/100</f>
        <v>345</v>
      </c>
      <c r="W33" s="138">
        <f>W$21*shipping_manufacturing!$D$27/100</f>
        <v>345</v>
      </c>
      <c r="X33" s="138">
        <f>X$21*shipping_manufacturing!$D$27/100</f>
        <v>345</v>
      </c>
      <c r="Y33" s="138">
        <f>Y$21*shipping_manufacturing!$D$27/100</f>
        <v>345</v>
      </c>
      <c r="Z33" s="138">
        <f>Z$21*shipping_manufacturing!$D$27/100</f>
        <v>345</v>
      </c>
      <c r="AA33" s="138">
        <f>AA$21*shipping_manufacturing!$D$27/100</f>
        <v>345</v>
      </c>
      <c r="AB33" s="138">
        <f>AB$21*shipping_manufacturing!$D$27/100</f>
        <v>345</v>
      </c>
      <c r="AC33" s="138">
        <f>AC$21*shipping_manufacturing!$D$27/100</f>
        <v>345</v>
      </c>
      <c r="AD33" s="138">
        <f>AD$21*shipping_manufacturing!$D$27/100</f>
        <v>345</v>
      </c>
      <c r="AE33" s="138">
        <f>AE$21*shipping_manufacturing!$D$27/100</f>
        <v>345</v>
      </c>
      <c r="AF33" s="138">
        <f>AF$21*shipping_manufacturing!$D$27/100</f>
        <v>345</v>
      </c>
      <c r="AG33" s="138">
        <f>AG$21*shipping_manufacturing!$D$27/100</f>
        <v>345</v>
      </c>
      <c r="AH33" s="138">
        <f>AH$21*shipping_manufacturing!$D$27/100</f>
        <v>345</v>
      </c>
      <c r="AI33" s="138">
        <f>AI$21*shipping_manufacturing!$D$27/100</f>
        <v>345</v>
      </c>
      <c r="AJ33" s="138">
        <f>AJ$21*shipping_manufacturing!$D$27/100</f>
        <v>345</v>
      </c>
      <c r="AK33" s="138">
        <f>AK$21*shipping_manufacturing!$D$27/100</f>
        <v>345</v>
      </c>
      <c r="AL33" s="138">
        <f>AL$21*shipping_manufacturing!$D$27/100</f>
        <v>345</v>
      </c>
      <c r="AM33" s="138">
        <f>AM$21*shipping_manufacturing!$D$27/100</f>
        <v>345</v>
      </c>
      <c r="AN33" s="138">
        <f>AN$21*shipping_manufacturing!$D$27/100</f>
        <v>345</v>
      </c>
      <c r="AO33" s="138">
        <f>AO$21*shipping_manufacturing!$D$27/100</f>
        <v>345</v>
      </c>
      <c r="AP33" s="138">
        <f>AP$21*shipping_manufacturing!$D$27/100</f>
        <v>345</v>
      </c>
      <c r="AQ33" s="138">
        <f>AQ$21*shipping_manufacturing!$D$27/100</f>
        <v>345</v>
      </c>
      <c r="AR33" s="138">
        <f>AR$21*shipping_manufacturing!$D$27/100</f>
        <v>345</v>
      </c>
      <c r="AS33" s="138">
        <f>AS$21*shipping_manufacturing!$D$27/100</f>
        <v>345</v>
      </c>
      <c r="AT33" s="138">
        <f>AT$21*shipping_manufacturing!$D$27/100</f>
        <v>345</v>
      </c>
      <c r="AU33" s="138">
        <f>AU$21*shipping_manufacturing!$D$27/100</f>
        <v>345</v>
      </c>
      <c r="AV33" s="138">
        <f>AV$21*shipping_manufacturing!$D$27/100</f>
        <v>345</v>
      </c>
      <c r="AW33" s="138">
        <f>AW$21*shipping_manufacturing!$D$27/100</f>
        <v>345</v>
      </c>
      <c r="AX33" s="138">
        <f>AX$21*shipping_manufacturing!$D$27/100</f>
        <v>345</v>
      </c>
      <c r="AY33" s="138">
        <f>AY$21*shipping_manufacturing!$D$27/100</f>
        <v>345</v>
      </c>
    </row>
    <row r="34" spans="1:52" x14ac:dyDescent="0.2">
      <c r="A34" s="127" t="s">
        <v>339</v>
      </c>
      <c r="B34" s="179" t="s">
        <v>341</v>
      </c>
      <c r="C34" s="125"/>
      <c r="D34" s="125">
        <f>D$22*shipping_manufacturing!$E$27/100</f>
        <v>0</v>
      </c>
      <c r="E34" s="125">
        <f>E$22*shipping_manufacturing!$E$27/100</f>
        <v>0</v>
      </c>
      <c r="F34" s="125">
        <f>F$22*shipping_manufacturing!$E$27/100</f>
        <v>0</v>
      </c>
      <c r="G34" s="125">
        <f>G$22*shipping_manufacturing!$E$27/100</f>
        <v>0</v>
      </c>
      <c r="H34" s="125">
        <f>H$22*shipping_manufacturing!$E$27/100</f>
        <v>0</v>
      </c>
      <c r="I34" s="125">
        <f>I$22*shipping_manufacturing!$E$27/100</f>
        <v>0</v>
      </c>
      <c r="J34" s="125">
        <f>J$22*shipping_manufacturing!$E$27/100</f>
        <v>0</v>
      </c>
      <c r="K34" s="125">
        <f>K$22*shipping_manufacturing!$E$27/100</f>
        <v>0</v>
      </c>
      <c r="L34" s="125">
        <f>L$22*shipping_manufacturing!$E$27/100</f>
        <v>0</v>
      </c>
      <c r="M34" s="125">
        <f>M$22*shipping_manufacturing!$E$27/100</f>
        <v>0</v>
      </c>
      <c r="N34" s="125">
        <f>N$22*shipping_manufacturing!$E$27/100</f>
        <v>0</v>
      </c>
      <c r="O34" s="125">
        <f>O$22*shipping_manufacturing!$E$27/100</f>
        <v>0</v>
      </c>
      <c r="P34" s="125">
        <f>P$22*shipping_manufacturing!$E$27/100</f>
        <v>0</v>
      </c>
      <c r="Q34" s="125">
        <f>Q$22*shipping_manufacturing!$E$27/100</f>
        <v>0</v>
      </c>
      <c r="R34" s="125">
        <f>R$22*shipping_manufacturing!$E$27/100</f>
        <v>0</v>
      </c>
      <c r="S34" s="125">
        <f>S$22*shipping_manufacturing!$E$27/100</f>
        <v>0</v>
      </c>
      <c r="T34" s="125">
        <f>T$22*shipping_manufacturing!$E$27/100</f>
        <v>0</v>
      </c>
      <c r="U34" s="125">
        <f>U$22*shipping_manufacturing!$E$27/100</f>
        <v>0</v>
      </c>
      <c r="V34" s="125">
        <f>V$22*shipping_manufacturing!$E$27/100</f>
        <v>0</v>
      </c>
      <c r="W34" s="125">
        <f>W$22*shipping_manufacturing!$E$27/100</f>
        <v>0</v>
      </c>
      <c r="X34" s="125">
        <f>X$22*shipping_manufacturing!$E$27/100</f>
        <v>0</v>
      </c>
      <c r="Y34" s="125">
        <f>Y$22*shipping_manufacturing!$E$27/100</f>
        <v>0</v>
      </c>
      <c r="Z34" s="125">
        <f>Z$22*shipping_manufacturing!$E$27/100</f>
        <v>0</v>
      </c>
      <c r="AA34" s="125">
        <f>AA$22*shipping_manufacturing!$E$27/100</f>
        <v>0</v>
      </c>
      <c r="AB34" s="125">
        <f>AB$22*shipping_manufacturing!$E$27/100</f>
        <v>0</v>
      </c>
      <c r="AC34" s="125">
        <f>AC$22*shipping_manufacturing!$E$27/100</f>
        <v>0</v>
      </c>
      <c r="AD34" s="125">
        <f>AD$22*shipping_manufacturing!$E$27/100</f>
        <v>0</v>
      </c>
      <c r="AE34" s="125">
        <f>AE$22*shipping_manufacturing!$E$27/100</f>
        <v>0</v>
      </c>
      <c r="AF34" s="125">
        <f>AF$22*shipping_manufacturing!$E$27/100</f>
        <v>0</v>
      </c>
      <c r="AG34" s="125">
        <f>AG$22*shipping_manufacturing!$E$27/100</f>
        <v>0</v>
      </c>
      <c r="AH34" s="125">
        <f>AH$22*shipping_manufacturing!$E$27/100</f>
        <v>0</v>
      </c>
      <c r="AI34" s="125">
        <f>AI$22*shipping_manufacturing!$E$27/100</f>
        <v>0</v>
      </c>
      <c r="AJ34" s="125">
        <f>AJ$22*shipping_manufacturing!$E$27/100</f>
        <v>0</v>
      </c>
      <c r="AK34" s="125">
        <f>AK$22*shipping_manufacturing!$E$27/100</f>
        <v>0</v>
      </c>
      <c r="AL34" s="125">
        <f>AL$22*shipping_manufacturing!$E$27/100</f>
        <v>0</v>
      </c>
      <c r="AM34" s="125">
        <f>AM$22*shipping_manufacturing!$E$27/100</f>
        <v>0</v>
      </c>
      <c r="AN34" s="125">
        <f>AN$22*shipping_manufacturing!$E$27/100</f>
        <v>0</v>
      </c>
      <c r="AO34" s="125">
        <f>AO$22*shipping_manufacturing!$E$27/100</f>
        <v>0</v>
      </c>
      <c r="AP34" s="125">
        <f>AP$22*shipping_manufacturing!$E$27/100</f>
        <v>0</v>
      </c>
      <c r="AQ34" s="125">
        <f>AQ$22*shipping_manufacturing!$E$27/100</f>
        <v>0</v>
      </c>
      <c r="AR34" s="125">
        <f>AR$22*shipping_manufacturing!$E$27/100</f>
        <v>0</v>
      </c>
      <c r="AS34" s="125">
        <f>AS$22*shipping_manufacturing!$E$27/100</f>
        <v>0</v>
      </c>
      <c r="AT34" s="125">
        <f>AT$22*shipping_manufacturing!$E$27/100</f>
        <v>0</v>
      </c>
      <c r="AU34" s="125">
        <f>AU$22*shipping_manufacturing!$E$27/100</f>
        <v>0</v>
      </c>
      <c r="AV34" s="125">
        <f>AV$22*shipping_manufacturing!$E$27/100</f>
        <v>0</v>
      </c>
      <c r="AW34" s="125">
        <f>AW$22*shipping_manufacturing!$E$27/100</f>
        <v>0</v>
      </c>
      <c r="AX34" s="125">
        <f>AX$22*shipping_manufacturing!$E$27/100</f>
        <v>0</v>
      </c>
      <c r="AY34" s="125">
        <f>AY$22*shipping_manufacturing!$E$27/100</f>
        <v>0</v>
      </c>
    </row>
    <row r="35" spans="1:52" x14ac:dyDescent="0.2">
      <c r="A35" s="125">
        <v>1335</v>
      </c>
      <c r="B35" s="179" t="s">
        <v>342</v>
      </c>
      <c r="C35" s="125"/>
      <c r="D35" s="125">
        <f>SUM(D33:D34)</f>
        <v>378</v>
      </c>
      <c r="E35" s="125">
        <f t="shared" ref="E35:AY35" si="11">SUM(E33:E34)</f>
        <v>345</v>
      </c>
      <c r="F35" s="125">
        <f t="shared" si="11"/>
        <v>345</v>
      </c>
      <c r="G35" s="125">
        <f t="shared" si="11"/>
        <v>345</v>
      </c>
      <c r="H35" s="125">
        <f t="shared" si="11"/>
        <v>345</v>
      </c>
      <c r="I35" s="125">
        <f t="shared" si="11"/>
        <v>345</v>
      </c>
      <c r="J35" s="125">
        <f t="shared" si="11"/>
        <v>345</v>
      </c>
      <c r="K35" s="125">
        <f t="shared" si="11"/>
        <v>345</v>
      </c>
      <c r="L35" s="125">
        <f t="shared" si="11"/>
        <v>345</v>
      </c>
      <c r="M35" s="125">
        <f t="shared" si="11"/>
        <v>345</v>
      </c>
      <c r="N35" s="125">
        <f t="shared" si="11"/>
        <v>345</v>
      </c>
      <c r="O35" s="125">
        <f t="shared" si="11"/>
        <v>345</v>
      </c>
      <c r="P35" s="125">
        <f t="shared" si="11"/>
        <v>345</v>
      </c>
      <c r="Q35" s="125">
        <f t="shared" si="11"/>
        <v>345</v>
      </c>
      <c r="R35" s="125">
        <f t="shared" si="11"/>
        <v>345</v>
      </c>
      <c r="S35" s="125">
        <f t="shared" si="11"/>
        <v>345</v>
      </c>
      <c r="T35" s="125">
        <f t="shared" si="11"/>
        <v>345</v>
      </c>
      <c r="U35" s="125">
        <f t="shared" si="11"/>
        <v>345</v>
      </c>
      <c r="V35" s="125">
        <f t="shared" si="11"/>
        <v>345</v>
      </c>
      <c r="W35" s="125">
        <f t="shared" si="11"/>
        <v>345</v>
      </c>
      <c r="X35" s="125">
        <f t="shared" si="11"/>
        <v>345</v>
      </c>
      <c r="Y35" s="125">
        <f t="shared" si="11"/>
        <v>345</v>
      </c>
      <c r="Z35" s="125">
        <f t="shared" si="11"/>
        <v>345</v>
      </c>
      <c r="AA35" s="125">
        <f t="shared" si="11"/>
        <v>345</v>
      </c>
      <c r="AB35" s="125">
        <f t="shared" si="11"/>
        <v>345</v>
      </c>
      <c r="AC35" s="125">
        <f t="shared" si="11"/>
        <v>345</v>
      </c>
      <c r="AD35" s="125">
        <f t="shared" si="11"/>
        <v>345</v>
      </c>
      <c r="AE35" s="125">
        <f t="shared" si="11"/>
        <v>345</v>
      </c>
      <c r="AF35" s="125">
        <f t="shared" si="11"/>
        <v>345</v>
      </c>
      <c r="AG35" s="125">
        <f t="shared" si="11"/>
        <v>345</v>
      </c>
      <c r="AH35" s="125">
        <f t="shared" si="11"/>
        <v>345</v>
      </c>
      <c r="AI35" s="125">
        <f t="shared" si="11"/>
        <v>345</v>
      </c>
      <c r="AJ35" s="125">
        <f t="shared" si="11"/>
        <v>345</v>
      </c>
      <c r="AK35" s="125">
        <f t="shared" si="11"/>
        <v>345</v>
      </c>
      <c r="AL35" s="125">
        <f t="shared" si="11"/>
        <v>345</v>
      </c>
      <c r="AM35" s="125">
        <f t="shared" si="11"/>
        <v>345</v>
      </c>
      <c r="AN35" s="125">
        <f t="shared" si="11"/>
        <v>345</v>
      </c>
      <c r="AO35" s="125">
        <f t="shared" si="11"/>
        <v>345</v>
      </c>
      <c r="AP35" s="125">
        <f t="shared" si="11"/>
        <v>345</v>
      </c>
      <c r="AQ35" s="125">
        <f t="shared" si="11"/>
        <v>345</v>
      </c>
      <c r="AR35" s="125">
        <f t="shared" si="11"/>
        <v>345</v>
      </c>
      <c r="AS35" s="125">
        <f t="shared" si="11"/>
        <v>345</v>
      </c>
      <c r="AT35" s="125">
        <f t="shared" si="11"/>
        <v>345</v>
      </c>
      <c r="AU35" s="125">
        <f t="shared" si="11"/>
        <v>345</v>
      </c>
      <c r="AV35" s="125">
        <f t="shared" si="11"/>
        <v>345</v>
      </c>
      <c r="AW35" s="125">
        <f t="shared" si="11"/>
        <v>345</v>
      </c>
      <c r="AX35" s="125">
        <f t="shared" si="11"/>
        <v>345</v>
      </c>
      <c r="AY35" s="125">
        <f t="shared" si="11"/>
        <v>345</v>
      </c>
    </row>
    <row r="36" spans="1:52" x14ac:dyDescent="0.2">
      <c r="A36" s="125"/>
      <c r="B36" s="179" t="s">
        <v>343</v>
      </c>
      <c r="C36" s="125"/>
      <c r="D36" s="125">
        <v>330</v>
      </c>
      <c r="E36" s="125"/>
      <c r="F36" s="125">
        <v>330</v>
      </c>
      <c r="G36" s="125"/>
      <c r="H36" s="125">
        <v>330</v>
      </c>
      <c r="I36" s="125"/>
      <c r="J36" s="125">
        <v>330</v>
      </c>
      <c r="K36" s="125"/>
      <c r="L36" s="125">
        <v>330</v>
      </c>
      <c r="M36" s="125"/>
      <c r="N36" s="125">
        <v>330</v>
      </c>
      <c r="O36" s="125"/>
      <c r="P36" s="125">
        <v>330</v>
      </c>
      <c r="Q36" s="125"/>
      <c r="R36" s="125">
        <v>330</v>
      </c>
      <c r="S36" s="125"/>
      <c r="T36" s="125">
        <v>330</v>
      </c>
      <c r="U36" s="125"/>
      <c r="V36" s="125">
        <v>330</v>
      </c>
      <c r="W36" s="125"/>
      <c r="X36" s="125">
        <v>330</v>
      </c>
      <c r="Y36" s="125"/>
      <c r="Z36" s="125">
        <v>330</v>
      </c>
      <c r="AA36" s="125"/>
      <c r="AB36" s="125">
        <v>330</v>
      </c>
      <c r="AC36" s="125"/>
      <c r="AD36" s="125">
        <v>330</v>
      </c>
      <c r="AE36" s="125"/>
      <c r="AF36" s="125">
        <v>330</v>
      </c>
      <c r="AG36" s="125"/>
      <c r="AH36" s="125">
        <v>330</v>
      </c>
      <c r="AI36" s="125"/>
      <c r="AJ36" s="125">
        <v>330</v>
      </c>
      <c r="AK36" s="125"/>
      <c r="AL36" s="125">
        <v>330</v>
      </c>
      <c r="AM36" s="125"/>
      <c r="AN36" s="125">
        <v>330</v>
      </c>
      <c r="AO36" s="125"/>
      <c r="AP36" s="125">
        <v>330</v>
      </c>
      <c r="AQ36" s="125"/>
      <c r="AR36" s="125">
        <v>330</v>
      </c>
      <c r="AS36" s="125"/>
      <c r="AT36" s="125">
        <v>330</v>
      </c>
      <c r="AU36" s="125"/>
      <c r="AV36" s="125">
        <v>330</v>
      </c>
      <c r="AW36" s="125"/>
      <c r="AX36" s="125">
        <v>330</v>
      </c>
      <c r="AY36" s="125"/>
    </row>
    <row r="37" spans="1:52" x14ac:dyDescent="0.2">
      <c r="A37" s="125"/>
      <c r="B37" s="179" t="s">
        <v>344</v>
      </c>
      <c r="C37" s="125"/>
      <c r="D37" s="125">
        <v>0</v>
      </c>
      <c r="E37" s="125"/>
      <c r="F37" s="125">
        <v>0</v>
      </c>
      <c r="G37" s="125"/>
      <c r="H37" s="125">
        <v>0</v>
      </c>
      <c r="I37" s="125"/>
      <c r="J37" s="125">
        <v>0</v>
      </c>
      <c r="K37" s="125"/>
      <c r="L37" s="125">
        <v>0</v>
      </c>
      <c r="M37" s="125"/>
      <c r="N37" s="125">
        <v>0</v>
      </c>
      <c r="O37" s="125"/>
      <c r="P37" s="125">
        <v>0</v>
      </c>
      <c r="Q37" s="125"/>
      <c r="R37" s="125">
        <v>0</v>
      </c>
      <c r="S37" s="125"/>
      <c r="T37" s="125">
        <v>0</v>
      </c>
      <c r="U37" s="125"/>
      <c r="V37" s="125">
        <v>0</v>
      </c>
      <c r="W37" s="125"/>
      <c r="X37" s="125">
        <v>0</v>
      </c>
      <c r="Y37" s="125"/>
      <c r="Z37" s="125">
        <v>0</v>
      </c>
      <c r="AA37" s="125"/>
      <c r="AB37" s="125">
        <v>0</v>
      </c>
      <c r="AC37" s="125"/>
      <c r="AD37" s="125">
        <v>0</v>
      </c>
      <c r="AE37" s="125"/>
      <c r="AF37" s="125">
        <v>0</v>
      </c>
      <c r="AG37" s="125"/>
      <c r="AH37" s="125">
        <v>0</v>
      </c>
      <c r="AI37" s="125"/>
      <c r="AJ37" s="125">
        <v>0</v>
      </c>
      <c r="AK37" s="125"/>
      <c r="AL37" s="125">
        <v>0</v>
      </c>
      <c r="AM37" s="125"/>
      <c r="AN37" s="125">
        <v>0</v>
      </c>
      <c r="AO37" s="125"/>
      <c r="AP37" s="125">
        <v>0</v>
      </c>
      <c r="AQ37" s="125"/>
      <c r="AR37" s="125">
        <v>0</v>
      </c>
      <c r="AS37" s="125"/>
      <c r="AT37" s="125">
        <v>0</v>
      </c>
      <c r="AU37" s="125"/>
      <c r="AV37" s="125">
        <v>0</v>
      </c>
      <c r="AW37" s="125"/>
      <c r="AX37" s="125">
        <v>0</v>
      </c>
      <c r="AY37" s="125"/>
    </row>
    <row r="38" spans="1:52" x14ac:dyDescent="0.2">
      <c r="A38" s="125"/>
      <c r="B38" s="179" t="s">
        <v>345</v>
      </c>
      <c r="C38" s="125"/>
      <c r="D38" s="125">
        <v>11</v>
      </c>
      <c r="E38" s="125"/>
      <c r="F38" s="125">
        <v>11</v>
      </c>
      <c r="G38" s="125"/>
      <c r="H38" s="125">
        <v>11</v>
      </c>
      <c r="I38" s="125"/>
      <c r="J38" s="125">
        <v>11</v>
      </c>
      <c r="K38" s="125"/>
      <c r="L38" s="125">
        <v>11</v>
      </c>
      <c r="M38" s="125"/>
      <c r="N38" s="125">
        <v>11</v>
      </c>
      <c r="O38" s="125"/>
      <c r="P38" s="125">
        <v>11</v>
      </c>
      <c r="Q38" s="125"/>
      <c r="R38" s="125">
        <v>11</v>
      </c>
      <c r="S38" s="125"/>
      <c r="T38" s="125">
        <v>11</v>
      </c>
      <c r="U38" s="125"/>
      <c r="V38" s="125">
        <v>11</v>
      </c>
      <c r="W38" s="125"/>
      <c r="X38" s="125">
        <v>11</v>
      </c>
      <c r="Y38" s="125"/>
      <c r="Z38" s="125">
        <v>11</v>
      </c>
      <c r="AA38" s="125"/>
      <c r="AB38" s="125">
        <v>11</v>
      </c>
      <c r="AC38" s="125"/>
      <c r="AD38" s="125">
        <v>11</v>
      </c>
      <c r="AE38" s="125"/>
      <c r="AF38" s="125">
        <v>11</v>
      </c>
      <c r="AG38" s="125"/>
      <c r="AH38" s="125">
        <v>11</v>
      </c>
      <c r="AI38" s="125"/>
      <c r="AJ38" s="125">
        <v>11</v>
      </c>
      <c r="AK38" s="125"/>
      <c r="AL38" s="125">
        <v>11</v>
      </c>
      <c r="AM38" s="125"/>
      <c r="AN38" s="125">
        <v>11</v>
      </c>
      <c r="AO38" s="125"/>
      <c r="AP38" s="125">
        <v>11</v>
      </c>
      <c r="AQ38" s="125"/>
      <c r="AR38" s="125">
        <v>11</v>
      </c>
      <c r="AS38" s="125"/>
      <c r="AT38" s="125">
        <v>11</v>
      </c>
      <c r="AU38" s="125"/>
      <c r="AV38" s="125">
        <v>11</v>
      </c>
      <c r="AW38" s="125"/>
      <c r="AX38" s="125">
        <v>11</v>
      </c>
      <c r="AY38" s="125"/>
    </row>
    <row r="39" spans="1:52" x14ac:dyDescent="0.2">
      <c r="A39" s="125"/>
      <c r="B39" s="179" t="s">
        <v>346</v>
      </c>
      <c r="C39" s="125"/>
      <c r="D39" s="125">
        <f>D33-D36</f>
        <v>48</v>
      </c>
      <c r="E39" s="125">
        <f t="shared" ref="E39:AY39" si="12">E33-E36</f>
        <v>345</v>
      </c>
      <c r="F39" s="125">
        <f t="shared" si="12"/>
        <v>15</v>
      </c>
      <c r="G39" s="125">
        <f t="shared" si="12"/>
        <v>345</v>
      </c>
      <c r="H39" s="125">
        <f t="shared" si="12"/>
        <v>15</v>
      </c>
      <c r="I39" s="125">
        <f t="shared" si="12"/>
        <v>345</v>
      </c>
      <c r="J39" s="125">
        <f t="shared" si="12"/>
        <v>15</v>
      </c>
      <c r="K39" s="125">
        <f t="shared" si="12"/>
        <v>345</v>
      </c>
      <c r="L39" s="125">
        <f t="shared" si="12"/>
        <v>15</v>
      </c>
      <c r="M39" s="125">
        <f t="shared" si="12"/>
        <v>345</v>
      </c>
      <c r="N39" s="125">
        <f t="shared" si="12"/>
        <v>15</v>
      </c>
      <c r="O39" s="125">
        <f t="shared" si="12"/>
        <v>345</v>
      </c>
      <c r="P39" s="125">
        <f t="shared" si="12"/>
        <v>15</v>
      </c>
      <c r="Q39" s="125">
        <f t="shared" si="12"/>
        <v>345</v>
      </c>
      <c r="R39" s="125">
        <f t="shared" si="12"/>
        <v>15</v>
      </c>
      <c r="S39" s="125">
        <f t="shared" si="12"/>
        <v>345</v>
      </c>
      <c r="T39" s="125">
        <f t="shared" si="12"/>
        <v>15</v>
      </c>
      <c r="U39" s="125">
        <f t="shared" si="12"/>
        <v>345</v>
      </c>
      <c r="V39" s="125">
        <f t="shared" si="12"/>
        <v>15</v>
      </c>
      <c r="W39" s="125">
        <f t="shared" si="12"/>
        <v>345</v>
      </c>
      <c r="X39" s="125">
        <f t="shared" si="12"/>
        <v>15</v>
      </c>
      <c r="Y39" s="125">
        <f t="shared" si="12"/>
        <v>345</v>
      </c>
      <c r="Z39" s="125">
        <f t="shared" si="12"/>
        <v>15</v>
      </c>
      <c r="AA39" s="125">
        <f t="shared" si="12"/>
        <v>345</v>
      </c>
      <c r="AB39" s="125">
        <f t="shared" si="12"/>
        <v>15</v>
      </c>
      <c r="AC39" s="125">
        <f t="shared" si="12"/>
        <v>345</v>
      </c>
      <c r="AD39" s="125">
        <f t="shared" si="12"/>
        <v>15</v>
      </c>
      <c r="AE39" s="125">
        <f t="shared" si="12"/>
        <v>345</v>
      </c>
      <c r="AF39" s="125">
        <f t="shared" si="12"/>
        <v>15</v>
      </c>
      <c r="AG39" s="125">
        <f t="shared" si="12"/>
        <v>345</v>
      </c>
      <c r="AH39" s="125">
        <f t="shared" si="12"/>
        <v>15</v>
      </c>
      <c r="AI39" s="125">
        <f t="shared" si="12"/>
        <v>345</v>
      </c>
      <c r="AJ39" s="125">
        <f t="shared" si="12"/>
        <v>15</v>
      </c>
      <c r="AK39" s="125">
        <f t="shared" si="12"/>
        <v>345</v>
      </c>
      <c r="AL39" s="125">
        <f t="shared" si="12"/>
        <v>15</v>
      </c>
      <c r="AM39" s="125">
        <f t="shared" si="12"/>
        <v>345</v>
      </c>
      <c r="AN39" s="125">
        <f t="shared" si="12"/>
        <v>15</v>
      </c>
      <c r="AO39" s="125">
        <f t="shared" si="12"/>
        <v>345</v>
      </c>
      <c r="AP39" s="125">
        <f t="shared" si="12"/>
        <v>15</v>
      </c>
      <c r="AQ39" s="125">
        <f t="shared" si="12"/>
        <v>345</v>
      </c>
      <c r="AR39" s="125">
        <f t="shared" si="12"/>
        <v>15</v>
      </c>
      <c r="AS39" s="125">
        <f t="shared" si="12"/>
        <v>345</v>
      </c>
      <c r="AT39" s="125">
        <f t="shared" si="12"/>
        <v>15</v>
      </c>
      <c r="AU39" s="125">
        <f t="shared" si="12"/>
        <v>345</v>
      </c>
      <c r="AV39" s="125">
        <f t="shared" si="12"/>
        <v>15</v>
      </c>
      <c r="AW39" s="125">
        <f t="shared" si="12"/>
        <v>345</v>
      </c>
      <c r="AX39" s="125">
        <f t="shared" si="12"/>
        <v>15</v>
      </c>
      <c r="AY39" s="125">
        <f t="shared" si="12"/>
        <v>345</v>
      </c>
    </row>
    <row r="40" spans="1:52" x14ac:dyDescent="0.2">
      <c r="A40" s="125"/>
      <c r="B40" s="179" t="s">
        <v>347</v>
      </c>
      <c r="C40" s="125"/>
      <c r="D40" s="125">
        <f>D34-D37</f>
        <v>0</v>
      </c>
      <c r="E40" s="125">
        <f t="shared" ref="E40:AY40" si="13">E34-E37</f>
        <v>0</v>
      </c>
      <c r="F40" s="125">
        <f t="shared" si="13"/>
        <v>0</v>
      </c>
      <c r="G40" s="125">
        <f t="shared" si="13"/>
        <v>0</v>
      </c>
      <c r="H40" s="125">
        <f t="shared" si="13"/>
        <v>0</v>
      </c>
      <c r="I40" s="125">
        <f t="shared" si="13"/>
        <v>0</v>
      </c>
      <c r="J40" s="125">
        <f t="shared" si="13"/>
        <v>0</v>
      </c>
      <c r="K40" s="125">
        <f t="shared" si="13"/>
        <v>0</v>
      </c>
      <c r="L40" s="125">
        <f t="shared" si="13"/>
        <v>0</v>
      </c>
      <c r="M40" s="125">
        <f t="shared" si="13"/>
        <v>0</v>
      </c>
      <c r="N40" s="125">
        <f t="shared" si="13"/>
        <v>0</v>
      </c>
      <c r="O40" s="125">
        <f t="shared" si="13"/>
        <v>0</v>
      </c>
      <c r="P40" s="125">
        <f t="shared" si="13"/>
        <v>0</v>
      </c>
      <c r="Q40" s="125">
        <f t="shared" si="13"/>
        <v>0</v>
      </c>
      <c r="R40" s="125">
        <f t="shared" si="13"/>
        <v>0</v>
      </c>
      <c r="S40" s="125">
        <f t="shared" si="13"/>
        <v>0</v>
      </c>
      <c r="T40" s="125">
        <f t="shared" si="13"/>
        <v>0</v>
      </c>
      <c r="U40" s="125">
        <f t="shared" si="13"/>
        <v>0</v>
      </c>
      <c r="V40" s="125">
        <f t="shared" si="13"/>
        <v>0</v>
      </c>
      <c r="W40" s="125">
        <f t="shared" si="13"/>
        <v>0</v>
      </c>
      <c r="X40" s="125">
        <f t="shared" si="13"/>
        <v>0</v>
      </c>
      <c r="Y40" s="125">
        <f t="shared" si="13"/>
        <v>0</v>
      </c>
      <c r="Z40" s="125">
        <f t="shared" si="13"/>
        <v>0</v>
      </c>
      <c r="AA40" s="125">
        <f t="shared" si="13"/>
        <v>0</v>
      </c>
      <c r="AB40" s="125">
        <f t="shared" si="13"/>
        <v>0</v>
      </c>
      <c r="AC40" s="125">
        <f t="shared" si="13"/>
        <v>0</v>
      </c>
      <c r="AD40" s="125">
        <f t="shared" si="13"/>
        <v>0</v>
      </c>
      <c r="AE40" s="125">
        <f t="shared" si="13"/>
        <v>0</v>
      </c>
      <c r="AF40" s="125">
        <f t="shared" si="13"/>
        <v>0</v>
      </c>
      <c r="AG40" s="125">
        <f t="shared" si="13"/>
        <v>0</v>
      </c>
      <c r="AH40" s="125">
        <f t="shared" si="13"/>
        <v>0</v>
      </c>
      <c r="AI40" s="125">
        <f t="shared" si="13"/>
        <v>0</v>
      </c>
      <c r="AJ40" s="125">
        <f t="shared" si="13"/>
        <v>0</v>
      </c>
      <c r="AK40" s="125">
        <f t="shared" si="13"/>
        <v>0</v>
      </c>
      <c r="AL40" s="125">
        <f t="shared" si="13"/>
        <v>0</v>
      </c>
      <c r="AM40" s="125">
        <f t="shared" si="13"/>
        <v>0</v>
      </c>
      <c r="AN40" s="125">
        <f t="shared" si="13"/>
        <v>0</v>
      </c>
      <c r="AO40" s="125">
        <f t="shared" si="13"/>
        <v>0</v>
      </c>
      <c r="AP40" s="125">
        <f t="shared" si="13"/>
        <v>0</v>
      </c>
      <c r="AQ40" s="125">
        <f t="shared" si="13"/>
        <v>0</v>
      </c>
      <c r="AR40" s="125">
        <f t="shared" si="13"/>
        <v>0</v>
      </c>
      <c r="AS40" s="125">
        <f t="shared" si="13"/>
        <v>0</v>
      </c>
      <c r="AT40" s="125">
        <f t="shared" si="13"/>
        <v>0</v>
      </c>
      <c r="AU40" s="125">
        <f t="shared" si="13"/>
        <v>0</v>
      </c>
      <c r="AV40" s="125">
        <f t="shared" si="13"/>
        <v>0</v>
      </c>
      <c r="AW40" s="125">
        <f t="shared" si="13"/>
        <v>0</v>
      </c>
      <c r="AX40" s="125">
        <f t="shared" si="13"/>
        <v>0</v>
      </c>
      <c r="AY40" s="125">
        <f t="shared" si="13"/>
        <v>0</v>
      </c>
    </row>
    <row r="41" spans="1:52" x14ac:dyDescent="0.2">
      <c r="A41" s="125"/>
      <c r="B41" s="179" t="s">
        <v>348</v>
      </c>
      <c r="C41" s="125"/>
      <c r="D41" s="125">
        <v>1</v>
      </c>
      <c r="E41" s="125">
        <v>3</v>
      </c>
      <c r="F41" s="125">
        <v>1</v>
      </c>
      <c r="G41" s="125">
        <v>2</v>
      </c>
      <c r="H41" s="125">
        <v>3</v>
      </c>
      <c r="I41" s="125">
        <v>2</v>
      </c>
      <c r="J41" s="125">
        <v>2</v>
      </c>
      <c r="K41" s="125">
        <v>3</v>
      </c>
      <c r="L41" s="125">
        <v>1</v>
      </c>
      <c r="M41" s="125">
        <v>1</v>
      </c>
      <c r="N41" s="125">
        <v>1</v>
      </c>
      <c r="O41" s="125">
        <v>1</v>
      </c>
      <c r="P41" s="125">
        <v>2</v>
      </c>
      <c r="Q41" s="125">
        <v>2</v>
      </c>
      <c r="R41" s="125">
        <v>1</v>
      </c>
      <c r="S41" s="125">
        <v>1</v>
      </c>
      <c r="T41" s="125">
        <v>1</v>
      </c>
      <c r="U41" s="125">
        <v>2</v>
      </c>
      <c r="V41" s="125">
        <v>1</v>
      </c>
      <c r="W41" s="125">
        <v>1</v>
      </c>
      <c r="X41" s="125">
        <v>1</v>
      </c>
      <c r="Y41" s="125">
        <v>1</v>
      </c>
      <c r="Z41" s="125">
        <v>1</v>
      </c>
      <c r="AA41" s="125">
        <v>1</v>
      </c>
      <c r="AB41" s="125">
        <v>1</v>
      </c>
      <c r="AC41" s="125">
        <v>2</v>
      </c>
      <c r="AD41" s="125">
        <v>2</v>
      </c>
      <c r="AE41" s="125">
        <v>2</v>
      </c>
      <c r="AF41" s="125">
        <v>1</v>
      </c>
      <c r="AG41" s="125">
        <v>3</v>
      </c>
      <c r="AH41" s="125">
        <v>1</v>
      </c>
      <c r="AI41" s="125">
        <v>2</v>
      </c>
      <c r="AJ41" s="125">
        <v>2</v>
      </c>
      <c r="AK41" s="125">
        <v>1</v>
      </c>
      <c r="AL41" s="125">
        <v>1</v>
      </c>
      <c r="AM41" s="125">
        <v>3</v>
      </c>
      <c r="AN41" s="125">
        <v>1</v>
      </c>
      <c r="AO41" s="125">
        <v>2</v>
      </c>
      <c r="AP41" s="125">
        <v>1</v>
      </c>
      <c r="AQ41" s="125">
        <v>3</v>
      </c>
      <c r="AR41" s="125">
        <v>2</v>
      </c>
      <c r="AS41" s="125">
        <v>2</v>
      </c>
      <c r="AT41" s="125">
        <v>1</v>
      </c>
      <c r="AU41" s="125">
        <v>1</v>
      </c>
      <c r="AV41" s="125">
        <v>1</v>
      </c>
      <c r="AW41" s="125">
        <v>2</v>
      </c>
      <c r="AX41" s="125">
        <v>1</v>
      </c>
      <c r="AY41" s="125">
        <v>1</v>
      </c>
    </row>
    <row r="42" spans="1:52" x14ac:dyDescent="0.2">
      <c r="A42" s="125"/>
      <c r="B42" s="190" t="s">
        <v>349</v>
      </c>
      <c r="C42" s="125"/>
      <c r="D42" s="125">
        <v>528660</v>
      </c>
      <c r="E42" s="125">
        <v>0</v>
      </c>
      <c r="F42" s="125">
        <v>528660</v>
      </c>
      <c r="G42" s="125">
        <v>0</v>
      </c>
      <c r="H42" s="125">
        <v>528660</v>
      </c>
      <c r="I42" s="125">
        <v>0</v>
      </c>
      <c r="J42" s="125">
        <v>528660</v>
      </c>
      <c r="K42" s="125">
        <v>0</v>
      </c>
      <c r="L42" s="125">
        <v>528660</v>
      </c>
      <c r="M42" s="125">
        <v>0</v>
      </c>
      <c r="N42" s="125">
        <v>528660</v>
      </c>
      <c r="O42" s="125">
        <v>0</v>
      </c>
      <c r="P42" s="125">
        <v>528660</v>
      </c>
      <c r="Q42" s="125">
        <v>0</v>
      </c>
      <c r="R42" s="125">
        <v>528660</v>
      </c>
      <c r="S42" s="125">
        <v>0</v>
      </c>
      <c r="T42" s="125">
        <v>528660</v>
      </c>
      <c r="U42" s="125">
        <v>0</v>
      </c>
      <c r="V42" s="125">
        <v>528660</v>
      </c>
      <c r="W42" s="125">
        <v>0</v>
      </c>
      <c r="X42" s="125">
        <v>528660</v>
      </c>
      <c r="Y42" s="125">
        <v>0</v>
      </c>
      <c r="Z42" s="125">
        <v>528660</v>
      </c>
      <c r="AA42" s="125">
        <v>0</v>
      </c>
      <c r="AB42" s="125">
        <v>528660</v>
      </c>
      <c r="AC42" s="125">
        <v>0</v>
      </c>
      <c r="AD42" s="125">
        <v>528660</v>
      </c>
      <c r="AE42" s="125">
        <v>0</v>
      </c>
      <c r="AF42" s="125">
        <v>528660</v>
      </c>
      <c r="AG42" s="125">
        <v>0</v>
      </c>
      <c r="AH42" s="125">
        <v>528660</v>
      </c>
      <c r="AI42" s="125">
        <v>0</v>
      </c>
      <c r="AJ42" s="125">
        <v>528660</v>
      </c>
      <c r="AK42" s="125">
        <v>0</v>
      </c>
      <c r="AL42" s="125">
        <v>528660</v>
      </c>
      <c r="AM42" s="125">
        <v>0</v>
      </c>
      <c r="AN42" s="125">
        <v>528660</v>
      </c>
      <c r="AO42" s="125">
        <v>0</v>
      </c>
      <c r="AP42" s="125">
        <v>528660</v>
      </c>
      <c r="AQ42" s="125">
        <v>0</v>
      </c>
      <c r="AR42" s="125">
        <v>528660</v>
      </c>
      <c r="AS42" s="125">
        <v>0</v>
      </c>
      <c r="AT42" s="125">
        <v>528660</v>
      </c>
      <c r="AU42" s="125">
        <v>0</v>
      </c>
      <c r="AV42" s="125">
        <v>528660</v>
      </c>
      <c r="AW42" s="125">
        <v>0</v>
      </c>
      <c r="AX42" s="125">
        <v>528660</v>
      </c>
      <c r="AY42" s="125">
        <v>0</v>
      </c>
      <c r="AZ42">
        <f>SUM($D$42:$AY$42)</f>
        <v>12687840</v>
      </c>
    </row>
    <row r="43" spans="1:52" x14ac:dyDescent="0.2">
      <c r="A43" s="125"/>
      <c r="B43" s="190" t="s">
        <v>350</v>
      </c>
      <c r="C43" s="125"/>
      <c r="D43" s="125">
        <v>41652</v>
      </c>
      <c r="E43" s="125">
        <v>299373.75</v>
      </c>
      <c r="F43" s="125">
        <v>13016.25</v>
      </c>
      <c r="G43" s="125">
        <v>299373.75</v>
      </c>
      <c r="H43" s="125">
        <v>13016.25</v>
      </c>
      <c r="I43" s="125">
        <v>299373.75</v>
      </c>
      <c r="J43" s="125">
        <v>13016.25</v>
      </c>
      <c r="K43" s="125">
        <v>299373.75</v>
      </c>
      <c r="L43" s="125">
        <v>13016.25</v>
      </c>
      <c r="M43" s="125">
        <v>299373.75</v>
      </c>
      <c r="N43" s="125">
        <v>13016.25</v>
      </c>
      <c r="O43" s="125">
        <v>299373.75</v>
      </c>
      <c r="P43" s="125">
        <v>13016.25</v>
      </c>
      <c r="Q43" s="125">
        <v>299373.75</v>
      </c>
      <c r="R43" s="125">
        <v>13016.25</v>
      </c>
      <c r="S43" s="125">
        <v>299373.75</v>
      </c>
      <c r="T43" s="125">
        <v>13016.25</v>
      </c>
      <c r="U43" s="125">
        <v>299373.75</v>
      </c>
      <c r="V43" s="125">
        <v>13016.25</v>
      </c>
      <c r="W43" s="125">
        <v>299373.75</v>
      </c>
      <c r="X43" s="125">
        <v>13016.25</v>
      </c>
      <c r="Y43" s="125">
        <v>299373.75</v>
      </c>
      <c r="Z43" s="125">
        <v>13016.25</v>
      </c>
      <c r="AA43" s="125">
        <v>299373.75</v>
      </c>
      <c r="AB43" s="125">
        <v>13016.25</v>
      </c>
      <c r="AC43" s="125">
        <v>299373.75</v>
      </c>
      <c r="AD43" s="125">
        <v>13016.25</v>
      </c>
      <c r="AE43" s="125">
        <v>299373.75</v>
      </c>
      <c r="AF43" s="125">
        <v>13016.25</v>
      </c>
      <c r="AG43" s="125">
        <v>299373.75</v>
      </c>
      <c r="AH43" s="125">
        <v>13016.25</v>
      </c>
      <c r="AI43" s="125">
        <v>299373.75</v>
      </c>
      <c r="AJ43" s="125">
        <v>13016.25</v>
      </c>
      <c r="AK43" s="125">
        <v>299373.75</v>
      </c>
      <c r="AL43" s="125">
        <v>13016.25</v>
      </c>
      <c r="AM43" s="125">
        <v>299373.75</v>
      </c>
      <c r="AN43" s="125">
        <v>13016.25</v>
      </c>
      <c r="AO43" s="125">
        <v>299373.75</v>
      </c>
      <c r="AP43" s="125">
        <v>13016.25</v>
      </c>
      <c r="AQ43" s="125">
        <v>299373.75</v>
      </c>
      <c r="AR43" s="125">
        <v>13016.25</v>
      </c>
      <c r="AS43" s="125">
        <v>299373.75</v>
      </c>
      <c r="AT43" s="125">
        <v>13016.25</v>
      </c>
      <c r="AU43" s="125">
        <v>299373.75</v>
      </c>
      <c r="AV43" s="125">
        <v>13016.25</v>
      </c>
      <c r="AW43" s="125">
        <v>299373.75</v>
      </c>
      <c r="AX43" s="125">
        <v>13016.25</v>
      </c>
      <c r="AY43" s="125">
        <v>299373.75</v>
      </c>
      <c r="AZ43">
        <f>SUM($D$43:$AY$43)</f>
        <v>7525995.75</v>
      </c>
    </row>
    <row r="44" spans="1:52" x14ac:dyDescent="0.2">
      <c r="A44" s="149" t="s">
        <v>59</v>
      </c>
      <c r="B44" s="149" t="s">
        <v>340</v>
      </c>
      <c r="C44" s="138"/>
      <c r="D44" s="138">
        <f>D$21*shipping_manufacturing!$D$28/100</f>
        <v>0</v>
      </c>
      <c r="E44" s="138">
        <f>E$21*shipping_manufacturing!$D$28/100</f>
        <v>0</v>
      </c>
      <c r="F44" s="138">
        <f>F$21*shipping_manufacturing!$D$28/100</f>
        <v>0</v>
      </c>
      <c r="G44" s="138">
        <f>G$21*shipping_manufacturing!$D$28/100</f>
        <v>0</v>
      </c>
      <c r="H44" s="138">
        <f>H$21*shipping_manufacturing!$D$28/100</f>
        <v>0</v>
      </c>
      <c r="I44" s="138">
        <f>I$21*shipping_manufacturing!$D$28/100</f>
        <v>0</v>
      </c>
      <c r="J44" s="138">
        <f>J$21*shipping_manufacturing!$D$28/100</f>
        <v>0</v>
      </c>
      <c r="K44" s="138">
        <f>K$21*shipping_manufacturing!$D$28/100</f>
        <v>0</v>
      </c>
      <c r="L44" s="138">
        <f>L$21*shipping_manufacturing!$D$28/100</f>
        <v>0</v>
      </c>
      <c r="M44" s="138">
        <f>M$21*shipping_manufacturing!$D$28/100</f>
        <v>0</v>
      </c>
      <c r="N44" s="138">
        <f>N$21*shipping_manufacturing!$D$28/100</f>
        <v>0</v>
      </c>
      <c r="O44" s="138">
        <f>O$21*shipping_manufacturing!$D$28/100</f>
        <v>0</v>
      </c>
      <c r="P44" s="138">
        <f>P$21*shipping_manufacturing!$D$28/100</f>
        <v>0</v>
      </c>
      <c r="Q44" s="138">
        <f>Q$21*shipping_manufacturing!$D$28/100</f>
        <v>0</v>
      </c>
      <c r="R44" s="138">
        <f>R$21*shipping_manufacturing!$D$28/100</f>
        <v>0</v>
      </c>
      <c r="S44" s="138">
        <f>S$21*shipping_manufacturing!$D$28/100</f>
        <v>0</v>
      </c>
      <c r="T44" s="138">
        <f>T$21*shipping_manufacturing!$D$28/100</f>
        <v>0</v>
      </c>
      <c r="U44" s="138">
        <f>U$21*shipping_manufacturing!$D$28/100</f>
        <v>0</v>
      </c>
      <c r="V44" s="138">
        <f>V$21*shipping_manufacturing!$D$28/100</f>
        <v>0</v>
      </c>
      <c r="W44" s="138">
        <f>W$21*shipping_manufacturing!$D$28/100</f>
        <v>0</v>
      </c>
      <c r="X44" s="138">
        <f>X$21*shipping_manufacturing!$D$28/100</f>
        <v>0</v>
      </c>
      <c r="Y44" s="138">
        <f>Y$21*shipping_manufacturing!$D$28/100</f>
        <v>0</v>
      </c>
      <c r="Z44" s="138">
        <f>Z$21*shipping_manufacturing!$D$28/100</f>
        <v>0</v>
      </c>
      <c r="AA44" s="138">
        <f>AA$21*shipping_manufacturing!$D$28/100</f>
        <v>0</v>
      </c>
      <c r="AB44" s="138">
        <f>AB$21*shipping_manufacturing!$D$28/100</f>
        <v>0</v>
      </c>
      <c r="AC44" s="138">
        <f>AC$21*shipping_manufacturing!$D$28/100</f>
        <v>0</v>
      </c>
      <c r="AD44" s="138">
        <f>AD$21*shipping_manufacturing!$D$28/100</f>
        <v>0</v>
      </c>
      <c r="AE44" s="138">
        <f>AE$21*shipping_manufacturing!$D$28/100</f>
        <v>0</v>
      </c>
      <c r="AF44" s="138">
        <f>AF$21*shipping_manufacturing!$D$28/100</f>
        <v>0</v>
      </c>
      <c r="AG44" s="138">
        <f>AG$21*shipping_manufacturing!$D$28/100</f>
        <v>0</v>
      </c>
      <c r="AH44" s="138">
        <f>AH$21*shipping_manufacturing!$D$28/100</f>
        <v>0</v>
      </c>
      <c r="AI44" s="138">
        <f>AI$21*shipping_manufacturing!$D$28/100</f>
        <v>0</v>
      </c>
      <c r="AJ44" s="138">
        <f>AJ$21*shipping_manufacturing!$D$28/100</f>
        <v>0</v>
      </c>
      <c r="AK44" s="138">
        <f>AK$21*shipping_manufacturing!$D$28/100</f>
        <v>0</v>
      </c>
      <c r="AL44" s="138">
        <f>AL$21*shipping_manufacturing!$D$28/100</f>
        <v>0</v>
      </c>
      <c r="AM44" s="138">
        <f>AM$21*shipping_manufacturing!$D$28/100</f>
        <v>0</v>
      </c>
      <c r="AN44" s="138">
        <f>AN$21*shipping_manufacturing!$D$28/100</f>
        <v>0</v>
      </c>
      <c r="AO44" s="138">
        <f>AO$21*shipping_manufacturing!$D$28/100</f>
        <v>0</v>
      </c>
      <c r="AP44" s="138">
        <f>AP$21*shipping_manufacturing!$D$28/100</f>
        <v>0</v>
      </c>
      <c r="AQ44" s="138">
        <f>AQ$21*shipping_manufacturing!$D$28/100</f>
        <v>0</v>
      </c>
      <c r="AR44" s="138">
        <f>AR$21*shipping_manufacturing!$D$28/100</f>
        <v>0</v>
      </c>
      <c r="AS44" s="138">
        <f>AS$21*shipping_manufacturing!$D$28/100</f>
        <v>0</v>
      </c>
      <c r="AT44" s="138">
        <f>AT$21*shipping_manufacturing!$D$28/100</f>
        <v>0</v>
      </c>
      <c r="AU44" s="138">
        <f>AU$21*shipping_manufacturing!$D$28/100</f>
        <v>0</v>
      </c>
      <c r="AV44" s="138">
        <f>AV$21*shipping_manufacturing!$D$28/100</f>
        <v>0</v>
      </c>
      <c r="AW44" s="138">
        <f>AW$21*shipping_manufacturing!$D$28/100</f>
        <v>0</v>
      </c>
      <c r="AX44" s="138">
        <f>AX$21*shipping_manufacturing!$D$28/100</f>
        <v>0</v>
      </c>
      <c r="AY44" s="138">
        <f>AY$21*shipping_manufacturing!$D$28/100</f>
        <v>0</v>
      </c>
    </row>
    <row r="45" spans="1:52" x14ac:dyDescent="0.2">
      <c r="A45" s="127" t="s">
        <v>339</v>
      </c>
      <c r="B45" s="179" t="s">
        <v>341</v>
      </c>
      <c r="C45" s="125"/>
      <c r="D45" s="125">
        <f>D$22*shipping_manufacturing!$E$28/100</f>
        <v>0</v>
      </c>
      <c r="E45" s="125">
        <f>E$22*shipping_manufacturing!$E$28/100</f>
        <v>0</v>
      </c>
      <c r="F45" s="125">
        <f>F$22*shipping_manufacturing!$E$28/100</f>
        <v>0</v>
      </c>
      <c r="G45" s="125">
        <f>G$22*shipping_manufacturing!$E$28/100</f>
        <v>0</v>
      </c>
      <c r="H45" s="125">
        <f>H$22*shipping_manufacturing!$E$28/100</f>
        <v>0</v>
      </c>
      <c r="I45" s="125">
        <f>I$22*shipping_manufacturing!$E$28/100</f>
        <v>0</v>
      </c>
      <c r="J45" s="125">
        <f>J$22*shipping_manufacturing!$E$28/100</f>
        <v>0</v>
      </c>
      <c r="K45" s="125">
        <f>K$22*shipping_manufacturing!$E$28/100</f>
        <v>0</v>
      </c>
      <c r="L45" s="125">
        <f>L$22*shipping_manufacturing!$E$28/100</f>
        <v>0</v>
      </c>
      <c r="M45" s="125">
        <f>M$22*shipping_manufacturing!$E$28/100</f>
        <v>0</v>
      </c>
      <c r="N45" s="125">
        <f>N$22*shipping_manufacturing!$E$28/100</f>
        <v>0</v>
      </c>
      <c r="O45" s="125">
        <f>O$22*shipping_manufacturing!$E$28/100</f>
        <v>0</v>
      </c>
      <c r="P45" s="125">
        <f>P$22*shipping_manufacturing!$E$28/100</f>
        <v>0</v>
      </c>
      <c r="Q45" s="125">
        <f>Q$22*shipping_manufacturing!$E$28/100</f>
        <v>0</v>
      </c>
      <c r="R45" s="125">
        <f>R$22*shipping_manufacturing!$E$28/100</f>
        <v>0</v>
      </c>
      <c r="S45" s="125">
        <f>S$22*shipping_manufacturing!$E$28/100</f>
        <v>0</v>
      </c>
      <c r="T45" s="125">
        <f>T$22*shipping_manufacturing!$E$28/100</f>
        <v>0</v>
      </c>
      <c r="U45" s="125">
        <f>U$22*shipping_manufacturing!$E$28/100</f>
        <v>0</v>
      </c>
      <c r="V45" s="125">
        <f>V$22*shipping_manufacturing!$E$28/100</f>
        <v>0</v>
      </c>
      <c r="W45" s="125">
        <f>W$22*shipping_manufacturing!$E$28/100</f>
        <v>0</v>
      </c>
      <c r="X45" s="125">
        <f>X$22*shipping_manufacturing!$E$28/100</f>
        <v>0</v>
      </c>
      <c r="Y45" s="125">
        <f>Y$22*shipping_manufacturing!$E$28/100</f>
        <v>0</v>
      </c>
      <c r="Z45" s="125">
        <f>Z$22*shipping_manufacturing!$E$28/100</f>
        <v>0</v>
      </c>
      <c r="AA45" s="125">
        <f>AA$22*shipping_manufacturing!$E$28/100</f>
        <v>0</v>
      </c>
      <c r="AB45" s="125">
        <f>AB$22*shipping_manufacturing!$E$28/100</f>
        <v>0</v>
      </c>
      <c r="AC45" s="125">
        <f>AC$22*shipping_manufacturing!$E$28/100</f>
        <v>0</v>
      </c>
      <c r="AD45" s="125">
        <f>AD$22*shipping_manufacturing!$E$28/100</f>
        <v>0</v>
      </c>
      <c r="AE45" s="125">
        <f>AE$22*shipping_manufacturing!$E$28/100</f>
        <v>0</v>
      </c>
      <c r="AF45" s="125">
        <f>AF$22*shipping_manufacturing!$E$28/100</f>
        <v>0</v>
      </c>
      <c r="AG45" s="125">
        <f>AG$22*shipping_manufacturing!$E$28/100</f>
        <v>0</v>
      </c>
      <c r="AH45" s="125">
        <f>AH$22*shipping_manufacturing!$E$28/100</f>
        <v>0</v>
      </c>
      <c r="AI45" s="125">
        <f>AI$22*shipping_manufacturing!$E$28/100</f>
        <v>0</v>
      </c>
      <c r="AJ45" s="125">
        <f>AJ$22*shipping_manufacturing!$E$28/100</f>
        <v>0</v>
      </c>
      <c r="AK45" s="125">
        <f>AK$22*shipping_manufacturing!$E$28/100</f>
        <v>0</v>
      </c>
      <c r="AL45" s="125">
        <f>AL$22*shipping_manufacturing!$E$28/100</f>
        <v>0</v>
      </c>
      <c r="AM45" s="125">
        <f>AM$22*shipping_manufacturing!$E$28/100</f>
        <v>0</v>
      </c>
      <c r="AN45" s="125">
        <f>AN$22*shipping_manufacturing!$E$28/100</f>
        <v>0</v>
      </c>
      <c r="AO45" s="125">
        <f>AO$22*shipping_manufacturing!$E$28/100</f>
        <v>0</v>
      </c>
      <c r="AP45" s="125">
        <f>AP$22*shipping_manufacturing!$E$28/100</f>
        <v>0</v>
      </c>
      <c r="AQ45" s="125">
        <f>AQ$22*shipping_manufacturing!$E$28/100</f>
        <v>0</v>
      </c>
      <c r="AR45" s="125">
        <f>AR$22*shipping_manufacturing!$E$28/100</f>
        <v>0</v>
      </c>
      <c r="AS45" s="125">
        <f>AS$22*shipping_manufacturing!$E$28/100</f>
        <v>0</v>
      </c>
      <c r="AT45" s="125">
        <f>AT$22*shipping_manufacturing!$E$28/100</f>
        <v>0</v>
      </c>
      <c r="AU45" s="125">
        <f>AU$22*shipping_manufacturing!$E$28/100</f>
        <v>0</v>
      </c>
      <c r="AV45" s="125">
        <f>AV$22*shipping_manufacturing!$E$28/100</f>
        <v>0</v>
      </c>
      <c r="AW45" s="125">
        <f>AW$22*shipping_manufacturing!$E$28/100</f>
        <v>0</v>
      </c>
      <c r="AX45" s="125">
        <f>AX$22*shipping_manufacturing!$E$28/100</f>
        <v>0</v>
      </c>
      <c r="AY45" s="125">
        <f>AY$22*shipping_manufacturing!$E$28/100</f>
        <v>0</v>
      </c>
    </row>
    <row r="46" spans="1:52" x14ac:dyDescent="0.2">
      <c r="A46" s="125">
        <v>718</v>
      </c>
      <c r="B46" s="179" t="s">
        <v>342</v>
      </c>
      <c r="C46" s="125"/>
      <c r="D46" s="125">
        <f>SUM(D44:D45)</f>
        <v>0</v>
      </c>
      <c r="E46" s="125">
        <f t="shared" ref="E46:AY46" si="14">SUM(E44:E45)</f>
        <v>0</v>
      </c>
      <c r="F46" s="125">
        <f t="shared" si="14"/>
        <v>0</v>
      </c>
      <c r="G46" s="125">
        <f t="shared" si="14"/>
        <v>0</v>
      </c>
      <c r="H46" s="125">
        <f t="shared" si="14"/>
        <v>0</v>
      </c>
      <c r="I46" s="125">
        <f t="shared" si="14"/>
        <v>0</v>
      </c>
      <c r="J46" s="125">
        <f t="shared" si="14"/>
        <v>0</v>
      </c>
      <c r="K46" s="125">
        <f t="shared" si="14"/>
        <v>0</v>
      </c>
      <c r="L46" s="125">
        <f t="shared" si="14"/>
        <v>0</v>
      </c>
      <c r="M46" s="125">
        <f t="shared" si="14"/>
        <v>0</v>
      </c>
      <c r="N46" s="125">
        <f t="shared" si="14"/>
        <v>0</v>
      </c>
      <c r="O46" s="125">
        <f t="shared" si="14"/>
        <v>0</v>
      </c>
      <c r="P46" s="125">
        <f t="shared" si="14"/>
        <v>0</v>
      </c>
      <c r="Q46" s="125">
        <f t="shared" si="14"/>
        <v>0</v>
      </c>
      <c r="R46" s="125">
        <f t="shared" si="14"/>
        <v>0</v>
      </c>
      <c r="S46" s="125">
        <f t="shared" si="14"/>
        <v>0</v>
      </c>
      <c r="T46" s="125">
        <f t="shared" si="14"/>
        <v>0</v>
      </c>
      <c r="U46" s="125">
        <f t="shared" si="14"/>
        <v>0</v>
      </c>
      <c r="V46" s="125">
        <f t="shared" si="14"/>
        <v>0</v>
      </c>
      <c r="W46" s="125">
        <f t="shared" si="14"/>
        <v>0</v>
      </c>
      <c r="X46" s="125">
        <f t="shared" si="14"/>
        <v>0</v>
      </c>
      <c r="Y46" s="125">
        <f t="shared" si="14"/>
        <v>0</v>
      </c>
      <c r="Z46" s="125">
        <f t="shared" si="14"/>
        <v>0</v>
      </c>
      <c r="AA46" s="125">
        <f t="shared" si="14"/>
        <v>0</v>
      </c>
      <c r="AB46" s="125">
        <f t="shared" si="14"/>
        <v>0</v>
      </c>
      <c r="AC46" s="125">
        <f t="shared" si="14"/>
        <v>0</v>
      </c>
      <c r="AD46" s="125">
        <f t="shared" si="14"/>
        <v>0</v>
      </c>
      <c r="AE46" s="125">
        <f t="shared" si="14"/>
        <v>0</v>
      </c>
      <c r="AF46" s="125">
        <f t="shared" si="14"/>
        <v>0</v>
      </c>
      <c r="AG46" s="125">
        <f t="shared" si="14"/>
        <v>0</v>
      </c>
      <c r="AH46" s="125">
        <f t="shared" si="14"/>
        <v>0</v>
      </c>
      <c r="AI46" s="125">
        <f t="shared" si="14"/>
        <v>0</v>
      </c>
      <c r="AJ46" s="125">
        <f t="shared" si="14"/>
        <v>0</v>
      </c>
      <c r="AK46" s="125">
        <f t="shared" si="14"/>
        <v>0</v>
      </c>
      <c r="AL46" s="125">
        <f t="shared" si="14"/>
        <v>0</v>
      </c>
      <c r="AM46" s="125">
        <f t="shared" si="14"/>
        <v>0</v>
      </c>
      <c r="AN46" s="125">
        <f t="shared" si="14"/>
        <v>0</v>
      </c>
      <c r="AO46" s="125">
        <f t="shared" si="14"/>
        <v>0</v>
      </c>
      <c r="AP46" s="125">
        <f t="shared" si="14"/>
        <v>0</v>
      </c>
      <c r="AQ46" s="125">
        <f t="shared" si="14"/>
        <v>0</v>
      </c>
      <c r="AR46" s="125">
        <f t="shared" si="14"/>
        <v>0</v>
      </c>
      <c r="AS46" s="125">
        <f t="shared" si="14"/>
        <v>0</v>
      </c>
      <c r="AT46" s="125">
        <f t="shared" si="14"/>
        <v>0</v>
      </c>
      <c r="AU46" s="125">
        <f t="shared" si="14"/>
        <v>0</v>
      </c>
      <c r="AV46" s="125">
        <f t="shared" si="14"/>
        <v>0</v>
      </c>
      <c r="AW46" s="125">
        <f t="shared" si="14"/>
        <v>0</v>
      </c>
      <c r="AX46" s="125">
        <f t="shared" si="14"/>
        <v>0</v>
      </c>
      <c r="AY46" s="125">
        <f t="shared" si="14"/>
        <v>0</v>
      </c>
    </row>
    <row r="47" spans="1:52" x14ac:dyDescent="0.2">
      <c r="A47" s="125"/>
      <c r="B47" s="179" t="s">
        <v>343</v>
      </c>
      <c r="C47" s="125"/>
      <c r="D47" s="125"/>
      <c r="E47" s="125"/>
      <c r="F47" s="125"/>
      <c r="G47" s="125"/>
      <c r="H47" s="125"/>
      <c r="I47" s="125"/>
      <c r="J47" s="125"/>
      <c r="K47" s="125"/>
      <c r="L47" s="125"/>
      <c r="M47" s="125"/>
      <c r="N47" s="125"/>
      <c r="O47" s="125"/>
      <c r="P47" s="125"/>
      <c r="Q47" s="125"/>
      <c r="R47" s="125"/>
      <c r="S47" s="125"/>
      <c r="T47" s="125"/>
      <c r="U47" s="125"/>
      <c r="V47" s="125"/>
      <c r="W47" s="125"/>
      <c r="X47" s="125"/>
      <c r="Y47" s="125"/>
      <c r="Z47" s="125"/>
      <c r="AA47" s="125"/>
      <c r="AB47" s="125"/>
      <c r="AC47" s="125"/>
      <c r="AD47" s="125"/>
      <c r="AE47" s="125"/>
      <c r="AF47" s="125"/>
      <c r="AG47" s="125"/>
      <c r="AH47" s="125"/>
      <c r="AI47" s="125"/>
      <c r="AJ47" s="125"/>
      <c r="AK47" s="125"/>
      <c r="AL47" s="125"/>
      <c r="AM47" s="125"/>
      <c r="AN47" s="125"/>
      <c r="AO47" s="125"/>
      <c r="AP47" s="125"/>
      <c r="AQ47" s="125"/>
      <c r="AR47" s="125"/>
      <c r="AS47" s="125"/>
      <c r="AT47" s="125"/>
      <c r="AU47" s="125"/>
      <c r="AV47" s="125"/>
      <c r="AW47" s="125"/>
      <c r="AX47" s="125"/>
      <c r="AY47" s="125"/>
    </row>
    <row r="48" spans="1:52" x14ac:dyDescent="0.2">
      <c r="A48" s="125"/>
      <c r="B48" s="179" t="s">
        <v>344</v>
      </c>
      <c r="C48" s="125"/>
      <c r="D48" s="125"/>
      <c r="E48" s="125"/>
      <c r="F48" s="125"/>
      <c r="G48" s="125"/>
      <c r="H48" s="125"/>
      <c r="I48" s="125"/>
      <c r="J48" s="125"/>
      <c r="K48" s="125"/>
      <c r="L48" s="125"/>
      <c r="M48" s="125"/>
      <c r="N48" s="125"/>
      <c r="O48" s="125"/>
      <c r="P48" s="125"/>
      <c r="Q48" s="125"/>
      <c r="R48" s="125"/>
      <c r="S48" s="125"/>
      <c r="T48" s="125"/>
      <c r="U48" s="125"/>
      <c r="V48" s="125"/>
      <c r="W48" s="125"/>
      <c r="X48" s="125"/>
      <c r="Y48" s="125"/>
      <c r="Z48" s="125"/>
      <c r="AA48" s="125"/>
      <c r="AB48" s="125"/>
      <c r="AC48" s="125"/>
      <c r="AD48" s="125"/>
      <c r="AE48" s="125"/>
      <c r="AF48" s="125"/>
      <c r="AG48" s="125"/>
      <c r="AH48" s="125"/>
      <c r="AI48" s="125"/>
      <c r="AJ48" s="125"/>
      <c r="AK48" s="125"/>
      <c r="AL48" s="125"/>
      <c r="AM48" s="125"/>
      <c r="AN48" s="125"/>
      <c r="AO48" s="125"/>
      <c r="AP48" s="125"/>
      <c r="AQ48" s="125"/>
      <c r="AR48" s="125"/>
      <c r="AS48" s="125"/>
      <c r="AT48" s="125"/>
      <c r="AU48" s="125"/>
      <c r="AV48" s="125"/>
      <c r="AW48" s="125"/>
      <c r="AX48" s="125"/>
      <c r="AY48" s="125"/>
    </row>
    <row r="49" spans="1:52" x14ac:dyDescent="0.2">
      <c r="A49" s="125"/>
      <c r="B49" s="179" t="s">
        <v>345</v>
      </c>
      <c r="C49" s="125"/>
      <c r="D49" s="125"/>
      <c r="E49" s="125"/>
      <c r="F49" s="125"/>
      <c r="G49" s="125"/>
      <c r="H49" s="125"/>
      <c r="I49" s="125"/>
      <c r="J49" s="125"/>
      <c r="K49" s="125"/>
      <c r="L49" s="125"/>
      <c r="M49" s="125"/>
      <c r="N49" s="125"/>
      <c r="O49" s="125"/>
      <c r="P49" s="125"/>
      <c r="Q49" s="125"/>
      <c r="R49" s="125"/>
      <c r="S49" s="125"/>
      <c r="T49" s="125"/>
      <c r="U49" s="125"/>
      <c r="V49" s="125"/>
      <c r="W49" s="125"/>
      <c r="X49" s="125"/>
      <c r="Y49" s="125"/>
      <c r="Z49" s="125"/>
      <c r="AA49" s="125"/>
      <c r="AB49" s="125"/>
      <c r="AC49" s="125"/>
      <c r="AD49" s="125"/>
      <c r="AE49" s="125"/>
      <c r="AF49" s="125"/>
      <c r="AG49" s="125"/>
      <c r="AH49" s="125"/>
      <c r="AI49" s="125"/>
      <c r="AJ49" s="125"/>
      <c r="AK49" s="125"/>
      <c r="AL49" s="125"/>
      <c r="AM49" s="125"/>
      <c r="AN49" s="125"/>
      <c r="AO49" s="125"/>
      <c r="AP49" s="125"/>
      <c r="AQ49" s="125"/>
      <c r="AR49" s="125"/>
      <c r="AS49" s="125"/>
      <c r="AT49" s="125"/>
      <c r="AU49" s="125"/>
      <c r="AV49" s="125"/>
      <c r="AW49" s="125"/>
      <c r="AX49" s="125"/>
      <c r="AY49" s="125"/>
    </row>
    <row r="50" spans="1:52" x14ac:dyDescent="0.2">
      <c r="A50" s="125"/>
      <c r="B50" s="179" t="s">
        <v>346</v>
      </c>
      <c r="C50" s="125"/>
      <c r="D50" s="125">
        <f>D44-D47</f>
        <v>0</v>
      </c>
      <c r="E50" s="125">
        <f t="shared" ref="E50:AY50" si="15">E44-E47</f>
        <v>0</v>
      </c>
      <c r="F50" s="125">
        <f t="shared" si="15"/>
        <v>0</v>
      </c>
      <c r="G50" s="125">
        <f t="shared" si="15"/>
        <v>0</v>
      </c>
      <c r="H50" s="125">
        <f t="shared" si="15"/>
        <v>0</v>
      </c>
      <c r="I50" s="125">
        <f t="shared" si="15"/>
        <v>0</v>
      </c>
      <c r="J50" s="125">
        <f t="shared" si="15"/>
        <v>0</v>
      </c>
      <c r="K50" s="125">
        <f t="shared" si="15"/>
        <v>0</v>
      </c>
      <c r="L50" s="125">
        <f t="shared" si="15"/>
        <v>0</v>
      </c>
      <c r="M50" s="125">
        <f t="shared" si="15"/>
        <v>0</v>
      </c>
      <c r="N50" s="125">
        <f t="shared" si="15"/>
        <v>0</v>
      </c>
      <c r="O50" s="125">
        <f t="shared" si="15"/>
        <v>0</v>
      </c>
      <c r="P50" s="125">
        <f t="shared" si="15"/>
        <v>0</v>
      </c>
      <c r="Q50" s="125">
        <f t="shared" si="15"/>
        <v>0</v>
      </c>
      <c r="R50" s="125">
        <f t="shared" si="15"/>
        <v>0</v>
      </c>
      <c r="S50" s="125">
        <f t="shared" si="15"/>
        <v>0</v>
      </c>
      <c r="T50" s="125">
        <f t="shared" si="15"/>
        <v>0</v>
      </c>
      <c r="U50" s="125">
        <f t="shared" si="15"/>
        <v>0</v>
      </c>
      <c r="V50" s="125">
        <f t="shared" si="15"/>
        <v>0</v>
      </c>
      <c r="W50" s="125">
        <f t="shared" si="15"/>
        <v>0</v>
      </c>
      <c r="X50" s="125">
        <f t="shared" si="15"/>
        <v>0</v>
      </c>
      <c r="Y50" s="125">
        <f t="shared" si="15"/>
        <v>0</v>
      </c>
      <c r="Z50" s="125">
        <f t="shared" si="15"/>
        <v>0</v>
      </c>
      <c r="AA50" s="125">
        <f t="shared" si="15"/>
        <v>0</v>
      </c>
      <c r="AB50" s="125">
        <f t="shared" si="15"/>
        <v>0</v>
      </c>
      <c r="AC50" s="125">
        <f t="shared" si="15"/>
        <v>0</v>
      </c>
      <c r="AD50" s="125">
        <f t="shared" si="15"/>
        <v>0</v>
      </c>
      <c r="AE50" s="125">
        <f t="shared" si="15"/>
        <v>0</v>
      </c>
      <c r="AF50" s="125">
        <f t="shared" si="15"/>
        <v>0</v>
      </c>
      <c r="AG50" s="125">
        <f t="shared" si="15"/>
        <v>0</v>
      </c>
      <c r="AH50" s="125">
        <f t="shared" si="15"/>
        <v>0</v>
      </c>
      <c r="AI50" s="125">
        <f t="shared" si="15"/>
        <v>0</v>
      </c>
      <c r="AJ50" s="125">
        <f t="shared" si="15"/>
        <v>0</v>
      </c>
      <c r="AK50" s="125">
        <f t="shared" si="15"/>
        <v>0</v>
      </c>
      <c r="AL50" s="125">
        <f t="shared" si="15"/>
        <v>0</v>
      </c>
      <c r="AM50" s="125">
        <f t="shared" si="15"/>
        <v>0</v>
      </c>
      <c r="AN50" s="125">
        <f t="shared" si="15"/>
        <v>0</v>
      </c>
      <c r="AO50" s="125">
        <f t="shared" si="15"/>
        <v>0</v>
      </c>
      <c r="AP50" s="125">
        <f t="shared" si="15"/>
        <v>0</v>
      </c>
      <c r="AQ50" s="125">
        <f t="shared" si="15"/>
        <v>0</v>
      </c>
      <c r="AR50" s="125">
        <f t="shared" si="15"/>
        <v>0</v>
      </c>
      <c r="AS50" s="125">
        <f t="shared" si="15"/>
        <v>0</v>
      </c>
      <c r="AT50" s="125">
        <f t="shared" si="15"/>
        <v>0</v>
      </c>
      <c r="AU50" s="125">
        <f t="shared" si="15"/>
        <v>0</v>
      </c>
      <c r="AV50" s="125">
        <f t="shared" si="15"/>
        <v>0</v>
      </c>
      <c r="AW50" s="125">
        <f t="shared" si="15"/>
        <v>0</v>
      </c>
      <c r="AX50" s="125">
        <f t="shared" si="15"/>
        <v>0</v>
      </c>
      <c r="AY50" s="125">
        <f t="shared" si="15"/>
        <v>0</v>
      </c>
    </row>
    <row r="51" spans="1:52" x14ac:dyDescent="0.2">
      <c r="A51" s="125"/>
      <c r="B51" s="179" t="s">
        <v>347</v>
      </c>
      <c r="C51" s="125"/>
      <c r="D51" s="125">
        <f>D45-D48</f>
        <v>0</v>
      </c>
      <c r="E51" s="125">
        <f t="shared" ref="E51:AY51" si="16">E45-E48</f>
        <v>0</v>
      </c>
      <c r="F51" s="125">
        <f t="shared" si="16"/>
        <v>0</v>
      </c>
      <c r="G51" s="125">
        <f t="shared" si="16"/>
        <v>0</v>
      </c>
      <c r="H51" s="125">
        <f t="shared" si="16"/>
        <v>0</v>
      </c>
      <c r="I51" s="125">
        <f t="shared" si="16"/>
        <v>0</v>
      </c>
      <c r="J51" s="125">
        <f t="shared" si="16"/>
        <v>0</v>
      </c>
      <c r="K51" s="125">
        <f t="shared" si="16"/>
        <v>0</v>
      </c>
      <c r="L51" s="125">
        <f t="shared" si="16"/>
        <v>0</v>
      </c>
      <c r="M51" s="125">
        <f t="shared" si="16"/>
        <v>0</v>
      </c>
      <c r="N51" s="125">
        <f t="shared" si="16"/>
        <v>0</v>
      </c>
      <c r="O51" s="125">
        <f t="shared" si="16"/>
        <v>0</v>
      </c>
      <c r="P51" s="125">
        <f t="shared" si="16"/>
        <v>0</v>
      </c>
      <c r="Q51" s="125">
        <f t="shared" si="16"/>
        <v>0</v>
      </c>
      <c r="R51" s="125">
        <f t="shared" si="16"/>
        <v>0</v>
      </c>
      <c r="S51" s="125">
        <f t="shared" si="16"/>
        <v>0</v>
      </c>
      <c r="T51" s="125">
        <f t="shared" si="16"/>
        <v>0</v>
      </c>
      <c r="U51" s="125">
        <f t="shared" si="16"/>
        <v>0</v>
      </c>
      <c r="V51" s="125">
        <f t="shared" si="16"/>
        <v>0</v>
      </c>
      <c r="W51" s="125">
        <f t="shared" si="16"/>
        <v>0</v>
      </c>
      <c r="X51" s="125">
        <f t="shared" si="16"/>
        <v>0</v>
      </c>
      <c r="Y51" s="125">
        <f t="shared" si="16"/>
        <v>0</v>
      </c>
      <c r="Z51" s="125">
        <f t="shared" si="16"/>
        <v>0</v>
      </c>
      <c r="AA51" s="125">
        <f t="shared" si="16"/>
        <v>0</v>
      </c>
      <c r="AB51" s="125">
        <f t="shared" si="16"/>
        <v>0</v>
      </c>
      <c r="AC51" s="125">
        <f t="shared" si="16"/>
        <v>0</v>
      </c>
      <c r="AD51" s="125">
        <f t="shared" si="16"/>
        <v>0</v>
      </c>
      <c r="AE51" s="125">
        <f t="shared" si="16"/>
        <v>0</v>
      </c>
      <c r="AF51" s="125">
        <f t="shared" si="16"/>
        <v>0</v>
      </c>
      <c r="AG51" s="125">
        <f t="shared" si="16"/>
        <v>0</v>
      </c>
      <c r="AH51" s="125">
        <f t="shared" si="16"/>
        <v>0</v>
      </c>
      <c r="AI51" s="125">
        <f t="shared" si="16"/>
        <v>0</v>
      </c>
      <c r="AJ51" s="125">
        <f t="shared" si="16"/>
        <v>0</v>
      </c>
      <c r="AK51" s="125">
        <f t="shared" si="16"/>
        <v>0</v>
      </c>
      <c r="AL51" s="125">
        <f t="shared" si="16"/>
        <v>0</v>
      </c>
      <c r="AM51" s="125">
        <f t="shared" si="16"/>
        <v>0</v>
      </c>
      <c r="AN51" s="125">
        <f t="shared" si="16"/>
        <v>0</v>
      </c>
      <c r="AO51" s="125">
        <f t="shared" si="16"/>
        <v>0</v>
      </c>
      <c r="AP51" s="125">
        <f t="shared" si="16"/>
        <v>0</v>
      </c>
      <c r="AQ51" s="125">
        <f t="shared" si="16"/>
        <v>0</v>
      </c>
      <c r="AR51" s="125">
        <f t="shared" si="16"/>
        <v>0</v>
      </c>
      <c r="AS51" s="125">
        <f t="shared" si="16"/>
        <v>0</v>
      </c>
      <c r="AT51" s="125">
        <f t="shared" si="16"/>
        <v>0</v>
      </c>
      <c r="AU51" s="125">
        <f t="shared" si="16"/>
        <v>0</v>
      </c>
      <c r="AV51" s="125">
        <f t="shared" si="16"/>
        <v>0</v>
      </c>
      <c r="AW51" s="125">
        <f t="shared" si="16"/>
        <v>0</v>
      </c>
      <c r="AX51" s="125">
        <f t="shared" si="16"/>
        <v>0</v>
      </c>
      <c r="AY51" s="125">
        <f t="shared" si="16"/>
        <v>0</v>
      </c>
    </row>
    <row r="52" spans="1:52" x14ac:dyDescent="0.2">
      <c r="A52" s="125"/>
      <c r="B52" s="179" t="s">
        <v>348</v>
      </c>
      <c r="C52" s="125"/>
      <c r="D52" s="125">
        <v>2</v>
      </c>
      <c r="E52" s="125">
        <v>1</v>
      </c>
      <c r="F52" s="125">
        <v>1</v>
      </c>
      <c r="G52" s="125">
        <v>1</v>
      </c>
      <c r="H52" s="125">
        <v>2</v>
      </c>
      <c r="I52" s="125">
        <v>2</v>
      </c>
      <c r="J52" s="125">
        <v>2</v>
      </c>
      <c r="K52" s="125">
        <v>1</v>
      </c>
      <c r="L52" s="125">
        <v>2</v>
      </c>
      <c r="M52" s="125">
        <v>2</v>
      </c>
      <c r="N52" s="125">
        <v>3</v>
      </c>
      <c r="O52" s="125">
        <v>2</v>
      </c>
      <c r="P52" s="125">
        <v>2</v>
      </c>
      <c r="Q52" s="125">
        <v>1</v>
      </c>
      <c r="R52" s="125">
        <v>1</v>
      </c>
      <c r="S52" s="125">
        <v>1</v>
      </c>
      <c r="T52" s="125">
        <v>1</v>
      </c>
      <c r="U52" s="125">
        <v>2</v>
      </c>
      <c r="V52" s="125">
        <v>3</v>
      </c>
      <c r="W52" s="125">
        <v>1</v>
      </c>
      <c r="X52" s="125">
        <v>1</v>
      </c>
      <c r="Y52" s="125">
        <v>1</v>
      </c>
      <c r="Z52" s="125">
        <v>2</v>
      </c>
      <c r="AA52" s="125">
        <v>1</v>
      </c>
      <c r="AB52" s="125">
        <v>3</v>
      </c>
      <c r="AC52" s="125">
        <v>1</v>
      </c>
      <c r="AD52" s="125">
        <v>2</v>
      </c>
      <c r="AE52" s="125">
        <v>1</v>
      </c>
      <c r="AF52" s="125">
        <v>1</v>
      </c>
      <c r="AG52" s="125">
        <v>3</v>
      </c>
      <c r="AH52" s="125">
        <v>1</v>
      </c>
      <c r="AI52" s="125">
        <v>1</v>
      </c>
      <c r="AJ52" s="125">
        <v>3</v>
      </c>
      <c r="AK52" s="125">
        <v>2</v>
      </c>
      <c r="AL52" s="125">
        <v>1</v>
      </c>
      <c r="AM52" s="125">
        <v>1</v>
      </c>
      <c r="AN52" s="125">
        <v>1</v>
      </c>
      <c r="AO52" s="125">
        <v>2</v>
      </c>
      <c r="AP52" s="125">
        <v>2</v>
      </c>
      <c r="AQ52" s="125">
        <v>1</v>
      </c>
      <c r="AR52" s="125">
        <v>1</v>
      </c>
      <c r="AS52" s="125">
        <v>1</v>
      </c>
      <c r="AT52" s="125">
        <v>2</v>
      </c>
      <c r="AU52" s="125">
        <v>1</v>
      </c>
      <c r="AV52" s="125">
        <v>1</v>
      </c>
      <c r="AW52" s="125">
        <v>1</v>
      </c>
      <c r="AX52" s="125">
        <v>1</v>
      </c>
      <c r="AY52" s="125">
        <v>1</v>
      </c>
    </row>
    <row r="53" spans="1:52" x14ac:dyDescent="0.2">
      <c r="A53" s="125"/>
      <c r="B53" s="190" t="s">
        <v>349</v>
      </c>
      <c r="C53" s="125"/>
      <c r="D53" s="125">
        <v>0</v>
      </c>
      <c r="E53" s="125">
        <v>0</v>
      </c>
      <c r="F53" s="125">
        <v>0</v>
      </c>
      <c r="G53" s="125">
        <v>0</v>
      </c>
      <c r="H53" s="125">
        <v>0</v>
      </c>
      <c r="I53" s="125">
        <v>0</v>
      </c>
      <c r="J53" s="125">
        <v>0</v>
      </c>
      <c r="K53" s="125">
        <v>0</v>
      </c>
      <c r="L53" s="125">
        <v>0</v>
      </c>
      <c r="M53" s="125">
        <v>0</v>
      </c>
      <c r="N53" s="125">
        <v>0</v>
      </c>
      <c r="O53" s="125">
        <v>0</v>
      </c>
      <c r="P53" s="125">
        <v>0</v>
      </c>
      <c r="Q53" s="125">
        <v>0</v>
      </c>
      <c r="R53" s="125">
        <v>0</v>
      </c>
      <c r="S53" s="125">
        <v>0</v>
      </c>
      <c r="T53" s="125">
        <v>0</v>
      </c>
      <c r="U53" s="125">
        <v>0</v>
      </c>
      <c r="V53" s="125">
        <v>0</v>
      </c>
      <c r="W53" s="125">
        <v>0</v>
      </c>
      <c r="X53" s="125">
        <v>0</v>
      </c>
      <c r="Y53" s="125">
        <v>0</v>
      </c>
      <c r="Z53" s="125">
        <v>0</v>
      </c>
      <c r="AA53" s="125">
        <v>0</v>
      </c>
      <c r="AB53" s="125">
        <v>0</v>
      </c>
      <c r="AC53" s="125">
        <v>0</v>
      </c>
      <c r="AD53" s="125">
        <v>0</v>
      </c>
      <c r="AE53" s="125">
        <v>0</v>
      </c>
      <c r="AF53" s="125">
        <v>0</v>
      </c>
      <c r="AG53" s="125">
        <v>0</v>
      </c>
      <c r="AH53" s="125">
        <v>0</v>
      </c>
      <c r="AI53" s="125">
        <v>0</v>
      </c>
      <c r="AJ53" s="125">
        <v>0</v>
      </c>
      <c r="AK53" s="125">
        <v>0</v>
      </c>
      <c r="AL53" s="125">
        <v>0</v>
      </c>
      <c r="AM53" s="125">
        <v>0</v>
      </c>
      <c r="AN53" s="125">
        <v>0</v>
      </c>
      <c r="AO53" s="125">
        <v>0</v>
      </c>
      <c r="AP53" s="125">
        <v>0</v>
      </c>
      <c r="AQ53" s="125">
        <v>0</v>
      </c>
      <c r="AR53" s="125">
        <v>0</v>
      </c>
      <c r="AS53" s="125">
        <v>0</v>
      </c>
      <c r="AT53" s="125">
        <v>0</v>
      </c>
      <c r="AU53" s="125">
        <v>0</v>
      </c>
      <c r="AV53" s="125">
        <v>0</v>
      </c>
      <c r="AW53" s="125">
        <v>0</v>
      </c>
      <c r="AX53" s="125">
        <v>0</v>
      </c>
      <c r="AY53" s="125">
        <v>0</v>
      </c>
      <c r="AZ53">
        <f>SUM($D$53:$AY$53)</f>
        <v>0</v>
      </c>
    </row>
    <row r="54" spans="1:52" x14ac:dyDescent="0.2">
      <c r="A54" s="139"/>
      <c r="B54" s="154" t="s">
        <v>350</v>
      </c>
      <c r="C54" s="139"/>
      <c r="D54" s="139">
        <v>0</v>
      </c>
      <c r="E54" s="139">
        <v>0</v>
      </c>
      <c r="F54" s="139">
        <v>0</v>
      </c>
      <c r="G54" s="139">
        <v>0</v>
      </c>
      <c r="H54" s="139">
        <v>0</v>
      </c>
      <c r="I54" s="139">
        <v>0</v>
      </c>
      <c r="J54" s="139">
        <v>0</v>
      </c>
      <c r="K54" s="139">
        <v>0</v>
      </c>
      <c r="L54" s="139">
        <v>0</v>
      </c>
      <c r="M54" s="139">
        <v>0</v>
      </c>
      <c r="N54" s="139">
        <v>0</v>
      </c>
      <c r="O54" s="139">
        <v>0</v>
      </c>
      <c r="P54" s="139">
        <v>0</v>
      </c>
      <c r="Q54" s="139">
        <v>0</v>
      </c>
      <c r="R54" s="139">
        <v>0</v>
      </c>
      <c r="S54" s="139">
        <v>0</v>
      </c>
      <c r="T54" s="139">
        <v>0</v>
      </c>
      <c r="U54" s="139">
        <v>0</v>
      </c>
      <c r="V54" s="139">
        <v>0</v>
      </c>
      <c r="W54" s="139">
        <v>0</v>
      </c>
      <c r="X54" s="139">
        <v>0</v>
      </c>
      <c r="Y54" s="139">
        <v>0</v>
      </c>
      <c r="Z54" s="139">
        <v>0</v>
      </c>
      <c r="AA54" s="139">
        <v>0</v>
      </c>
      <c r="AB54" s="139">
        <v>0</v>
      </c>
      <c r="AC54" s="139">
        <v>0</v>
      </c>
      <c r="AD54" s="139">
        <v>0</v>
      </c>
      <c r="AE54" s="139">
        <v>0</v>
      </c>
      <c r="AF54" s="139">
        <v>0</v>
      </c>
      <c r="AG54" s="139">
        <v>0</v>
      </c>
      <c r="AH54" s="139">
        <v>0</v>
      </c>
      <c r="AI54" s="139">
        <v>0</v>
      </c>
      <c r="AJ54" s="139">
        <v>0</v>
      </c>
      <c r="AK54" s="139">
        <v>0</v>
      </c>
      <c r="AL54" s="139">
        <v>0</v>
      </c>
      <c r="AM54" s="139">
        <v>0</v>
      </c>
      <c r="AN54" s="139">
        <v>0</v>
      </c>
      <c r="AO54" s="139">
        <v>0</v>
      </c>
      <c r="AP54" s="139">
        <v>0</v>
      </c>
      <c r="AQ54" s="139">
        <v>0</v>
      </c>
      <c r="AR54" s="139">
        <v>0</v>
      </c>
      <c r="AS54" s="139">
        <v>0</v>
      </c>
      <c r="AT54" s="139">
        <v>0</v>
      </c>
      <c r="AU54" s="139">
        <v>0</v>
      </c>
      <c r="AV54" s="139">
        <v>0</v>
      </c>
      <c r="AW54" s="139">
        <v>0</v>
      </c>
      <c r="AX54" s="139">
        <v>0</v>
      </c>
      <c r="AY54" s="139">
        <v>0</v>
      </c>
      <c r="AZ54">
        <f>SUM($D$54:$AY$54)</f>
        <v>0</v>
      </c>
    </row>
  </sheetData>
  <pageMargins left="0.75" right="0.75" top="1" bottom="1" header="0.5" footer="0.5"/>
  <pageSetup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Z54"/>
  <sheetViews>
    <sheetView workbookViewId="0">
      <pane xSplit="2" ySplit="6" topLeftCell="C7" activePane="bottomRight" state="frozen"/>
      <selection pane="topRight"/>
      <selection pane="bottomLeft"/>
      <selection pane="bottomRight" activeCell="C27" sqref="C27:C29"/>
    </sheetView>
  </sheetViews>
  <sheetFormatPr defaultRowHeight="12.75" x14ac:dyDescent="0.2"/>
  <cols>
    <col min="1" max="1" width="14.7109375" customWidth="1"/>
    <col min="2" max="2" width="17.7109375" customWidth="1"/>
    <col min="52" max="52" width="10.7109375" customWidth="1"/>
  </cols>
  <sheetData>
    <row r="1" spans="1:52" x14ac:dyDescent="0.2">
      <c r="A1" s="1" t="s">
        <v>118</v>
      </c>
    </row>
    <row r="2" spans="1:52" x14ac:dyDescent="0.2">
      <c r="A2" t="s">
        <v>303</v>
      </c>
      <c r="B2" s="122" t="s">
        <v>10</v>
      </c>
      <c r="E2" s="125"/>
    </row>
    <row r="3" spans="1:52" x14ac:dyDescent="0.2">
      <c r="A3" t="s">
        <v>286</v>
      </c>
      <c r="B3" s="122">
        <v>500</v>
      </c>
      <c r="E3" s="125"/>
    </row>
    <row r="4" spans="1:52" x14ac:dyDescent="0.2">
      <c r="A4" s="1"/>
      <c r="C4" s="9" t="s">
        <v>287</v>
      </c>
    </row>
    <row r="5" spans="1:52" x14ac:dyDescent="0.2">
      <c r="B5" s="121"/>
      <c r="C5" s="126">
        <v>0</v>
      </c>
      <c r="D5" s="126">
        <v>1</v>
      </c>
      <c r="E5" s="126">
        <v>2</v>
      </c>
      <c r="F5" s="126">
        <v>3</v>
      </c>
      <c r="G5" s="126">
        <v>4</v>
      </c>
      <c r="H5" s="126">
        <v>5</v>
      </c>
      <c r="I5" s="126">
        <v>6</v>
      </c>
      <c r="J5" s="126">
        <v>7</v>
      </c>
      <c r="K5" s="126">
        <v>8</v>
      </c>
      <c r="L5" s="126">
        <v>9</v>
      </c>
      <c r="M5" s="126">
        <v>10</v>
      </c>
      <c r="N5" s="126">
        <v>11</v>
      </c>
      <c r="O5" s="126">
        <v>12</v>
      </c>
      <c r="P5" s="126">
        <v>13</v>
      </c>
      <c r="Q5" s="126">
        <v>14</v>
      </c>
      <c r="R5" s="126">
        <v>15</v>
      </c>
      <c r="S5" s="126">
        <v>16</v>
      </c>
      <c r="T5" s="126">
        <v>17</v>
      </c>
      <c r="U5" s="126">
        <v>18</v>
      </c>
      <c r="V5" s="126">
        <v>19</v>
      </c>
      <c r="W5" s="126">
        <v>20</v>
      </c>
      <c r="X5" s="126">
        <v>21</v>
      </c>
      <c r="Y5" s="126">
        <v>22</v>
      </c>
      <c r="Z5" s="126">
        <v>23</v>
      </c>
      <c r="AA5" s="126">
        <v>24</v>
      </c>
      <c r="AB5" s="126">
        <v>25</v>
      </c>
      <c r="AC5" s="126">
        <v>26</v>
      </c>
      <c r="AD5" s="126">
        <v>27</v>
      </c>
      <c r="AE5" s="126">
        <v>28</v>
      </c>
      <c r="AF5" s="126">
        <v>29</v>
      </c>
      <c r="AG5" s="126">
        <v>30</v>
      </c>
      <c r="AH5" s="126">
        <v>31</v>
      </c>
      <c r="AI5" s="126">
        <v>32</v>
      </c>
      <c r="AJ5" s="126">
        <v>33</v>
      </c>
      <c r="AK5" s="126">
        <v>34</v>
      </c>
      <c r="AL5" s="126">
        <v>35</v>
      </c>
      <c r="AM5" s="126">
        <v>36</v>
      </c>
      <c r="AN5" s="126">
        <v>37</v>
      </c>
      <c r="AO5" s="126">
        <v>38</v>
      </c>
      <c r="AP5" s="126">
        <v>39</v>
      </c>
      <c r="AQ5" s="126">
        <v>40</v>
      </c>
      <c r="AR5" s="126">
        <v>41</v>
      </c>
      <c r="AS5" s="126">
        <v>42</v>
      </c>
      <c r="AT5" s="126">
        <v>43</v>
      </c>
      <c r="AU5" s="126">
        <v>44</v>
      </c>
      <c r="AV5" s="126">
        <v>45</v>
      </c>
      <c r="AW5" s="126">
        <v>46</v>
      </c>
      <c r="AX5" s="126">
        <v>47</v>
      </c>
      <c r="AY5" s="126">
        <v>48</v>
      </c>
    </row>
    <row r="6" spans="1:52" x14ac:dyDescent="0.2">
      <c r="A6" s="1" t="s">
        <v>304</v>
      </c>
      <c r="B6" s="128"/>
      <c r="C6" s="127" t="s">
        <v>288</v>
      </c>
      <c r="D6" s="126" t="s">
        <v>289</v>
      </c>
      <c r="E6" s="126" t="s">
        <v>289</v>
      </c>
      <c r="F6" s="126" t="s">
        <v>289</v>
      </c>
      <c r="G6" s="126" t="s">
        <v>289</v>
      </c>
      <c r="H6" s="126" t="s">
        <v>289</v>
      </c>
      <c r="I6" s="126" t="s">
        <v>289</v>
      </c>
      <c r="J6" s="126" t="s">
        <v>289</v>
      </c>
      <c r="K6" s="126" t="s">
        <v>289</v>
      </c>
      <c r="L6" s="126" t="s">
        <v>289</v>
      </c>
      <c r="M6" s="126" t="s">
        <v>289</v>
      </c>
      <c r="N6" s="126" t="s">
        <v>289</v>
      </c>
      <c r="O6" s="126" t="s">
        <v>289</v>
      </c>
      <c r="P6" s="126" t="s">
        <v>289</v>
      </c>
      <c r="Q6" s="126" t="s">
        <v>289</v>
      </c>
      <c r="R6" s="126" t="s">
        <v>289</v>
      </c>
      <c r="S6" s="126" t="s">
        <v>289</v>
      </c>
      <c r="T6" s="126" t="s">
        <v>289</v>
      </c>
      <c r="U6" s="126" t="s">
        <v>289</v>
      </c>
      <c r="V6" s="126" t="s">
        <v>289</v>
      </c>
      <c r="W6" s="126" t="s">
        <v>289</v>
      </c>
      <c r="X6" s="126" t="s">
        <v>289</v>
      </c>
      <c r="Y6" s="126" t="s">
        <v>289</v>
      </c>
      <c r="Z6" s="126" t="s">
        <v>289</v>
      </c>
      <c r="AA6" s="126" t="s">
        <v>289</v>
      </c>
      <c r="AB6" s="126" t="s">
        <v>289</v>
      </c>
      <c r="AC6" s="126" t="s">
        <v>289</v>
      </c>
      <c r="AD6" s="126" t="s">
        <v>289</v>
      </c>
      <c r="AE6" s="126" t="s">
        <v>289</v>
      </c>
      <c r="AF6" s="126" t="s">
        <v>289</v>
      </c>
      <c r="AG6" s="126" t="s">
        <v>289</v>
      </c>
      <c r="AH6" s="126" t="s">
        <v>289</v>
      </c>
      <c r="AI6" s="126" t="s">
        <v>289</v>
      </c>
      <c r="AJ6" s="126" t="s">
        <v>289</v>
      </c>
      <c r="AK6" s="126" t="s">
        <v>289</v>
      </c>
      <c r="AL6" s="126" t="s">
        <v>289</v>
      </c>
      <c r="AM6" s="126" t="s">
        <v>289</v>
      </c>
      <c r="AN6" s="126" t="s">
        <v>289</v>
      </c>
      <c r="AO6" s="126" t="s">
        <v>289</v>
      </c>
      <c r="AP6" s="126" t="s">
        <v>289</v>
      </c>
      <c r="AQ6" s="126" t="s">
        <v>289</v>
      </c>
      <c r="AR6" s="126" t="s">
        <v>289</v>
      </c>
      <c r="AS6" s="126" t="s">
        <v>289</v>
      </c>
      <c r="AT6" s="126" t="s">
        <v>289</v>
      </c>
      <c r="AU6" s="126" t="s">
        <v>289</v>
      </c>
      <c r="AV6" s="126" t="s">
        <v>289</v>
      </c>
      <c r="AW6" s="126" t="s">
        <v>289</v>
      </c>
      <c r="AX6" s="126" t="s">
        <v>289</v>
      </c>
      <c r="AY6" s="9" t="s">
        <v>290</v>
      </c>
      <c r="AZ6" s="156" t="s">
        <v>150</v>
      </c>
    </row>
    <row r="7" spans="1:52" x14ac:dyDescent="0.2">
      <c r="A7" s="129" t="s">
        <v>125</v>
      </c>
      <c r="B7" s="157">
        <v>1</v>
      </c>
      <c r="C7" s="158" t="s">
        <v>293</v>
      </c>
      <c r="D7" s="158">
        <v>2297.5248854208444</v>
      </c>
      <c r="E7" s="158">
        <v>2297.5248854208444</v>
      </c>
      <c r="F7" s="158">
        <v>2297.5248854208444</v>
      </c>
      <c r="G7" s="158">
        <v>2297.5248854208444</v>
      </c>
      <c r="H7" s="158">
        <v>2150.4899288758093</v>
      </c>
      <c r="I7" s="158">
        <v>2150.4899288758093</v>
      </c>
      <c r="J7" s="158">
        <v>2150.4899288758093</v>
      </c>
      <c r="K7" s="158">
        <v>2150.4899288758093</v>
      </c>
      <c r="L7" s="158">
        <v>2297.5248854208444</v>
      </c>
      <c r="M7" s="158">
        <v>2297.5248854208444</v>
      </c>
      <c r="N7" s="158">
        <v>2297.5248854208444</v>
      </c>
      <c r="O7" s="158">
        <v>2297.5248854208444</v>
      </c>
      <c r="P7" s="158">
        <v>1768.5983709015709</v>
      </c>
      <c r="Q7" s="158">
        <v>1768.5983709015709</v>
      </c>
      <c r="R7" s="158">
        <v>1768.5983709015709</v>
      </c>
      <c r="S7" s="158">
        <v>1768.5983709015709</v>
      </c>
      <c r="T7" s="158">
        <v>1915.6333274466058</v>
      </c>
      <c r="U7" s="158">
        <v>1915.6333274466058</v>
      </c>
      <c r="V7" s="158">
        <v>1915.6333274466058</v>
      </c>
      <c r="W7" s="158">
        <v>1915.6333274466058</v>
      </c>
      <c r="X7" s="158">
        <v>1915.6333274466058</v>
      </c>
      <c r="Y7" s="158">
        <v>1084.3228319851967</v>
      </c>
      <c r="Z7" s="158">
        <v>1915.6333274466058</v>
      </c>
      <c r="AA7" s="158">
        <v>1915.6333274466058</v>
      </c>
      <c r="AB7" s="158">
        <v>2150.4899288758093</v>
      </c>
      <c r="AC7" s="158">
        <v>2056.6134060644495</v>
      </c>
      <c r="AD7" s="158">
        <v>2056.7877620077934</v>
      </c>
      <c r="AE7" s="158">
        <v>2056.9614033243911</v>
      </c>
      <c r="AF7" s="158">
        <v>2297.5248854208444</v>
      </c>
      <c r="AG7" s="158">
        <v>2297.5248854208444</v>
      </c>
      <c r="AH7" s="158">
        <v>2297.5248854208444</v>
      </c>
      <c r="AI7" s="158">
        <v>2297.5248854208444</v>
      </c>
      <c r="AJ7" s="158">
        <v>1915.6333274466058</v>
      </c>
      <c r="AK7" s="158">
        <v>1915.6333274466058</v>
      </c>
      <c r="AL7" s="158">
        <v>1915.6333274466058</v>
      </c>
      <c r="AM7" s="158">
        <v>1093.0147480391329</v>
      </c>
      <c r="AN7" s="158">
        <v>1154.2190744705672</v>
      </c>
      <c r="AO7" s="158">
        <v>1154.8135609836588</v>
      </c>
      <c r="AP7" s="158">
        <v>1155.404387382029</v>
      </c>
      <c r="AQ7" s="158">
        <v>1976.2396032278557</v>
      </c>
      <c r="AR7" s="158">
        <v>1829.2046466828208</v>
      </c>
      <c r="AS7" s="158">
        <v>1010.1189986744671</v>
      </c>
      <c r="AT7" s="158">
        <v>1010.6942370993559</v>
      </c>
      <c r="AU7" s="158">
        <v>1011.2653448659871</v>
      </c>
      <c r="AV7" s="158">
        <v>2297.5248854208444</v>
      </c>
      <c r="AW7" s="158">
        <v>2297.5248854208444</v>
      </c>
      <c r="AX7" s="158">
        <v>2297.5248854208444</v>
      </c>
      <c r="AY7" s="158">
        <v>2297.5248854208444</v>
      </c>
      <c r="AZ7" s="121"/>
    </row>
    <row r="8" spans="1:52" x14ac:dyDescent="0.2">
      <c r="A8" s="159"/>
      <c r="B8" s="160"/>
      <c r="C8" s="159"/>
      <c r="D8" s="159"/>
      <c r="E8" s="159"/>
      <c r="F8" s="159"/>
      <c r="G8" s="159"/>
      <c r="H8" s="159"/>
      <c r="I8" s="159"/>
      <c r="J8" s="159"/>
      <c r="K8" s="159"/>
      <c r="L8" s="159"/>
      <c r="M8" s="159"/>
      <c r="N8" s="159"/>
      <c r="O8" s="159"/>
      <c r="P8" s="159"/>
      <c r="Q8" s="159"/>
      <c r="R8" s="159"/>
      <c r="S8" s="159"/>
      <c r="T8" s="159"/>
      <c r="U8" s="159"/>
      <c r="V8" s="159"/>
      <c r="W8" s="159"/>
      <c r="X8" s="159"/>
      <c r="Y8" s="159"/>
      <c r="Z8" s="159"/>
      <c r="AA8" s="159"/>
      <c r="AB8" s="159"/>
      <c r="AC8" s="159"/>
      <c r="AD8" s="159"/>
      <c r="AE8" s="159"/>
      <c r="AF8" s="159"/>
      <c r="AG8" s="159"/>
      <c r="AH8" s="159"/>
      <c r="AI8" s="159"/>
      <c r="AJ8" s="159"/>
      <c r="AK8" s="159"/>
      <c r="AL8" s="159"/>
      <c r="AM8" s="159"/>
      <c r="AN8" s="159"/>
      <c r="AO8" s="159"/>
      <c r="AP8" s="159"/>
      <c r="AQ8" s="159"/>
      <c r="AR8" s="159"/>
      <c r="AS8" s="159"/>
      <c r="AT8" s="159"/>
      <c r="AU8" s="159"/>
      <c r="AV8" s="159"/>
      <c r="AW8" s="159"/>
      <c r="AX8" s="159"/>
      <c r="AY8" s="159"/>
      <c r="AZ8" s="161"/>
    </row>
    <row r="9" spans="1:52" x14ac:dyDescent="0.2">
      <c r="A9" s="1" t="s">
        <v>294</v>
      </c>
      <c r="B9" s="162"/>
      <c r="C9" s="121"/>
      <c r="D9" s="121"/>
      <c r="E9" s="121"/>
      <c r="F9" s="121"/>
      <c r="G9" s="121"/>
      <c r="H9" s="121"/>
      <c r="I9" s="121"/>
      <c r="J9" s="121"/>
      <c r="K9" s="121"/>
      <c r="L9" s="121"/>
      <c r="M9" s="121"/>
      <c r="N9" s="121"/>
      <c r="O9" s="121"/>
      <c r="P9" s="121"/>
      <c r="Q9" s="121"/>
      <c r="R9" s="121"/>
      <c r="S9" s="121"/>
      <c r="T9" s="121"/>
      <c r="U9" s="121"/>
      <c r="V9" s="121"/>
      <c r="W9" s="121"/>
      <c r="X9" s="121"/>
      <c r="Y9" s="121"/>
      <c r="Z9" s="121"/>
      <c r="AA9" s="121"/>
      <c r="AB9" s="121"/>
      <c r="AC9" s="121"/>
      <c r="AD9" s="121"/>
      <c r="AE9" s="121"/>
      <c r="AF9" s="121"/>
      <c r="AG9" s="121"/>
      <c r="AH9" s="121"/>
      <c r="AI9" s="121"/>
      <c r="AJ9" s="121"/>
      <c r="AK9" s="121"/>
      <c r="AL9" s="121"/>
      <c r="AM9" s="121"/>
      <c r="AN9" s="121"/>
      <c r="AO9" s="121"/>
      <c r="AP9" s="121"/>
      <c r="AQ9" s="121"/>
      <c r="AR9" s="121"/>
      <c r="AS9" s="121"/>
      <c r="AT9" s="121"/>
      <c r="AU9" s="121"/>
      <c r="AV9" s="121"/>
      <c r="AW9" s="121"/>
      <c r="AX9" s="121"/>
      <c r="AY9" s="121"/>
      <c r="AZ9" s="121"/>
    </row>
    <row r="10" spans="1:52" x14ac:dyDescent="0.2">
      <c r="A10" s="163" t="s">
        <v>125</v>
      </c>
      <c r="B10" s="164">
        <v>1</v>
      </c>
      <c r="C10" s="158" t="s">
        <v>293</v>
      </c>
      <c r="D10" s="158">
        <f t="shared" ref="D10:AY10" si="0">MAX(SUM(D$14:D$16)+D$7-$B$3,0)</f>
        <v>1797.5248854208444</v>
      </c>
      <c r="E10" s="158">
        <f t="shared" si="0"/>
        <v>1797.5248854208444</v>
      </c>
      <c r="F10" s="158">
        <f t="shared" si="0"/>
        <v>1797.5248854208444</v>
      </c>
      <c r="G10" s="158">
        <f t="shared" si="0"/>
        <v>1797.5248854208444</v>
      </c>
      <c r="H10" s="158">
        <f t="shared" si="0"/>
        <v>1650.4899288758093</v>
      </c>
      <c r="I10" s="158">
        <f t="shared" si="0"/>
        <v>1650.4899288758093</v>
      </c>
      <c r="J10" s="158">
        <f t="shared" si="0"/>
        <v>1650.4899288758093</v>
      </c>
      <c r="K10" s="158">
        <f t="shared" si="0"/>
        <v>1650.4899288758093</v>
      </c>
      <c r="L10" s="158">
        <f t="shared" si="0"/>
        <v>1797.5248854208444</v>
      </c>
      <c r="M10" s="158">
        <f t="shared" si="0"/>
        <v>1797.5248854208444</v>
      </c>
      <c r="N10" s="158">
        <f t="shared" si="0"/>
        <v>1797.5248854208444</v>
      </c>
      <c r="O10" s="158">
        <f t="shared" si="0"/>
        <v>1797.5248854208444</v>
      </c>
      <c r="P10" s="158">
        <f t="shared" si="0"/>
        <v>1268.5983709015709</v>
      </c>
      <c r="Q10" s="158">
        <f t="shared" si="0"/>
        <v>1268.5983709015709</v>
      </c>
      <c r="R10" s="158">
        <f t="shared" si="0"/>
        <v>1268.5983709015709</v>
      </c>
      <c r="S10" s="158">
        <f t="shared" si="0"/>
        <v>1268.5983709015709</v>
      </c>
      <c r="T10" s="158">
        <f t="shared" si="0"/>
        <v>1415.6333274466058</v>
      </c>
      <c r="U10" s="158">
        <f t="shared" si="0"/>
        <v>1415.6333274466058</v>
      </c>
      <c r="V10" s="158">
        <f t="shared" si="0"/>
        <v>1415.6333274466058</v>
      </c>
      <c r="W10" s="158">
        <f t="shared" si="0"/>
        <v>1415.6333274466058</v>
      </c>
      <c r="X10" s="158">
        <f t="shared" si="0"/>
        <v>1415.6333274466058</v>
      </c>
      <c r="Y10" s="158">
        <f t="shared" si="0"/>
        <v>584.32283198519667</v>
      </c>
      <c r="Z10" s="158">
        <f t="shared" si="0"/>
        <v>1415.6333274466058</v>
      </c>
      <c r="AA10" s="158">
        <f t="shared" si="0"/>
        <v>1415.6333274466058</v>
      </c>
      <c r="AB10" s="158">
        <f t="shared" si="0"/>
        <v>1650.4899288758093</v>
      </c>
      <c r="AC10" s="158">
        <f t="shared" si="0"/>
        <v>1556.6134060644495</v>
      </c>
      <c r="AD10" s="158">
        <f t="shared" si="0"/>
        <v>1556.7877620077934</v>
      </c>
      <c r="AE10" s="158">
        <f t="shared" si="0"/>
        <v>1556.9614033243911</v>
      </c>
      <c r="AF10" s="158">
        <f t="shared" si="0"/>
        <v>1797.5248854208444</v>
      </c>
      <c r="AG10" s="158">
        <f t="shared" si="0"/>
        <v>1797.5248854208444</v>
      </c>
      <c r="AH10" s="158">
        <f t="shared" si="0"/>
        <v>1797.5248854208444</v>
      </c>
      <c r="AI10" s="158">
        <f t="shared" si="0"/>
        <v>1797.5248854208444</v>
      </c>
      <c r="AJ10" s="158">
        <f t="shared" si="0"/>
        <v>1415.6333274466058</v>
      </c>
      <c r="AK10" s="158">
        <f t="shared" si="0"/>
        <v>1415.6333274466058</v>
      </c>
      <c r="AL10" s="158">
        <f t="shared" si="0"/>
        <v>1415.6333274466058</v>
      </c>
      <c r="AM10" s="158">
        <f t="shared" si="0"/>
        <v>593.01474803913288</v>
      </c>
      <c r="AN10" s="158">
        <f t="shared" si="0"/>
        <v>654.21907447056719</v>
      </c>
      <c r="AO10" s="158">
        <f t="shared" si="0"/>
        <v>654.81356098365882</v>
      </c>
      <c r="AP10" s="158">
        <f t="shared" si="0"/>
        <v>655.40438738202897</v>
      </c>
      <c r="AQ10" s="158">
        <f t="shared" si="0"/>
        <v>1476.2396032278557</v>
      </c>
      <c r="AR10" s="158">
        <f t="shared" si="0"/>
        <v>1329.2046466828208</v>
      </c>
      <c r="AS10" s="158">
        <f t="shared" si="0"/>
        <v>510.11899867446709</v>
      </c>
      <c r="AT10" s="158">
        <f t="shared" si="0"/>
        <v>510.69423709935586</v>
      </c>
      <c r="AU10" s="158">
        <f t="shared" si="0"/>
        <v>511.26534486598712</v>
      </c>
      <c r="AV10" s="158">
        <f t="shared" si="0"/>
        <v>1797.5248854208444</v>
      </c>
      <c r="AW10" s="158">
        <f t="shared" si="0"/>
        <v>1797.5248854208444</v>
      </c>
      <c r="AX10" s="158">
        <f t="shared" si="0"/>
        <v>1797.5248854208444</v>
      </c>
      <c r="AY10" s="158">
        <f t="shared" si="0"/>
        <v>1797.5248854208444</v>
      </c>
      <c r="AZ10" s="165">
        <f>SUM($D10:$AY10)</f>
        <v>68393.234573992624</v>
      </c>
    </row>
    <row r="11" spans="1:52" x14ac:dyDescent="0.2">
      <c r="C11" s="125"/>
    </row>
    <row r="12" spans="1:52" x14ac:dyDescent="0.2">
      <c r="A12" s="166" t="s">
        <v>295</v>
      </c>
      <c r="B12" s="160"/>
      <c r="C12" s="125"/>
    </row>
    <row r="13" spans="1:52" x14ac:dyDescent="0.2">
      <c r="A13" s="136" t="s">
        <v>125</v>
      </c>
      <c r="B13" s="137">
        <v>1</v>
      </c>
      <c r="C13" s="138">
        <v>514</v>
      </c>
      <c r="D13" s="152">
        <f t="shared" ref="D13:AY13" si="1">D$7-D$10</f>
        <v>500</v>
      </c>
      <c r="E13" s="152">
        <f t="shared" si="1"/>
        <v>500</v>
      </c>
      <c r="F13" s="152">
        <f t="shared" si="1"/>
        <v>500</v>
      </c>
      <c r="G13" s="152">
        <f t="shared" si="1"/>
        <v>500</v>
      </c>
      <c r="H13" s="152">
        <f t="shared" si="1"/>
        <v>500</v>
      </c>
      <c r="I13" s="152">
        <f t="shared" si="1"/>
        <v>500</v>
      </c>
      <c r="J13" s="152">
        <f t="shared" si="1"/>
        <v>500</v>
      </c>
      <c r="K13" s="152">
        <f t="shared" si="1"/>
        <v>500</v>
      </c>
      <c r="L13" s="152">
        <f t="shared" si="1"/>
        <v>500</v>
      </c>
      <c r="M13" s="152">
        <f t="shared" si="1"/>
        <v>500</v>
      </c>
      <c r="N13" s="152">
        <f t="shared" si="1"/>
        <v>500</v>
      </c>
      <c r="O13" s="152">
        <f t="shared" si="1"/>
        <v>500</v>
      </c>
      <c r="P13" s="152">
        <f t="shared" si="1"/>
        <v>500</v>
      </c>
      <c r="Q13" s="152">
        <f t="shared" si="1"/>
        <v>500</v>
      </c>
      <c r="R13" s="152">
        <f t="shared" si="1"/>
        <v>500</v>
      </c>
      <c r="S13" s="152">
        <f t="shared" si="1"/>
        <v>500</v>
      </c>
      <c r="T13" s="152">
        <f t="shared" si="1"/>
        <v>500</v>
      </c>
      <c r="U13" s="152">
        <f t="shared" si="1"/>
        <v>500</v>
      </c>
      <c r="V13" s="152">
        <f t="shared" si="1"/>
        <v>500</v>
      </c>
      <c r="W13" s="152">
        <f t="shared" si="1"/>
        <v>500</v>
      </c>
      <c r="X13" s="152">
        <f t="shared" si="1"/>
        <v>500</v>
      </c>
      <c r="Y13" s="152">
        <f t="shared" si="1"/>
        <v>500</v>
      </c>
      <c r="Z13" s="152">
        <f t="shared" si="1"/>
        <v>500</v>
      </c>
      <c r="AA13" s="152">
        <f t="shared" si="1"/>
        <v>500</v>
      </c>
      <c r="AB13" s="152">
        <f t="shared" si="1"/>
        <v>500</v>
      </c>
      <c r="AC13" s="152">
        <f t="shared" si="1"/>
        <v>500</v>
      </c>
      <c r="AD13" s="152">
        <f t="shared" si="1"/>
        <v>500</v>
      </c>
      <c r="AE13" s="152">
        <f t="shared" si="1"/>
        <v>500</v>
      </c>
      <c r="AF13" s="152">
        <f t="shared" si="1"/>
        <v>500</v>
      </c>
      <c r="AG13" s="152">
        <f t="shared" si="1"/>
        <v>500</v>
      </c>
      <c r="AH13" s="152">
        <f t="shared" si="1"/>
        <v>500</v>
      </c>
      <c r="AI13" s="152">
        <f t="shared" si="1"/>
        <v>500</v>
      </c>
      <c r="AJ13" s="152">
        <f t="shared" si="1"/>
        <v>500</v>
      </c>
      <c r="AK13" s="152">
        <f t="shared" si="1"/>
        <v>500</v>
      </c>
      <c r="AL13" s="152">
        <f t="shared" si="1"/>
        <v>500</v>
      </c>
      <c r="AM13" s="152">
        <f t="shared" si="1"/>
        <v>500</v>
      </c>
      <c r="AN13" s="152">
        <f t="shared" si="1"/>
        <v>500</v>
      </c>
      <c r="AO13" s="152">
        <f t="shared" si="1"/>
        <v>500</v>
      </c>
      <c r="AP13" s="152">
        <f t="shared" si="1"/>
        <v>500</v>
      </c>
      <c r="AQ13" s="152">
        <f t="shared" si="1"/>
        <v>500</v>
      </c>
      <c r="AR13" s="152">
        <f t="shared" si="1"/>
        <v>500</v>
      </c>
      <c r="AS13" s="152">
        <f t="shared" si="1"/>
        <v>500</v>
      </c>
      <c r="AT13" s="152">
        <f t="shared" si="1"/>
        <v>500</v>
      </c>
      <c r="AU13" s="152">
        <f t="shared" si="1"/>
        <v>500</v>
      </c>
      <c r="AV13" s="152">
        <f t="shared" si="1"/>
        <v>500</v>
      </c>
      <c r="AW13" s="152">
        <f t="shared" si="1"/>
        <v>500</v>
      </c>
      <c r="AX13" s="152">
        <f t="shared" si="1"/>
        <v>500</v>
      </c>
      <c r="AY13" s="152">
        <f t="shared" si="1"/>
        <v>500</v>
      </c>
      <c r="AZ13" s="124"/>
    </row>
    <row r="14" spans="1:52" x14ac:dyDescent="0.2">
      <c r="A14" s="125"/>
      <c r="B14" s="134">
        <v>2</v>
      </c>
      <c r="C14" s="125">
        <v>0</v>
      </c>
      <c r="D14" s="121">
        <f>IF(C$20="Yes",C13,0)</f>
        <v>0</v>
      </c>
      <c r="E14" s="121">
        <f t="shared" ref="E14:AY17" si="2">IF(D$20="Yes",D13,0)</f>
        <v>0</v>
      </c>
      <c r="F14" s="121">
        <f t="shared" si="2"/>
        <v>0</v>
      </c>
      <c r="G14" s="121">
        <f t="shared" si="2"/>
        <v>0</v>
      </c>
      <c r="H14" s="121">
        <f t="shared" si="2"/>
        <v>0</v>
      </c>
      <c r="I14" s="121">
        <f t="shared" si="2"/>
        <v>0</v>
      </c>
      <c r="J14" s="121">
        <f t="shared" si="2"/>
        <v>0</v>
      </c>
      <c r="K14" s="121">
        <f t="shared" si="2"/>
        <v>0</v>
      </c>
      <c r="L14" s="121">
        <f t="shared" si="2"/>
        <v>0</v>
      </c>
      <c r="M14" s="121">
        <f t="shared" si="2"/>
        <v>0</v>
      </c>
      <c r="N14" s="121">
        <f t="shared" si="2"/>
        <v>0</v>
      </c>
      <c r="O14" s="121">
        <f t="shared" si="2"/>
        <v>0</v>
      </c>
      <c r="P14" s="121">
        <f t="shared" si="2"/>
        <v>0</v>
      </c>
      <c r="Q14" s="121">
        <f t="shared" si="2"/>
        <v>0</v>
      </c>
      <c r="R14" s="121">
        <f t="shared" si="2"/>
        <v>0</v>
      </c>
      <c r="S14" s="121">
        <f t="shared" si="2"/>
        <v>0</v>
      </c>
      <c r="T14" s="121">
        <f t="shared" si="2"/>
        <v>0</v>
      </c>
      <c r="U14" s="121">
        <f t="shared" si="2"/>
        <v>0</v>
      </c>
      <c r="V14" s="121">
        <f t="shared" si="2"/>
        <v>0</v>
      </c>
      <c r="W14" s="121">
        <f t="shared" si="2"/>
        <v>0</v>
      </c>
      <c r="X14" s="121">
        <f t="shared" si="2"/>
        <v>0</v>
      </c>
      <c r="Y14" s="121">
        <f t="shared" si="2"/>
        <v>0</v>
      </c>
      <c r="Z14" s="121">
        <f t="shared" si="2"/>
        <v>0</v>
      </c>
      <c r="AA14" s="121">
        <f t="shared" si="2"/>
        <v>0</v>
      </c>
      <c r="AB14" s="121">
        <f t="shared" si="2"/>
        <v>0</v>
      </c>
      <c r="AC14" s="121">
        <f t="shared" si="2"/>
        <v>0</v>
      </c>
      <c r="AD14" s="121">
        <f t="shared" si="2"/>
        <v>0</v>
      </c>
      <c r="AE14" s="121">
        <f t="shared" si="2"/>
        <v>0</v>
      </c>
      <c r="AF14" s="121">
        <f t="shared" si="2"/>
        <v>0</v>
      </c>
      <c r="AG14" s="121">
        <f t="shared" si="2"/>
        <v>0</v>
      </c>
      <c r="AH14" s="121">
        <f t="shared" si="2"/>
        <v>0</v>
      </c>
      <c r="AI14" s="121">
        <f t="shared" si="2"/>
        <v>0</v>
      </c>
      <c r="AJ14" s="121">
        <f t="shared" si="2"/>
        <v>0</v>
      </c>
      <c r="AK14" s="121">
        <f t="shared" si="2"/>
        <v>0</v>
      </c>
      <c r="AL14" s="121">
        <f t="shared" si="2"/>
        <v>0</v>
      </c>
      <c r="AM14" s="121">
        <f t="shared" si="2"/>
        <v>0</v>
      </c>
      <c r="AN14" s="121">
        <f t="shared" si="2"/>
        <v>0</v>
      </c>
      <c r="AO14" s="121">
        <f t="shared" si="2"/>
        <v>0</v>
      </c>
      <c r="AP14" s="121">
        <f t="shared" si="2"/>
        <v>0</v>
      </c>
      <c r="AQ14" s="121">
        <f t="shared" si="2"/>
        <v>0</v>
      </c>
      <c r="AR14" s="121">
        <f t="shared" si="2"/>
        <v>0</v>
      </c>
      <c r="AS14" s="121">
        <f t="shared" si="2"/>
        <v>0</v>
      </c>
      <c r="AT14" s="121">
        <f t="shared" si="2"/>
        <v>0</v>
      </c>
      <c r="AU14" s="121">
        <f t="shared" si="2"/>
        <v>0</v>
      </c>
      <c r="AV14" s="121">
        <f t="shared" si="2"/>
        <v>0</v>
      </c>
      <c r="AW14" s="121">
        <f t="shared" si="2"/>
        <v>0</v>
      </c>
      <c r="AX14" s="121">
        <f t="shared" si="2"/>
        <v>0</v>
      </c>
      <c r="AY14" s="121">
        <f t="shared" si="2"/>
        <v>0</v>
      </c>
      <c r="AZ14" s="124"/>
    </row>
    <row r="15" spans="1:52" x14ac:dyDescent="0.2">
      <c r="A15" s="125"/>
      <c r="B15" s="141">
        <v>3</v>
      </c>
      <c r="C15" s="125">
        <v>0</v>
      </c>
      <c r="D15" s="121">
        <f>IF(C$20="Yes",C14,0)</f>
        <v>0</v>
      </c>
      <c r="E15" s="121">
        <f t="shared" si="2"/>
        <v>0</v>
      </c>
      <c r="F15" s="121">
        <f t="shared" si="2"/>
        <v>0</v>
      </c>
      <c r="G15" s="121">
        <f t="shared" si="2"/>
        <v>0</v>
      </c>
      <c r="H15" s="121">
        <f t="shared" si="2"/>
        <v>0</v>
      </c>
      <c r="I15" s="121">
        <f t="shared" si="2"/>
        <v>0</v>
      </c>
      <c r="J15" s="121">
        <f t="shared" si="2"/>
        <v>0</v>
      </c>
      <c r="K15" s="121">
        <f t="shared" si="2"/>
        <v>0</v>
      </c>
      <c r="L15" s="121">
        <f t="shared" si="2"/>
        <v>0</v>
      </c>
      <c r="M15" s="121">
        <f t="shared" si="2"/>
        <v>0</v>
      </c>
      <c r="N15" s="121">
        <f t="shared" si="2"/>
        <v>0</v>
      </c>
      <c r="O15" s="121">
        <f t="shared" si="2"/>
        <v>0</v>
      </c>
      <c r="P15" s="121">
        <f t="shared" si="2"/>
        <v>0</v>
      </c>
      <c r="Q15" s="121">
        <f t="shared" si="2"/>
        <v>0</v>
      </c>
      <c r="R15" s="121">
        <f t="shared" si="2"/>
        <v>0</v>
      </c>
      <c r="S15" s="121">
        <f t="shared" si="2"/>
        <v>0</v>
      </c>
      <c r="T15" s="121">
        <f t="shared" si="2"/>
        <v>0</v>
      </c>
      <c r="U15" s="121">
        <f t="shared" si="2"/>
        <v>0</v>
      </c>
      <c r="V15" s="121">
        <f t="shared" si="2"/>
        <v>0</v>
      </c>
      <c r="W15" s="121">
        <f t="shared" si="2"/>
        <v>0</v>
      </c>
      <c r="X15" s="121">
        <f t="shared" si="2"/>
        <v>0</v>
      </c>
      <c r="Y15" s="121">
        <f t="shared" si="2"/>
        <v>0</v>
      </c>
      <c r="Z15" s="121">
        <f t="shared" si="2"/>
        <v>0</v>
      </c>
      <c r="AA15" s="121">
        <f t="shared" si="2"/>
        <v>0</v>
      </c>
      <c r="AB15" s="121">
        <f t="shared" si="2"/>
        <v>0</v>
      </c>
      <c r="AC15" s="121">
        <f t="shared" si="2"/>
        <v>0</v>
      </c>
      <c r="AD15" s="121">
        <f t="shared" si="2"/>
        <v>0</v>
      </c>
      <c r="AE15" s="121">
        <f t="shared" si="2"/>
        <v>0</v>
      </c>
      <c r="AF15" s="121">
        <f t="shared" si="2"/>
        <v>0</v>
      </c>
      <c r="AG15" s="121">
        <f t="shared" si="2"/>
        <v>0</v>
      </c>
      <c r="AH15" s="121">
        <f t="shared" si="2"/>
        <v>0</v>
      </c>
      <c r="AI15" s="121">
        <f t="shared" si="2"/>
        <v>0</v>
      </c>
      <c r="AJ15" s="121">
        <f t="shared" si="2"/>
        <v>0</v>
      </c>
      <c r="AK15" s="121">
        <f t="shared" si="2"/>
        <v>0</v>
      </c>
      <c r="AL15" s="121">
        <f t="shared" si="2"/>
        <v>0</v>
      </c>
      <c r="AM15" s="121">
        <f t="shared" si="2"/>
        <v>0</v>
      </c>
      <c r="AN15" s="121">
        <f t="shared" si="2"/>
        <v>0</v>
      </c>
      <c r="AO15" s="121">
        <f t="shared" si="2"/>
        <v>0</v>
      </c>
      <c r="AP15" s="121">
        <f t="shared" si="2"/>
        <v>0</v>
      </c>
      <c r="AQ15" s="121">
        <f t="shared" si="2"/>
        <v>0</v>
      </c>
      <c r="AR15" s="121">
        <f t="shared" si="2"/>
        <v>0</v>
      </c>
      <c r="AS15" s="121">
        <f t="shared" si="2"/>
        <v>0</v>
      </c>
      <c r="AT15" s="121">
        <f t="shared" si="2"/>
        <v>0</v>
      </c>
      <c r="AU15" s="121">
        <f t="shared" si="2"/>
        <v>0</v>
      </c>
      <c r="AV15" s="121">
        <f t="shared" si="2"/>
        <v>0</v>
      </c>
      <c r="AW15" s="121">
        <f t="shared" si="2"/>
        <v>0</v>
      </c>
      <c r="AX15" s="121">
        <f t="shared" si="2"/>
        <v>0</v>
      </c>
      <c r="AY15" s="121">
        <f t="shared" si="2"/>
        <v>0</v>
      </c>
      <c r="AZ15" s="124"/>
    </row>
    <row r="16" spans="1:52" x14ac:dyDescent="0.2">
      <c r="A16" s="125"/>
      <c r="B16" s="144">
        <v>4</v>
      </c>
      <c r="C16" s="125">
        <v>0</v>
      </c>
      <c r="D16" s="121">
        <f>IF(C$20="Yes",C15,0)</f>
        <v>0</v>
      </c>
      <c r="E16" s="121">
        <f t="shared" si="2"/>
        <v>0</v>
      </c>
      <c r="F16" s="121">
        <f t="shared" si="2"/>
        <v>0</v>
      </c>
      <c r="G16" s="121">
        <f t="shared" si="2"/>
        <v>0</v>
      </c>
      <c r="H16" s="121">
        <f t="shared" si="2"/>
        <v>0</v>
      </c>
      <c r="I16" s="121">
        <f t="shared" si="2"/>
        <v>0</v>
      </c>
      <c r="J16" s="121">
        <f t="shared" si="2"/>
        <v>0</v>
      </c>
      <c r="K16" s="121">
        <f t="shared" si="2"/>
        <v>0</v>
      </c>
      <c r="L16" s="121">
        <f t="shared" si="2"/>
        <v>0</v>
      </c>
      <c r="M16" s="121">
        <f t="shared" si="2"/>
        <v>0</v>
      </c>
      <c r="N16" s="121">
        <f t="shared" si="2"/>
        <v>0</v>
      </c>
      <c r="O16" s="121">
        <f t="shared" si="2"/>
        <v>0</v>
      </c>
      <c r="P16" s="121">
        <f t="shared" si="2"/>
        <v>0</v>
      </c>
      <c r="Q16" s="121">
        <f t="shared" si="2"/>
        <v>0</v>
      </c>
      <c r="R16" s="121">
        <f t="shared" si="2"/>
        <v>0</v>
      </c>
      <c r="S16" s="121">
        <f t="shared" si="2"/>
        <v>0</v>
      </c>
      <c r="T16" s="121">
        <f t="shared" si="2"/>
        <v>0</v>
      </c>
      <c r="U16" s="121">
        <f t="shared" si="2"/>
        <v>0</v>
      </c>
      <c r="V16" s="121">
        <f t="shared" si="2"/>
        <v>0</v>
      </c>
      <c r="W16" s="121">
        <f t="shared" si="2"/>
        <v>0</v>
      </c>
      <c r="X16" s="121">
        <f t="shared" si="2"/>
        <v>0</v>
      </c>
      <c r="Y16" s="121">
        <f t="shared" si="2"/>
        <v>0</v>
      </c>
      <c r="Z16" s="121">
        <f t="shared" si="2"/>
        <v>0</v>
      </c>
      <c r="AA16" s="121">
        <f t="shared" si="2"/>
        <v>0</v>
      </c>
      <c r="AB16" s="121">
        <f t="shared" si="2"/>
        <v>0</v>
      </c>
      <c r="AC16" s="121">
        <f t="shared" si="2"/>
        <v>0</v>
      </c>
      <c r="AD16" s="121">
        <f t="shared" si="2"/>
        <v>0</v>
      </c>
      <c r="AE16" s="121">
        <f t="shared" si="2"/>
        <v>0</v>
      </c>
      <c r="AF16" s="121">
        <f t="shared" si="2"/>
        <v>0</v>
      </c>
      <c r="AG16" s="121">
        <f t="shared" si="2"/>
        <v>0</v>
      </c>
      <c r="AH16" s="121">
        <f t="shared" si="2"/>
        <v>0</v>
      </c>
      <c r="AI16" s="121">
        <f t="shared" si="2"/>
        <v>0</v>
      </c>
      <c r="AJ16" s="121">
        <f t="shared" si="2"/>
        <v>0</v>
      </c>
      <c r="AK16" s="121">
        <f t="shared" si="2"/>
        <v>0</v>
      </c>
      <c r="AL16" s="121">
        <f t="shared" si="2"/>
        <v>0</v>
      </c>
      <c r="AM16" s="121">
        <f t="shared" si="2"/>
        <v>0</v>
      </c>
      <c r="AN16" s="121">
        <f t="shared" si="2"/>
        <v>0</v>
      </c>
      <c r="AO16" s="121">
        <f t="shared" si="2"/>
        <v>0</v>
      </c>
      <c r="AP16" s="121">
        <f t="shared" si="2"/>
        <v>0</v>
      </c>
      <c r="AQ16" s="121">
        <f t="shared" si="2"/>
        <v>0</v>
      </c>
      <c r="AR16" s="121">
        <f t="shared" si="2"/>
        <v>0</v>
      </c>
      <c r="AS16" s="121">
        <f t="shared" si="2"/>
        <v>0</v>
      </c>
      <c r="AT16" s="121">
        <f t="shared" si="2"/>
        <v>0</v>
      </c>
      <c r="AU16" s="121">
        <f t="shared" si="2"/>
        <v>0</v>
      </c>
      <c r="AV16" s="121">
        <f t="shared" si="2"/>
        <v>0</v>
      </c>
      <c r="AW16" s="121">
        <f t="shared" si="2"/>
        <v>0</v>
      </c>
      <c r="AX16" s="121">
        <f t="shared" si="2"/>
        <v>0</v>
      </c>
      <c r="AY16" s="121">
        <f t="shared" si="2"/>
        <v>0</v>
      </c>
      <c r="AZ16" s="142"/>
    </row>
    <row r="17" spans="1:52" x14ac:dyDescent="0.2">
      <c r="A17" s="139"/>
      <c r="B17" s="146" t="s">
        <v>296</v>
      </c>
      <c r="C17" s="139">
        <v>0</v>
      </c>
      <c r="D17" s="128">
        <f>IF(C$20="Yes",C16,0)</f>
        <v>0</v>
      </c>
      <c r="E17" s="128">
        <f t="shared" si="2"/>
        <v>0</v>
      </c>
      <c r="F17" s="128">
        <f t="shared" si="2"/>
        <v>0</v>
      </c>
      <c r="G17" s="128">
        <f t="shared" si="2"/>
        <v>0</v>
      </c>
      <c r="H17" s="128">
        <f t="shared" si="2"/>
        <v>0</v>
      </c>
      <c r="I17" s="128">
        <f t="shared" si="2"/>
        <v>0</v>
      </c>
      <c r="J17" s="128">
        <f t="shared" si="2"/>
        <v>0</v>
      </c>
      <c r="K17" s="128">
        <f t="shared" si="2"/>
        <v>0</v>
      </c>
      <c r="L17" s="128">
        <f t="shared" si="2"/>
        <v>0</v>
      </c>
      <c r="M17" s="128">
        <f t="shared" si="2"/>
        <v>0</v>
      </c>
      <c r="N17" s="128">
        <f t="shared" si="2"/>
        <v>0</v>
      </c>
      <c r="O17" s="128">
        <f t="shared" si="2"/>
        <v>0</v>
      </c>
      <c r="P17" s="128">
        <f t="shared" si="2"/>
        <v>0</v>
      </c>
      <c r="Q17" s="128">
        <f t="shared" si="2"/>
        <v>0</v>
      </c>
      <c r="R17" s="128">
        <f t="shared" si="2"/>
        <v>0</v>
      </c>
      <c r="S17" s="128">
        <f t="shared" si="2"/>
        <v>0</v>
      </c>
      <c r="T17" s="128">
        <f t="shared" si="2"/>
        <v>0</v>
      </c>
      <c r="U17" s="128">
        <f t="shared" si="2"/>
        <v>0</v>
      </c>
      <c r="V17" s="128">
        <f t="shared" si="2"/>
        <v>0</v>
      </c>
      <c r="W17" s="128">
        <f t="shared" si="2"/>
        <v>0</v>
      </c>
      <c r="X17" s="128">
        <f t="shared" si="2"/>
        <v>0</v>
      </c>
      <c r="Y17" s="128">
        <f t="shared" si="2"/>
        <v>0</v>
      </c>
      <c r="Z17" s="128">
        <f t="shared" si="2"/>
        <v>0</v>
      </c>
      <c r="AA17" s="128">
        <f t="shared" si="2"/>
        <v>0</v>
      </c>
      <c r="AB17" s="128">
        <f t="shared" si="2"/>
        <v>0</v>
      </c>
      <c r="AC17" s="128">
        <f t="shared" si="2"/>
        <v>0</v>
      </c>
      <c r="AD17" s="128">
        <f t="shared" si="2"/>
        <v>0</v>
      </c>
      <c r="AE17" s="128">
        <f t="shared" si="2"/>
        <v>0</v>
      </c>
      <c r="AF17" s="128">
        <f t="shared" si="2"/>
        <v>0</v>
      </c>
      <c r="AG17" s="128">
        <f t="shared" si="2"/>
        <v>0</v>
      </c>
      <c r="AH17" s="128">
        <f t="shared" si="2"/>
        <v>0</v>
      </c>
      <c r="AI17" s="128">
        <f t="shared" si="2"/>
        <v>0</v>
      </c>
      <c r="AJ17" s="128">
        <f t="shared" si="2"/>
        <v>0</v>
      </c>
      <c r="AK17" s="128">
        <f t="shared" si="2"/>
        <v>0</v>
      </c>
      <c r="AL17" s="128">
        <f t="shared" si="2"/>
        <v>0</v>
      </c>
      <c r="AM17" s="128">
        <f t="shared" si="2"/>
        <v>0</v>
      </c>
      <c r="AN17" s="128">
        <f t="shared" si="2"/>
        <v>0</v>
      </c>
      <c r="AO17" s="128">
        <f t="shared" si="2"/>
        <v>0</v>
      </c>
      <c r="AP17" s="128">
        <f t="shared" si="2"/>
        <v>0</v>
      </c>
      <c r="AQ17" s="128">
        <f t="shared" si="2"/>
        <v>0</v>
      </c>
      <c r="AR17" s="128">
        <f t="shared" si="2"/>
        <v>0</v>
      </c>
      <c r="AS17" s="128">
        <f t="shared" si="2"/>
        <v>0</v>
      </c>
      <c r="AT17" s="128">
        <f t="shared" si="2"/>
        <v>0</v>
      </c>
      <c r="AU17" s="128">
        <f t="shared" si="2"/>
        <v>0</v>
      </c>
      <c r="AV17" s="128">
        <f t="shared" si="2"/>
        <v>0</v>
      </c>
      <c r="AW17" s="128">
        <f t="shared" si="2"/>
        <v>0</v>
      </c>
      <c r="AX17" s="128">
        <f t="shared" si="2"/>
        <v>0</v>
      </c>
      <c r="AY17" s="128">
        <f t="shared" si="2"/>
        <v>0</v>
      </c>
      <c r="AZ17" s="165">
        <f>SUM($D$17:$AY$17)</f>
        <v>0</v>
      </c>
    </row>
    <row r="18" spans="1:52" x14ac:dyDescent="0.2">
      <c r="A18" s="121"/>
      <c r="B18" s="167"/>
      <c r="C18" s="152"/>
      <c r="D18" s="152"/>
      <c r="E18" s="152"/>
      <c r="F18" s="152"/>
      <c r="G18" s="152"/>
      <c r="H18" s="152"/>
      <c r="I18" s="152"/>
      <c r="J18" s="152"/>
      <c r="K18" s="152"/>
      <c r="L18" s="152"/>
      <c r="M18" s="152"/>
      <c r="N18" s="152"/>
      <c r="O18" s="152"/>
      <c r="P18" s="152"/>
      <c r="Q18" s="152"/>
      <c r="R18" s="152"/>
      <c r="S18" s="152"/>
      <c r="T18" s="152"/>
      <c r="U18" s="152"/>
      <c r="V18" s="152"/>
      <c r="W18" s="152"/>
      <c r="X18" s="152"/>
      <c r="Y18" s="152"/>
      <c r="Z18" s="152"/>
      <c r="AA18" s="152"/>
      <c r="AB18" s="152"/>
      <c r="AC18" s="152"/>
      <c r="AD18" s="152"/>
      <c r="AE18" s="152"/>
      <c r="AF18" s="152"/>
      <c r="AG18" s="152"/>
      <c r="AH18" s="152"/>
      <c r="AI18" s="152"/>
      <c r="AJ18" s="152"/>
      <c r="AK18" s="152"/>
      <c r="AL18" s="152"/>
      <c r="AM18" s="152"/>
      <c r="AN18" s="152"/>
      <c r="AO18" s="152"/>
      <c r="AP18" s="152"/>
      <c r="AQ18" s="152"/>
      <c r="AR18" s="152"/>
      <c r="AS18" s="152"/>
      <c r="AT18" s="152"/>
      <c r="AU18" s="152"/>
      <c r="AV18" s="152"/>
      <c r="AW18" s="152"/>
      <c r="AX18" s="152"/>
      <c r="AY18" s="152"/>
      <c r="AZ18" s="121"/>
    </row>
    <row r="19" spans="1:52" x14ac:dyDescent="0.2">
      <c r="A19" s="1" t="s">
        <v>116</v>
      </c>
      <c r="B19" s="121"/>
      <c r="C19" s="121"/>
      <c r="D19" s="121"/>
      <c r="E19" s="121"/>
      <c r="F19" s="121"/>
      <c r="G19" s="121"/>
      <c r="H19" s="121"/>
      <c r="I19" s="121"/>
      <c r="J19" s="121"/>
      <c r="K19" s="121"/>
      <c r="L19" s="121"/>
      <c r="M19" s="121"/>
      <c r="N19" s="121"/>
      <c r="O19" s="121"/>
      <c r="P19" s="121"/>
      <c r="Q19" s="121"/>
      <c r="R19" s="121"/>
      <c r="S19" s="121"/>
      <c r="T19" s="121"/>
      <c r="U19" s="121"/>
      <c r="V19" s="121"/>
      <c r="W19" s="121"/>
      <c r="X19" s="121"/>
      <c r="Y19" s="121"/>
      <c r="Z19" s="121"/>
      <c r="AA19" s="121"/>
      <c r="AB19" s="121"/>
      <c r="AC19" s="121"/>
      <c r="AD19" s="121"/>
      <c r="AE19" s="121"/>
      <c r="AF19" s="121"/>
      <c r="AG19" s="121"/>
      <c r="AH19" s="121"/>
      <c r="AI19" s="121"/>
      <c r="AJ19" s="121"/>
      <c r="AK19" s="121"/>
      <c r="AL19" s="121"/>
      <c r="AM19" s="121"/>
      <c r="AN19" s="121"/>
      <c r="AO19" s="121"/>
      <c r="AP19" s="121"/>
      <c r="AQ19" s="121"/>
      <c r="AR19" s="121"/>
      <c r="AS19" s="121"/>
      <c r="AT19" s="121"/>
      <c r="AU19" s="121"/>
      <c r="AV19" s="121"/>
      <c r="AW19" s="121"/>
      <c r="AX19" s="121"/>
      <c r="AY19" s="121"/>
    </row>
    <row r="20" spans="1:52" s="125" customFormat="1" x14ac:dyDescent="0.2">
      <c r="A20" s="129" t="s">
        <v>305</v>
      </c>
      <c r="B20" s="168" t="s">
        <v>306</v>
      </c>
      <c r="C20" s="131"/>
      <c r="D20" s="131"/>
      <c r="E20" s="131"/>
      <c r="F20" s="131"/>
      <c r="G20" s="131"/>
      <c r="H20" s="131"/>
      <c r="I20" s="131"/>
      <c r="J20" s="131"/>
      <c r="K20" s="131"/>
      <c r="L20" s="131"/>
      <c r="M20" s="131"/>
      <c r="N20" s="131"/>
      <c r="O20" s="131"/>
      <c r="P20" s="131"/>
      <c r="Q20" s="131"/>
      <c r="R20" s="131"/>
      <c r="S20" s="131"/>
      <c r="T20" s="131"/>
      <c r="U20" s="131"/>
      <c r="V20" s="131"/>
      <c r="W20" s="131"/>
      <c r="X20" s="131"/>
      <c r="Y20" s="131"/>
      <c r="Z20" s="131"/>
      <c r="AA20" s="131"/>
      <c r="AB20" s="131"/>
      <c r="AC20" s="131"/>
      <c r="AD20" s="131"/>
      <c r="AE20" s="131"/>
      <c r="AF20" s="131"/>
      <c r="AG20" s="131"/>
      <c r="AH20" s="131"/>
      <c r="AI20" s="131"/>
      <c r="AJ20" s="131"/>
      <c r="AK20" s="131"/>
      <c r="AL20" s="131"/>
      <c r="AM20" s="131"/>
      <c r="AN20" s="131"/>
      <c r="AO20" s="131"/>
      <c r="AP20" s="131"/>
      <c r="AQ20" s="131"/>
      <c r="AR20" s="131"/>
      <c r="AS20" s="131"/>
      <c r="AT20" s="131"/>
      <c r="AU20" s="131"/>
      <c r="AV20" s="131"/>
      <c r="AW20" s="131"/>
      <c r="AX20" s="131"/>
      <c r="AY20" s="131"/>
      <c r="AZ20" s="122"/>
    </row>
    <row r="21" spans="1:52" s="125" customFormat="1" x14ac:dyDescent="0.2">
      <c r="A21" s="169" t="s">
        <v>133</v>
      </c>
      <c r="B21" s="170">
        <f>shipping_manufacturing!$E$19/100</f>
        <v>1</v>
      </c>
      <c r="C21" s="170" t="s">
        <v>293</v>
      </c>
      <c r="D21" s="121">
        <f>IF(C$20="Yes",0,SUM(C$13:C$16)*$B$21)</f>
        <v>514</v>
      </c>
      <c r="E21" s="121">
        <f t="shared" ref="E21:AY21" si="3">IF(D$20="Yes",0,SUM(D$13:D$16)*$B$21)</f>
        <v>500</v>
      </c>
      <c r="F21" s="121">
        <f t="shared" si="3"/>
        <v>500</v>
      </c>
      <c r="G21" s="121">
        <f t="shared" si="3"/>
        <v>500</v>
      </c>
      <c r="H21" s="121">
        <f t="shared" si="3"/>
        <v>500</v>
      </c>
      <c r="I21" s="121">
        <f t="shared" si="3"/>
        <v>500</v>
      </c>
      <c r="J21" s="121">
        <f t="shared" si="3"/>
        <v>500</v>
      </c>
      <c r="K21" s="121">
        <f t="shared" si="3"/>
        <v>500</v>
      </c>
      <c r="L21" s="121">
        <f t="shared" si="3"/>
        <v>500</v>
      </c>
      <c r="M21" s="121">
        <f t="shared" si="3"/>
        <v>500</v>
      </c>
      <c r="N21" s="121">
        <f t="shared" si="3"/>
        <v>500</v>
      </c>
      <c r="O21" s="121">
        <f t="shared" si="3"/>
        <v>500</v>
      </c>
      <c r="P21" s="121">
        <f t="shared" si="3"/>
        <v>500</v>
      </c>
      <c r="Q21" s="121">
        <f t="shared" si="3"/>
        <v>500</v>
      </c>
      <c r="R21" s="121">
        <f t="shared" si="3"/>
        <v>500</v>
      </c>
      <c r="S21" s="121">
        <f t="shared" si="3"/>
        <v>500</v>
      </c>
      <c r="T21" s="121">
        <f t="shared" si="3"/>
        <v>500</v>
      </c>
      <c r="U21" s="121">
        <f t="shared" si="3"/>
        <v>500</v>
      </c>
      <c r="V21" s="121">
        <f t="shared" si="3"/>
        <v>500</v>
      </c>
      <c r="W21" s="121">
        <f t="shared" si="3"/>
        <v>500</v>
      </c>
      <c r="X21" s="121">
        <f t="shared" si="3"/>
        <v>500</v>
      </c>
      <c r="Y21" s="121">
        <f t="shared" si="3"/>
        <v>500</v>
      </c>
      <c r="Z21" s="121">
        <f t="shared" si="3"/>
        <v>500</v>
      </c>
      <c r="AA21" s="121">
        <f t="shared" si="3"/>
        <v>500</v>
      </c>
      <c r="AB21" s="121">
        <f t="shared" si="3"/>
        <v>500</v>
      </c>
      <c r="AC21" s="121">
        <f t="shared" si="3"/>
        <v>500</v>
      </c>
      <c r="AD21" s="121">
        <f t="shared" si="3"/>
        <v>500</v>
      </c>
      <c r="AE21" s="121">
        <f t="shared" si="3"/>
        <v>500</v>
      </c>
      <c r="AF21" s="121">
        <f t="shared" si="3"/>
        <v>500</v>
      </c>
      <c r="AG21" s="121">
        <f t="shared" si="3"/>
        <v>500</v>
      </c>
      <c r="AH21" s="121">
        <f t="shared" si="3"/>
        <v>500</v>
      </c>
      <c r="AI21" s="121">
        <f t="shared" si="3"/>
        <v>500</v>
      </c>
      <c r="AJ21" s="121">
        <f t="shared" si="3"/>
        <v>500</v>
      </c>
      <c r="AK21" s="121">
        <f t="shared" si="3"/>
        <v>500</v>
      </c>
      <c r="AL21" s="121">
        <f t="shared" si="3"/>
        <v>500</v>
      </c>
      <c r="AM21" s="121">
        <f t="shared" si="3"/>
        <v>500</v>
      </c>
      <c r="AN21" s="121">
        <f t="shared" si="3"/>
        <v>500</v>
      </c>
      <c r="AO21" s="121">
        <f t="shared" si="3"/>
        <v>500</v>
      </c>
      <c r="AP21" s="121">
        <f t="shared" si="3"/>
        <v>500</v>
      </c>
      <c r="AQ21" s="121">
        <f t="shared" si="3"/>
        <v>500</v>
      </c>
      <c r="AR21" s="121">
        <f t="shared" si="3"/>
        <v>500</v>
      </c>
      <c r="AS21" s="121">
        <f t="shared" si="3"/>
        <v>500</v>
      </c>
      <c r="AT21" s="121">
        <f t="shared" si="3"/>
        <v>500</v>
      </c>
      <c r="AU21" s="121">
        <f t="shared" si="3"/>
        <v>500</v>
      </c>
      <c r="AV21" s="121">
        <f t="shared" si="3"/>
        <v>500</v>
      </c>
      <c r="AW21" s="121">
        <f t="shared" si="3"/>
        <v>500</v>
      </c>
      <c r="AX21" s="121">
        <f t="shared" si="3"/>
        <v>500</v>
      </c>
      <c r="AY21" s="121">
        <f t="shared" si="3"/>
        <v>500</v>
      </c>
      <c r="AZ21" s="171">
        <f>SUM($D21:$AY21)</f>
        <v>24014</v>
      </c>
    </row>
    <row r="22" spans="1:52" s="125" customFormat="1" x14ac:dyDescent="0.2">
      <c r="A22" s="172" t="s">
        <v>123</v>
      </c>
      <c r="B22" s="173">
        <f>1-$B$21</f>
        <v>0</v>
      </c>
      <c r="C22" s="173" t="s">
        <v>293</v>
      </c>
      <c r="D22" s="128">
        <f>IF(C$20="Yes",0,SUM(C$13:C$16)*$B$22)</f>
        <v>0</v>
      </c>
      <c r="E22" s="128">
        <f t="shared" ref="E22:AY22" si="4">IF(D$20="Yes",0,SUM(D$13:D$16)*$B$22)</f>
        <v>0</v>
      </c>
      <c r="F22" s="128">
        <f t="shared" si="4"/>
        <v>0</v>
      </c>
      <c r="G22" s="128">
        <f t="shared" si="4"/>
        <v>0</v>
      </c>
      <c r="H22" s="128">
        <f t="shared" si="4"/>
        <v>0</v>
      </c>
      <c r="I22" s="128">
        <f t="shared" si="4"/>
        <v>0</v>
      </c>
      <c r="J22" s="128">
        <f t="shared" si="4"/>
        <v>0</v>
      </c>
      <c r="K22" s="128">
        <f t="shared" si="4"/>
        <v>0</v>
      </c>
      <c r="L22" s="128">
        <f t="shared" si="4"/>
        <v>0</v>
      </c>
      <c r="M22" s="128">
        <f t="shared" si="4"/>
        <v>0</v>
      </c>
      <c r="N22" s="128">
        <f t="shared" si="4"/>
        <v>0</v>
      </c>
      <c r="O22" s="128">
        <f t="shared" si="4"/>
        <v>0</v>
      </c>
      <c r="P22" s="128">
        <f t="shared" si="4"/>
        <v>0</v>
      </c>
      <c r="Q22" s="128">
        <f t="shared" si="4"/>
        <v>0</v>
      </c>
      <c r="R22" s="128">
        <f t="shared" si="4"/>
        <v>0</v>
      </c>
      <c r="S22" s="128">
        <f t="shared" si="4"/>
        <v>0</v>
      </c>
      <c r="T22" s="128">
        <f t="shared" si="4"/>
        <v>0</v>
      </c>
      <c r="U22" s="128">
        <f t="shared" si="4"/>
        <v>0</v>
      </c>
      <c r="V22" s="128">
        <f t="shared" si="4"/>
        <v>0</v>
      </c>
      <c r="W22" s="128">
        <f t="shared" si="4"/>
        <v>0</v>
      </c>
      <c r="X22" s="128">
        <f t="shared" si="4"/>
        <v>0</v>
      </c>
      <c r="Y22" s="128">
        <f t="shared" si="4"/>
        <v>0</v>
      </c>
      <c r="Z22" s="128">
        <f t="shared" si="4"/>
        <v>0</v>
      </c>
      <c r="AA22" s="128">
        <f t="shared" si="4"/>
        <v>0</v>
      </c>
      <c r="AB22" s="128">
        <f t="shared" si="4"/>
        <v>0</v>
      </c>
      <c r="AC22" s="128">
        <f t="shared" si="4"/>
        <v>0</v>
      </c>
      <c r="AD22" s="128">
        <f t="shared" si="4"/>
        <v>0</v>
      </c>
      <c r="AE22" s="128">
        <f t="shared" si="4"/>
        <v>0</v>
      </c>
      <c r="AF22" s="128">
        <f t="shared" si="4"/>
        <v>0</v>
      </c>
      <c r="AG22" s="128">
        <f t="shared" si="4"/>
        <v>0</v>
      </c>
      <c r="AH22" s="128">
        <f t="shared" si="4"/>
        <v>0</v>
      </c>
      <c r="AI22" s="128">
        <f t="shared" si="4"/>
        <v>0</v>
      </c>
      <c r="AJ22" s="128">
        <f t="shared" si="4"/>
        <v>0</v>
      </c>
      <c r="AK22" s="128">
        <f t="shared" si="4"/>
        <v>0</v>
      </c>
      <c r="AL22" s="128">
        <f t="shared" si="4"/>
        <v>0</v>
      </c>
      <c r="AM22" s="128">
        <f t="shared" si="4"/>
        <v>0</v>
      </c>
      <c r="AN22" s="128">
        <f t="shared" si="4"/>
        <v>0</v>
      </c>
      <c r="AO22" s="128">
        <f t="shared" si="4"/>
        <v>0</v>
      </c>
      <c r="AP22" s="128">
        <f t="shared" si="4"/>
        <v>0</v>
      </c>
      <c r="AQ22" s="128">
        <f t="shared" si="4"/>
        <v>0</v>
      </c>
      <c r="AR22" s="128">
        <f t="shared" si="4"/>
        <v>0</v>
      </c>
      <c r="AS22" s="128">
        <f t="shared" si="4"/>
        <v>0</v>
      </c>
      <c r="AT22" s="128">
        <f t="shared" si="4"/>
        <v>0</v>
      </c>
      <c r="AU22" s="128">
        <f t="shared" si="4"/>
        <v>0</v>
      </c>
      <c r="AV22" s="128">
        <f t="shared" si="4"/>
        <v>0</v>
      </c>
      <c r="AW22" s="128">
        <f t="shared" si="4"/>
        <v>0</v>
      </c>
      <c r="AX22" s="128">
        <f t="shared" si="4"/>
        <v>0</v>
      </c>
      <c r="AY22" s="128">
        <f t="shared" si="4"/>
        <v>0</v>
      </c>
      <c r="AZ22" s="155">
        <f t="shared" ref="AZ22:AZ30" si="5">SUM($D22:$AY22)</f>
        <v>0</v>
      </c>
    </row>
    <row r="23" spans="1:52" x14ac:dyDescent="0.2">
      <c r="A23" s="174" t="s">
        <v>307</v>
      </c>
      <c r="B23" s="138">
        <v>2000</v>
      </c>
      <c r="C23" t="s">
        <v>293</v>
      </c>
      <c r="D23">
        <f>D$21*$B$23</f>
        <v>1028000</v>
      </c>
      <c r="E23">
        <f t="shared" ref="E23:AY23" si="6">E$21*$B$23</f>
        <v>1000000</v>
      </c>
      <c r="F23">
        <f t="shared" si="6"/>
        <v>1000000</v>
      </c>
      <c r="G23">
        <f t="shared" si="6"/>
        <v>1000000</v>
      </c>
      <c r="H23">
        <f t="shared" si="6"/>
        <v>1000000</v>
      </c>
      <c r="I23">
        <f t="shared" si="6"/>
        <v>1000000</v>
      </c>
      <c r="J23">
        <f t="shared" si="6"/>
        <v>1000000</v>
      </c>
      <c r="K23">
        <f t="shared" si="6"/>
        <v>1000000</v>
      </c>
      <c r="L23">
        <f t="shared" si="6"/>
        <v>1000000</v>
      </c>
      <c r="M23">
        <f t="shared" si="6"/>
        <v>1000000</v>
      </c>
      <c r="N23">
        <f t="shared" si="6"/>
        <v>1000000</v>
      </c>
      <c r="O23">
        <f t="shared" si="6"/>
        <v>1000000</v>
      </c>
      <c r="P23">
        <f t="shared" si="6"/>
        <v>1000000</v>
      </c>
      <c r="Q23">
        <f t="shared" si="6"/>
        <v>1000000</v>
      </c>
      <c r="R23">
        <f t="shared" si="6"/>
        <v>1000000</v>
      </c>
      <c r="S23">
        <f t="shared" si="6"/>
        <v>1000000</v>
      </c>
      <c r="T23">
        <f t="shared" si="6"/>
        <v>1000000</v>
      </c>
      <c r="U23">
        <f t="shared" si="6"/>
        <v>1000000</v>
      </c>
      <c r="V23">
        <f t="shared" si="6"/>
        <v>1000000</v>
      </c>
      <c r="W23">
        <f t="shared" si="6"/>
        <v>1000000</v>
      </c>
      <c r="X23">
        <f t="shared" si="6"/>
        <v>1000000</v>
      </c>
      <c r="Y23">
        <f t="shared" si="6"/>
        <v>1000000</v>
      </c>
      <c r="Z23">
        <f t="shared" si="6"/>
        <v>1000000</v>
      </c>
      <c r="AA23">
        <f t="shared" si="6"/>
        <v>1000000</v>
      </c>
      <c r="AB23">
        <f t="shared" si="6"/>
        <v>1000000</v>
      </c>
      <c r="AC23">
        <f t="shared" si="6"/>
        <v>1000000</v>
      </c>
      <c r="AD23">
        <f t="shared" si="6"/>
        <v>1000000</v>
      </c>
      <c r="AE23">
        <f t="shared" si="6"/>
        <v>1000000</v>
      </c>
      <c r="AF23">
        <f t="shared" si="6"/>
        <v>1000000</v>
      </c>
      <c r="AG23">
        <f t="shared" si="6"/>
        <v>1000000</v>
      </c>
      <c r="AH23">
        <f t="shared" si="6"/>
        <v>1000000</v>
      </c>
      <c r="AI23">
        <f t="shared" si="6"/>
        <v>1000000</v>
      </c>
      <c r="AJ23">
        <f t="shared" si="6"/>
        <v>1000000</v>
      </c>
      <c r="AK23">
        <f t="shared" si="6"/>
        <v>1000000</v>
      </c>
      <c r="AL23">
        <f t="shared" si="6"/>
        <v>1000000</v>
      </c>
      <c r="AM23">
        <f t="shared" si="6"/>
        <v>1000000</v>
      </c>
      <c r="AN23">
        <f t="shared" si="6"/>
        <v>1000000</v>
      </c>
      <c r="AO23">
        <f t="shared" si="6"/>
        <v>1000000</v>
      </c>
      <c r="AP23">
        <f t="shared" si="6"/>
        <v>1000000</v>
      </c>
      <c r="AQ23">
        <f t="shared" si="6"/>
        <v>1000000</v>
      </c>
      <c r="AR23">
        <f t="shared" si="6"/>
        <v>1000000</v>
      </c>
      <c r="AS23">
        <f t="shared" si="6"/>
        <v>1000000</v>
      </c>
      <c r="AT23">
        <f t="shared" si="6"/>
        <v>1000000</v>
      </c>
      <c r="AU23">
        <f t="shared" si="6"/>
        <v>1000000</v>
      </c>
      <c r="AV23">
        <f t="shared" si="6"/>
        <v>1000000</v>
      </c>
      <c r="AW23">
        <f t="shared" si="6"/>
        <v>1000000</v>
      </c>
      <c r="AX23">
        <f t="shared" si="6"/>
        <v>1000000</v>
      </c>
      <c r="AY23">
        <f t="shared" si="6"/>
        <v>1000000</v>
      </c>
      <c r="AZ23" s="153">
        <f t="shared" si="5"/>
        <v>48028000</v>
      </c>
    </row>
    <row r="24" spans="1:52" s="125" customFormat="1" x14ac:dyDescent="0.2">
      <c r="A24" s="175" t="s">
        <v>308</v>
      </c>
      <c r="B24" s="176">
        <v>1000</v>
      </c>
      <c r="C24" s="170" t="s">
        <v>293</v>
      </c>
      <c r="D24" s="121">
        <f>D$22*$B$24</f>
        <v>0</v>
      </c>
      <c r="E24" s="121">
        <f t="shared" ref="E24:AY24" si="7">E$22*$B$24</f>
        <v>0</v>
      </c>
      <c r="F24" s="121">
        <f t="shared" si="7"/>
        <v>0</v>
      </c>
      <c r="G24" s="121">
        <f t="shared" si="7"/>
        <v>0</v>
      </c>
      <c r="H24" s="121">
        <f t="shared" si="7"/>
        <v>0</v>
      </c>
      <c r="I24" s="121">
        <f t="shared" si="7"/>
        <v>0</v>
      </c>
      <c r="J24" s="121">
        <f t="shared" si="7"/>
        <v>0</v>
      </c>
      <c r="K24" s="121">
        <f t="shared" si="7"/>
        <v>0</v>
      </c>
      <c r="L24" s="121">
        <f t="shared" si="7"/>
        <v>0</v>
      </c>
      <c r="M24" s="121">
        <f t="shared" si="7"/>
        <v>0</v>
      </c>
      <c r="N24" s="121">
        <f t="shared" si="7"/>
        <v>0</v>
      </c>
      <c r="O24" s="121">
        <f t="shared" si="7"/>
        <v>0</v>
      </c>
      <c r="P24" s="121">
        <f t="shared" si="7"/>
        <v>0</v>
      </c>
      <c r="Q24" s="121">
        <f t="shared" si="7"/>
        <v>0</v>
      </c>
      <c r="R24" s="121">
        <f t="shared" si="7"/>
        <v>0</v>
      </c>
      <c r="S24" s="121">
        <f t="shared" si="7"/>
        <v>0</v>
      </c>
      <c r="T24" s="121">
        <f t="shared" si="7"/>
        <v>0</v>
      </c>
      <c r="U24" s="121">
        <f t="shared" si="7"/>
        <v>0</v>
      </c>
      <c r="V24" s="121">
        <f t="shared" si="7"/>
        <v>0</v>
      </c>
      <c r="W24" s="121">
        <f t="shared" si="7"/>
        <v>0</v>
      </c>
      <c r="X24" s="121">
        <f t="shared" si="7"/>
        <v>0</v>
      </c>
      <c r="Y24" s="121">
        <f t="shared" si="7"/>
        <v>0</v>
      </c>
      <c r="Z24" s="121">
        <f t="shared" si="7"/>
        <v>0</v>
      </c>
      <c r="AA24" s="121">
        <f t="shared" si="7"/>
        <v>0</v>
      </c>
      <c r="AB24" s="121">
        <f t="shared" si="7"/>
        <v>0</v>
      </c>
      <c r="AC24" s="121">
        <f t="shared" si="7"/>
        <v>0</v>
      </c>
      <c r="AD24" s="121">
        <f t="shared" si="7"/>
        <v>0</v>
      </c>
      <c r="AE24" s="121">
        <f t="shared" si="7"/>
        <v>0</v>
      </c>
      <c r="AF24" s="121">
        <f t="shared" si="7"/>
        <v>0</v>
      </c>
      <c r="AG24" s="121">
        <f t="shared" si="7"/>
        <v>0</v>
      </c>
      <c r="AH24" s="121">
        <f t="shared" si="7"/>
        <v>0</v>
      </c>
      <c r="AI24" s="121">
        <f t="shared" si="7"/>
        <v>0</v>
      </c>
      <c r="AJ24" s="121">
        <f t="shared" si="7"/>
        <v>0</v>
      </c>
      <c r="AK24" s="121">
        <f t="shared" si="7"/>
        <v>0</v>
      </c>
      <c r="AL24" s="121">
        <f t="shared" si="7"/>
        <v>0</v>
      </c>
      <c r="AM24" s="121">
        <f t="shared" si="7"/>
        <v>0</v>
      </c>
      <c r="AN24" s="121">
        <f t="shared" si="7"/>
        <v>0</v>
      </c>
      <c r="AO24" s="121">
        <f t="shared" si="7"/>
        <v>0</v>
      </c>
      <c r="AP24" s="121">
        <f t="shared" si="7"/>
        <v>0</v>
      </c>
      <c r="AQ24" s="121">
        <f t="shared" si="7"/>
        <v>0</v>
      </c>
      <c r="AR24" s="121">
        <f t="shared" si="7"/>
        <v>0</v>
      </c>
      <c r="AS24" s="121">
        <f t="shared" si="7"/>
        <v>0</v>
      </c>
      <c r="AT24" s="121">
        <f t="shared" si="7"/>
        <v>0</v>
      </c>
      <c r="AU24" s="121">
        <f t="shared" si="7"/>
        <v>0</v>
      </c>
      <c r="AV24" s="121">
        <f t="shared" si="7"/>
        <v>0</v>
      </c>
      <c r="AW24" s="121">
        <f t="shared" si="7"/>
        <v>0</v>
      </c>
      <c r="AX24" s="121">
        <f t="shared" si="7"/>
        <v>0</v>
      </c>
      <c r="AY24" s="121">
        <f t="shared" si="7"/>
        <v>0</v>
      </c>
      <c r="AZ24" s="155">
        <f t="shared" si="5"/>
        <v>0</v>
      </c>
    </row>
    <row r="25" spans="1:52" x14ac:dyDescent="0.2">
      <c r="C25" s="152"/>
      <c r="D25" s="152"/>
      <c r="E25" s="152"/>
      <c r="F25" s="152"/>
      <c r="G25" s="152"/>
      <c r="H25" s="152"/>
      <c r="I25" s="152"/>
      <c r="J25" s="152"/>
      <c r="K25" s="152"/>
      <c r="L25" s="152"/>
      <c r="M25" s="152"/>
      <c r="N25" s="152"/>
      <c r="O25" s="152"/>
      <c r="P25" s="152"/>
      <c r="Q25" s="152"/>
      <c r="R25" s="152"/>
      <c r="S25" s="152"/>
      <c r="T25" s="152"/>
      <c r="U25" s="152"/>
      <c r="V25" s="152"/>
      <c r="W25" s="152"/>
      <c r="X25" s="152"/>
      <c r="Y25" s="152"/>
      <c r="Z25" s="152"/>
      <c r="AA25" s="152"/>
      <c r="AB25" s="152"/>
      <c r="AC25" s="152"/>
      <c r="AD25" s="152"/>
      <c r="AE25" s="152"/>
      <c r="AF25" s="152"/>
      <c r="AG25" s="152"/>
      <c r="AH25" s="152"/>
      <c r="AI25" s="152"/>
      <c r="AJ25" s="152"/>
      <c r="AK25" s="152"/>
      <c r="AL25" s="152"/>
      <c r="AM25" s="152"/>
      <c r="AN25" s="152"/>
      <c r="AO25" s="152"/>
      <c r="AP25" s="152"/>
      <c r="AQ25" s="152"/>
      <c r="AR25" s="152"/>
      <c r="AS25" s="152"/>
      <c r="AT25" s="152"/>
      <c r="AU25" s="152"/>
      <c r="AV25" s="152"/>
      <c r="AW25" s="152"/>
      <c r="AX25" s="152"/>
      <c r="AY25" s="152"/>
      <c r="AZ25" s="121"/>
    </row>
    <row r="26" spans="1:52" x14ac:dyDescent="0.2">
      <c r="A26" s="177" t="s">
        <v>18</v>
      </c>
      <c r="C26" s="121"/>
      <c r="D26" s="121"/>
      <c r="E26" s="121"/>
      <c r="F26" s="121"/>
      <c r="G26" s="121"/>
      <c r="H26" s="121"/>
      <c r="I26" s="121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  <c r="AB26" s="121"/>
      <c r="AC26" s="121"/>
      <c r="AD26" s="121"/>
      <c r="AE26" s="121"/>
      <c r="AF26" s="121"/>
      <c r="AG26" s="121"/>
      <c r="AH26" s="121"/>
      <c r="AI26" s="121"/>
      <c r="AJ26" s="121"/>
      <c r="AK26" s="121"/>
      <c r="AL26" s="121"/>
      <c r="AM26" s="121"/>
      <c r="AN26" s="121"/>
      <c r="AO26" s="121"/>
      <c r="AP26" s="121"/>
      <c r="AQ26" s="121"/>
      <c r="AR26" s="121"/>
      <c r="AS26" s="121"/>
      <c r="AT26" s="121"/>
      <c r="AU26" s="121"/>
      <c r="AV26" s="121"/>
      <c r="AW26" s="121"/>
      <c r="AX26" s="121"/>
      <c r="AY26" s="121"/>
      <c r="AZ26" s="121"/>
    </row>
    <row r="27" spans="1:52" x14ac:dyDescent="0.2">
      <c r="B27" s="149" t="s">
        <v>309</v>
      </c>
      <c r="C27" s="138">
        <v>18</v>
      </c>
      <c r="D27" s="138">
        <f>C$27-C$28+C$29</f>
        <v>4</v>
      </c>
      <c r="E27" s="138">
        <f t="shared" ref="E27:AY27" si="8">D27-D28+D29</f>
        <v>18</v>
      </c>
      <c r="F27" s="138">
        <f t="shared" si="8"/>
        <v>5</v>
      </c>
      <c r="G27" s="138">
        <f t="shared" si="8"/>
        <v>17</v>
      </c>
      <c r="H27" s="138">
        <f t="shared" si="8"/>
        <v>5</v>
      </c>
      <c r="I27" s="138">
        <f t="shared" si="8"/>
        <v>17</v>
      </c>
      <c r="J27" s="138">
        <f t="shared" si="8"/>
        <v>5</v>
      </c>
      <c r="K27" s="138">
        <f t="shared" si="8"/>
        <v>17</v>
      </c>
      <c r="L27" s="138">
        <f t="shared" si="8"/>
        <v>5</v>
      </c>
      <c r="M27" s="138">
        <f t="shared" si="8"/>
        <v>17</v>
      </c>
      <c r="N27" s="138">
        <f t="shared" si="8"/>
        <v>5</v>
      </c>
      <c r="O27" s="138">
        <f t="shared" si="8"/>
        <v>17</v>
      </c>
      <c r="P27" s="138">
        <f t="shared" si="8"/>
        <v>5</v>
      </c>
      <c r="Q27" s="138">
        <f t="shared" si="8"/>
        <v>17</v>
      </c>
      <c r="R27" s="138">
        <f t="shared" si="8"/>
        <v>5</v>
      </c>
      <c r="S27" s="138">
        <f t="shared" si="8"/>
        <v>17</v>
      </c>
      <c r="T27" s="138">
        <f t="shared" si="8"/>
        <v>5</v>
      </c>
      <c r="U27" s="138">
        <f t="shared" si="8"/>
        <v>17</v>
      </c>
      <c r="V27" s="138">
        <f t="shared" si="8"/>
        <v>5</v>
      </c>
      <c r="W27" s="138">
        <f t="shared" si="8"/>
        <v>17</v>
      </c>
      <c r="X27" s="138">
        <f t="shared" si="8"/>
        <v>5</v>
      </c>
      <c r="Y27" s="138">
        <f t="shared" si="8"/>
        <v>17</v>
      </c>
      <c r="Z27" s="138">
        <f t="shared" si="8"/>
        <v>5</v>
      </c>
      <c r="AA27" s="138">
        <f t="shared" si="8"/>
        <v>17</v>
      </c>
      <c r="AB27" s="138">
        <f t="shared" si="8"/>
        <v>5</v>
      </c>
      <c r="AC27" s="138">
        <f t="shared" si="8"/>
        <v>17</v>
      </c>
      <c r="AD27" s="138">
        <f t="shared" si="8"/>
        <v>5</v>
      </c>
      <c r="AE27" s="138">
        <f t="shared" si="8"/>
        <v>17</v>
      </c>
      <c r="AF27" s="138">
        <f t="shared" si="8"/>
        <v>5</v>
      </c>
      <c r="AG27" s="138">
        <f t="shared" si="8"/>
        <v>17</v>
      </c>
      <c r="AH27" s="138">
        <f t="shared" si="8"/>
        <v>5</v>
      </c>
      <c r="AI27" s="138">
        <f t="shared" si="8"/>
        <v>17</v>
      </c>
      <c r="AJ27" s="138">
        <f t="shared" si="8"/>
        <v>5</v>
      </c>
      <c r="AK27" s="138">
        <f t="shared" si="8"/>
        <v>17</v>
      </c>
      <c r="AL27" s="138">
        <f t="shared" si="8"/>
        <v>5</v>
      </c>
      <c r="AM27" s="138">
        <f t="shared" si="8"/>
        <v>17</v>
      </c>
      <c r="AN27" s="138">
        <f t="shared" si="8"/>
        <v>5</v>
      </c>
      <c r="AO27" s="138">
        <f t="shared" si="8"/>
        <v>17</v>
      </c>
      <c r="AP27" s="138">
        <f t="shared" si="8"/>
        <v>5</v>
      </c>
      <c r="AQ27" s="138">
        <f t="shared" si="8"/>
        <v>17</v>
      </c>
      <c r="AR27" s="138">
        <f t="shared" si="8"/>
        <v>5</v>
      </c>
      <c r="AS27" s="138">
        <f t="shared" si="8"/>
        <v>17</v>
      </c>
      <c r="AT27" s="138">
        <f t="shared" si="8"/>
        <v>5</v>
      </c>
      <c r="AU27" s="138">
        <f t="shared" si="8"/>
        <v>17</v>
      </c>
      <c r="AV27" s="138">
        <f t="shared" si="8"/>
        <v>5</v>
      </c>
      <c r="AW27" s="138">
        <f t="shared" si="8"/>
        <v>17</v>
      </c>
      <c r="AX27" s="138">
        <f t="shared" si="8"/>
        <v>5</v>
      </c>
      <c r="AY27" s="178">
        <f t="shared" si="8"/>
        <v>17</v>
      </c>
      <c r="AZ27" s="121"/>
    </row>
    <row r="28" spans="1:52" x14ac:dyDescent="0.2">
      <c r="B28" s="179" t="s">
        <v>310</v>
      </c>
      <c r="C28" s="125">
        <v>18</v>
      </c>
      <c r="D28" s="125">
        <v>4</v>
      </c>
      <c r="E28" s="125">
        <v>17</v>
      </c>
      <c r="F28" s="125">
        <v>5</v>
      </c>
      <c r="G28" s="125">
        <v>17</v>
      </c>
      <c r="H28" s="125">
        <v>5</v>
      </c>
      <c r="I28" s="125">
        <v>17</v>
      </c>
      <c r="J28" s="125">
        <v>5</v>
      </c>
      <c r="K28" s="125">
        <v>17</v>
      </c>
      <c r="L28" s="125">
        <v>5</v>
      </c>
      <c r="M28" s="125">
        <v>17</v>
      </c>
      <c r="N28" s="125">
        <v>5</v>
      </c>
      <c r="O28" s="125">
        <v>17</v>
      </c>
      <c r="P28" s="125">
        <v>5</v>
      </c>
      <c r="Q28" s="125">
        <v>17</v>
      </c>
      <c r="R28" s="125">
        <v>5</v>
      </c>
      <c r="S28" s="125">
        <v>17</v>
      </c>
      <c r="T28" s="125">
        <v>5</v>
      </c>
      <c r="U28" s="125">
        <v>17</v>
      </c>
      <c r="V28" s="125">
        <v>5</v>
      </c>
      <c r="W28" s="125">
        <v>17</v>
      </c>
      <c r="X28" s="125">
        <v>5</v>
      </c>
      <c r="Y28" s="125">
        <v>17</v>
      </c>
      <c r="Z28" s="125">
        <v>5</v>
      </c>
      <c r="AA28" s="125">
        <v>17</v>
      </c>
      <c r="AB28" s="125">
        <v>5</v>
      </c>
      <c r="AC28" s="125">
        <v>17</v>
      </c>
      <c r="AD28" s="125">
        <v>5</v>
      </c>
      <c r="AE28" s="125">
        <v>17</v>
      </c>
      <c r="AF28" s="125">
        <v>5</v>
      </c>
      <c r="AG28" s="125">
        <v>17</v>
      </c>
      <c r="AH28" s="125">
        <v>5</v>
      </c>
      <c r="AI28" s="125">
        <v>17</v>
      </c>
      <c r="AJ28" s="125">
        <v>5</v>
      </c>
      <c r="AK28" s="125">
        <v>17</v>
      </c>
      <c r="AL28" s="125">
        <v>5</v>
      </c>
      <c r="AM28" s="125">
        <v>17</v>
      </c>
      <c r="AN28" s="125">
        <v>5</v>
      </c>
      <c r="AO28" s="125">
        <v>17</v>
      </c>
      <c r="AP28" s="125">
        <v>5</v>
      </c>
      <c r="AQ28" s="125">
        <v>17</v>
      </c>
      <c r="AR28" s="125">
        <v>5</v>
      </c>
      <c r="AS28" s="125">
        <v>17</v>
      </c>
      <c r="AT28" s="125">
        <v>5</v>
      </c>
      <c r="AU28" s="125">
        <v>17</v>
      </c>
      <c r="AV28" s="125">
        <v>5</v>
      </c>
      <c r="AW28" s="125">
        <v>17</v>
      </c>
      <c r="AX28" s="125">
        <v>5</v>
      </c>
      <c r="AY28" s="180">
        <v>17</v>
      </c>
      <c r="AZ28" s="121"/>
    </row>
    <row r="29" spans="1:52" x14ac:dyDescent="0.2">
      <c r="B29" s="150" t="s">
        <v>311</v>
      </c>
      <c r="C29" s="139">
        <v>4</v>
      </c>
      <c r="D29" s="139">
        <f>C$28</f>
        <v>18</v>
      </c>
      <c r="E29" s="139">
        <f t="shared" ref="E29:AY29" si="9">D$28</f>
        <v>4</v>
      </c>
      <c r="F29" s="139">
        <f t="shared" si="9"/>
        <v>17</v>
      </c>
      <c r="G29" s="139">
        <f t="shared" si="9"/>
        <v>5</v>
      </c>
      <c r="H29" s="139">
        <f t="shared" si="9"/>
        <v>17</v>
      </c>
      <c r="I29" s="139">
        <f t="shared" si="9"/>
        <v>5</v>
      </c>
      <c r="J29" s="139">
        <f t="shared" si="9"/>
        <v>17</v>
      </c>
      <c r="K29" s="139">
        <f t="shared" si="9"/>
        <v>5</v>
      </c>
      <c r="L29" s="139">
        <f t="shared" si="9"/>
        <v>17</v>
      </c>
      <c r="M29" s="139">
        <f t="shared" si="9"/>
        <v>5</v>
      </c>
      <c r="N29" s="139">
        <f t="shared" si="9"/>
        <v>17</v>
      </c>
      <c r="O29" s="139">
        <f t="shared" si="9"/>
        <v>5</v>
      </c>
      <c r="P29" s="139">
        <f t="shared" si="9"/>
        <v>17</v>
      </c>
      <c r="Q29" s="139">
        <f t="shared" si="9"/>
        <v>5</v>
      </c>
      <c r="R29" s="139">
        <f t="shared" si="9"/>
        <v>17</v>
      </c>
      <c r="S29" s="139">
        <f t="shared" si="9"/>
        <v>5</v>
      </c>
      <c r="T29" s="139">
        <f t="shared" si="9"/>
        <v>17</v>
      </c>
      <c r="U29" s="139">
        <f t="shared" si="9"/>
        <v>5</v>
      </c>
      <c r="V29" s="139">
        <f t="shared" si="9"/>
        <v>17</v>
      </c>
      <c r="W29" s="139">
        <f t="shared" si="9"/>
        <v>5</v>
      </c>
      <c r="X29" s="139">
        <f t="shared" si="9"/>
        <v>17</v>
      </c>
      <c r="Y29" s="139">
        <f t="shared" si="9"/>
        <v>5</v>
      </c>
      <c r="Z29" s="139">
        <f t="shared" si="9"/>
        <v>17</v>
      </c>
      <c r="AA29" s="139">
        <f t="shared" si="9"/>
        <v>5</v>
      </c>
      <c r="AB29" s="139">
        <f t="shared" si="9"/>
        <v>17</v>
      </c>
      <c r="AC29" s="139">
        <f t="shared" si="9"/>
        <v>5</v>
      </c>
      <c r="AD29" s="139">
        <f t="shared" si="9"/>
        <v>17</v>
      </c>
      <c r="AE29" s="139">
        <f t="shared" si="9"/>
        <v>5</v>
      </c>
      <c r="AF29" s="139">
        <f t="shared" si="9"/>
        <v>17</v>
      </c>
      <c r="AG29" s="139">
        <f t="shared" si="9"/>
        <v>5</v>
      </c>
      <c r="AH29" s="139">
        <f t="shared" si="9"/>
        <v>17</v>
      </c>
      <c r="AI29" s="139">
        <f t="shared" si="9"/>
        <v>5</v>
      </c>
      <c r="AJ29" s="139">
        <f t="shared" si="9"/>
        <v>17</v>
      </c>
      <c r="AK29" s="139">
        <f t="shared" si="9"/>
        <v>5</v>
      </c>
      <c r="AL29" s="139">
        <f t="shared" si="9"/>
        <v>17</v>
      </c>
      <c r="AM29" s="139">
        <f t="shared" si="9"/>
        <v>5</v>
      </c>
      <c r="AN29" s="139">
        <f t="shared" si="9"/>
        <v>17</v>
      </c>
      <c r="AO29" s="139">
        <f t="shared" si="9"/>
        <v>5</v>
      </c>
      <c r="AP29" s="139">
        <f t="shared" si="9"/>
        <v>17</v>
      </c>
      <c r="AQ29" s="139">
        <f t="shared" si="9"/>
        <v>5</v>
      </c>
      <c r="AR29" s="139">
        <f t="shared" si="9"/>
        <v>17</v>
      </c>
      <c r="AS29" s="139">
        <f t="shared" si="9"/>
        <v>5</v>
      </c>
      <c r="AT29" s="139">
        <f t="shared" si="9"/>
        <v>17</v>
      </c>
      <c r="AU29" s="139">
        <f t="shared" si="9"/>
        <v>5</v>
      </c>
      <c r="AV29" s="139">
        <f t="shared" si="9"/>
        <v>17</v>
      </c>
      <c r="AW29" s="139">
        <f t="shared" si="9"/>
        <v>5</v>
      </c>
      <c r="AX29" s="139">
        <f t="shared" si="9"/>
        <v>17</v>
      </c>
      <c r="AY29" s="181">
        <f t="shared" si="9"/>
        <v>5</v>
      </c>
      <c r="AZ29" s="182"/>
    </row>
    <row r="30" spans="1:52" x14ac:dyDescent="0.2">
      <c r="A30" s="183" t="s">
        <v>312</v>
      </c>
      <c r="B30" s="158">
        <v>10</v>
      </c>
      <c r="C30" s="131" t="s">
        <v>293</v>
      </c>
      <c r="D30" s="131">
        <f>D$27*$B$30</f>
        <v>40</v>
      </c>
      <c r="E30" s="131">
        <f t="shared" ref="E30:AY30" si="10">E$27*$B$30</f>
        <v>180</v>
      </c>
      <c r="F30" s="131">
        <f t="shared" si="10"/>
        <v>50</v>
      </c>
      <c r="G30" s="131">
        <f t="shared" si="10"/>
        <v>170</v>
      </c>
      <c r="H30" s="131">
        <f t="shared" si="10"/>
        <v>50</v>
      </c>
      <c r="I30" s="131">
        <f t="shared" si="10"/>
        <v>170</v>
      </c>
      <c r="J30" s="131">
        <f t="shared" si="10"/>
        <v>50</v>
      </c>
      <c r="K30" s="131">
        <f t="shared" si="10"/>
        <v>170</v>
      </c>
      <c r="L30" s="131">
        <f t="shared" si="10"/>
        <v>50</v>
      </c>
      <c r="M30" s="131">
        <f t="shared" si="10"/>
        <v>170</v>
      </c>
      <c r="N30" s="131">
        <f t="shared" si="10"/>
        <v>50</v>
      </c>
      <c r="O30" s="131">
        <f t="shared" si="10"/>
        <v>170</v>
      </c>
      <c r="P30" s="131">
        <f t="shared" si="10"/>
        <v>50</v>
      </c>
      <c r="Q30" s="131">
        <f t="shared" si="10"/>
        <v>170</v>
      </c>
      <c r="R30" s="131">
        <f>R$27*$B$30</f>
        <v>50</v>
      </c>
      <c r="S30" s="131">
        <f t="shared" si="10"/>
        <v>170</v>
      </c>
      <c r="T30" s="131">
        <f t="shared" si="10"/>
        <v>50</v>
      </c>
      <c r="U30" s="131">
        <f t="shared" si="10"/>
        <v>170</v>
      </c>
      <c r="V30" s="131">
        <f t="shared" si="10"/>
        <v>50</v>
      </c>
      <c r="W30" s="131">
        <f t="shared" si="10"/>
        <v>170</v>
      </c>
      <c r="X30" s="131">
        <f t="shared" si="10"/>
        <v>50</v>
      </c>
      <c r="Y30" s="131">
        <f t="shared" si="10"/>
        <v>170</v>
      </c>
      <c r="Z30" s="131">
        <f t="shared" si="10"/>
        <v>50</v>
      </c>
      <c r="AA30" s="131">
        <f t="shared" si="10"/>
        <v>170</v>
      </c>
      <c r="AB30" s="131">
        <f t="shared" si="10"/>
        <v>50</v>
      </c>
      <c r="AC30" s="131">
        <f t="shared" si="10"/>
        <v>170</v>
      </c>
      <c r="AD30" s="131">
        <f t="shared" si="10"/>
        <v>50</v>
      </c>
      <c r="AE30" s="131">
        <f>AE$27*$B$30</f>
        <v>170</v>
      </c>
      <c r="AF30" s="131">
        <f t="shared" si="10"/>
        <v>50</v>
      </c>
      <c r="AG30" s="131">
        <f t="shared" si="10"/>
        <v>170</v>
      </c>
      <c r="AH30" s="131">
        <f t="shared" si="10"/>
        <v>50</v>
      </c>
      <c r="AI30" s="131">
        <f t="shared" si="10"/>
        <v>170</v>
      </c>
      <c r="AJ30" s="131">
        <f t="shared" si="10"/>
        <v>50</v>
      </c>
      <c r="AK30" s="131">
        <f t="shared" si="10"/>
        <v>170</v>
      </c>
      <c r="AL30" s="131">
        <f t="shared" si="10"/>
        <v>50</v>
      </c>
      <c r="AM30" s="131">
        <f t="shared" si="10"/>
        <v>170</v>
      </c>
      <c r="AN30" s="131">
        <f t="shared" si="10"/>
        <v>50</v>
      </c>
      <c r="AO30" s="131">
        <f t="shared" si="10"/>
        <v>170</v>
      </c>
      <c r="AP30" s="131">
        <f t="shared" si="10"/>
        <v>50</v>
      </c>
      <c r="AQ30" s="131">
        <f t="shared" si="10"/>
        <v>170</v>
      </c>
      <c r="AR30" s="131">
        <f t="shared" si="10"/>
        <v>50</v>
      </c>
      <c r="AS30" s="131">
        <f t="shared" si="10"/>
        <v>170</v>
      </c>
      <c r="AT30" s="131">
        <f t="shared" si="10"/>
        <v>50</v>
      </c>
      <c r="AU30" s="131">
        <f t="shared" si="10"/>
        <v>170</v>
      </c>
      <c r="AV30" s="131">
        <f t="shared" si="10"/>
        <v>50</v>
      </c>
      <c r="AW30" s="131">
        <f t="shared" si="10"/>
        <v>170</v>
      </c>
      <c r="AX30" s="131">
        <f t="shared" si="10"/>
        <v>50</v>
      </c>
      <c r="AY30" s="131">
        <f t="shared" si="10"/>
        <v>170</v>
      </c>
      <c r="AZ30" s="155">
        <f t="shared" si="5"/>
        <v>5280</v>
      </c>
    </row>
    <row r="32" spans="1:52" x14ac:dyDescent="0.2">
      <c r="A32" s="1" t="s">
        <v>300</v>
      </c>
    </row>
    <row r="33" spans="1:52" x14ac:dyDescent="0.2">
      <c r="A33" s="149" t="s">
        <v>22</v>
      </c>
      <c r="B33" s="149" t="s">
        <v>340</v>
      </c>
      <c r="C33" s="138"/>
      <c r="D33" s="138">
        <f>D$21*shipping_manufacturing!$F$27/100</f>
        <v>185.04</v>
      </c>
      <c r="E33" s="138">
        <f>E$21*shipping_manufacturing!$F$27/100</f>
        <v>180</v>
      </c>
      <c r="F33" s="138">
        <f>F$21*shipping_manufacturing!$F$27/100</f>
        <v>180</v>
      </c>
      <c r="G33" s="138">
        <f>G$21*shipping_manufacturing!$F$27/100</f>
        <v>180</v>
      </c>
      <c r="H33" s="138">
        <f>H$21*shipping_manufacturing!$F$27/100</f>
        <v>180</v>
      </c>
      <c r="I33" s="138">
        <f>I$21*shipping_manufacturing!$F$27/100</f>
        <v>180</v>
      </c>
      <c r="J33" s="138">
        <f>J$21*shipping_manufacturing!$F$27/100</f>
        <v>180</v>
      </c>
      <c r="K33" s="138">
        <f>K$21*shipping_manufacturing!$F$27/100</f>
        <v>180</v>
      </c>
      <c r="L33" s="138">
        <f>L$21*shipping_manufacturing!$F$27/100</f>
        <v>180</v>
      </c>
      <c r="M33" s="138">
        <f>M$21*shipping_manufacturing!$F$27/100</f>
        <v>180</v>
      </c>
      <c r="N33" s="138">
        <f>N$21*shipping_manufacturing!$F$27/100</f>
        <v>180</v>
      </c>
      <c r="O33" s="138">
        <f>O$21*shipping_manufacturing!$F$27/100</f>
        <v>180</v>
      </c>
      <c r="P33" s="138">
        <f>P$21*shipping_manufacturing!$F$27/100</f>
        <v>180</v>
      </c>
      <c r="Q33" s="138">
        <f>Q$21*shipping_manufacturing!$F$27/100</f>
        <v>180</v>
      </c>
      <c r="R33" s="138">
        <f>R$21*shipping_manufacturing!$F$27/100</f>
        <v>180</v>
      </c>
      <c r="S33" s="138">
        <f>S$21*shipping_manufacturing!$F$27/100</f>
        <v>180</v>
      </c>
      <c r="T33" s="138">
        <f>T$21*shipping_manufacturing!$F$27/100</f>
        <v>180</v>
      </c>
      <c r="U33" s="138">
        <f>U$21*shipping_manufacturing!$F$27/100</f>
        <v>180</v>
      </c>
      <c r="V33" s="138">
        <f>V$21*shipping_manufacturing!$F$27/100</f>
        <v>180</v>
      </c>
      <c r="W33" s="138">
        <f>W$21*shipping_manufacturing!$F$27/100</f>
        <v>180</v>
      </c>
      <c r="X33" s="138">
        <f>X$21*shipping_manufacturing!$F$27/100</f>
        <v>180</v>
      </c>
      <c r="Y33" s="138">
        <f>Y$21*shipping_manufacturing!$F$27/100</f>
        <v>180</v>
      </c>
      <c r="Z33" s="138">
        <f>Z$21*shipping_manufacturing!$F$27/100</f>
        <v>180</v>
      </c>
      <c r="AA33" s="138">
        <f>AA$21*shipping_manufacturing!$F$27/100</f>
        <v>180</v>
      </c>
      <c r="AB33" s="138">
        <f>AB$21*shipping_manufacturing!$F$27/100</f>
        <v>180</v>
      </c>
      <c r="AC33" s="138">
        <f>AC$21*shipping_manufacturing!$F$27/100</f>
        <v>180</v>
      </c>
      <c r="AD33" s="138">
        <f>AD$21*shipping_manufacturing!$F$27/100</f>
        <v>180</v>
      </c>
      <c r="AE33" s="138">
        <f>AE$21*shipping_manufacturing!$F$27/100</f>
        <v>180</v>
      </c>
      <c r="AF33" s="138">
        <f>AF$21*shipping_manufacturing!$F$27/100</f>
        <v>180</v>
      </c>
      <c r="AG33" s="138">
        <f>AG$21*shipping_manufacturing!$F$27/100</f>
        <v>180</v>
      </c>
      <c r="AH33" s="138">
        <f>AH$21*shipping_manufacturing!$F$27/100</f>
        <v>180</v>
      </c>
      <c r="AI33" s="138">
        <f>AI$21*shipping_manufacturing!$F$27/100</f>
        <v>180</v>
      </c>
      <c r="AJ33" s="138">
        <f>AJ$21*shipping_manufacturing!$F$27/100</f>
        <v>180</v>
      </c>
      <c r="AK33" s="138">
        <f>AK$21*shipping_manufacturing!$F$27/100</f>
        <v>180</v>
      </c>
      <c r="AL33" s="138">
        <f>AL$21*shipping_manufacturing!$F$27/100</f>
        <v>180</v>
      </c>
      <c r="AM33" s="138">
        <f>AM$21*shipping_manufacturing!$F$27/100</f>
        <v>180</v>
      </c>
      <c r="AN33" s="138">
        <f>AN$21*shipping_manufacturing!$F$27/100</f>
        <v>180</v>
      </c>
      <c r="AO33" s="138">
        <f>AO$21*shipping_manufacturing!$F$27/100</f>
        <v>180</v>
      </c>
      <c r="AP33" s="138">
        <f>AP$21*shipping_manufacturing!$F$27/100</f>
        <v>180</v>
      </c>
      <c r="AQ33" s="138">
        <f>AQ$21*shipping_manufacturing!$F$27/100</f>
        <v>180</v>
      </c>
      <c r="AR33" s="138">
        <f>AR$21*shipping_manufacturing!$F$27/100</f>
        <v>180</v>
      </c>
      <c r="AS33" s="138">
        <f>AS$21*shipping_manufacturing!$F$27/100</f>
        <v>180</v>
      </c>
      <c r="AT33" s="138">
        <f>AT$21*shipping_manufacturing!$F$27/100</f>
        <v>180</v>
      </c>
      <c r="AU33" s="138">
        <f>AU$21*shipping_manufacturing!$F$27/100</f>
        <v>180</v>
      </c>
      <c r="AV33" s="138">
        <f>AV$21*shipping_manufacturing!$F$27/100</f>
        <v>180</v>
      </c>
      <c r="AW33" s="138">
        <f>AW$21*shipping_manufacturing!$F$27/100</f>
        <v>180</v>
      </c>
      <c r="AX33" s="138">
        <f>AX$21*shipping_manufacturing!$F$27/100</f>
        <v>180</v>
      </c>
      <c r="AY33" s="138">
        <f>AY$21*shipping_manufacturing!$F$27/100</f>
        <v>180</v>
      </c>
    </row>
    <row r="34" spans="1:52" x14ac:dyDescent="0.2">
      <c r="A34" s="127" t="s">
        <v>339</v>
      </c>
      <c r="B34" s="179" t="s">
        <v>341</v>
      </c>
      <c r="C34" s="125"/>
      <c r="D34" s="125">
        <f>D$22*shipping_manufacturing!$G$27/100</f>
        <v>0</v>
      </c>
      <c r="E34" s="125">
        <f>E$22*shipping_manufacturing!$G$27/100</f>
        <v>0</v>
      </c>
      <c r="F34" s="125">
        <f>F$22*shipping_manufacturing!$G$27/100</f>
        <v>0</v>
      </c>
      <c r="G34" s="125">
        <f>G$22*shipping_manufacturing!$G$27/100</f>
        <v>0</v>
      </c>
      <c r="H34" s="125">
        <f>H$22*shipping_manufacturing!$G$27/100</f>
        <v>0</v>
      </c>
      <c r="I34" s="125">
        <f>I$22*shipping_manufacturing!$G$27/100</f>
        <v>0</v>
      </c>
      <c r="J34" s="125">
        <f>J$22*shipping_manufacturing!$G$27/100</f>
        <v>0</v>
      </c>
      <c r="K34" s="125">
        <f>K$22*shipping_manufacturing!$G$27/100</f>
        <v>0</v>
      </c>
      <c r="L34" s="125">
        <f>L$22*shipping_manufacturing!$G$27/100</f>
        <v>0</v>
      </c>
      <c r="M34" s="125">
        <f>M$22*shipping_manufacturing!$G$27/100</f>
        <v>0</v>
      </c>
      <c r="N34" s="125">
        <f>N$22*shipping_manufacturing!$G$27/100</f>
        <v>0</v>
      </c>
      <c r="O34" s="125">
        <f>O$22*shipping_manufacturing!$G$27/100</f>
        <v>0</v>
      </c>
      <c r="P34" s="125">
        <f>P$22*shipping_manufacturing!$G$27/100</f>
        <v>0</v>
      </c>
      <c r="Q34" s="125">
        <f>Q$22*shipping_manufacturing!$G$27/100</f>
        <v>0</v>
      </c>
      <c r="R34" s="125">
        <f>R$22*shipping_manufacturing!$G$27/100</f>
        <v>0</v>
      </c>
      <c r="S34" s="125">
        <f>S$22*shipping_manufacturing!$G$27/100</f>
        <v>0</v>
      </c>
      <c r="T34" s="125">
        <f>T$22*shipping_manufacturing!$G$27/100</f>
        <v>0</v>
      </c>
      <c r="U34" s="125">
        <f>U$22*shipping_manufacturing!$G$27/100</f>
        <v>0</v>
      </c>
      <c r="V34" s="125">
        <f>V$22*shipping_manufacturing!$G$27/100</f>
        <v>0</v>
      </c>
      <c r="W34" s="125">
        <f>W$22*shipping_manufacturing!$G$27/100</f>
        <v>0</v>
      </c>
      <c r="X34" s="125">
        <f>X$22*shipping_manufacturing!$G$27/100</f>
        <v>0</v>
      </c>
      <c r="Y34" s="125">
        <f>Y$22*shipping_manufacturing!$G$27/100</f>
        <v>0</v>
      </c>
      <c r="Z34" s="125">
        <f>Z$22*shipping_manufacturing!$G$27/100</f>
        <v>0</v>
      </c>
      <c r="AA34" s="125">
        <f>AA$22*shipping_manufacturing!$G$27/100</f>
        <v>0</v>
      </c>
      <c r="AB34" s="125">
        <f>AB$22*shipping_manufacturing!$G$27/100</f>
        <v>0</v>
      </c>
      <c r="AC34" s="125">
        <f>AC$22*shipping_manufacturing!$G$27/100</f>
        <v>0</v>
      </c>
      <c r="AD34" s="125">
        <f>AD$22*shipping_manufacturing!$G$27/100</f>
        <v>0</v>
      </c>
      <c r="AE34" s="125">
        <f>AE$22*shipping_manufacturing!$G$27/100</f>
        <v>0</v>
      </c>
      <c r="AF34" s="125">
        <f>AF$22*shipping_manufacturing!$G$27/100</f>
        <v>0</v>
      </c>
      <c r="AG34" s="125">
        <f>AG$22*shipping_manufacturing!$G$27/100</f>
        <v>0</v>
      </c>
      <c r="AH34" s="125">
        <f>AH$22*shipping_manufacturing!$G$27/100</f>
        <v>0</v>
      </c>
      <c r="AI34" s="125">
        <f>AI$22*shipping_manufacturing!$G$27/100</f>
        <v>0</v>
      </c>
      <c r="AJ34" s="125">
        <f>AJ$22*shipping_manufacturing!$G$27/100</f>
        <v>0</v>
      </c>
      <c r="AK34" s="125">
        <f>AK$22*shipping_manufacturing!$G$27/100</f>
        <v>0</v>
      </c>
      <c r="AL34" s="125">
        <f>AL$22*shipping_manufacturing!$G$27/100</f>
        <v>0</v>
      </c>
      <c r="AM34" s="125">
        <f>AM$22*shipping_manufacturing!$G$27/100</f>
        <v>0</v>
      </c>
      <c r="AN34" s="125">
        <f>AN$22*shipping_manufacturing!$G$27/100</f>
        <v>0</v>
      </c>
      <c r="AO34" s="125">
        <f>AO$22*shipping_manufacturing!$G$27/100</f>
        <v>0</v>
      </c>
      <c r="AP34" s="125">
        <f>AP$22*shipping_manufacturing!$G$27/100</f>
        <v>0</v>
      </c>
      <c r="AQ34" s="125">
        <f>AQ$22*shipping_manufacturing!$G$27/100</f>
        <v>0</v>
      </c>
      <c r="AR34" s="125">
        <f>AR$22*shipping_manufacturing!$G$27/100</f>
        <v>0</v>
      </c>
      <c r="AS34" s="125">
        <f>AS$22*shipping_manufacturing!$G$27/100</f>
        <v>0</v>
      </c>
      <c r="AT34" s="125">
        <f>AT$22*shipping_manufacturing!$G$27/100</f>
        <v>0</v>
      </c>
      <c r="AU34" s="125">
        <f>AU$22*shipping_manufacturing!$G$27/100</f>
        <v>0</v>
      </c>
      <c r="AV34" s="125">
        <f>AV$22*shipping_manufacturing!$G$27/100</f>
        <v>0</v>
      </c>
      <c r="AW34" s="125">
        <f>AW$22*shipping_manufacturing!$G$27/100</f>
        <v>0</v>
      </c>
      <c r="AX34" s="125">
        <f>AX$22*shipping_manufacturing!$G$27/100</f>
        <v>0</v>
      </c>
      <c r="AY34" s="125">
        <f>AY$22*shipping_manufacturing!$G$27/100</f>
        <v>0</v>
      </c>
    </row>
    <row r="35" spans="1:52" x14ac:dyDescent="0.2">
      <c r="A35" s="125">
        <v>1225</v>
      </c>
      <c r="B35" s="179" t="s">
        <v>342</v>
      </c>
      <c r="C35" s="125"/>
      <c r="D35" s="125">
        <f>SUM(D33:D34)</f>
        <v>185.04</v>
      </c>
      <c r="E35" s="125">
        <f t="shared" ref="E35:AY35" si="11">SUM(E33:E34)</f>
        <v>180</v>
      </c>
      <c r="F35" s="125">
        <f t="shared" si="11"/>
        <v>180</v>
      </c>
      <c r="G35" s="125">
        <f t="shared" si="11"/>
        <v>180</v>
      </c>
      <c r="H35" s="125">
        <f t="shared" si="11"/>
        <v>180</v>
      </c>
      <c r="I35" s="125">
        <f t="shared" si="11"/>
        <v>180</v>
      </c>
      <c r="J35" s="125">
        <f t="shared" si="11"/>
        <v>180</v>
      </c>
      <c r="K35" s="125">
        <f t="shared" si="11"/>
        <v>180</v>
      </c>
      <c r="L35" s="125">
        <f t="shared" si="11"/>
        <v>180</v>
      </c>
      <c r="M35" s="125">
        <f t="shared" si="11"/>
        <v>180</v>
      </c>
      <c r="N35" s="125">
        <f t="shared" si="11"/>
        <v>180</v>
      </c>
      <c r="O35" s="125">
        <f t="shared" si="11"/>
        <v>180</v>
      </c>
      <c r="P35" s="125">
        <f t="shared" si="11"/>
        <v>180</v>
      </c>
      <c r="Q35" s="125">
        <f t="shared" si="11"/>
        <v>180</v>
      </c>
      <c r="R35" s="125">
        <f t="shared" si="11"/>
        <v>180</v>
      </c>
      <c r="S35" s="125">
        <f t="shared" si="11"/>
        <v>180</v>
      </c>
      <c r="T35" s="125">
        <f t="shared" si="11"/>
        <v>180</v>
      </c>
      <c r="U35" s="125">
        <f t="shared" si="11"/>
        <v>180</v>
      </c>
      <c r="V35" s="125">
        <f t="shared" si="11"/>
        <v>180</v>
      </c>
      <c r="W35" s="125">
        <f t="shared" si="11"/>
        <v>180</v>
      </c>
      <c r="X35" s="125">
        <f t="shared" si="11"/>
        <v>180</v>
      </c>
      <c r="Y35" s="125">
        <f t="shared" si="11"/>
        <v>180</v>
      </c>
      <c r="Z35" s="125">
        <f t="shared" si="11"/>
        <v>180</v>
      </c>
      <c r="AA35" s="125">
        <f t="shared" si="11"/>
        <v>180</v>
      </c>
      <c r="AB35" s="125">
        <f t="shared" si="11"/>
        <v>180</v>
      </c>
      <c r="AC35" s="125">
        <f t="shared" si="11"/>
        <v>180</v>
      </c>
      <c r="AD35" s="125">
        <f t="shared" si="11"/>
        <v>180</v>
      </c>
      <c r="AE35" s="125">
        <f t="shared" si="11"/>
        <v>180</v>
      </c>
      <c r="AF35" s="125">
        <f t="shared" si="11"/>
        <v>180</v>
      </c>
      <c r="AG35" s="125">
        <f t="shared" si="11"/>
        <v>180</v>
      </c>
      <c r="AH35" s="125">
        <f t="shared" si="11"/>
        <v>180</v>
      </c>
      <c r="AI35" s="125">
        <f t="shared" si="11"/>
        <v>180</v>
      </c>
      <c r="AJ35" s="125">
        <f t="shared" si="11"/>
        <v>180</v>
      </c>
      <c r="AK35" s="125">
        <f t="shared" si="11"/>
        <v>180</v>
      </c>
      <c r="AL35" s="125">
        <f t="shared" si="11"/>
        <v>180</v>
      </c>
      <c r="AM35" s="125">
        <f t="shared" si="11"/>
        <v>180</v>
      </c>
      <c r="AN35" s="125">
        <f t="shared" si="11"/>
        <v>180</v>
      </c>
      <c r="AO35" s="125">
        <f t="shared" si="11"/>
        <v>180</v>
      </c>
      <c r="AP35" s="125">
        <f t="shared" si="11"/>
        <v>180</v>
      </c>
      <c r="AQ35" s="125">
        <f t="shared" si="11"/>
        <v>180</v>
      </c>
      <c r="AR35" s="125">
        <f t="shared" si="11"/>
        <v>180</v>
      </c>
      <c r="AS35" s="125">
        <f t="shared" si="11"/>
        <v>180</v>
      </c>
      <c r="AT35" s="125">
        <f t="shared" si="11"/>
        <v>180</v>
      </c>
      <c r="AU35" s="125">
        <f t="shared" si="11"/>
        <v>180</v>
      </c>
      <c r="AV35" s="125">
        <f t="shared" si="11"/>
        <v>180</v>
      </c>
      <c r="AW35" s="125">
        <f t="shared" si="11"/>
        <v>180</v>
      </c>
      <c r="AX35" s="125">
        <f t="shared" si="11"/>
        <v>180</v>
      </c>
      <c r="AY35" s="125">
        <f t="shared" si="11"/>
        <v>180</v>
      </c>
    </row>
    <row r="36" spans="1:52" x14ac:dyDescent="0.2">
      <c r="A36" s="125"/>
      <c r="B36" s="179" t="s">
        <v>343</v>
      </c>
      <c r="C36" s="125"/>
      <c r="D36" s="125"/>
      <c r="E36" s="125">
        <v>180</v>
      </c>
      <c r="F36" s="125"/>
      <c r="G36" s="125">
        <v>180</v>
      </c>
      <c r="H36" s="125"/>
      <c r="I36" s="125">
        <v>180</v>
      </c>
      <c r="J36" s="125"/>
      <c r="K36" s="125">
        <v>180</v>
      </c>
      <c r="L36" s="125"/>
      <c r="M36" s="125">
        <v>180</v>
      </c>
      <c r="N36" s="125"/>
      <c r="O36" s="125">
        <v>180</v>
      </c>
      <c r="P36" s="125"/>
      <c r="Q36" s="125">
        <v>180</v>
      </c>
      <c r="R36" s="125"/>
      <c r="S36" s="125">
        <v>180</v>
      </c>
      <c r="T36" s="125"/>
      <c r="U36" s="125">
        <v>180</v>
      </c>
      <c r="V36" s="125"/>
      <c r="W36" s="125">
        <v>180</v>
      </c>
      <c r="X36" s="125"/>
      <c r="Y36" s="125">
        <v>180</v>
      </c>
      <c r="Z36" s="125"/>
      <c r="AA36" s="125">
        <v>180</v>
      </c>
      <c r="AB36" s="125"/>
      <c r="AC36" s="125">
        <v>180</v>
      </c>
      <c r="AD36" s="125"/>
      <c r="AE36" s="125">
        <v>180</v>
      </c>
      <c r="AF36" s="125"/>
      <c r="AG36" s="125">
        <v>180</v>
      </c>
      <c r="AH36" s="125"/>
      <c r="AI36" s="125">
        <v>180</v>
      </c>
      <c r="AJ36" s="125"/>
      <c r="AK36" s="125">
        <v>180</v>
      </c>
      <c r="AL36" s="125"/>
      <c r="AM36" s="125">
        <v>180</v>
      </c>
      <c r="AN36" s="125"/>
      <c r="AO36" s="125">
        <v>180</v>
      </c>
      <c r="AP36" s="125"/>
      <c r="AQ36" s="125">
        <v>180</v>
      </c>
      <c r="AR36" s="125"/>
      <c r="AS36" s="125">
        <v>180</v>
      </c>
      <c r="AT36" s="125"/>
      <c r="AU36" s="125">
        <v>180</v>
      </c>
      <c r="AV36" s="125"/>
      <c r="AW36" s="125">
        <v>180</v>
      </c>
      <c r="AX36" s="125"/>
      <c r="AY36" s="125">
        <v>180</v>
      </c>
    </row>
    <row r="37" spans="1:52" x14ac:dyDescent="0.2">
      <c r="A37" s="125"/>
      <c r="B37" s="179" t="s">
        <v>344</v>
      </c>
      <c r="C37" s="125"/>
      <c r="D37" s="125"/>
      <c r="E37" s="125">
        <v>0</v>
      </c>
      <c r="F37" s="125"/>
      <c r="G37" s="125">
        <v>0</v>
      </c>
      <c r="H37" s="125"/>
      <c r="I37" s="125">
        <v>0</v>
      </c>
      <c r="J37" s="125"/>
      <c r="K37" s="125">
        <v>0</v>
      </c>
      <c r="L37" s="125"/>
      <c r="M37" s="125">
        <v>0</v>
      </c>
      <c r="N37" s="125"/>
      <c r="O37" s="125">
        <v>0</v>
      </c>
      <c r="P37" s="125"/>
      <c r="Q37" s="125">
        <v>0</v>
      </c>
      <c r="R37" s="125"/>
      <c r="S37" s="125">
        <v>0</v>
      </c>
      <c r="T37" s="125"/>
      <c r="U37" s="125">
        <v>0</v>
      </c>
      <c r="V37" s="125"/>
      <c r="W37" s="125">
        <v>0</v>
      </c>
      <c r="X37" s="125"/>
      <c r="Y37" s="125">
        <v>0</v>
      </c>
      <c r="Z37" s="125"/>
      <c r="AA37" s="125">
        <v>0</v>
      </c>
      <c r="AB37" s="125"/>
      <c r="AC37" s="125">
        <v>0</v>
      </c>
      <c r="AD37" s="125"/>
      <c r="AE37" s="125">
        <v>0</v>
      </c>
      <c r="AF37" s="125"/>
      <c r="AG37" s="125">
        <v>0</v>
      </c>
      <c r="AH37" s="125"/>
      <c r="AI37" s="125">
        <v>0</v>
      </c>
      <c r="AJ37" s="125"/>
      <c r="AK37" s="125">
        <v>0</v>
      </c>
      <c r="AL37" s="125"/>
      <c r="AM37" s="125">
        <v>0</v>
      </c>
      <c r="AN37" s="125"/>
      <c r="AO37" s="125">
        <v>0</v>
      </c>
      <c r="AP37" s="125"/>
      <c r="AQ37" s="125">
        <v>0</v>
      </c>
      <c r="AR37" s="125"/>
      <c r="AS37" s="125">
        <v>0</v>
      </c>
      <c r="AT37" s="125"/>
      <c r="AU37" s="125">
        <v>0</v>
      </c>
      <c r="AV37" s="125"/>
      <c r="AW37" s="125">
        <v>0</v>
      </c>
      <c r="AX37" s="125"/>
      <c r="AY37" s="125">
        <v>0</v>
      </c>
    </row>
    <row r="38" spans="1:52" x14ac:dyDescent="0.2">
      <c r="A38" s="125"/>
      <c r="B38" s="179" t="s">
        <v>345</v>
      </c>
      <c r="C38" s="125"/>
      <c r="D38" s="125"/>
      <c r="E38" s="125">
        <v>6</v>
      </c>
      <c r="F38" s="125"/>
      <c r="G38" s="125">
        <v>6</v>
      </c>
      <c r="H38" s="125"/>
      <c r="I38" s="125">
        <v>6</v>
      </c>
      <c r="J38" s="125"/>
      <c r="K38" s="125">
        <v>6</v>
      </c>
      <c r="L38" s="125"/>
      <c r="M38" s="125">
        <v>6</v>
      </c>
      <c r="N38" s="125"/>
      <c r="O38" s="125">
        <v>6</v>
      </c>
      <c r="P38" s="125"/>
      <c r="Q38" s="125">
        <v>6</v>
      </c>
      <c r="R38" s="125"/>
      <c r="S38" s="125">
        <v>6</v>
      </c>
      <c r="T38" s="125"/>
      <c r="U38" s="125">
        <v>6</v>
      </c>
      <c r="V38" s="125"/>
      <c r="W38" s="125">
        <v>6</v>
      </c>
      <c r="X38" s="125"/>
      <c r="Y38" s="125">
        <v>6</v>
      </c>
      <c r="Z38" s="125"/>
      <c r="AA38" s="125">
        <v>6</v>
      </c>
      <c r="AB38" s="125"/>
      <c r="AC38" s="125">
        <v>6</v>
      </c>
      <c r="AD38" s="125"/>
      <c r="AE38" s="125">
        <v>6</v>
      </c>
      <c r="AF38" s="125"/>
      <c r="AG38" s="125">
        <v>6</v>
      </c>
      <c r="AH38" s="125"/>
      <c r="AI38" s="125">
        <v>6</v>
      </c>
      <c r="AJ38" s="125"/>
      <c r="AK38" s="125">
        <v>6</v>
      </c>
      <c r="AL38" s="125"/>
      <c r="AM38" s="125">
        <v>6</v>
      </c>
      <c r="AN38" s="125"/>
      <c r="AO38" s="125">
        <v>6</v>
      </c>
      <c r="AP38" s="125"/>
      <c r="AQ38" s="125">
        <v>6</v>
      </c>
      <c r="AR38" s="125"/>
      <c r="AS38" s="125">
        <v>6</v>
      </c>
      <c r="AT38" s="125"/>
      <c r="AU38" s="125">
        <v>6</v>
      </c>
      <c r="AV38" s="125"/>
      <c r="AW38" s="125">
        <v>6</v>
      </c>
      <c r="AX38" s="125"/>
      <c r="AY38" s="125">
        <v>6</v>
      </c>
    </row>
    <row r="39" spans="1:52" x14ac:dyDescent="0.2">
      <c r="A39" s="125"/>
      <c r="B39" s="179" t="s">
        <v>346</v>
      </c>
      <c r="C39" s="125"/>
      <c r="D39" s="125">
        <f>D33-D36</f>
        <v>185.04</v>
      </c>
      <c r="E39" s="125">
        <f t="shared" ref="E39:AY39" si="12">E33-E36</f>
        <v>0</v>
      </c>
      <c r="F39" s="125">
        <f t="shared" si="12"/>
        <v>180</v>
      </c>
      <c r="G39" s="125">
        <f t="shared" si="12"/>
        <v>0</v>
      </c>
      <c r="H39" s="125">
        <f t="shared" si="12"/>
        <v>180</v>
      </c>
      <c r="I39" s="125">
        <f t="shared" si="12"/>
        <v>0</v>
      </c>
      <c r="J39" s="125">
        <f t="shared" si="12"/>
        <v>180</v>
      </c>
      <c r="K39" s="125">
        <f t="shared" si="12"/>
        <v>0</v>
      </c>
      <c r="L39" s="125">
        <f t="shared" si="12"/>
        <v>180</v>
      </c>
      <c r="M39" s="125">
        <f t="shared" si="12"/>
        <v>0</v>
      </c>
      <c r="N39" s="125">
        <f t="shared" si="12"/>
        <v>180</v>
      </c>
      <c r="O39" s="125">
        <f t="shared" si="12"/>
        <v>0</v>
      </c>
      <c r="P39" s="125">
        <f t="shared" si="12"/>
        <v>180</v>
      </c>
      <c r="Q39" s="125">
        <f t="shared" si="12"/>
        <v>0</v>
      </c>
      <c r="R39" s="125">
        <f t="shared" si="12"/>
        <v>180</v>
      </c>
      <c r="S39" s="125">
        <f t="shared" si="12"/>
        <v>0</v>
      </c>
      <c r="T39" s="125">
        <f t="shared" si="12"/>
        <v>180</v>
      </c>
      <c r="U39" s="125">
        <f t="shared" si="12"/>
        <v>0</v>
      </c>
      <c r="V39" s="125">
        <f t="shared" si="12"/>
        <v>180</v>
      </c>
      <c r="W39" s="125">
        <f t="shared" si="12"/>
        <v>0</v>
      </c>
      <c r="X39" s="125">
        <f t="shared" si="12"/>
        <v>180</v>
      </c>
      <c r="Y39" s="125">
        <f t="shared" si="12"/>
        <v>0</v>
      </c>
      <c r="Z39" s="125">
        <f t="shared" si="12"/>
        <v>180</v>
      </c>
      <c r="AA39" s="125">
        <f t="shared" si="12"/>
        <v>0</v>
      </c>
      <c r="AB39" s="125">
        <f t="shared" si="12"/>
        <v>180</v>
      </c>
      <c r="AC39" s="125">
        <f t="shared" si="12"/>
        <v>0</v>
      </c>
      <c r="AD39" s="125">
        <f t="shared" si="12"/>
        <v>180</v>
      </c>
      <c r="AE39" s="125">
        <f t="shared" si="12"/>
        <v>0</v>
      </c>
      <c r="AF39" s="125">
        <f t="shared" si="12"/>
        <v>180</v>
      </c>
      <c r="AG39" s="125">
        <f t="shared" si="12"/>
        <v>0</v>
      </c>
      <c r="AH39" s="125">
        <f t="shared" si="12"/>
        <v>180</v>
      </c>
      <c r="AI39" s="125">
        <f t="shared" si="12"/>
        <v>0</v>
      </c>
      <c r="AJ39" s="125">
        <f t="shared" si="12"/>
        <v>180</v>
      </c>
      <c r="AK39" s="125">
        <f t="shared" si="12"/>
        <v>0</v>
      </c>
      <c r="AL39" s="125">
        <f t="shared" si="12"/>
        <v>180</v>
      </c>
      <c r="AM39" s="125">
        <f t="shared" si="12"/>
        <v>0</v>
      </c>
      <c r="AN39" s="125">
        <f t="shared" si="12"/>
        <v>180</v>
      </c>
      <c r="AO39" s="125">
        <f t="shared" si="12"/>
        <v>0</v>
      </c>
      <c r="AP39" s="125">
        <f t="shared" si="12"/>
        <v>180</v>
      </c>
      <c r="AQ39" s="125">
        <f t="shared" si="12"/>
        <v>0</v>
      </c>
      <c r="AR39" s="125">
        <f t="shared" si="12"/>
        <v>180</v>
      </c>
      <c r="AS39" s="125">
        <f t="shared" si="12"/>
        <v>0</v>
      </c>
      <c r="AT39" s="125">
        <f t="shared" si="12"/>
        <v>180</v>
      </c>
      <c r="AU39" s="125">
        <f t="shared" si="12"/>
        <v>0</v>
      </c>
      <c r="AV39" s="125">
        <f t="shared" si="12"/>
        <v>180</v>
      </c>
      <c r="AW39" s="125">
        <f t="shared" si="12"/>
        <v>0</v>
      </c>
      <c r="AX39" s="125">
        <f t="shared" si="12"/>
        <v>180</v>
      </c>
      <c r="AY39" s="125">
        <f t="shared" si="12"/>
        <v>0</v>
      </c>
    </row>
    <row r="40" spans="1:52" x14ac:dyDescent="0.2">
      <c r="A40" s="125"/>
      <c r="B40" s="179" t="s">
        <v>347</v>
      </c>
      <c r="C40" s="125"/>
      <c r="D40" s="125">
        <f>D34-D37</f>
        <v>0</v>
      </c>
      <c r="E40" s="125">
        <f t="shared" ref="E40:AY40" si="13">E34-E37</f>
        <v>0</v>
      </c>
      <c r="F40" s="125">
        <f t="shared" si="13"/>
        <v>0</v>
      </c>
      <c r="G40" s="125">
        <f t="shared" si="13"/>
        <v>0</v>
      </c>
      <c r="H40" s="125">
        <f t="shared" si="13"/>
        <v>0</v>
      </c>
      <c r="I40" s="125">
        <f t="shared" si="13"/>
        <v>0</v>
      </c>
      <c r="J40" s="125">
        <f t="shared" si="13"/>
        <v>0</v>
      </c>
      <c r="K40" s="125">
        <f t="shared" si="13"/>
        <v>0</v>
      </c>
      <c r="L40" s="125">
        <f t="shared" si="13"/>
        <v>0</v>
      </c>
      <c r="M40" s="125">
        <f t="shared" si="13"/>
        <v>0</v>
      </c>
      <c r="N40" s="125">
        <f t="shared" si="13"/>
        <v>0</v>
      </c>
      <c r="O40" s="125">
        <f t="shared" si="13"/>
        <v>0</v>
      </c>
      <c r="P40" s="125">
        <f t="shared" si="13"/>
        <v>0</v>
      </c>
      <c r="Q40" s="125">
        <f t="shared" si="13"/>
        <v>0</v>
      </c>
      <c r="R40" s="125">
        <f t="shared" si="13"/>
        <v>0</v>
      </c>
      <c r="S40" s="125">
        <f t="shared" si="13"/>
        <v>0</v>
      </c>
      <c r="T40" s="125">
        <f t="shared" si="13"/>
        <v>0</v>
      </c>
      <c r="U40" s="125">
        <f t="shared" si="13"/>
        <v>0</v>
      </c>
      <c r="V40" s="125">
        <f t="shared" si="13"/>
        <v>0</v>
      </c>
      <c r="W40" s="125">
        <f t="shared" si="13"/>
        <v>0</v>
      </c>
      <c r="X40" s="125">
        <f t="shared" si="13"/>
        <v>0</v>
      </c>
      <c r="Y40" s="125">
        <f t="shared" si="13"/>
        <v>0</v>
      </c>
      <c r="Z40" s="125">
        <f t="shared" si="13"/>
        <v>0</v>
      </c>
      <c r="AA40" s="125">
        <f t="shared" si="13"/>
        <v>0</v>
      </c>
      <c r="AB40" s="125">
        <f t="shared" si="13"/>
        <v>0</v>
      </c>
      <c r="AC40" s="125">
        <f t="shared" si="13"/>
        <v>0</v>
      </c>
      <c r="AD40" s="125">
        <f t="shared" si="13"/>
        <v>0</v>
      </c>
      <c r="AE40" s="125">
        <f t="shared" si="13"/>
        <v>0</v>
      </c>
      <c r="AF40" s="125">
        <f t="shared" si="13"/>
        <v>0</v>
      </c>
      <c r="AG40" s="125">
        <f t="shared" si="13"/>
        <v>0</v>
      </c>
      <c r="AH40" s="125">
        <f t="shared" si="13"/>
        <v>0</v>
      </c>
      <c r="AI40" s="125">
        <f t="shared" si="13"/>
        <v>0</v>
      </c>
      <c r="AJ40" s="125">
        <f t="shared" si="13"/>
        <v>0</v>
      </c>
      <c r="AK40" s="125">
        <f t="shared" si="13"/>
        <v>0</v>
      </c>
      <c r="AL40" s="125">
        <f t="shared" si="13"/>
        <v>0</v>
      </c>
      <c r="AM40" s="125">
        <f t="shared" si="13"/>
        <v>0</v>
      </c>
      <c r="AN40" s="125">
        <f t="shared" si="13"/>
        <v>0</v>
      </c>
      <c r="AO40" s="125">
        <f t="shared" si="13"/>
        <v>0</v>
      </c>
      <c r="AP40" s="125">
        <f t="shared" si="13"/>
        <v>0</v>
      </c>
      <c r="AQ40" s="125">
        <f t="shared" si="13"/>
        <v>0</v>
      </c>
      <c r="AR40" s="125">
        <f t="shared" si="13"/>
        <v>0</v>
      </c>
      <c r="AS40" s="125">
        <f t="shared" si="13"/>
        <v>0</v>
      </c>
      <c r="AT40" s="125">
        <f t="shared" si="13"/>
        <v>0</v>
      </c>
      <c r="AU40" s="125">
        <f t="shared" si="13"/>
        <v>0</v>
      </c>
      <c r="AV40" s="125">
        <f t="shared" si="13"/>
        <v>0</v>
      </c>
      <c r="AW40" s="125">
        <f t="shared" si="13"/>
        <v>0</v>
      </c>
      <c r="AX40" s="125">
        <f t="shared" si="13"/>
        <v>0</v>
      </c>
      <c r="AY40" s="125">
        <f t="shared" si="13"/>
        <v>0</v>
      </c>
    </row>
    <row r="41" spans="1:52" x14ac:dyDescent="0.2">
      <c r="A41" s="125"/>
      <c r="B41" s="179" t="s">
        <v>348</v>
      </c>
      <c r="C41" s="125"/>
      <c r="D41" s="125">
        <v>1</v>
      </c>
      <c r="E41" s="125">
        <v>1</v>
      </c>
      <c r="F41" s="125">
        <v>1</v>
      </c>
      <c r="G41" s="125">
        <v>1</v>
      </c>
      <c r="H41" s="125">
        <v>1</v>
      </c>
      <c r="I41" s="125">
        <v>1</v>
      </c>
      <c r="J41" s="125">
        <v>1</v>
      </c>
      <c r="K41" s="125">
        <v>1</v>
      </c>
      <c r="L41" s="125">
        <v>1</v>
      </c>
      <c r="M41" s="125">
        <v>1</v>
      </c>
      <c r="N41" s="125">
        <v>2</v>
      </c>
      <c r="O41" s="125">
        <v>1</v>
      </c>
      <c r="P41" s="125">
        <v>2</v>
      </c>
      <c r="Q41" s="125">
        <v>1</v>
      </c>
      <c r="R41" s="125">
        <v>1</v>
      </c>
      <c r="S41" s="125">
        <v>2</v>
      </c>
      <c r="T41" s="125">
        <v>1</v>
      </c>
      <c r="U41" s="125">
        <v>2</v>
      </c>
      <c r="V41" s="125">
        <v>2</v>
      </c>
      <c r="W41" s="125">
        <v>1</v>
      </c>
      <c r="X41" s="125">
        <v>1</v>
      </c>
      <c r="Y41" s="125">
        <v>1</v>
      </c>
      <c r="Z41" s="125">
        <v>2</v>
      </c>
      <c r="AA41" s="125">
        <v>2</v>
      </c>
      <c r="AB41" s="125">
        <v>1</v>
      </c>
      <c r="AC41" s="125">
        <v>1</v>
      </c>
      <c r="AD41" s="125">
        <v>1</v>
      </c>
      <c r="AE41" s="125">
        <v>2</v>
      </c>
      <c r="AF41" s="125">
        <v>2</v>
      </c>
      <c r="AG41" s="125">
        <v>2</v>
      </c>
      <c r="AH41" s="125">
        <v>1</v>
      </c>
      <c r="AI41" s="125">
        <v>1</v>
      </c>
      <c r="AJ41" s="125">
        <v>1</v>
      </c>
      <c r="AK41" s="125">
        <v>2</v>
      </c>
      <c r="AL41" s="125">
        <v>2</v>
      </c>
      <c r="AM41" s="125">
        <v>2</v>
      </c>
      <c r="AN41" s="125">
        <v>1</v>
      </c>
      <c r="AO41" s="125">
        <v>1</v>
      </c>
      <c r="AP41" s="125">
        <v>2</v>
      </c>
      <c r="AQ41" s="125">
        <v>2</v>
      </c>
      <c r="AR41" s="125">
        <v>1</v>
      </c>
      <c r="AS41" s="125">
        <v>1</v>
      </c>
      <c r="AT41" s="125">
        <v>2</v>
      </c>
      <c r="AU41" s="125">
        <v>2</v>
      </c>
      <c r="AV41" s="125">
        <v>2</v>
      </c>
      <c r="AW41" s="125">
        <v>2</v>
      </c>
      <c r="AX41" s="125">
        <v>2</v>
      </c>
      <c r="AY41" s="125">
        <v>2</v>
      </c>
    </row>
    <row r="42" spans="1:52" x14ac:dyDescent="0.2">
      <c r="A42" s="125"/>
      <c r="B42" s="190" t="s">
        <v>349</v>
      </c>
      <c r="C42" s="125"/>
      <c r="D42" s="125">
        <v>0</v>
      </c>
      <c r="E42" s="125">
        <v>264600</v>
      </c>
      <c r="F42" s="125">
        <v>0</v>
      </c>
      <c r="G42" s="125">
        <v>264600</v>
      </c>
      <c r="H42" s="125">
        <v>0</v>
      </c>
      <c r="I42" s="125">
        <v>264600</v>
      </c>
      <c r="J42" s="125">
        <v>0</v>
      </c>
      <c r="K42" s="125">
        <v>264600</v>
      </c>
      <c r="L42" s="125">
        <v>0</v>
      </c>
      <c r="M42" s="125">
        <v>264600</v>
      </c>
      <c r="N42" s="125">
        <v>0</v>
      </c>
      <c r="O42" s="125">
        <v>264600</v>
      </c>
      <c r="P42" s="125">
        <v>0</v>
      </c>
      <c r="Q42" s="125">
        <v>264600</v>
      </c>
      <c r="R42" s="125">
        <v>0</v>
      </c>
      <c r="S42" s="125">
        <v>264600</v>
      </c>
      <c r="T42" s="125">
        <v>0</v>
      </c>
      <c r="U42" s="125">
        <v>264600</v>
      </c>
      <c r="V42" s="125">
        <v>0</v>
      </c>
      <c r="W42" s="125">
        <v>264600</v>
      </c>
      <c r="X42" s="125">
        <v>0</v>
      </c>
      <c r="Y42" s="125">
        <v>264600</v>
      </c>
      <c r="Z42" s="125">
        <v>0</v>
      </c>
      <c r="AA42" s="125">
        <v>264600</v>
      </c>
      <c r="AB42" s="125">
        <v>0</v>
      </c>
      <c r="AC42" s="125">
        <v>264600</v>
      </c>
      <c r="AD42" s="125">
        <v>0</v>
      </c>
      <c r="AE42" s="125">
        <v>264600</v>
      </c>
      <c r="AF42" s="125">
        <v>0</v>
      </c>
      <c r="AG42" s="125">
        <v>264600</v>
      </c>
      <c r="AH42" s="125">
        <v>0</v>
      </c>
      <c r="AI42" s="125">
        <v>264600</v>
      </c>
      <c r="AJ42" s="125">
        <v>0</v>
      </c>
      <c r="AK42" s="125">
        <v>264600</v>
      </c>
      <c r="AL42" s="125">
        <v>0</v>
      </c>
      <c r="AM42" s="125">
        <v>264600</v>
      </c>
      <c r="AN42" s="125">
        <v>0</v>
      </c>
      <c r="AO42" s="125">
        <v>264600</v>
      </c>
      <c r="AP42" s="125">
        <v>0</v>
      </c>
      <c r="AQ42" s="125">
        <v>264600</v>
      </c>
      <c r="AR42" s="125">
        <v>0</v>
      </c>
      <c r="AS42" s="125">
        <v>264600</v>
      </c>
      <c r="AT42" s="125">
        <v>0</v>
      </c>
      <c r="AU42" s="125">
        <v>264600</v>
      </c>
      <c r="AV42" s="125">
        <v>0</v>
      </c>
      <c r="AW42" s="125">
        <v>264600</v>
      </c>
      <c r="AX42" s="125">
        <v>0</v>
      </c>
      <c r="AY42" s="125">
        <v>264600</v>
      </c>
      <c r="AZ42">
        <f>SUM($D$42:$AY$42)</f>
        <v>6350400</v>
      </c>
    </row>
    <row r="43" spans="1:52" x14ac:dyDescent="0.2">
      <c r="A43" s="125"/>
      <c r="B43" s="190" t="s">
        <v>350</v>
      </c>
      <c r="C43" s="125"/>
      <c r="D43" s="125">
        <v>147338.1</v>
      </c>
      <c r="E43" s="125">
        <v>0</v>
      </c>
      <c r="F43" s="125">
        <v>143325</v>
      </c>
      <c r="G43" s="125">
        <v>0</v>
      </c>
      <c r="H43" s="125">
        <v>143325</v>
      </c>
      <c r="I43" s="125">
        <v>0</v>
      </c>
      <c r="J43" s="125">
        <v>143325</v>
      </c>
      <c r="K43" s="125">
        <v>0</v>
      </c>
      <c r="L43" s="125">
        <v>143325</v>
      </c>
      <c r="M43" s="125">
        <v>0</v>
      </c>
      <c r="N43" s="125">
        <v>143325</v>
      </c>
      <c r="O43" s="125">
        <v>0</v>
      </c>
      <c r="P43" s="125">
        <v>143325</v>
      </c>
      <c r="Q43" s="125">
        <v>0</v>
      </c>
      <c r="R43" s="125">
        <v>143325</v>
      </c>
      <c r="S43" s="125">
        <v>0</v>
      </c>
      <c r="T43" s="125">
        <v>143325</v>
      </c>
      <c r="U43" s="125">
        <v>0</v>
      </c>
      <c r="V43" s="125">
        <v>143325</v>
      </c>
      <c r="W43" s="125">
        <v>0</v>
      </c>
      <c r="X43" s="125">
        <v>143325</v>
      </c>
      <c r="Y43" s="125">
        <v>0</v>
      </c>
      <c r="Z43" s="125">
        <v>143325</v>
      </c>
      <c r="AA43" s="125">
        <v>0</v>
      </c>
      <c r="AB43" s="125">
        <v>143325</v>
      </c>
      <c r="AC43" s="125">
        <v>0</v>
      </c>
      <c r="AD43" s="125">
        <v>143325</v>
      </c>
      <c r="AE43" s="125">
        <v>0</v>
      </c>
      <c r="AF43" s="125">
        <v>143325</v>
      </c>
      <c r="AG43" s="125">
        <v>0</v>
      </c>
      <c r="AH43" s="125">
        <v>143325</v>
      </c>
      <c r="AI43" s="125">
        <v>0</v>
      </c>
      <c r="AJ43" s="125">
        <v>143325</v>
      </c>
      <c r="AK43" s="125">
        <v>0</v>
      </c>
      <c r="AL43" s="125">
        <v>143325</v>
      </c>
      <c r="AM43" s="125">
        <v>0</v>
      </c>
      <c r="AN43" s="125">
        <v>143325</v>
      </c>
      <c r="AO43" s="125">
        <v>0</v>
      </c>
      <c r="AP43" s="125">
        <v>143325</v>
      </c>
      <c r="AQ43" s="125">
        <v>0</v>
      </c>
      <c r="AR43" s="125">
        <v>143325</v>
      </c>
      <c r="AS43" s="125">
        <v>0</v>
      </c>
      <c r="AT43" s="125">
        <v>143325</v>
      </c>
      <c r="AU43" s="125">
        <v>0</v>
      </c>
      <c r="AV43" s="125">
        <v>143325</v>
      </c>
      <c r="AW43" s="125">
        <v>0</v>
      </c>
      <c r="AX43" s="125">
        <v>143325</v>
      </c>
      <c r="AY43" s="125">
        <v>0</v>
      </c>
      <c r="AZ43">
        <f>SUM($D$43:$AY$43)</f>
        <v>3443813.1</v>
      </c>
    </row>
    <row r="44" spans="1:52" x14ac:dyDescent="0.2">
      <c r="A44" s="149" t="s">
        <v>59</v>
      </c>
      <c r="B44" s="149" t="s">
        <v>340</v>
      </c>
      <c r="C44" s="138"/>
      <c r="D44" s="138">
        <f>D$21*shipping_manufacturing!$F$28/100</f>
        <v>328.96</v>
      </c>
      <c r="E44" s="138">
        <f>E$21*shipping_manufacturing!$F$28/100</f>
        <v>320</v>
      </c>
      <c r="F44" s="138">
        <f>F$21*shipping_manufacturing!$F$28/100</f>
        <v>320</v>
      </c>
      <c r="G44" s="138">
        <f>G$21*shipping_manufacturing!$F$28/100</f>
        <v>320</v>
      </c>
      <c r="H44" s="138">
        <f>H$21*shipping_manufacturing!$F$28/100</f>
        <v>320</v>
      </c>
      <c r="I44" s="138">
        <f>I$21*shipping_manufacturing!$F$28/100</f>
        <v>320</v>
      </c>
      <c r="J44" s="138">
        <f>J$21*shipping_manufacturing!$F$28/100</f>
        <v>320</v>
      </c>
      <c r="K44" s="138">
        <f>K$21*shipping_manufacturing!$F$28/100</f>
        <v>320</v>
      </c>
      <c r="L44" s="138">
        <f>L$21*shipping_manufacturing!$F$28/100</f>
        <v>320</v>
      </c>
      <c r="M44" s="138">
        <f>M$21*shipping_manufacturing!$F$28/100</f>
        <v>320</v>
      </c>
      <c r="N44" s="138">
        <f>N$21*shipping_manufacturing!$F$28/100</f>
        <v>320</v>
      </c>
      <c r="O44" s="138">
        <f>O$21*shipping_manufacturing!$F$28/100</f>
        <v>320</v>
      </c>
      <c r="P44" s="138">
        <f>P$21*shipping_manufacturing!$F$28/100</f>
        <v>320</v>
      </c>
      <c r="Q44" s="138">
        <f>Q$21*shipping_manufacturing!$F$28/100</f>
        <v>320</v>
      </c>
      <c r="R44" s="138">
        <f>R$21*shipping_manufacturing!$F$28/100</f>
        <v>320</v>
      </c>
      <c r="S44" s="138">
        <f>S$21*shipping_manufacturing!$F$28/100</f>
        <v>320</v>
      </c>
      <c r="T44" s="138">
        <f>T$21*shipping_manufacturing!$F$28/100</f>
        <v>320</v>
      </c>
      <c r="U44" s="138">
        <f>U$21*shipping_manufacturing!$F$28/100</f>
        <v>320</v>
      </c>
      <c r="V44" s="138">
        <f>V$21*shipping_manufacturing!$F$28/100</f>
        <v>320</v>
      </c>
      <c r="W44" s="138">
        <f>W$21*shipping_manufacturing!$F$28/100</f>
        <v>320</v>
      </c>
      <c r="X44" s="138">
        <f>X$21*shipping_manufacturing!$F$28/100</f>
        <v>320</v>
      </c>
      <c r="Y44" s="138">
        <f>Y$21*shipping_manufacturing!$F$28/100</f>
        <v>320</v>
      </c>
      <c r="Z44" s="138">
        <f>Z$21*shipping_manufacturing!$F$28/100</f>
        <v>320</v>
      </c>
      <c r="AA44" s="138">
        <f>AA$21*shipping_manufacturing!$F$28/100</f>
        <v>320</v>
      </c>
      <c r="AB44" s="138">
        <f>AB$21*shipping_manufacturing!$F$28/100</f>
        <v>320</v>
      </c>
      <c r="AC44" s="138">
        <f>AC$21*shipping_manufacturing!$F$28/100</f>
        <v>320</v>
      </c>
      <c r="AD44" s="138">
        <f>AD$21*shipping_manufacturing!$F$28/100</f>
        <v>320</v>
      </c>
      <c r="AE44" s="138">
        <f>AE$21*shipping_manufacturing!$F$28/100</f>
        <v>320</v>
      </c>
      <c r="AF44" s="138">
        <f>AF$21*shipping_manufacturing!$F$28/100</f>
        <v>320</v>
      </c>
      <c r="AG44" s="138">
        <f>AG$21*shipping_manufacturing!$F$28/100</f>
        <v>320</v>
      </c>
      <c r="AH44" s="138">
        <f>AH$21*shipping_manufacturing!$F$28/100</f>
        <v>320</v>
      </c>
      <c r="AI44" s="138">
        <f>AI$21*shipping_manufacturing!$F$28/100</f>
        <v>320</v>
      </c>
      <c r="AJ44" s="138">
        <f>AJ$21*shipping_manufacturing!$F$28/100</f>
        <v>320</v>
      </c>
      <c r="AK44" s="138">
        <f>AK$21*shipping_manufacturing!$F$28/100</f>
        <v>320</v>
      </c>
      <c r="AL44" s="138">
        <f>AL$21*shipping_manufacturing!$F$28/100</f>
        <v>320</v>
      </c>
      <c r="AM44" s="138">
        <f>AM$21*shipping_manufacturing!$F$28/100</f>
        <v>320</v>
      </c>
      <c r="AN44" s="138">
        <f>AN$21*shipping_manufacturing!$F$28/100</f>
        <v>320</v>
      </c>
      <c r="AO44" s="138">
        <f>AO$21*shipping_manufacturing!$F$28/100</f>
        <v>320</v>
      </c>
      <c r="AP44" s="138">
        <f>AP$21*shipping_manufacturing!$F$28/100</f>
        <v>320</v>
      </c>
      <c r="AQ44" s="138">
        <f>AQ$21*shipping_manufacturing!$F$28/100</f>
        <v>320</v>
      </c>
      <c r="AR44" s="138">
        <f>AR$21*shipping_manufacturing!$F$28/100</f>
        <v>320</v>
      </c>
      <c r="AS44" s="138">
        <f>AS$21*shipping_manufacturing!$F$28/100</f>
        <v>320</v>
      </c>
      <c r="AT44" s="138">
        <f>AT$21*shipping_manufacturing!$F$28/100</f>
        <v>320</v>
      </c>
      <c r="AU44" s="138">
        <f>AU$21*shipping_manufacturing!$F$28/100</f>
        <v>320</v>
      </c>
      <c r="AV44" s="138">
        <f>AV$21*shipping_manufacturing!$F$28/100</f>
        <v>320</v>
      </c>
      <c r="AW44" s="138">
        <f>AW$21*shipping_manufacturing!$F$28/100</f>
        <v>320</v>
      </c>
      <c r="AX44" s="138">
        <f>AX$21*shipping_manufacturing!$F$28/100</f>
        <v>320</v>
      </c>
      <c r="AY44" s="138">
        <f>AY$21*shipping_manufacturing!$F$28/100</f>
        <v>320</v>
      </c>
    </row>
    <row r="45" spans="1:52" x14ac:dyDescent="0.2">
      <c r="A45" s="127" t="s">
        <v>339</v>
      </c>
      <c r="B45" s="179" t="s">
        <v>341</v>
      </c>
      <c r="C45" s="125"/>
      <c r="D45" s="125">
        <f>D$22*shipping_manufacturing!$G$28/100</f>
        <v>0</v>
      </c>
      <c r="E45" s="125">
        <f>E$22*shipping_manufacturing!$G$28/100</f>
        <v>0</v>
      </c>
      <c r="F45" s="125">
        <f>F$22*shipping_manufacturing!$G$28/100</f>
        <v>0</v>
      </c>
      <c r="G45" s="125">
        <f>G$22*shipping_manufacturing!$G$28/100</f>
        <v>0</v>
      </c>
      <c r="H45" s="125">
        <f>H$22*shipping_manufacturing!$G$28/100</f>
        <v>0</v>
      </c>
      <c r="I45" s="125">
        <f>I$22*shipping_manufacturing!$G$28/100</f>
        <v>0</v>
      </c>
      <c r="J45" s="125">
        <f>J$22*shipping_manufacturing!$G$28/100</f>
        <v>0</v>
      </c>
      <c r="K45" s="125">
        <f>K$22*shipping_manufacturing!$G$28/100</f>
        <v>0</v>
      </c>
      <c r="L45" s="125">
        <f>L$22*shipping_manufacturing!$G$28/100</f>
        <v>0</v>
      </c>
      <c r="M45" s="125">
        <f>M$22*shipping_manufacturing!$G$28/100</f>
        <v>0</v>
      </c>
      <c r="N45" s="125">
        <f>N$22*shipping_manufacturing!$G$28/100</f>
        <v>0</v>
      </c>
      <c r="O45" s="125">
        <f>O$22*shipping_manufacturing!$G$28/100</f>
        <v>0</v>
      </c>
      <c r="P45" s="125">
        <f>P$22*shipping_manufacturing!$G$28/100</f>
        <v>0</v>
      </c>
      <c r="Q45" s="125">
        <f>Q$22*shipping_manufacturing!$G$28/100</f>
        <v>0</v>
      </c>
      <c r="R45" s="125">
        <f>R$22*shipping_manufacturing!$G$28/100</f>
        <v>0</v>
      </c>
      <c r="S45" s="125">
        <f>S$22*shipping_manufacturing!$G$28/100</f>
        <v>0</v>
      </c>
      <c r="T45" s="125">
        <f>T$22*shipping_manufacturing!$G$28/100</f>
        <v>0</v>
      </c>
      <c r="U45" s="125">
        <f>U$22*shipping_manufacturing!$G$28/100</f>
        <v>0</v>
      </c>
      <c r="V45" s="125">
        <f>V$22*shipping_manufacturing!$G$28/100</f>
        <v>0</v>
      </c>
      <c r="W45" s="125">
        <f>W$22*shipping_manufacturing!$G$28/100</f>
        <v>0</v>
      </c>
      <c r="X45" s="125">
        <f>X$22*shipping_manufacturing!$G$28/100</f>
        <v>0</v>
      </c>
      <c r="Y45" s="125">
        <f>Y$22*shipping_manufacturing!$G$28/100</f>
        <v>0</v>
      </c>
      <c r="Z45" s="125">
        <f>Z$22*shipping_manufacturing!$G$28/100</f>
        <v>0</v>
      </c>
      <c r="AA45" s="125">
        <f>AA$22*shipping_manufacturing!$G$28/100</f>
        <v>0</v>
      </c>
      <c r="AB45" s="125">
        <f>AB$22*shipping_manufacturing!$G$28/100</f>
        <v>0</v>
      </c>
      <c r="AC45" s="125">
        <f>AC$22*shipping_manufacturing!$G$28/100</f>
        <v>0</v>
      </c>
      <c r="AD45" s="125">
        <f>AD$22*shipping_manufacturing!$G$28/100</f>
        <v>0</v>
      </c>
      <c r="AE45" s="125">
        <f>AE$22*shipping_manufacturing!$G$28/100</f>
        <v>0</v>
      </c>
      <c r="AF45" s="125">
        <f>AF$22*shipping_manufacturing!$G$28/100</f>
        <v>0</v>
      </c>
      <c r="AG45" s="125">
        <f>AG$22*shipping_manufacturing!$G$28/100</f>
        <v>0</v>
      </c>
      <c r="AH45" s="125">
        <f>AH$22*shipping_manufacturing!$G$28/100</f>
        <v>0</v>
      </c>
      <c r="AI45" s="125">
        <f>AI$22*shipping_manufacturing!$G$28/100</f>
        <v>0</v>
      </c>
      <c r="AJ45" s="125">
        <f>AJ$22*shipping_manufacturing!$G$28/100</f>
        <v>0</v>
      </c>
      <c r="AK45" s="125">
        <f>AK$22*shipping_manufacturing!$G$28/100</f>
        <v>0</v>
      </c>
      <c r="AL45" s="125">
        <f>AL$22*shipping_manufacturing!$G$28/100</f>
        <v>0</v>
      </c>
      <c r="AM45" s="125">
        <f>AM$22*shipping_manufacturing!$G$28/100</f>
        <v>0</v>
      </c>
      <c r="AN45" s="125">
        <f>AN$22*shipping_manufacturing!$G$28/100</f>
        <v>0</v>
      </c>
      <c r="AO45" s="125">
        <f>AO$22*shipping_manufacturing!$G$28/100</f>
        <v>0</v>
      </c>
      <c r="AP45" s="125">
        <f>AP$22*shipping_manufacturing!$G$28/100</f>
        <v>0</v>
      </c>
      <c r="AQ45" s="125">
        <f>AQ$22*shipping_manufacturing!$G$28/100</f>
        <v>0</v>
      </c>
      <c r="AR45" s="125">
        <f>AR$22*shipping_manufacturing!$G$28/100</f>
        <v>0</v>
      </c>
      <c r="AS45" s="125">
        <f>AS$22*shipping_manufacturing!$G$28/100</f>
        <v>0</v>
      </c>
      <c r="AT45" s="125">
        <f>AT$22*shipping_manufacturing!$G$28/100</f>
        <v>0</v>
      </c>
      <c r="AU45" s="125">
        <f>AU$22*shipping_manufacturing!$G$28/100</f>
        <v>0</v>
      </c>
      <c r="AV45" s="125">
        <f>AV$22*shipping_manufacturing!$G$28/100</f>
        <v>0</v>
      </c>
      <c r="AW45" s="125">
        <f>AW$22*shipping_manufacturing!$G$28/100</f>
        <v>0</v>
      </c>
      <c r="AX45" s="125">
        <f>AX$22*shipping_manufacturing!$G$28/100</f>
        <v>0</v>
      </c>
      <c r="AY45" s="125">
        <f>AY$22*shipping_manufacturing!$G$28/100</f>
        <v>0</v>
      </c>
    </row>
    <row r="46" spans="1:52" x14ac:dyDescent="0.2">
      <c r="A46" s="125">
        <v>2339</v>
      </c>
      <c r="B46" s="179" t="s">
        <v>342</v>
      </c>
      <c r="C46" s="125"/>
      <c r="D46" s="125">
        <f>SUM(D44:D45)</f>
        <v>328.96</v>
      </c>
      <c r="E46" s="125">
        <f t="shared" ref="E46:AY46" si="14">SUM(E44:E45)</f>
        <v>320</v>
      </c>
      <c r="F46" s="125">
        <f t="shared" si="14"/>
        <v>320</v>
      </c>
      <c r="G46" s="125">
        <f t="shared" si="14"/>
        <v>320</v>
      </c>
      <c r="H46" s="125">
        <f t="shared" si="14"/>
        <v>320</v>
      </c>
      <c r="I46" s="125">
        <f t="shared" si="14"/>
        <v>320</v>
      </c>
      <c r="J46" s="125">
        <f t="shared" si="14"/>
        <v>320</v>
      </c>
      <c r="K46" s="125">
        <f t="shared" si="14"/>
        <v>320</v>
      </c>
      <c r="L46" s="125">
        <f t="shared" si="14"/>
        <v>320</v>
      </c>
      <c r="M46" s="125">
        <f t="shared" si="14"/>
        <v>320</v>
      </c>
      <c r="N46" s="125">
        <f t="shared" si="14"/>
        <v>320</v>
      </c>
      <c r="O46" s="125">
        <f t="shared" si="14"/>
        <v>320</v>
      </c>
      <c r="P46" s="125">
        <f t="shared" si="14"/>
        <v>320</v>
      </c>
      <c r="Q46" s="125">
        <f t="shared" si="14"/>
        <v>320</v>
      </c>
      <c r="R46" s="125">
        <f t="shared" si="14"/>
        <v>320</v>
      </c>
      <c r="S46" s="125">
        <f t="shared" si="14"/>
        <v>320</v>
      </c>
      <c r="T46" s="125">
        <f t="shared" si="14"/>
        <v>320</v>
      </c>
      <c r="U46" s="125">
        <f t="shared" si="14"/>
        <v>320</v>
      </c>
      <c r="V46" s="125">
        <f t="shared" si="14"/>
        <v>320</v>
      </c>
      <c r="W46" s="125">
        <f t="shared" si="14"/>
        <v>320</v>
      </c>
      <c r="X46" s="125">
        <f t="shared" si="14"/>
        <v>320</v>
      </c>
      <c r="Y46" s="125">
        <f t="shared" si="14"/>
        <v>320</v>
      </c>
      <c r="Z46" s="125">
        <f t="shared" si="14"/>
        <v>320</v>
      </c>
      <c r="AA46" s="125">
        <f t="shared" si="14"/>
        <v>320</v>
      </c>
      <c r="AB46" s="125">
        <f t="shared" si="14"/>
        <v>320</v>
      </c>
      <c r="AC46" s="125">
        <f t="shared" si="14"/>
        <v>320</v>
      </c>
      <c r="AD46" s="125">
        <f t="shared" si="14"/>
        <v>320</v>
      </c>
      <c r="AE46" s="125">
        <f t="shared" si="14"/>
        <v>320</v>
      </c>
      <c r="AF46" s="125">
        <f t="shared" si="14"/>
        <v>320</v>
      </c>
      <c r="AG46" s="125">
        <f t="shared" si="14"/>
        <v>320</v>
      </c>
      <c r="AH46" s="125">
        <f t="shared" si="14"/>
        <v>320</v>
      </c>
      <c r="AI46" s="125">
        <f t="shared" si="14"/>
        <v>320</v>
      </c>
      <c r="AJ46" s="125">
        <f t="shared" si="14"/>
        <v>320</v>
      </c>
      <c r="AK46" s="125">
        <f t="shared" si="14"/>
        <v>320</v>
      </c>
      <c r="AL46" s="125">
        <f t="shared" si="14"/>
        <v>320</v>
      </c>
      <c r="AM46" s="125">
        <f t="shared" si="14"/>
        <v>320</v>
      </c>
      <c r="AN46" s="125">
        <f t="shared" si="14"/>
        <v>320</v>
      </c>
      <c r="AO46" s="125">
        <f t="shared" si="14"/>
        <v>320</v>
      </c>
      <c r="AP46" s="125">
        <f t="shared" si="14"/>
        <v>320</v>
      </c>
      <c r="AQ46" s="125">
        <f t="shared" si="14"/>
        <v>320</v>
      </c>
      <c r="AR46" s="125">
        <f t="shared" si="14"/>
        <v>320</v>
      </c>
      <c r="AS46" s="125">
        <f t="shared" si="14"/>
        <v>320</v>
      </c>
      <c r="AT46" s="125">
        <f t="shared" si="14"/>
        <v>320</v>
      </c>
      <c r="AU46" s="125">
        <f t="shared" si="14"/>
        <v>320</v>
      </c>
      <c r="AV46" s="125">
        <f t="shared" si="14"/>
        <v>320</v>
      </c>
      <c r="AW46" s="125">
        <f t="shared" si="14"/>
        <v>320</v>
      </c>
      <c r="AX46" s="125">
        <f t="shared" si="14"/>
        <v>320</v>
      </c>
      <c r="AY46" s="125">
        <f t="shared" si="14"/>
        <v>320</v>
      </c>
    </row>
    <row r="47" spans="1:52" x14ac:dyDescent="0.2">
      <c r="A47" s="125"/>
      <c r="B47" s="179" t="s">
        <v>343</v>
      </c>
      <c r="C47" s="125"/>
      <c r="D47" s="125">
        <v>120</v>
      </c>
      <c r="E47" s="125">
        <v>320</v>
      </c>
      <c r="F47" s="125">
        <v>150</v>
      </c>
      <c r="G47" s="125">
        <v>320</v>
      </c>
      <c r="H47" s="125">
        <v>150</v>
      </c>
      <c r="I47" s="125">
        <v>320</v>
      </c>
      <c r="J47" s="125">
        <v>150</v>
      </c>
      <c r="K47" s="125">
        <v>320</v>
      </c>
      <c r="L47" s="125">
        <v>150</v>
      </c>
      <c r="M47" s="125">
        <v>320</v>
      </c>
      <c r="N47" s="125">
        <v>150</v>
      </c>
      <c r="O47" s="125">
        <v>320</v>
      </c>
      <c r="P47" s="125">
        <v>150</v>
      </c>
      <c r="Q47" s="125">
        <v>320</v>
      </c>
      <c r="R47" s="125">
        <v>150</v>
      </c>
      <c r="S47" s="125">
        <v>320</v>
      </c>
      <c r="T47" s="125">
        <v>150</v>
      </c>
      <c r="U47" s="125">
        <v>320</v>
      </c>
      <c r="V47" s="125">
        <v>150</v>
      </c>
      <c r="W47" s="125">
        <v>320</v>
      </c>
      <c r="X47" s="125">
        <v>150</v>
      </c>
      <c r="Y47" s="125">
        <v>320</v>
      </c>
      <c r="Z47" s="125">
        <v>150</v>
      </c>
      <c r="AA47" s="125">
        <v>320</v>
      </c>
      <c r="AB47" s="125">
        <v>150</v>
      </c>
      <c r="AC47" s="125">
        <v>320</v>
      </c>
      <c r="AD47" s="125">
        <v>150</v>
      </c>
      <c r="AE47" s="125">
        <v>320</v>
      </c>
      <c r="AF47" s="125">
        <v>150</v>
      </c>
      <c r="AG47" s="125">
        <v>320</v>
      </c>
      <c r="AH47" s="125">
        <v>150</v>
      </c>
      <c r="AI47" s="125">
        <v>320</v>
      </c>
      <c r="AJ47" s="125">
        <v>150</v>
      </c>
      <c r="AK47" s="125">
        <v>320</v>
      </c>
      <c r="AL47" s="125">
        <v>150</v>
      </c>
      <c r="AM47" s="125">
        <v>320</v>
      </c>
      <c r="AN47" s="125">
        <v>150</v>
      </c>
      <c r="AO47" s="125">
        <v>320</v>
      </c>
      <c r="AP47" s="125">
        <v>150</v>
      </c>
      <c r="AQ47" s="125">
        <v>320</v>
      </c>
      <c r="AR47" s="125">
        <v>150</v>
      </c>
      <c r="AS47" s="125">
        <v>320</v>
      </c>
      <c r="AT47" s="125">
        <v>150</v>
      </c>
      <c r="AU47" s="125">
        <v>320</v>
      </c>
      <c r="AV47" s="125">
        <v>150</v>
      </c>
      <c r="AW47" s="125">
        <v>320</v>
      </c>
      <c r="AX47" s="125">
        <v>150</v>
      </c>
      <c r="AY47" s="125">
        <v>320</v>
      </c>
    </row>
    <row r="48" spans="1:52" x14ac:dyDescent="0.2">
      <c r="A48" s="125"/>
      <c r="B48" s="179" t="s">
        <v>344</v>
      </c>
      <c r="C48" s="125"/>
      <c r="D48" s="125">
        <v>0</v>
      </c>
      <c r="E48" s="125">
        <v>0</v>
      </c>
      <c r="F48" s="125">
        <v>0</v>
      </c>
      <c r="G48" s="125">
        <v>0</v>
      </c>
      <c r="H48" s="125">
        <v>0</v>
      </c>
      <c r="I48" s="125">
        <v>0</v>
      </c>
      <c r="J48" s="125">
        <v>0</v>
      </c>
      <c r="K48" s="125">
        <v>0</v>
      </c>
      <c r="L48" s="125">
        <v>0</v>
      </c>
      <c r="M48" s="125">
        <v>0</v>
      </c>
      <c r="N48" s="125">
        <v>0</v>
      </c>
      <c r="O48" s="125">
        <v>0</v>
      </c>
      <c r="P48" s="125">
        <v>0</v>
      </c>
      <c r="Q48" s="125">
        <v>0</v>
      </c>
      <c r="R48" s="125">
        <v>0</v>
      </c>
      <c r="S48" s="125">
        <v>0</v>
      </c>
      <c r="T48" s="125">
        <v>0</v>
      </c>
      <c r="U48" s="125">
        <v>0</v>
      </c>
      <c r="V48" s="125">
        <v>0</v>
      </c>
      <c r="W48" s="125">
        <v>0</v>
      </c>
      <c r="X48" s="125">
        <v>0</v>
      </c>
      <c r="Y48" s="125">
        <v>0</v>
      </c>
      <c r="Z48" s="125">
        <v>0</v>
      </c>
      <c r="AA48" s="125">
        <v>0</v>
      </c>
      <c r="AB48" s="125">
        <v>0</v>
      </c>
      <c r="AC48" s="125">
        <v>0</v>
      </c>
      <c r="AD48" s="125">
        <v>0</v>
      </c>
      <c r="AE48" s="125">
        <v>0</v>
      </c>
      <c r="AF48" s="125">
        <v>0</v>
      </c>
      <c r="AG48" s="125">
        <v>0</v>
      </c>
      <c r="AH48" s="125">
        <v>0</v>
      </c>
      <c r="AI48" s="125">
        <v>0</v>
      </c>
      <c r="AJ48" s="125">
        <v>0</v>
      </c>
      <c r="AK48" s="125">
        <v>0</v>
      </c>
      <c r="AL48" s="125">
        <v>0</v>
      </c>
      <c r="AM48" s="125">
        <v>0</v>
      </c>
      <c r="AN48" s="125">
        <v>0</v>
      </c>
      <c r="AO48" s="125">
        <v>0</v>
      </c>
      <c r="AP48" s="125">
        <v>0</v>
      </c>
      <c r="AQ48" s="125">
        <v>0</v>
      </c>
      <c r="AR48" s="125">
        <v>0</v>
      </c>
      <c r="AS48" s="125">
        <v>0</v>
      </c>
      <c r="AT48" s="125">
        <v>0</v>
      </c>
      <c r="AU48" s="125">
        <v>0</v>
      </c>
      <c r="AV48" s="125">
        <v>0</v>
      </c>
      <c r="AW48" s="125">
        <v>0</v>
      </c>
      <c r="AX48" s="125">
        <v>0</v>
      </c>
      <c r="AY48" s="125">
        <v>0</v>
      </c>
    </row>
    <row r="49" spans="1:52" x14ac:dyDescent="0.2">
      <c r="A49" s="125"/>
      <c r="B49" s="179" t="s">
        <v>345</v>
      </c>
      <c r="C49" s="125"/>
      <c r="D49" s="125">
        <v>4</v>
      </c>
      <c r="E49" s="125">
        <v>11</v>
      </c>
      <c r="F49" s="125">
        <v>5</v>
      </c>
      <c r="G49" s="125">
        <v>11</v>
      </c>
      <c r="H49" s="125">
        <v>5</v>
      </c>
      <c r="I49" s="125">
        <v>11</v>
      </c>
      <c r="J49" s="125">
        <v>5</v>
      </c>
      <c r="K49" s="125">
        <v>11</v>
      </c>
      <c r="L49" s="125">
        <v>5</v>
      </c>
      <c r="M49" s="125">
        <v>11</v>
      </c>
      <c r="N49" s="125">
        <v>5</v>
      </c>
      <c r="O49" s="125">
        <v>11</v>
      </c>
      <c r="P49" s="125">
        <v>5</v>
      </c>
      <c r="Q49" s="125">
        <v>11</v>
      </c>
      <c r="R49" s="125">
        <v>5</v>
      </c>
      <c r="S49" s="125">
        <v>11</v>
      </c>
      <c r="T49" s="125">
        <v>5</v>
      </c>
      <c r="U49" s="125">
        <v>11</v>
      </c>
      <c r="V49" s="125">
        <v>5</v>
      </c>
      <c r="W49" s="125">
        <v>11</v>
      </c>
      <c r="X49" s="125">
        <v>5</v>
      </c>
      <c r="Y49" s="125">
        <v>11</v>
      </c>
      <c r="Z49" s="125">
        <v>5</v>
      </c>
      <c r="AA49" s="125">
        <v>11</v>
      </c>
      <c r="AB49" s="125">
        <v>5</v>
      </c>
      <c r="AC49" s="125">
        <v>11</v>
      </c>
      <c r="AD49" s="125">
        <v>5</v>
      </c>
      <c r="AE49" s="125">
        <v>11</v>
      </c>
      <c r="AF49" s="125">
        <v>5</v>
      </c>
      <c r="AG49" s="125">
        <v>11</v>
      </c>
      <c r="AH49" s="125">
        <v>5</v>
      </c>
      <c r="AI49" s="125">
        <v>11</v>
      </c>
      <c r="AJ49" s="125">
        <v>5</v>
      </c>
      <c r="AK49" s="125">
        <v>11</v>
      </c>
      <c r="AL49" s="125">
        <v>5</v>
      </c>
      <c r="AM49" s="125">
        <v>11</v>
      </c>
      <c r="AN49" s="125">
        <v>5</v>
      </c>
      <c r="AO49" s="125">
        <v>11</v>
      </c>
      <c r="AP49" s="125">
        <v>5</v>
      </c>
      <c r="AQ49" s="125">
        <v>11</v>
      </c>
      <c r="AR49" s="125">
        <v>5</v>
      </c>
      <c r="AS49" s="125">
        <v>11</v>
      </c>
      <c r="AT49" s="125">
        <v>5</v>
      </c>
      <c r="AU49" s="125">
        <v>11</v>
      </c>
      <c r="AV49" s="125">
        <v>5</v>
      </c>
      <c r="AW49" s="125">
        <v>11</v>
      </c>
      <c r="AX49" s="125">
        <v>5</v>
      </c>
      <c r="AY49" s="125">
        <v>11</v>
      </c>
    </row>
    <row r="50" spans="1:52" x14ac:dyDescent="0.2">
      <c r="A50" s="125"/>
      <c r="B50" s="179" t="s">
        <v>346</v>
      </c>
      <c r="C50" s="125"/>
      <c r="D50" s="125">
        <f>D44-D47</f>
        <v>208.95999999999998</v>
      </c>
      <c r="E50" s="125">
        <f t="shared" ref="E50:AY50" si="15">E44-E47</f>
        <v>0</v>
      </c>
      <c r="F50" s="125">
        <f t="shared" si="15"/>
        <v>170</v>
      </c>
      <c r="G50" s="125">
        <f t="shared" si="15"/>
        <v>0</v>
      </c>
      <c r="H50" s="125">
        <f t="shared" si="15"/>
        <v>170</v>
      </c>
      <c r="I50" s="125">
        <f t="shared" si="15"/>
        <v>0</v>
      </c>
      <c r="J50" s="125">
        <f t="shared" si="15"/>
        <v>170</v>
      </c>
      <c r="K50" s="125">
        <f t="shared" si="15"/>
        <v>0</v>
      </c>
      <c r="L50" s="125">
        <f t="shared" si="15"/>
        <v>170</v>
      </c>
      <c r="M50" s="125">
        <f t="shared" si="15"/>
        <v>0</v>
      </c>
      <c r="N50" s="125">
        <f t="shared" si="15"/>
        <v>170</v>
      </c>
      <c r="O50" s="125">
        <f t="shared" si="15"/>
        <v>0</v>
      </c>
      <c r="P50" s="125">
        <f t="shared" si="15"/>
        <v>170</v>
      </c>
      <c r="Q50" s="125">
        <f t="shared" si="15"/>
        <v>0</v>
      </c>
      <c r="R50" s="125">
        <f t="shared" si="15"/>
        <v>170</v>
      </c>
      <c r="S50" s="125">
        <f t="shared" si="15"/>
        <v>0</v>
      </c>
      <c r="T50" s="125">
        <f t="shared" si="15"/>
        <v>170</v>
      </c>
      <c r="U50" s="125">
        <f t="shared" si="15"/>
        <v>0</v>
      </c>
      <c r="V50" s="125">
        <f t="shared" si="15"/>
        <v>170</v>
      </c>
      <c r="W50" s="125">
        <f t="shared" si="15"/>
        <v>0</v>
      </c>
      <c r="X50" s="125">
        <f t="shared" si="15"/>
        <v>170</v>
      </c>
      <c r="Y50" s="125">
        <f t="shared" si="15"/>
        <v>0</v>
      </c>
      <c r="Z50" s="125">
        <f t="shared" si="15"/>
        <v>170</v>
      </c>
      <c r="AA50" s="125">
        <f t="shared" si="15"/>
        <v>0</v>
      </c>
      <c r="AB50" s="125">
        <f t="shared" si="15"/>
        <v>170</v>
      </c>
      <c r="AC50" s="125">
        <f t="shared" si="15"/>
        <v>0</v>
      </c>
      <c r="AD50" s="125">
        <f t="shared" si="15"/>
        <v>170</v>
      </c>
      <c r="AE50" s="125">
        <f t="shared" si="15"/>
        <v>0</v>
      </c>
      <c r="AF50" s="125">
        <f t="shared" si="15"/>
        <v>170</v>
      </c>
      <c r="AG50" s="125">
        <f t="shared" si="15"/>
        <v>0</v>
      </c>
      <c r="AH50" s="125">
        <f t="shared" si="15"/>
        <v>170</v>
      </c>
      <c r="AI50" s="125">
        <f t="shared" si="15"/>
        <v>0</v>
      </c>
      <c r="AJ50" s="125">
        <f t="shared" si="15"/>
        <v>170</v>
      </c>
      <c r="AK50" s="125">
        <f t="shared" si="15"/>
        <v>0</v>
      </c>
      <c r="AL50" s="125">
        <f t="shared" si="15"/>
        <v>170</v>
      </c>
      <c r="AM50" s="125">
        <f t="shared" si="15"/>
        <v>0</v>
      </c>
      <c r="AN50" s="125">
        <f t="shared" si="15"/>
        <v>170</v>
      </c>
      <c r="AO50" s="125">
        <f t="shared" si="15"/>
        <v>0</v>
      </c>
      <c r="AP50" s="125">
        <f t="shared" si="15"/>
        <v>170</v>
      </c>
      <c r="AQ50" s="125">
        <f t="shared" si="15"/>
        <v>0</v>
      </c>
      <c r="AR50" s="125">
        <f t="shared" si="15"/>
        <v>170</v>
      </c>
      <c r="AS50" s="125">
        <f t="shared" si="15"/>
        <v>0</v>
      </c>
      <c r="AT50" s="125">
        <f t="shared" si="15"/>
        <v>170</v>
      </c>
      <c r="AU50" s="125">
        <f t="shared" si="15"/>
        <v>0</v>
      </c>
      <c r="AV50" s="125">
        <f t="shared" si="15"/>
        <v>170</v>
      </c>
      <c r="AW50" s="125">
        <f t="shared" si="15"/>
        <v>0</v>
      </c>
      <c r="AX50" s="125">
        <f t="shared" si="15"/>
        <v>170</v>
      </c>
      <c r="AY50" s="125">
        <f t="shared" si="15"/>
        <v>0</v>
      </c>
    </row>
    <row r="51" spans="1:52" x14ac:dyDescent="0.2">
      <c r="A51" s="125"/>
      <c r="B51" s="179" t="s">
        <v>347</v>
      </c>
      <c r="C51" s="125"/>
      <c r="D51" s="125">
        <f>D45-D48</f>
        <v>0</v>
      </c>
      <c r="E51" s="125">
        <f t="shared" ref="E51:AY51" si="16">E45-E48</f>
        <v>0</v>
      </c>
      <c r="F51" s="125">
        <f t="shared" si="16"/>
        <v>0</v>
      </c>
      <c r="G51" s="125">
        <f t="shared" si="16"/>
        <v>0</v>
      </c>
      <c r="H51" s="125">
        <f t="shared" si="16"/>
        <v>0</v>
      </c>
      <c r="I51" s="125">
        <f t="shared" si="16"/>
        <v>0</v>
      </c>
      <c r="J51" s="125">
        <f t="shared" si="16"/>
        <v>0</v>
      </c>
      <c r="K51" s="125">
        <f t="shared" si="16"/>
        <v>0</v>
      </c>
      <c r="L51" s="125">
        <f t="shared" si="16"/>
        <v>0</v>
      </c>
      <c r="M51" s="125">
        <f t="shared" si="16"/>
        <v>0</v>
      </c>
      <c r="N51" s="125">
        <f t="shared" si="16"/>
        <v>0</v>
      </c>
      <c r="O51" s="125">
        <f t="shared" si="16"/>
        <v>0</v>
      </c>
      <c r="P51" s="125">
        <f t="shared" si="16"/>
        <v>0</v>
      </c>
      <c r="Q51" s="125">
        <f t="shared" si="16"/>
        <v>0</v>
      </c>
      <c r="R51" s="125">
        <f t="shared" si="16"/>
        <v>0</v>
      </c>
      <c r="S51" s="125">
        <f t="shared" si="16"/>
        <v>0</v>
      </c>
      <c r="T51" s="125">
        <f t="shared" si="16"/>
        <v>0</v>
      </c>
      <c r="U51" s="125">
        <f t="shared" si="16"/>
        <v>0</v>
      </c>
      <c r="V51" s="125">
        <f t="shared" si="16"/>
        <v>0</v>
      </c>
      <c r="W51" s="125">
        <f t="shared" si="16"/>
        <v>0</v>
      </c>
      <c r="X51" s="125">
        <f t="shared" si="16"/>
        <v>0</v>
      </c>
      <c r="Y51" s="125">
        <f t="shared" si="16"/>
        <v>0</v>
      </c>
      <c r="Z51" s="125">
        <f t="shared" si="16"/>
        <v>0</v>
      </c>
      <c r="AA51" s="125">
        <f t="shared" si="16"/>
        <v>0</v>
      </c>
      <c r="AB51" s="125">
        <f t="shared" si="16"/>
        <v>0</v>
      </c>
      <c r="AC51" s="125">
        <f t="shared" si="16"/>
        <v>0</v>
      </c>
      <c r="AD51" s="125">
        <f t="shared" si="16"/>
        <v>0</v>
      </c>
      <c r="AE51" s="125">
        <f t="shared" si="16"/>
        <v>0</v>
      </c>
      <c r="AF51" s="125">
        <f t="shared" si="16"/>
        <v>0</v>
      </c>
      <c r="AG51" s="125">
        <f t="shared" si="16"/>
        <v>0</v>
      </c>
      <c r="AH51" s="125">
        <f t="shared" si="16"/>
        <v>0</v>
      </c>
      <c r="AI51" s="125">
        <f t="shared" si="16"/>
        <v>0</v>
      </c>
      <c r="AJ51" s="125">
        <f t="shared" si="16"/>
        <v>0</v>
      </c>
      <c r="AK51" s="125">
        <f t="shared" si="16"/>
        <v>0</v>
      </c>
      <c r="AL51" s="125">
        <f t="shared" si="16"/>
        <v>0</v>
      </c>
      <c r="AM51" s="125">
        <f t="shared" si="16"/>
        <v>0</v>
      </c>
      <c r="AN51" s="125">
        <f t="shared" si="16"/>
        <v>0</v>
      </c>
      <c r="AO51" s="125">
        <f t="shared" si="16"/>
        <v>0</v>
      </c>
      <c r="AP51" s="125">
        <f t="shared" si="16"/>
        <v>0</v>
      </c>
      <c r="AQ51" s="125">
        <f t="shared" si="16"/>
        <v>0</v>
      </c>
      <c r="AR51" s="125">
        <f t="shared" si="16"/>
        <v>0</v>
      </c>
      <c r="AS51" s="125">
        <f t="shared" si="16"/>
        <v>0</v>
      </c>
      <c r="AT51" s="125">
        <f t="shared" si="16"/>
        <v>0</v>
      </c>
      <c r="AU51" s="125">
        <f t="shared" si="16"/>
        <v>0</v>
      </c>
      <c r="AV51" s="125">
        <f t="shared" si="16"/>
        <v>0</v>
      </c>
      <c r="AW51" s="125">
        <f t="shared" si="16"/>
        <v>0</v>
      </c>
      <c r="AX51" s="125">
        <f t="shared" si="16"/>
        <v>0</v>
      </c>
      <c r="AY51" s="125">
        <f t="shared" si="16"/>
        <v>0</v>
      </c>
    </row>
    <row r="52" spans="1:52" x14ac:dyDescent="0.2">
      <c r="A52" s="125"/>
      <c r="B52" s="179" t="s">
        <v>348</v>
      </c>
      <c r="C52" s="125"/>
      <c r="D52" s="125">
        <v>3</v>
      </c>
      <c r="E52" s="125">
        <v>4</v>
      </c>
      <c r="F52" s="125">
        <v>2</v>
      </c>
      <c r="G52" s="125">
        <v>2</v>
      </c>
      <c r="H52" s="125">
        <v>2</v>
      </c>
      <c r="I52" s="125">
        <v>2</v>
      </c>
      <c r="J52" s="125">
        <v>3</v>
      </c>
      <c r="K52" s="125">
        <v>2</v>
      </c>
      <c r="L52" s="125">
        <v>2</v>
      </c>
      <c r="M52" s="125">
        <v>2</v>
      </c>
      <c r="N52" s="125">
        <v>2</v>
      </c>
      <c r="O52" s="125">
        <v>4</v>
      </c>
      <c r="P52" s="125">
        <v>2</v>
      </c>
      <c r="Q52" s="125">
        <v>3</v>
      </c>
      <c r="R52" s="125">
        <v>2</v>
      </c>
      <c r="S52" s="125">
        <v>2</v>
      </c>
      <c r="T52" s="125">
        <v>2</v>
      </c>
      <c r="U52" s="125">
        <v>3</v>
      </c>
      <c r="V52" s="125">
        <v>3</v>
      </c>
      <c r="W52" s="125">
        <v>3</v>
      </c>
      <c r="X52" s="125">
        <v>4</v>
      </c>
      <c r="Y52" s="125">
        <v>2</v>
      </c>
      <c r="Z52" s="125">
        <v>3</v>
      </c>
      <c r="AA52" s="125">
        <v>2</v>
      </c>
      <c r="AB52" s="125">
        <v>2</v>
      </c>
      <c r="AC52" s="125">
        <v>2</v>
      </c>
      <c r="AD52" s="125">
        <v>4</v>
      </c>
      <c r="AE52" s="125">
        <v>3</v>
      </c>
      <c r="AF52" s="125">
        <v>4</v>
      </c>
      <c r="AG52" s="125">
        <v>3</v>
      </c>
      <c r="AH52" s="125">
        <v>2</v>
      </c>
      <c r="AI52" s="125">
        <v>3</v>
      </c>
      <c r="AJ52" s="125">
        <v>2</v>
      </c>
      <c r="AK52" s="125">
        <v>3</v>
      </c>
      <c r="AL52" s="125">
        <v>3</v>
      </c>
      <c r="AM52" s="125">
        <v>2</v>
      </c>
      <c r="AN52" s="125">
        <v>2</v>
      </c>
      <c r="AO52" s="125">
        <v>3</v>
      </c>
      <c r="AP52" s="125">
        <v>4</v>
      </c>
      <c r="AQ52" s="125">
        <v>2</v>
      </c>
      <c r="AR52" s="125">
        <v>2</v>
      </c>
      <c r="AS52" s="125">
        <v>2</v>
      </c>
      <c r="AT52" s="125">
        <v>2</v>
      </c>
      <c r="AU52" s="125">
        <v>4</v>
      </c>
      <c r="AV52" s="125">
        <v>3</v>
      </c>
      <c r="AW52" s="125">
        <v>2</v>
      </c>
      <c r="AX52" s="125">
        <v>2</v>
      </c>
      <c r="AY52" s="125">
        <v>2</v>
      </c>
    </row>
    <row r="53" spans="1:52" x14ac:dyDescent="0.2">
      <c r="A53" s="125"/>
      <c r="B53" s="190" t="s">
        <v>349</v>
      </c>
      <c r="C53" s="125"/>
      <c r="D53" s="125">
        <v>336816</v>
      </c>
      <c r="E53" s="125">
        <v>926244</v>
      </c>
      <c r="F53" s="125">
        <v>421020</v>
      </c>
      <c r="G53" s="125">
        <v>926244</v>
      </c>
      <c r="H53" s="125">
        <v>421020</v>
      </c>
      <c r="I53" s="125">
        <v>926244</v>
      </c>
      <c r="J53" s="125">
        <v>421020</v>
      </c>
      <c r="K53" s="125">
        <v>926244</v>
      </c>
      <c r="L53" s="125">
        <v>421020</v>
      </c>
      <c r="M53" s="125">
        <v>926244</v>
      </c>
      <c r="N53" s="125">
        <v>421020</v>
      </c>
      <c r="O53" s="125">
        <v>926244</v>
      </c>
      <c r="P53" s="125">
        <v>421020</v>
      </c>
      <c r="Q53" s="125">
        <v>926244</v>
      </c>
      <c r="R53" s="125">
        <v>421020</v>
      </c>
      <c r="S53" s="125">
        <v>926244</v>
      </c>
      <c r="T53" s="125">
        <v>421020</v>
      </c>
      <c r="U53" s="125">
        <v>926244</v>
      </c>
      <c r="V53" s="125">
        <v>421020</v>
      </c>
      <c r="W53" s="125">
        <v>926244</v>
      </c>
      <c r="X53" s="125">
        <v>421020</v>
      </c>
      <c r="Y53" s="125">
        <v>926244</v>
      </c>
      <c r="Z53" s="125">
        <v>421020</v>
      </c>
      <c r="AA53" s="125">
        <v>926244</v>
      </c>
      <c r="AB53" s="125">
        <v>421020</v>
      </c>
      <c r="AC53" s="125">
        <v>926244</v>
      </c>
      <c r="AD53" s="125">
        <v>421020</v>
      </c>
      <c r="AE53" s="125">
        <v>926244</v>
      </c>
      <c r="AF53" s="125">
        <v>421020</v>
      </c>
      <c r="AG53" s="125">
        <v>926244</v>
      </c>
      <c r="AH53" s="125">
        <v>421020</v>
      </c>
      <c r="AI53" s="125">
        <v>926244</v>
      </c>
      <c r="AJ53" s="125">
        <v>421020</v>
      </c>
      <c r="AK53" s="125">
        <v>926244</v>
      </c>
      <c r="AL53" s="125">
        <v>421020</v>
      </c>
      <c r="AM53" s="125">
        <v>926244</v>
      </c>
      <c r="AN53" s="125">
        <v>421020</v>
      </c>
      <c r="AO53" s="125">
        <v>926244</v>
      </c>
      <c r="AP53" s="125">
        <v>421020</v>
      </c>
      <c r="AQ53" s="125">
        <v>926244</v>
      </c>
      <c r="AR53" s="125">
        <v>421020</v>
      </c>
      <c r="AS53" s="125">
        <v>926244</v>
      </c>
      <c r="AT53" s="125">
        <v>421020</v>
      </c>
      <c r="AU53" s="125">
        <v>926244</v>
      </c>
      <c r="AV53" s="125">
        <v>421020</v>
      </c>
      <c r="AW53" s="125">
        <v>926244</v>
      </c>
      <c r="AX53" s="125">
        <v>421020</v>
      </c>
      <c r="AY53" s="125">
        <v>926244</v>
      </c>
      <c r="AZ53">
        <f>SUM($D$53:$AY$53)</f>
        <v>32250132</v>
      </c>
    </row>
    <row r="54" spans="1:52" x14ac:dyDescent="0.2">
      <c r="A54" s="139"/>
      <c r="B54" s="154" t="s">
        <v>350</v>
      </c>
      <c r="C54" s="139"/>
      <c r="D54" s="139">
        <v>317692.33599999995</v>
      </c>
      <c r="E54" s="139">
        <v>0</v>
      </c>
      <c r="F54" s="139">
        <v>258459.5</v>
      </c>
      <c r="G54" s="139">
        <v>0</v>
      </c>
      <c r="H54" s="139">
        <v>258459.5</v>
      </c>
      <c r="I54" s="139">
        <v>0</v>
      </c>
      <c r="J54" s="139">
        <v>258459.5</v>
      </c>
      <c r="K54" s="139">
        <v>0</v>
      </c>
      <c r="L54" s="139">
        <v>258459.5</v>
      </c>
      <c r="M54" s="139">
        <v>0</v>
      </c>
      <c r="N54" s="139">
        <v>258459.5</v>
      </c>
      <c r="O54" s="139">
        <v>0</v>
      </c>
      <c r="P54" s="139">
        <v>258459.5</v>
      </c>
      <c r="Q54" s="139">
        <v>0</v>
      </c>
      <c r="R54" s="139">
        <v>258459.5</v>
      </c>
      <c r="S54" s="139">
        <v>0</v>
      </c>
      <c r="T54" s="139">
        <v>258459.5</v>
      </c>
      <c r="U54" s="139">
        <v>0</v>
      </c>
      <c r="V54" s="139">
        <v>258459.5</v>
      </c>
      <c r="W54" s="139">
        <v>0</v>
      </c>
      <c r="X54" s="139">
        <v>258459.5</v>
      </c>
      <c r="Y54" s="139">
        <v>0</v>
      </c>
      <c r="Z54" s="139">
        <v>258459.5</v>
      </c>
      <c r="AA54" s="139">
        <v>0</v>
      </c>
      <c r="AB54" s="139">
        <v>258459.5</v>
      </c>
      <c r="AC54" s="139">
        <v>0</v>
      </c>
      <c r="AD54" s="139">
        <v>258459.5</v>
      </c>
      <c r="AE54" s="139">
        <v>0</v>
      </c>
      <c r="AF54" s="139">
        <v>258459.5</v>
      </c>
      <c r="AG54" s="139">
        <v>0</v>
      </c>
      <c r="AH54" s="139">
        <v>258459.5</v>
      </c>
      <c r="AI54" s="139">
        <v>0</v>
      </c>
      <c r="AJ54" s="139">
        <v>258459.5</v>
      </c>
      <c r="AK54" s="139">
        <v>0</v>
      </c>
      <c r="AL54" s="139">
        <v>258459.5</v>
      </c>
      <c r="AM54" s="139">
        <v>0</v>
      </c>
      <c r="AN54" s="139">
        <v>258459.5</v>
      </c>
      <c r="AO54" s="139">
        <v>0</v>
      </c>
      <c r="AP54" s="139">
        <v>258459.5</v>
      </c>
      <c r="AQ54" s="139">
        <v>0</v>
      </c>
      <c r="AR54" s="139">
        <v>258459.5</v>
      </c>
      <c r="AS54" s="139">
        <v>0</v>
      </c>
      <c r="AT54" s="139">
        <v>258459.5</v>
      </c>
      <c r="AU54" s="139">
        <v>0</v>
      </c>
      <c r="AV54" s="139">
        <v>258459.5</v>
      </c>
      <c r="AW54" s="139">
        <v>0</v>
      </c>
      <c r="AX54" s="139">
        <v>258459.5</v>
      </c>
      <c r="AY54" s="139">
        <v>0</v>
      </c>
      <c r="AZ54">
        <f>SUM($D$54:$AY$54)</f>
        <v>6262260.8360000001</v>
      </c>
    </row>
  </sheetData>
  <pageMargins left="0.75" right="0.75" top="1" bottom="1" header="0.5" footer="0.5"/>
  <pageSetup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Z54"/>
  <sheetViews>
    <sheetView workbookViewId="0">
      <pane xSplit="2" ySplit="6" topLeftCell="C7" activePane="bottomRight" state="frozen"/>
      <selection pane="topRight"/>
      <selection pane="bottomLeft"/>
      <selection pane="bottomRight" activeCell="C27" sqref="C27:C29"/>
    </sheetView>
  </sheetViews>
  <sheetFormatPr defaultRowHeight="12.75" x14ac:dyDescent="0.2"/>
  <cols>
    <col min="1" max="1" width="14.7109375" customWidth="1"/>
    <col min="2" max="2" width="17.7109375" customWidth="1"/>
    <col min="52" max="52" width="10.7109375" customWidth="1"/>
  </cols>
  <sheetData>
    <row r="1" spans="1:52" x14ac:dyDescent="0.2">
      <c r="A1" s="1" t="s">
        <v>118</v>
      </c>
    </row>
    <row r="2" spans="1:52" x14ac:dyDescent="0.2">
      <c r="A2" t="s">
        <v>303</v>
      </c>
      <c r="B2" s="122" t="s">
        <v>12</v>
      </c>
      <c r="E2" s="125"/>
    </row>
    <row r="3" spans="1:52" x14ac:dyDescent="0.2">
      <c r="A3" t="s">
        <v>286</v>
      </c>
      <c r="B3" s="122">
        <v>3589</v>
      </c>
      <c r="E3" s="125"/>
    </row>
    <row r="4" spans="1:52" x14ac:dyDescent="0.2">
      <c r="A4" s="1"/>
      <c r="C4" s="9" t="s">
        <v>287</v>
      </c>
    </row>
    <row r="5" spans="1:52" x14ac:dyDescent="0.2">
      <c r="B5" s="121"/>
      <c r="C5" s="126">
        <v>0</v>
      </c>
      <c r="D5" s="126">
        <v>1</v>
      </c>
      <c r="E5" s="126">
        <v>2</v>
      </c>
      <c r="F5" s="126">
        <v>3</v>
      </c>
      <c r="G5" s="126">
        <v>4</v>
      </c>
      <c r="H5" s="126">
        <v>5</v>
      </c>
      <c r="I5" s="126">
        <v>6</v>
      </c>
      <c r="J5" s="126">
        <v>7</v>
      </c>
      <c r="K5" s="126">
        <v>8</v>
      </c>
      <c r="L5" s="126">
        <v>9</v>
      </c>
      <c r="M5" s="126">
        <v>10</v>
      </c>
      <c r="N5" s="126">
        <v>11</v>
      </c>
      <c r="O5" s="126">
        <v>12</v>
      </c>
      <c r="P5" s="126">
        <v>13</v>
      </c>
      <c r="Q5" s="126">
        <v>14</v>
      </c>
      <c r="R5" s="126">
        <v>15</v>
      </c>
      <c r="S5" s="126">
        <v>16</v>
      </c>
      <c r="T5" s="126">
        <v>17</v>
      </c>
      <c r="U5" s="126">
        <v>18</v>
      </c>
      <c r="V5" s="126">
        <v>19</v>
      </c>
      <c r="W5" s="126">
        <v>20</v>
      </c>
      <c r="X5" s="126">
        <v>21</v>
      </c>
      <c r="Y5" s="126">
        <v>22</v>
      </c>
      <c r="Z5" s="126">
        <v>23</v>
      </c>
      <c r="AA5" s="126">
        <v>24</v>
      </c>
      <c r="AB5" s="126">
        <v>25</v>
      </c>
      <c r="AC5" s="126">
        <v>26</v>
      </c>
      <c r="AD5" s="126">
        <v>27</v>
      </c>
      <c r="AE5" s="126">
        <v>28</v>
      </c>
      <c r="AF5" s="126">
        <v>29</v>
      </c>
      <c r="AG5" s="126">
        <v>30</v>
      </c>
      <c r="AH5" s="126">
        <v>31</v>
      </c>
      <c r="AI5" s="126">
        <v>32</v>
      </c>
      <c r="AJ5" s="126">
        <v>33</v>
      </c>
      <c r="AK5" s="126">
        <v>34</v>
      </c>
      <c r="AL5" s="126">
        <v>35</v>
      </c>
      <c r="AM5" s="126">
        <v>36</v>
      </c>
      <c r="AN5" s="126">
        <v>37</v>
      </c>
      <c r="AO5" s="126">
        <v>38</v>
      </c>
      <c r="AP5" s="126">
        <v>39</v>
      </c>
      <c r="AQ5" s="126">
        <v>40</v>
      </c>
      <c r="AR5" s="126">
        <v>41</v>
      </c>
      <c r="AS5" s="126">
        <v>42</v>
      </c>
      <c r="AT5" s="126">
        <v>43</v>
      </c>
      <c r="AU5" s="126">
        <v>44</v>
      </c>
      <c r="AV5" s="126">
        <v>45</v>
      </c>
      <c r="AW5" s="126">
        <v>46</v>
      </c>
      <c r="AX5" s="126">
        <v>47</v>
      </c>
      <c r="AY5" s="126">
        <v>48</v>
      </c>
    </row>
    <row r="6" spans="1:52" x14ac:dyDescent="0.2">
      <c r="A6" s="1" t="s">
        <v>304</v>
      </c>
      <c r="B6" s="128"/>
      <c r="C6" s="127" t="s">
        <v>288</v>
      </c>
      <c r="D6" s="126" t="s">
        <v>289</v>
      </c>
      <c r="E6" s="126" t="s">
        <v>289</v>
      </c>
      <c r="F6" s="126" t="s">
        <v>289</v>
      </c>
      <c r="G6" s="126" t="s">
        <v>289</v>
      </c>
      <c r="H6" s="126" t="s">
        <v>289</v>
      </c>
      <c r="I6" s="126" t="s">
        <v>289</v>
      </c>
      <c r="J6" s="126" t="s">
        <v>289</v>
      </c>
      <c r="K6" s="126" t="s">
        <v>289</v>
      </c>
      <c r="L6" s="126" t="s">
        <v>289</v>
      </c>
      <c r="M6" s="126" t="s">
        <v>289</v>
      </c>
      <c r="N6" s="126" t="s">
        <v>289</v>
      </c>
      <c r="O6" s="126" t="s">
        <v>289</v>
      </c>
      <c r="P6" s="126" t="s">
        <v>289</v>
      </c>
      <c r="Q6" s="126" t="s">
        <v>289</v>
      </c>
      <c r="R6" s="126" t="s">
        <v>289</v>
      </c>
      <c r="S6" s="126" t="s">
        <v>289</v>
      </c>
      <c r="T6" s="126" t="s">
        <v>289</v>
      </c>
      <c r="U6" s="126" t="s">
        <v>289</v>
      </c>
      <c r="V6" s="126" t="s">
        <v>289</v>
      </c>
      <c r="W6" s="126" t="s">
        <v>289</v>
      </c>
      <c r="X6" s="126" t="s">
        <v>289</v>
      </c>
      <c r="Y6" s="126" t="s">
        <v>289</v>
      </c>
      <c r="Z6" s="126" t="s">
        <v>289</v>
      </c>
      <c r="AA6" s="126" t="s">
        <v>289</v>
      </c>
      <c r="AB6" s="126" t="s">
        <v>289</v>
      </c>
      <c r="AC6" s="126" t="s">
        <v>289</v>
      </c>
      <c r="AD6" s="126" t="s">
        <v>289</v>
      </c>
      <c r="AE6" s="126" t="s">
        <v>289</v>
      </c>
      <c r="AF6" s="126" t="s">
        <v>289</v>
      </c>
      <c r="AG6" s="126" t="s">
        <v>289</v>
      </c>
      <c r="AH6" s="126" t="s">
        <v>289</v>
      </c>
      <c r="AI6" s="126" t="s">
        <v>289</v>
      </c>
      <c r="AJ6" s="126" t="s">
        <v>289</v>
      </c>
      <c r="AK6" s="126" t="s">
        <v>289</v>
      </c>
      <c r="AL6" s="126" t="s">
        <v>289</v>
      </c>
      <c r="AM6" s="126" t="s">
        <v>289</v>
      </c>
      <c r="AN6" s="126" t="s">
        <v>289</v>
      </c>
      <c r="AO6" s="126" t="s">
        <v>289</v>
      </c>
      <c r="AP6" s="126" t="s">
        <v>289</v>
      </c>
      <c r="AQ6" s="126" t="s">
        <v>289</v>
      </c>
      <c r="AR6" s="126" t="s">
        <v>289</v>
      </c>
      <c r="AS6" s="126" t="s">
        <v>289</v>
      </c>
      <c r="AT6" s="126" t="s">
        <v>289</v>
      </c>
      <c r="AU6" s="126" t="s">
        <v>289</v>
      </c>
      <c r="AV6" s="126" t="s">
        <v>289</v>
      </c>
      <c r="AW6" s="126" t="s">
        <v>289</v>
      </c>
      <c r="AX6" s="126" t="s">
        <v>289</v>
      </c>
      <c r="AY6" s="9" t="s">
        <v>290</v>
      </c>
      <c r="AZ6" s="156" t="s">
        <v>150</v>
      </c>
    </row>
    <row r="7" spans="1:52" x14ac:dyDescent="0.2">
      <c r="A7" s="129" t="s">
        <v>125</v>
      </c>
      <c r="B7" s="157">
        <v>1</v>
      </c>
      <c r="C7" s="158" t="s">
        <v>293</v>
      </c>
      <c r="D7" s="158">
        <v>2679.3507586071873</v>
      </c>
      <c r="E7" s="158">
        <v>2679.3507586071873</v>
      </c>
      <c r="F7" s="158">
        <v>2679.3507586071873</v>
      </c>
      <c r="G7" s="158">
        <v>2679.3507586071873</v>
      </c>
      <c r="H7" s="158">
        <v>2615.8396286779675</v>
      </c>
      <c r="I7" s="158">
        <v>2615.8396286779675</v>
      </c>
      <c r="J7" s="158">
        <v>2615.8396286779675</v>
      </c>
      <c r="K7" s="158">
        <v>2615.8396286779675</v>
      </c>
      <c r="L7" s="158">
        <v>2679.3507586071873</v>
      </c>
      <c r="M7" s="158">
        <v>2679.3507586071873</v>
      </c>
      <c r="N7" s="158">
        <v>2679.3507586071873</v>
      </c>
      <c r="O7" s="158">
        <v>2679.3507586071873</v>
      </c>
      <c r="P7" s="158">
        <v>2679.3507586071873</v>
      </c>
      <c r="Q7" s="158">
        <v>2679.3507586071873</v>
      </c>
      <c r="R7" s="158">
        <v>2679.3507586071873</v>
      </c>
      <c r="S7" s="158">
        <v>2679.3507586071873</v>
      </c>
      <c r="T7" s="158">
        <v>2679.3507586071873</v>
      </c>
      <c r="U7" s="158">
        <v>2679.3507586071873</v>
      </c>
      <c r="V7" s="158">
        <v>2679.3507586071873</v>
      </c>
      <c r="W7" s="158">
        <v>2679.3507586071873</v>
      </c>
      <c r="X7" s="158">
        <v>2679.3507586071873</v>
      </c>
      <c r="Y7" s="158">
        <v>2679.3507586071873</v>
      </c>
      <c r="Z7" s="158">
        <v>2679.3507586071873</v>
      </c>
      <c r="AA7" s="158">
        <v>2679.3507586071873</v>
      </c>
      <c r="AB7" s="158">
        <v>2679.3507586071873</v>
      </c>
      <c r="AC7" s="158">
        <v>2679.3507586071873</v>
      </c>
      <c r="AD7" s="158">
        <v>2679.3507586071873</v>
      </c>
      <c r="AE7" s="158">
        <v>2679.3507586071873</v>
      </c>
      <c r="AF7" s="158">
        <v>2679.3507586071873</v>
      </c>
      <c r="AG7" s="158">
        <v>2679.3507586071873</v>
      </c>
      <c r="AH7" s="158">
        <v>2679.3507586071873</v>
      </c>
      <c r="AI7" s="158">
        <v>2679.3507586071873</v>
      </c>
      <c r="AJ7" s="158">
        <v>2679.3507586071873</v>
      </c>
      <c r="AK7" s="158">
        <v>2679.3507586071873</v>
      </c>
      <c r="AL7" s="158">
        <v>2679.3507586071873</v>
      </c>
      <c r="AM7" s="158">
        <v>2679.3507586071873</v>
      </c>
      <c r="AN7" s="158">
        <v>2679.3507586071873</v>
      </c>
      <c r="AO7" s="158">
        <v>2679.3507586071873</v>
      </c>
      <c r="AP7" s="158">
        <v>2679.3507586071873</v>
      </c>
      <c r="AQ7" s="158">
        <v>2679.3507586071873</v>
      </c>
      <c r="AR7" s="158">
        <v>2679.3507586071873</v>
      </c>
      <c r="AS7" s="158">
        <v>2679.3507586071873</v>
      </c>
      <c r="AT7" s="158">
        <v>2679.3507586071873</v>
      </c>
      <c r="AU7" s="158">
        <v>2679.3507586071873</v>
      </c>
      <c r="AV7" s="158">
        <v>2615.8396286779675</v>
      </c>
      <c r="AW7" s="158">
        <v>2615.8396286779675</v>
      </c>
      <c r="AX7" s="158">
        <v>2615.8396286779675</v>
      </c>
      <c r="AY7" s="158">
        <v>2615.8396286779675</v>
      </c>
      <c r="AZ7" s="121"/>
    </row>
    <row r="8" spans="1:52" x14ac:dyDescent="0.2">
      <c r="A8" s="159"/>
      <c r="B8" s="160"/>
      <c r="C8" s="159"/>
      <c r="D8" s="159"/>
      <c r="E8" s="159"/>
      <c r="F8" s="159"/>
      <c r="G8" s="159"/>
      <c r="H8" s="159"/>
      <c r="I8" s="159"/>
      <c r="J8" s="159"/>
      <c r="K8" s="159"/>
      <c r="L8" s="159"/>
      <c r="M8" s="159"/>
      <c r="N8" s="159"/>
      <c r="O8" s="159"/>
      <c r="P8" s="159"/>
      <c r="Q8" s="159"/>
      <c r="R8" s="159"/>
      <c r="S8" s="159"/>
      <c r="T8" s="159"/>
      <c r="U8" s="159"/>
      <c r="V8" s="159"/>
      <c r="W8" s="159"/>
      <c r="X8" s="159"/>
      <c r="Y8" s="159"/>
      <c r="Z8" s="159"/>
      <c r="AA8" s="159"/>
      <c r="AB8" s="159"/>
      <c r="AC8" s="159"/>
      <c r="AD8" s="159"/>
      <c r="AE8" s="159"/>
      <c r="AF8" s="159"/>
      <c r="AG8" s="159"/>
      <c r="AH8" s="159"/>
      <c r="AI8" s="159"/>
      <c r="AJ8" s="159"/>
      <c r="AK8" s="159"/>
      <c r="AL8" s="159"/>
      <c r="AM8" s="159"/>
      <c r="AN8" s="159"/>
      <c r="AO8" s="159"/>
      <c r="AP8" s="159"/>
      <c r="AQ8" s="159"/>
      <c r="AR8" s="159"/>
      <c r="AS8" s="159"/>
      <c r="AT8" s="159"/>
      <c r="AU8" s="159"/>
      <c r="AV8" s="159"/>
      <c r="AW8" s="159"/>
      <c r="AX8" s="159"/>
      <c r="AY8" s="159"/>
      <c r="AZ8" s="161"/>
    </row>
    <row r="9" spans="1:52" x14ac:dyDescent="0.2">
      <c r="A9" s="1" t="s">
        <v>294</v>
      </c>
      <c r="B9" s="162"/>
      <c r="C9" s="121"/>
      <c r="D9" s="121"/>
      <c r="E9" s="121"/>
      <c r="F9" s="121"/>
      <c r="G9" s="121"/>
      <c r="H9" s="121"/>
      <c r="I9" s="121"/>
      <c r="J9" s="121"/>
      <c r="K9" s="121"/>
      <c r="L9" s="121"/>
      <c r="M9" s="121"/>
      <c r="N9" s="121"/>
      <c r="O9" s="121"/>
      <c r="P9" s="121"/>
      <c r="Q9" s="121"/>
      <c r="R9" s="121"/>
      <c r="S9" s="121"/>
      <c r="T9" s="121"/>
      <c r="U9" s="121"/>
      <c r="V9" s="121"/>
      <c r="W9" s="121"/>
      <c r="X9" s="121"/>
      <c r="Y9" s="121"/>
      <c r="Z9" s="121"/>
      <c r="AA9" s="121"/>
      <c r="AB9" s="121"/>
      <c r="AC9" s="121"/>
      <c r="AD9" s="121"/>
      <c r="AE9" s="121"/>
      <c r="AF9" s="121"/>
      <c r="AG9" s="121"/>
      <c r="AH9" s="121"/>
      <c r="AI9" s="121"/>
      <c r="AJ9" s="121"/>
      <c r="AK9" s="121"/>
      <c r="AL9" s="121"/>
      <c r="AM9" s="121"/>
      <c r="AN9" s="121"/>
      <c r="AO9" s="121"/>
      <c r="AP9" s="121"/>
      <c r="AQ9" s="121"/>
      <c r="AR9" s="121"/>
      <c r="AS9" s="121"/>
      <c r="AT9" s="121"/>
      <c r="AU9" s="121"/>
      <c r="AV9" s="121"/>
      <c r="AW9" s="121"/>
      <c r="AX9" s="121"/>
      <c r="AY9" s="121"/>
      <c r="AZ9" s="121"/>
    </row>
    <row r="10" spans="1:52" x14ac:dyDescent="0.2">
      <c r="A10" s="163" t="s">
        <v>125</v>
      </c>
      <c r="B10" s="164">
        <v>1</v>
      </c>
      <c r="C10" s="158" t="s">
        <v>293</v>
      </c>
      <c r="D10" s="158">
        <f t="shared" ref="D10:AY10" si="0">MAX(SUM(D$14:D$16)+D$7-$B$3,0)</f>
        <v>0</v>
      </c>
      <c r="E10" s="158">
        <f t="shared" si="0"/>
        <v>0</v>
      </c>
      <c r="F10" s="158">
        <f t="shared" si="0"/>
        <v>0</v>
      </c>
      <c r="G10" s="158">
        <f t="shared" si="0"/>
        <v>0</v>
      </c>
      <c r="H10" s="158">
        <f t="shared" si="0"/>
        <v>0</v>
      </c>
      <c r="I10" s="158">
        <f t="shared" si="0"/>
        <v>0</v>
      </c>
      <c r="J10" s="158">
        <f t="shared" si="0"/>
        <v>0</v>
      </c>
      <c r="K10" s="158">
        <f t="shared" si="0"/>
        <v>0</v>
      </c>
      <c r="L10" s="158">
        <f t="shared" si="0"/>
        <v>0</v>
      </c>
      <c r="M10" s="158">
        <f t="shared" si="0"/>
        <v>0</v>
      </c>
      <c r="N10" s="158">
        <f t="shared" si="0"/>
        <v>0</v>
      </c>
      <c r="O10" s="158">
        <f t="shared" si="0"/>
        <v>0</v>
      </c>
      <c r="P10" s="158">
        <f t="shared" si="0"/>
        <v>0</v>
      </c>
      <c r="Q10" s="158">
        <f t="shared" si="0"/>
        <v>0</v>
      </c>
      <c r="R10" s="158">
        <f t="shared" si="0"/>
        <v>0</v>
      </c>
      <c r="S10" s="158">
        <f t="shared" si="0"/>
        <v>0</v>
      </c>
      <c r="T10" s="158">
        <f t="shared" si="0"/>
        <v>0</v>
      </c>
      <c r="U10" s="158">
        <f t="shared" si="0"/>
        <v>0</v>
      </c>
      <c r="V10" s="158">
        <f t="shared" si="0"/>
        <v>0</v>
      </c>
      <c r="W10" s="158">
        <f t="shared" si="0"/>
        <v>0</v>
      </c>
      <c r="X10" s="158">
        <f t="shared" si="0"/>
        <v>0</v>
      </c>
      <c r="Y10" s="158">
        <f t="shared" si="0"/>
        <v>0</v>
      </c>
      <c r="Z10" s="158">
        <f t="shared" si="0"/>
        <v>0</v>
      </c>
      <c r="AA10" s="158">
        <f t="shared" si="0"/>
        <v>0</v>
      </c>
      <c r="AB10" s="158">
        <f t="shared" si="0"/>
        <v>0</v>
      </c>
      <c r="AC10" s="158">
        <f t="shared" si="0"/>
        <v>0</v>
      </c>
      <c r="AD10" s="158">
        <f t="shared" si="0"/>
        <v>0</v>
      </c>
      <c r="AE10" s="158">
        <f t="shared" si="0"/>
        <v>0</v>
      </c>
      <c r="AF10" s="158">
        <f t="shared" si="0"/>
        <v>0</v>
      </c>
      <c r="AG10" s="158">
        <f t="shared" si="0"/>
        <v>0</v>
      </c>
      <c r="AH10" s="158">
        <f t="shared" si="0"/>
        <v>0</v>
      </c>
      <c r="AI10" s="158">
        <f t="shared" si="0"/>
        <v>0</v>
      </c>
      <c r="AJ10" s="158">
        <f t="shared" si="0"/>
        <v>0</v>
      </c>
      <c r="AK10" s="158">
        <f t="shared" si="0"/>
        <v>0</v>
      </c>
      <c r="AL10" s="158">
        <f t="shared" si="0"/>
        <v>0</v>
      </c>
      <c r="AM10" s="158">
        <f t="shared" si="0"/>
        <v>0</v>
      </c>
      <c r="AN10" s="158">
        <f t="shared" si="0"/>
        <v>0</v>
      </c>
      <c r="AO10" s="158">
        <f t="shared" si="0"/>
        <v>0</v>
      </c>
      <c r="AP10" s="158">
        <f t="shared" si="0"/>
        <v>0</v>
      </c>
      <c r="AQ10" s="158">
        <f t="shared" si="0"/>
        <v>0</v>
      </c>
      <c r="AR10" s="158">
        <f t="shared" si="0"/>
        <v>0</v>
      </c>
      <c r="AS10" s="158">
        <f t="shared" si="0"/>
        <v>0</v>
      </c>
      <c r="AT10" s="158">
        <f t="shared" si="0"/>
        <v>0</v>
      </c>
      <c r="AU10" s="158">
        <f t="shared" si="0"/>
        <v>0</v>
      </c>
      <c r="AV10" s="158">
        <f t="shared" si="0"/>
        <v>0</v>
      </c>
      <c r="AW10" s="158">
        <f t="shared" si="0"/>
        <v>0</v>
      </c>
      <c r="AX10" s="158">
        <f t="shared" si="0"/>
        <v>0</v>
      </c>
      <c r="AY10" s="158">
        <f t="shared" si="0"/>
        <v>0</v>
      </c>
      <c r="AZ10" s="165">
        <f>SUM($D10:$AY10)</f>
        <v>0</v>
      </c>
    </row>
    <row r="11" spans="1:52" x14ac:dyDescent="0.2">
      <c r="C11" s="125"/>
    </row>
    <row r="12" spans="1:52" x14ac:dyDescent="0.2">
      <c r="A12" s="166" t="s">
        <v>295</v>
      </c>
      <c r="B12" s="160"/>
      <c r="C12" s="125"/>
    </row>
    <row r="13" spans="1:52" x14ac:dyDescent="0.2">
      <c r="A13" s="136" t="s">
        <v>125</v>
      </c>
      <c r="B13" s="137">
        <v>1</v>
      </c>
      <c r="C13" s="138">
        <v>1935.3158722718733</v>
      </c>
      <c r="D13" s="152">
        <f t="shared" ref="D13:AY13" si="1">D$7-D$10</f>
        <v>2679.3507586071873</v>
      </c>
      <c r="E13" s="152">
        <f t="shared" si="1"/>
        <v>2679.3507586071873</v>
      </c>
      <c r="F13" s="152">
        <f t="shared" si="1"/>
        <v>2679.3507586071873</v>
      </c>
      <c r="G13" s="152">
        <f t="shared" si="1"/>
        <v>2679.3507586071873</v>
      </c>
      <c r="H13" s="152">
        <f t="shared" si="1"/>
        <v>2615.8396286779675</v>
      </c>
      <c r="I13" s="152">
        <f t="shared" si="1"/>
        <v>2615.8396286779675</v>
      </c>
      <c r="J13" s="152">
        <f t="shared" si="1"/>
        <v>2615.8396286779675</v>
      </c>
      <c r="K13" s="152">
        <f t="shared" si="1"/>
        <v>2615.8396286779675</v>
      </c>
      <c r="L13" s="152">
        <f t="shared" si="1"/>
        <v>2679.3507586071873</v>
      </c>
      <c r="M13" s="152">
        <f t="shared" si="1"/>
        <v>2679.3507586071873</v>
      </c>
      <c r="N13" s="152">
        <f t="shared" si="1"/>
        <v>2679.3507586071873</v>
      </c>
      <c r="O13" s="152">
        <f t="shared" si="1"/>
        <v>2679.3507586071873</v>
      </c>
      <c r="P13" s="152">
        <f t="shared" si="1"/>
        <v>2679.3507586071873</v>
      </c>
      <c r="Q13" s="152">
        <f t="shared" si="1"/>
        <v>2679.3507586071873</v>
      </c>
      <c r="R13" s="152">
        <f t="shared" si="1"/>
        <v>2679.3507586071873</v>
      </c>
      <c r="S13" s="152">
        <f t="shared" si="1"/>
        <v>2679.3507586071873</v>
      </c>
      <c r="T13" s="152">
        <f t="shared" si="1"/>
        <v>2679.3507586071873</v>
      </c>
      <c r="U13" s="152">
        <f t="shared" si="1"/>
        <v>2679.3507586071873</v>
      </c>
      <c r="V13" s="152">
        <f t="shared" si="1"/>
        <v>2679.3507586071873</v>
      </c>
      <c r="W13" s="152">
        <f t="shared" si="1"/>
        <v>2679.3507586071873</v>
      </c>
      <c r="X13" s="152">
        <f t="shared" si="1"/>
        <v>2679.3507586071873</v>
      </c>
      <c r="Y13" s="152">
        <f t="shared" si="1"/>
        <v>2679.3507586071873</v>
      </c>
      <c r="Z13" s="152">
        <f t="shared" si="1"/>
        <v>2679.3507586071873</v>
      </c>
      <c r="AA13" s="152">
        <f t="shared" si="1"/>
        <v>2679.3507586071873</v>
      </c>
      <c r="AB13" s="152">
        <f t="shared" si="1"/>
        <v>2679.3507586071873</v>
      </c>
      <c r="AC13" s="152">
        <f t="shared" si="1"/>
        <v>2679.3507586071873</v>
      </c>
      <c r="AD13" s="152">
        <f t="shared" si="1"/>
        <v>2679.3507586071873</v>
      </c>
      <c r="AE13" s="152">
        <f t="shared" si="1"/>
        <v>2679.3507586071873</v>
      </c>
      <c r="AF13" s="152">
        <f t="shared" si="1"/>
        <v>2679.3507586071873</v>
      </c>
      <c r="AG13" s="152">
        <f t="shared" si="1"/>
        <v>2679.3507586071873</v>
      </c>
      <c r="AH13" s="152">
        <f t="shared" si="1"/>
        <v>2679.3507586071873</v>
      </c>
      <c r="AI13" s="152">
        <f t="shared" si="1"/>
        <v>2679.3507586071873</v>
      </c>
      <c r="AJ13" s="152">
        <f t="shared" si="1"/>
        <v>2679.3507586071873</v>
      </c>
      <c r="AK13" s="152">
        <f t="shared" si="1"/>
        <v>2679.3507586071873</v>
      </c>
      <c r="AL13" s="152">
        <f t="shared" si="1"/>
        <v>2679.3507586071873</v>
      </c>
      <c r="AM13" s="152">
        <f t="shared" si="1"/>
        <v>2679.3507586071873</v>
      </c>
      <c r="AN13" s="152">
        <f t="shared" si="1"/>
        <v>2679.3507586071873</v>
      </c>
      <c r="AO13" s="152">
        <f t="shared" si="1"/>
        <v>2679.3507586071873</v>
      </c>
      <c r="AP13" s="152">
        <f t="shared" si="1"/>
        <v>2679.3507586071873</v>
      </c>
      <c r="AQ13" s="152">
        <f t="shared" si="1"/>
        <v>2679.3507586071873</v>
      </c>
      <c r="AR13" s="152">
        <f t="shared" si="1"/>
        <v>2679.3507586071873</v>
      </c>
      <c r="AS13" s="152">
        <f t="shared" si="1"/>
        <v>2679.3507586071873</v>
      </c>
      <c r="AT13" s="152">
        <f t="shared" si="1"/>
        <v>2679.3507586071873</v>
      </c>
      <c r="AU13" s="152">
        <f t="shared" si="1"/>
        <v>2679.3507586071873</v>
      </c>
      <c r="AV13" s="152">
        <f t="shared" si="1"/>
        <v>2615.8396286779675</v>
      </c>
      <c r="AW13" s="152">
        <f t="shared" si="1"/>
        <v>2615.8396286779675</v>
      </c>
      <c r="AX13" s="152">
        <f t="shared" si="1"/>
        <v>2615.8396286779675</v>
      </c>
      <c r="AY13" s="152">
        <f t="shared" si="1"/>
        <v>2615.8396286779675</v>
      </c>
      <c r="AZ13" s="124"/>
    </row>
    <row r="14" spans="1:52" x14ac:dyDescent="0.2">
      <c r="A14" s="125"/>
      <c r="B14" s="134">
        <v>2</v>
      </c>
      <c r="C14" s="125">
        <v>0</v>
      </c>
      <c r="D14" s="121">
        <f>IF(C$20="Yes",C13,0)</f>
        <v>0</v>
      </c>
      <c r="E14" s="121">
        <f t="shared" ref="E14:AY17" si="2">IF(D$20="Yes",D13,0)</f>
        <v>0</v>
      </c>
      <c r="F14" s="121">
        <f t="shared" si="2"/>
        <v>0</v>
      </c>
      <c r="G14" s="121">
        <f t="shared" si="2"/>
        <v>0</v>
      </c>
      <c r="H14" s="121">
        <f t="shared" si="2"/>
        <v>0</v>
      </c>
      <c r="I14" s="121">
        <f t="shared" si="2"/>
        <v>0</v>
      </c>
      <c r="J14" s="121">
        <f t="shared" si="2"/>
        <v>0</v>
      </c>
      <c r="K14" s="121">
        <f t="shared" si="2"/>
        <v>0</v>
      </c>
      <c r="L14" s="121">
        <f t="shared" si="2"/>
        <v>0</v>
      </c>
      <c r="M14" s="121">
        <f t="shared" si="2"/>
        <v>0</v>
      </c>
      <c r="N14" s="121">
        <f t="shared" si="2"/>
        <v>0</v>
      </c>
      <c r="O14" s="121">
        <f t="shared" si="2"/>
        <v>0</v>
      </c>
      <c r="P14" s="121">
        <f t="shared" si="2"/>
        <v>0</v>
      </c>
      <c r="Q14" s="121">
        <f t="shared" si="2"/>
        <v>0</v>
      </c>
      <c r="R14" s="121">
        <f t="shared" si="2"/>
        <v>0</v>
      </c>
      <c r="S14" s="121">
        <f t="shared" si="2"/>
        <v>0</v>
      </c>
      <c r="T14" s="121">
        <f t="shared" si="2"/>
        <v>0</v>
      </c>
      <c r="U14" s="121">
        <f t="shared" si="2"/>
        <v>0</v>
      </c>
      <c r="V14" s="121">
        <f t="shared" si="2"/>
        <v>0</v>
      </c>
      <c r="W14" s="121">
        <f t="shared" si="2"/>
        <v>0</v>
      </c>
      <c r="X14" s="121">
        <f t="shared" si="2"/>
        <v>0</v>
      </c>
      <c r="Y14" s="121">
        <f t="shared" si="2"/>
        <v>0</v>
      </c>
      <c r="Z14" s="121">
        <f t="shared" si="2"/>
        <v>0</v>
      </c>
      <c r="AA14" s="121">
        <f t="shared" si="2"/>
        <v>0</v>
      </c>
      <c r="AB14" s="121">
        <f t="shared" si="2"/>
        <v>0</v>
      </c>
      <c r="AC14" s="121">
        <f t="shared" si="2"/>
        <v>0</v>
      </c>
      <c r="AD14" s="121">
        <f t="shared" si="2"/>
        <v>0</v>
      </c>
      <c r="AE14" s="121">
        <f t="shared" si="2"/>
        <v>0</v>
      </c>
      <c r="AF14" s="121">
        <f t="shared" si="2"/>
        <v>0</v>
      </c>
      <c r="AG14" s="121">
        <f t="shared" si="2"/>
        <v>0</v>
      </c>
      <c r="AH14" s="121">
        <f t="shared" si="2"/>
        <v>0</v>
      </c>
      <c r="AI14" s="121">
        <f t="shared" si="2"/>
        <v>0</v>
      </c>
      <c r="AJ14" s="121">
        <f t="shared" si="2"/>
        <v>0</v>
      </c>
      <c r="AK14" s="121">
        <f t="shared" si="2"/>
        <v>0</v>
      </c>
      <c r="AL14" s="121">
        <f t="shared" si="2"/>
        <v>0</v>
      </c>
      <c r="AM14" s="121">
        <f t="shared" si="2"/>
        <v>0</v>
      </c>
      <c r="AN14" s="121">
        <f t="shared" si="2"/>
        <v>0</v>
      </c>
      <c r="AO14" s="121">
        <f t="shared" si="2"/>
        <v>0</v>
      </c>
      <c r="AP14" s="121">
        <f t="shared" si="2"/>
        <v>0</v>
      </c>
      <c r="AQ14" s="121">
        <f t="shared" si="2"/>
        <v>0</v>
      </c>
      <c r="AR14" s="121">
        <f t="shared" si="2"/>
        <v>0</v>
      </c>
      <c r="AS14" s="121">
        <f t="shared" si="2"/>
        <v>0</v>
      </c>
      <c r="AT14" s="121">
        <f t="shared" si="2"/>
        <v>0</v>
      </c>
      <c r="AU14" s="121">
        <f t="shared" si="2"/>
        <v>0</v>
      </c>
      <c r="AV14" s="121">
        <f t="shared" si="2"/>
        <v>0</v>
      </c>
      <c r="AW14" s="121">
        <f t="shared" si="2"/>
        <v>0</v>
      </c>
      <c r="AX14" s="121">
        <f t="shared" si="2"/>
        <v>0</v>
      </c>
      <c r="AY14" s="121">
        <f t="shared" si="2"/>
        <v>0</v>
      </c>
      <c r="AZ14" s="124"/>
    </row>
    <row r="15" spans="1:52" x14ac:dyDescent="0.2">
      <c r="A15" s="125"/>
      <c r="B15" s="141">
        <v>3</v>
      </c>
      <c r="C15" s="125">
        <v>0</v>
      </c>
      <c r="D15" s="121">
        <f>IF(C$20="Yes",C14,0)</f>
        <v>0</v>
      </c>
      <c r="E15" s="121">
        <f t="shared" si="2"/>
        <v>0</v>
      </c>
      <c r="F15" s="121">
        <f t="shared" si="2"/>
        <v>0</v>
      </c>
      <c r="G15" s="121">
        <f t="shared" si="2"/>
        <v>0</v>
      </c>
      <c r="H15" s="121">
        <f t="shared" si="2"/>
        <v>0</v>
      </c>
      <c r="I15" s="121">
        <f t="shared" si="2"/>
        <v>0</v>
      </c>
      <c r="J15" s="121">
        <f t="shared" si="2"/>
        <v>0</v>
      </c>
      <c r="K15" s="121">
        <f t="shared" si="2"/>
        <v>0</v>
      </c>
      <c r="L15" s="121">
        <f t="shared" si="2"/>
        <v>0</v>
      </c>
      <c r="M15" s="121">
        <f t="shared" si="2"/>
        <v>0</v>
      </c>
      <c r="N15" s="121">
        <f t="shared" si="2"/>
        <v>0</v>
      </c>
      <c r="O15" s="121">
        <f t="shared" si="2"/>
        <v>0</v>
      </c>
      <c r="P15" s="121">
        <f t="shared" si="2"/>
        <v>0</v>
      </c>
      <c r="Q15" s="121">
        <f t="shared" si="2"/>
        <v>0</v>
      </c>
      <c r="R15" s="121">
        <f t="shared" si="2"/>
        <v>0</v>
      </c>
      <c r="S15" s="121">
        <f t="shared" si="2"/>
        <v>0</v>
      </c>
      <c r="T15" s="121">
        <f t="shared" si="2"/>
        <v>0</v>
      </c>
      <c r="U15" s="121">
        <f t="shared" si="2"/>
        <v>0</v>
      </c>
      <c r="V15" s="121">
        <f t="shared" si="2"/>
        <v>0</v>
      </c>
      <c r="W15" s="121">
        <f t="shared" si="2"/>
        <v>0</v>
      </c>
      <c r="X15" s="121">
        <f t="shared" si="2"/>
        <v>0</v>
      </c>
      <c r="Y15" s="121">
        <f t="shared" si="2"/>
        <v>0</v>
      </c>
      <c r="Z15" s="121">
        <f t="shared" si="2"/>
        <v>0</v>
      </c>
      <c r="AA15" s="121">
        <f t="shared" si="2"/>
        <v>0</v>
      </c>
      <c r="AB15" s="121">
        <f t="shared" si="2"/>
        <v>0</v>
      </c>
      <c r="AC15" s="121">
        <f t="shared" si="2"/>
        <v>0</v>
      </c>
      <c r="AD15" s="121">
        <f t="shared" si="2"/>
        <v>0</v>
      </c>
      <c r="AE15" s="121">
        <f t="shared" si="2"/>
        <v>0</v>
      </c>
      <c r="AF15" s="121">
        <f t="shared" si="2"/>
        <v>0</v>
      </c>
      <c r="AG15" s="121">
        <f t="shared" si="2"/>
        <v>0</v>
      </c>
      <c r="AH15" s="121">
        <f t="shared" si="2"/>
        <v>0</v>
      </c>
      <c r="AI15" s="121">
        <f t="shared" si="2"/>
        <v>0</v>
      </c>
      <c r="AJ15" s="121">
        <f t="shared" si="2"/>
        <v>0</v>
      </c>
      <c r="AK15" s="121">
        <f t="shared" si="2"/>
        <v>0</v>
      </c>
      <c r="AL15" s="121">
        <f t="shared" si="2"/>
        <v>0</v>
      </c>
      <c r="AM15" s="121">
        <f t="shared" si="2"/>
        <v>0</v>
      </c>
      <c r="AN15" s="121">
        <f t="shared" si="2"/>
        <v>0</v>
      </c>
      <c r="AO15" s="121">
        <f t="shared" si="2"/>
        <v>0</v>
      </c>
      <c r="AP15" s="121">
        <f t="shared" si="2"/>
        <v>0</v>
      </c>
      <c r="AQ15" s="121">
        <f t="shared" si="2"/>
        <v>0</v>
      </c>
      <c r="AR15" s="121">
        <f t="shared" si="2"/>
        <v>0</v>
      </c>
      <c r="AS15" s="121">
        <f t="shared" si="2"/>
        <v>0</v>
      </c>
      <c r="AT15" s="121">
        <f t="shared" si="2"/>
        <v>0</v>
      </c>
      <c r="AU15" s="121">
        <f t="shared" si="2"/>
        <v>0</v>
      </c>
      <c r="AV15" s="121">
        <f t="shared" si="2"/>
        <v>0</v>
      </c>
      <c r="AW15" s="121">
        <f t="shared" si="2"/>
        <v>0</v>
      </c>
      <c r="AX15" s="121">
        <f t="shared" si="2"/>
        <v>0</v>
      </c>
      <c r="AY15" s="121">
        <f t="shared" si="2"/>
        <v>0</v>
      </c>
      <c r="AZ15" s="124"/>
    </row>
    <row r="16" spans="1:52" x14ac:dyDescent="0.2">
      <c r="A16" s="125"/>
      <c r="B16" s="144">
        <v>4</v>
      </c>
      <c r="C16" s="125">
        <v>0</v>
      </c>
      <c r="D16" s="121">
        <f>IF(C$20="Yes",C15,0)</f>
        <v>0</v>
      </c>
      <c r="E16" s="121">
        <f t="shared" si="2"/>
        <v>0</v>
      </c>
      <c r="F16" s="121">
        <f t="shared" si="2"/>
        <v>0</v>
      </c>
      <c r="G16" s="121">
        <f t="shared" si="2"/>
        <v>0</v>
      </c>
      <c r="H16" s="121">
        <f t="shared" si="2"/>
        <v>0</v>
      </c>
      <c r="I16" s="121">
        <f t="shared" si="2"/>
        <v>0</v>
      </c>
      <c r="J16" s="121">
        <f t="shared" si="2"/>
        <v>0</v>
      </c>
      <c r="K16" s="121">
        <f t="shared" si="2"/>
        <v>0</v>
      </c>
      <c r="L16" s="121">
        <f t="shared" si="2"/>
        <v>0</v>
      </c>
      <c r="M16" s="121">
        <f t="shared" si="2"/>
        <v>0</v>
      </c>
      <c r="N16" s="121">
        <f t="shared" si="2"/>
        <v>0</v>
      </c>
      <c r="O16" s="121">
        <f t="shared" si="2"/>
        <v>0</v>
      </c>
      <c r="P16" s="121">
        <f t="shared" si="2"/>
        <v>0</v>
      </c>
      <c r="Q16" s="121">
        <f t="shared" si="2"/>
        <v>0</v>
      </c>
      <c r="R16" s="121">
        <f t="shared" si="2"/>
        <v>0</v>
      </c>
      <c r="S16" s="121">
        <f t="shared" si="2"/>
        <v>0</v>
      </c>
      <c r="T16" s="121">
        <f t="shared" si="2"/>
        <v>0</v>
      </c>
      <c r="U16" s="121">
        <f t="shared" si="2"/>
        <v>0</v>
      </c>
      <c r="V16" s="121">
        <f t="shared" si="2"/>
        <v>0</v>
      </c>
      <c r="W16" s="121">
        <f t="shared" si="2"/>
        <v>0</v>
      </c>
      <c r="X16" s="121">
        <f t="shared" si="2"/>
        <v>0</v>
      </c>
      <c r="Y16" s="121">
        <f t="shared" si="2"/>
        <v>0</v>
      </c>
      <c r="Z16" s="121">
        <f t="shared" si="2"/>
        <v>0</v>
      </c>
      <c r="AA16" s="121">
        <f t="shared" si="2"/>
        <v>0</v>
      </c>
      <c r="AB16" s="121">
        <f t="shared" si="2"/>
        <v>0</v>
      </c>
      <c r="AC16" s="121">
        <f t="shared" si="2"/>
        <v>0</v>
      </c>
      <c r="AD16" s="121">
        <f t="shared" si="2"/>
        <v>0</v>
      </c>
      <c r="AE16" s="121">
        <f t="shared" si="2"/>
        <v>0</v>
      </c>
      <c r="AF16" s="121">
        <f t="shared" si="2"/>
        <v>0</v>
      </c>
      <c r="AG16" s="121">
        <f t="shared" si="2"/>
        <v>0</v>
      </c>
      <c r="AH16" s="121">
        <f t="shared" si="2"/>
        <v>0</v>
      </c>
      <c r="AI16" s="121">
        <f t="shared" si="2"/>
        <v>0</v>
      </c>
      <c r="AJ16" s="121">
        <f t="shared" si="2"/>
        <v>0</v>
      </c>
      <c r="AK16" s="121">
        <f t="shared" si="2"/>
        <v>0</v>
      </c>
      <c r="AL16" s="121">
        <f t="shared" si="2"/>
        <v>0</v>
      </c>
      <c r="AM16" s="121">
        <f t="shared" si="2"/>
        <v>0</v>
      </c>
      <c r="AN16" s="121">
        <f t="shared" si="2"/>
        <v>0</v>
      </c>
      <c r="AO16" s="121">
        <f t="shared" si="2"/>
        <v>0</v>
      </c>
      <c r="AP16" s="121">
        <f t="shared" si="2"/>
        <v>0</v>
      </c>
      <c r="AQ16" s="121">
        <f t="shared" si="2"/>
        <v>0</v>
      </c>
      <c r="AR16" s="121">
        <f t="shared" si="2"/>
        <v>0</v>
      </c>
      <c r="AS16" s="121">
        <f t="shared" si="2"/>
        <v>0</v>
      </c>
      <c r="AT16" s="121">
        <f t="shared" si="2"/>
        <v>0</v>
      </c>
      <c r="AU16" s="121">
        <f t="shared" si="2"/>
        <v>0</v>
      </c>
      <c r="AV16" s="121">
        <f t="shared" si="2"/>
        <v>0</v>
      </c>
      <c r="AW16" s="121">
        <f t="shared" si="2"/>
        <v>0</v>
      </c>
      <c r="AX16" s="121">
        <f t="shared" si="2"/>
        <v>0</v>
      </c>
      <c r="AY16" s="121">
        <f t="shared" si="2"/>
        <v>0</v>
      </c>
      <c r="AZ16" s="142"/>
    </row>
    <row r="17" spans="1:52" x14ac:dyDescent="0.2">
      <c r="A17" s="139"/>
      <c r="B17" s="146" t="s">
        <v>296</v>
      </c>
      <c r="C17" s="139">
        <v>0</v>
      </c>
      <c r="D17" s="128">
        <f>IF(C$20="Yes",C16,0)</f>
        <v>0</v>
      </c>
      <c r="E17" s="128">
        <f t="shared" si="2"/>
        <v>0</v>
      </c>
      <c r="F17" s="128">
        <f t="shared" si="2"/>
        <v>0</v>
      </c>
      <c r="G17" s="128">
        <f t="shared" si="2"/>
        <v>0</v>
      </c>
      <c r="H17" s="128">
        <f t="shared" si="2"/>
        <v>0</v>
      </c>
      <c r="I17" s="128">
        <f t="shared" si="2"/>
        <v>0</v>
      </c>
      <c r="J17" s="128">
        <f t="shared" si="2"/>
        <v>0</v>
      </c>
      <c r="K17" s="128">
        <f t="shared" si="2"/>
        <v>0</v>
      </c>
      <c r="L17" s="128">
        <f t="shared" si="2"/>
        <v>0</v>
      </c>
      <c r="M17" s="128">
        <f t="shared" si="2"/>
        <v>0</v>
      </c>
      <c r="N17" s="128">
        <f t="shared" si="2"/>
        <v>0</v>
      </c>
      <c r="O17" s="128">
        <f t="shared" si="2"/>
        <v>0</v>
      </c>
      <c r="P17" s="128">
        <f t="shared" si="2"/>
        <v>0</v>
      </c>
      <c r="Q17" s="128">
        <f t="shared" si="2"/>
        <v>0</v>
      </c>
      <c r="R17" s="128">
        <f t="shared" si="2"/>
        <v>0</v>
      </c>
      <c r="S17" s="128">
        <f t="shared" si="2"/>
        <v>0</v>
      </c>
      <c r="T17" s="128">
        <f t="shared" si="2"/>
        <v>0</v>
      </c>
      <c r="U17" s="128">
        <f t="shared" si="2"/>
        <v>0</v>
      </c>
      <c r="V17" s="128">
        <f t="shared" si="2"/>
        <v>0</v>
      </c>
      <c r="W17" s="128">
        <f t="shared" si="2"/>
        <v>0</v>
      </c>
      <c r="X17" s="128">
        <f t="shared" si="2"/>
        <v>0</v>
      </c>
      <c r="Y17" s="128">
        <f t="shared" si="2"/>
        <v>0</v>
      </c>
      <c r="Z17" s="128">
        <f t="shared" si="2"/>
        <v>0</v>
      </c>
      <c r="AA17" s="128">
        <f t="shared" si="2"/>
        <v>0</v>
      </c>
      <c r="AB17" s="128">
        <f t="shared" si="2"/>
        <v>0</v>
      </c>
      <c r="AC17" s="128">
        <f t="shared" si="2"/>
        <v>0</v>
      </c>
      <c r="AD17" s="128">
        <f t="shared" si="2"/>
        <v>0</v>
      </c>
      <c r="AE17" s="128">
        <f t="shared" si="2"/>
        <v>0</v>
      </c>
      <c r="AF17" s="128">
        <f t="shared" si="2"/>
        <v>0</v>
      </c>
      <c r="AG17" s="128">
        <f t="shared" si="2"/>
        <v>0</v>
      </c>
      <c r="AH17" s="128">
        <f t="shared" si="2"/>
        <v>0</v>
      </c>
      <c r="AI17" s="128">
        <f t="shared" si="2"/>
        <v>0</v>
      </c>
      <c r="AJ17" s="128">
        <f t="shared" si="2"/>
        <v>0</v>
      </c>
      <c r="AK17" s="128">
        <f t="shared" si="2"/>
        <v>0</v>
      </c>
      <c r="AL17" s="128">
        <f t="shared" si="2"/>
        <v>0</v>
      </c>
      <c r="AM17" s="128">
        <f t="shared" si="2"/>
        <v>0</v>
      </c>
      <c r="AN17" s="128">
        <f t="shared" si="2"/>
        <v>0</v>
      </c>
      <c r="AO17" s="128">
        <f t="shared" si="2"/>
        <v>0</v>
      </c>
      <c r="AP17" s="128">
        <f t="shared" si="2"/>
        <v>0</v>
      </c>
      <c r="AQ17" s="128">
        <f t="shared" si="2"/>
        <v>0</v>
      </c>
      <c r="AR17" s="128">
        <f t="shared" si="2"/>
        <v>0</v>
      </c>
      <c r="AS17" s="128">
        <f t="shared" si="2"/>
        <v>0</v>
      </c>
      <c r="AT17" s="128">
        <f t="shared" si="2"/>
        <v>0</v>
      </c>
      <c r="AU17" s="128">
        <f t="shared" si="2"/>
        <v>0</v>
      </c>
      <c r="AV17" s="128">
        <f t="shared" si="2"/>
        <v>0</v>
      </c>
      <c r="AW17" s="128">
        <f t="shared" si="2"/>
        <v>0</v>
      </c>
      <c r="AX17" s="128">
        <f t="shared" si="2"/>
        <v>0</v>
      </c>
      <c r="AY17" s="128">
        <f t="shared" si="2"/>
        <v>0</v>
      </c>
      <c r="AZ17" s="165">
        <f>SUM($D$17:$AY$17)</f>
        <v>0</v>
      </c>
    </row>
    <row r="18" spans="1:52" x14ac:dyDescent="0.2">
      <c r="A18" s="121"/>
      <c r="B18" s="167"/>
      <c r="C18" s="152"/>
      <c r="D18" s="152"/>
      <c r="E18" s="152"/>
      <c r="F18" s="152"/>
      <c r="G18" s="152"/>
      <c r="H18" s="152"/>
      <c r="I18" s="152"/>
      <c r="J18" s="152"/>
      <c r="K18" s="152"/>
      <c r="L18" s="152"/>
      <c r="M18" s="152"/>
      <c r="N18" s="152"/>
      <c r="O18" s="152"/>
      <c r="P18" s="152"/>
      <c r="Q18" s="152"/>
      <c r="R18" s="152"/>
      <c r="S18" s="152"/>
      <c r="T18" s="152"/>
      <c r="U18" s="152"/>
      <c r="V18" s="152"/>
      <c r="W18" s="152"/>
      <c r="X18" s="152"/>
      <c r="Y18" s="152"/>
      <c r="Z18" s="152"/>
      <c r="AA18" s="152"/>
      <c r="AB18" s="152"/>
      <c r="AC18" s="152"/>
      <c r="AD18" s="152"/>
      <c r="AE18" s="152"/>
      <c r="AF18" s="152"/>
      <c r="AG18" s="152"/>
      <c r="AH18" s="152"/>
      <c r="AI18" s="152"/>
      <c r="AJ18" s="152"/>
      <c r="AK18" s="152"/>
      <c r="AL18" s="152"/>
      <c r="AM18" s="152"/>
      <c r="AN18" s="152"/>
      <c r="AO18" s="152"/>
      <c r="AP18" s="152"/>
      <c r="AQ18" s="152"/>
      <c r="AR18" s="152"/>
      <c r="AS18" s="152"/>
      <c r="AT18" s="152"/>
      <c r="AU18" s="152"/>
      <c r="AV18" s="152"/>
      <c r="AW18" s="152"/>
      <c r="AX18" s="152"/>
      <c r="AY18" s="152"/>
      <c r="AZ18" s="121"/>
    </row>
    <row r="19" spans="1:52" x14ac:dyDescent="0.2">
      <c r="A19" s="1" t="s">
        <v>116</v>
      </c>
      <c r="B19" s="121"/>
      <c r="C19" s="121"/>
      <c r="D19" s="121"/>
      <c r="E19" s="121"/>
      <c r="F19" s="121"/>
      <c r="G19" s="121"/>
      <c r="H19" s="121"/>
      <c r="I19" s="121"/>
      <c r="J19" s="121"/>
      <c r="K19" s="121"/>
      <c r="L19" s="121"/>
      <c r="M19" s="121"/>
      <c r="N19" s="121"/>
      <c r="O19" s="121"/>
      <c r="P19" s="121"/>
      <c r="Q19" s="121"/>
      <c r="R19" s="121"/>
      <c r="S19" s="121"/>
      <c r="T19" s="121"/>
      <c r="U19" s="121"/>
      <c r="V19" s="121"/>
      <c r="W19" s="121"/>
      <c r="X19" s="121"/>
      <c r="Y19" s="121"/>
      <c r="Z19" s="121"/>
      <c r="AA19" s="121"/>
      <c r="AB19" s="121"/>
      <c r="AC19" s="121"/>
      <c r="AD19" s="121"/>
      <c r="AE19" s="121"/>
      <c r="AF19" s="121"/>
      <c r="AG19" s="121"/>
      <c r="AH19" s="121"/>
      <c r="AI19" s="121"/>
      <c r="AJ19" s="121"/>
      <c r="AK19" s="121"/>
      <c r="AL19" s="121"/>
      <c r="AM19" s="121"/>
      <c r="AN19" s="121"/>
      <c r="AO19" s="121"/>
      <c r="AP19" s="121"/>
      <c r="AQ19" s="121"/>
      <c r="AR19" s="121"/>
      <c r="AS19" s="121"/>
      <c r="AT19" s="121"/>
      <c r="AU19" s="121"/>
      <c r="AV19" s="121"/>
      <c r="AW19" s="121"/>
      <c r="AX19" s="121"/>
      <c r="AY19" s="121"/>
    </row>
    <row r="20" spans="1:52" s="125" customFormat="1" x14ac:dyDescent="0.2">
      <c r="A20" s="129" t="s">
        <v>305</v>
      </c>
      <c r="B20" s="168" t="s">
        <v>306</v>
      </c>
      <c r="C20" s="131"/>
      <c r="D20" s="131"/>
      <c r="E20" s="131"/>
      <c r="F20" s="131"/>
      <c r="G20" s="131"/>
      <c r="H20" s="131"/>
      <c r="I20" s="131"/>
      <c r="J20" s="131"/>
      <c r="K20" s="131"/>
      <c r="L20" s="131"/>
      <c r="M20" s="131"/>
      <c r="N20" s="131"/>
      <c r="O20" s="131"/>
      <c r="P20" s="131"/>
      <c r="Q20" s="131"/>
      <c r="R20" s="131"/>
      <c r="S20" s="131"/>
      <c r="T20" s="131"/>
      <c r="U20" s="131"/>
      <c r="V20" s="131"/>
      <c r="W20" s="131"/>
      <c r="X20" s="131"/>
      <c r="Y20" s="131"/>
      <c r="Z20" s="131"/>
      <c r="AA20" s="131"/>
      <c r="AB20" s="131"/>
      <c r="AC20" s="131"/>
      <c r="AD20" s="131"/>
      <c r="AE20" s="131"/>
      <c r="AF20" s="131"/>
      <c r="AG20" s="131"/>
      <c r="AH20" s="131"/>
      <c r="AI20" s="131"/>
      <c r="AJ20" s="131"/>
      <c r="AK20" s="131"/>
      <c r="AL20" s="131"/>
      <c r="AM20" s="131"/>
      <c r="AN20" s="131"/>
      <c r="AO20" s="131"/>
      <c r="AP20" s="131"/>
      <c r="AQ20" s="131"/>
      <c r="AR20" s="131"/>
      <c r="AS20" s="131"/>
      <c r="AT20" s="131"/>
      <c r="AU20" s="131"/>
      <c r="AV20" s="131"/>
      <c r="AW20" s="131"/>
      <c r="AX20" s="131"/>
      <c r="AY20" s="131"/>
      <c r="AZ20" s="122"/>
    </row>
    <row r="21" spans="1:52" s="125" customFormat="1" x14ac:dyDescent="0.2">
      <c r="A21" s="169" t="s">
        <v>133</v>
      </c>
      <c r="B21" s="170">
        <f>shipping_manufacturing!$G$19/100</f>
        <v>1</v>
      </c>
      <c r="C21" s="170" t="s">
        <v>293</v>
      </c>
      <c r="D21" s="121">
        <f>IF(C$20="Yes",0,SUM(C$13:C$16)*$B$21)</f>
        <v>1935.3158722718733</v>
      </c>
      <c r="E21" s="121">
        <f t="shared" ref="E21:AY21" si="3">IF(D$20="Yes",0,SUM(D$13:D$16)*$B$21)</f>
        <v>2679.3507586071873</v>
      </c>
      <c r="F21" s="121">
        <f t="shared" si="3"/>
        <v>2679.3507586071873</v>
      </c>
      <c r="G21" s="121">
        <f t="shared" si="3"/>
        <v>2679.3507586071873</v>
      </c>
      <c r="H21" s="121">
        <f t="shared" si="3"/>
        <v>2679.3507586071873</v>
      </c>
      <c r="I21" s="121">
        <f t="shared" si="3"/>
        <v>2615.8396286779675</v>
      </c>
      <c r="J21" s="121">
        <f t="shared" si="3"/>
        <v>2615.8396286779675</v>
      </c>
      <c r="K21" s="121">
        <f t="shared" si="3"/>
        <v>2615.8396286779675</v>
      </c>
      <c r="L21" s="121">
        <f t="shared" si="3"/>
        <v>2615.8396286779675</v>
      </c>
      <c r="M21" s="121">
        <f t="shared" si="3"/>
        <v>2679.3507586071873</v>
      </c>
      <c r="N21" s="121">
        <f t="shared" si="3"/>
        <v>2679.3507586071873</v>
      </c>
      <c r="O21" s="121">
        <f t="shared" si="3"/>
        <v>2679.3507586071873</v>
      </c>
      <c r="P21" s="121">
        <f t="shared" si="3"/>
        <v>2679.3507586071873</v>
      </c>
      <c r="Q21" s="121">
        <f t="shared" si="3"/>
        <v>2679.3507586071873</v>
      </c>
      <c r="R21" s="121">
        <f t="shared" si="3"/>
        <v>2679.3507586071873</v>
      </c>
      <c r="S21" s="121">
        <f t="shared" si="3"/>
        <v>2679.3507586071873</v>
      </c>
      <c r="T21" s="121">
        <f t="shared" si="3"/>
        <v>2679.3507586071873</v>
      </c>
      <c r="U21" s="121">
        <f t="shared" si="3"/>
        <v>2679.3507586071873</v>
      </c>
      <c r="V21" s="121">
        <f t="shared" si="3"/>
        <v>2679.3507586071873</v>
      </c>
      <c r="W21" s="121">
        <f t="shared" si="3"/>
        <v>2679.3507586071873</v>
      </c>
      <c r="X21" s="121">
        <f t="shared" si="3"/>
        <v>2679.3507586071873</v>
      </c>
      <c r="Y21" s="121">
        <f t="shared" si="3"/>
        <v>2679.3507586071873</v>
      </c>
      <c r="Z21" s="121">
        <f t="shared" si="3"/>
        <v>2679.3507586071873</v>
      </c>
      <c r="AA21" s="121">
        <f t="shared" si="3"/>
        <v>2679.3507586071873</v>
      </c>
      <c r="AB21" s="121">
        <f t="shared" si="3"/>
        <v>2679.3507586071873</v>
      </c>
      <c r="AC21" s="121">
        <f t="shared" si="3"/>
        <v>2679.3507586071873</v>
      </c>
      <c r="AD21" s="121">
        <f t="shared" si="3"/>
        <v>2679.3507586071873</v>
      </c>
      <c r="AE21" s="121">
        <f t="shared" si="3"/>
        <v>2679.3507586071873</v>
      </c>
      <c r="AF21" s="121">
        <f t="shared" si="3"/>
        <v>2679.3507586071873</v>
      </c>
      <c r="AG21" s="121">
        <f t="shared" si="3"/>
        <v>2679.3507586071873</v>
      </c>
      <c r="AH21" s="121">
        <f t="shared" si="3"/>
        <v>2679.3507586071873</v>
      </c>
      <c r="AI21" s="121">
        <f t="shared" si="3"/>
        <v>2679.3507586071873</v>
      </c>
      <c r="AJ21" s="121">
        <f t="shared" si="3"/>
        <v>2679.3507586071873</v>
      </c>
      <c r="AK21" s="121">
        <f t="shared" si="3"/>
        <v>2679.3507586071873</v>
      </c>
      <c r="AL21" s="121">
        <f t="shared" si="3"/>
        <v>2679.3507586071873</v>
      </c>
      <c r="AM21" s="121">
        <f t="shared" si="3"/>
        <v>2679.3507586071873</v>
      </c>
      <c r="AN21" s="121">
        <f t="shared" si="3"/>
        <v>2679.3507586071873</v>
      </c>
      <c r="AO21" s="121">
        <f t="shared" si="3"/>
        <v>2679.3507586071873</v>
      </c>
      <c r="AP21" s="121">
        <f t="shared" si="3"/>
        <v>2679.3507586071873</v>
      </c>
      <c r="AQ21" s="121">
        <f t="shared" si="3"/>
        <v>2679.3507586071873</v>
      </c>
      <c r="AR21" s="121">
        <f t="shared" si="3"/>
        <v>2679.3507586071873</v>
      </c>
      <c r="AS21" s="121">
        <f t="shared" si="3"/>
        <v>2679.3507586071873</v>
      </c>
      <c r="AT21" s="121">
        <f t="shared" si="3"/>
        <v>2679.3507586071873</v>
      </c>
      <c r="AU21" s="121">
        <f t="shared" si="3"/>
        <v>2679.3507586071873</v>
      </c>
      <c r="AV21" s="121">
        <f t="shared" si="3"/>
        <v>2679.3507586071873</v>
      </c>
      <c r="AW21" s="121">
        <f t="shared" si="3"/>
        <v>2615.8396286779675</v>
      </c>
      <c r="AX21" s="121">
        <f t="shared" si="3"/>
        <v>2615.8396286779675</v>
      </c>
      <c r="AY21" s="121">
        <f t="shared" si="3"/>
        <v>2615.8396286779675</v>
      </c>
      <c r="AZ21" s="171">
        <f>SUM($D21:$AY21)</f>
        <v>127420.22361730524</v>
      </c>
    </row>
    <row r="22" spans="1:52" s="125" customFormat="1" x14ac:dyDescent="0.2">
      <c r="A22" s="172" t="s">
        <v>123</v>
      </c>
      <c r="B22" s="173">
        <f>1-$B$21</f>
        <v>0</v>
      </c>
      <c r="C22" s="173" t="s">
        <v>293</v>
      </c>
      <c r="D22" s="128">
        <f>IF(C$20="Yes",0,SUM(C$13:C$16)*$B$22)</f>
        <v>0</v>
      </c>
      <c r="E22" s="128">
        <f t="shared" ref="E22:AY22" si="4">IF(D$20="Yes",0,SUM(D$13:D$16)*$B$22)</f>
        <v>0</v>
      </c>
      <c r="F22" s="128">
        <f t="shared" si="4"/>
        <v>0</v>
      </c>
      <c r="G22" s="128">
        <f t="shared" si="4"/>
        <v>0</v>
      </c>
      <c r="H22" s="128">
        <f t="shared" si="4"/>
        <v>0</v>
      </c>
      <c r="I22" s="128">
        <f t="shared" si="4"/>
        <v>0</v>
      </c>
      <c r="J22" s="128">
        <f t="shared" si="4"/>
        <v>0</v>
      </c>
      <c r="K22" s="128">
        <f t="shared" si="4"/>
        <v>0</v>
      </c>
      <c r="L22" s="128">
        <f t="shared" si="4"/>
        <v>0</v>
      </c>
      <c r="M22" s="128">
        <f t="shared" si="4"/>
        <v>0</v>
      </c>
      <c r="N22" s="128">
        <f t="shared" si="4"/>
        <v>0</v>
      </c>
      <c r="O22" s="128">
        <f t="shared" si="4"/>
        <v>0</v>
      </c>
      <c r="P22" s="128">
        <f t="shared" si="4"/>
        <v>0</v>
      </c>
      <c r="Q22" s="128">
        <f t="shared" si="4"/>
        <v>0</v>
      </c>
      <c r="R22" s="128">
        <f t="shared" si="4"/>
        <v>0</v>
      </c>
      <c r="S22" s="128">
        <f t="shared" si="4"/>
        <v>0</v>
      </c>
      <c r="T22" s="128">
        <f t="shared" si="4"/>
        <v>0</v>
      </c>
      <c r="U22" s="128">
        <f t="shared" si="4"/>
        <v>0</v>
      </c>
      <c r="V22" s="128">
        <f t="shared" si="4"/>
        <v>0</v>
      </c>
      <c r="W22" s="128">
        <f t="shared" si="4"/>
        <v>0</v>
      </c>
      <c r="X22" s="128">
        <f t="shared" si="4"/>
        <v>0</v>
      </c>
      <c r="Y22" s="128">
        <f t="shared" si="4"/>
        <v>0</v>
      </c>
      <c r="Z22" s="128">
        <f t="shared" si="4"/>
        <v>0</v>
      </c>
      <c r="AA22" s="128">
        <f t="shared" si="4"/>
        <v>0</v>
      </c>
      <c r="AB22" s="128">
        <f t="shared" si="4"/>
        <v>0</v>
      </c>
      <c r="AC22" s="128">
        <f t="shared" si="4"/>
        <v>0</v>
      </c>
      <c r="AD22" s="128">
        <f t="shared" si="4"/>
        <v>0</v>
      </c>
      <c r="AE22" s="128">
        <f t="shared" si="4"/>
        <v>0</v>
      </c>
      <c r="AF22" s="128">
        <f t="shared" si="4"/>
        <v>0</v>
      </c>
      <c r="AG22" s="128">
        <f t="shared" si="4"/>
        <v>0</v>
      </c>
      <c r="AH22" s="128">
        <f t="shared" si="4"/>
        <v>0</v>
      </c>
      <c r="AI22" s="128">
        <f t="shared" si="4"/>
        <v>0</v>
      </c>
      <c r="AJ22" s="128">
        <f t="shared" si="4"/>
        <v>0</v>
      </c>
      <c r="AK22" s="128">
        <f t="shared" si="4"/>
        <v>0</v>
      </c>
      <c r="AL22" s="128">
        <f t="shared" si="4"/>
        <v>0</v>
      </c>
      <c r="AM22" s="128">
        <f t="shared" si="4"/>
        <v>0</v>
      </c>
      <c r="AN22" s="128">
        <f t="shared" si="4"/>
        <v>0</v>
      </c>
      <c r="AO22" s="128">
        <f t="shared" si="4"/>
        <v>0</v>
      </c>
      <c r="AP22" s="128">
        <f t="shared" si="4"/>
        <v>0</v>
      </c>
      <c r="AQ22" s="128">
        <f t="shared" si="4"/>
        <v>0</v>
      </c>
      <c r="AR22" s="128">
        <f t="shared" si="4"/>
        <v>0</v>
      </c>
      <c r="AS22" s="128">
        <f t="shared" si="4"/>
        <v>0</v>
      </c>
      <c r="AT22" s="128">
        <f t="shared" si="4"/>
        <v>0</v>
      </c>
      <c r="AU22" s="128">
        <f t="shared" si="4"/>
        <v>0</v>
      </c>
      <c r="AV22" s="128">
        <f t="shared" si="4"/>
        <v>0</v>
      </c>
      <c r="AW22" s="128">
        <f t="shared" si="4"/>
        <v>0</v>
      </c>
      <c r="AX22" s="128">
        <f t="shared" si="4"/>
        <v>0</v>
      </c>
      <c r="AY22" s="128">
        <f t="shared" si="4"/>
        <v>0</v>
      </c>
      <c r="AZ22" s="155">
        <f t="shared" ref="AZ22:AZ30" si="5">SUM($D22:$AY22)</f>
        <v>0</v>
      </c>
    </row>
    <row r="23" spans="1:52" x14ac:dyDescent="0.2">
      <c r="A23" s="174" t="s">
        <v>307</v>
      </c>
      <c r="B23" s="138">
        <v>2000</v>
      </c>
      <c r="C23" t="s">
        <v>293</v>
      </c>
      <c r="D23">
        <f>D$21*$B$23</f>
        <v>3870631.7445437466</v>
      </c>
      <c r="E23">
        <f t="shared" ref="E23:AY23" si="6">E$21*$B$23</f>
        <v>5358701.5172143746</v>
      </c>
      <c r="F23">
        <f t="shared" si="6"/>
        <v>5358701.5172143746</v>
      </c>
      <c r="G23">
        <f t="shared" si="6"/>
        <v>5358701.5172143746</v>
      </c>
      <c r="H23">
        <f t="shared" si="6"/>
        <v>5358701.5172143746</v>
      </c>
      <c r="I23">
        <f t="shared" si="6"/>
        <v>5231679.2573559349</v>
      </c>
      <c r="J23">
        <f t="shared" si="6"/>
        <v>5231679.2573559349</v>
      </c>
      <c r="K23">
        <f t="shared" si="6"/>
        <v>5231679.2573559349</v>
      </c>
      <c r="L23">
        <f t="shared" si="6"/>
        <v>5231679.2573559349</v>
      </c>
      <c r="M23">
        <f t="shared" si="6"/>
        <v>5358701.5172143746</v>
      </c>
      <c r="N23">
        <f t="shared" si="6"/>
        <v>5358701.5172143746</v>
      </c>
      <c r="O23">
        <f t="shared" si="6"/>
        <v>5358701.5172143746</v>
      </c>
      <c r="P23">
        <f t="shared" si="6"/>
        <v>5358701.5172143746</v>
      </c>
      <c r="Q23">
        <f t="shared" si="6"/>
        <v>5358701.5172143746</v>
      </c>
      <c r="R23">
        <f t="shared" si="6"/>
        <v>5358701.5172143746</v>
      </c>
      <c r="S23">
        <f t="shared" si="6"/>
        <v>5358701.5172143746</v>
      </c>
      <c r="T23">
        <f t="shared" si="6"/>
        <v>5358701.5172143746</v>
      </c>
      <c r="U23">
        <f t="shared" si="6"/>
        <v>5358701.5172143746</v>
      </c>
      <c r="V23">
        <f t="shared" si="6"/>
        <v>5358701.5172143746</v>
      </c>
      <c r="W23">
        <f t="shared" si="6"/>
        <v>5358701.5172143746</v>
      </c>
      <c r="X23">
        <f t="shared" si="6"/>
        <v>5358701.5172143746</v>
      </c>
      <c r="Y23">
        <f t="shared" si="6"/>
        <v>5358701.5172143746</v>
      </c>
      <c r="Z23">
        <f t="shared" si="6"/>
        <v>5358701.5172143746</v>
      </c>
      <c r="AA23">
        <f t="shared" si="6"/>
        <v>5358701.5172143746</v>
      </c>
      <c r="AB23">
        <f t="shared" si="6"/>
        <v>5358701.5172143746</v>
      </c>
      <c r="AC23">
        <f t="shared" si="6"/>
        <v>5358701.5172143746</v>
      </c>
      <c r="AD23">
        <f t="shared" si="6"/>
        <v>5358701.5172143746</v>
      </c>
      <c r="AE23">
        <f t="shared" si="6"/>
        <v>5358701.5172143746</v>
      </c>
      <c r="AF23">
        <f t="shared" si="6"/>
        <v>5358701.5172143746</v>
      </c>
      <c r="AG23">
        <f t="shared" si="6"/>
        <v>5358701.5172143746</v>
      </c>
      <c r="AH23">
        <f t="shared" si="6"/>
        <v>5358701.5172143746</v>
      </c>
      <c r="AI23">
        <f t="shared" si="6"/>
        <v>5358701.5172143746</v>
      </c>
      <c r="AJ23">
        <f t="shared" si="6"/>
        <v>5358701.5172143746</v>
      </c>
      <c r="AK23">
        <f t="shared" si="6"/>
        <v>5358701.5172143746</v>
      </c>
      <c r="AL23">
        <f t="shared" si="6"/>
        <v>5358701.5172143746</v>
      </c>
      <c r="AM23">
        <f t="shared" si="6"/>
        <v>5358701.5172143746</v>
      </c>
      <c r="AN23">
        <f t="shared" si="6"/>
        <v>5358701.5172143746</v>
      </c>
      <c r="AO23">
        <f t="shared" si="6"/>
        <v>5358701.5172143746</v>
      </c>
      <c r="AP23">
        <f t="shared" si="6"/>
        <v>5358701.5172143746</v>
      </c>
      <c r="AQ23">
        <f t="shared" si="6"/>
        <v>5358701.5172143746</v>
      </c>
      <c r="AR23">
        <f t="shared" si="6"/>
        <v>5358701.5172143746</v>
      </c>
      <c r="AS23">
        <f t="shared" si="6"/>
        <v>5358701.5172143746</v>
      </c>
      <c r="AT23">
        <f t="shared" si="6"/>
        <v>5358701.5172143746</v>
      </c>
      <c r="AU23">
        <f t="shared" si="6"/>
        <v>5358701.5172143746</v>
      </c>
      <c r="AV23">
        <f t="shared" si="6"/>
        <v>5358701.5172143746</v>
      </c>
      <c r="AW23">
        <f t="shared" si="6"/>
        <v>5231679.2573559349</v>
      </c>
      <c r="AX23">
        <f t="shared" si="6"/>
        <v>5231679.2573559349</v>
      </c>
      <c r="AY23">
        <f t="shared" si="6"/>
        <v>5231679.2573559349</v>
      </c>
      <c r="AZ23" s="153">
        <f t="shared" si="5"/>
        <v>254840447.2346105</v>
      </c>
    </row>
    <row r="24" spans="1:52" s="125" customFormat="1" x14ac:dyDescent="0.2">
      <c r="A24" s="175" t="s">
        <v>308</v>
      </c>
      <c r="B24" s="176">
        <v>1000</v>
      </c>
      <c r="C24" s="170" t="s">
        <v>293</v>
      </c>
      <c r="D24" s="121">
        <f>D$22*$B$24</f>
        <v>0</v>
      </c>
      <c r="E24" s="121">
        <f t="shared" ref="E24:AY24" si="7">E$22*$B$24</f>
        <v>0</v>
      </c>
      <c r="F24" s="121">
        <f t="shared" si="7"/>
        <v>0</v>
      </c>
      <c r="G24" s="121">
        <f t="shared" si="7"/>
        <v>0</v>
      </c>
      <c r="H24" s="121">
        <f t="shared" si="7"/>
        <v>0</v>
      </c>
      <c r="I24" s="121">
        <f t="shared" si="7"/>
        <v>0</v>
      </c>
      <c r="J24" s="121">
        <f t="shared" si="7"/>
        <v>0</v>
      </c>
      <c r="K24" s="121">
        <f t="shared" si="7"/>
        <v>0</v>
      </c>
      <c r="L24" s="121">
        <f t="shared" si="7"/>
        <v>0</v>
      </c>
      <c r="M24" s="121">
        <f t="shared" si="7"/>
        <v>0</v>
      </c>
      <c r="N24" s="121">
        <f t="shared" si="7"/>
        <v>0</v>
      </c>
      <c r="O24" s="121">
        <f t="shared" si="7"/>
        <v>0</v>
      </c>
      <c r="P24" s="121">
        <f t="shared" si="7"/>
        <v>0</v>
      </c>
      <c r="Q24" s="121">
        <f t="shared" si="7"/>
        <v>0</v>
      </c>
      <c r="R24" s="121">
        <f t="shared" si="7"/>
        <v>0</v>
      </c>
      <c r="S24" s="121">
        <f t="shared" si="7"/>
        <v>0</v>
      </c>
      <c r="T24" s="121">
        <f t="shared" si="7"/>
        <v>0</v>
      </c>
      <c r="U24" s="121">
        <f t="shared" si="7"/>
        <v>0</v>
      </c>
      <c r="V24" s="121">
        <f t="shared" si="7"/>
        <v>0</v>
      </c>
      <c r="W24" s="121">
        <f t="shared" si="7"/>
        <v>0</v>
      </c>
      <c r="X24" s="121">
        <f t="shared" si="7"/>
        <v>0</v>
      </c>
      <c r="Y24" s="121">
        <f t="shared" si="7"/>
        <v>0</v>
      </c>
      <c r="Z24" s="121">
        <f t="shared" si="7"/>
        <v>0</v>
      </c>
      <c r="AA24" s="121">
        <f t="shared" si="7"/>
        <v>0</v>
      </c>
      <c r="AB24" s="121">
        <f t="shared" si="7"/>
        <v>0</v>
      </c>
      <c r="AC24" s="121">
        <f t="shared" si="7"/>
        <v>0</v>
      </c>
      <c r="AD24" s="121">
        <f t="shared" si="7"/>
        <v>0</v>
      </c>
      <c r="AE24" s="121">
        <f t="shared" si="7"/>
        <v>0</v>
      </c>
      <c r="AF24" s="121">
        <f t="shared" si="7"/>
        <v>0</v>
      </c>
      <c r="AG24" s="121">
        <f t="shared" si="7"/>
        <v>0</v>
      </c>
      <c r="AH24" s="121">
        <f t="shared" si="7"/>
        <v>0</v>
      </c>
      <c r="AI24" s="121">
        <f t="shared" si="7"/>
        <v>0</v>
      </c>
      <c r="AJ24" s="121">
        <f t="shared" si="7"/>
        <v>0</v>
      </c>
      <c r="AK24" s="121">
        <f t="shared" si="7"/>
        <v>0</v>
      </c>
      <c r="AL24" s="121">
        <f t="shared" si="7"/>
        <v>0</v>
      </c>
      <c r="AM24" s="121">
        <f t="shared" si="7"/>
        <v>0</v>
      </c>
      <c r="AN24" s="121">
        <f t="shared" si="7"/>
        <v>0</v>
      </c>
      <c r="AO24" s="121">
        <f t="shared" si="7"/>
        <v>0</v>
      </c>
      <c r="AP24" s="121">
        <f t="shared" si="7"/>
        <v>0</v>
      </c>
      <c r="AQ24" s="121">
        <f t="shared" si="7"/>
        <v>0</v>
      </c>
      <c r="AR24" s="121">
        <f t="shared" si="7"/>
        <v>0</v>
      </c>
      <c r="AS24" s="121">
        <f t="shared" si="7"/>
        <v>0</v>
      </c>
      <c r="AT24" s="121">
        <f t="shared" si="7"/>
        <v>0</v>
      </c>
      <c r="AU24" s="121">
        <f t="shared" si="7"/>
        <v>0</v>
      </c>
      <c r="AV24" s="121">
        <f t="shared" si="7"/>
        <v>0</v>
      </c>
      <c r="AW24" s="121">
        <f t="shared" si="7"/>
        <v>0</v>
      </c>
      <c r="AX24" s="121">
        <f t="shared" si="7"/>
        <v>0</v>
      </c>
      <c r="AY24" s="121">
        <f t="shared" si="7"/>
        <v>0</v>
      </c>
      <c r="AZ24" s="155">
        <f t="shared" si="5"/>
        <v>0</v>
      </c>
    </row>
    <row r="25" spans="1:52" x14ac:dyDescent="0.2">
      <c r="C25" s="152"/>
      <c r="D25" s="152"/>
      <c r="E25" s="152"/>
      <c r="F25" s="152"/>
      <c r="G25" s="152"/>
      <c r="H25" s="152"/>
      <c r="I25" s="152"/>
      <c r="J25" s="152"/>
      <c r="K25" s="152"/>
      <c r="L25" s="152"/>
      <c r="M25" s="152"/>
      <c r="N25" s="152"/>
      <c r="O25" s="152"/>
      <c r="P25" s="152"/>
      <c r="Q25" s="152"/>
      <c r="R25" s="152"/>
      <c r="S25" s="152"/>
      <c r="T25" s="152"/>
      <c r="U25" s="152"/>
      <c r="V25" s="152"/>
      <c r="W25" s="152"/>
      <c r="X25" s="152"/>
      <c r="Y25" s="152"/>
      <c r="Z25" s="152"/>
      <c r="AA25" s="152"/>
      <c r="AB25" s="152"/>
      <c r="AC25" s="152"/>
      <c r="AD25" s="152"/>
      <c r="AE25" s="152"/>
      <c r="AF25" s="152"/>
      <c r="AG25" s="152"/>
      <c r="AH25" s="152"/>
      <c r="AI25" s="152"/>
      <c r="AJ25" s="152"/>
      <c r="AK25" s="152"/>
      <c r="AL25" s="152"/>
      <c r="AM25" s="152"/>
      <c r="AN25" s="152"/>
      <c r="AO25" s="152"/>
      <c r="AP25" s="152"/>
      <c r="AQ25" s="152"/>
      <c r="AR25" s="152"/>
      <c r="AS25" s="152"/>
      <c r="AT25" s="152"/>
      <c r="AU25" s="152"/>
      <c r="AV25" s="152"/>
      <c r="AW25" s="152"/>
      <c r="AX25" s="152"/>
      <c r="AY25" s="152"/>
      <c r="AZ25" s="121"/>
    </row>
    <row r="26" spans="1:52" x14ac:dyDescent="0.2">
      <c r="A26" s="177" t="s">
        <v>18</v>
      </c>
      <c r="C26" s="121"/>
      <c r="D26" s="121"/>
      <c r="E26" s="121"/>
      <c r="F26" s="121"/>
      <c r="G26" s="121"/>
      <c r="H26" s="121"/>
      <c r="I26" s="121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  <c r="AB26" s="121"/>
      <c r="AC26" s="121"/>
      <c r="AD26" s="121"/>
      <c r="AE26" s="121"/>
      <c r="AF26" s="121"/>
      <c r="AG26" s="121"/>
      <c r="AH26" s="121"/>
      <c r="AI26" s="121"/>
      <c r="AJ26" s="121"/>
      <c r="AK26" s="121"/>
      <c r="AL26" s="121"/>
      <c r="AM26" s="121"/>
      <c r="AN26" s="121"/>
      <c r="AO26" s="121"/>
      <c r="AP26" s="121"/>
      <c r="AQ26" s="121"/>
      <c r="AR26" s="121"/>
      <c r="AS26" s="121"/>
      <c r="AT26" s="121"/>
      <c r="AU26" s="121"/>
      <c r="AV26" s="121"/>
      <c r="AW26" s="121"/>
      <c r="AX26" s="121"/>
      <c r="AY26" s="121"/>
      <c r="AZ26" s="121"/>
    </row>
    <row r="27" spans="1:52" x14ac:dyDescent="0.2">
      <c r="B27" s="149" t="s">
        <v>309</v>
      </c>
      <c r="C27" s="138">
        <v>53</v>
      </c>
      <c r="D27" s="138">
        <f>C$27-C$28+C$29</f>
        <v>-3</v>
      </c>
      <c r="E27" s="138">
        <f t="shared" ref="E27:AY27" si="8">D27-D28+D29</f>
        <v>53</v>
      </c>
      <c r="F27" s="138">
        <f t="shared" si="8"/>
        <v>0</v>
      </c>
      <c r="G27" s="138">
        <f t="shared" si="8"/>
        <v>53</v>
      </c>
      <c r="H27" s="138">
        <f t="shared" si="8"/>
        <v>0</v>
      </c>
      <c r="I27" s="138">
        <f t="shared" si="8"/>
        <v>53</v>
      </c>
      <c r="J27" s="138">
        <f t="shared" si="8"/>
        <v>0</v>
      </c>
      <c r="K27" s="138">
        <f t="shared" si="8"/>
        <v>53</v>
      </c>
      <c r="L27" s="138">
        <f t="shared" si="8"/>
        <v>0</v>
      </c>
      <c r="M27" s="138">
        <f t="shared" si="8"/>
        <v>53</v>
      </c>
      <c r="N27" s="138">
        <f t="shared" si="8"/>
        <v>0</v>
      </c>
      <c r="O27" s="138">
        <f t="shared" si="8"/>
        <v>53</v>
      </c>
      <c r="P27" s="138">
        <f t="shared" si="8"/>
        <v>0</v>
      </c>
      <c r="Q27" s="138">
        <f t="shared" si="8"/>
        <v>53</v>
      </c>
      <c r="R27" s="138">
        <f t="shared" si="8"/>
        <v>0</v>
      </c>
      <c r="S27" s="138">
        <f t="shared" si="8"/>
        <v>53</v>
      </c>
      <c r="T27" s="138">
        <f t="shared" si="8"/>
        <v>0</v>
      </c>
      <c r="U27" s="138">
        <f t="shared" si="8"/>
        <v>53</v>
      </c>
      <c r="V27" s="138">
        <f t="shared" si="8"/>
        <v>0</v>
      </c>
      <c r="W27" s="138">
        <f t="shared" si="8"/>
        <v>53</v>
      </c>
      <c r="X27" s="138">
        <f t="shared" si="8"/>
        <v>0</v>
      </c>
      <c r="Y27" s="138">
        <f t="shared" si="8"/>
        <v>53</v>
      </c>
      <c r="Z27" s="138">
        <f t="shared" si="8"/>
        <v>0</v>
      </c>
      <c r="AA27" s="138">
        <f t="shared" si="8"/>
        <v>53</v>
      </c>
      <c r="AB27" s="138">
        <f t="shared" si="8"/>
        <v>0</v>
      </c>
      <c r="AC27" s="138">
        <f t="shared" si="8"/>
        <v>53</v>
      </c>
      <c r="AD27" s="138">
        <f t="shared" si="8"/>
        <v>0</v>
      </c>
      <c r="AE27" s="138">
        <f t="shared" si="8"/>
        <v>53</v>
      </c>
      <c r="AF27" s="138">
        <f t="shared" si="8"/>
        <v>0</v>
      </c>
      <c r="AG27" s="138">
        <f t="shared" si="8"/>
        <v>53</v>
      </c>
      <c r="AH27" s="138">
        <f t="shared" si="8"/>
        <v>0</v>
      </c>
      <c r="AI27" s="138">
        <f t="shared" si="8"/>
        <v>53</v>
      </c>
      <c r="AJ27" s="138">
        <f t="shared" si="8"/>
        <v>0</v>
      </c>
      <c r="AK27" s="138">
        <f t="shared" si="8"/>
        <v>53</v>
      </c>
      <c r="AL27" s="138">
        <f t="shared" si="8"/>
        <v>0</v>
      </c>
      <c r="AM27" s="138">
        <f t="shared" si="8"/>
        <v>53</v>
      </c>
      <c r="AN27" s="138">
        <f t="shared" si="8"/>
        <v>0</v>
      </c>
      <c r="AO27" s="138">
        <f t="shared" si="8"/>
        <v>53</v>
      </c>
      <c r="AP27" s="138">
        <f t="shared" si="8"/>
        <v>0</v>
      </c>
      <c r="AQ27" s="138">
        <f t="shared" si="8"/>
        <v>53</v>
      </c>
      <c r="AR27" s="138">
        <f t="shared" si="8"/>
        <v>0</v>
      </c>
      <c r="AS27" s="138">
        <f t="shared" si="8"/>
        <v>53</v>
      </c>
      <c r="AT27" s="138">
        <f t="shared" si="8"/>
        <v>0</v>
      </c>
      <c r="AU27" s="138">
        <f t="shared" si="8"/>
        <v>53</v>
      </c>
      <c r="AV27" s="138">
        <f t="shared" si="8"/>
        <v>0</v>
      </c>
      <c r="AW27" s="138">
        <f t="shared" si="8"/>
        <v>53</v>
      </c>
      <c r="AX27" s="138">
        <f t="shared" si="8"/>
        <v>0</v>
      </c>
      <c r="AY27" s="178">
        <f t="shared" si="8"/>
        <v>53</v>
      </c>
      <c r="AZ27" s="121"/>
    </row>
    <row r="28" spans="1:52" x14ac:dyDescent="0.2">
      <c r="B28" s="179" t="s">
        <v>310</v>
      </c>
      <c r="C28" s="125">
        <v>56</v>
      </c>
      <c r="D28" s="125">
        <v>0</v>
      </c>
      <c r="E28" s="125">
        <v>53</v>
      </c>
      <c r="F28" s="125">
        <v>0</v>
      </c>
      <c r="G28" s="125">
        <v>53</v>
      </c>
      <c r="H28" s="125">
        <v>0</v>
      </c>
      <c r="I28" s="125">
        <v>53</v>
      </c>
      <c r="J28" s="125">
        <v>0</v>
      </c>
      <c r="K28" s="125">
        <v>53</v>
      </c>
      <c r="L28" s="125">
        <v>0</v>
      </c>
      <c r="M28" s="125">
        <v>53</v>
      </c>
      <c r="N28" s="125">
        <v>0</v>
      </c>
      <c r="O28" s="125">
        <v>53</v>
      </c>
      <c r="P28" s="125">
        <v>0</v>
      </c>
      <c r="Q28" s="125">
        <v>53</v>
      </c>
      <c r="R28" s="125">
        <v>0</v>
      </c>
      <c r="S28" s="125">
        <v>53</v>
      </c>
      <c r="T28" s="125">
        <v>0</v>
      </c>
      <c r="U28" s="125">
        <v>53</v>
      </c>
      <c r="V28" s="125">
        <v>0</v>
      </c>
      <c r="W28" s="125">
        <v>53</v>
      </c>
      <c r="X28" s="125">
        <v>0</v>
      </c>
      <c r="Y28" s="125">
        <v>53</v>
      </c>
      <c r="Z28" s="125">
        <v>0</v>
      </c>
      <c r="AA28" s="125">
        <v>53</v>
      </c>
      <c r="AB28" s="125">
        <v>0</v>
      </c>
      <c r="AC28" s="125">
        <v>53</v>
      </c>
      <c r="AD28" s="125">
        <v>0</v>
      </c>
      <c r="AE28" s="125">
        <v>53</v>
      </c>
      <c r="AF28" s="125">
        <v>0</v>
      </c>
      <c r="AG28" s="125">
        <v>53</v>
      </c>
      <c r="AH28" s="125">
        <v>0</v>
      </c>
      <c r="AI28" s="125">
        <v>53</v>
      </c>
      <c r="AJ28" s="125">
        <v>0</v>
      </c>
      <c r="AK28" s="125">
        <v>53</v>
      </c>
      <c r="AL28" s="125">
        <v>0</v>
      </c>
      <c r="AM28" s="125">
        <v>53</v>
      </c>
      <c r="AN28" s="125">
        <v>0</v>
      </c>
      <c r="AO28" s="125">
        <v>53</v>
      </c>
      <c r="AP28" s="125">
        <v>0</v>
      </c>
      <c r="AQ28" s="125">
        <v>53</v>
      </c>
      <c r="AR28" s="125">
        <v>0</v>
      </c>
      <c r="AS28" s="125">
        <v>53</v>
      </c>
      <c r="AT28" s="125">
        <v>0</v>
      </c>
      <c r="AU28" s="125">
        <v>53</v>
      </c>
      <c r="AV28" s="125">
        <v>0</v>
      </c>
      <c r="AW28" s="125">
        <v>53</v>
      </c>
      <c r="AX28" s="125">
        <v>0</v>
      </c>
      <c r="AY28" s="180">
        <v>53</v>
      </c>
      <c r="AZ28" s="121"/>
    </row>
    <row r="29" spans="1:52" x14ac:dyDescent="0.2">
      <c r="B29" s="150" t="s">
        <v>311</v>
      </c>
      <c r="C29" s="139">
        <v>0</v>
      </c>
      <c r="D29" s="139">
        <f>C$28</f>
        <v>56</v>
      </c>
      <c r="E29" s="139">
        <f t="shared" ref="E29:AY29" si="9">D$28</f>
        <v>0</v>
      </c>
      <c r="F29" s="139">
        <f t="shared" si="9"/>
        <v>53</v>
      </c>
      <c r="G29" s="139">
        <f t="shared" si="9"/>
        <v>0</v>
      </c>
      <c r="H29" s="139">
        <f t="shared" si="9"/>
        <v>53</v>
      </c>
      <c r="I29" s="139">
        <f t="shared" si="9"/>
        <v>0</v>
      </c>
      <c r="J29" s="139">
        <f t="shared" si="9"/>
        <v>53</v>
      </c>
      <c r="K29" s="139">
        <f t="shared" si="9"/>
        <v>0</v>
      </c>
      <c r="L29" s="139">
        <f t="shared" si="9"/>
        <v>53</v>
      </c>
      <c r="M29" s="139">
        <f t="shared" si="9"/>
        <v>0</v>
      </c>
      <c r="N29" s="139">
        <f t="shared" si="9"/>
        <v>53</v>
      </c>
      <c r="O29" s="139">
        <f t="shared" si="9"/>
        <v>0</v>
      </c>
      <c r="P29" s="139">
        <f t="shared" si="9"/>
        <v>53</v>
      </c>
      <c r="Q29" s="139">
        <f t="shared" si="9"/>
        <v>0</v>
      </c>
      <c r="R29" s="139">
        <f t="shared" si="9"/>
        <v>53</v>
      </c>
      <c r="S29" s="139">
        <f t="shared" si="9"/>
        <v>0</v>
      </c>
      <c r="T29" s="139">
        <f t="shared" si="9"/>
        <v>53</v>
      </c>
      <c r="U29" s="139">
        <f t="shared" si="9"/>
        <v>0</v>
      </c>
      <c r="V29" s="139">
        <f t="shared" si="9"/>
        <v>53</v>
      </c>
      <c r="W29" s="139">
        <f t="shared" si="9"/>
        <v>0</v>
      </c>
      <c r="X29" s="139">
        <f t="shared" si="9"/>
        <v>53</v>
      </c>
      <c r="Y29" s="139">
        <f t="shared" si="9"/>
        <v>0</v>
      </c>
      <c r="Z29" s="139">
        <f t="shared" si="9"/>
        <v>53</v>
      </c>
      <c r="AA29" s="139">
        <f t="shared" si="9"/>
        <v>0</v>
      </c>
      <c r="AB29" s="139">
        <f t="shared" si="9"/>
        <v>53</v>
      </c>
      <c r="AC29" s="139">
        <f t="shared" si="9"/>
        <v>0</v>
      </c>
      <c r="AD29" s="139">
        <f t="shared" si="9"/>
        <v>53</v>
      </c>
      <c r="AE29" s="139">
        <f t="shared" si="9"/>
        <v>0</v>
      </c>
      <c r="AF29" s="139">
        <f t="shared" si="9"/>
        <v>53</v>
      </c>
      <c r="AG29" s="139">
        <f t="shared" si="9"/>
        <v>0</v>
      </c>
      <c r="AH29" s="139">
        <f t="shared" si="9"/>
        <v>53</v>
      </c>
      <c r="AI29" s="139">
        <f t="shared" si="9"/>
        <v>0</v>
      </c>
      <c r="AJ29" s="139">
        <f t="shared" si="9"/>
        <v>53</v>
      </c>
      <c r="AK29" s="139">
        <f t="shared" si="9"/>
        <v>0</v>
      </c>
      <c r="AL29" s="139">
        <f t="shared" si="9"/>
        <v>53</v>
      </c>
      <c r="AM29" s="139">
        <f t="shared" si="9"/>
        <v>0</v>
      </c>
      <c r="AN29" s="139">
        <f t="shared" si="9"/>
        <v>53</v>
      </c>
      <c r="AO29" s="139">
        <f t="shared" si="9"/>
        <v>0</v>
      </c>
      <c r="AP29" s="139">
        <f t="shared" si="9"/>
        <v>53</v>
      </c>
      <c r="AQ29" s="139">
        <f t="shared" si="9"/>
        <v>0</v>
      </c>
      <c r="AR29" s="139">
        <f t="shared" si="9"/>
        <v>53</v>
      </c>
      <c r="AS29" s="139">
        <f t="shared" si="9"/>
        <v>0</v>
      </c>
      <c r="AT29" s="139">
        <f t="shared" si="9"/>
        <v>53</v>
      </c>
      <c r="AU29" s="139">
        <f t="shared" si="9"/>
        <v>0</v>
      </c>
      <c r="AV29" s="139">
        <f t="shared" si="9"/>
        <v>53</v>
      </c>
      <c r="AW29" s="139">
        <f t="shared" si="9"/>
        <v>0</v>
      </c>
      <c r="AX29" s="139">
        <f t="shared" si="9"/>
        <v>53</v>
      </c>
      <c r="AY29" s="181">
        <f t="shared" si="9"/>
        <v>0</v>
      </c>
      <c r="AZ29" s="182"/>
    </row>
    <row r="30" spans="1:52" x14ac:dyDescent="0.2">
      <c r="A30" s="183" t="s">
        <v>312</v>
      </c>
      <c r="B30" s="158">
        <v>10</v>
      </c>
      <c r="C30" s="131" t="s">
        <v>293</v>
      </c>
      <c r="D30" s="131">
        <f>D$27*$B$30</f>
        <v>-30</v>
      </c>
      <c r="E30" s="131">
        <f t="shared" ref="E30:AY30" si="10">E$27*$B$30</f>
        <v>530</v>
      </c>
      <c r="F30" s="131">
        <f t="shared" si="10"/>
        <v>0</v>
      </c>
      <c r="G30" s="131">
        <f t="shared" si="10"/>
        <v>530</v>
      </c>
      <c r="H30" s="131">
        <f t="shared" si="10"/>
        <v>0</v>
      </c>
      <c r="I30" s="131">
        <f t="shared" si="10"/>
        <v>530</v>
      </c>
      <c r="J30" s="131">
        <f t="shared" si="10"/>
        <v>0</v>
      </c>
      <c r="K30" s="131">
        <f t="shared" si="10"/>
        <v>530</v>
      </c>
      <c r="L30" s="131">
        <f t="shared" si="10"/>
        <v>0</v>
      </c>
      <c r="M30" s="131">
        <f t="shared" si="10"/>
        <v>530</v>
      </c>
      <c r="N30" s="131">
        <f t="shared" si="10"/>
        <v>0</v>
      </c>
      <c r="O30" s="131">
        <f t="shared" si="10"/>
        <v>530</v>
      </c>
      <c r="P30" s="131">
        <f t="shared" si="10"/>
        <v>0</v>
      </c>
      <c r="Q30" s="131">
        <f t="shared" si="10"/>
        <v>530</v>
      </c>
      <c r="R30" s="131">
        <f>R$27*$B$30</f>
        <v>0</v>
      </c>
      <c r="S30" s="131">
        <f t="shared" si="10"/>
        <v>530</v>
      </c>
      <c r="T30" s="131">
        <f t="shared" si="10"/>
        <v>0</v>
      </c>
      <c r="U30" s="131">
        <f t="shared" si="10"/>
        <v>530</v>
      </c>
      <c r="V30" s="131">
        <f t="shared" si="10"/>
        <v>0</v>
      </c>
      <c r="W30" s="131">
        <f t="shared" si="10"/>
        <v>530</v>
      </c>
      <c r="X30" s="131">
        <f t="shared" si="10"/>
        <v>0</v>
      </c>
      <c r="Y30" s="131">
        <f t="shared" si="10"/>
        <v>530</v>
      </c>
      <c r="Z30" s="131">
        <f t="shared" si="10"/>
        <v>0</v>
      </c>
      <c r="AA30" s="131">
        <f t="shared" si="10"/>
        <v>530</v>
      </c>
      <c r="AB30" s="131">
        <f t="shared" si="10"/>
        <v>0</v>
      </c>
      <c r="AC30" s="131">
        <f t="shared" si="10"/>
        <v>530</v>
      </c>
      <c r="AD30" s="131">
        <f t="shared" si="10"/>
        <v>0</v>
      </c>
      <c r="AE30" s="131">
        <f>AE$27*$B$30</f>
        <v>530</v>
      </c>
      <c r="AF30" s="131">
        <f t="shared" si="10"/>
        <v>0</v>
      </c>
      <c r="AG30" s="131">
        <f t="shared" si="10"/>
        <v>530</v>
      </c>
      <c r="AH30" s="131">
        <f t="shared" si="10"/>
        <v>0</v>
      </c>
      <c r="AI30" s="131">
        <f t="shared" si="10"/>
        <v>530</v>
      </c>
      <c r="AJ30" s="131">
        <f t="shared" si="10"/>
        <v>0</v>
      </c>
      <c r="AK30" s="131">
        <f t="shared" si="10"/>
        <v>530</v>
      </c>
      <c r="AL30" s="131">
        <f t="shared" si="10"/>
        <v>0</v>
      </c>
      <c r="AM30" s="131">
        <f t="shared" si="10"/>
        <v>530</v>
      </c>
      <c r="AN30" s="131">
        <f t="shared" si="10"/>
        <v>0</v>
      </c>
      <c r="AO30" s="131">
        <f t="shared" si="10"/>
        <v>530</v>
      </c>
      <c r="AP30" s="131">
        <f t="shared" si="10"/>
        <v>0</v>
      </c>
      <c r="AQ30" s="131">
        <f t="shared" si="10"/>
        <v>530</v>
      </c>
      <c r="AR30" s="131">
        <f t="shared" si="10"/>
        <v>0</v>
      </c>
      <c r="AS30" s="131">
        <f t="shared" si="10"/>
        <v>530</v>
      </c>
      <c r="AT30" s="131">
        <f t="shared" si="10"/>
        <v>0</v>
      </c>
      <c r="AU30" s="131">
        <f t="shared" si="10"/>
        <v>530</v>
      </c>
      <c r="AV30" s="131">
        <f t="shared" si="10"/>
        <v>0</v>
      </c>
      <c r="AW30" s="131">
        <f t="shared" si="10"/>
        <v>530</v>
      </c>
      <c r="AX30" s="131">
        <f t="shared" si="10"/>
        <v>0</v>
      </c>
      <c r="AY30" s="131">
        <f t="shared" si="10"/>
        <v>530</v>
      </c>
      <c r="AZ30" s="155">
        <f t="shared" si="5"/>
        <v>12690</v>
      </c>
    </row>
    <row r="32" spans="1:52" x14ac:dyDescent="0.2">
      <c r="A32" s="1" t="s">
        <v>300</v>
      </c>
    </row>
    <row r="33" spans="1:52" x14ac:dyDescent="0.2">
      <c r="A33" s="149" t="s">
        <v>22</v>
      </c>
      <c r="B33" s="149" t="s">
        <v>340</v>
      </c>
      <c r="C33" s="138"/>
      <c r="D33" s="138">
        <f>D$21*shipping_manufacturing!$H$27/100</f>
        <v>0</v>
      </c>
      <c r="E33" s="138">
        <f>E$21*shipping_manufacturing!$H$27/100</f>
        <v>0</v>
      </c>
      <c r="F33" s="138">
        <f>F$21*shipping_manufacturing!$H$27/100</f>
        <v>0</v>
      </c>
      <c r="G33" s="138">
        <f>G$21*shipping_manufacturing!$H$27/100</f>
        <v>0</v>
      </c>
      <c r="H33" s="138">
        <f>H$21*shipping_manufacturing!$H$27/100</f>
        <v>0</v>
      </c>
      <c r="I33" s="138">
        <f>I$21*shipping_manufacturing!$H$27/100</f>
        <v>0</v>
      </c>
      <c r="J33" s="138">
        <f>J$21*shipping_manufacturing!$H$27/100</f>
        <v>0</v>
      </c>
      <c r="K33" s="138">
        <f>K$21*shipping_manufacturing!$H$27/100</f>
        <v>0</v>
      </c>
      <c r="L33" s="138">
        <f>L$21*shipping_manufacturing!$H$27/100</f>
        <v>0</v>
      </c>
      <c r="M33" s="138">
        <f>M$21*shipping_manufacturing!$H$27/100</f>
        <v>0</v>
      </c>
      <c r="N33" s="138">
        <f>N$21*shipping_manufacturing!$H$27/100</f>
        <v>0</v>
      </c>
      <c r="O33" s="138">
        <f>O$21*shipping_manufacturing!$H$27/100</f>
        <v>0</v>
      </c>
      <c r="P33" s="138">
        <f>P$21*shipping_manufacturing!$H$27/100</f>
        <v>0</v>
      </c>
      <c r="Q33" s="138">
        <f>Q$21*shipping_manufacturing!$H$27/100</f>
        <v>0</v>
      </c>
      <c r="R33" s="138">
        <f>R$21*shipping_manufacturing!$H$27/100</f>
        <v>0</v>
      </c>
      <c r="S33" s="138">
        <f>S$21*shipping_manufacturing!$H$27/100</f>
        <v>0</v>
      </c>
      <c r="T33" s="138">
        <f>T$21*shipping_manufacturing!$H$27/100</f>
        <v>0</v>
      </c>
      <c r="U33" s="138">
        <f>U$21*shipping_manufacturing!$H$27/100</f>
        <v>0</v>
      </c>
      <c r="V33" s="138">
        <f>V$21*shipping_manufacturing!$H$27/100</f>
        <v>0</v>
      </c>
      <c r="W33" s="138">
        <f>W$21*shipping_manufacturing!$H$27/100</f>
        <v>0</v>
      </c>
      <c r="X33" s="138">
        <f>X$21*shipping_manufacturing!$H$27/100</f>
        <v>0</v>
      </c>
      <c r="Y33" s="138">
        <f>Y$21*shipping_manufacturing!$H$27/100</f>
        <v>0</v>
      </c>
      <c r="Z33" s="138">
        <f>Z$21*shipping_manufacturing!$H$27/100</f>
        <v>0</v>
      </c>
      <c r="AA33" s="138">
        <f>AA$21*shipping_manufacturing!$H$27/100</f>
        <v>0</v>
      </c>
      <c r="AB33" s="138">
        <f>AB$21*shipping_manufacturing!$H$27/100</f>
        <v>0</v>
      </c>
      <c r="AC33" s="138">
        <f>AC$21*shipping_manufacturing!$H$27/100</f>
        <v>0</v>
      </c>
      <c r="AD33" s="138">
        <f>AD$21*shipping_manufacturing!$H$27/100</f>
        <v>0</v>
      </c>
      <c r="AE33" s="138">
        <f>AE$21*shipping_manufacturing!$H$27/100</f>
        <v>0</v>
      </c>
      <c r="AF33" s="138">
        <f>AF$21*shipping_manufacturing!$H$27/100</f>
        <v>0</v>
      </c>
      <c r="AG33" s="138">
        <f>AG$21*shipping_manufacturing!$H$27/100</f>
        <v>0</v>
      </c>
      <c r="AH33" s="138">
        <f>AH$21*shipping_manufacturing!$H$27/100</f>
        <v>0</v>
      </c>
      <c r="AI33" s="138">
        <f>AI$21*shipping_manufacturing!$H$27/100</f>
        <v>0</v>
      </c>
      <c r="AJ33" s="138">
        <f>AJ$21*shipping_manufacturing!$H$27/100</f>
        <v>0</v>
      </c>
      <c r="AK33" s="138">
        <f>AK$21*shipping_manufacturing!$H$27/100</f>
        <v>0</v>
      </c>
      <c r="AL33" s="138">
        <f>AL$21*shipping_manufacturing!$H$27/100</f>
        <v>0</v>
      </c>
      <c r="AM33" s="138">
        <f>AM$21*shipping_manufacturing!$H$27/100</f>
        <v>0</v>
      </c>
      <c r="AN33" s="138">
        <f>AN$21*shipping_manufacturing!$H$27/100</f>
        <v>0</v>
      </c>
      <c r="AO33" s="138">
        <f>AO$21*shipping_manufacturing!$H$27/100</f>
        <v>0</v>
      </c>
      <c r="AP33" s="138">
        <f>AP$21*shipping_manufacturing!$H$27/100</f>
        <v>0</v>
      </c>
      <c r="AQ33" s="138">
        <f>AQ$21*shipping_manufacturing!$H$27/100</f>
        <v>0</v>
      </c>
      <c r="AR33" s="138">
        <f>AR$21*shipping_manufacturing!$H$27/100</f>
        <v>0</v>
      </c>
      <c r="AS33" s="138">
        <f>AS$21*shipping_manufacturing!$H$27/100</f>
        <v>0</v>
      </c>
      <c r="AT33" s="138">
        <f>AT$21*shipping_manufacturing!$H$27/100</f>
        <v>0</v>
      </c>
      <c r="AU33" s="138">
        <f>AU$21*shipping_manufacturing!$H$27/100</f>
        <v>0</v>
      </c>
      <c r="AV33" s="138">
        <f>AV$21*shipping_manufacturing!$H$27/100</f>
        <v>0</v>
      </c>
      <c r="AW33" s="138">
        <f>AW$21*shipping_manufacturing!$H$27/100</f>
        <v>0</v>
      </c>
      <c r="AX33" s="138">
        <f>AX$21*shipping_manufacturing!$H$27/100</f>
        <v>0</v>
      </c>
      <c r="AY33" s="138">
        <f>AY$21*shipping_manufacturing!$H$27/100</f>
        <v>0</v>
      </c>
    </row>
    <row r="34" spans="1:52" x14ac:dyDescent="0.2">
      <c r="A34" s="127" t="s">
        <v>339</v>
      </c>
      <c r="B34" s="179" t="s">
        <v>341</v>
      </c>
      <c r="C34" s="125"/>
      <c r="D34" s="125">
        <f>D$22*shipping_manufacturing!$I$27/100</f>
        <v>0</v>
      </c>
      <c r="E34" s="125">
        <f>E$22*shipping_manufacturing!$I$27/100</f>
        <v>0</v>
      </c>
      <c r="F34" s="125">
        <f>F$22*shipping_manufacturing!$I$27/100</f>
        <v>0</v>
      </c>
      <c r="G34" s="125">
        <f>G$22*shipping_manufacturing!$I$27/100</f>
        <v>0</v>
      </c>
      <c r="H34" s="125">
        <f>H$22*shipping_manufacturing!$I$27/100</f>
        <v>0</v>
      </c>
      <c r="I34" s="125">
        <f>I$22*shipping_manufacturing!$I$27/100</f>
        <v>0</v>
      </c>
      <c r="J34" s="125">
        <f>J$22*shipping_manufacturing!$I$27/100</f>
        <v>0</v>
      </c>
      <c r="K34" s="125">
        <f>K$22*shipping_manufacturing!$I$27/100</f>
        <v>0</v>
      </c>
      <c r="L34" s="125">
        <f>L$22*shipping_manufacturing!$I$27/100</f>
        <v>0</v>
      </c>
      <c r="M34" s="125">
        <f>M$22*shipping_manufacturing!$I$27/100</f>
        <v>0</v>
      </c>
      <c r="N34" s="125">
        <f>N$22*shipping_manufacturing!$I$27/100</f>
        <v>0</v>
      </c>
      <c r="O34" s="125">
        <f>O$22*shipping_manufacturing!$I$27/100</f>
        <v>0</v>
      </c>
      <c r="P34" s="125">
        <f>P$22*shipping_manufacturing!$I$27/100</f>
        <v>0</v>
      </c>
      <c r="Q34" s="125">
        <f>Q$22*shipping_manufacturing!$I$27/100</f>
        <v>0</v>
      </c>
      <c r="R34" s="125">
        <f>R$22*shipping_manufacturing!$I$27/100</f>
        <v>0</v>
      </c>
      <c r="S34" s="125">
        <f>S$22*shipping_manufacturing!$I$27/100</f>
        <v>0</v>
      </c>
      <c r="T34" s="125">
        <f>T$22*shipping_manufacturing!$I$27/100</f>
        <v>0</v>
      </c>
      <c r="U34" s="125">
        <f>U$22*shipping_manufacturing!$I$27/100</f>
        <v>0</v>
      </c>
      <c r="V34" s="125">
        <f>V$22*shipping_manufacturing!$I$27/100</f>
        <v>0</v>
      </c>
      <c r="W34" s="125">
        <f>W$22*shipping_manufacturing!$I$27/100</f>
        <v>0</v>
      </c>
      <c r="X34" s="125">
        <f>X$22*shipping_manufacturing!$I$27/100</f>
        <v>0</v>
      </c>
      <c r="Y34" s="125">
        <f>Y$22*shipping_manufacturing!$I$27/100</f>
        <v>0</v>
      </c>
      <c r="Z34" s="125">
        <f>Z$22*shipping_manufacturing!$I$27/100</f>
        <v>0</v>
      </c>
      <c r="AA34" s="125">
        <f>AA$22*shipping_manufacturing!$I$27/100</f>
        <v>0</v>
      </c>
      <c r="AB34" s="125">
        <f>AB$22*shipping_manufacturing!$I$27/100</f>
        <v>0</v>
      </c>
      <c r="AC34" s="125">
        <f>AC$22*shipping_manufacturing!$I$27/100</f>
        <v>0</v>
      </c>
      <c r="AD34" s="125">
        <f>AD$22*shipping_manufacturing!$I$27/100</f>
        <v>0</v>
      </c>
      <c r="AE34" s="125">
        <f>AE$22*shipping_manufacturing!$I$27/100</f>
        <v>0</v>
      </c>
      <c r="AF34" s="125">
        <f>AF$22*shipping_manufacturing!$I$27/100</f>
        <v>0</v>
      </c>
      <c r="AG34" s="125">
        <f>AG$22*shipping_manufacturing!$I$27/100</f>
        <v>0</v>
      </c>
      <c r="AH34" s="125">
        <f>AH$22*shipping_manufacturing!$I$27/100</f>
        <v>0</v>
      </c>
      <c r="AI34" s="125">
        <f>AI$22*shipping_manufacturing!$I$27/100</f>
        <v>0</v>
      </c>
      <c r="AJ34" s="125">
        <f>AJ$22*shipping_manufacturing!$I$27/100</f>
        <v>0</v>
      </c>
      <c r="AK34" s="125">
        <f>AK$22*shipping_manufacturing!$I$27/100</f>
        <v>0</v>
      </c>
      <c r="AL34" s="125">
        <f>AL$22*shipping_manufacturing!$I$27/100</f>
        <v>0</v>
      </c>
      <c r="AM34" s="125">
        <f>AM$22*shipping_manufacturing!$I$27/100</f>
        <v>0</v>
      </c>
      <c r="AN34" s="125">
        <f>AN$22*shipping_manufacturing!$I$27/100</f>
        <v>0</v>
      </c>
      <c r="AO34" s="125">
        <f>AO$22*shipping_manufacturing!$I$27/100</f>
        <v>0</v>
      </c>
      <c r="AP34" s="125">
        <f>AP$22*shipping_manufacturing!$I$27/100</f>
        <v>0</v>
      </c>
      <c r="AQ34" s="125">
        <f>AQ$22*shipping_manufacturing!$I$27/100</f>
        <v>0</v>
      </c>
      <c r="AR34" s="125">
        <f>AR$22*shipping_manufacturing!$I$27/100</f>
        <v>0</v>
      </c>
      <c r="AS34" s="125">
        <f>AS$22*shipping_manufacturing!$I$27/100</f>
        <v>0</v>
      </c>
      <c r="AT34" s="125">
        <f>AT$22*shipping_manufacturing!$I$27/100</f>
        <v>0</v>
      </c>
      <c r="AU34" s="125">
        <f>AU$22*shipping_manufacturing!$I$27/100</f>
        <v>0</v>
      </c>
      <c r="AV34" s="125">
        <f>AV$22*shipping_manufacturing!$I$27/100</f>
        <v>0</v>
      </c>
      <c r="AW34" s="125">
        <f>AW$22*shipping_manufacturing!$I$27/100</f>
        <v>0</v>
      </c>
      <c r="AX34" s="125">
        <f>AX$22*shipping_manufacturing!$I$27/100</f>
        <v>0</v>
      </c>
      <c r="AY34" s="125">
        <f>AY$22*shipping_manufacturing!$I$27/100</f>
        <v>0</v>
      </c>
    </row>
    <row r="35" spans="1:52" x14ac:dyDescent="0.2">
      <c r="A35" s="125">
        <v>1245</v>
      </c>
      <c r="B35" s="179" t="s">
        <v>342</v>
      </c>
      <c r="C35" s="125"/>
      <c r="D35" s="125">
        <f>SUM(D33:D34)</f>
        <v>0</v>
      </c>
      <c r="E35" s="125">
        <f t="shared" ref="E35:AY35" si="11">SUM(E33:E34)</f>
        <v>0</v>
      </c>
      <c r="F35" s="125">
        <f t="shared" si="11"/>
        <v>0</v>
      </c>
      <c r="G35" s="125">
        <f t="shared" si="11"/>
        <v>0</v>
      </c>
      <c r="H35" s="125">
        <f t="shared" si="11"/>
        <v>0</v>
      </c>
      <c r="I35" s="125">
        <f t="shared" si="11"/>
        <v>0</v>
      </c>
      <c r="J35" s="125">
        <f t="shared" si="11"/>
        <v>0</v>
      </c>
      <c r="K35" s="125">
        <f t="shared" si="11"/>
        <v>0</v>
      </c>
      <c r="L35" s="125">
        <f t="shared" si="11"/>
        <v>0</v>
      </c>
      <c r="M35" s="125">
        <f t="shared" si="11"/>
        <v>0</v>
      </c>
      <c r="N35" s="125">
        <f t="shared" si="11"/>
        <v>0</v>
      </c>
      <c r="O35" s="125">
        <f t="shared" si="11"/>
        <v>0</v>
      </c>
      <c r="P35" s="125">
        <f t="shared" si="11"/>
        <v>0</v>
      </c>
      <c r="Q35" s="125">
        <f t="shared" si="11"/>
        <v>0</v>
      </c>
      <c r="R35" s="125">
        <f t="shared" si="11"/>
        <v>0</v>
      </c>
      <c r="S35" s="125">
        <f t="shared" si="11"/>
        <v>0</v>
      </c>
      <c r="T35" s="125">
        <f t="shared" si="11"/>
        <v>0</v>
      </c>
      <c r="U35" s="125">
        <f t="shared" si="11"/>
        <v>0</v>
      </c>
      <c r="V35" s="125">
        <f t="shared" si="11"/>
        <v>0</v>
      </c>
      <c r="W35" s="125">
        <f t="shared" si="11"/>
        <v>0</v>
      </c>
      <c r="X35" s="125">
        <f t="shared" si="11"/>
        <v>0</v>
      </c>
      <c r="Y35" s="125">
        <f t="shared" si="11"/>
        <v>0</v>
      </c>
      <c r="Z35" s="125">
        <f t="shared" si="11"/>
        <v>0</v>
      </c>
      <c r="AA35" s="125">
        <f t="shared" si="11"/>
        <v>0</v>
      </c>
      <c r="AB35" s="125">
        <f t="shared" si="11"/>
        <v>0</v>
      </c>
      <c r="AC35" s="125">
        <f t="shared" si="11"/>
        <v>0</v>
      </c>
      <c r="AD35" s="125">
        <f t="shared" si="11"/>
        <v>0</v>
      </c>
      <c r="AE35" s="125">
        <f t="shared" si="11"/>
        <v>0</v>
      </c>
      <c r="AF35" s="125">
        <f t="shared" si="11"/>
        <v>0</v>
      </c>
      <c r="AG35" s="125">
        <f t="shared" si="11"/>
        <v>0</v>
      </c>
      <c r="AH35" s="125">
        <f t="shared" si="11"/>
        <v>0</v>
      </c>
      <c r="AI35" s="125">
        <f t="shared" si="11"/>
        <v>0</v>
      </c>
      <c r="AJ35" s="125">
        <f t="shared" si="11"/>
        <v>0</v>
      </c>
      <c r="AK35" s="125">
        <f t="shared" si="11"/>
        <v>0</v>
      </c>
      <c r="AL35" s="125">
        <f t="shared" si="11"/>
        <v>0</v>
      </c>
      <c r="AM35" s="125">
        <f t="shared" si="11"/>
        <v>0</v>
      </c>
      <c r="AN35" s="125">
        <f t="shared" si="11"/>
        <v>0</v>
      </c>
      <c r="AO35" s="125">
        <f t="shared" si="11"/>
        <v>0</v>
      </c>
      <c r="AP35" s="125">
        <f t="shared" si="11"/>
        <v>0</v>
      </c>
      <c r="AQ35" s="125">
        <f t="shared" si="11"/>
        <v>0</v>
      </c>
      <c r="AR35" s="125">
        <f t="shared" si="11"/>
        <v>0</v>
      </c>
      <c r="AS35" s="125">
        <f t="shared" si="11"/>
        <v>0</v>
      </c>
      <c r="AT35" s="125">
        <f t="shared" si="11"/>
        <v>0</v>
      </c>
      <c r="AU35" s="125">
        <f t="shared" si="11"/>
        <v>0</v>
      </c>
      <c r="AV35" s="125">
        <f t="shared" si="11"/>
        <v>0</v>
      </c>
      <c r="AW35" s="125">
        <f t="shared" si="11"/>
        <v>0</v>
      </c>
      <c r="AX35" s="125">
        <f t="shared" si="11"/>
        <v>0</v>
      </c>
      <c r="AY35" s="125">
        <f t="shared" si="11"/>
        <v>0</v>
      </c>
    </row>
    <row r="36" spans="1:52" x14ac:dyDescent="0.2">
      <c r="A36" s="125"/>
      <c r="B36" s="179" t="s">
        <v>343</v>
      </c>
      <c r="C36" s="125"/>
      <c r="D36" s="125"/>
      <c r="E36" s="125"/>
      <c r="F36" s="125"/>
      <c r="G36" s="125"/>
      <c r="H36" s="125"/>
      <c r="I36" s="125"/>
      <c r="J36" s="125"/>
      <c r="K36" s="125"/>
      <c r="L36" s="125"/>
      <c r="M36" s="125"/>
      <c r="N36" s="125"/>
      <c r="O36" s="125"/>
      <c r="P36" s="125"/>
      <c r="Q36" s="125"/>
      <c r="R36" s="125"/>
      <c r="S36" s="125"/>
      <c r="T36" s="125"/>
      <c r="U36" s="125"/>
      <c r="V36" s="125"/>
      <c r="W36" s="125"/>
      <c r="X36" s="125"/>
      <c r="Y36" s="125"/>
      <c r="Z36" s="125"/>
      <c r="AA36" s="125"/>
      <c r="AB36" s="125"/>
      <c r="AC36" s="125"/>
      <c r="AD36" s="125"/>
      <c r="AE36" s="125"/>
      <c r="AF36" s="125"/>
      <c r="AG36" s="125"/>
      <c r="AH36" s="125"/>
      <c r="AI36" s="125"/>
      <c r="AJ36" s="125"/>
      <c r="AK36" s="125"/>
      <c r="AL36" s="125"/>
      <c r="AM36" s="125"/>
      <c r="AN36" s="125"/>
      <c r="AO36" s="125"/>
      <c r="AP36" s="125"/>
      <c r="AQ36" s="125"/>
      <c r="AR36" s="125"/>
      <c r="AS36" s="125"/>
      <c r="AT36" s="125"/>
      <c r="AU36" s="125"/>
      <c r="AV36" s="125"/>
      <c r="AW36" s="125"/>
      <c r="AX36" s="125"/>
      <c r="AY36" s="125"/>
    </row>
    <row r="37" spans="1:52" x14ac:dyDescent="0.2">
      <c r="A37" s="125"/>
      <c r="B37" s="179" t="s">
        <v>344</v>
      </c>
      <c r="C37" s="125"/>
      <c r="D37" s="125"/>
      <c r="E37" s="125"/>
      <c r="F37" s="125"/>
      <c r="G37" s="125"/>
      <c r="H37" s="125"/>
      <c r="I37" s="125"/>
      <c r="J37" s="125"/>
      <c r="K37" s="125"/>
      <c r="L37" s="125"/>
      <c r="M37" s="125"/>
      <c r="N37" s="125"/>
      <c r="O37" s="125"/>
      <c r="P37" s="125"/>
      <c r="Q37" s="125"/>
      <c r="R37" s="125"/>
      <c r="S37" s="125"/>
      <c r="T37" s="125"/>
      <c r="U37" s="125"/>
      <c r="V37" s="125"/>
      <c r="W37" s="125"/>
      <c r="X37" s="125"/>
      <c r="Y37" s="125"/>
      <c r="Z37" s="125"/>
      <c r="AA37" s="125"/>
      <c r="AB37" s="125"/>
      <c r="AC37" s="125"/>
      <c r="AD37" s="125"/>
      <c r="AE37" s="125"/>
      <c r="AF37" s="125"/>
      <c r="AG37" s="125"/>
      <c r="AH37" s="125"/>
      <c r="AI37" s="125"/>
      <c r="AJ37" s="125"/>
      <c r="AK37" s="125"/>
      <c r="AL37" s="125"/>
      <c r="AM37" s="125"/>
      <c r="AN37" s="125"/>
      <c r="AO37" s="125"/>
      <c r="AP37" s="125"/>
      <c r="AQ37" s="125"/>
      <c r="AR37" s="125"/>
      <c r="AS37" s="125"/>
      <c r="AT37" s="125"/>
      <c r="AU37" s="125"/>
      <c r="AV37" s="125"/>
      <c r="AW37" s="125"/>
      <c r="AX37" s="125"/>
      <c r="AY37" s="125"/>
    </row>
    <row r="38" spans="1:52" x14ac:dyDescent="0.2">
      <c r="A38" s="125"/>
      <c r="B38" s="179" t="s">
        <v>345</v>
      </c>
      <c r="C38" s="125"/>
      <c r="D38" s="125"/>
      <c r="E38" s="125"/>
      <c r="F38" s="125"/>
      <c r="G38" s="125"/>
      <c r="H38" s="125"/>
      <c r="I38" s="125"/>
      <c r="J38" s="125"/>
      <c r="K38" s="125"/>
      <c r="L38" s="125"/>
      <c r="M38" s="125"/>
      <c r="N38" s="125"/>
      <c r="O38" s="125"/>
      <c r="P38" s="125"/>
      <c r="Q38" s="125"/>
      <c r="R38" s="125"/>
      <c r="S38" s="125"/>
      <c r="T38" s="125"/>
      <c r="U38" s="125"/>
      <c r="V38" s="125"/>
      <c r="W38" s="125"/>
      <c r="X38" s="125"/>
      <c r="Y38" s="125"/>
      <c r="Z38" s="125"/>
      <c r="AA38" s="125"/>
      <c r="AB38" s="125"/>
      <c r="AC38" s="125"/>
      <c r="AD38" s="125"/>
      <c r="AE38" s="125"/>
      <c r="AF38" s="125"/>
      <c r="AG38" s="125"/>
      <c r="AH38" s="125"/>
      <c r="AI38" s="125"/>
      <c r="AJ38" s="125"/>
      <c r="AK38" s="125"/>
      <c r="AL38" s="125"/>
      <c r="AM38" s="125"/>
      <c r="AN38" s="125"/>
      <c r="AO38" s="125"/>
      <c r="AP38" s="125"/>
      <c r="AQ38" s="125"/>
      <c r="AR38" s="125"/>
      <c r="AS38" s="125"/>
      <c r="AT38" s="125"/>
      <c r="AU38" s="125"/>
      <c r="AV38" s="125"/>
      <c r="AW38" s="125"/>
      <c r="AX38" s="125"/>
      <c r="AY38" s="125"/>
    </row>
    <row r="39" spans="1:52" x14ac:dyDescent="0.2">
      <c r="A39" s="125"/>
      <c r="B39" s="179" t="s">
        <v>346</v>
      </c>
      <c r="C39" s="125"/>
      <c r="D39" s="125">
        <f>D33-D36</f>
        <v>0</v>
      </c>
      <c r="E39" s="125">
        <f t="shared" ref="E39:AY39" si="12">E33-E36</f>
        <v>0</v>
      </c>
      <c r="F39" s="125">
        <f t="shared" si="12"/>
        <v>0</v>
      </c>
      <c r="G39" s="125">
        <f t="shared" si="12"/>
        <v>0</v>
      </c>
      <c r="H39" s="125">
        <f t="shared" si="12"/>
        <v>0</v>
      </c>
      <c r="I39" s="125">
        <f t="shared" si="12"/>
        <v>0</v>
      </c>
      <c r="J39" s="125">
        <f t="shared" si="12"/>
        <v>0</v>
      </c>
      <c r="K39" s="125">
        <f t="shared" si="12"/>
        <v>0</v>
      </c>
      <c r="L39" s="125">
        <f t="shared" si="12"/>
        <v>0</v>
      </c>
      <c r="M39" s="125">
        <f t="shared" si="12"/>
        <v>0</v>
      </c>
      <c r="N39" s="125">
        <f t="shared" si="12"/>
        <v>0</v>
      </c>
      <c r="O39" s="125">
        <f t="shared" si="12"/>
        <v>0</v>
      </c>
      <c r="P39" s="125">
        <f t="shared" si="12"/>
        <v>0</v>
      </c>
      <c r="Q39" s="125">
        <f t="shared" si="12"/>
        <v>0</v>
      </c>
      <c r="R39" s="125">
        <f t="shared" si="12"/>
        <v>0</v>
      </c>
      <c r="S39" s="125">
        <f t="shared" si="12"/>
        <v>0</v>
      </c>
      <c r="T39" s="125">
        <f t="shared" si="12"/>
        <v>0</v>
      </c>
      <c r="U39" s="125">
        <f t="shared" si="12"/>
        <v>0</v>
      </c>
      <c r="V39" s="125">
        <f t="shared" si="12"/>
        <v>0</v>
      </c>
      <c r="W39" s="125">
        <f t="shared" si="12"/>
        <v>0</v>
      </c>
      <c r="X39" s="125">
        <f t="shared" si="12"/>
        <v>0</v>
      </c>
      <c r="Y39" s="125">
        <f t="shared" si="12"/>
        <v>0</v>
      </c>
      <c r="Z39" s="125">
        <f t="shared" si="12"/>
        <v>0</v>
      </c>
      <c r="AA39" s="125">
        <f t="shared" si="12"/>
        <v>0</v>
      </c>
      <c r="AB39" s="125">
        <f t="shared" si="12"/>
        <v>0</v>
      </c>
      <c r="AC39" s="125">
        <f t="shared" si="12"/>
        <v>0</v>
      </c>
      <c r="AD39" s="125">
        <f t="shared" si="12"/>
        <v>0</v>
      </c>
      <c r="AE39" s="125">
        <f t="shared" si="12"/>
        <v>0</v>
      </c>
      <c r="AF39" s="125">
        <f t="shared" si="12"/>
        <v>0</v>
      </c>
      <c r="AG39" s="125">
        <f t="shared" si="12"/>
        <v>0</v>
      </c>
      <c r="AH39" s="125">
        <f t="shared" si="12"/>
        <v>0</v>
      </c>
      <c r="AI39" s="125">
        <f t="shared" si="12"/>
        <v>0</v>
      </c>
      <c r="AJ39" s="125">
        <f t="shared" si="12"/>
        <v>0</v>
      </c>
      <c r="AK39" s="125">
        <f t="shared" si="12"/>
        <v>0</v>
      </c>
      <c r="AL39" s="125">
        <f t="shared" si="12"/>
        <v>0</v>
      </c>
      <c r="AM39" s="125">
        <f t="shared" si="12"/>
        <v>0</v>
      </c>
      <c r="AN39" s="125">
        <f t="shared" si="12"/>
        <v>0</v>
      </c>
      <c r="AO39" s="125">
        <f t="shared" si="12"/>
        <v>0</v>
      </c>
      <c r="AP39" s="125">
        <f t="shared" si="12"/>
        <v>0</v>
      </c>
      <c r="AQ39" s="125">
        <f t="shared" si="12"/>
        <v>0</v>
      </c>
      <c r="AR39" s="125">
        <f t="shared" si="12"/>
        <v>0</v>
      </c>
      <c r="AS39" s="125">
        <f t="shared" si="12"/>
        <v>0</v>
      </c>
      <c r="AT39" s="125">
        <f t="shared" si="12"/>
        <v>0</v>
      </c>
      <c r="AU39" s="125">
        <f t="shared" si="12"/>
        <v>0</v>
      </c>
      <c r="AV39" s="125">
        <f t="shared" si="12"/>
        <v>0</v>
      </c>
      <c r="AW39" s="125">
        <f t="shared" si="12"/>
        <v>0</v>
      </c>
      <c r="AX39" s="125">
        <f t="shared" si="12"/>
        <v>0</v>
      </c>
      <c r="AY39" s="125">
        <f t="shared" si="12"/>
        <v>0</v>
      </c>
    </row>
    <row r="40" spans="1:52" x14ac:dyDescent="0.2">
      <c r="A40" s="125"/>
      <c r="B40" s="179" t="s">
        <v>347</v>
      </c>
      <c r="C40" s="125"/>
      <c r="D40" s="125">
        <f>D34-D37</f>
        <v>0</v>
      </c>
      <c r="E40" s="125">
        <f t="shared" ref="E40:AY40" si="13">E34-E37</f>
        <v>0</v>
      </c>
      <c r="F40" s="125">
        <f t="shared" si="13"/>
        <v>0</v>
      </c>
      <c r="G40" s="125">
        <f t="shared" si="13"/>
        <v>0</v>
      </c>
      <c r="H40" s="125">
        <f t="shared" si="13"/>
        <v>0</v>
      </c>
      <c r="I40" s="125">
        <f t="shared" si="13"/>
        <v>0</v>
      </c>
      <c r="J40" s="125">
        <f t="shared" si="13"/>
        <v>0</v>
      </c>
      <c r="K40" s="125">
        <f t="shared" si="13"/>
        <v>0</v>
      </c>
      <c r="L40" s="125">
        <f t="shared" si="13"/>
        <v>0</v>
      </c>
      <c r="M40" s="125">
        <f t="shared" si="13"/>
        <v>0</v>
      </c>
      <c r="N40" s="125">
        <f t="shared" si="13"/>
        <v>0</v>
      </c>
      <c r="O40" s="125">
        <f t="shared" si="13"/>
        <v>0</v>
      </c>
      <c r="P40" s="125">
        <f t="shared" si="13"/>
        <v>0</v>
      </c>
      <c r="Q40" s="125">
        <f t="shared" si="13"/>
        <v>0</v>
      </c>
      <c r="R40" s="125">
        <f t="shared" si="13"/>
        <v>0</v>
      </c>
      <c r="S40" s="125">
        <f t="shared" si="13"/>
        <v>0</v>
      </c>
      <c r="T40" s="125">
        <f t="shared" si="13"/>
        <v>0</v>
      </c>
      <c r="U40" s="125">
        <f t="shared" si="13"/>
        <v>0</v>
      </c>
      <c r="V40" s="125">
        <f t="shared" si="13"/>
        <v>0</v>
      </c>
      <c r="W40" s="125">
        <f t="shared" si="13"/>
        <v>0</v>
      </c>
      <c r="X40" s="125">
        <f t="shared" si="13"/>
        <v>0</v>
      </c>
      <c r="Y40" s="125">
        <f t="shared" si="13"/>
        <v>0</v>
      </c>
      <c r="Z40" s="125">
        <f t="shared" si="13"/>
        <v>0</v>
      </c>
      <c r="AA40" s="125">
        <f t="shared" si="13"/>
        <v>0</v>
      </c>
      <c r="AB40" s="125">
        <f t="shared" si="13"/>
        <v>0</v>
      </c>
      <c r="AC40" s="125">
        <f t="shared" si="13"/>
        <v>0</v>
      </c>
      <c r="AD40" s="125">
        <f t="shared" si="13"/>
        <v>0</v>
      </c>
      <c r="AE40" s="125">
        <f t="shared" si="13"/>
        <v>0</v>
      </c>
      <c r="AF40" s="125">
        <f t="shared" si="13"/>
        <v>0</v>
      </c>
      <c r="AG40" s="125">
        <f t="shared" si="13"/>
        <v>0</v>
      </c>
      <c r="AH40" s="125">
        <f t="shared" si="13"/>
        <v>0</v>
      </c>
      <c r="AI40" s="125">
        <f t="shared" si="13"/>
        <v>0</v>
      </c>
      <c r="AJ40" s="125">
        <f t="shared" si="13"/>
        <v>0</v>
      </c>
      <c r="AK40" s="125">
        <f t="shared" si="13"/>
        <v>0</v>
      </c>
      <c r="AL40" s="125">
        <f t="shared" si="13"/>
        <v>0</v>
      </c>
      <c r="AM40" s="125">
        <f t="shared" si="13"/>
        <v>0</v>
      </c>
      <c r="AN40" s="125">
        <f t="shared" si="13"/>
        <v>0</v>
      </c>
      <c r="AO40" s="125">
        <f t="shared" si="13"/>
        <v>0</v>
      </c>
      <c r="AP40" s="125">
        <f t="shared" si="13"/>
        <v>0</v>
      </c>
      <c r="AQ40" s="125">
        <f t="shared" si="13"/>
        <v>0</v>
      </c>
      <c r="AR40" s="125">
        <f t="shared" si="13"/>
        <v>0</v>
      </c>
      <c r="AS40" s="125">
        <f t="shared" si="13"/>
        <v>0</v>
      </c>
      <c r="AT40" s="125">
        <f t="shared" si="13"/>
        <v>0</v>
      </c>
      <c r="AU40" s="125">
        <f t="shared" si="13"/>
        <v>0</v>
      </c>
      <c r="AV40" s="125">
        <f t="shared" si="13"/>
        <v>0</v>
      </c>
      <c r="AW40" s="125">
        <f t="shared" si="13"/>
        <v>0</v>
      </c>
      <c r="AX40" s="125">
        <f t="shared" si="13"/>
        <v>0</v>
      </c>
      <c r="AY40" s="125">
        <f t="shared" si="13"/>
        <v>0</v>
      </c>
    </row>
    <row r="41" spans="1:52" x14ac:dyDescent="0.2">
      <c r="A41" s="125"/>
      <c r="B41" s="179" t="s">
        <v>348</v>
      </c>
      <c r="C41" s="125"/>
      <c r="D41" s="125">
        <v>2</v>
      </c>
      <c r="E41" s="125">
        <v>2</v>
      </c>
      <c r="F41" s="125">
        <v>2</v>
      </c>
      <c r="G41" s="125">
        <v>1</v>
      </c>
      <c r="H41" s="125">
        <v>1</v>
      </c>
      <c r="I41" s="125">
        <v>1</v>
      </c>
      <c r="J41" s="125">
        <v>2</v>
      </c>
      <c r="K41" s="125">
        <v>1</v>
      </c>
      <c r="L41" s="125">
        <v>3</v>
      </c>
      <c r="M41" s="125">
        <v>2</v>
      </c>
      <c r="N41" s="125">
        <v>1</v>
      </c>
      <c r="O41" s="125">
        <v>1</v>
      </c>
      <c r="P41" s="125">
        <v>1</v>
      </c>
      <c r="Q41" s="125">
        <v>1</v>
      </c>
      <c r="R41" s="125">
        <v>2</v>
      </c>
      <c r="S41" s="125">
        <v>1</v>
      </c>
      <c r="T41" s="125">
        <v>3</v>
      </c>
      <c r="U41" s="125">
        <v>1</v>
      </c>
      <c r="V41" s="125">
        <v>1</v>
      </c>
      <c r="W41" s="125">
        <v>1</v>
      </c>
      <c r="X41" s="125">
        <v>3</v>
      </c>
      <c r="Y41" s="125">
        <v>1</v>
      </c>
      <c r="Z41" s="125">
        <v>2</v>
      </c>
      <c r="AA41" s="125">
        <v>1</v>
      </c>
      <c r="AB41" s="125">
        <v>2</v>
      </c>
      <c r="AC41" s="125">
        <v>3</v>
      </c>
      <c r="AD41" s="125">
        <v>1</v>
      </c>
      <c r="AE41" s="125">
        <v>3</v>
      </c>
      <c r="AF41" s="125">
        <v>1</v>
      </c>
      <c r="AG41" s="125">
        <v>1</v>
      </c>
      <c r="AH41" s="125">
        <v>1</v>
      </c>
      <c r="AI41" s="125">
        <v>1</v>
      </c>
      <c r="AJ41" s="125">
        <v>2</v>
      </c>
      <c r="AK41" s="125">
        <v>1</v>
      </c>
      <c r="AL41" s="125">
        <v>1</v>
      </c>
      <c r="AM41" s="125">
        <v>2</v>
      </c>
      <c r="AN41" s="125">
        <v>1</v>
      </c>
      <c r="AO41" s="125">
        <v>1</v>
      </c>
      <c r="AP41" s="125">
        <v>2</v>
      </c>
      <c r="AQ41" s="125">
        <v>2</v>
      </c>
      <c r="AR41" s="125">
        <v>1</v>
      </c>
      <c r="AS41" s="125">
        <v>2</v>
      </c>
      <c r="AT41" s="125">
        <v>1</v>
      </c>
      <c r="AU41" s="125">
        <v>1</v>
      </c>
      <c r="AV41" s="125">
        <v>1</v>
      </c>
      <c r="AW41" s="125">
        <v>1</v>
      </c>
      <c r="AX41" s="125">
        <v>1</v>
      </c>
      <c r="AY41" s="125">
        <v>2</v>
      </c>
    </row>
    <row r="42" spans="1:52" x14ac:dyDescent="0.2">
      <c r="A42" s="125"/>
      <c r="B42" s="190" t="s">
        <v>349</v>
      </c>
      <c r="C42" s="125"/>
      <c r="D42" s="125">
        <v>0</v>
      </c>
      <c r="E42" s="125">
        <v>0</v>
      </c>
      <c r="F42" s="125">
        <v>0</v>
      </c>
      <c r="G42" s="125">
        <v>0</v>
      </c>
      <c r="H42" s="125">
        <v>0</v>
      </c>
      <c r="I42" s="125">
        <v>0</v>
      </c>
      <c r="J42" s="125">
        <v>0</v>
      </c>
      <c r="K42" s="125">
        <v>0</v>
      </c>
      <c r="L42" s="125">
        <v>0</v>
      </c>
      <c r="M42" s="125">
        <v>0</v>
      </c>
      <c r="N42" s="125">
        <v>0</v>
      </c>
      <c r="O42" s="125">
        <v>0</v>
      </c>
      <c r="P42" s="125">
        <v>0</v>
      </c>
      <c r="Q42" s="125">
        <v>0</v>
      </c>
      <c r="R42" s="125">
        <v>0</v>
      </c>
      <c r="S42" s="125">
        <v>0</v>
      </c>
      <c r="T42" s="125">
        <v>0</v>
      </c>
      <c r="U42" s="125">
        <v>0</v>
      </c>
      <c r="V42" s="125">
        <v>0</v>
      </c>
      <c r="W42" s="125">
        <v>0</v>
      </c>
      <c r="X42" s="125">
        <v>0</v>
      </c>
      <c r="Y42" s="125">
        <v>0</v>
      </c>
      <c r="Z42" s="125">
        <v>0</v>
      </c>
      <c r="AA42" s="125">
        <v>0</v>
      </c>
      <c r="AB42" s="125">
        <v>0</v>
      </c>
      <c r="AC42" s="125">
        <v>0</v>
      </c>
      <c r="AD42" s="125">
        <v>0</v>
      </c>
      <c r="AE42" s="125">
        <v>0</v>
      </c>
      <c r="AF42" s="125">
        <v>0</v>
      </c>
      <c r="AG42" s="125">
        <v>0</v>
      </c>
      <c r="AH42" s="125">
        <v>0</v>
      </c>
      <c r="AI42" s="125">
        <v>0</v>
      </c>
      <c r="AJ42" s="125">
        <v>0</v>
      </c>
      <c r="AK42" s="125">
        <v>0</v>
      </c>
      <c r="AL42" s="125">
        <v>0</v>
      </c>
      <c r="AM42" s="125">
        <v>0</v>
      </c>
      <c r="AN42" s="125">
        <v>0</v>
      </c>
      <c r="AO42" s="125">
        <v>0</v>
      </c>
      <c r="AP42" s="125">
        <v>0</v>
      </c>
      <c r="AQ42" s="125">
        <v>0</v>
      </c>
      <c r="AR42" s="125">
        <v>0</v>
      </c>
      <c r="AS42" s="125">
        <v>0</v>
      </c>
      <c r="AT42" s="125">
        <v>0</v>
      </c>
      <c r="AU42" s="125">
        <v>0</v>
      </c>
      <c r="AV42" s="125">
        <v>0</v>
      </c>
      <c r="AW42" s="125">
        <v>0</v>
      </c>
      <c r="AX42" s="125">
        <v>0</v>
      </c>
      <c r="AY42" s="125">
        <v>0</v>
      </c>
      <c r="AZ42">
        <f>SUM($D$42:$AY$42)</f>
        <v>0</v>
      </c>
    </row>
    <row r="43" spans="1:52" x14ac:dyDescent="0.2">
      <c r="A43" s="125"/>
      <c r="B43" s="190" t="s">
        <v>350</v>
      </c>
      <c r="C43" s="125"/>
      <c r="D43" s="125">
        <v>0</v>
      </c>
      <c r="E43" s="125">
        <v>0</v>
      </c>
      <c r="F43" s="125">
        <v>0</v>
      </c>
      <c r="G43" s="125">
        <v>0</v>
      </c>
      <c r="H43" s="125">
        <v>0</v>
      </c>
      <c r="I43" s="125">
        <v>0</v>
      </c>
      <c r="J43" s="125">
        <v>0</v>
      </c>
      <c r="K43" s="125">
        <v>0</v>
      </c>
      <c r="L43" s="125">
        <v>0</v>
      </c>
      <c r="M43" s="125">
        <v>0</v>
      </c>
      <c r="N43" s="125">
        <v>0</v>
      </c>
      <c r="O43" s="125">
        <v>0</v>
      </c>
      <c r="P43" s="125">
        <v>0</v>
      </c>
      <c r="Q43" s="125">
        <v>0</v>
      </c>
      <c r="R43" s="125">
        <v>0</v>
      </c>
      <c r="S43" s="125">
        <v>0</v>
      </c>
      <c r="T43" s="125">
        <v>0</v>
      </c>
      <c r="U43" s="125">
        <v>0</v>
      </c>
      <c r="V43" s="125">
        <v>0</v>
      </c>
      <c r="W43" s="125">
        <v>0</v>
      </c>
      <c r="X43" s="125">
        <v>0</v>
      </c>
      <c r="Y43" s="125">
        <v>0</v>
      </c>
      <c r="Z43" s="125">
        <v>0</v>
      </c>
      <c r="AA43" s="125">
        <v>0</v>
      </c>
      <c r="AB43" s="125">
        <v>0</v>
      </c>
      <c r="AC43" s="125">
        <v>0</v>
      </c>
      <c r="AD43" s="125">
        <v>0</v>
      </c>
      <c r="AE43" s="125">
        <v>0</v>
      </c>
      <c r="AF43" s="125">
        <v>0</v>
      </c>
      <c r="AG43" s="125">
        <v>0</v>
      </c>
      <c r="AH43" s="125">
        <v>0</v>
      </c>
      <c r="AI43" s="125">
        <v>0</v>
      </c>
      <c r="AJ43" s="125">
        <v>0</v>
      </c>
      <c r="AK43" s="125">
        <v>0</v>
      </c>
      <c r="AL43" s="125">
        <v>0</v>
      </c>
      <c r="AM43" s="125">
        <v>0</v>
      </c>
      <c r="AN43" s="125">
        <v>0</v>
      </c>
      <c r="AO43" s="125">
        <v>0</v>
      </c>
      <c r="AP43" s="125">
        <v>0</v>
      </c>
      <c r="AQ43" s="125">
        <v>0</v>
      </c>
      <c r="AR43" s="125">
        <v>0</v>
      </c>
      <c r="AS43" s="125">
        <v>0</v>
      </c>
      <c r="AT43" s="125">
        <v>0</v>
      </c>
      <c r="AU43" s="125">
        <v>0</v>
      </c>
      <c r="AV43" s="125">
        <v>0</v>
      </c>
      <c r="AW43" s="125">
        <v>0</v>
      </c>
      <c r="AX43" s="125">
        <v>0</v>
      </c>
      <c r="AY43" s="125">
        <v>0</v>
      </c>
      <c r="AZ43">
        <f>SUM($D$43:$AY$43)</f>
        <v>0</v>
      </c>
    </row>
    <row r="44" spans="1:52" x14ac:dyDescent="0.2">
      <c r="A44" s="149" t="s">
        <v>59</v>
      </c>
      <c r="B44" s="149" t="s">
        <v>340</v>
      </c>
      <c r="C44" s="138"/>
      <c r="D44" s="138">
        <f>D$21*shipping_manufacturing!$H$28/100</f>
        <v>1935.3158722718733</v>
      </c>
      <c r="E44" s="138">
        <f>E$21*shipping_manufacturing!$H$28/100</f>
        <v>2679.3507586071873</v>
      </c>
      <c r="F44" s="138">
        <f>F$21*shipping_manufacturing!$H$28/100</f>
        <v>2679.3507586071873</v>
      </c>
      <c r="G44" s="138">
        <f>G$21*shipping_manufacturing!$H$28/100</f>
        <v>2679.3507586071873</v>
      </c>
      <c r="H44" s="138">
        <f>H$21*shipping_manufacturing!$H$28/100</f>
        <v>2679.3507586071873</v>
      </c>
      <c r="I44" s="138">
        <f>I$21*shipping_manufacturing!$H$28/100</f>
        <v>2615.8396286779675</v>
      </c>
      <c r="J44" s="138">
        <f>J$21*shipping_manufacturing!$H$28/100</f>
        <v>2615.8396286779675</v>
      </c>
      <c r="K44" s="138">
        <f>K$21*shipping_manufacturing!$H$28/100</f>
        <v>2615.8396286779675</v>
      </c>
      <c r="L44" s="138">
        <f>L$21*shipping_manufacturing!$H$28/100</f>
        <v>2615.8396286779675</v>
      </c>
      <c r="M44" s="138">
        <f>M$21*shipping_manufacturing!$H$28/100</f>
        <v>2679.3507586071873</v>
      </c>
      <c r="N44" s="138">
        <f>N$21*shipping_manufacturing!$H$28/100</f>
        <v>2679.3507586071873</v>
      </c>
      <c r="O44" s="138">
        <f>O$21*shipping_manufacturing!$H$28/100</f>
        <v>2679.3507586071873</v>
      </c>
      <c r="P44" s="138">
        <f>P$21*shipping_manufacturing!$H$28/100</f>
        <v>2679.3507586071873</v>
      </c>
      <c r="Q44" s="138">
        <f>Q$21*shipping_manufacturing!$H$28/100</f>
        <v>2679.3507586071873</v>
      </c>
      <c r="R44" s="138">
        <f>R$21*shipping_manufacturing!$H$28/100</f>
        <v>2679.3507586071873</v>
      </c>
      <c r="S44" s="138">
        <f>S$21*shipping_manufacturing!$H$28/100</f>
        <v>2679.3507586071873</v>
      </c>
      <c r="T44" s="138">
        <f>T$21*shipping_manufacturing!$H$28/100</f>
        <v>2679.3507586071873</v>
      </c>
      <c r="U44" s="138">
        <f>U$21*shipping_manufacturing!$H$28/100</f>
        <v>2679.3507586071873</v>
      </c>
      <c r="V44" s="138">
        <f>V$21*shipping_manufacturing!$H$28/100</f>
        <v>2679.3507586071873</v>
      </c>
      <c r="W44" s="138">
        <f>W$21*shipping_manufacturing!$H$28/100</f>
        <v>2679.3507586071873</v>
      </c>
      <c r="X44" s="138">
        <f>X$21*shipping_manufacturing!$H$28/100</f>
        <v>2679.3507586071873</v>
      </c>
      <c r="Y44" s="138">
        <f>Y$21*shipping_manufacturing!$H$28/100</f>
        <v>2679.3507586071873</v>
      </c>
      <c r="Z44" s="138">
        <f>Z$21*shipping_manufacturing!$H$28/100</f>
        <v>2679.3507586071873</v>
      </c>
      <c r="AA44" s="138">
        <f>AA$21*shipping_manufacturing!$H$28/100</f>
        <v>2679.3507586071873</v>
      </c>
      <c r="AB44" s="138">
        <f>AB$21*shipping_manufacturing!$H$28/100</f>
        <v>2679.3507586071873</v>
      </c>
      <c r="AC44" s="138">
        <f>AC$21*shipping_manufacturing!$H$28/100</f>
        <v>2679.3507586071873</v>
      </c>
      <c r="AD44" s="138">
        <f>AD$21*shipping_manufacturing!$H$28/100</f>
        <v>2679.3507586071873</v>
      </c>
      <c r="AE44" s="138">
        <f>AE$21*shipping_manufacturing!$H$28/100</f>
        <v>2679.3507586071873</v>
      </c>
      <c r="AF44" s="138">
        <f>AF$21*shipping_manufacturing!$H$28/100</f>
        <v>2679.3507586071873</v>
      </c>
      <c r="AG44" s="138">
        <f>AG$21*shipping_manufacturing!$H$28/100</f>
        <v>2679.3507586071873</v>
      </c>
      <c r="AH44" s="138">
        <f>AH$21*shipping_manufacturing!$H$28/100</f>
        <v>2679.3507586071873</v>
      </c>
      <c r="AI44" s="138">
        <f>AI$21*shipping_manufacturing!$H$28/100</f>
        <v>2679.3507586071873</v>
      </c>
      <c r="AJ44" s="138">
        <f>AJ$21*shipping_manufacturing!$H$28/100</f>
        <v>2679.3507586071873</v>
      </c>
      <c r="AK44" s="138">
        <f>AK$21*shipping_manufacturing!$H$28/100</f>
        <v>2679.3507586071873</v>
      </c>
      <c r="AL44" s="138">
        <f>AL$21*shipping_manufacturing!$H$28/100</f>
        <v>2679.3507586071873</v>
      </c>
      <c r="AM44" s="138">
        <f>AM$21*shipping_manufacturing!$H$28/100</f>
        <v>2679.3507586071873</v>
      </c>
      <c r="AN44" s="138">
        <f>AN$21*shipping_manufacturing!$H$28/100</f>
        <v>2679.3507586071873</v>
      </c>
      <c r="AO44" s="138">
        <f>AO$21*shipping_manufacturing!$H$28/100</f>
        <v>2679.3507586071873</v>
      </c>
      <c r="AP44" s="138">
        <f>AP$21*shipping_manufacturing!$H$28/100</f>
        <v>2679.3507586071873</v>
      </c>
      <c r="AQ44" s="138">
        <f>AQ$21*shipping_manufacturing!$H$28/100</f>
        <v>2679.3507586071873</v>
      </c>
      <c r="AR44" s="138">
        <f>AR$21*shipping_manufacturing!$H$28/100</f>
        <v>2679.3507586071873</v>
      </c>
      <c r="AS44" s="138">
        <f>AS$21*shipping_manufacturing!$H$28/100</f>
        <v>2679.3507586071873</v>
      </c>
      <c r="AT44" s="138">
        <f>AT$21*shipping_manufacturing!$H$28/100</f>
        <v>2679.3507586071873</v>
      </c>
      <c r="AU44" s="138">
        <f>AU$21*shipping_manufacturing!$H$28/100</f>
        <v>2679.3507586071873</v>
      </c>
      <c r="AV44" s="138">
        <f>AV$21*shipping_manufacturing!$H$28/100</f>
        <v>2679.3507586071873</v>
      </c>
      <c r="AW44" s="138">
        <f>AW$21*shipping_manufacturing!$H$28/100</f>
        <v>2615.8396286779675</v>
      </c>
      <c r="AX44" s="138">
        <f>AX$21*shipping_manufacturing!$H$28/100</f>
        <v>2615.8396286779675</v>
      </c>
      <c r="AY44" s="138">
        <f>AY$21*shipping_manufacturing!$H$28/100</f>
        <v>2615.8396286779675</v>
      </c>
    </row>
    <row r="45" spans="1:52" x14ac:dyDescent="0.2">
      <c r="A45" s="127" t="s">
        <v>339</v>
      </c>
      <c r="B45" s="179" t="s">
        <v>341</v>
      </c>
      <c r="C45" s="125"/>
      <c r="D45" s="125">
        <f>D$22*shipping_manufacturing!$I$28/100</f>
        <v>0</v>
      </c>
      <c r="E45" s="125">
        <f>E$22*shipping_manufacturing!$I$28/100</f>
        <v>0</v>
      </c>
      <c r="F45" s="125">
        <f>F$22*shipping_manufacturing!$I$28/100</f>
        <v>0</v>
      </c>
      <c r="G45" s="125">
        <f>G$22*shipping_manufacturing!$I$28/100</f>
        <v>0</v>
      </c>
      <c r="H45" s="125">
        <f>H$22*shipping_manufacturing!$I$28/100</f>
        <v>0</v>
      </c>
      <c r="I45" s="125">
        <f>I$22*shipping_manufacturing!$I$28/100</f>
        <v>0</v>
      </c>
      <c r="J45" s="125">
        <f>J$22*shipping_manufacturing!$I$28/100</f>
        <v>0</v>
      </c>
      <c r="K45" s="125">
        <f>K$22*shipping_manufacturing!$I$28/100</f>
        <v>0</v>
      </c>
      <c r="L45" s="125">
        <f>L$22*shipping_manufacturing!$I$28/100</f>
        <v>0</v>
      </c>
      <c r="M45" s="125">
        <f>M$22*shipping_manufacturing!$I$28/100</f>
        <v>0</v>
      </c>
      <c r="N45" s="125">
        <f>N$22*shipping_manufacturing!$I$28/100</f>
        <v>0</v>
      </c>
      <c r="O45" s="125">
        <f>O$22*shipping_manufacturing!$I$28/100</f>
        <v>0</v>
      </c>
      <c r="P45" s="125">
        <f>P$22*shipping_manufacturing!$I$28/100</f>
        <v>0</v>
      </c>
      <c r="Q45" s="125">
        <f>Q$22*shipping_manufacturing!$I$28/100</f>
        <v>0</v>
      </c>
      <c r="R45" s="125">
        <f>R$22*shipping_manufacturing!$I$28/100</f>
        <v>0</v>
      </c>
      <c r="S45" s="125">
        <f>S$22*shipping_manufacturing!$I$28/100</f>
        <v>0</v>
      </c>
      <c r="T45" s="125">
        <f>T$22*shipping_manufacturing!$I$28/100</f>
        <v>0</v>
      </c>
      <c r="U45" s="125">
        <f>U$22*shipping_manufacturing!$I$28/100</f>
        <v>0</v>
      </c>
      <c r="V45" s="125">
        <f>V$22*shipping_manufacturing!$I$28/100</f>
        <v>0</v>
      </c>
      <c r="W45" s="125">
        <f>W$22*shipping_manufacturing!$I$28/100</f>
        <v>0</v>
      </c>
      <c r="X45" s="125">
        <f>X$22*shipping_manufacturing!$I$28/100</f>
        <v>0</v>
      </c>
      <c r="Y45" s="125">
        <f>Y$22*shipping_manufacturing!$I$28/100</f>
        <v>0</v>
      </c>
      <c r="Z45" s="125">
        <f>Z$22*shipping_manufacturing!$I$28/100</f>
        <v>0</v>
      </c>
      <c r="AA45" s="125">
        <f>AA$22*shipping_manufacturing!$I$28/100</f>
        <v>0</v>
      </c>
      <c r="AB45" s="125">
        <f>AB$22*shipping_manufacturing!$I$28/100</f>
        <v>0</v>
      </c>
      <c r="AC45" s="125">
        <f>AC$22*shipping_manufacturing!$I$28/100</f>
        <v>0</v>
      </c>
      <c r="AD45" s="125">
        <f>AD$22*shipping_manufacturing!$I$28/100</f>
        <v>0</v>
      </c>
      <c r="AE45" s="125">
        <f>AE$22*shipping_manufacturing!$I$28/100</f>
        <v>0</v>
      </c>
      <c r="AF45" s="125">
        <f>AF$22*shipping_manufacturing!$I$28/100</f>
        <v>0</v>
      </c>
      <c r="AG45" s="125">
        <f>AG$22*shipping_manufacturing!$I$28/100</f>
        <v>0</v>
      </c>
      <c r="AH45" s="125">
        <f>AH$22*shipping_manufacturing!$I$28/100</f>
        <v>0</v>
      </c>
      <c r="AI45" s="125">
        <f>AI$22*shipping_manufacturing!$I$28/100</f>
        <v>0</v>
      </c>
      <c r="AJ45" s="125">
        <f>AJ$22*shipping_manufacturing!$I$28/100</f>
        <v>0</v>
      </c>
      <c r="AK45" s="125">
        <f>AK$22*shipping_manufacturing!$I$28/100</f>
        <v>0</v>
      </c>
      <c r="AL45" s="125">
        <f>AL$22*shipping_manufacturing!$I$28/100</f>
        <v>0</v>
      </c>
      <c r="AM45" s="125">
        <f>AM$22*shipping_manufacturing!$I$28/100</f>
        <v>0</v>
      </c>
      <c r="AN45" s="125">
        <f>AN$22*shipping_manufacturing!$I$28/100</f>
        <v>0</v>
      </c>
      <c r="AO45" s="125">
        <f>AO$22*shipping_manufacturing!$I$28/100</f>
        <v>0</v>
      </c>
      <c r="AP45" s="125">
        <f>AP$22*shipping_manufacturing!$I$28/100</f>
        <v>0</v>
      </c>
      <c r="AQ45" s="125">
        <f>AQ$22*shipping_manufacturing!$I$28/100</f>
        <v>0</v>
      </c>
      <c r="AR45" s="125">
        <f>AR$22*shipping_manufacturing!$I$28/100</f>
        <v>0</v>
      </c>
      <c r="AS45" s="125">
        <f>AS$22*shipping_manufacturing!$I$28/100</f>
        <v>0</v>
      </c>
      <c r="AT45" s="125">
        <f>AT$22*shipping_manufacturing!$I$28/100</f>
        <v>0</v>
      </c>
      <c r="AU45" s="125">
        <f>AU$22*shipping_manufacturing!$I$28/100</f>
        <v>0</v>
      </c>
      <c r="AV45" s="125">
        <f>AV$22*shipping_manufacturing!$I$28/100</f>
        <v>0</v>
      </c>
      <c r="AW45" s="125">
        <f>AW$22*shipping_manufacturing!$I$28/100</f>
        <v>0</v>
      </c>
      <c r="AX45" s="125">
        <f>AX$22*shipping_manufacturing!$I$28/100</f>
        <v>0</v>
      </c>
      <c r="AY45" s="125">
        <f>AY$22*shipping_manufacturing!$I$28/100</f>
        <v>0</v>
      </c>
    </row>
    <row r="46" spans="1:52" x14ac:dyDescent="0.2">
      <c r="A46" s="125">
        <v>495</v>
      </c>
      <c r="B46" s="179" t="s">
        <v>342</v>
      </c>
      <c r="C46" s="125"/>
      <c r="D46" s="125">
        <f>SUM(D44:D45)</f>
        <v>1935.3158722718733</v>
      </c>
      <c r="E46" s="125">
        <f t="shared" ref="E46:AY46" si="14">SUM(E44:E45)</f>
        <v>2679.3507586071873</v>
      </c>
      <c r="F46" s="125">
        <f t="shared" si="14"/>
        <v>2679.3507586071873</v>
      </c>
      <c r="G46" s="125">
        <f t="shared" si="14"/>
        <v>2679.3507586071873</v>
      </c>
      <c r="H46" s="125">
        <f t="shared" si="14"/>
        <v>2679.3507586071873</v>
      </c>
      <c r="I46" s="125">
        <f t="shared" si="14"/>
        <v>2615.8396286779675</v>
      </c>
      <c r="J46" s="125">
        <f t="shared" si="14"/>
        <v>2615.8396286779675</v>
      </c>
      <c r="K46" s="125">
        <f t="shared" si="14"/>
        <v>2615.8396286779675</v>
      </c>
      <c r="L46" s="125">
        <f t="shared" si="14"/>
        <v>2615.8396286779675</v>
      </c>
      <c r="M46" s="125">
        <f t="shared" si="14"/>
        <v>2679.3507586071873</v>
      </c>
      <c r="N46" s="125">
        <f t="shared" si="14"/>
        <v>2679.3507586071873</v>
      </c>
      <c r="O46" s="125">
        <f t="shared" si="14"/>
        <v>2679.3507586071873</v>
      </c>
      <c r="P46" s="125">
        <f t="shared" si="14"/>
        <v>2679.3507586071873</v>
      </c>
      <c r="Q46" s="125">
        <f t="shared" si="14"/>
        <v>2679.3507586071873</v>
      </c>
      <c r="R46" s="125">
        <f t="shared" si="14"/>
        <v>2679.3507586071873</v>
      </c>
      <c r="S46" s="125">
        <f t="shared" si="14"/>
        <v>2679.3507586071873</v>
      </c>
      <c r="T46" s="125">
        <f t="shared" si="14"/>
        <v>2679.3507586071873</v>
      </c>
      <c r="U46" s="125">
        <f t="shared" si="14"/>
        <v>2679.3507586071873</v>
      </c>
      <c r="V46" s="125">
        <f t="shared" si="14"/>
        <v>2679.3507586071873</v>
      </c>
      <c r="W46" s="125">
        <f t="shared" si="14"/>
        <v>2679.3507586071873</v>
      </c>
      <c r="X46" s="125">
        <f t="shared" si="14"/>
        <v>2679.3507586071873</v>
      </c>
      <c r="Y46" s="125">
        <f t="shared" si="14"/>
        <v>2679.3507586071873</v>
      </c>
      <c r="Z46" s="125">
        <f t="shared" si="14"/>
        <v>2679.3507586071873</v>
      </c>
      <c r="AA46" s="125">
        <f t="shared" si="14"/>
        <v>2679.3507586071873</v>
      </c>
      <c r="AB46" s="125">
        <f t="shared" si="14"/>
        <v>2679.3507586071873</v>
      </c>
      <c r="AC46" s="125">
        <f t="shared" si="14"/>
        <v>2679.3507586071873</v>
      </c>
      <c r="AD46" s="125">
        <f t="shared" si="14"/>
        <v>2679.3507586071873</v>
      </c>
      <c r="AE46" s="125">
        <f t="shared" si="14"/>
        <v>2679.3507586071873</v>
      </c>
      <c r="AF46" s="125">
        <f t="shared" si="14"/>
        <v>2679.3507586071873</v>
      </c>
      <c r="AG46" s="125">
        <f t="shared" si="14"/>
        <v>2679.3507586071873</v>
      </c>
      <c r="AH46" s="125">
        <f t="shared" si="14"/>
        <v>2679.3507586071873</v>
      </c>
      <c r="AI46" s="125">
        <f t="shared" si="14"/>
        <v>2679.3507586071873</v>
      </c>
      <c r="AJ46" s="125">
        <f t="shared" si="14"/>
        <v>2679.3507586071873</v>
      </c>
      <c r="AK46" s="125">
        <f t="shared" si="14"/>
        <v>2679.3507586071873</v>
      </c>
      <c r="AL46" s="125">
        <f t="shared" si="14"/>
        <v>2679.3507586071873</v>
      </c>
      <c r="AM46" s="125">
        <f t="shared" si="14"/>
        <v>2679.3507586071873</v>
      </c>
      <c r="AN46" s="125">
        <f t="shared" si="14"/>
        <v>2679.3507586071873</v>
      </c>
      <c r="AO46" s="125">
        <f t="shared" si="14"/>
        <v>2679.3507586071873</v>
      </c>
      <c r="AP46" s="125">
        <f t="shared" si="14"/>
        <v>2679.3507586071873</v>
      </c>
      <c r="AQ46" s="125">
        <f t="shared" si="14"/>
        <v>2679.3507586071873</v>
      </c>
      <c r="AR46" s="125">
        <f t="shared" si="14"/>
        <v>2679.3507586071873</v>
      </c>
      <c r="AS46" s="125">
        <f t="shared" si="14"/>
        <v>2679.3507586071873</v>
      </c>
      <c r="AT46" s="125">
        <f t="shared" si="14"/>
        <v>2679.3507586071873</v>
      </c>
      <c r="AU46" s="125">
        <f t="shared" si="14"/>
        <v>2679.3507586071873</v>
      </c>
      <c r="AV46" s="125">
        <f t="shared" si="14"/>
        <v>2679.3507586071873</v>
      </c>
      <c r="AW46" s="125">
        <f t="shared" si="14"/>
        <v>2615.8396286779675</v>
      </c>
      <c r="AX46" s="125">
        <f t="shared" si="14"/>
        <v>2615.8396286779675</v>
      </c>
      <c r="AY46" s="125">
        <f t="shared" si="14"/>
        <v>2615.8396286779675</v>
      </c>
    </row>
    <row r="47" spans="1:52" x14ac:dyDescent="0.2">
      <c r="A47" s="125"/>
      <c r="B47" s="179" t="s">
        <v>343</v>
      </c>
      <c r="C47" s="125"/>
      <c r="D47" s="125"/>
      <c r="E47" s="125">
        <v>1590</v>
      </c>
      <c r="F47" s="125"/>
      <c r="G47" s="125">
        <v>1590</v>
      </c>
      <c r="H47" s="125"/>
      <c r="I47" s="125">
        <v>1590</v>
      </c>
      <c r="J47" s="125"/>
      <c r="K47" s="125">
        <v>1590</v>
      </c>
      <c r="L47" s="125"/>
      <c r="M47" s="125">
        <v>1590</v>
      </c>
      <c r="N47" s="125"/>
      <c r="O47" s="125">
        <v>1590</v>
      </c>
      <c r="P47" s="125"/>
      <c r="Q47" s="125">
        <v>1590</v>
      </c>
      <c r="R47" s="125"/>
      <c r="S47" s="125">
        <v>1590</v>
      </c>
      <c r="T47" s="125"/>
      <c r="U47" s="125">
        <v>1590</v>
      </c>
      <c r="V47" s="125"/>
      <c r="W47" s="125">
        <v>1590</v>
      </c>
      <c r="X47" s="125"/>
      <c r="Y47" s="125">
        <v>1590</v>
      </c>
      <c r="Z47" s="125"/>
      <c r="AA47" s="125">
        <v>1590</v>
      </c>
      <c r="AB47" s="125"/>
      <c r="AC47" s="125">
        <v>1590</v>
      </c>
      <c r="AD47" s="125"/>
      <c r="AE47" s="125">
        <v>1590</v>
      </c>
      <c r="AF47" s="125"/>
      <c r="AG47" s="125">
        <v>1590</v>
      </c>
      <c r="AH47" s="125"/>
      <c r="AI47" s="125">
        <v>1590</v>
      </c>
      <c r="AJ47" s="125"/>
      <c r="AK47" s="125">
        <v>1590</v>
      </c>
      <c r="AL47" s="125"/>
      <c r="AM47" s="125">
        <v>1590</v>
      </c>
      <c r="AN47" s="125"/>
      <c r="AO47" s="125">
        <v>1590</v>
      </c>
      <c r="AP47" s="125"/>
      <c r="AQ47" s="125">
        <v>1590</v>
      </c>
      <c r="AR47" s="125"/>
      <c r="AS47" s="125">
        <v>1590</v>
      </c>
      <c r="AT47" s="125"/>
      <c r="AU47" s="125">
        <v>1590</v>
      </c>
      <c r="AV47" s="125"/>
      <c r="AW47" s="125">
        <v>1590</v>
      </c>
      <c r="AX47" s="125"/>
      <c r="AY47" s="125">
        <v>1590</v>
      </c>
    </row>
    <row r="48" spans="1:52" x14ac:dyDescent="0.2">
      <c r="A48" s="125"/>
      <c r="B48" s="179" t="s">
        <v>344</v>
      </c>
      <c r="C48" s="125"/>
      <c r="D48" s="125"/>
      <c r="E48" s="125">
        <v>0</v>
      </c>
      <c r="F48" s="125"/>
      <c r="G48" s="125">
        <v>0</v>
      </c>
      <c r="H48" s="125"/>
      <c r="I48" s="125">
        <v>0</v>
      </c>
      <c r="J48" s="125"/>
      <c r="K48" s="125">
        <v>0</v>
      </c>
      <c r="L48" s="125"/>
      <c r="M48" s="125">
        <v>0</v>
      </c>
      <c r="N48" s="125"/>
      <c r="O48" s="125">
        <v>0</v>
      </c>
      <c r="P48" s="125"/>
      <c r="Q48" s="125">
        <v>0</v>
      </c>
      <c r="R48" s="125"/>
      <c r="S48" s="125">
        <v>0</v>
      </c>
      <c r="T48" s="125"/>
      <c r="U48" s="125">
        <v>0</v>
      </c>
      <c r="V48" s="125"/>
      <c r="W48" s="125">
        <v>0</v>
      </c>
      <c r="X48" s="125"/>
      <c r="Y48" s="125">
        <v>0</v>
      </c>
      <c r="Z48" s="125"/>
      <c r="AA48" s="125">
        <v>0</v>
      </c>
      <c r="AB48" s="125"/>
      <c r="AC48" s="125">
        <v>0</v>
      </c>
      <c r="AD48" s="125"/>
      <c r="AE48" s="125">
        <v>0</v>
      </c>
      <c r="AF48" s="125"/>
      <c r="AG48" s="125">
        <v>0</v>
      </c>
      <c r="AH48" s="125"/>
      <c r="AI48" s="125">
        <v>0</v>
      </c>
      <c r="AJ48" s="125"/>
      <c r="AK48" s="125">
        <v>0</v>
      </c>
      <c r="AL48" s="125"/>
      <c r="AM48" s="125">
        <v>0</v>
      </c>
      <c r="AN48" s="125"/>
      <c r="AO48" s="125">
        <v>0</v>
      </c>
      <c r="AP48" s="125"/>
      <c r="AQ48" s="125">
        <v>0</v>
      </c>
      <c r="AR48" s="125"/>
      <c r="AS48" s="125">
        <v>0</v>
      </c>
      <c r="AT48" s="125"/>
      <c r="AU48" s="125">
        <v>0</v>
      </c>
      <c r="AV48" s="125"/>
      <c r="AW48" s="125">
        <v>0</v>
      </c>
      <c r="AX48" s="125"/>
      <c r="AY48" s="125">
        <v>0</v>
      </c>
    </row>
    <row r="49" spans="1:52" x14ac:dyDescent="0.2">
      <c r="A49" s="125"/>
      <c r="B49" s="179" t="s">
        <v>345</v>
      </c>
      <c r="C49" s="125"/>
      <c r="D49" s="125"/>
      <c r="E49" s="125">
        <v>53</v>
      </c>
      <c r="F49" s="125"/>
      <c r="G49" s="125">
        <v>53</v>
      </c>
      <c r="H49" s="125"/>
      <c r="I49" s="125">
        <v>53</v>
      </c>
      <c r="J49" s="125"/>
      <c r="K49" s="125">
        <v>53</v>
      </c>
      <c r="L49" s="125"/>
      <c r="M49" s="125">
        <v>53</v>
      </c>
      <c r="N49" s="125"/>
      <c r="O49" s="125">
        <v>53</v>
      </c>
      <c r="P49" s="125"/>
      <c r="Q49" s="125">
        <v>53</v>
      </c>
      <c r="R49" s="125"/>
      <c r="S49" s="125">
        <v>53</v>
      </c>
      <c r="T49" s="125"/>
      <c r="U49" s="125">
        <v>53</v>
      </c>
      <c r="V49" s="125"/>
      <c r="W49" s="125">
        <v>53</v>
      </c>
      <c r="X49" s="125"/>
      <c r="Y49" s="125">
        <v>53</v>
      </c>
      <c r="Z49" s="125"/>
      <c r="AA49" s="125">
        <v>53</v>
      </c>
      <c r="AB49" s="125"/>
      <c r="AC49" s="125">
        <v>53</v>
      </c>
      <c r="AD49" s="125"/>
      <c r="AE49" s="125">
        <v>53</v>
      </c>
      <c r="AF49" s="125"/>
      <c r="AG49" s="125">
        <v>53</v>
      </c>
      <c r="AH49" s="125"/>
      <c r="AI49" s="125">
        <v>53</v>
      </c>
      <c r="AJ49" s="125"/>
      <c r="AK49" s="125">
        <v>53</v>
      </c>
      <c r="AL49" s="125"/>
      <c r="AM49" s="125">
        <v>53</v>
      </c>
      <c r="AN49" s="125"/>
      <c r="AO49" s="125">
        <v>53</v>
      </c>
      <c r="AP49" s="125"/>
      <c r="AQ49" s="125">
        <v>53</v>
      </c>
      <c r="AR49" s="125"/>
      <c r="AS49" s="125">
        <v>53</v>
      </c>
      <c r="AT49" s="125"/>
      <c r="AU49" s="125">
        <v>53</v>
      </c>
      <c r="AV49" s="125"/>
      <c r="AW49" s="125">
        <v>53</v>
      </c>
      <c r="AX49" s="125"/>
      <c r="AY49" s="125">
        <v>53</v>
      </c>
    </row>
    <row r="50" spans="1:52" x14ac:dyDescent="0.2">
      <c r="A50" s="125"/>
      <c r="B50" s="179" t="s">
        <v>346</v>
      </c>
      <c r="C50" s="125"/>
      <c r="D50" s="125">
        <f>D44-D47</f>
        <v>1935.3158722718733</v>
      </c>
      <c r="E50" s="125">
        <f t="shared" ref="E50:AY50" si="15">E44-E47</f>
        <v>1089.3507586071873</v>
      </c>
      <c r="F50" s="125">
        <f t="shared" si="15"/>
        <v>2679.3507586071873</v>
      </c>
      <c r="G50" s="125">
        <f t="shared" si="15"/>
        <v>1089.3507586071873</v>
      </c>
      <c r="H50" s="125">
        <f t="shared" si="15"/>
        <v>2679.3507586071873</v>
      </c>
      <c r="I50" s="125">
        <f t="shared" si="15"/>
        <v>1025.8396286779675</v>
      </c>
      <c r="J50" s="125">
        <f t="shared" si="15"/>
        <v>2615.8396286779675</v>
      </c>
      <c r="K50" s="125">
        <f t="shared" si="15"/>
        <v>1025.8396286779675</v>
      </c>
      <c r="L50" s="125">
        <f t="shared" si="15"/>
        <v>2615.8396286779675</v>
      </c>
      <c r="M50" s="125">
        <f t="shared" si="15"/>
        <v>1089.3507586071873</v>
      </c>
      <c r="N50" s="125">
        <f t="shared" si="15"/>
        <v>2679.3507586071873</v>
      </c>
      <c r="O50" s="125">
        <f t="shared" si="15"/>
        <v>1089.3507586071873</v>
      </c>
      <c r="P50" s="125">
        <f t="shared" si="15"/>
        <v>2679.3507586071873</v>
      </c>
      <c r="Q50" s="125">
        <f t="shared" si="15"/>
        <v>1089.3507586071873</v>
      </c>
      <c r="R50" s="125">
        <f t="shared" si="15"/>
        <v>2679.3507586071873</v>
      </c>
      <c r="S50" s="125">
        <f t="shared" si="15"/>
        <v>1089.3507586071873</v>
      </c>
      <c r="T50" s="125">
        <f t="shared" si="15"/>
        <v>2679.3507586071873</v>
      </c>
      <c r="U50" s="125">
        <f t="shared" si="15"/>
        <v>1089.3507586071873</v>
      </c>
      <c r="V50" s="125">
        <f t="shared" si="15"/>
        <v>2679.3507586071873</v>
      </c>
      <c r="W50" s="125">
        <f t="shared" si="15"/>
        <v>1089.3507586071873</v>
      </c>
      <c r="X50" s="125">
        <f t="shared" si="15"/>
        <v>2679.3507586071873</v>
      </c>
      <c r="Y50" s="125">
        <f t="shared" si="15"/>
        <v>1089.3507586071873</v>
      </c>
      <c r="Z50" s="125">
        <f t="shared" si="15"/>
        <v>2679.3507586071873</v>
      </c>
      <c r="AA50" s="125">
        <f t="shared" si="15"/>
        <v>1089.3507586071873</v>
      </c>
      <c r="AB50" s="125">
        <f t="shared" si="15"/>
        <v>2679.3507586071873</v>
      </c>
      <c r="AC50" s="125">
        <f t="shared" si="15"/>
        <v>1089.3507586071873</v>
      </c>
      <c r="AD50" s="125">
        <f t="shared" si="15"/>
        <v>2679.3507586071873</v>
      </c>
      <c r="AE50" s="125">
        <f t="shared" si="15"/>
        <v>1089.3507586071873</v>
      </c>
      <c r="AF50" s="125">
        <f t="shared" si="15"/>
        <v>2679.3507586071873</v>
      </c>
      <c r="AG50" s="125">
        <f t="shared" si="15"/>
        <v>1089.3507586071873</v>
      </c>
      <c r="AH50" s="125">
        <f t="shared" si="15"/>
        <v>2679.3507586071873</v>
      </c>
      <c r="AI50" s="125">
        <f t="shared" si="15"/>
        <v>1089.3507586071873</v>
      </c>
      <c r="AJ50" s="125">
        <f t="shared" si="15"/>
        <v>2679.3507586071873</v>
      </c>
      <c r="AK50" s="125">
        <f t="shared" si="15"/>
        <v>1089.3507586071873</v>
      </c>
      <c r="AL50" s="125">
        <f t="shared" si="15"/>
        <v>2679.3507586071873</v>
      </c>
      <c r="AM50" s="125">
        <f t="shared" si="15"/>
        <v>1089.3507586071873</v>
      </c>
      <c r="AN50" s="125">
        <f t="shared" si="15"/>
        <v>2679.3507586071873</v>
      </c>
      <c r="AO50" s="125">
        <f t="shared" si="15"/>
        <v>1089.3507586071873</v>
      </c>
      <c r="AP50" s="125">
        <f t="shared" si="15"/>
        <v>2679.3507586071873</v>
      </c>
      <c r="AQ50" s="125">
        <f t="shared" si="15"/>
        <v>1089.3507586071873</v>
      </c>
      <c r="AR50" s="125">
        <f t="shared" si="15"/>
        <v>2679.3507586071873</v>
      </c>
      <c r="AS50" s="125">
        <f t="shared" si="15"/>
        <v>1089.3507586071873</v>
      </c>
      <c r="AT50" s="125">
        <f t="shared" si="15"/>
        <v>2679.3507586071873</v>
      </c>
      <c r="AU50" s="125">
        <f t="shared" si="15"/>
        <v>1089.3507586071873</v>
      </c>
      <c r="AV50" s="125">
        <f t="shared" si="15"/>
        <v>2679.3507586071873</v>
      </c>
      <c r="AW50" s="125">
        <f t="shared" si="15"/>
        <v>1025.8396286779675</v>
      </c>
      <c r="AX50" s="125">
        <f t="shared" si="15"/>
        <v>2615.8396286779675</v>
      </c>
      <c r="AY50" s="125">
        <f t="shared" si="15"/>
        <v>1025.8396286779675</v>
      </c>
    </row>
    <row r="51" spans="1:52" x14ac:dyDescent="0.2">
      <c r="A51" s="125"/>
      <c r="B51" s="179" t="s">
        <v>347</v>
      </c>
      <c r="C51" s="125"/>
      <c r="D51" s="125">
        <f>D45-D48</f>
        <v>0</v>
      </c>
      <c r="E51" s="125">
        <f t="shared" ref="E51:AY51" si="16">E45-E48</f>
        <v>0</v>
      </c>
      <c r="F51" s="125">
        <f t="shared" si="16"/>
        <v>0</v>
      </c>
      <c r="G51" s="125">
        <f t="shared" si="16"/>
        <v>0</v>
      </c>
      <c r="H51" s="125">
        <f t="shared" si="16"/>
        <v>0</v>
      </c>
      <c r="I51" s="125">
        <f t="shared" si="16"/>
        <v>0</v>
      </c>
      <c r="J51" s="125">
        <f t="shared" si="16"/>
        <v>0</v>
      </c>
      <c r="K51" s="125">
        <f t="shared" si="16"/>
        <v>0</v>
      </c>
      <c r="L51" s="125">
        <f t="shared" si="16"/>
        <v>0</v>
      </c>
      <c r="M51" s="125">
        <f t="shared" si="16"/>
        <v>0</v>
      </c>
      <c r="N51" s="125">
        <f t="shared" si="16"/>
        <v>0</v>
      </c>
      <c r="O51" s="125">
        <f t="shared" si="16"/>
        <v>0</v>
      </c>
      <c r="P51" s="125">
        <f t="shared" si="16"/>
        <v>0</v>
      </c>
      <c r="Q51" s="125">
        <f t="shared" si="16"/>
        <v>0</v>
      </c>
      <c r="R51" s="125">
        <f t="shared" si="16"/>
        <v>0</v>
      </c>
      <c r="S51" s="125">
        <f t="shared" si="16"/>
        <v>0</v>
      </c>
      <c r="T51" s="125">
        <f t="shared" si="16"/>
        <v>0</v>
      </c>
      <c r="U51" s="125">
        <f t="shared" si="16"/>
        <v>0</v>
      </c>
      <c r="V51" s="125">
        <f t="shared" si="16"/>
        <v>0</v>
      </c>
      <c r="W51" s="125">
        <f t="shared" si="16"/>
        <v>0</v>
      </c>
      <c r="X51" s="125">
        <f t="shared" si="16"/>
        <v>0</v>
      </c>
      <c r="Y51" s="125">
        <f t="shared" si="16"/>
        <v>0</v>
      </c>
      <c r="Z51" s="125">
        <f t="shared" si="16"/>
        <v>0</v>
      </c>
      <c r="AA51" s="125">
        <f t="shared" si="16"/>
        <v>0</v>
      </c>
      <c r="AB51" s="125">
        <f t="shared" si="16"/>
        <v>0</v>
      </c>
      <c r="AC51" s="125">
        <f t="shared" si="16"/>
        <v>0</v>
      </c>
      <c r="AD51" s="125">
        <f t="shared" si="16"/>
        <v>0</v>
      </c>
      <c r="AE51" s="125">
        <f t="shared" si="16"/>
        <v>0</v>
      </c>
      <c r="AF51" s="125">
        <f t="shared" si="16"/>
        <v>0</v>
      </c>
      <c r="AG51" s="125">
        <f t="shared" si="16"/>
        <v>0</v>
      </c>
      <c r="AH51" s="125">
        <f t="shared" si="16"/>
        <v>0</v>
      </c>
      <c r="AI51" s="125">
        <f t="shared" si="16"/>
        <v>0</v>
      </c>
      <c r="AJ51" s="125">
        <f t="shared" si="16"/>
        <v>0</v>
      </c>
      <c r="AK51" s="125">
        <f t="shared" si="16"/>
        <v>0</v>
      </c>
      <c r="AL51" s="125">
        <f t="shared" si="16"/>
        <v>0</v>
      </c>
      <c r="AM51" s="125">
        <f t="shared" si="16"/>
        <v>0</v>
      </c>
      <c r="AN51" s="125">
        <f t="shared" si="16"/>
        <v>0</v>
      </c>
      <c r="AO51" s="125">
        <f t="shared" si="16"/>
        <v>0</v>
      </c>
      <c r="AP51" s="125">
        <f t="shared" si="16"/>
        <v>0</v>
      </c>
      <c r="AQ51" s="125">
        <f t="shared" si="16"/>
        <v>0</v>
      </c>
      <c r="AR51" s="125">
        <f t="shared" si="16"/>
        <v>0</v>
      </c>
      <c r="AS51" s="125">
        <f t="shared" si="16"/>
        <v>0</v>
      </c>
      <c r="AT51" s="125">
        <f t="shared" si="16"/>
        <v>0</v>
      </c>
      <c r="AU51" s="125">
        <f t="shared" si="16"/>
        <v>0</v>
      </c>
      <c r="AV51" s="125">
        <f t="shared" si="16"/>
        <v>0</v>
      </c>
      <c r="AW51" s="125">
        <f t="shared" si="16"/>
        <v>0</v>
      </c>
      <c r="AX51" s="125">
        <f t="shared" si="16"/>
        <v>0</v>
      </c>
      <c r="AY51" s="125">
        <f t="shared" si="16"/>
        <v>0</v>
      </c>
    </row>
    <row r="52" spans="1:52" x14ac:dyDescent="0.2">
      <c r="A52" s="125"/>
      <c r="B52" s="179" t="s">
        <v>348</v>
      </c>
      <c r="C52" s="125"/>
      <c r="D52" s="125">
        <v>3</v>
      </c>
      <c r="E52" s="125">
        <v>1</v>
      </c>
      <c r="F52" s="125">
        <v>2</v>
      </c>
      <c r="G52" s="125">
        <v>2</v>
      </c>
      <c r="H52" s="125">
        <v>1</v>
      </c>
      <c r="I52" s="125">
        <v>1</v>
      </c>
      <c r="J52" s="125">
        <v>1</v>
      </c>
      <c r="K52" s="125">
        <v>1</v>
      </c>
      <c r="L52" s="125">
        <v>1</v>
      </c>
      <c r="M52" s="125">
        <v>2</v>
      </c>
      <c r="N52" s="125">
        <v>1</v>
      </c>
      <c r="O52" s="125">
        <v>2</v>
      </c>
      <c r="P52" s="125">
        <v>1</v>
      </c>
      <c r="Q52" s="125">
        <v>2</v>
      </c>
      <c r="R52" s="125">
        <v>1</v>
      </c>
      <c r="S52" s="125">
        <v>2</v>
      </c>
      <c r="T52" s="125">
        <v>2</v>
      </c>
      <c r="U52" s="125">
        <v>2</v>
      </c>
      <c r="V52" s="125">
        <v>2</v>
      </c>
      <c r="W52" s="125">
        <v>2</v>
      </c>
      <c r="X52" s="125">
        <v>1</v>
      </c>
      <c r="Y52" s="125">
        <v>2</v>
      </c>
      <c r="Z52" s="125">
        <v>2</v>
      </c>
      <c r="AA52" s="125">
        <v>3</v>
      </c>
      <c r="AB52" s="125">
        <v>1</v>
      </c>
      <c r="AC52" s="125">
        <v>2</v>
      </c>
      <c r="AD52" s="125">
        <v>1</v>
      </c>
      <c r="AE52" s="125">
        <v>1</v>
      </c>
      <c r="AF52" s="125">
        <v>2</v>
      </c>
      <c r="AG52" s="125">
        <v>1</v>
      </c>
      <c r="AH52" s="125">
        <v>1</v>
      </c>
      <c r="AI52" s="125">
        <v>3</v>
      </c>
      <c r="AJ52" s="125">
        <v>1</v>
      </c>
      <c r="AK52" s="125">
        <v>2</v>
      </c>
      <c r="AL52" s="125">
        <v>2</v>
      </c>
      <c r="AM52" s="125">
        <v>2</v>
      </c>
      <c r="AN52" s="125">
        <v>1</v>
      </c>
      <c r="AO52" s="125">
        <v>1</v>
      </c>
      <c r="AP52" s="125">
        <v>2</v>
      </c>
      <c r="AQ52" s="125">
        <v>1</v>
      </c>
      <c r="AR52" s="125">
        <v>1</v>
      </c>
      <c r="AS52" s="125">
        <v>2</v>
      </c>
      <c r="AT52" s="125">
        <v>1</v>
      </c>
      <c r="AU52" s="125">
        <v>3</v>
      </c>
      <c r="AV52" s="125">
        <v>1</v>
      </c>
      <c r="AW52" s="125">
        <v>1</v>
      </c>
      <c r="AX52" s="125">
        <v>3</v>
      </c>
      <c r="AY52" s="125">
        <v>1</v>
      </c>
    </row>
    <row r="53" spans="1:52" x14ac:dyDescent="0.2">
      <c r="A53" s="125"/>
      <c r="B53" s="190" t="s">
        <v>349</v>
      </c>
      <c r="C53" s="125"/>
      <c r="D53" s="125">
        <v>0</v>
      </c>
      <c r="E53" s="125">
        <v>944460</v>
      </c>
      <c r="F53" s="125">
        <v>0</v>
      </c>
      <c r="G53" s="125">
        <v>944460</v>
      </c>
      <c r="H53" s="125">
        <v>0</v>
      </c>
      <c r="I53" s="125">
        <v>944460</v>
      </c>
      <c r="J53" s="125">
        <v>0</v>
      </c>
      <c r="K53" s="125">
        <v>944460</v>
      </c>
      <c r="L53" s="125">
        <v>0</v>
      </c>
      <c r="M53" s="125">
        <v>944460</v>
      </c>
      <c r="N53" s="125">
        <v>0</v>
      </c>
      <c r="O53" s="125">
        <v>944460</v>
      </c>
      <c r="P53" s="125">
        <v>0</v>
      </c>
      <c r="Q53" s="125">
        <v>944460</v>
      </c>
      <c r="R53" s="125">
        <v>0</v>
      </c>
      <c r="S53" s="125">
        <v>944460</v>
      </c>
      <c r="T53" s="125">
        <v>0</v>
      </c>
      <c r="U53" s="125">
        <v>944460</v>
      </c>
      <c r="V53" s="125">
        <v>0</v>
      </c>
      <c r="W53" s="125">
        <v>944460</v>
      </c>
      <c r="X53" s="125">
        <v>0</v>
      </c>
      <c r="Y53" s="125">
        <v>944460</v>
      </c>
      <c r="Z53" s="125">
        <v>0</v>
      </c>
      <c r="AA53" s="125">
        <v>944460</v>
      </c>
      <c r="AB53" s="125">
        <v>0</v>
      </c>
      <c r="AC53" s="125">
        <v>944460</v>
      </c>
      <c r="AD53" s="125">
        <v>0</v>
      </c>
      <c r="AE53" s="125">
        <v>944460</v>
      </c>
      <c r="AF53" s="125">
        <v>0</v>
      </c>
      <c r="AG53" s="125">
        <v>944460</v>
      </c>
      <c r="AH53" s="125">
        <v>0</v>
      </c>
      <c r="AI53" s="125">
        <v>944460</v>
      </c>
      <c r="AJ53" s="125">
        <v>0</v>
      </c>
      <c r="AK53" s="125">
        <v>944460</v>
      </c>
      <c r="AL53" s="125">
        <v>0</v>
      </c>
      <c r="AM53" s="125">
        <v>944460</v>
      </c>
      <c r="AN53" s="125">
        <v>0</v>
      </c>
      <c r="AO53" s="125">
        <v>944460</v>
      </c>
      <c r="AP53" s="125">
        <v>0</v>
      </c>
      <c r="AQ53" s="125">
        <v>944460</v>
      </c>
      <c r="AR53" s="125">
        <v>0</v>
      </c>
      <c r="AS53" s="125">
        <v>944460</v>
      </c>
      <c r="AT53" s="125">
        <v>0</v>
      </c>
      <c r="AU53" s="125">
        <v>944460</v>
      </c>
      <c r="AV53" s="125">
        <v>0</v>
      </c>
      <c r="AW53" s="125">
        <v>944460</v>
      </c>
      <c r="AX53" s="125">
        <v>0</v>
      </c>
      <c r="AY53" s="125">
        <v>944460</v>
      </c>
      <c r="AZ53">
        <f>SUM($D$53:$AY$53)</f>
        <v>22667040</v>
      </c>
    </row>
    <row r="54" spans="1:52" x14ac:dyDescent="0.2">
      <c r="A54" s="139"/>
      <c r="B54" s="154" t="s">
        <v>350</v>
      </c>
      <c r="C54" s="139"/>
      <c r="D54" s="139">
        <v>622687.88190347527</v>
      </c>
      <c r="E54" s="139">
        <v>350498.60658186255</v>
      </c>
      <c r="F54" s="139">
        <v>862081.10658186255</v>
      </c>
      <c r="G54" s="139">
        <v>350498.60658186255</v>
      </c>
      <c r="H54" s="139">
        <v>862081.10658186255</v>
      </c>
      <c r="I54" s="139">
        <v>330063.90052713611</v>
      </c>
      <c r="J54" s="139">
        <v>841646.40052713605</v>
      </c>
      <c r="K54" s="139">
        <v>330063.90052713611</v>
      </c>
      <c r="L54" s="139">
        <v>841646.40052713605</v>
      </c>
      <c r="M54" s="139">
        <v>350498.60658186255</v>
      </c>
      <c r="N54" s="139">
        <v>862081.10658186255</v>
      </c>
      <c r="O54" s="139">
        <v>350498.60658186255</v>
      </c>
      <c r="P54" s="139">
        <v>862081.10658186255</v>
      </c>
      <c r="Q54" s="139">
        <v>350498.60658186255</v>
      </c>
      <c r="R54" s="139">
        <v>862081.10658186255</v>
      </c>
      <c r="S54" s="139">
        <v>350498.60658186255</v>
      </c>
      <c r="T54" s="139">
        <v>862081.10658186255</v>
      </c>
      <c r="U54" s="139">
        <v>350498.60658186255</v>
      </c>
      <c r="V54" s="139">
        <v>862081.10658186255</v>
      </c>
      <c r="W54" s="139">
        <v>350498.60658186255</v>
      </c>
      <c r="X54" s="139">
        <v>862081.10658186255</v>
      </c>
      <c r="Y54" s="139">
        <v>350498.60658186255</v>
      </c>
      <c r="Z54" s="139">
        <v>862081.10658186255</v>
      </c>
      <c r="AA54" s="139">
        <v>350498.60658186255</v>
      </c>
      <c r="AB54" s="139">
        <v>862081.10658186255</v>
      </c>
      <c r="AC54" s="139">
        <v>350498.60658186255</v>
      </c>
      <c r="AD54" s="139">
        <v>862081.10658186255</v>
      </c>
      <c r="AE54" s="139">
        <v>350498.60658186255</v>
      </c>
      <c r="AF54" s="139">
        <v>862081.10658186255</v>
      </c>
      <c r="AG54" s="139">
        <v>350498.60658186255</v>
      </c>
      <c r="AH54" s="139">
        <v>862081.10658186255</v>
      </c>
      <c r="AI54" s="139">
        <v>350498.60658186255</v>
      </c>
      <c r="AJ54" s="139">
        <v>862081.10658186255</v>
      </c>
      <c r="AK54" s="139">
        <v>350498.60658186255</v>
      </c>
      <c r="AL54" s="139">
        <v>862081.10658186255</v>
      </c>
      <c r="AM54" s="139">
        <v>350498.60658186255</v>
      </c>
      <c r="AN54" s="139">
        <v>862081.10658186255</v>
      </c>
      <c r="AO54" s="139">
        <v>350498.60658186255</v>
      </c>
      <c r="AP54" s="139">
        <v>862081.10658186255</v>
      </c>
      <c r="AQ54" s="139">
        <v>350498.60658186255</v>
      </c>
      <c r="AR54" s="139">
        <v>862081.10658186255</v>
      </c>
      <c r="AS54" s="139">
        <v>350498.60658186255</v>
      </c>
      <c r="AT54" s="139">
        <v>862081.10658186255</v>
      </c>
      <c r="AU54" s="139">
        <v>350498.60658186255</v>
      </c>
      <c r="AV54" s="139">
        <v>862081.10658186255</v>
      </c>
      <c r="AW54" s="139">
        <v>330063.90052713611</v>
      </c>
      <c r="AX54" s="139">
        <v>841646.40052713605</v>
      </c>
      <c r="AY54" s="139">
        <v>330063.90052713611</v>
      </c>
      <c r="AZ54">
        <f>SUM($D$54:$AY$54)</f>
        <v>28719476.948867939</v>
      </c>
    </row>
  </sheetData>
  <pageMargins left="0.75" right="0.75" top="1" bottom="1" header="0.5" footer="0.5"/>
  <pageSetup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A260"/>
  <sheetViews>
    <sheetView workbookViewId="0">
      <pane xSplit="2" ySplit="7" topLeftCell="C175" activePane="bottomRight" state="frozen"/>
      <selection pane="topRight"/>
      <selection pane="bottomLeft"/>
      <selection pane="bottomRight" activeCell="C185" sqref="C185:C256"/>
    </sheetView>
  </sheetViews>
  <sheetFormatPr defaultRowHeight="12.75" x14ac:dyDescent="0.2"/>
  <cols>
    <col min="1" max="1" width="14.7109375" customWidth="1"/>
    <col min="2" max="2" width="12.7109375" customWidth="1"/>
  </cols>
  <sheetData>
    <row r="1" spans="1:53" x14ac:dyDescent="0.2">
      <c r="A1" s="1" t="s">
        <v>284</v>
      </c>
    </row>
    <row r="2" spans="1:53" x14ac:dyDescent="0.2">
      <c r="A2" t="s">
        <v>285</v>
      </c>
      <c r="B2" s="122" t="s">
        <v>22</v>
      </c>
    </row>
    <row r="3" spans="1:53" x14ac:dyDescent="0.2">
      <c r="A3" t="s">
        <v>286</v>
      </c>
      <c r="B3" s="123">
        <v>40000</v>
      </c>
      <c r="C3" s="124"/>
    </row>
    <row r="4" spans="1:53" x14ac:dyDescent="0.2">
      <c r="B4" s="125"/>
      <c r="C4" s="125"/>
    </row>
    <row r="5" spans="1:53" x14ac:dyDescent="0.2">
      <c r="C5" s="9" t="s">
        <v>287</v>
      </c>
    </row>
    <row r="6" spans="1:53" x14ac:dyDescent="0.2">
      <c r="C6" s="126">
        <v>0</v>
      </c>
      <c r="D6" s="126">
        <v>1</v>
      </c>
      <c r="E6" s="126">
        <v>2</v>
      </c>
      <c r="F6" s="126">
        <v>3</v>
      </c>
      <c r="G6" s="126">
        <v>4</v>
      </c>
      <c r="H6" s="126">
        <v>5</v>
      </c>
      <c r="I6" s="126">
        <v>6</v>
      </c>
      <c r="J6" s="126">
        <v>7</v>
      </c>
      <c r="K6" s="126">
        <v>8</v>
      </c>
      <c r="L6" s="126">
        <v>9</v>
      </c>
      <c r="M6" s="126">
        <v>10</v>
      </c>
      <c r="N6" s="126">
        <v>11</v>
      </c>
      <c r="O6" s="126">
        <v>12</v>
      </c>
      <c r="P6" s="126">
        <v>13</v>
      </c>
      <c r="Q6" s="126">
        <v>14</v>
      </c>
      <c r="R6" s="126">
        <v>15</v>
      </c>
      <c r="S6" s="126">
        <v>16</v>
      </c>
      <c r="T6" s="126">
        <v>17</v>
      </c>
      <c r="U6" s="126">
        <v>18</v>
      </c>
      <c r="V6" s="126">
        <v>19</v>
      </c>
      <c r="W6" s="126">
        <v>20</v>
      </c>
      <c r="X6" s="126">
        <v>21</v>
      </c>
      <c r="Y6" s="126">
        <v>22</v>
      </c>
      <c r="Z6" s="126">
        <v>23</v>
      </c>
      <c r="AA6" s="126">
        <v>24</v>
      </c>
      <c r="AB6" s="126">
        <v>25</v>
      </c>
      <c r="AC6" s="126">
        <v>26</v>
      </c>
      <c r="AD6" s="126">
        <v>27</v>
      </c>
      <c r="AE6" s="126">
        <v>28</v>
      </c>
      <c r="AF6" s="126">
        <v>29</v>
      </c>
      <c r="AG6" s="126">
        <v>30</v>
      </c>
      <c r="AH6" s="126">
        <v>31</v>
      </c>
      <c r="AI6" s="126">
        <v>32</v>
      </c>
      <c r="AJ6" s="126">
        <v>33</v>
      </c>
      <c r="AK6" s="126">
        <v>34</v>
      </c>
      <c r="AL6" s="126">
        <v>35</v>
      </c>
      <c r="AM6" s="126">
        <v>36</v>
      </c>
      <c r="AN6" s="126">
        <v>37</v>
      </c>
      <c r="AO6" s="126">
        <v>38</v>
      </c>
      <c r="AP6" s="126">
        <v>39</v>
      </c>
      <c r="AQ6" s="126">
        <v>40</v>
      </c>
      <c r="AR6" s="126">
        <v>41</v>
      </c>
      <c r="AS6" s="126">
        <v>42</v>
      </c>
      <c r="AT6" s="126">
        <v>43</v>
      </c>
      <c r="AU6" s="126">
        <v>44</v>
      </c>
      <c r="AV6" s="126">
        <v>45</v>
      </c>
      <c r="AW6" s="126">
        <v>46</v>
      </c>
      <c r="AX6" s="126">
        <v>47</v>
      </c>
      <c r="AY6" s="126">
        <v>48</v>
      </c>
    </row>
    <row r="7" spans="1:53" x14ac:dyDescent="0.2">
      <c r="B7" s="125"/>
      <c r="C7" s="127" t="s">
        <v>288</v>
      </c>
      <c r="D7" s="126" t="s">
        <v>289</v>
      </c>
      <c r="E7" s="126" t="s">
        <v>289</v>
      </c>
      <c r="F7" s="126" t="s">
        <v>289</v>
      </c>
      <c r="G7" s="126" t="s">
        <v>289</v>
      </c>
      <c r="H7" s="126" t="s">
        <v>289</v>
      </c>
      <c r="I7" s="126" t="s">
        <v>289</v>
      </c>
      <c r="J7" s="126" t="s">
        <v>289</v>
      </c>
      <c r="K7" s="126" t="s">
        <v>289</v>
      </c>
      <c r="L7" s="126" t="s">
        <v>289</v>
      </c>
      <c r="M7" s="126" t="s">
        <v>289</v>
      </c>
      <c r="N7" s="126" t="s">
        <v>289</v>
      </c>
      <c r="O7" s="126" t="s">
        <v>289</v>
      </c>
      <c r="P7" s="126" t="s">
        <v>289</v>
      </c>
      <c r="Q7" s="126" t="s">
        <v>289</v>
      </c>
      <c r="R7" s="126" t="s">
        <v>289</v>
      </c>
      <c r="S7" s="126" t="s">
        <v>289</v>
      </c>
      <c r="T7" s="126" t="s">
        <v>289</v>
      </c>
      <c r="U7" s="126" t="s">
        <v>289</v>
      </c>
      <c r="V7" s="126" t="s">
        <v>289</v>
      </c>
      <c r="W7" s="126" t="s">
        <v>289</v>
      </c>
      <c r="X7" s="126" t="s">
        <v>289</v>
      </c>
      <c r="Y7" s="126" t="s">
        <v>289</v>
      </c>
      <c r="Z7" s="126" t="s">
        <v>289</v>
      </c>
      <c r="AA7" s="126" t="s">
        <v>289</v>
      </c>
      <c r="AB7" s="126" t="s">
        <v>289</v>
      </c>
      <c r="AC7" s="126" t="s">
        <v>289</v>
      </c>
      <c r="AD7" s="126" t="s">
        <v>289</v>
      </c>
      <c r="AE7" s="126" t="s">
        <v>289</v>
      </c>
      <c r="AF7" s="126" t="s">
        <v>289</v>
      </c>
      <c r="AG7" s="126" t="s">
        <v>289</v>
      </c>
      <c r="AH7" s="126" t="s">
        <v>289</v>
      </c>
      <c r="AI7" s="126" t="s">
        <v>289</v>
      </c>
      <c r="AJ7" s="126" t="s">
        <v>289</v>
      </c>
      <c r="AK7" s="126" t="s">
        <v>289</v>
      </c>
      <c r="AL7" s="126" t="s">
        <v>289</v>
      </c>
      <c r="AM7" s="126" t="s">
        <v>289</v>
      </c>
      <c r="AN7" s="126" t="s">
        <v>289</v>
      </c>
      <c r="AO7" s="126" t="s">
        <v>289</v>
      </c>
      <c r="AP7" s="126" t="s">
        <v>289</v>
      </c>
      <c r="AQ7" s="126" t="s">
        <v>289</v>
      </c>
      <c r="AR7" s="126" t="s">
        <v>289</v>
      </c>
      <c r="AS7" s="126" t="s">
        <v>289</v>
      </c>
      <c r="AT7" s="126" t="s">
        <v>289</v>
      </c>
      <c r="AU7" s="126" t="s">
        <v>289</v>
      </c>
      <c r="AV7" s="126" t="s">
        <v>289</v>
      </c>
      <c r="AW7" s="126" t="s">
        <v>289</v>
      </c>
      <c r="AX7" s="126" t="s">
        <v>289</v>
      </c>
      <c r="AY7" s="9" t="s">
        <v>290</v>
      </c>
      <c r="AZ7" s="9" t="s">
        <v>291</v>
      </c>
    </row>
    <row r="8" spans="1:53" x14ac:dyDescent="0.2">
      <c r="A8" s="1" t="s">
        <v>292</v>
      </c>
      <c r="B8" s="128"/>
      <c r="AY8" s="125"/>
    </row>
    <row r="9" spans="1:53" x14ac:dyDescent="0.2">
      <c r="A9" s="129" t="s">
        <v>125</v>
      </c>
      <c r="B9" s="130">
        <v>1</v>
      </c>
      <c r="C9" s="131" t="s">
        <v>293</v>
      </c>
      <c r="D9" s="131">
        <v>6775.0809011602914</v>
      </c>
      <c r="E9" s="131">
        <v>6775.0809011602914</v>
      </c>
      <c r="F9" s="131">
        <v>6775.0809011602914</v>
      </c>
      <c r="G9" s="131">
        <v>6775.0809011602914</v>
      </c>
      <c r="H9" s="131">
        <v>6582.7267608681932</v>
      </c>
      <c r="I9" s="131">
        <v>6582.7267608681932</v>
      </c>
      <c r="J9" s="131">
        <v>6582.7267608681932</v>
      </c>
      <c r="K9" s="131">
        <v>6582.7267608681932</v>
      </c>
      <c r="L9" s="131">
        <v>6775.0809011602914</v>
      </c>
      <c r="M9" s="131">
        <v>6775.0809011602914</v>
      </c>
      <c r="N9" s="131">
        <v>6775.0809011602914</v>
      </c>
      <c r="O9" s="131">
        <v>6775.0809011602914</v>
      </c>
      <c r="P9" s="131">
        <v>6725.3454616249692</v>
      </c>
      <c r="Q9" s="131">
        <v>6725.3454616249692</v>
      </c>
      <c r="R9" s="131">
        <v>6725.3454616249692</v>
      </c>
      <c r="S9" s="131">
        <v>6725.3454616249692</v>
      </c>
      <c r="T9" s="131">
        <v>6775.0809011602914</v>
      </c>
      <c r="U9" s="131">
        <v>6775.0809011602914</v>
      </c>
      <c r="V9" s="131">
        <v>6775.0809011602914</v>
      </c>
      <c r="W9" s="131">
        <v>6775.0809011602914</v>
      </c>
      <c r="X9" s="131">
        <v>6775.0809011602914</v>
      </c>
      <c r="Y9" s="131">
        <v>6775.0809011602914</v>
      </c>
      <c r="Z9" s="131">
        <v>6775.0809011602914</v>
      </c>
      <c r="AA9" s="131">
        <v>6775.0809011602914</v>
      </c>
      <c r="AB9" s="131">
        <v>6725.3454616249692</v>
      </c>
      <c r="AC9" s="131">
        <v>6436.4810029213022</v>
      </c>
      <c r="AD9" s="131">
        <v>6437.0175080419394</v>
      </c>
      <c r="AE9" s="131">
        <v>6437.5518142073724</v>
      </c>
      <c r="AF9" s="131">
        <v>6775.0809011602914</v>
      </c>
      <c r="AG9" s="131">
        <v>6775.0809011602914</v>
      </c>
      <c r="AH9" s="131">
        <v>6775.0809011602914</v>
      </c>
      <c r="AI9" s="131">
        <v>6775.0809011602914</v>
      </c>
      <c r="AJ9" s="131">
        <v>6775.0809011602914</v>
      </c>
      <c r="AK9" s="131">
        <v>6775.0809011602914</v>
      </c>
      <c r="AL9" s="131">
        <v>6775.0809011602914</v>
      </c>
      <c r="AM9" s="131">
        <v>6775.0809011602914</v>
      </c>
      <c r="AN9" s="131">
        <v>6961.5705422687006</v>
      </c>
      <c r="AO9" s="131">
        <v>6961.5705422687006</v>
      </c>
      <c r="AP9" s="131">
        <v>6961.5705422687006</v>
      </c>
      <c r="AQ9" s="131">
        <v>6961.5705422687006</v>
      </c>
      <c r="AR9" s="131">
        <v>6911.8351027333783</v>
      </c>
      <c r="AS9" s="131">
        <v>6911.8351027333783</v>
      </c>
      <c r="AT9" s="131">
        <v>6911.8351027333783</v>
      </c>
      <c r="AU9" s="131">
        <v>6911.8351027333783</v>
      </c>
      <c r="AV9" s="131">
        <v>6632.4622004035155</v>
      </c>
      <c r="AW9" s="131">
        <v>6632.4622004035155</v>
      </c>
      <c r="AX9" s="131">
        <v>6632.4622004035155</v>
      </c>
      <c r="AY9" s="131">
        <v>6632.4622004035155</v>
      </c>
    </row>
    <row r="10" spans="1:53" x14ac:dyDescent="0.2">
      <c r="A10" s="132" t="s">
        <v>133</v>
      </c>
      <c r="B10" s="133">
        <v>1</v>
      </c>
      <c r="C10" s="121" t="s">
        <v>293</v>
      </c>
      <c r="D10">
        <v>78.95146475989705</v>
      </c>
      <c r="E10">
        <v>563.04</v>
      </c>
      <c r="F10">
        <v>180</v>
      </c>
      <c r="G10">
        <v>525</v>
      </c>
      <c r="H10">
        <v>180</v>
      </c>
      <c r="I10">
        <v>510</v>
      </c>
      <c r="J10">
        <v>180</v>
      </c>
      <c r="K10">
        <v>510</v>
      </c>
      <c r="L10">
        <v>180</v>
      </c>
      <c r="M10">
        <v>525</v>
      </c>
      <c r="N10">
        <v>525</v>
      </c>
      <c r="O10">
        <v>345</v>
      </c>
      <c r="P10">
        <v>525</v>
      </c>
      <c r="Q10">
        <v>330</v>
      </c>
      <c r="R10">
        <v>180</v>
      </c>
      <c r="S10">
        <v>525</v>
      </c>
      <c r="T10">
        <v>525</v>
      </c>
      <c r="U10">
        <v>525</v>
      </c>
      <c r="V10">
        <v>180</v>
      </c>
      <c r="W10">
        <v>345</v>
      </c>
      <c r="X10">
        <v>525</v>
      </c>
      <c r="Y10">
        <v>525</v>
      </c>
      <c r="Z10">
        <v>525</v>
      </c>
      <c r="AA10">
        <v>345</v>
      </c>
      <c r="AB10">
        <v>525</v>
      </c>
      <c r="AC10">
        <v>525</v>
      </c>
      <c r="AD10">
        <v>180</v>
      </c>
      <c r="AE10">
        <v>510</v>
      </c>
      <c r="AF10">
        <v>180</v>
      </c>
      <c r="AG10">
        <v>345</v>
      </c>
      <c r="AH10">
        <v>180</v>
      </c>
      <c r="AI10">
        <v>525</v>
      </c>
      <c r="AJ10">
        <v>180</v>
      </c>
      <c r="AK10">
        <v>510</v>
      </c>
      <c r="AL10">
        <v>525</v>
      </c>
      <c r="AM10">
        <v>345</v>
      </c>
      <c r="AN10">
        <v>180</v>
      </c>
      <c r="AO10">
        <v>525</v>
      </c>
      <c r="AP10">
        <v>180</v>
      </c>
      <c r="AQ10">
        <v>345</v>
      </c>
      <c r="AR10">
        <v>180</v>
      </c>
      <c r="AS10">
        <v>510</v>
      </c>
      <c r="AT10">
        <v>180</v>
      </c>
      <c r="AU10">
        <v>345</v>
      </c>
      <c r="AV10">
        <v>525</v>
      </c>
      <c r="AW10">
        <v>345</v>
      </c>
      <c r="AX10">
        <v>180</v>
      </c>
      <c r="AY10">
        <v>345</v>
      </c>
      <c r="AZ10">
        <v>525</v>
      </c>
    </row>
    <row r="11" spans="1:53" x14ac:dyDescent="0.2">
      <c r="B11" s="133">
        <v>2</v>
      </c>
      <c r="C11" s="121" t="s">
        <v>293</v>
      </c>
      <c r="E11">
        <v>0</v>
      </c>
      <c r="F11">
        <v>0</v>
      </c>
      <c r="G11">
        <v>0</v>
      </c>
      <c r="H11">
        <v>0</v>
      </c>
      <c r="I11">
        <v>345</v>
      </c>
      <c r="K11">
        <v>345</v>
      </c>
      <c r="L11">
        <v>15</v>
      </c>
      <c r="O11">
        <v>0</v>
      </c>
      <c r="P11">
        <v>180</v>
      </c>
      <c r="R11">
        <v>195</v>
      </c>
      <c r="S11">
        <v>345</v>
      </c>
      <c r="T11">
        <v>0</v>
      </c>
      <c r="U11">
        <v>0</v>
      </c>
      <c r="W11">
        <v>345</v>
      </c>
      <c r="X11">
        <v>180</v>
      </c>
      <c r="AB11">
        <v>180</v>
      </c>
      <c r="AC11">
        <v>0</v>
      </c>
      <c r="AD11">
        <v>0</v>
      </c>
      <c r="AE11">
        <v>345</v>
      </c>
      <c r="AF11">
        <v>15</v>
      </c>
      <c r="AG11">
        <v>345</v>
      </c>
      <c r="AH11">
        <v>180</v>
      </c>
      <c r="AI11">
        <v>0</v>
      </c>
      <c r="AK11">
        <v>345</v>
      </c>
      <c r="AL11">
        <v>15</v>
      </c>
      <c r="AM11">
        <v>0</v>
      </c>
      <c r="AN11">
        <v>180</v>
      </c>
      <c r="AO11">
        <v>0</v>
      </c>
      <c r="AQ11">
        <v>345</v>
      </c>
      <c r="AR11">
        <v>180</v>
      </c>
      <c r="AS11">
        <v>0</v>
      </c>
      <c r="AT11">
        <v>15</v>
      </c>
      <c r="AU11">
        <v>345</v>
      </c>
      <c r="AV11">
        <v>180</v>
      </c>
      <c r="AW11">
        <v>0</v>
      </c>
      <c r="AX11">
        <v>180</v>
      </c>
      <c r="AY11">
        <v>345</v>
      </c>
      <c r="AZ11">
        <v>180</v>
      </c>
      <c r="BA11">
        <v>0</v>
      </c>
    </row>
    <row r="12" spans="1:53" x14ac:dyDescent="0.2">
      <c r="B12" s="134">
        <v>3</v>
      </c>
      <c r="C12" s="121" t="s">
        <v>293</v>
      </c>
      <c r="F12">
        <v>140.09322600000002</v>
      </c>
      <c r="H12">
        <v>345</v>
      </c>
      <c r="K12">
        <v>15</v>
      </c>
      <c r="N12">
        <v>345</v>
      </c>
      <c r="O12">
        <v>0</v>
      </c>
      <c r="W12">
        <v>0</v>
      </c>
      <c r="AA12">
        <v>0</v>
      </c>
      <c r="AF12">
        <v>0</v>
      </c>
      <c r="AH12">
        <v>0</v>
      </c>
      <c r="AJ12">
        <v>345</v>
      </c>
      <c r="AP12">
        <v>345</v>
      </c>
      <c r="AT12">
        <v>345</v>
      </c>
    </row>
    <row r="13" spans="1:53" x14ac:dyDescent="0.2">
      <c r="B13" s="134">
        <v>4</v>
      </c>
      <c r="C13" s="121" t="s">
        <v>293</v>
      </c>
    </row>
    <row r="14" spans="1:53" x14ac:dyDescent="0.2">
      <c r="A14" s="129" t="s">
        <v>134</v>
      </c>
      <c r="B14" s="135">
        <v>1</v>
      </c>
      <c r="C14" s="131" t="s">
        <v>293</v>
      </c>
      <c r="D14" s="131">
        <v>725.06963139446816</v>
      </c>
      <c r="E14" s="131">
        <f t="shared" ref="E14:AZ14" si="0">D$172*SUM(D$122:D$169)</f>
        <v>418.13582593295291</v>
      </c>
      <c r="F14" s="131">
        <f t="shared" si="0"/>
        <v>98.244506543299124</v>
      </c>
      <c r="G14" s="131">
        <f t="shared" si="0"/>
        <v>84.057800832886102</v>
      </c>
      <c r="H14" s="131">
        <f t="shared" si="0"/>
        <v>84.057800832886102</v>
      </c>
      <c r="I14" s="131">
        <f t="shared" si="0"/>
        <v>84.057800832886102</v>
      </c>
      <c r="J14" s="131">
        <f t="shared" si="0"/>
        <v>84.057800832886102</v>
      </c>
      <c r="K14" s="131">
        <f t="shared" si="0"/>
        <v>84.057800832886102</v>
      </c>
      <c r="L14" s="131">
        <f t="shared" si="0"/>
        <v>84.057800832886102</v>
      </c>
      <c r="M14" s="131">
        <f t="shared" si="0"/>
        <v>84.057800832886102</v>
      </c>
      <c r="N14" s="131">
        <f t="shared" si="0"/>
        <v>84.057800832886102</v>
      </c>
      <c r="O14" s="131">
        <f t="shared" si="0"/>
        <v>84.057800832886102</v>
      </c>
      <c r="P14" s="131">
        <f t="shared" si="0"/>
        <v>84.057800832886102</v>
      </c>
      <c r="Q14" s="131">
        <f t="shared" si="0"/>
        <v>84.057800832886102</v>
      </c>
      <c r="R14" s="131">
        <f t="shared" si="0"/>
        <v>84.057800832886102</v>
      </c>
      <c r="S14" s="131">
        <f t="shared" si="0"/>
        <v>84.057800832886102</v>
      </c>
      <c r="T14" s="131">
        <f t="shared" si="0"/>
        <v>84.057800832886102</v>
      </c>
      <c r="U14" s="131">
        <f t="shared" si="0"/>
        <v>84.057800832886102</v>
      </c>
      <c r="V14" s="131">
        <f t="shared" si="0"/>
        <v>84.057800832886102</v>
      </c>
      <c r="W14" s="131">
        <f t="shared" si="0"/>
        <v>84.057800832886102</v>
      </c>
      <c r="X14" s="131">
        <f t="shared" si="0"/>
        <v>84.057800832886102</v>
      </c>
      <c r="Y14" s="131">
        <f t="shared" si="0"/>
        <v>84.057800832886102</v>
      </c>
      <c r="Z14" s="131">
        <f t="shared" si="0"/>
        <v>84.057800832886102</v>
      </c>
      <c r="AA14" s="131">
        <f t="shared" si="0"/>
        <v>84.057800832886102</v>
      </c>
      <c r="AB14" s="131">
        <f t="shared" si="0"/>
        <v>84.057800832886102</v>
      </c>
      <c r="AC14" s="131">
        <f t="shared" si="0"/>
        <v>84.057800832886102</v>
      </c>
      <c r="AD14" s="131">
        <f t="shared" si="0"/>
        <v>84.057800832886102</v>
      </c>
      <c r="AE14" s="131">
        <f t="shared" si="0"/>
        <v>84.057800832886102</v>
      </c>
      <c r="AF14" s="131">
        <f t="shared" si="0"/>
        <v>84.057800832886102</v>
      </c>
      <c r="AG14" s="131">
        <f t="shared" si="0"/>
        <v>84.057800832886102</v>
      </c>
      <c r="AH14" s="131">
        <f t="shared" si="0"/>
        <v>84.057800832886102</v>
      </c>
      <c r="AI14" s="131">
        <f t="shared" si="0"/>
        <v>84.057800832886102</v>
      </c>
      <c r="AJ14" s="131">
        <f t="shared" si="0"/>
        <v>84.057800832886102</v>
      </c>
      <c r="AK14" s="131">
        <f t="shared" si="0"/>
        <v>84.057800832886102</v>
      </c>
      <c r="AL14" s="131">
        <f t="shared" si="0"/>
        <v>84.057800832886102</v>
      </c>
      <c r="AM14" s="131">
        <f t="shared" si="0"/>
        <v>84.057800832886102</v>
      </c>
      <c r="AN14" s="131">
        <f t="shared" si="0"/>
        <v>84.057800832886102</v>
      </c>
      <c r="AO14" s="131">
        <f t="shared" si="0"/>
        <v>84.057800832886102</v>
      </c>
      <c r="AP14" s="131">
        <f t="shared" si="0"/>
        <v>84.057800832886102</v>
      </c>
      <c r="AQ14" s="131">
        <f t="shared" si="0"/>
        <v>84.057800832886102</v>
      </c>
      <c r="AR14" s="131">
        <f t="shared" si="0"/>
        <v>84.057800832886102</v>
      </c>
      <c r="AS14" s="131">
        <f t="shared" si="0"/>
        <v>84.057800832886102</v>
      </c>
      <c r="AT14" s="131">
        <f t="shared" si="0"/>
        <v>84.057800832886102</v>
      </c>
      <c r="AU14" s="131">
        <f t="shared" si="0"/>
        <v>84.057800832886102</v>
      </c>
      <c r="AV14" s="131">
        <f t="shared" si="0"/>
        <v>84.057800832886102</v>
      </c>
      <c r="AW14" s="131">
        <f t="shared" si="0"/>
        <v>84.057800832886102</v>
      </c>
      <c r="AX14" s="131">
        <f t="shared" si="0"/>
        <v>84.057800832886102</v>
      </c>
      <c r="AY14" s="131">
        <f t="shared" si="0"/>
        <v>84.057800832886102</v>
      </c>
      <c r="AZ14" s="125">
        <f t="shared" si="0"/>
        <v>84.057800832886102</v>
      </c>
      <c r="BA14" s="122">
        <f>SUM($E14:$AZ14)</f>
        <v>4383.039170789014</v>
      </c>
    </row>
    <row r="15" spans="1:53" x14ac:dyDescent="0.2">
      <c r="A15" s="136" t="s">
        <v>123</v>
      </c>
      <c r="B15" s="137">
        <v>1</v>
      </c>
      <c r="C15" s="138" t="s">
        <v>293</v>
      </c>
      <c r="D15" s="138">
        <v>206.95974463835506</v>
      </c>
      <c r="E15" s="138">
        <v>206.95974463835506</v>
      </c>
      <c r="F15" s="138">
        <v>206.95974463835506</v>
      </c>
      <c r="G15" s="138">
        <v>206.95974463835506</v>
      </c>
      <c r="H15" s="138">
        <v>206.95974463835506</v>
      </c>
      <c r="I15" s="138">
        <v>206.95974463835506</v>
      </c>
      <c r="J15" s="138">
        <v>206.95974463835506</v>
      </c>
      <c r="K15" s="138">
        <v>206.95974463835506</v>
      </c>
      <c r="L15" s="138">
        <v>206.95974463835506</v>
      </c>
      <c r="M15" s="138">
        <v>206.95974463835506</v>
      </c>
      <c r="N15" s="138">
        <v>206.95974463835506</v>
      </c>
      <c r="O15" s="138">
        <v>206.95974463835506</v>
      </c>
      <c r="P15" s="138">
        <v>206.95974463835506</v>
      </c>
      <c r="Q15" s="138">
        <v>206.95974463835506</v>
      </c>
      <c r="R15" s="138">
        <v>206.95974463835506</v>
      </c>
      <c r="S15" s="138">
        <v>206.95974463835506</v>
      </c>
      <c r="T15" s="138">
        <v>206.95974463835506</v>
      </c>
      <c r="U15" s="138">
        <v>206.95974463835506</v>
      </c>
      <c r="V15" s="138">
        <v>206.95974463835506</v>
      </c>
      <c r="W15" s="138">
        <v>206.95974463835506</v>
      </c>
      <c r="X15" s="138">
        <v>206.95974463835506</v>
      </c>
      <c r="Y15" s="138">
        <v>206.95974463835506</v>
      </c>
      <c r="Z15" s="138">
        <v>206.95974463835506</v>
      </c>
      <c r="AA15" s="138">
        <v>206.95974463835506</v>
      </c>
      <c r="AB15" s="138">
        <v>206.95974463835506</v>
      </c>
      <c r="AC15" s="138">
        <v>206.95974463835506</v>
      </c>
      <c r="AD15" s="138">
        <v>206.95974463835506</v>
      </c>
      <c r="AE15" s="138">
        <v>206.95974463835506</v>
      </c>
      <c r="AF15" s="138">
        <v>206.95974463835506</v>
      </c>
      <c r="AG15" s="138">
        <v>206.95974463835506</v>
      </c>
      <c r="AH15" s="138">
        <v>206.95974463835506</v>
      </c>
      <c r="AI15" s="138">
        <v>206.95974463835506</v>
      </c>
      <c r="AJ15" s="138">
        <v>206.95974463835506</v>
      </c>
      <c r="AK15" s="138">
        <v>206.95974463835506</v>
      </c>
      <c r="AL15" s="138">
        <v>206.95974463835506</v>
      </c>
      <c r="AM15" s="138">
        <v>206.95974463835506</v>
      </c>
      <c r="AN15" s="138">
        <v>206.95974463835506</v>
      </c>
      <c r="AO15" s="138">
        <v>206.95974463835506</v>
      </c>
      <c r="AP15" s="138">
        <v>206.95974463835506</v>
      </c>
      <c r="AQ15" s="138">
        <v>206.95974463835506</v>
      </c>
      <c r="AR15" s="138">
        <v>206.95974463835506</v>
      </c>
      <c r="AS15" s="138">
        <v>206.95974463835506</v>
      </c>
      <c r="AT15" s="138">
        <v>206.95974463835506</v>
      </c>
      <c r="AU15" s="138">
        <v>206.95974463835506</v>
      </c>
      <c r="AV15" s="138">
        <v>206.95974463835506</v>
      </c>
      <c r="AW15" s="138">
        <v>206.95974463835506</v>
      </c>
      <c r="AX15" s="138">
        <v>206.95974463835506</v>
      </c>
      <c r="AY15" s="138">
        <v>206.95974463835506</v>
      </c>
      <c r="AZ15">
        <v>0</v>
      </c>
    </row>
    <row r="16" spans="1:53" x14ac:dyDescent="0.2">
      <c r="A16" s="125"/>
      <c r="B16" s="133">
        <v>2</v>
      </c>
      <c r="C16" s="124" t="s">
        <v>293</v>
      </c>
      <c r="D16" s="121"/>
      <c r="E16" s="125">
        <v>0</v>
      </c>
      <c r="F16" s="125">
        <v>0</v>
      </c>
      <c r="G16" s="125">
        <v>0</v>
      </c>
      <c r="H16" s="125">
        <v>0</v>
      </c>
      <c r="I16" s="125">
        <v>0</v>
      </c>
      <c r="J16" s="125"/>
      <c r="K16" s="125">
        <v>0</v>
      </c>
      <c r="L16" s="125">
        <v>0</v>
      </c>
      <c r="M16" s="125"/>
      <c r="N16" s="125"/>
      <c r="O16" s="125">
        <v>0</v>
      </c>
      <c r="P16" s="125">
        <v>0</v>
      </c>
      <c r="Q16" s="125"/>
      <c r="R16" s="125">
        <v>0</v>
      </c>
      <c r="S16" s="125">
        <v>0</v>
      </c>
      <c r="T16" s="125">
        <v>0</v>
      </c>
      <c r="U16" s="125">
        <v>0</v>
      </c>
      <c r="V16" s="125"/>
      <c r="W16" s="125">
        <v>0</v>
      </c>
      <c r="X16" s="125">
        <v>0</v>
      </c>
      <c r="Y16" s="125"/>
      <c r="Z16" s="125"/>
      <c r="AA16" s="125"/>
      <c r="AB16" s="125">
        <v>0</v>
      </c>
      <c r="AC16" s="125">
        <v>0</v>
      </c>
      <c r="AD16" s="125">
        <v>0</v>
      </c>
      <c r="AE16" s="125">
        <v>0</v>
      </c>
      <c r="AF16" s="125">
        <v>0</v>
      </c>
      <c r="AG16" s="125">
        <v>0</v>
      </c>
      <c r="AH16" s="125">
        <v>0</v>
      </c>
      <c r="AI16" s="125">
        <v>0</v>
      </c>
      <c r="AJ16" s="125"/>
      <c r="AK16" s="125">
        <v>0</v>
      </c>
      <c r="AL16" s="125">
        <v>0</v>
      </c>
      <c r="AM16" s="125">
        <v>0</v>
      </c>
      <c r="AN16" s="125">
        <v>0</v>
      </c>
      <c r="AO16" s="125">
        <v>0</v>
      </c>
      <c r="AP16" s="125"/>
      <c r="AQ16" s="125">
        <v>0</v>
      </c>
      <c r="AR16" s="125">
        <v>0</v>
      </c>
      <c r="AS16" s="125">
        <v>0</v>
      </c>
      <c r="AT16" s="125">
        <v>0</v>
      </c>
      <c r="AU16" s="125">
        <v>0</v>
      </c>
      <c r="AV16" s="125">
        <v>0</v>
      </c>
      <c r="AW16" s="125">
        <v>0</v>
      </c>
      <c r="AX16" s="125">
        <v>0</v>
      </c>
      <c r="AY16" s="125">
        <v>0</v>
      </c>
      <c r="AZ16">
        <v>0</v>
      </c>
      <c r="BA16">
        <v>0</v>
      </c>
    </row>
    <row r="17" spans="1:51" x14ac:dyDescent="0.2">
      <c r="A17" s="125"/>
      <c r="B17" s="133">
        <v>3</v>
      </c>
      <c r="C17" s="124" t="s">
        <v>293</v>
      </c>
      <c r="D17" s="121"/>
      <c r="E17" s="125"/>
      <c r="F17" s="125">
        <v>0</v>
      </c>
      <c r="G17" s="125"/>
      <c r="H17" s="125">
        <v>0</v>
      </c>
      <c r="I17" s="125"/>
      <c r="J17" s="125"/>
      <c r="K17" s="125">
        <v>0</v>
      </c>
      <c r="L17" s="125"/>
      <c r="M17" s="125"/>
      <c r="N17" s="125">
        <v>0</v>
      </c>
      <c r="O17" s="125">
        <v>0</v>
      </c>
      <c r="P17" s="125"/>
      <c r="Q17" s="125"/>
      <c r="R17" s="125"/>
      <c r="S17" s="125"/>
      <c r="T17" s="125"/>
      <c r="U17" s="125"/>
      <c r="V17" s="125"/>
      <c r="W17" s="125">
        <v>0</v>
      </c>
      <c r="X17" s="125"/>
      <c r="Y17" s="125"/>
      <c r="Z17" s="125"/>
      <c r="AA17" s="125">
        <v>0</v>
      </c>
      <c r="AB17" s="125"/>
      <c r="AC17" s="125"/>
      <c r="AD17" s="125"/>
      <c r="AE17" s="125"/>
      <c r="AF17" s="125">
        <v>0</v>
      </c>
      <c r="AG17" s="125"/>
      <c r="AH17" s="125">
        <v>0</v>
      </c>
      <c r="AI17" s="125"/>
      <c r="AJ17" s="125">
        <v>0</v>
      </c>
      <c r="AK17" s="125"/>
      <c r="AL17" s="125"/>
      <c r="AM17" s="125"/>
      <c r="AN17" s="125"/>
      <c r="AO17" s="125"/>
      <c r="AP17" s="125">
        <v>0</v>
      </c>
      <c r="AQ17" s="125"/>
      <c r="AR17" s="125"/>
      <c r="AS17" s="125"/>
      <c r="AT17" s="125">
        <v>0</v>
      </c>
      <c r="AU17" s="125"/>
      <c r="AV17" s="125"/>
      <c r="AW17" s="125"/>
      <c r="AX17" s="125"/>
      <c r="AY17" s="125"/>
    </row>
    <row r="18" spans="1:51" x14ac:dyDescent="0.2">
      <c r="A18" s="139"/>
      <c r="B18" s="130">
        <v>4</v>
      </c>
      <c r="C18" s="139" t="s">
        <v>293</v>
      </c>
      <c r="D18" s="139"/>
      <c r="E18" s="139"/>
      <c r="F18" s="139"/>
      <c r="G18" s="139"/>
      <c r="H18" s="139"/>
      <c r="I18" s="139"/>
      <c r="J18" s="139"/>
      <c r="K18" s="139"/>
      <c r="L18" s="139"/>
      <c r="M18" s="139"/>
      <c r="N18" s="139"/>
      <c r="O18" s="139"/>
      <c r="P18" s="139"/>
      <c r="Q18" s="139"/>
      <c r="R18" s="139"/>
      <c r="S18" s="139"/>
      <c r="T18" s="139"/>
      <c r="U18" s="139"/>
      <c r="V18" s="139"/>
      <c r="W18" s="139"/>
      <c r="X18" s="139"/>
      <c r="Y18" s="139"/>
      <c r="Z18" s="139"/>
      <c r="AA18" s="139"/>
      <c r="AB18" s="139"/>
      <c r="AC18" s="139"/>
      <c r="AD18" s="139"/>
      <c r="AE18" s="139"/>
      <c r="AF18" s="139"/>
      <c r="AG18" s="139"/>
      <c r="AH18" s="139"/>
      <c r="AI18" s="139"/>
      <c r="AJ18" s="139"/>
      <c r="AK18" s="139"/>
      <c r="AL18" s="139"/>
      <c r="AM18" s="139"/>
      <c r="AN18" s="139"/>
      <c r="AO18" s="139"/>
      <c r="AP18" s="139"/>
      <c r="AQ18" s="139"/>
      <c r="AR18" s="139"/>
      <c r="AS18" s="139"/>
      <c r="AT18" s="139"/>
      <c r="AU18" s="139"/>
      <c r="AV18" s="139"/>
      <c r="AW18" s="139"/>
      <c r="AX18" s="139"/>
      <c r="AY18" s="139"/>
    </row>
    <row r="20" spans="1:51" x14ac:dyDescent="0.2">
      <c r="A20" s="1" t="s">
        <v>294</v>
      </c>
    </row>
    <row r="21" spans="1:51" x14ac:dyDescent="0.2">
      <c r="A21" s="140" t="s">
        <v>125</v>
      </c>
      <c r="B21" s="137">
        <v>1</v>
      </c>
      <c r="C21" s="138" t="s">
        <v>293</v>
      </c>
      <c r="D21" s="138"/>
      <c r="E21" s="138"/>
      <c r="F21" s="138"/>
      <c r="G21" s="138"/>
      <c r="H21" s="138"/>
      <c r="I21" s="138"/>
      <c r="J21" s="138"/>
      <c r="K21" s="138"/>
      <c r="L21" s="138"/>
      <c r="M21" s="138"/>
      <c r="N21" s="138"/>
      <c r="O21" s="138"/>
      <c r="P21" s="138"/>
      <c r="Q21" s="138"/>
      <c r="R21" s="138"/>
      <c r="S21" s="138"/>
      <c r="T21" s="138"/>
      <c r="U21" s="138"/>
      <c r="V21" s="138"/>
      <c r="W21" s="138"/>
      <c r="X21" s="138"/>
      <c r="Y21" s="138"/>
      <c r="Z21" s="138"/>
      <c r="AA21" s="138"/>
      <c r="AB21" s="138"/>
      <c r="AC21" s="138"/>
      <c r="AD21" s="138"/>
      <c r="AE21" s="138"/>
      <c r="AF21" s="138"/>
      <c r="AG21" s="138"/>
      <c r="AH21" s="138"/>
      <c r="AI21" s="138"/>
      <c r="AJ21" s="138"/>
      <c r="AK21" s="138"/>
      <c r="AL21" s="138"/>
      <c r="AM21" s="138"/>
      <c r="AN21" s="138"/>
      <c r="AO21" s="138"/>
      <c r="AP21" s="138"/>
      <c r="AQ21" s="138"/>
      <c r="AR21" s="138"/>
      <c r="AS21" s="138"/>
      <c r="AT21" s="138"/>
      <c r="AU21" s="138"/>
      <c r="AV21" s="138"/>
      <c r="AW21" s="138"/>
      <c r="AX21" s="138"/>
      <c r="AY21" s="138"/>
    </row>
    <row r="22" spans="1:51" x14ac:dyDescent="0.2">
      <c r="A22" s="124"/>
      <c r="B22" s="134">
        <v>2</v>
      </c>
      <c r="C22" s="125" t="s">
        <v>293</v>
      </c>
      <c r="D22" s="125"/>
      <c r="E22" s="125"/>
      <c r="F22" s="125"/>
      <c r="G22" s="125"/>
      <c r="H22" s="125"/>
      <c r="I22" s="125"/>
      <c r="J22" s="125"/>
      <c r="K22" s="125"/>
      <c r="L22" s="125"/>
      <c r="M22" s="125"/>
      <c r="N22" s="125"/>
      <c r="O22" s="125"/>
      <c r="P22" s="125"/>
      <c r="Q22" s="125"/>
      <c r="R22" s="125"/>
      <c r="S22" s="125"/>
      <c r="T22" s="125"/>
      <c r="U22" s="125"/>
      <c r="V22" s="125"/>
      <c r="W22" s="125"/>
      <c r="X22" s="125"/>
      <c r="Y22" s="125"/>
      <c r="Z22" s="125"/>
      <c r="AA22" s="125"/>
      <c r="AB22" s="125"/>
      <c r="AC22" s="125"/>
      <c r="AD22" s="125"/>
      <c r="AE22" s="125"/>
      <c r="AF22" s="125"/>
      <c r="AG22" s="125"/>
      <c r="AH22" s="125"/>
      <c r="AI22" s="125"/>
      <c r="AJ22" s="125"/>
      <c r="AK22" s="125"/>
      <c r="AL22" s="125"/>
      <c r="AM22" s="125"/>
      <c r="AN22" s="125"/>
      <c r="AO22" s="125"/>
      <c r="AP22" s="125"/>
      <c r="AQ22" s="125"/>
      <c r="AR22" s="125"/>
      <c r="AS22" s="125"/>
      <c r="AT22" s="125"/>
      <c r="AU22" s="125"/>
      <c r="AV22" s="125"/>
      <c r="AW22" s="125"/>
      <c r="AX22" s="125"/>
      <c r="AY22" s="125"/>
    </row>
    <row r="23" spans="1:51" x14ac:dyDescent="0.2">
      <c r="A23" s="124"/>
      <c r="B23" s="141">
        <v>3</v>
      </c>
      <c r="C23" s="125" t="s">
        <v>293</v>
      </c>
      <c r="D23" s="125"/>
      <c r="E23" s="125"/>
      <c r="F23" s="125"/>
      <c r="G23" s="125"/>
      <c r="H23" s="125"/>
      <c r="I23" s="125"/>
      <c r="J23" s="125"/>
      <c r="K23" s="125"/>
      <c r="L23" s="125"/>
      <c r="M23" s="125"/>
      <c r="N23" s="125"/>
      <c r="O23" s="125"/>
      <c r="P23" s="125"/>
      <c r="Q23" s="125"/>
      <c r="R23" s="125"/>
      <c r="S23" s="125"/>
      <c r="T23" s="125"/>
      <c r="U23" s="125"/>
      <c r="V23" s="125"/>
      <c r="W23" s="125"/>
      <c r="X23" s="125"/>
      <c r="Y23" s="125"/>
      <c r="Z23" s="125"/>
      <c r="AA23" s="125"/>
      <c r="AB23" s="125"/>
      <c r="AC23" s="125"/>
      <c r="AD23" s="125"/>
      <c r="AE23" s="125"/>
      <c r="AF23" s="125"/>
      <c r="AG23" s="125"/>
      <c r="AH23" s="125"/>
      <c r="AI23" s="125"/>
      <c r="AJ23" s="125"/>
      <c r="AK23" s="125"/>
      <c r="AL23" s="125"/>
      <c r="AM23" s="125"/>
      <c r="AN23" s="125"/>
      <c r="AO23" s="125"/>
      <c r="AP23" s="125"/>
      <c r="AQ23" s="125"/>
      <c r="AR23" s="125"/>
      <c r="AS23" s="125"/>
      <c r="AT23" s="125"/>
      <c r="AU23" s="125"/>
      <c r="AV23" s="125"/>
      <c r="AW23" s="125"/>
      <c r="AX23" s="125"/>
      <c r="AY23" s="125"/>
    </row>
    <row r="24" spans="1:51" x14ac:dyDescent="0.2">
      <c r="A24" s="142"/>
      <c r="B24" s="143">
        <v>4</v>
      </c>
      <c r="C24" s="142" t="s">
        <v>293</v>
      </c>
      <c r="D24" s="139">
        <v>0</v>
      </c>
      <c r="E24" s="139">
        <v>0</v>
      </c>
      <c r="F24" s="139">
        <v>0</v>
      </c>
      <c r="G24" s="139">
        <v>0</v>
      </c>
      <c r="H24" s="139">
        <v>0</v>
      </c>
      <c r="I24" s="139">
        <v>0</v>
      </c>
      <c r="J24" s="139">
        <v>0</v>
      </c>
      <c r="K24" s="139">
        <v>0</v>
      </c>
      <c r="L24" s="139">
        <v>0</v>
      </c>
      <c r="M24" s="139">
        <v>0</v>
      </c>
      <c r="N24" s="139">
        <v>0</v>
      </c>
      <c r="O24" s="139">
        <v>0</v>
      </c>
      <c r="P24" s="139">
        <v>0</v>
      </c>
      <c r="Q24" s="139">
        <v>0</v>
      </c>
      <c r="R24" s="139">
        <v>0</v>
      </c>
      <c r="S24" s="139">
        <v>0</v>
      </c>
      <c r="T24" s="139">
        <v>0</v>
      </c>
      <c r="U24" s="139">
        <v>0</v>
      </c>
      <c r="V24" s="139">
        <v>0</v>
      </c>
      <c r="W24" s="139">
        <v>0</v>
      </c>
      <c r="X24" s="139">
        <v>0</v>
      </c>
      <c r="Y24" s="139">
        <v>0</v>
      </c>
      <c r="Z24" s="139">
        <v>0</v>
      </c>
      <c r="AA24" s="139">
        <v>0</v>
      </c>
      <c r="AB24" s="139">
        <v>0</v>
      </c>
      <c r="AC24" s="139">
        <v>0</v>
      </c>
      <c r="AD24" s="139">
        <v>0</v>
      </c>
      <c r="AE24" s="139">
        <v>0</v>
      </c>
      <c r="AF24" s="139">
        <v>0</v>
      </c>
      <c r="AG24" s="139">
        <v>0</v>
      </c>
      <c r="AH24" s="139">
        <v>0</v>
      </c>
      <c r="AI24" s="139">
        <v>0</v>
      </c>
      <c r="AJ24" s="139">
        <v>0</v>
      </c>
      <c r="AK24" s="139">
        <v>0</v>
      </c>
      <c r="AL24" s="139">
        <v>0</v>
      </c>
      <c r="AM24" s="139">
        <v>0</v>
      </c>
      <c r="AN24" s="139">
        <v>0</v>
      </c>
      <c r="AO24" s="139">
        <v>0</v>
      </c>
      <c r="AP24" s="139">
        <v>0</v>
      </c>
      <c r="AQ24" s="139">
        <v>0</v>
      </c>
      <c r="AR24" s="139">
        <v>0</v>
      </c>
      <c r="AS24" s="139">
        <v>0</v>
      </c>
      <c r="AT24" s="139">
        <v>0</v>
      </c>
      <c r="AU24" s="139">
        <v>0</v>
      </c>
      <c r="AV24" s="139">
        <v>0</v>
      </c>
      <c r="AW24" s="139">
        <v>0</v>
      </c>
      <c r="AX24" s="139">
        <v>0</v>
      </c>
      <c r="AY24" s="139">
        <v>0</v>
      </c>
    </row>
    <row r="25" spans="1:51" x14ac:dyDescent="0.2">
      <c r="A25" s="140" t="s">
        <v>133</v>
      </c>
      <c r="B25" s="137">
        <v>1</v>
      </c>
      <c r="C25" s="124" t="s">
        <v>293</v>
      </c>
      <c r="D25" s="125"/>
      <c r="E25" s="125"/>
      <c r="F25" s="125"/>
      <c r="G25" s="125"/>
      <c r="H25" s="125"/>
      <c r="I25" s="125"/>
      <c r="J25" s="125"/>
      <c r="K25" s="125"/>
      <c r="L25" s="125"/>
      <c r="M25" s="125"/>
      <c r="N25" s="125"/>
      <c r="O25" s="125"/>
      <c r="P25" s="125"/>
      <c r="Q25" s="125"/>
      <c r="R25" s="125"/>
      <c r="S25" s="125"/>
      <c r="T25" s="125"/>
      <c r="U25" s="125"/>
      <c r="V25" s="125"/>
      <c r="W25" s="125"/>
      <c r="X25" s="125"/>
      <c r="Y25" s="125"/>
      <c r="Z25" s="125"/>
      <c r="AA25" s="125"/>
      <c r="AB25" s="125"/>
      <c r="AC25" s="125"/>
      <c r="AD25" s="125"/>
      <c r="AE25" s="125"/>
      <c r="AF25" s="125"/>
      <c r="AG25" s="125"/>
      <c r="AH25" s="125"/>
      <c r="AI25" s="125"/>
      <c r="AJ25" s="125"/>
      <c r="AK25" s="125"/>
      <c r="AL25" s="125"/>
      <c r="AM25" s="125"/>
      <c r="AN25" s="125"/>
      <c r="AO25" s="125"/>
      <c r="AP25" s="125"/>
      <c r="AQ25" s="125"/>
      <c r="AR25" s="125"/>
      <c r="AS25" s="125"/>
      <c r="AT25" s="125"/>
      <c r="AU25" s="125"/>
      <c r="AV25" s="125"/>
      <c r="AW25" s="125"/>
      <c r="AX25" s="125"/>
      <c r="AY25" s="125"/>
    </row>
    <row r="26" spans="1:51" x14ac:dyDescent="0.2">
      <c r="A26" s="124"/>
      <c r="B26" s="133">
        <v>2</v>
      </c>
      <c r="C26" s="124" t="s">
        <v>293</v>
      </c>
      <c r="D26" s="125"/>
      <c r="E26" s="125"/>
      <c r="F26" s="125"/>
      <c r="G26" s="125"/>
      <c r="H26" s="125"/>
      <c r="I26" s="125"/>
      <c r="J26" s="125"/>
      <c r="K26" s="125"/>
      <c r="L26" s="125"/>
      <c r="M26" s="125"/>
      <c r="N26" s="125"/>
      <c r="O26" s="125"/>
      <c r="P26" s="125"/>
      <c r="Q26" s="125"/>
      <c r="R26" s="125"/>
      <c r="S26" s="125"/>
      <c r="T26" s="125"/>
      <c r="U26" s="125"/>
      <c r="V26" s="125"/>
      <c r="W26" s="125"/>
      <c r="X26" s="125"/>
      <c r="Y26" s="125"/>
      <c r="Z26" s="125"/>
      <c r="AA26" s="125"/>
      <c r="AB26" s="125"/>
      <c r="AC26" s="125"/>
      <c r="AD26" s="125"/>
      <c r="AE26" s="125"/>
      <c r="AF26" s="125"/>
      <c r="AG26" s="125"/>
      <c r="AH26" s="125"/>
      <c r="AI26" s="125"/>
      <c r="AJ26" s="125"/>
      <c r="AK26" s="125"/>
      <c r="AL26" s="125"/>
      <c r="AM26" s="125"/>
      <c r="AN26" s="125"/>
      <c r="AO26" s="125"/>
      <c r="AP26" s="125"/>
      <c r="AQ26" s="125"/>
      <c r="AR26" s="125"/>
      <c r="AS26" s="125"/>
      <c r="AT26" s="125"/>
      <c r="AU26" s="125"/>
      <c r="AV26" s="125"/>
      <c r="AW26" s="125"/>
      <c r="AX26" s="125"/>
      <c r="AY26" s="125"/>
    </row>
    <row r="27" spans="1:51" x14ac:dyDescent="0.2">
      <c r="A27" s="124"/>
      <c r="B27" s="134">
        <v>3</v>
      </c>
      <c r="C27" s="124" t="s">
        <v>293</v>
      </c>
      <c r="D27" s="125"/>
      <c r="E27" s="125"/>
      <c r="F27" s="125"/>
      <c r="G27" s="125"/>
      <c r="H27" s="125"/>
      <c r="I27" s="125"/>
      <c r="J27" s="125"/>
      <c r="K27" s="125"/>
      <c r="L27" s="125"/>
      <c r="M27" s="125"/>
      <c r="N27" s="125"/>
      <c r="O27" s="125"/>
      <c r="P27" s="125"/>
      <c r="Q27" s="125"/>
      <c r="R27" s="125"/>
      <c r="S27" s="125"/>
      <c r="T27" s="125"/>
      <c r="U27" s="125"/>
      <c r="V27" s="125"/>
      <c r="W27" s="125"/>
      <c r="X27" s="125"/>
      <c r="Y27" s="125"/>
      <c r="Z27" s="125"/>
      <c r="AA27" s="125"/>
      <c r="AB27" s="125"/>
      <c r="AC27" s="125"/>
      <c r="AD27" s="125"/>
      <c r="AE27" s="125"/>
      <c r="AF27" s="125"/>
      <c r="AG27" s="125"/>
      <c r="AH27" s="125"/>
      <c r="AI27" s="125"/>
      <c r="AJ27" s="125"/>
      <c r="AK27" s="125"/>
      <c r="AL27" s="125"/>
      <c r="AM27" s="125"/>
      <c r="AN27" s="125"/>
      <c r="AO27" s="125"/>
      <c r="AP27" s="125"/>
      <c r="AQ27" s="125"/>
      <c r="AR27" s="125"/>
      <c r="AS27" s="125"/>
      <c r="AT27" s="125"/>
      <c r="AU27" s="125"/>
      <c r="AV27" s="125"/>
      <c r="AW27" s="125"/>
      <c r="AX27" s="125"/>
      <c r="AY27" s="125"/>
    </row>
    <row r="28" spans="1:51" x14ac:dyDescent="0.2">
      <c r="A28" s="124"/>
      <c r="B28" s="134">
        <v>4</v>
      </c>
      <c r="C28" s="124" t="s">
        <v>293</v>
      </c>
      <c r="D28" s="125"/>
      <c r="E28" s="125"/>
      <c r="F28" s="125"/>
      <c r="G28" s="125"/>
      <c r="H28" s="125"/>
      <c r="I28" s="125"/>
      <c r="J28" s="125"/>
      <c r="K28" s="125"/>
      <c r="L28" s="125"/>
      <c r="M28" s="125"/>
      <c r="N28" s="125"/>
      <c r="O28" s="125"/>
      <c r="P28" s="125"/>
      <c r="Q28" s="125"/>
      <c r="R28" s="125"/>
      <c r="S28" s="125"/>
      <c r="T28" s="125"/>
      <c r="U28" s="125"/>
      <c r="V28" s="125"/>
      <c r="W28" s="125"/>
      <c r="X28" s="125"/>
      <c r="Y28" s="125"/>
      <c r="Z28" s="125"/>
      <c r="AA28" s="125"/>
      <c r="AB28" s="125"/>
      <c r="AC28" s="125"/>
      <c r="AD28" s="125"/>
      <c r="AE28" s="125"/>
      <c r="AF28" s="125"/>
      <c r="AG28" s="125"/>
      <c r="AH28" s="125"/>
      <c r="AI28" s="125"/>
      <c r="AJ28" s="125"/>
      <c r="AK28" s="125"/>
      <c r="AL28" s="125"/>
      <c r="AM28" s="125"/>
      <c r="AN28" s="125"/>
      <c r="AO28" s="125"/>
      <c r="AP28" s="125"/>
      <c r="AQ28" s="125"/>
      <c r="AR28" s="125"/>
      <c r="AS28" s="125"/>
      <c r="AT28" s="125"/>
      <c r="AU28" s="125"/>
      <c r="AV28" s="125"/>
      <c r="AW28" s="125"/>
      <c r="AX28" s="125"/>
      <c r="AY28" s="125"/>
    </row>
    <row r="29" spans="1:51" x14ac:dyDescent="0.2">
      <c r="A29" s="124"/>
      <c r="B29" s="141">
        <v>5</v>
      </c>
      <c r="C29" s="124" t="s">
        <v>293</v>
      </c>
      <c r="D29" s="125"/>
      <c r="E29" s="125"/>
      <c r="F29" s="125"/>
      <c r="G29" s="125"/>
      <c r="H29" s="125"/>
      <c r="I29" s="125"/>
      <c r="J29" s="125"/>
      <c r="K29" s="125"/>
      <c r="L29" s="125"/>
      <c r="M29" s="125"/>
      <c r="N29" s="125"/>
      <c r="O29" s="125"/>
      <c r="P29" s="125"/>
      <c r="Q29" s="125"/>
      <c r="R29" s="125"/>
      <c r="S29" s="125"/>
      <c r="T29" s="125"/>
      <c r="U29" s="125"/>
      <c r="V29" s="125"/>
      <c r="W29" s="125"/>
      <c r="X29" s="125"/>
      <c r="Y29" s="125"/>
      <c r="Z29" s="125"/>
      <c r="AA29" s="125"/>
      <c r="AB29" s="125"/>
      <c r="AC29" s="125"/>
      <c r="AD29" s="125"/>
      <c r="AE29" s="125"/>
      <c r="AF29" s="125"/>
      <c r="AG29" s="125"/>
      <c r="AH29" s="125"/>
      <c r="AI29" s="125"/>
      <c r="AJ29" s="125"/>
      <c r="AK29" s="125"/>
      <c r="AL29" s="125"/>
      <c r="AM29" s="125"/>
      <c r="AN29" s="125"/>
      <c r="AO29" s="125"/>
      <c r="AP29" s="125"/>
      <c r="AQ29" s="125"/>
      <c r="AR29" s="125"/>
      <c r="AS29" s="125"/>
      <c r="AT29" s="125"/>
      <c r="AU29" s="125"/>
      <c r="AV29" s="125"/>
      <c r="AW29" s="125"/>
      <c r="AX29" s="125"/>
      <c r="AY29" s="125"/>
    </row>
    <row r="30" spans="1:51" x14ac:dyDescent="0.2">
      <c r="A30" s="124"/>
      <c r="B30" s="141">
        <v>6</v>
      </c>
      <c r="C30" s="124" t="s">
        <v>293</v>
      </c>
      <c r="D30" s="125"/>
      <c r="E30" s="125"/>
      <c r="F30" s="125"/>
      <c r="G30" s="125"/>
      <c r="H30" s="125"/>
      <c r="I30" s="125"/>
      <c r="J30" s="125"/>
      <c r="K30" s="125"/>
      <c r="L30" s="125"/>
      <c r="M30" s="125"/>
      <c r="N30" s="125"/>
      <c r="O30" s="125"/>
      <c r="P30" s="125"/>
      <c r="Q30" s="125"/>
      <c r="R30" s="125"/>
      <c r="S30" s="125"/>
      <c r="T30" s="125"/>
      <c r="U30" s="125"/>
      <c r="V30" s="125"/>
      <c r="W30" s="125"/>
      <c r="X30" s="125"/>
      <c r="Y30" s="125"/>
      <c r="Z30" s="125"/>
      <c r="AA30" s="125"/>
      <c r="AB30" s="125"/>
      <c r="AC30" s="125"/>
      <c r="AD30" s="125"/>
      <c r="AE30" s="125"/>
      <c r="AF30" s="125"/>
      <c r="AG30" s="125"/>
      <c r="AH30" s="125"/>
      <c r="AI30" s="125"/>
      <c r="AJ30" s="125"/>
      <c r="AK30" s="125"/>
      <c r="AL30" s="125"/>
      <c r="AM30" s="125"/>
      <c r="AN30" s="125"/>
      <c r="AO30" s="125"/>
      <c r="AP30" s="125"/>
      <c r="AQ30" s="125"/>
      <c r="AR30" s="125"/>
      <c r="AS30" s="125"/>
      <c r="AT30" s="125"/>
      <c r="AU30" s="125"/>
      <c r="AV30" s="125"/>
      <c r="AW30" s="125"/>
      <c r="AX30" s="125"/>
      <c r="AY30" s="125"/>
    </row>
    <row r="31" spans="1:51" x14ac:dyDescent="0.2">
      <c r="A31" s="124"/>
      <c r="B31" s="144">
        <v>7</v>
      </c>
      <c r="C31" s="124" t="s">
        <v>293</v>
      </c>
      <c r="D31" s="125"/>
      <c r="E31" s="125"/>
      <c r="F31" s="125"/>
      <c r="G31" s="125"/>
      <c r="H31" s="125"/>
      <c r="I31" s="125"/>
      <c r="J31" s="125"/>
      <c r="K31" s="125"/>
      <c r="L31" s="125"/>
      <c r="M31" s="125"/>
      <c r="N31" s="125"/>
      <c r="O31" s="125"/>
      <c r="P31" s="125"/>
      <c r="Q31" s="125"/>
      <c r="R31" s="125"/>
      <c r="S31" s="125"/>
      <c r="T31" s="125"/>
      <c r="U31" s="125"/>
      <c r="V31" s="125"/>
      <c r="W31" s="125"/>
      <c r="X31" s="125"/>
      <c r="Y31" s="125"/>
      <c r="Z31" s="125"/>
      <c r="AA31" s="125"/>
      <c r="AB31" s="125"/>
      <c r="AC31" s="125"/>
      <c r="AD31" s="125"/>
      <c r="AE31" s="125"/>
      <c r="AF31" s="125"/>
      <c r="AG31" s="125"/>
      <c r="AH31" s="125"/>
      <c r="AI31" s="125"/>
      <c r="AJ31" s="125"/>
      <c r="AK31" s="125"/>
      <c r="AL31" s="125"/>
      <c r="AM31" s="125"/>
      <c r="AN31" s="125"/>
      <c r="AO31" s="125"/>
      <c r="AP31" s="125"/>
      <c r="AQ31" s="125"/>
      <c r="AR31" s="125"/>
      <c r="AS31" s="125"/>
      <c r="AT31" s="125"/>
      <c r="AU31" s="125"/>
      <c r="AV31" s="125"/>
      <c r="AW31" s="125"/>
      <c r="AX31" s="125"/>
      <c r="AY31" s="125"/>
    </row>
    <row r="32" spans="1:51" x14ac:dyDescent="0.2">
      <c r="A32" s="142"/>
      <c r="B32" s="143">
        <v>8</v>
      </c>
      <c r="C32" s="142" t="s">
        <v>293</v>
      </c>
      <c r="D32" s="139">
        <v>0</v>
      </c>
      <c r="E32" s="139">
        <v>0</v>
      </c>
      <c r="F32" s="139">
        <v>0</v>
      </c>
      <c r="G32" s="139">
        <v>0</v>
      </c>
      <c r="H32" s="139">
        <v>0</v>
      </c>
      <c r="I32" s="139">
        <v>0</v>
      </c>
      <c r="J32" s="139">
        <v>0</v>
      </c>
      <c r="K32" s="139">
        <v>0</v>
      </c>
      <c r="L32" s="139">
        <v>0</v>
      </c>
      <c r="M32" s="139">
        <v>0</v>
      </c>
      <c r="N32" s="139">
        <v>0</v>
      </c>
      <c r="O32" s="139">
        <v>0</v>
      </c>
      <c r="P32" s="139">
        <v>0</v>
      </c>
      <c r="Q32" s="139">
        <v>0</v>
      </c>
      <c r="R32" s="139">
        <v>0</v>
      </c>
      <c r="S32" s="139">
        <v>0</v>
      </c>
      <c r="T32" s="139">
        <v>0</v>
      </c>
      <c r="U32" s="139">
        <v>0</v>
      </c>
      <c r="V32" s="139">
        <v>0</v>
      </c>
      <c r="W32" s="139">
        <v>0</v>
      </c>
      <c r="X32" s="139">
        <v>0</v>
      </c>
      <c r="Y32" s="139">
        <v>0</v>
      </c>
      <c r="Z32" s="139">
        <v>0</v>
      </c>
      <c r="AA32" s="139">
        <v>0</v>
      </c>
      <c r="AB32" s="139">
        <v>0</v>
      </c>
      <c r="AC32" s="139">
        <v>0</v>
      </c>
      <c r="AD32" s="139">
        <v>0</v>
      </c>
      <c r="AE32" s="139">
        <v>0</v>
      </c>
      <c r="AF32" s="139">
        <v>0</v>
      </c>
      <c r="AG32" s="139">
        <v>0</v>
      </c>
      <c r="AH32" s="139">
        <v>0</v>
      </c>
      <c r="AI32" s="139">
        <v>0</v>
      </c>
      <c r="AJ32" s="139">
        <v>0</v>
      </c>
      <c r="AK32" s="139">
        <v>0</v>
      </c>
      <c r="AL32" s="139">
        <v>0</v>
      </c>
      <c r="AM32" s="139">
        <v>0</v>
      </c>
      <c r="AN32" s="139">
        <v>0</v>
      </c>
      <c r="AO32" s="139">
        <v>0</v>
      </c>
      <c r="AP32" s="139">
        <v>0</v>
      </c>
      <c r="AQ32" s="139">
        <v>0</v>
      </c>
      <c r="AR32" s="139">
        <v>0</v>
      </c>
      <c r="AS32" s="139">
        <v>0</v>
      </c>
      <c r="AT32" s="139">
        <v>0</v>
      </c>
      <c r="AU32" s="139">
        <v>0</v>
      </c>
      <c r="AV32" s="139">
        <v>0</v>
      </c>
      <c r="AW32" s="139">
        <v>0</v>
      </c>
      <c r="AX32" s="139">
        <v>0</v>
      </c>
      <c r="AY32" s="139">
        <v>0</v>
      </c>
    </row>
    <row r="33" spans="1:51" x14ac:dyDescent="0.2">
      <c r="A33" s="145" t="s">
        <v>134</v>
      </c>
      <c r="B33" s="133">
        <v>1</v>
      </c>
      <c r="C33" s="124" t="s">
        <v>293</v>
      </c>
      <c r="D33" s="121"/>
      <c r="E33" s="121"/>
      <c r="F33" s="121"/>
      <c r="G33" s="121"/>
      <c r="H33" s="121"/>
      <c r="I33" s="121"/>
      <c r="J33" s="121"/>
      <c r="K33" s="121"/>
      <c r="L33" s="121"/>
      <c r="M33" s="121"/>
      <c r="N33" s="121"/>
      <c r="O33" s="121"/>
      <c r="P33" s="121"/>
      <c r="Q33" s="121"/>
      <c r="R33" s="121"/>
      <c r="S33" s="121"/>
      <c r="T33" s="121"/>
      <c r="U33" s="121"/>
      <c r="V33" s="121"/>
      <c r="W33" s="121"/>
      <c r="X33" s="121"/>
      <c r="Y33" s="121"/>
      <c r="Z33" s="121"/>
      <c r="AA33" s="121"/>
      <c r="AB33" s="121"/>
      <c r="AC33" s="121"/>
      <c r="AD33" s="121"/>
      <c r="AE33" s="121"/>
      <c r="AF33" s="121"/>
      <c r="AG33" s="121"/>
      <c r="AH33" s="121"/>
      <c r="AI33" s="121"/>
      <c r="AJ33" s="121"/>
      <c r="AK33" s="121"/>
      <c r="AL33" s="121"/>
      <c r="AM33" s="121"/>
      <c r="AN33" s="121"/>
      <c r="AO33" s="121"/>
      <c r="AP33" s="121"/>
      <c r="AQ33" s="121"/>
      <c r="AR33" s="121"/>
      <c r="AS33" s="121"/>
      <c r="AT33" s="121"/>
      <c r="AU33" s="121"/>
      <c r="AV33" s="121"/>
      <c r="AW33" s="121"/>
      <c r="AX33" s="121"/>
      <c r="AY33" s="121"/>
    </row>
    <row r="34" spans="1:51" x14ac:dyDescent="0.2">
      <c r="A34" s="124"/>
      <c r="B34" s="133">
        <v>2</v>
      </c>
      <c r="C34" s="124" t="s">
        <v>293</v>
      </c>
      <c r="D34" s="121"/>
      <c r="E34" s="121"/>
      <c r="F34" s="121"/>
      <c r="G34" s="121"/>
      <c r="H34" s="121"/>
      <c r="I34" s="121"/>
      <c r="J34" s="121"/>
      <c r="K34" s="121"/>
      <c r="L34" s="121"/>
      <c r="M34" s="121"/>
      <c r="N34" s="121"/>
      <c r="O34" s="121"/>
      <c r="P34" s="121"/>
      <c r="Q34" s="121"/>
      <c r="R34" s="121"/>
      <c r="S34" s="121"/>
      <c r="T34" s="121"/>
      <c r="U34" s="121"/>
      <c r="V34" s="121"/>
      <c r="W34" s="121"/>
      <c r="X34" s="121"/>
      <c r="Y34" s="121"/>
      <c r="Z34" s="121"/>
      <c r="AA34" s="121"/>
      <c r="AB34" s="121"/>
      <c r="AC34" s="121"/>
      <c r="AD34" s="121"/>
      <c r="AE34" s="121"/>
      <c r="AF34" s="121"/>
      <c r="AG34" s="121"/>
      <c r="AH34" s="121"/>
      <c r="AI34" s="121"/>
      <c r="AJ34" s="121"/>
      <c r="AK34" s="121"/>
      <c r="AL34" s="121"/>
      <c r="AM34" s="121"/>
      <c r="AN34" s="121"/>
      <c r="AO34" s="121"/>
      <c r="AP34" s="121"/>
      <c r="AQ34" s="121"/>
      <c r="AR34" s="121"/>
      <c r="AS34" s="121"/>
      <c r="AT34" s="121"/>
      <c r="AU34" s="121"/>
      <c r="AV34" s="121"/>
      <c r="AW34" s="121"/>
      <c r="AX34" s="121"/>
      <c r="AY34" s="121"/>
    </row>
    <row r="35" spans="1:51" x14ac:dyDescent="0.2">
      <c r="A35" s="124"/>
      <c r="B35" s="133">
        <v>3</v>
      </c>
      <c r="C35" s="124" t="s">
        <v>293</v>
      </c>
      <c r="D35" s="121"/>
      <c r="E35" s="121"/>
      <c r="F35" s="121"/>
      <c r="G35" s="121"/>
      <c r="H35" s="121"/>
      <c r="I35" s="121"/>
      <c r="J35" s="121"/>
      <c r="K35" s="121"/>
      <c r="L35" s="121"/>
      <c r="M35" s="121"/>
      <c r="N35" s="121"/>
      <c r="O35" s="121"/>
      <c r="P35" s="121"/>
      <c r="Q35" s="121"/>
      <c r="R35" s="121"/>
      <c r="S35" s="121"/>
      <c r="T35" s="121"/>
      <c r="U35" s="121"/>
      <c r="V35" s="121"/>
      <c r="W35" s="121"/>
      <c r="X35" s="121"/>
      <c r="Y35" s="121"/>
      <c r="Z35" s="121"/>
      <c r="AA35" s="121"/>
      <c r="AB35" s="121"/>
      <c r="AC35" s="121"/>
      <c r="AD35" s="121"/>
      <c r="AE35" s="121"/>
      <c r="AF35" s="121"/>
      <c r="AG35" s="121"/>
      <c r="AH35" s="121"/>
      <c r="AI35" s="121"/>
      <c r="AJ35" s="121"/>
      <c r="AK35" s="121"/>
      <c r="AL35" s="121"/>
      <c r="AM35" s="121"/>
      <c r="AN35" s="121"/>
      <c r="AO35" s="121"/>
      <c r="AP35" s="121"/>
      <c r="AQ35" s="121"/>
      <c r="AR35" s="121"/>
      <c r="AS35" s="121"/>
      <c r="AT35" s="121"/>
      <c r="AU35" s="121"/>
      <c r="AV35" s="121"/>
      <c r="AW35" s="121"/>
      <c r="AX35" s="121"/>
      <c r="AY35" s="121"/>
    </row>
    <row r="36" spans="1:51" x14ac:dyDescent="0.2">
      <c r="A36" s="124"/>
      <c r="B36" s="134">
        <v>4</v>
      </c>
      <c r="C36" s="124" t="s">
        <v>293</v>
      </c>
      <c r="D36" s="121"/>
      <c r="E36" s="121"/>
      <c r="F36" s="121"/>
      <c r="G36" s="121"/>
      <c r="H36" s="121"/>
      <c r="I36" s="121"/>
      <c r="J36" s="121"/>
      <c r="K36" s="121"/>
      <c r="L36" s="121"/>
      <c r="M36" s="121"/>
      <c r="N36" s="121"/>
      <c r="O36" s="121"/>
      <c r="P36" s="121"/>
      <c r="Q36" s="121"/>
      <c r="R36" s="121"/>
      <c r="S36" s="121"/>
      <c r="T36" s="121"/>
      <c r="U36" s="121"/>
      <c r="V36" s="121"/>
      <c r="W36" s="121"/>
      <c r="X36" s="121"/>
      <c r="Y36" s="121"/>
      <c r="Z36" s="121"/>
      <c r="AA36" s="121"/>
      <c r="AB36" s="121"/>
      <c r="AC36" s="121"/>
      <c r="AD36" s="121"/>
      <c r="AE36" s="121"/>
      <c r="AF36" s="121"/>
      <c r="AG36" s="121"/>
      <c r="AH36" s="121"/>
      <c r="AI36" s="121"/>
      <c r="AJ36" s="121"/>
      <c r="AK36" s="121"/>
      <c r="AL36" s="121"/>
      <c r="AM36" s="121"/>
      <c r="AN36" s="121"/>
      <c r="AO36" s="121"/>
      <c r="AP36" s="121"/>
      <c r="AQ36" s="121"/>
      <c r="AR36" s="121"/>
      <c r="AS36" s="121"/>
      <c r="AT36" s="121"/>
      <c r="AU36" s="121"/>
      <c r="AV36" s="121"/>
      <c r="AW36" s="121"/>
      <c r="AX36" s="121"/>
      <c r="AY36" s="121"/>
    </row>
    <row r="37" spans="1:51" x14ac:dyDescent="0.2">
      <c r="A37" s="124"/>
      <c r="B37" s="134">
        <v>5</v>
      </c>
      <c r="C37" s="124" t="s">
        <v>293</v>
      </c>
      <c r="D37" s="121"/>
      <c r="E37" s="121"/>
      <c r="F37" s="121"/>
      <c r="G37" s="121"/>
      <c r="H37" s="121"/>
      <c r="I37" s="121"/>
      <c r="J37" s="121"/>
      <c r="K37" s="121"/>
      <c r="L37" s="121"/>
      <c r="M37" s="121"/>
      <c r="N37" s="121"/>
      <c r="O37" s="121"/>
      <c r="P37" s="121"/>
      <c r="Q37" s="121"/>
      <c r="R37" s="121"/>
      <c r="S37" s="121"/>
      <c r="T37" s="121"/>
      <c r="U37" s="121"/>
      <c r="V37" s="121"/>
      <c r="W37" s="121"/>
      <c r="X37" s="121"/>
      <c r="Y37" s="121"/>
      <c r="Z37" s="121"/>
      <c r="AA37" s="121"/>
      <c r="AB37" s="121"/>
      <c r="AC37" s="121"/>
      <c r="AD37" s="121"/>
      <c r="AE37" s="121"/>
      <c r="AF37" s="121"/>
      <c r="AG37" s="121"/>
      <c r="AH37" s="121"/>
      <c r="AI37" s="121"/>
      <c r="AJ37" s="121"/>
      <c r="AK37" s="121"/>
      <c r="AL37" s="121"/>
      <c r="AM37" s="121"/>
      <c r="AN37" s="121"/>
      <c r="AO37" s="121"/>
      <c r="AP37" s="121"/>
      <c r="AQ37" s="121"/>
      <c r="AR37" s="121"/>
      <c r="AS37" s="121"/>
      <c r="AT37" s="121"/>
      <c r="AU37" s="121"/>
      <c r="AV37" s="121"/>
      <c r="AW37" s="121"/>
      <c r="AX37" s="121"/>
      <c r="AY37" s="121"/>
    </row>
    <row r="38" spans="1:51" x14ac:dyDescent="0.2">
      <c r="A38" s="124"/>
      <c r="B38" s="134">
        <v>6</v>
      </c>
      <c r="C38" s="124" t="s">
        <v>293</v>
      </c>
      <c r="D38" s="121"/>
      <c r="E38" s="121"/>
      <c r="F38" s="121"/>
      <c r="G38" s="121"/>
      <c r="H38" s="121"/>
      <c r="I38" s="121"/>
      <c r="J38" s="121"/>
      <c r="K38" s="121"/>
      <c r="L38" s="121"/>
      <c r="M38" s="121"/>
      <c r="N38" s="121"/>
      <c r="O38" s="121"/>
      <c r="P38" s="121"/>
      <c r="Q38" s="121"/>
      <c r="R38" s="121"/>
      <c r="S38" s="121"/>
      <c r="T38" s="121"/>
      <c r="U38" s="121"/>
      <c r="V38" s="121"/>
      <c r="W38" s="121"/>
      <c r="X38" s="121"/>
      <c r="Y38" s="121"/>
      <c r="Z38" s="121"/>
      <c r="AA38" s="121"/>
      <c r="AB38" s="121"/>
      <c r="AC38" s="121"/>
      <c r="AD38" s="121"/>
      <c r="AE38" s="121"/>
      <c r="AF38" s="121"/>
      <c r="AG38" s="121"/>
      <c r="AH38" s="121"/>
      <c r="AI38" s="121"/>
      <c r="AJ38" s="121"/>
      <c r="AK38" s="121"/>
      <c r="AL38" s="121"/>
      <c r="AM38" s="121"/>
      <c r="AN38" s="121"/>
      <c r="AO38" s="121"/>
      <c r="AP38" s="121"/>
      <c r="AQ38" s="121"/>
      <c r="AR38" s="121"/>
      <c r="AS38" s="121"/>
      <c r="AT38" s="121"/>
      <c r="AU38" s="121"/>
      <c r="AV38" s="121"/>
      <c r="AW38" s="121"/>
      <c r="AX38" s="121"/>
      <c r="AY38" s="121"/>
    </row>
    <row r="39" spans="1:51" x14ac:dyDescent="0.2">
      <c r="A39" s="124"/>
      <c r="B39" s="141">
        <v>7</v>
      </c>
      <c r="C39" s="124" t="s">
        <v>293</v>
      </c>
      <c r="D39" s="121"/>
      <c r="E39" s="121"/>
      <c r="F39" s="121"/>
      <c r="G39" s="121"/>
      <c r="H39" s="121"/>
      <c r="I39" s="121"/>
      <c r="J39" s="121"/>
      <c r="K39" s="121"/>
      <c r="L39" s="121"/>
      <c r="M39" s="121"/>
      <c r="N39" s="121"/>
      <c r="O39" s="121"/>
      <c r="P39" s="121"/>
      <c r="Q39" s="121"/>
      <c r="R39" s="121"/>
      <c r="S39" s="121"/>
      <c r="T39" s="121"/>
      <c r="U39" s="121"/>
      <c r="V39" s="121"/>
      <c r="W39" s="121"/>
      <c r="X39" s="121"/>
      <c r="Y39" s="121"/>
      <c r="Z39" s="121"/>
      <c r="AA39" s="121"/>
      <c r="AB39" s="121"/>
      <c r="AC39" s="121"/>
      <c r="AD39" s="121"/>
      <c r="AE39" s="121"/>
      <c r="AF39" s="121"/>
      <c r="AG39" s="121"/>
      <c r="AH39" s="121"/>
      <c r="AI39" s="121"/>
      <c r="AJ39" s="121"/>
      <c r="AK39" s="121"/>
      <c r="AL39" s="121"/>
      <c r="AM39" s="121"/>
      <c r="AN39" s="121"/>
      <c r="AO39" s="121"/>
      <c r="AP39" s="121"/>
      <c r="AQ39" s="121"/>
      <c r="AR39" s="121"/>
      <c r="AS39" s="121"/>
      <c r="AT39" s="121"/>
      <c r="AU39" s="121"/>
      <c r="AV39" s="121"/>
      <c r="AW39" s="121"/>
      <c r="AX39" s="121"/>
      <c r="AY39" s="121"/>
    </row>
    <row r="40" spans="1:51" x14ac:dyDescent="0.2">
      <c r="A40" s="124"/>
      <c r="B40" s="141">
        <v>8</v>
      </c>
      <c r="C40" s="124" t="s">
        <v>293</v>
      </c>
      <c r="D40" s="121"/>
      <c r="E40" s="121"/>
      <c r="F40" s="121"/>
      <c r="G40" s="121"/>
      <c r="H40" s="121"/>
      <c r="I40" s="121"/>
      <c r="J40" s="121"/>
      <c r="K40" s="121"/>
      <c r="L40" s="121"/>
      <c r="M40" s="121"/>
      <c r="N40" s="121"/>
      <c r="O40" s="121"/>
      <c r="P40" s="121"/>
      <c r="Q40" s="121"/>
      <c r="R40" s="121"/>
      <c r="S40" s="121"/>
      <c r="T40" s="121"/>
      <c r="U40" s="121"/>
      <c r="V40" s="121"/>
      <c r="W40" s="121"/>
      <c r="X40" s="121"/>
      <c r="Y40" s="121"/>
      <c r="Z40" s="121"/>
      <c r="AA40" s="121"/>
      <c r="AB40" s="121"/>
      <c r="AC40" s="121"/>
      <c r="AD40" s="121"/>
      <c r="AE40" s="121"/>
      <c r="AF40" s="121"/>
      <c r="AG40" s="121"/>
      <c r="AH40" s="121"/>
      <c r="AI40" s="121"/>
      <c r="AJ40" s="121"/>
      <c r="AK40" s="121"/>
      <c r="AL40" s="121"/>
      <c r="AM40" s="121"/>
      <c r="AN40" s="121"/>
      <c r="AO40" s="121"/>
      <c r="AP40" s="121"/>
      <c r="AQ40" s="121"/>
      <c r="AR40" s="121"/>
      <c r="AS40" s="121"/>
      <c r="AT40" s="121"/>
      <c r="AU40" s="121"/>
      <c r="AV40" s="121"/>
      <c r="AW40" s="121"/>
      <c r="AX40" s="121"/>
      <c r="AY40" s="121"/>
    </row>
    <row r="41" spans="1:51" x14ac:dyDescent="0.2">
      <c r="A41" s="124"/>
      <c r="B41" s="141">
        <v>9</v>
      </c>
      <c r="C41" s="124" t="s">
        <v>293</v>
      </c>
      <c r="D41" s="121"/>
      <c r="E41" s="121"/>
      <c r="F41" s="121"/>
      <c r="G41" s="121"/>
      <c r="H41" s="121"/>
      <c r="I41" s="121"/>
      <c r="J41" s="121"/>
      <c r="K41" s="121"/>
      <c r="L41" s="121"/>
      <c r="M41" s="121"/>
      <c r="N41" s="121"/>
      <c r="O41" s="121"/>
      <c r="P41" s="121"/>
      <c r="Q41" s="121"/>
      <c r="R41" s="121"/>
      <c r="S41" s="121"/>
      <c r="T41" s="121"/>
      <c r="U41" s="121"/>
      <c r="V41" s="121"/>
      <c r="W41" s="121"/>
      <c r="X41" s="121"/>
      <c r="Y41" s="121"/>
      <c r="Z41" s="121"/>
      <c r="AA41" s="121"/>
      <c r="AB41" s="121"/>
      <c r="AC41" s="121"/>
      <c r="AD41" s="121"/>
      <c r="AE41" s="121"/>
      <c r="AF41" s="121"/>
      <c r="AG41" s="121"/>
      <c r="AH41" s="121"/>
      <c r="AI41" s="121"/>
      <c r="AJ41" s="121"/>
      <c r="AK41" s="121"/>
      <c r="AL41" s="121"/>
      <c r="AM41" s="121"/>
      <c r="AN41" s="121"/>
      <c r="AO41" s="121"/>
      <c r="AP41" s="121"/>
      <c r="AQ41" s="121"/>
      <c r="AR41" s="121"/>
      <c r="AS41" s="121"/>
      <c r="AT41" s="121"/>
      <c r="AU41" s="121"/>
      <c r="AV41" s="121"/>
      <c r="AW41" s="121"/>
      <c r="AX41" s="121"/>
      <c r="AY41" s="121"/>
    </row>
    <row r="42" spans="1:51" x14ac:dyDescent="0.2">
      <c r="A42" s="124"/>
      <c r="B42" s="144">
        <v>10</v>
      </c>
      <c r="C42" s="124" t="s">
        <v>293</v>
      </c>
      <c r="D42" s="121"/>
      <c r="E42" s="121"/>
      <c r="F42" s="121"/>
      <c r="G42" s="121"/>
      <c r="H42" s="121"/>
      <c r="I42" s="121"/>
      <c r="J42" s="121"/>
      <c r="K42" s="121"/>
      <c r="L42" s="121"/>
      <c r="M42" s="121"/>
      <c r="N42" s="121"/>
      <c r="O42" s="121"/>
      <c r="P42" s="121"/>
      <c r="Q42" s="121"/>
      <c r="R42" s="121"/>
      <c r="S42" s="121"/>
      <c r="T42" s="121"/>
      <c r="U42" s="121"/>
      <c r="V42" s="121"/>
      <c r="W42" s="121"/>
      <c r="X42" s="121"/>
      <c r="Y42" s="121"/>
      <c r="Z42" s="121"/>
      <c r="AA42" s="121"/>
      <c r="AB42" s="121"/>
      <c r="AC42" s="121"/>
      <c r="AD42" s="121"/>
      <c r="AE42" s="121"/>
      <c r="AF42" s="121"/>
      <c r="AG42" s="121"/>
      <c r="AH42" s="121"/>
      <c r="AI42" s="121"/>
      <c r="AJ42" s="121"/>
      <c r="AK42" s="121"/>
      <c r="AL42" s="121"/>
      <c r="AM42" s="121"/>
      <c r="AN42" s="121"/>
      <c r="AO42" s="121"/>
      <c r="AP42" s="121"/>
      <c r="AQ42" s="121"/>
      <c r="AR42" s="121"/>
      <c r="AS42" s="121"/>
      <c r="AT42" s="121"/>
      <c r="AU42" s="121"/>
      <c r="AV42" s="121"/>
      <c r="AW42" s="121"/>
      <c r="AX42" s="121"/>
      <c r="AY42" s="121"/>
    </row>
    <row r="43" spans="1:51" x14ac:dyDescent="0.2">
      <c r="A43" s="124"/>
      <c r="B43" s="144">
        <v>11</v>
      </c>
      <c r="C43" s="124" t="s">
        <v>293</v>
      </c>
      <c r="D43" s="121"/>
      <c r="E43" s="121"/>
      <c r="F43" s="121"/>
      <c r="G43" s="121"/>
      <c r="H43" s="121"/>
      <c r="I43" s="121"/>
      <c r="J43" s="121"/>
      <c r="K43" s="121"/>
      <c r="L43" s="121"/>
      <c r="M43" s="121"/>
      <c r="N43" s="121"/>
      <c r="O43" s="121"/>
      <c r="P43" s="121"/>
      <c r="Q43" s="121"/>
      <c r="R43" s="121"/>
      <c r="S43" s="121"/>
      <c r="T43" s="121"/>
      <c r="U43" s="121"/>
      <c r="V43" s="121"/>
      <c r="W43" s="121"/>
      <c r="X43" s="121"/>
      <c r="Y43" s="121"/>
      <c r="Z43" s="121"/>
      <c r="AA43" s="121"/>
      <c r="AB43" s="121"/>
      <c r="AC43" s="121"/>
      <c r="AD43" s="121"/>
      <c r="AE43" s="121"/>
      <c r="AF43" s="121"/>
      <c r="AG43" s="121"/>
      <c r="AH43" s="121"/>
      <c r="AI43" s="121"/>
      <c r="AJ43" s="121"/>
      <c r="AK43" s="121"/>
      <c r="AL43" s="121"/>
      <c r="AM43" s="121"/>
      <c r="AN43" s="121"/>
      <c r="AO43" s="121"/>
      <c r="AP43" s="121"/>
      <c r="AQ43" s="121"/>
      <c r="AR43" s="121"/>
      <c r="AS43" s="121"/>
      <c r="AT43" s="121"/>
      <c r="AU43" s="121"/>
      <c r="AV43" s="121"/>
      <c r="AW43" s="121"/>
      <c r="AX43" s="121"/>
      <c r="AY43" s="121"/>
    </row>
    <row r="44" spans="1:51" x14ac:dyDescent="0.2">
      <c r="A44" s="124"/>
      <c r="B44" s="144">
        <v>12</v>
      </c>
      <c r="C44" s="142" t="s">
        <v>293</v>
      </c>
      <c r="D44" s="121">
        <v>0</v>
      </c>
      <c r="E44" s="121">
        <v>0</v>
      </c>
      <c r="F44" s="121">
        <v>0</v>
      </c>
      <c r="G44" s="121">
        <v>0</v>
      </c>
      <c r="H44" s="121">
        <v>0</v>
      </c>
      <c r="I44" s="121">
        <v>0</v>
      </c>
      <c r="J44" s="121">
        <v>0</v>
      </c>
      <c r="K44" s="121">
        <v>0</v>
      </c>
      <c r="L44" s="121">
        <v>0</v>
      </c>
      <c r="M44" s="121">
        <v>0</v>
      </c>
      <c r="N44" s="121">
        <v>0</v>
      </c>
      <c r="O44" s="121">
        <v>0</v>
      </c>
      <c r="P44" s="121">
        <v>0</v>
      </c>
      <c r="Q44" s="121">
        <v>0</v>
      </c>
      <c r="R44" s="121">
        <v>0</v>
      </c>
      <c r="S44" s="121">
        <v>0</v>
      </c>
      <c r="T44" s="121">
        <v>0</v>
      </c>
      <c r="U44" s="121">
        <v>0</v>
      </c>
      <c r="V44" s="121">
        <v>0</v>
      </c>
      <c r="W44" s="121">
        <v>0</v>
      </c>
      <c r="X44" s="121">
        <v>0</v>
      </c>
      <c r="Y44" s="121">
        <v>0</v>
      </c>
      <c r="Z44" s="121">
        <v>0</v>
      </c>
      <c r="AA44" s="121">
        <v>0</v>
      </c>
      <c r="AB44" s="121">
        <v>0</v>
      </c>
      <c r="AC44" s="121">
        <v>0</v>
      </c>
      <c r="AD44" s="121">
        <v>0</v>
      </c>
      <c r="AE44" s="121">
        <v>0</v>
      </c>
      <c r="AF44" s="121">
        <v>0</v>
      </c>
      <c r="AG44" s="121">
        <v>0</v>
      </c>
      <c r="AH44" s="121">
        <v>0</v>
      </c>
      <c r="AI44" s="121">
        <v>0</v>
      </c>
      <c r="AJ44" s="121">
        <v>0</v>
      </c>
      <c r="AK44" s="121">
        <v>0</v>
      </c>
      <c r="AL44" s="121">
        <v>0</v>
      </c>
      <c r="AM44" s="121">
        <v>0</v>
      </c>
      <c r="AN44" s="121">
        <v>0</v>
      </c>
      <c r="AO44" s="121">
        <v>0</v>
      </c>
      <c r="AP44" s="121">
        <v>0</v>
      </c>
      <c r="AQ44" s="121">
        <v>0</v>
      </c>
      <c r="AR44" s="121">
        <v>0</v>
      </c>
      <c r="AS44" s="121">
        <v>0</v>
      </c>
      <c r="AT44" s="121">
        <v>0</v>
      </c>
      <c r="AU44" s="121">
        <v>0</v>
      </c>
      <c r="AV44" s="121">
        <v>0</v>
      </c>
      <c r="AW44" s="121">
        <v>0</v>
      </c>
      <c r="AX44" s="121">
        <v>0</v>
      </c>
      <c r="AY44" s="121">
        <v>0</v>
      </c>
    </row>
    <row r="45" spans="1:51" x14ac:dyDescent="0.2">
      <c r="A45" s="140" t="s">
        <v>123</v>
      </c>
      <c r="B45" s="137">
        <v>1</v>
      </c>
      <c r="C45" s="124" t="s">
        <v>293</v>
      </c>
      <c r="D45" s="138"/>
      <c r="E45" s="138"/>
      <c r="F45" s="138"/>
      <c r="G45" s="138"/>
      <c r="H45" s="138"/>
      <c r="I45" s="138"/>
      <c r="J45" s="138"/>
      <c r="K45" s="138"/>
      <c r="L45" s="138"/>
      <c r="M45" s="138"/>
      <c r="N45" s="138"/>
      <c r="O45" s="138"/>
      <c r="P45" s="138"/>
      <c r="Q45" s="138"/>
      <c r="R45" s="138"/>
      <c r="S45" s="138"/>
      <c r="T45" s="138"/>
      <c r="U45" s="138"/>
      <c r="V45" s="138"/>
      <c r="W45" s="138"/>
      <c r="X45" s="138"/>
      <c r="Y45" s="138"/>
      <c r="Z45" s="138"/>
      <c r="AA45" s="138"/>
      <c r="AB45" s="138"/>
      <c r="AC45" s="138"/>
      <c r="AD45" s="138"/>
      <c r="AE45" s="138"/>
      <c r="AF45" s="138"/>
      <c r="AG45" s="138"/>
      <c r="AH45" s="138"/>
      <c r="AI45" s="138"/>
      <c r="AJ45" s="138"/>
      <c r="AK45" s="138"/>
      <c r="AL45" s="138"/>
      <c r="AM45" s="138"/>
      <c r="AN45" s="138"/>
      <c r="AO45" s="138"/>
      <c r="AP45" s="138"/>
      <c r="AQ45" s="138"/>
      <c r="AR45" s="138"/>
      <c r="AS45" s="138"/>
      <c r="AT45" s="138"/>
      <c r="AU45" s="138"/>
      <c r="AV45" s="138"/>
      <c r="AW45" s="138"/>
      <c r="AX45" s="138"/>
      <c r="AY45" s="138"/>
    </row>
    <row r="46" spans="1:51" x14ac:dyDescent="0.2">
      <c r="A46" s="124"/>
      <c r="B46" s="133">
        <v>2</v>
      </c>
      <c r="C46" s="124" t="s">
        <v>293</v>
      </c>
      <c r="D46" s="125"/>
      <c r="E46" s="125"/>
      <c r="F46" s="125"/>
      <c r="G46" s="125"/>
      <c r="H46" s="125"/>
      <c r="I46" s="125"/>
      <c r="J46" s="125"/>
      <c r="K46" s="125"/>
      <c r="L46" s="125"/>
      <c r="M46" s="125"/>
      <c r="N46" s="125"/>
      <c r="O46" s="125"/>
      <c r="P46" s="125"/>
      <c r="Q46" s="125"/>
      <c r="R46" s="125"/>
      <c r="S46" s="125"/>
      <c r="T46" s="125"/>
      <c r="U46" s="125"/>
      <c r="V46" s="125"/>
      <c r="W46" s="125"/>
      <c r="X46" s="125"/>
      <c r="Y46" s="125"/>
      <c r="Z46" s="125"/>
      <c r="AA46" s="125"/>
      <c r="AB46" s="125"/>
      <c r="AC46" s="125"/>
      <c r="AD46" s="125"/>
      <c r="AE46" s="125"/>
      <c r="AF46" s="125"/>
      <c r="AG46" s="125"/>
      <c r="AH46" s="125"/>
      <c r="AI46" s="125"/>
      <c r="AJ46" s="125"/>
      <c r="AK46" s="125"/>
      <c r="AL46" s="125"/>
      <c r="AM46" s="125"/>
      <c r="AN46" s="125"/>
      <c r="AO46" s="125"/>
      <c r="AP46" s="125"/>
      <c r="AQ46" s="125"/>
      <c r="AR46" s="125"/>
      <c r="AS46" s="125"/>
      <c r="AT46" s="125"/>
      <c r="AU46" s="125"/>
      <c r="AV46" s="125"/>
      <c r="AW46" s="125"/>
      <c r="AX46" s="125"/>
      <c r="AY46" s="125"/>
    </row>
    <row r="47" spans="1:51" x14ac:dyDescent="0.2">
      <c r="A47" s="124"/>
      <c r="B47" s="133">
        <v>3</v>
      </c>
      <c r="C47" s="124" t="s">
        <v>293</v>
      </c>
      <c r="D47" s="125"/>
      <c r="E47" s="125"/>
      <c r="F47" s="125"/>
      <c r="G47" s="125"/>
      <c r="H47" s="125"/>
      <c r="I47" s="125"/>
      <c r="J47" s="125"/>
      <c r="K47" s="125"/>
      <c r="L47" s="125"/>
      <c r="M47" s="125"/>
      <c r="N47" s="125"/>
      <c r="O47" s="125"/>
      <c r="P47" s="125"/>
      <c r="Q47" s="125"/>
      <c r="R47" s="125"/>
      <c r="S47" s="125"/>
      <c r="T47" s="125"/>
      <c r="U47" s="125"/>
      <c r="V47" s="125"/>
      <c r="W47" s="125"/>
      <c r="X47" s="125"/>
      <c r="Y47" s="125"/>
      <c r="Z47" s="125"/>
      <c r="AA47" s="125"/>
      <c r="AB47" s="125"/>
      <c r="AC47" s="125"/>
      <c r="AD47" s="125"/>
      <c r="AE47" s="125"/>
      <c r="AF47" s="125"/>
      <c r="AG47" s="125"/>
      <c r="AH47" s="125"/>
      <c r="AI47" s="125"/>
      <c r="AJ47" s="125"/>
      <c r="AK47" s="125"/>
      <c r="AL47" s="125"/>
      <c r="AM47" s="125"/>
      <c r="AN47" s="125"/>
      <c r="AO47" s="125"/>
      <c r="AP47" s="125"/>
      <c r="AQ47" s="125"/>
      <c r="AR47" s="125"/>
      <c r="AS47" s="125"/>
      <c r="AT47" s="125"/>
      <c r="AU47" s="125"/>
      <c r="AV47" s="125"/>
      <c r="AW47" s="125"/>
      <c r="AX47" s="125"/>
      <c r="AY47" s="125"/>
    </row>
    <row r="48" spans="1:51" x14ac:dyDescent="0.2">
      <c r="A48" s="124"/>
      <c r="B48" s="133">
        <v>4</v>
      </c>
      <c r="C48" s="124" t="s">
        <v>293</v>
      </c>
      <c r="D48" s="125"/>
      <c r="E48" s="125"/>
      <c r="F48" s="125"/>
      <c r="G48" s="125"/>
      <c r="H48" s="125"/>
      <c r="I48" s="125"/>
      <c r="J48" s="125"/>
      <c r="K48" s="125"/>
      <c r="L48" s="125"/>
      <c r="M48" s="125"/>
      <c r="N48" s="125"/>
      <c r="O48" s="125"/>
      <c r="P48" s="125"/>
      <c r="Q48" s="125"/>
      <c r="R48" s="125"/>
      <c r="S48" s="125"/>
      <c r="T48" s="125"/>
      <c r="U48" s="125"/>
      <c r="V48" s="125"/>
      <c r="W48" s="125"/>
      <c r="X48" s="125"/>
      <c r="Y48" s="125"/>
      <c r="Z48" s="125"/>
      <c r="AA48" s="125"/>
      <c r="AB48" s="125"/>
      <c r="AC48" s="125"/>
      <c r="AD48" s="125"/>
      <c r="AE48" s="125"/>
      <c r="AF48" s="125"/>
      <c r="AG48" s="125"/>
      <c r="AH48" s="125"/>
      <c r="AI48" s="125"/>
      <c r="AJ48" s="125"/>
      <c r="AK48" s="125"/>
      <c r="AL48" s="125"/>
      <c r="AM48" s="125"/>
      <c r="AN48" s="125"/>
      <c r="AO48" s="125"/>
      <c r="AP48" s="125"/>
      <c r="AQ48" s="125"/>
      <c r="AR48" s="125"/>
      <c r="AS48" s="125"/>
      <c r="AT48" s="125"/>
      <c r="AU48" s="125"/>
      <c r="AV48" s="125"/>
      <c r="AW48" s="125"/>
      <c r="AX48" s="125"/>
      <c r="AY48" s="125"/>
    </row>
    <row r="49" spans="1:51" x14ac:dyDescent="0.2">
      <c r="A49" s="124"/>
      <c r="B49" s="133">
        <v>5</v>
      </c>
      <c r="C49" s="124" t="s">
        <v>293</v>
      </c>
      <c r="D49" s="125"/>
      <c r="E49" s="125"/>
      <c r="F49" s="125"/>
      <c r="G49" s="125"/>
      <c r="H49" s="125"/>
      <c r="I49" s="125"/>
      <c r="J49" s="125"/>
      <c r="K49" s="125"/>
      <c r="L49" s="125"/>
      <c r="M49" s="125"/>
      <c r="N49" s="125"/>
      <c r="O49" s="125"/>
      <c r="P49" s="125"/>
      <c r="Q49" s="125"/>
      <c r="R49" s="125"/>
      <c r="S49" s="125"/>
      <c r="T49" s="125"/>
      <c r="U49" s="125"/>
      <c r="V49" s="125"/>
      <c r="W49" s="125"/>
      <c r="X49" s="125"/>
      <c r="Y49" s="125"/>
      <c r="Z49" s="125"/>
      <c r="AA49" s="125"/>
      <c r="AB49" s="125"/>
      <c r="AC49" s="125"/>
      <c r="AD49" s="125"/>
      <c r="AE49" s="125"/>
      <c r="AF49" s="125"/>
      <c r="AG49" s="125"/>
      <c r="AH49" s="125"/>
      <c r="AI49" s="125"/>
      <c r="AJ49" s="125"/>
      <c r="AK49" s="125"/>
      <c r="AL49" s="125"/>
      <c r="AM49" s="125"/>
      <c r="AN49" s="125"/>
      <c r="AO49" s="125"/>
      <c r="AP49" s="125"/>
      <c r="AQ49" s="125"/>
      <c r="AR49" s="125"/>
      <c r="AS49" s="125"/>
      <c r="AT49" s="125"/>
      <c r="AU49" s="125"/>
      <c r="AV49" s="125"/>
      <c r="AW49" s="125"/>
      <c r="AX49" s="125"/>
      <c r="AY49" s="125"/>
    </row>
    <row r="50" spans="1:51" x14ac:dyDescent="0.2">
      <c r="A50" s="124"/>
      <c r="B50" s="133">
        <v>6</v>
      </c>
      <c r="C50" s="124" t="s">
        <v>293</v>
      </c>
      <c r="D50" s="125"/>
      <c r="E50" s="125"/>
      <c r="F50" s="125"/>
      <c r="G50" s="125"/>
      <c r="H50" s="125"/>
      <c r="I50" s="125"/>
      <c r="J50" s="125"/>
      <c r="K50" s="125"/>
      <c r="L50" s="125"/>
      <c r="M50" s="125"/>
      <c r="N50" s="125"/>
      <c r="O50" s="125"/>
      <c r="P50" s="125"/>
      <c r="Q50" s="125"/>
      <c r="R50" s="125"/>
      <c r="S50" s="125"/>
      <c r="T50" s="125"/>
      <c r="U50" s="125"/>
      <c r="V50" s="125"/>
      <c r="W50" s="125"/>
      <c r="X50" s="125"/>
      <c r="Y50" s="125"/>
      <c r="Z50" s="125"/>
      <c r="AA50" s="125"/>
      <c r="AB50" s="125"/>
      <c r="AC50" s="125"/>
      <c r="AD50" s="125"/>
      <c r="AE50" s="125"/>
      <c r="AF50" s="125"/>
      <c r="AG50" s="125"/>
      <c r="AH50" s="125"/>
      <c r="AI50" s="125"/>
      <c r="AJ50" s="125"/>
      <c r="AK50" s="125"/>
      <c r="AL50" s="125"/>
      <c r="AM50" s="125"/>
      <c r="AN50" s="125"/>
      <c r="AO50" s="125"/>
      <c r="AP50" s="125"/>
      <c r="AQ50" s="125"/>
      <c r="AR50" s="125"/>
      <c r="AS50" s="125"/>
      <c r="AT50" s="125"/>
      <c r="AU50" s="125"/>
      <c r="AV50" s="125"/>
      <c r="AW50" s="125"/>
      <c r="AX50" s="125"/>
      <c r="AY50" s="125"/>
    </row>
    <row r="51" spans="1:51" x14ac:dyDescent="0.2">
      <c r="A51" s="124"/>
      <c r="B51" s="133">
        <v>7</v>
      </c>
      <c r="C51" s="124" t="s">
        <v>293</v>
      </c>
      <c r="D51" s="125"/>
      <c r="E51" s="125"/>
      <c r="F51" s="125"/>
      <c r="G51" s="125"/>
      <c r="H51" s="125"/>
      <c r="I51" s="125"/>
      <c r="J51" s="125"/>
      <c r="K51" s="125"/>
      <c r="L51" s="125"/>
      <c r="M51" s="125"/>
      <c r="N51" s="125"/>
      <c r="O51" s="125"/>
      <c r="P51" s="125"/>
      <c r="Q51" s="125"/>
      <c r="R51" s="125"/>
      <c r="S51" s="125"/>
      <c r="T51" s="125"/>
      <c r="U51" s="125"/>
      <c r="V51" s="125"/>
      <c r="W51" s="125"/>
      <c r="X51" s="125"/>
      <c r="Y51" s="125"/>
      <c r="Z51" s="125"/>
      <c r="AA51" s="125"/>
      <c r="AB51" s="125"/>
      <c r="AC51" s="125"/>
      <c r="AD51" s="125"/>
      <c r="AE51" s="125"/>
      <c r="AF51" s="125"/>
      <c r="AG51" s="125"/>
      <c r="AH51" s="125"/>
      <c r="AI51" s="125"/>
      <c r="AJ51" s="125"/>
      <c r="AK51" s="125"/>
      <c r="AL51" s="125"/>
      <c r="AM51" s="125"/>
      <c r="AN51" s="125"/>
      <c r="AO51" s="125"/>
      <c r="AP51" s="125"/>
      <c r="AQ51" s="125"/>
      <c r="AR51" s="125"/>
      <c r="AS51" s="125"/>
      <c r="AT51" s="125"/>
      <c r="AU51" s="125"/>
      <c r="AV51" s="125"/>
      <c r="AW51" s="125"/>
      <c r="AX51" s="125"/>
      <c r="AY51" s="125"/>
    </row>
    <row r="52" spans="1:51" x14ac:dyDescent="0.2">
      <c r="A52" s="124"/>
      <c r="B52" s="133">
        <v>8</v>
      </c>
      <c r="C52" s="124" t="s">
        <v>293</v>
      </c>
      <c r="D52" s="125"/>
      <c r="E52" s="125"/>
      <c r="F52" s="125"/>
      <c r="G52" s="125"/>
      <c r="H52" s="125"/>
      <c r="I52" s="125"/>
      <c r="J52" s="125"/>
      <c r="K52" s="125"/>
      <c r="L52" s="125"/>
      <c r="M52" s="125"/>
      <c r="N52" s="125"/>
      <c r="O52" s="125"/>
      <c r="P52" s="125"/>
      <c r="Q52" s="125"/>
      <c r="R52" s="125"/>
      <c r="S52" s="125"/>
      <c r="T52" s="125"/>
      <c r="U52" s="125"/>
      <c r="V52" s="125"/>
      <c r="W52" s="125"/>
      <c r="X52" s="125"/>
      <c r="Y52" s="125"/>
      <c r="Z52" s="125"/>
      <c r="AA52" s="125"/>
      <c r="AB52" s="125"/>
      <c r="AC52" s="125"/>
      <c r="AD52" s="125"/>
      <c r="AE52" s="125"/>
      <c r="AF52" s="125"/>
      <c r="AG52" s="125"/>
      <c r="AH52" s="125"/>
      <c r="AI52" s="125"/>
      <c r="AJ52" s="125"/>
      <c r="AK52" s="125"/>
      <c r="AL52" s="125"/>
      <c r="AM52" s="125"/>
      <c r="AN52" s="125"/>
      <c r="AO52" s="125"/>
      <c r="AP52" s="125"/>
      <c r="AQ52" s="125"/>
      <c r="AR52" s="125"/>
      <c r="AS52" s="125"/>
      <c r="AT52" s="125"/>
      <c r="AU52" s="125"/>
      <c r="AV52" s="125"/>
      <c r="AW52" s="125"/>
      <c r="AX52" s="125"/>
      <c r="AY52" s="125"/>
    </row>
    <row r="53" spans="1:51" x14ac:dyDescent="0.2">
      <c r="A53" s="124"/>
      <c r="B53" s="133">
        <v>9</v>
      </c>
      <c r="C53" s="124" t="s">
        <v>293</v>
      </c>
      <c r="D53" s="125"/>
      <c r="E53" s="125"/>
      <c r="F53" s="125"/>
      <c r="G53" s="125"/>
      <c r="H53" s="125"/>
      <c r="I53" s="125"/>
      <c r="J53" s="125"/>
      <c r="K53" s="125"/>
      <c r="L53" s="125"/>
      <c r="M53" s="125"/>
      <c r="N53" s="125"/>
      <c r="O53" s="125"/>
      <c r="P53" s="125"/>
      <c r="Q53" s="125"/>
      <c r="R53" s="125"/>
      <c r="S53" s="125"/>
      <c r="T53" s="125"/>
      <c r="U53" s="125"/>
      <c r="V53" s="125"/>
      <c r="W53" s="125"/>
      <c r="X53" s="125"/>
      <c r="Y53" s="125"/>
      <c r="Z53" s="125"/>
      <c r="AA53" s="125"/>
      <c r="AB53" s="125"/>
      <c r="AC53" s="125"/>
      <c r="AD53" s="125"/>
      <c r="AE53" s="125"/>
      <c r="AF53" s="125"/>
      <c r="AG53" s="125"/>
      <c r="AH53" s="125"/>
      <c r="AI53" s="125"/>
      <c r="AJ53" s="125"/>
      <c r="AK53" s="125"/>
      <c r="AL53" s="125"/>
      <c r="AM53" s="125"/>
      <c r="AN53" s="125"/>
      <c r="AO53" s="125"/>
      <c r="AP53" s="125"/>
      <c r="AQ53" s="125"/>
      <c r="AR53" s="125"/>
      <c r="AS53" s="125"/>
      <c r="AT53" s="125"/>
      <c r="AU53" s="125"/>
      <c r="AV53" s="125"/>
      <c r="AW53" s="125"/>
      <c r="AX53" s="125"/>
      <c r="AY53" s="125"/>
    </row>
    <row r="54" spans="1:51" x14ac:dyDescent="0.2">
      <c r="A54" s="124"/>
      <c r="B54" s="133">
        <v>10</v>
      </c>
      <c r="C54" s="124" t="s">
        <v>293</v>
      </c>
      <c r="D54" s="125"/>
      <c r="E54" s="125"/>
      <c r="F54" s="125"/>
      <c r="G54" s="125"/>
      <c r="H54" s="125"/>
      <c r="I54" s="125"/>
      <c r="J54" s="125"/>
      <c r="K54" s="125"/>
      <c r="L54" s="125"/>
      <c r="M54" s="125"/>
      <c r="N54" s="125"/>
      <c r="O54" s="125"/>
      <c r="P54" s="125"/>
      <c r="Q54" s="125"/>
      <c r="R54" s="125"/>
      <c r="S54" s="125"/>
      <c r="T54" s="125"/>
      <c r="U54" s="125"/>
      <c r="V54" s="125"/>
      <c r="W54" s="125"/>
      <c r="X54" s="125"/>
      <c r="Y54" s="125"/>
      <c r="Z54" s="125"/>
      <c r="AA54" s="125"/>
      <c r="AB54" s="125"/>
      <c r="AC54" s="125"/>
      <c r="AD54" s="125"/>
      <c r="AE54" s="125"/>
      <c r="AF54" s="125"/>
      <c r="AG54" s="125"/>
      <c r="AH54" s="125"/>
      <c r="AI54" s="125"/>
      <c r="AJ54" s="125"/>
      <c r="AK54" s="125"/>
      <c r="AL54" s="125"/>
      <c r="AM54" s="125"/>
      <c r="AN54" s="125"/>
      <c r="AO54" s="125"/>
      <c r="AP54" s="125"/>
      <c r="AQ54" s="125"/>
      <c r="AR54" s="125"/>
      <c r="AS54" s="125"/>
      <c r="AT54" s="125"/>
      <c r="AU54" s="125"/>
      <c r="AV54" s="125"/>
      <c r="AW54" s="125"/>
      <c r="AX54" s="125"/>
      <c r="AY54" s="125"/>
    </row>
    <row r="55" spans="1:51" x14ac:dyDescent="0.2">
      <c r="A55" s="124"/>
      <c r="B55" s="133">
        <v>11</v>
      </c>
      <c r="C55" s="124" t="s">
        <v>293</v>
      </c>
      <c r="D55" s="125"/>
      <c r="E55" s="125"/>
      <c r="F55" s="125"/>
      <c r="G55" s="125"/>
      <c r="H55" s="125"/>
      <c r="I55" s="125"/>
      <c r="J55" s="125"/>
      <c r="K55" s="125"/>
      <c r="L55" s="125"/>
      <c r="M55" s="125"/>
      <c r="N55" s="125"/>
      <c r="O55" s="125"/>
      <c r="P55" s="125"/>
      <c r="Q55" s="125"/>
      <c r="R55" s="125"/>
      <c r="S55" s="125"/>
      <c r="T55" s="125"/>
      <c r="U55" s="125"/>
      <c r="V55" s="125"/>
      <c r="W55" s="125"/>
      <c r="X55" s="125"/>
      <c r="Y55" s="125"/>
      <c r="Z55" s="125"/>
      <c r="AA55" s="125"/>
      <c r="AB55" s="125"/>
      <c r="AC55" s="125"/>
      <c r="AD55" s="125"/>
      <c r="AE55" s="125"/>
      <c r="AF55" s="125"/>
      <c r="AG55" s="125"/>
      <c r="AH55" s="125"/>
      <c r="AI55" s="125"/>
      <c r="AJ55" s="125"/>
      <c r="AK55" s="125"/>
      <c r="AL55" s="125"/>
      <c r="AM55" s="125"/>
      <c r="AN55" s="125"/>
      <c r="AO55" s="125"/>
      <c r="AP55" s="125"/>
      <c r="AQ55" s="125"/>
      <c r="AR55" s="125"/>
      <c r="AS55" s="125"/>
      <c r="AT55" s="125"/>
      <c r="AU55" s="125"/>
      <c r="AV55" s="125"/>
      <c r="AW55" s="125"/>
      <c r="AX55" s="125"/>
      <c r="AY55" s="125"/>
    </row>
    <row r="56" spans="1:51" x14ac:dyDescent="0.2">
      <c r="A56" s="124"/>
      <c r="B56" s="133">
        <v>12</v>
      </c>
      <c r="C56" s="124" t="s">
        <v>293</v>
      </c>
      <c r="D56" s="125"/>
      <c r="E56" s="125"/>
      <c r="F56" s="125"/>
      <c r="G56" s="125"/>
      <c r="H56" s="125"/>
      <c r="I56" s="125"/>
      <c r="J56" s="125"/>
      <c r="K56" s="125"/>
      <c r="L56" s="125"/>
      <c r="M56" s="125"/>
      <c r="N56" s="125"/>
      <c r="O56" s="125"/>
      <c r="P56" s="125"/>
      <c r="Q56" s="125"/>
      <c r="R56" s="125"/>
      <c r="S56" s="125"/>
      <c r="T56" s="125"/>
      <c r="U56" s="125"/>
      <c r="V56" s="125"/>
      <c r="W56" s="125"/>
      <c r="X56" s="125"/>
      <c r="Y56" s="125"/>
      <c r="Z56" s="125"/>
      <c r="AA56" s="125"/>
      <c r="AB56" s="125"/>
      <c r="AC56" s="125"/>
      <c r="AD56" s="125"/>
      <c r="AE56" s="125"/>
      <c r="AF56" s="125"/>
      <c r="AG56" s="125"/>
      <c r="AH56" s="125"/>
      <c r="AI56" s="125"/>
      <c r="AJ56" s="125"/>
      <c r="AK56" s="125"/>
      <c r="AL56" s="125"/>
      <c r="AM56" s="125"/>
      <c r="AN56" s="125"/>
      <c r="AO56" s="125"/>
      <c r="AP56" s="125"/>
      <c r="AQ56" s="125"/>
      <c r="AR56" s="125"/>
      <c r="AS56" s="125"/>
      <c r="AT56" s="125"/>
      <c r="AU56" s="125"/>
      <c r="AV56" s="125"/>
      <c r="AW56" s="125"/>
      <c r="AX56" s="125"/>
      <c r="AY56" s="125"/>
    </row>
    <row r="57" spans="1:51" x14ac:dyDescent="0.2">
      <c r="A57" s="124"/>
      <c r="B57" s="134">
        <v>13</v>
      </c>
      <c r="C57" s="124" t="s">
        <v>293</v>
      </c>
      <c r="D57" s="125"/>
      <c r="E57" s="125"/>
      <c r="F57" s="125"/>
      <c r="G57" s="125"/>
      <c r="H57" s="125"/>
      <c r="I57" s="125"/>
      <c r="J57" s="125"/>
      <c r="K57" s="125"/>
      <c r="L57" s="125"/>
      <c r="M57" s="125"/>
      <c r="N57" s="125"/>
      <c r="O57" s="125"/>
      <c r="P57" s="125"/>
      <c r="Q57" s="125"/>
      <c r="R57" s="125"/>
      <c r="S57" s="125"/>
      <c r="T57" s="125"/>
      <c r="U57" s="125"/>
      <c r="V57" s="125"/>
      <c r="W57" s="125"/>
      <c r="X57" s="125"/>
      <c r="Y57" s="125"/>
      <c r="Z57" s="125"/>
      <c r="AA57" s="125"/>
      <c r="AB57" s="125"/>
      <c r="AC57" s="125"/>
      <c r="AD57" s="125"/>
      <c r="AE57" s="125"/>
      <c r="AF57" s="125"/>
      <c r="AG57" s="125"/>
      <c r="AH57" s="125"/>
      <c r="AI57" s="125"/>
      <c r="AJ57" s="125"/>
      <c r="AK57" s="125"/>
      <c r="AL57" s="125"/>
      <c r="AM57" s="125"/>
      <c r="AN57" s="125"/>
      <c r="AO57" s="125"/>
      <c r="AP57" s="125"/>
      <c r="AQ57" s="125"/>
      <c r="AR57" s="125"/>
      <c r="AS57" s="125"/>
      <c r="AT57" s="125"/>
      <c r="AU57" s="125"/>
      <c r="AV57" s="125"/>
      <c r="AW57" s="125"/>
      <c r="AX57" s="125"/>
      <c r="AY57" s="125"/>
    </row>
    <row r="58" spans="1:51" x14ac:dyDescent="0.2">
      <c r="A58" s="124"/>
      <c r="B58" s="134">
        <v>14</v>
      </c>
      <c r="C58" s="124" t="s">
        <v>293</v>
      </c>
      <c r="D58" s="125"/>
      <c r="E58" s="125"/>
      <c r="F58" s="125"/>
      <c r="G58" s="125"/>
      <c r="H58" s="125"/>
      <c r="I58" s="125"/>
      <c r="J58" s="125"/>
      <c r="K58" s="125"/>
      <c r="L58" s="125"/>
      <c r="M58" s="125"/>
      <c r="N58" s="125"/>
      <c r="O58" s="125"/>
      <c r="P58" s="125"/>
      <c r="Q58" s="125"/>
      <c r="R58" s="125"/>
      <c r="S58" s="125"/>
      <c r="T58" s="125"/>
      <c r="U58" s="125"/>
      <c r="V58" s="125"/>
      <c r="W58" s="125"/>
      <c r="X58" s="125"/>
      <c r="Y58" s="125"/>
      <c r="Z58" s="125"/>
      <c r="AA58" s="125"/>
      <c r="AB58" s="125"/>
      <c r="AC58" s="125"/>
      <c r="AD58" s="125"/>
      <c r="AE58" s="125"/>
      <c r="AF58" s="125"/>
      <c r="AG58" s="125"/>
      <c r="AH58" s="125"/>
      <c r="AI58" s="125"/>
      <c r="AJ58" s="125"/>
      <c r="AK58" s="125"/>
      <c r="AL58" s="125"/>
      <c r="AM58" s="125"/>
      <c r="AN58" s="125"/>
      <c r="AO58" s="125"/>
      <c r="AP58" s="125"/>
      <c r="AQ58" s="125"/>
      <c r="AR58" s="125"/>
      <c r="AS58" s="125"/>
      <c r="AT58" s="125"/>
      <c r="AU58" s="125"/>
      <c r="AV58" s="125"/>
      <c r="AW58" s="125"/>
      <c r="AX58" s="125"/>
      <c r="AY58" s="125"/>
    </row>
    <row r="59" spans="1:51" x14ac:dyDescent="0.2">
      <c r="A59" s="124"/>
      <c r="B59" s="134">
        <v>15</v>
      </c>
      <c r="C59" s="124" t="s">
        <v>293</v>
      </c>
      <c r="D59" s="125"/>
      <c r="E59" s="125"/>
      <c r="F59" s="125"/>
      <c r="G59" s="125"/>
      <c r="H59" s="125"/>
      <c r="I59" s="125"/>
      <c r="J59" s="125"/>
      <c r="K59" s="125"/>
      <c r="L59" s="125"/>
      <c r="M59" s="125"/>
      <c r="N59" s="125"/>
      <c r="O59" s="125"/>
      <c r="P59" s="125"/>
      <c r="Q59" s="125"/>
      <c r="R59" s="125"/>
      <c r="S59" s="125"/>
      <c r="T59" s="125"/>
      <c r="U59" s="125"/>
      <c r="V59" s="125"/>
      <c r="W59" s="125"/>
      <c r="X59" s="125"/>
      <c r="Y59" s="125"/>
      <c r="Z59" s="125"/>
      <c r="AA59" s="125"/>
      <c r="AB59" s="125"/>
      <c r="AC59" s="125"/>
      <c r="AD59" s="125"/>
      <c r="AE59" s="125"/>
      <c r="AF59" s="125"/>
      <c r="AG59" s="125"/>
      <c r="AH59" s="125"/>
      <c r="AI59" s="125"/>
      <c r="AJ59" s="125"/>
      <c r="AK59" s="125"/>
      <c r="AL59" s="125"/>
      <c r="AM59" s="125"/>
      <c r="AN59" s="125"/>
      <c r="AO59" s="125"/>
      <c r="AP59" s="125"/>
      <c r="AQ59" s="125"/>
      <c r="AR59" s="125"/>
      <c r="AS59" s="125"/>
      <c r="AT59" s="125"/>
      <c r="AU59" s="125"/>
      <c r="AV59" s="125"/>
      <c r="AW59" s="125"/>
      <c r="AX59" s="125"/>
      <c r="AY59" s="125"/>
    </row>
    <row r="60" spans="1:51" x14ac:dyDescent="0.2">
      <c r="A60" s="124"/>
      <c r="B60" s="134">
        <v>16</v>
      </c>
      <c r="C60" s="124" t="s">
        <v>293</v>
      </c>
      <c r="D60" s="125"/>
      <c r="E60" s="125"/>
      <c r="F60" s="125"/>
      <c r="G60" s="125"/>
      <c r="H60" s="125"/>
      <c r="I60" s="125"/>
      <c r="J60" s="125"/>
      <c r="K60" s="125"/>
      <c r="L60" s="125"/>
      <c r="M60" s="125"/>
      <c r="N60" s="125"/>
      <c r="O60" s="125"/>
      <c r="P60" s="125"/>
      <c r="Q60" s="125"/>
      <c r="R60" s="125"/>
      <c r="S60" s="125"/>
      <c r="T60" s="125"/>
      <c r="U60" s="125"/>
      <c r="V60" s="125"/>
      <c r="W60" s="125"/>
      <c r="X60" s="125"/>
      <c r="Y60" s="125"/>
      <c r="Z60" s="125"/>
      <c r="AA60" s="125"/>
      <c r="AB60" s="125"/>
      <c r="AC60" s="125"/>
      <c r="AD60" s="125"/>
      <c r="AE60" s="125"/>
      <c r="AF60" s="125"/>
      <c r="AG60" s="125"/>
      <c r="AH60" s="125"/>
      <c r="AI60" s="125"/>
      <c r="AJ60" s="125"/>
      <c r="AK60" s="125"/>
      <c r="AL60" s="125"/>
      <c r="AM60" s="125"/>
      <c r="AN60" s="125"/>
      <c r="AO60" s="125"/>
      <c r="AP60" s="125"/>
      <c r="AQ60" s="125"/>
      <c r="AR60" s="125"/>
      <c r="AS60" s="125"/>
      <c r="AT60" s="125"/>
      <c r="AU60" s="125"/>
      <c r="AV60" s="125"/>
      <c r="AW60" s="125"/>
      <c r="AX60" s="125"/>
      <c r="AY60" s="125"/>
    </row>
    <row r="61" spans="1:51" x14ac:dyDescent="0.2">
      <c r="A61" s="124"/>
      <c r="B61" s="134">
        <v>17</v>
      </c>
      <c r="C61" s="124" t="s">
        <v>293</v>
      </c>
      <c r="D61" s="125"/>
      <c r="E61" s="125"/>
      <c r="F61" s="125"/>
      <c r="G61" s="125"/>
      <c r="H61" s="125"/>
      <c r="I61" s="125"/>
      <c r="J61" s="125"/>
      <c r="K61" s="125"/>
      <c r="L61" s="125"/>
      <c r="M61" s="125"/>
      <c r="N61" s="125"/>
      <c r="O61" s="125"/>
      <c r="P61" s="125"/>
      <c r="Q61" s="125"/>
      <c r="R61" s="125"/>
      <c r="S61" s="125"/>
      <c r="T61" s="125"/>
      <c r="U61" s="125"/>
      <c r="V61" s="125"/>
      <c r="W61" s="125"/>
      <c r="X61" s="125"/>
      <c r="Y61" s="125"/>
      <c r="Z61" s="125"/>
      <c r="AA61" s="125"/>
      <c r="AB61" s="125"/>
      <c r="AC61" s="125"/>
      <c r="AD61" s="125"/>
      <c r="AE61" s="125"/>
      <c r="AF61" s="125"/>
      <c r="AG61" s="125"/>
      <c r="AH61" s="125"/>
      <c r="AI61" s="125"/>
      <c r="AJ61" s="125"/>
      <c r="AK61" s="125"/>
      <c r="AL61" s="125"/>
      <c r="AM61" s="125"/>
      <c r="AN61" s="125"/>
      <c r="AO61" s="125"/>
      <c r="AP61" s="125"/>
      <c r="AQ61" s="125"/>
      <c r="AR61" s="125"/>
      <c r="AS61" s="125"/>
      <c r="AT61" s="125"/>
      <c r="AU61" s="125"/>
      <c r="AV61" s="125"/>
      <c r="AW61" s="125"/>
      <c r="AX61" s="125"/>
      <c r="AY61" s="125"/>
    </row>
    <row r="62" spans="1:51" x14ac:dyDescent="0.2">
      <c r="A62" s="124"/>
      <c r="B62" s="134">
        <v>18</v>
      </c>
      <c r="C62" s="124" t="s">
        <v>293</v>
      </c>
      <c r="D62" s="125"/>
      <c r="E62" s="125"/>
      <c r="F62" s="125"/>
      <c r="G62" s="125"/>
      <c r="H62" s="125"/>
      <c r="I62" s="125"/>
      <c r="J62" s="125"/>
      <c r="K62" s="125"/>
      <c r="L62" s="125"/>
      <c r="M62" s="125"/>
      <c r="N62" s="125"/>
      <c r="O62" s="125"/>
      <c r="P62" s="125"/>
      <c r="Q62" s="125"/>
      <c r="R62" s="125"/>
      <c r="S62" s="125"/>
      <c r="T62" s="125"/>
      <c r="U62" s="125"/>
      <c r="V62" s="125"/>
      <c r="W62" s="125"/>
      <c r="X62" s="125"/>
      <c r="Y62" s="125"/>
      <c r="Z62" s="125"/>
      <c r="AA62" s="125"/>
      <c r="AB62" s="125"/>
      <c r="AC62" s="125"/>
      <c r="AD62" s="125"/>
      <c r="AE62" s="125"/>
      <c r="AF62" s="125"/>
      <c r="AG62" s="125"/>
      <c r="AH62" s="125"/>
      <c r="AI62" s="125"/>
      <c r="AJ62" s="125"/>
      <c r="AK62" s="125"/>
      <c r="AL62" s="125"/>
      <c r="AM62" s="125"/>
      <c r="AN62" s="125"/>
      <c r="AO62" s="125"/>
      <c r="AP62" s="125"/>
      <c r="AQ62" s="125"/>
      <c r="AR62" s="125"/>
      <c r="AS62" s="125"/>
      <c r="AT62" s="125"/>
      <c r="AU62" s="125"/>
      <c r="AV62" s="125"/>
      <c r="AW62" s="125"/>
      <c r="AX62" s="125"/>
      <c r="AY62" s="125"/>
    </row>
    <row r="63" spans="1:51" x14ac:dyDescent="0.2">
      <c r="A63" s="124"/>
      <c r="B63" s="134">
        <v>19</v>
      </c>
      <c r="C63" s="124" t="s">
        <v>293</v>
      </c>
      <c r="D63" s="125"/>
      <c r="E63" s="125"/>
      <c r="F63" s="125"/>
      <c r="G63" s="125"/>
      <c r="H63" s="125"/>
      <c r="I63" s="125"/>
      <c r="J63" s="125"/>
      <c r="K63" s="125"/>
      <c r="L63" s="125"/>
      <c r="M63" s="125"/>
      <c r="N63" s="125"/>
      <c r="O63" s="125"/>
      <c r="P63" s="125"/>
      <c r="Q63" s="125"/>
      <c r="R63" s="125"/>
      <c r="S63" s="125"/>
      <c r="T63" s="125"/>
      <c r="U63" s="125"/>
      <c r="V63" s="125"/>
      <c r="W63" s="125"/>
      <c r="X63" s="125"/>
      <c r="Y63" s="125"/>
      <c r="Z63" s="125"/>
      <c r="AA63" s="125"/>
      <c r="AB63" s="125"/>
      <c r="AC63" s="125"/>
      <c r="AD63" s="125"/>
      <c r="AE63" s="125"/>
      <c r="AF63" s="125"/>
      <c r="AG63" s="125"/>
      <c r="AH63" s="125"/>
      <c r="AI63" s="125"/>
      <c r="AJ63" s="125"/>
      <c r="AK63" s="125"/>
      <c r="AL63" s="125"/>
      <c r="AM63" s="125"/>
      <c r="AN63" s="125"/>
      <c r="AO63" s="125"/>
      <c r="AP63" s="125"/>
      <c r="AQ63" s="125"/>
      <c r="AR63" s="125"/>
      <c r="AS63" s="125"/>
      <c r="AT63" s="125"/>
      <c r="AU63" s="125"/>
      <c r="AV63" s="125"/>
      <c r="AW63" s="125"/>
      <c r="AX63" s="125"/>
      <c r="AY63" s="125"/>
    </row>
    <row r="64" spans="1:51" x14ac:dyDescent="0.2">
      <c r="A64" s="124"/>
      <c r="B64" s="134">
        <v>20</v>
      </c>
      <c r="C64" s="124" t="s">
        <v>293</v>
      </c>
      <c r="D64" s="125"/>
      <c r="E64" s="125"/>
      <c r="F64" s="125"/>
      <c r="G64" s="125"/>
      <c r="H64" s="125"/>
      <c r="I64" s="125"/>
      <c r="J64" s="125"/>
      <c r="K64" s="125"/>
      <c r="L64" s="125"/>
      <c r="M64" s="125"/>
      <c r="N64" s="125"/>
      <c r="O64" s="125"/>
      <c r="P64" s="125"/>
      <c r="Q64" s="125"/>
      <c r="R64" s="125"/>
      <c r="S64" s="125"/>
      <c r="T64" s="125"/>
      <c r="U64" s="125"/>
      <c r="V64" s="125"/>
      <c r="W64" s="125"/>
      <c r="X64" s="125"/>
      <c r="Y64" s="125"/>
      <c r="Z64" s="125"/>
      <c r="AA64" s="125"/>
      <c r="AB64" s="125"/>
      <c r="AC64" s="125"/>
      <c r="AD64" s="125"/>
      <c r="AE64" s="125"/>
      <c r="AF64" s="125"/>
      <c r="AG64" s="125"/>
      <c r="AH64" s="125"/>
      <c r="AI64" s="125"/>
      <c r="AJ64" s="125"/>
      <c r="AK64" s="125"/>
      <c r="AL64" s="125"/>
      <c r="AM64" s="125"/>
      <c r="AN64" s="125"/>
      <c r="AO64" s="125"/>
      <c r="AP64" s="125"/>
      <c r="AQ64" s="125"/>
      <c r="AR64" s="125"/>
      <c r="AS64" s="125"/>
      <c r="AT64" s="125"/>
      <c r="AU64" s="125"/>
      <c r="AV64" s="125"/>
      <c r="AW64" s="125"/>
      <c r="AX64" s="125"/>
      <c r="AY64" s="125"/>
    </row>
    <row r="65" spans="1:51" x14ac:dyDescent="0.2">
      <c r="A65" s="124"/>
      <c r="B65" s="134">
        <v>21</v>
      </c>
      <c r="C65" s="124" t="s">
        <v>293</v>
      </c>
      <c r="D65" s="125"/>
      <c r="E65" s="125"/>
      <c r="F65" s="125"/>
      <c r="G65" s="125"/>
      <c r="H65" s="125"/>
      <c r="I65" s="125"/>
      <c r="J65" s="125"/>
      <c r="K65" s="125"/>
      <c r="L65" s="125"/>
      <c r="M65" s="125"/>
      <c r="N65" s="125"/>
      <c r="O65" s="125"/>
      <c r="P65" s="125"/>
      <c r="Q65" s="125"/>
      <c r="R65" s="125"/>
      <c r="S65" s="125"/>
      <c r="T65" s="125"/>
      <c r="U65" s="125"/>
      <c r="V65" s="125"/>
      <c r="W65" s="125"/>
      <c r="X65" s="125"/>
      <c r="Y65" s="125"/>
      <c r="Z65" s="125"/>
      <c r="AA65" s="125"/>
      <c r="AB65" s="125"/>
      <c r="AC65" s="125"/>
      <c r="AD65" s="125"/>
      <c r="AE65" s="125"/>
      <c r="AF65" s="125"/>
      <c r="AG65" s="125"/>
      <c r="AH65" s="125"/>
      <c r="AI65" s="125"/>
      <c r="AJ65" s="125"/>
      <c r="AK65" s="125"/>
      <c r="AL65" s="125"/>
      <c r="AM65" s="125"/>
      <c r="AN65" s="125"/>
      <c r="AO65" s="125"/>
      <c r="AP65" s="125"/>
      <c r="AQ65" s="125"/>
      <c r="AR65" s="125"/>
      <c r="AS65" s="125"/>
      <c r="AT65" s="125"/>
      <c r="AU65" s="125"/>
      <c r="AV65" s="125"/>
      <c r="AW65" s="125"/>
      <c r="AX65" s="125"/>
      <c r="AY65" s="125"/>
    </row>
    <row r="66" spans="1:51" x14ac:dyDescent="0.2">
      <c r="A66" s="124"/>
      <c r="B66" s="134">
        <v>22</v>
      </c>
      <c r="C66" s="124" t="s">
        <v>293</v>
      </c>
      <c r="D66" s="125"/>
      <c r="E66" s="125"/>
      <c r="F66" s="125"/>
      <c r="G66" s="125"/>
      <c r="H66" s="125"/>
      <c r="I66" s="125"/>
      <c r="J66" s="125"/>
      <c r="K66" s="125"/>
      <c r="L66" s="125"/>
      <c r="M66" s="125"/>
      <c r="N66" s="125"/>
      <c r="O66" s="125"/>
      <c r="P66" s="125"/>
      <c r="Q66" s="125"/>
      <c r="R66" s="125"/>
      <c r="S66" s="125"/>
      <c r="T66" s="125"/>
      <c r="U66" s="125"/>
      <c r="V66" s="125"/>
      <c r="W66" s="125"/>
      <c r="X66" s="125"/>
      <c r="Y66" s="125"/>
      <c r="Z66" s="125"/>
      <c r="AA66" s="125"/>
      <c r="AB66" s="125"/>
      <c r="AC66" s="125"/>
      <c r="AD66" s="125"/>
      <c r="AE66" s="125"/>
      <c r="AF66" s="125"/>
      <c r="AG66" s="125"/>
      <c r="AH66" s="125"/>
      <c r="AI66" s="125"/>
      <c r="AJ66" s="125"/>
      <c r="AK66" s="125"/>
      <c r="AL66" s="125"/>
      <c r="AM66" s="125"/>
      <c r="AN66" s="125"/>
      <c r="AO66" s="125"/>
      <c r="AP66" s="125"/>
      <c r="AQ66" s="125"/>
      <c r="AR66" s="125"/>
      <c r="AS66" s="125"/>
      <c r="AT66" s="125"/>
      <c r="AU66" s="125"/>
      <c r="AV66" s="125"/>
      <c r="AW66" s="125"/>
      <c r="AX66" s="125"/>
      <c r="AY66" s="125"/>
    </row>
    <row r="67" spans="1:51" x14ac:dyDescent="0.2">
      <c r="A67" s="124"/>
      <c r="B67" s="134">
        <v>23</v>
      </c>
      <c r="C67" s="124" t="s">
        <v>293</v>
      </c>
      <c r="D67" s="125"/>
      <c r="E67" s="125"/>
      <c r="F67" s="125"/>
      <c r="G67" s="125"/>
      <c r="H67" s="125"/>
      <c r="I67" s="125"/>
      <c r="J67" s="125"/>
      <c r="K67" s="125"/>
      <c r="L67" s="125"/>
      <c r="M67" s="125"/>
      <c r="N67" s="125"/>
      <c r="O67" s="125"/>
      <c r="P67" s="125"/>
      <c r="Q67" s="125"/>
      <c r="R67" s="125"/>
      <c r="S67" s="125"/>
      <c r="T67" s="125"/>
      <c r="U67" s="125"/>
      <c r="V67" s="125"/>
      <c r="W67" s="125"/>
      <c r="X67" s="125"/>
      <c r="Y67" s="125"/>
      <c r="Z67" s="125"/>
      <c r="AA67" s="125"/>
      <c r="AB67" s="125"/>
      <c r="AC67" s="125"/>
      <c r="AD67" s="125"/>
      <c r="AE67" s="125"/>
      <c r="AF67" s="125"/>
      <c r="AG67" s="125"/>
      <c r="AH67" s="125"/>
      <c r="AI67" s="125"/>
      <c r="AJ67" s="125"/>
      <c r="AK67" s="125"/>
      <c r="AL67" s="125"/>
      <c r="AM67" s="125"/>
      <c r="AN67" s="125"/>
      <c r="AO67" s="125"/>
      <c r="AP67" s="125"/>
      <c r="AQ67" s="125"/>
      <c r="AR67" s="125"/>
      <c r="AS67" s="125"/>
      <c r="AT67" s="125"/>
      <c r="AU67" s="125"/>
      <c r="AV67" s="125"/>
      <c r="AW67" s="125"/>
      <c r="AX67" s="125"/>
      <c r="AY67" s="125"/>
    </row>
    <row r="68" spans="1:51" x14ac:dyDescent="0.2">
      <c r="A68" s="124"/>
      <c r="B68" s="134">
        <v>24</v>
      </c>
      <c r="C68" s="124" t="s">
        <v>293</v>
      </c>
      <c r="D68" s="125"/>
      <c r="E68" s="125"/>
      <c r="F68" s="125"/>
      <c r="G68" s="125"/>
      <c r="H68" s="125"/>
      <c r="I68" s="125"/>
      <c r="J68" s="125"/>
      <c r="K68" s="125"/>
      <c r="L68" s="125"/>
      <c r="M68" s="125"/>
      <c r="N68" s="125"/>
      <c r="O68" s="125"/>
      <c r="P68" s="125"/>
      <c r="Q68" s="125"/>
      <c r="R68" s="125"/>
      <c r="S68" s="125"/>
      <c r="T68" s="125"/>
      <c r="U68" s="125"/>
      <c r="V68" s="125"/>
      <c r="W68" s="125"/>
      <c r="X68" s="125"/>
      <c r="Y68" s="125"/>
      <c r="Z68" s="125"/>
      <c r="AA68" s="125"/>
      <c r="AB68" s="125"/>
      <c r="AC68" s="125"/>
      <c r="AD68" s="125"/>
      <c r="AE68" s="125"/>
      <c r="AF68" s="125"/>
      <c r="AG68" s="125"/>
      <c r="AH68" s="125"/>
      <c r="AI68" s="125"/>
      <c r="AJ68" s="125"/>
      <c r="AK68" s="125"/>
      <c r="AL68" s="125"/>
      <c r="AM68" s="125"/>
      <c r="AN68" s="125"/>
      <c r="AO68" s="125"/>
      <c r="AP68" s="125"/>
      <c r="AQ68" s="125"/>
      <c r="AR68" s="125"/>
      <c r="AS68" s="125"/>
      <c r="AT68" s="125"/>
      <c r="AU68" s="125"/>
      <c r="AV68" s="125"/>
      <c r="AW68" s="125"/>
      <c r="AX68" s="125"/>
      <c r="AY68" s="125"/>
    </row>
    <row r="69" spans="1:51" x14ac:dyDescent="0.2">
      <c r="A69" s="124"/>
      <c r="B69" s="141">
        <v>25</v>
      </c>
      <c r="C69" s="124" t="s">
        <v>293</v>
      </c>
      <c r="D69" s="125"/>
      <c r="E69" s="125"/>
      <c r="F69" s="125"/>
      <c r="G69" s="125"/>
      <c r="H69" s="125"/>
      <c r="I69" s="125"/>
      <c r="J69" s="125"/>
      <c r="K69" s="125"/>
      <c r="L69" s="125"/>
      <c r="M69" s="125"/>
      <c r="N69" s="125"/>
      <c r="O69" s="125"/>
      <c r="P69" s="125"/>
      <c r="Q69" s="125"/>
      <c r="R69" s="125"/>
      <c r="S69" s="125"/>
      <c r="T69" s="125"/>
      <c r="U69" s="125"/>
      <c r="V69" s="125"/>
      <c r="W69" s="125"/>
      <c r="X69" s="125"/>
      <c r="Y69" s="125"/>
      <c r="Z69" s="125"/>
      <c r="AA69" s="125"/>
      <c r="AB69" s="125"/>
      <c r="AC69" s="125"/>
      <c r="AD69" s="125"/>
      <c r="AE69" s="125"/>
      <c r="AF69" s="125"/>
      <c r="AG69" s="125"/>
      <c r="AH69" s="125"/>
      <c r="AI69" s="125"/>
      <c r="AJ69" s="125"/>
      <c r="AK69" s="125"/>
      <c r="AL69" s="125"/>
      <c r="AM69" s="125"/>
      <c r="AN69" s="125"/>
      <c r="AO69" s="125"/>
      <c r="AP69" s="125"/>
      <c r="AQ69" s="125"/>
      <c r="AR69" s="125"/>
      <c r="AS69" s="125"/>
      <c r="AT69" s="125"/>
      <c r="AU69" s="125"/>
      <c r="AV69" s="125"/>
      <c r="AW69" s="125"/>
      <c r="AX69" s="125"/>
      <c r="AY69" s="125"/>
    </row>
    <row r="70" spans="1:51" x14ac:dyDescent="0.2">
      <c r="A70" s="124"/>
      <c r="B70" s="141">
        <v>26</v>
      </c>
      <c r="C70" s="124" t="s">
        <v>293</v>
      </c>
      <c r="D70" s="125"/>
      <c r="E70" s="125"/>
      <c r="F70" s="125"/>
      <c r="G70" s="125"/>
      <c r="H70" s="125"/>
      <c r="I70" s="125"/>
      <c r="J70" s="125"/>
      <c r="K70" s="125"/>
      <c r="L70" s="125"/>
      <c r="M70" s="125"/>
      <c r="N70" s="125"/>
      <c r="O70" s="125"/>
      <c r="P70" s="125"/>
      <c r="Q70" s="125"/>
      <c r="R70" s="125"/>
      <c r="S70" s="125"/>
      <c r="T70" s="125"/>
      <c r="U70" s="125"/>
      <c r="V70" s="125"/>
      <c r="W70" s="125"/>
      <c r="X70" s="125"/>
      <c r="Y70" s="125"/>
      <c r="Z70" s="125"/>
      <c r="AA70" s="125"/>
      <c r="AB70" s="125"/>
      <c r="AC70" s="125"/>
      <c r="AD70" s="125"/>
      <c r="AE70" s="125"/>
      <c r="AF70" s="125"/>
      <c r="AG70" s="125"/>
      <c r="AH70" s="125"/>
      <c r="AI70" s="125"/>
      <c r="AJ70" s="125"/>
      <c r="AK70" s="125"/>
      <c r="AL70" s="125"/>
      <c r="AM70" s="125"/>
      <c r="AN70" s="125"/>
      <c r="AO70" s="125"/>
      <c r="AP70" s="125"/>
      <c r="AQ70" s="125"/>
      <c r="AR70" s="125"/>
      <c r="AS70" s="125"/>
      <c r="AT70" s="125"/>
      <c r="AU70" s="125"/>
      <c r="AV70" s="125"/>
      <c r="AW70" s="125"/>
      <c r="AX70" s="125"/>
      <c r="AY70" s="125"/>
    </row>
    <row r="71" spans="1:51" x14ac:dyDescent="0.2">
      <c r="A71" s="124"/>
      <c r="B71" s="141">
        <v>27</v>
      </c>
      <c r="C71" s="124" t="s">
        <v>293</v>
      </c>
      <c r="D71" s="125"/>
      <c r="E71" s="125"/>
      <c r="F71" s="125"/>
      <c r="G71" s="125"/>
      <c r="H71" s="125"/>
      <c r="I71" s="125"/>
      <c r="J71" s="125"/>
      <c r="K71" s="125"/>
      <c r="L71" s="125"/>
      <c r="M71" s="125"/>
      <c r="N71" s="125"/>
      <c r="O71" s="125"/>
      <c r="P71" s="125"/>
      <c r="Q71" s="125"/>
      <c r="R71" s="125"/>
      <c r="S71" s="125"/>
      <c r="T71" s="125"/>
      <c r="U71" s="125"/>
      <c r="V71" s="125"/>
      <c r="W71" s="125"/>
      <c r="X71" s="125"/>
      <c r="Y71" s="125"/>
      <c r="Z71" s="125"/>
      <c r="AA71" s="125"/>
      <c r="AB71" s="125"/>
      <c r="AC71" s="125"/>
      <c r="AD71" s="125"/>
      <c r="AE71" s="125"/>
      <c r="AF71" s="125"/>
      <c r="AG71" s="125"/>
      <c r="AH71" s="125"/>
      <c r="AI71" s="125"/>
      <c r="AJ71" s="125"/>
      <c r="AK71" s="125"/>
      <c r="AL71" s="125"/>
      <c r="AM71" s="125"/>
      <c r="AN71" s="125"/>
      <c r="AO71" s="125"/>
      <c r="AP71" s="125"/>
      <c r="AQ71" s="125"/>
      <c r="AR71" s="125"/>
      <c r="AS71" s="125"/>
      <c r="AT71" s="125"/>
      <c r="AU71" s="125"/>
      <c r="AV71" s="125"/>
      <c r="AW71" s="125"/>
      <c r="AX71" s="125"/>
      <c r="AY71" s="125"/>
    </row>
    <row r="72" spans="1:51" x14ac:dyDescent="0.2">
      <c r="A72" s="124"/>
      <c r="B72" s="141">
        <v>28</v>
      </c>
      <c r="C72" s="124" t="s">
        <v>293</v>
      </c>
      <c r="D72" s="125"/>
      <c r="E72" s="125"/>
      <c r="F72" s="125"/>
      <c r="G72" s="125"/>
      <c r="H72" s="125"/>
      <c r="I72" s="125"/>
      <c r="J72" s="125"/>
      <c r="K72" s="125"/>
      <c r="L72" s="125"/>
      <c r="M72" s="125"/>
      <c r="N72" s="125"/>
      <c r="O72" s="125"/>
      <c r="P72" s="125"/>
      <c r="Q72" s="125"/>
      <c r="R72" s="125"/>
      <c r="S72" s="125"/>
      <c r="T72" s="125"/>
      <c r="U72" s="125"/>
      <c r="V72" s="125"/>
      <c r="W72" s="125"/>
      <c r="X72" s="125"/>
      <c r="Y72" s="125"/>
      <c r="Z72" s="125"/>
      <c r="AA72" s="125"/>
      <c r="AB72" s="125"/>
      <c r="AC72" s="125"/>
      <c r="AD72" s="125"/>
      <c r="AE72" s="125"/>
      <c r="AF72" s="125"/>
      <c r="AG72" s="125"/>
      <c r="AH72" s="125"/>
      <c r="AI72" s="125"/>
      <c r="AJ72" s="125"/>
      <c r="AK72" s="125"/>
      <c r="AL72" s="125"/>
      <c r="AM72" s="125"/>
      <c r="AN72" s="125"/>
      <c r="AO72" s="125"/>
      <c r="AP72" s="125"/>
      <c r="AQ72" s="125"/>
      <c r="AR72" s="125"/>
      <c r="AS72" s="125"/>
      <c r="AT72" s="125"/>
      <c r="AU72" s="125"/>
      <c r="AV72" s="125"/>
      <c r="AW72" s="125"/>
      <c r="AX72" s="125"/>
      <c r="AY72" s="125"/>
    </row>
    <row r="73" spans="1:51" x14ac:dyDescent="0.2">
      <c r="A73" s="124"/>
      <c r="B73" s="141">
        <v>29</v>
      </c>
      <c r="C73" s="124" t="s">
        <v>293</v>
      </c>
      <c r="D73" s="125"/>
      <c r="E73" s="125"/>
      <c r="F73" s="125"/>
      <c r="G73" s="125"/>
      <c r="H73" s="125"/>
      <c r="I73" s="125"/>
      <c r="J73" s="125"/>
      <c r="K73" s="125"/>
      <c r="L73" s="125"/>
      <c r="M73" s="125"/>
      <c r="N73" s="125"/>
      <c r="O73" s="125"/>
      <c r="P73" s="125"/>
      <c r="Q73" s="125"/>
      <c r="R73" s="125"/>
      <c r="S73" s="125"/>
      <c r="T73" s="125"/>
      <c r="U73" s="125"/>
      <c r="V73" s="125"/>
      <c r="W73" s="125"/>
      <c r="X73" s="125"/>
      <c r="Y73" s="125"/>
      <c r="Z73" s="125"/>
      <c r="AA73" s="125"/>
      <c r="AB73" s="125"/>
      <c r="AC73" s="125"/>
      <c r="AD73" s="125"/>
      <c r="AE73" s="125"/>
      <c r="AF73" s="125"/>
      <c r="AG73" s="125"/>
      <c r="AH73" s="125"/>
      <c r="AI73" s="125"/>
      <c r="AJ73" s="125"/>
      <c r="AK73" s="125"/>
      <c r="AL73" s="125"/>
      <c r="AM73" s="125"/>
      <c r="AN73" s="125"/>
      <c r="AO73" s="125"/>
      <c r="AP73" s="125"/>
      <c r="AQ73" s="125"/>
      <c r="AR73" s="125"/>
      <c r="AS73" s="125"/>
      <c r="AT73" s="125"/>
      <c r="AU73" s="125"/>
      <c r="AV73" s="125"/>
      <c r="AW73" s="125"/>
      <c r="AX73" s="125"/>
      <c r="AY73" s="125"/>
    </row>
    <row r="74" spans="1:51" x14ac:dyDescent="0.2">
      <c r="A74" s="124"/>
      <c r="B74" s="141">
        <v>30</v>
      </c>
      <c r="C74" s="124" t="s">
        <v>293</v>
      </c>
      <c r="D74" s="125"/>
      <c r="E74" s="125"/>
      <c r="F74" s="125"/>
      <c r="G74" s="125"/>
      <c r="H74" s="125"/>
      <c r="I74" s="125"/>
      <c r="J74" s="125"/>
      <c r="K74" s="125"/>
      <c r="L74" s="125"/>
      <c r="M74" s="125"/>
      <c r="N74" s="125"/>
      <c r="O74" s="125"/>
      <c r="P74" s="125"/>
      <c r="Q74" s="125"/>
      <c r="R74" s="125"/>
      <c r="S74" s="125"/>
      <c r="T74" s="125"/>
      <c r="U74" s="125"/>
      <c r="V74" s="125"/>
      <c r="W74" s="125"/>
      <c r="X74" s="125"/>
      <c r="Y74" s="125"/>
      <c r="Z74" s="125"/>
      <c r="AA74" s="125"/>
      <c r="AB74" s="125"/>
      <c r="AC74" s="125"/>
      <c r="AD74" s="125"/>
      <c r="AE74" s="125"/>
      <c r="AF74" s="125"/>
      <c r="AG74" s="125"/>
      <c r="AH74" s="125"/>
      <c r="AI74" s="125"/>
      <c r="AJ74" s="125"/>
      <c r="AK74" s="125"/>
      <c r="AL74" s="125"/>
      <c r="AM74" s="125"/>
      <c r="AN74" s="125"/>
      <c r="AO74" s="125"/>
      <c r="AP74" s="125"/>
      <c r="AQ74" s="125"/>
      <c r="AR74" s="125"/>
      <c r="AS74" s="125"/>
      <c r="AT74" s="125"/>
      <c r="AU74" s="125"/>
      <c r="AV74" s="125"/>
      <c r="AW74" s="125"/>
      <c r="AX74" s="125"/>
      <c r="AY74" s="125"/>
    </row>
    <row r="75" spans="1:51" x14ac:dyDescent="0.2">
      <c r="A75" s="124"/>
      <c r="B75" s="141">
        <v>31</v>
      </c>
      <c r="C75" s="124" t="s">
        <v>293</v>
      </c>
      <c r="D75" s="125"/>
      <c r="E75" s="125"/>
      <c r="F75" s="125"/>
      <c r="G75" s="125"/>
      <c r="H75" s="125"/>
      <c r="I75" s="125"/>
      <c r="J75" s="125"/>
      <c r="K75" s="125"/>
      <c r="L75" s="125"/>
      <c r="M75" s="125"/>
      <c r="N75" s="125"/>
      <c r="O75" s="125"/>
      <c r="P75" s="125"/>
      <c r="Q75" s="125"/>
      <c r="R75" s="125"/>
      <c r="S75" s="125"/>
      <c r="T75" s="125"/>
      <c r="U75" s="125"/>
      <c r="V75" s="125"/>
      <c r="W75" s="125"/>
      <c r="X75" s="125"/>
      <c r="Y75" s="125"/>
      <c r="Z75" s="125"/>
      <c r="AA75" s="125"/>
      <c r="AB75" s="125"/>
      <c r="AC75" s="125"/>
      <c r="AD75" s="125"/>
      <c r="AE75" s="125"/>
      <c r="AF75" s="125"/>
      <c r="AG75" s="125"/>
      <c r="AH75" s="125"/>
      <c r="AI75" s="125"/>
      <c r="AJ75" s="125"/>
      <c r="AK75" s="125"/>
      <c r="AL75" s="125"/>
      <c r="AM75" s="125"/>
      <c r="AN75" s="125"/>
      <c r="AO75" s="125"/>
      <c r="AP75" s="125"/>
      <c r="AQ75" s="125"/>
      <c r="AR75" s="125"/>
      <c r="AS75" s="125"/>
      <c r="AT75" s="125"/>
      <c r="AU75" s="125"/>
      <c r="AV75" s="125"/>
      <c r="AW75" s="125"/>
      <c r="AX75" s="125"/>
      <c r="AY75" s="125"/>
    </row>
    <row r="76" spans="1:51" x14ac:dyDescent="0.2">
      <c r="A76" s="124"/>
      <c r="B76" s="141">
        <v>32</v>
      </c>
      <c r="C76" s="124" t="s">
        <v>293</v>
      </c>
      <c r="D76" s="125"/>
      <c r="E76" s="125"/>
      <c r="F76" s="125"/>
      <c r="G76" s="125"/>
      <c r="H76" s="125"/>
      <c r="I76" s="125"/>
      <c r="J76" s="125"/>
      <c r="K76" s="125"/>
      <c r="L76" s="125"/>
      <c r="M76" s="125"/>
      <c r="N76" s="125"/>
      <c r="O76" s="125"/>
      <c r="P76" s="125"/>
      <c r="Q76" s="125"/>
      <c r="R76" s="125"/>
      <c r="S76" s="125"/>
      <c r="T76" s="125"/>
      <c r="U76" s="125"/>
      <c r="V76" s="125"/>
      <c r="W76" s="125"/>
      <c r="X76" s="125"/>
      <c r="Y76" s="125"/>
      <c r="Z76" s="125"/>
      <c r="AA76" s="125"/>
      <c r="AB76" s="125"/>
      <c r="AC76" s="125"/>
      <c r="AD76" s="125"/>
      <c r="AE76" s="125"/>
      <c r="AF76" s="125"/>
      <c r="AG76" s="125"/>
      <c r="AH76" s="125"/>
      <c r="AI76" s="125"/>
      <c r="AJ76" s="125"/>
      <c r="AK76" s="125"/>
      <c r="AL76" s="125"/>
      <c r="AM76" s="125"/>
      <c r="AN76" s="125"/>
      <c r="AO76" s="125"/>
      <c r="AP76" s="125"/>
      <c r="AQ76" s="125"/>
      <c r="AR76" s="125"/>
      <c r="AS76" s="125"/>
      <c r="AT76" s="125"/>
      <c r="AU76" s="125"/>
      <c r="AV76" s="125"/>
      <c r="AW76" s="125"/>
      <c r="AX76" s="125"/>
      <c r="AY76" s="125"/>
    </row>
    <row r="77" spans="1:51" x14ac:dyDescent="0.2">
      <c r="A77" s="124"/>
      <c r="B77" s="141">
        <v>33</v>
      </c>
      <c r="C77" s="124" t="s">
        <v>293</v>
      </c>
      <c r="D77" s="125"/>
      <c r="E77" s="125"/>
      <c r="F77" s="125"/>
      <c r="G77" s="125"/>
      <c r="H77" s="125"/>
      <c r="I77" s="125"/>
      <c r="J77" s="125"/>
      <c r="K77" s="125"/>
      <c r="L77" s="125"/>
      <c r="M77" s="125"/>
      <c r="N77" s="125"/>
      <c r="O77" s="125"/>
      <c r="P77" s="125"/>
      <c r="Q77" s="125"/>
      <c r="R77" s="125"/>
      <c r="S77" s="125"/>
      <c r="T77" s="125"/>
      <c r="U77" s="125"/>
      <c r="V77" s="125"/>
      <c r="W77" s="125"/>
      <c r="X77" s="125"/>
      <c r="Y77" s="125"/>
      <c r="Z77" s="125"/>
      <c r="AA77" s="125"/>
      <c r="AB77" s="125"/>
      <c r="AC77" s="125"/>
      <c r="AD77" s="125"/>
      <c r="AE77" s="125"/>
      <c r="AF77" s="125"/>
      <c r="AG77" s="125"/>
      <c r="AH77" s="125"/>
      <c r="AI77" s="125"/>
      <c r="AJ77" s="125"/>
      <c r="AK77" s="125"/>
      <c r="AL77" s="125"/>
      <c r="AM77" s="125"/>
      <c r="AN77" s="125"/>
      <c r="AO77" s="125"/>
      <c r="AP77" s="125"/>
      <c r="AQ77" s="125"/>
      <c r="AR77" s="125"/>
      <c r="AS77" s="125"/>
      <c r="AT77" s="125"/>
      <c r="AU77" s="125"/>
      <c r="AV77" s="125"/>
      <c r="AW77" s="125"/>
      <c r="AX77" s="125"/>
      <c r="AY77" s="125"/>
    </row>
    <row r="78" spans="1:51" x14ac:dyDescent="0.2">
      <c r="A78" s="124"/>
      <c r="B78" s="141">
        <v>34</v>
      </c>
      <c r="C78" s="124" t="s">
        <v>293</v>
      </c>
      <c r="D78" s="125"/>
      <c r="E78" s="125"/>
      <c r="F78" s="125"/>
      <c r="G78" s="125"/>
      <c r="H78" s="125"/>
      <c r="I78" s="125"/>
      <c r="J78" s="125"/>
      <c r="K78" s="125"/>
      <c r="L78" s="125"/>
      <c r="M78" s="125"/>
      <c r="N78" s="125"/>
      <c r="O78" s="125"/>
      <c r="P78" s="125"/>
      <c r="Q78" s="125"/>
      <c r="R78" s="125"/>
      <c r="S78" s="125"/>
      <c r="T78" s="125"/>
      <c r="U78" s="125"/>
      <c r="V78" s="125"/>
      <c r="W78" s="125"/>
      <c r="X78" s="125"/>
      <c r="Y78" s="125"/>
      <c r="Z78" s="125"/>
      <c r="AA78" s="125"/>
      <c r="AB78" s="125"/>
      <c r="AC78" s="125"/>
      <c r="AD78" s="125"/>
      <c r="AE78" s="125"/>
      <c r="AF78" s="125"/>
      <c r="AG78" s="125"/>
      <c r="AH78" s="125"/>
      <c r="AI78" s="125"/>
      <c r="AJ78" s="125"/>
      <c r="AK78" s="125"/>
      <c r="AL78" s="125"/>
      <c r="AM78" s="125"/>
      <c r="AN78" s="125"/>
      <c r="AO78" s="125"/>
      <c r="AP78" s="125"/>
      <c r="AQ78" s="125"/>
      <c r="AR78" s="125"/>
      <c r="AS78" s="125"/>
      <c r="AT78" s="125"/>
      <c r="AU78" s="125"/>
      <c r="AV78" s="125"/>
      <c r="AW78" s="125"/>
      <c r="AX78" s="125"/>
      <c r="AY78" s="125"/>
    </row>
    <row r="79" spans="1:51" x14ac:dyDescent="0.2">
      <c r="A79" s="124"/>
      <c r="B79" s="141">
        <v>35</v>
      </c>
      <c r="C79" s="124" t="s">
        <v>293</v>
      </c>
      <c r="D79" s="125"/>
      <c r="E79" s="125"/>
      <c r="F79" s="125"/>
      <c r="G79" s="125"/>
      <c r="H79" s="125"/>
      <c r="I79" s="125"/>
      <c r="J79" s="125"/>
      <c r="K79" s="125"/>
      <c r="L79" s="125"/>
      <c r="M79" s="125"/>
      <c r="N79" s="125"/>
      <c r="O79" s="125"/>
      <c r="P79" s="125"/>
      <c r="Q79" s="125"/>
      <c r="R79" s="125"/>
      <c r="S79" s="125"/>
      <c r="T79" s="125"/>
      <c r="U79" s="125"/>
      <c r="V79" s="125"/>
      <c r="W79" s="125"/>
      <c r="X79" s="125"/>
      <c r="Y79" s="125"/>
      <c r="Z79" s="125"/>
      <c r="AA79" s="125"/>
      <c r="AB79" s="125"/>
      <c r="AC79" s="125"/>
      <c r="AD79" s="125"/>
      <c r="AE79" s="125"/>
      <c r="AF79" s="125"/>
      <c r="AG79" s="125"/>
      <c r="AH79" s="125"/>
      <c r="AI79" s="125"/>
      <c r="AJ79" s="125"/>
      <c r="AK79" s="125"/>
      <c r="AL79" s="125"/>
      <c r="AM79" s="125"/>
      <c r="AN79" s="125"/>
      <c r="AO79" s="125"/>
      <c r="AP79" s="125"/>
      <c r="AQ79" s="125"/>
      <c r="AR79" s="125"/>
      <c r="AS79" s="125"/>
      <c r="AT79" s="125"/>
      <c r="AU79" s="125"/>
      <c r="AV79" s="125"/>
      <c r="AW79" s="125"/>
      <c r="AX79" s="125"/>
      <c r="AY79" s="125"/>
    </row>
    <row r="80" spans="1:51" x14ac:dyDescent="0.2">
      <c r="A80" s="124"/>
      <c r="B80" s="141">
        <v>36</v>
      </c>
      <c r="C80" s="124" t="s">
        <v>293</v>
      </c>
      <c r="D80" s="125"/>
      <c r="E80" s="125"/>
      <c r="F80" s="125"/>
      <c r="G80" s="125"/>
      <c r="H80" s="125"/>
      <c r="I80" s="125"/>
      <c r="J80" s="125"/>
      <c r="K80" s="125"/>
      <c r="L80" s="125"/>
      <c r="M80" s="125"/>
      <c r="N80" s="125"/>
      <c r="O80" s="125"/>
      <c r="P80" s="125"/>
      <c r="Q80" s="125"/>
      <c r="R80" s="125"/>
      <c r="S80" s="125"/>
      <c r="T80" s="125"/>
      <c r="U80" s="125"/>
      <c r="V80" s="125"/>
      <c r="W80" s="125"/>
      <c r="X80" s="125"/>
      <c r="Y80" s="125"/>
      <c r="Z80" s="125"/>
      <c r="AA80" s="125"/>
      <c r="AB80" s="125"/>
      <c r="AC80" s="125"/>
      <c r="AD80" s="125"/>
      <c r="AE80" s="125"/>
      <c r="AF80" s="125"/>
      <c r="AG80" s="125"/>
      <c r="AH80" s="125"/>
      <c r="AI80" s="125"/>
      <c r="AJ80" s="125"/>
      <c r="AK80" s="125"/>
      <c r="AL80" s="125"/>
      <c r="AM80" s="125"/>
      <c r="AN80" s="125"/>
      <c r="AO80" s="125"/>
      <c r="AP80" s="125"/>
      <c r="AQ80" s="125"/>
      <c r="AR80" s="125"/>
      <c r="AS80" s="125"/>
      <c r="AT80" s="125"/>
      <c r="AU80" s="125"/>
      <c r="AV80" s="125"/>
      <c r="AW80" s="125"/>
      <c r="AX80" s="125"/>
      <c r="AY80" s="125"/>
    </row>
    <row r="81" spans="1:52" x14ac:dyDescent="0.2">
      <c r="A81" s="124"/>
      <c r="B81" s="144">
        <v>37</v>
      </c>
      <c r="C81" s="124" t="s">
        <v>293</v>
      </c>
      <c r="D81" s="125"/>
      <c r="E81" s="125"/>
      <c r="F81" s="125"/>
      <c r="G81" s="125"/>
      <c r="H81" s="125"/>
      <c r="I81" s="125"/>
      <c r="J81" s="125"/>
      <c r="K81" s="125"/>
      <c r="L81" s="125"/>
      <c r="M81" s="125"/>
      <c r="N81" s="125"/>
      <c r="O81" s="125"/>
      <c r="P81" s="125"/>
      <c r="Q81" s="125"/>
      <c r="R81" s="125"/>
      <c r="S81" s="125"/>
      <c r="T81" s="125"/>
      <c r="U81" s="125"/>
      <c r="V81" s="125"/>
      <c r="W81" s="125"/>
      <c r="X81" s="125"/>
      <c r="Y81" s="125"/>
      <c r="Z81" s="125"/>
      <c r="AA81" s="125"/>
      <c r="AB81" s="125"/>
      <c r="AC81" s="125"/>
      <c r="AD81" s="125"/>
      <c r="AE81" s="125"/>
      <c r="AF81" s="125"/>
      <c r="AG81" s="125"/>
      <c r="AH81" s="125"/>
      <c r="AI81" s="125"/>
      <c r="AJ81" s="125"/>
      <c r="AK81" s="125"/>
      <c r="AL81" s="125"/>
      <c r="AM81" s="125"/>
      <c r="AN81" s="125"/>
      <c r="AO81" s="125"/>
      <c r="AP81" s="125"/>
      <c r="AQ81" s="125"/>
      <c r="AR81" s="125"/>
      <c r="AS81" s="125"/>
      <c r="AT81" s="125"/>
      <c r="AU81" s="125"/>
      <c r="AV81" s="125"/>
      <c r="AW81" s="125"/>
      <c r="AX81" s="125"/>
      <c r="AY81" s="125"/>
    </row>
    <row r="82" spans="1:52" x14ac:dyDescent="0.2">
      <c r="A82" s="124"/>
      <c r="B82" s="144">
        <v>38</v>
      </c>
      <c r="C82" s="124" t="s">
        <v>293</v>
      </c>
      <c r="D82" s="125"/>
      <c r="E82" s="125"/>
      <c r="F82" s="125"/>
      <c r="G82" s="125"/>
      <c r="H82" s="125"/>
      <c r="I82" s="125"/>
      <c r="J82" s="125"/>
      <c r="K82" s="125"/>
      <c r="L82" s="125"/>
      <c r="M82" s="125"/>
      <c r="N82" s="125"/>
      <c r="O82" s="125"/>
      <c r="P82" s="125"/>
      <c r="Q82" s="125"/>
      <c r="R82" s="125"/>
      <c r="S82" s="125"/>
      <c r="T82" s="125"/>
      <c r="U82" s="125"/>
      <c r="V82" s="125"/>
      <c r="W82" s="125"/>
      <c r="X82" s="125"/>
      <c r="Y82" s="125"/>
      <c r="Z82" s="125"/>
      <c r="AA82" s="125"/>
      <c r="AB82" s="125"/>
      <c r="AC82" s="125"/>
      <c r="AD82" s="125"/>
      <c r="AE82" s="125"/>
      <c r="AF82" s="125"/>
      <c r="AG82" s="125"/>
      <c r="AH82" s="125"/>
      <c r="AI82" s="125"/>
      <c r="AJ82" s="125"/>
      <c r="AK82" s="125"/>
      <c r="AL82" s="125"/>
      <c r="AM82" s="125"/>
      <c r="AN82" s="125"/>
      <c r="AO82" s="125"/>
      <c r="AP82" s="125"/>
      <c r="AQ82" s="125"/>
      <c r="AR82" s="125"/>
      <c r="AS82" s="125"/>
      <c r="AT82" s="125"/>
      <c r="AU82" s="125"/>
      <c r="AV82" s="125"/>
      <c r="AW82" s="125"/>
      <c r="AX82" s="125"/>
      <c r="AY82" s="125"/>
    </row>
    <row r="83" spans="1:52" x14ac:dyDescent="0.2">
      <c r="A83" s="124"/>
      <c r="B83" s="144">
        <v>39</v>
      </c>
      <c r="C83" s="124" t="s">
        <v>293</v>
      </c>
      <c r="D83" s="125"/>
      <c r="E83" s="125"/>
      <c r="F83" s="125"/>
      <c r="G83" s="125"/>
      <c r="H83" s="125"/>
      <c r="I83" s="125"/>
      <c r="J83" s="125"/>
      <c r="K83" s="125"/>
      <c r="L83" s="125"/>
      <c r="M83" s="125"/>
      <c r="N83" s="125"/>
      <c r="O83" s="125"/>
      <c r="P83" s="125"/>
      <c r="Q83" s="125"/>
      <c r="R83" s="125"/>
      <c r="S83" s="125"/>
      <c r="T83" s="125"/>
      <c r="U83" s="125"/>
      <c r="V83" s="125"/>
      <c r="W83" s="125"/>
      <c r="X83" s="125"/>
      <c r="Y83" s="125"/>
      <c r="Z83" s="125"/>
      <c r="AA83" s="125"/>
      <c r="AB83" s="125"/>
      <c r="AC83" s="125"/>
      <c r="AD83" s="125"/>
      <c r="AE83" s="125"/>
      <c r="AF83" s="125"/>
      <c r="AG83" s="125"/>
      <c r="AH83" s="125"/>
      <c r="AI83" s="125"/>
      <c r="AJ83" s="125"/>
      <c r="AK83" s="125"/>
      <c r="AL83" s="125"/>
      <c r="AM83" s="125"/>
      <c r="AN83" s="125"/>
      <c r="AO83" s="125"/>
      <c r="AP83" s="125"/>
      <c r="AQ83" s="125"/>
      <c r="AR83" s="125"/>
      <c r="AS83" s="125"/>
      <c r="AT83" s="125"/>
      <c r="AU83" s="125"/>
      <c r="AV83" s="125"/>
      <c r="AW83" s="125"/>
      <c r="AX83" s="125"/>
      <c r="AY83" s="125"/>
    </row>
    <row r="84" spans="1:52" x14ac:dyDescent="0.2">
      <c r="A84" s="124"/>
      <c r="B84" s="144">
        <v>40</v>
      </c>
      <c r="C84" s="124" t="s">
        <v>293</v>
      </c>
      <c r="D84" s="125"/>
      <c r="E84" s="125"/>
      <c r="F84" s="125"/>
      <c r="G84" s="125"/>
      <c r="H84" s="125"/>
      <c r="I84" s="125"/>
      <c r="J84" s="125"/>
      <c r="K84" s="125"/>
      <c r="L84" s="125"/>
      <c r="M84" s="125"/>
      <c r="N84" s="125"/>
      <c r="O84" s="125"/>
      <c r="P84" s="125"/>
      <c r="Q84" s="125"/>
      <c r="R84" s="125"/>
      <c r="S84" s="125"/>
      <c r="T84" s="125"/>
      <c r="U84" s="125"/>
      <c r="V84" s="125"/>
      <c r="W84" s="125"/>
      <c r="X84" s="125"/>
      <c r="Y84" s="125"/>
      <c r="Z84" s="125"/>
      <c r="AA84" s="125"/>
      <c r="AB84" s="125"/>
      <c r="AC84" s="125"/>
      <c r="AD84" s="125"/>
      <c r="AE84" s="125"/>
      <c r="AF84" s="125"/>
      <c r="AG84" s="125"/>
      <c r="AH84" s="125"/>
      <c r="AI84" s="125"/>
      <c r="AJ84" s="125"/>
      <c r="AK84" s="125"/>
      <c r="AL84" s="125"/>
      <c r="AM84" s="125"/>
      <c r="AN84" s="125"/>
      <c r="AO84" s="125"/>
      <c r="AP84" s="125"/>
      <c r="AQ84" s="125"/>
      <c r="AR84" s="125"/>
      <c r="AS84" s="125"/>
      <c r="AT84" s="125"/>
      <c r="AU84" s="125"/>
      <c r="AV84" s="125"/>
      <c r="AW84" s="125"/>
      <c r="AX84" s="125"/>
      <c r="AY84" s="125"/>
    </row>
    <row r="85" spans="1:52" x14ac:dyDescent="0.2">
      <c r="A85" s="124"/>
      <c r="B85" s="144">
        <v>41</v>
      </c>
      <c r="C85" s="124" t="s">
        <v>293</v>
      </c>
      <c r="D85" s="125"/>
      <c r="E85" s="125"/>
      <c r="F85" s="125"/>
      <c r="G85" s="125"/>
      <c r="H85" s="125"/>
      <c r="I85" s="125"/>
      <c r="J85" s="125"/>
      <c r="K85" s="125"/>
      <c r="L85" s="125"/>
      <c r="M85" s="125"/>
      <c r="N85" s="125"/>
      <c r="O85" s="125"/>
      <c r="P85" s="125"/>
      <c r="Q85" s="125"/>
      <c r="R85" s="125"/>
      <c r="S85" s="125"/>
      <c r="T85" s="125"/>
      <c r="U85" s="125"/>
      <c r="V85" s="125"/>
      <c r="W85" s="125"/>
      <c r="X85" s="125"/>
      <c r="Y85" s="125"/>
      <c r="Z85" s="125"/>
      <c r="AA85" s="125"/>
      <c r="AB85" s="125"/>
      <c r="AC85" s="125"/>
      <c r="AD85" s="125"/>
      <c r="AE85" s="125"/>
      <c r="AF85" s="125"/>
      <c r="AG85" s="125"/>
      <c r="AH85" s="125"/>
      <c r="AI85" s="125"/>
      <c r="AJ85" s="125"/>
      <c r="AK85" s="125"/>
      <c r="AL85" s="125"/>
      <c r="AM85" s="125"/>
      <c r="AN85" s="125"/>
      <c r="AO85" s="125"/>
      <c r="AP85" s="125"/>
      <c r="AQ85" s="125"/>
      <c r="AR85" s="125"/>
      <c r="AS85" s="125"/>
      <c r="AT85" s="125"/>
      <c r="AU85" s="125"/>
      <c r="AV85" s="125"/>
      <c r="AW85" s="125"/>
      <c r="AX85" s="125"/>
      <c r="AY85" s="125"/>
    </row>
    <row r="86" spans="1:52" x14ac:dyDescent="0.2">
      <c r="A86" s="124"/>
      <c r="B86" s="144">
        <v>42</v>
      </c>
      <c r="C86" s="124" t="s">
        <v>293</v>
      </c>
      <c r="D86" s="125"/>
      <c r="E86" s="125"/>
      <c r="F86" s="125"/>
      <c r="G86" s="125"/>
      <c r="H86" s="125"/>
      <c r="I86" s="125"/>
      <c r="J86" s="125"/>
      <c r="K86" s="125"/>
      <c r="L86" s="125"/>
      <c r="M86" s="125"/>
      <c r="N86" s="125"/>
      <c r="O86" s="125"/>
      <c r="P86" s="125"/>
      <c r="Q86" s="125"/>
      <c r="R86" s="125"/>
      <c r="S86" s="125"/>
      <c r="T86" s="125"/>
      <c r="U86" s="125"/>
      <c r="V86" s="125"/>
      <c r="W86" s="125"/>
      <c r="X86" s="125"/>
      <c r="Y86" s="125"/>
      <c r="Z86" s="125"/>
      <c r="AA86" s="125"/>
      <c r="AB86" s="125"/>
      <c r="AC86" s="125"/>
      <c r="AD86" s="125"/>
      <c r="AE86" s="125"/>
      <c r="AF86" s="125"/>
      <c r="AG86" s="125"/>
      <c r="AH86" s="125"/>
      <c r="AI86" s="125"/>
      <c r="AJ86" s="125"/>
      <c r="AK86" s="125"/>
      <c r="AL86" s="125"/>
      <c r="AM86" s="125"/>
      <c r="AN86" s="125"/>
      <c r="AO86" s="125"/>
      <c r="AP86" s="125"/>
      <c r="AQ86" s="125"/>
      <c r="AR86" s="125"/>
      <c r="AS86" s="125"/>
      <c r="AT86" s="125"/>
      <c r="AU86" s="125"/>
      <c r="AV86" s="125"/>
      <c r="AW86" s="125"/>
      <c r="AX86" s="125"/>
      <c r="AY86" s="125"/>
    </row>
    <row r="87" spans="1:52" x14ac:dyDescent="0.2">
      <c r="A87" s="124"/>
      <c r="B87" s="144">
        <v>43</v>
      </c>
      <c r="C87" s="124" t="s">
        <v>293</v>
      </c>
      <c r="D87" s="125"/>
      <c r="E87" s="125"/>
      <c r="F87" s="125"/>
      <c r="G87" s="125"/>
      <c r="H87" s="125"/>
      <c r="I87" s="125"/>
      <c r="J87" s="125"/>
      <c r="K87" s="125"/>
      <c r="L87" s="125"/>
      <c r="M87" s="125"/>
      <c r="N87" s="125"/>
      <c r="O87" s="125"/>
      <c r="P87" s="125"/>
      <c r="Q87" s="125"/>
      <c r="R87" s="125"/>
      <c r="S87" s="125"/>
      <c r="T87" s="125"/>
      <c r="U87" s="125"/>
      <c r="V87" s="125"/>
      <c r="W87" s="125"/>
      <c r="X87" s="125"/>
      <c r="Y87" s="125"/>
      <c r="Z87" s="125"/>
      <c r="AA87" s="125"/>
      <c r="AB87" s="125"/>
      <c r="AC87" s="125"/>
      <c r="AD87" s="125"/>
      <c r="AE87" s="125"/>
      <c r="AF87" s="125"/>
      <c r="AG87" s="125"/>
      <c r="AH87" s="125"/>
      <c r="AI87" s="125"/>
      <c r="AJ87" s="125"/>
      <c r="AK87" s="125"/>
      <c r="AL87" s="125"/>
      <c r="AM87" s="125"/>
      <c r="AN87" s="125"/>
      <c r="AO87" s="125"/>
      <c r="AP87" s="125"/>
      <c r="AQ87" s="125"/>
      <c r="AR87" s="125"/>
      <c r="AS87" s="125"/>
      <c r="AT87" s="125"/>
      <c r="AU87" s="125"/>
      <c r="AV87" s="125"/>
      <c r="AW87" s="125"/>
      <c r="AX87" s="125"/>
      <c r="AY87" s="125"/>
    </row>
    <row r="88" spans="1:52" x14ac:dyDescent="0.2">
      <c r="A88" s="124"/>
      <c r="B88" s="144">
        <v>44</v>
      </c>
      <c r="C88" s="124" t="s">
        <v>293</v>
      </c>
      <c r="D88" s="125"/>
      <c r="E88" s="125"/>
      <c r="F88" s="125"/>
      <c r="G88" s="125"/>
      <c r="H88" s="125"/>
      <c r="I88" s="125"/>
      <c r="J88" s="125"/>
      <c r="K88" s="125"/>
      <c r="L88" s="125"/>
      <c r="M88" s="125"/>
      <c r="N88" s="125"/>
      <c r="O88" s="125"/>
      <c r="P88" s="125"/>
      <c r="Q88" s="125"/>
      <c r="R88" s="125"/>
      <c r="S88" s="125"/>
      <c r="T88" s="125"/>
      <c r="U88" s="125"/>
      <c r="V88" s="125"/>
      <c r="W88" s="125"/>
      <c r="X88" s="125"/>
      <c r="Y88" s="125"/>
      <c r="Z88" s="125"/>
      <c r="AA88" s="125"/>
      <c r="AB88" s="125"/>
      <c r="AC88" s="125"/>
      <c r="AD88" s="125"/>
      <c r="AE88" s="125"/>
      <c r="AF88" s="125"/>
      <c r="AG88" s="125"/>
      <c r="AH88" s="125"/>
      <c r="AI88" s="125"/>
      <c r="AJ88" s="125"/>
      <c r="AK88" s="125"/>
      <c r="AL88" s="125"/>
      <c r="AM88" s="125"/>
      <c r="AN88" s="125"/>
      <c r="AO88" s="125"/>
      <c r="AP88" s="125"/>
      <c r="AQ88" s="125"/>
      <c r="AR88" s="125"/>
      <c r="AS88" s="125"/>
      <c r="AT88" s="125"/>
      <c r="AU88" s="125"/>
      <c r="AV88" s="125"/>
      <c r="AW88" s="125"/>
      <c r="AX88" s="125"/>
      <c r="AY88" s="125"/>
    </row>
    <row r="89" spans="1:52" x14ac:dyDescent="0.2">
      <c r="A89" s="124"/>
      <c r="B89" s="144">
        <v>45</v>
      </c>
      <c r="C89" s="124" t="s">
        <v>293</v>
      </c>
      <c r="D89" s="125"/>
      <c r="E89" s="125"/>
      <c r="F89" s="125"/>
      <c r="G89" s="125"/>
      <c r="H89" s="125"/>
      <c r="I89" s="125"/>
      <c r="J89" s="125"/>
      <c r="K89" s="125"/>
      <c r="L89" s="125"/>
      <c r="M89" s="125"/>
      <c r="N89" s="125"/>
      <c r="O89" s="125"/>
      <c r="P89" s="125"/>
      <c r="Q89" s="125"/>
      <c r="R89" s="125"/>
      <c r="S89" s="125"/>
      <c r="T89" s="125"/>
      <c r="U89" s="125"/>
      <c r="V89" s="125"/>
      <c r="W89" s="125"/>
      <c r="X89" s="125"/>
      <c r="Y89" s="125"/>
      <c r="Z89" s="125"/>
      <c r="AA89" s="125"/>
      <c r="AB89" s="125"/>
      <c r="AC89" s="125"/>
      <c r="AD89" s="125"/>
      <c r="AE89" s="125"/>
      <c r="AF89" s="125"/>
      <c r="AG89" s="125"/>
      <c r="AH89" s="125"/>
      <c r="AI89" s="125"/>
      <c r="AJ89" s="125"/>
      <c r="AK89" s="125"/>
      <c r="AL89" s="125"/>
      <c r="AM89" s="125"/>
      <c r="AN89" s="125"/>
      <c r="AO89" s="125"/>
      <c r="AP89" s="125"/>
      <c r="AQ89" s="125"/>
      <c r="AR89" s="125"/>
      <c r="AS89" s="125"/>
      <c r="AT89" s="125"/>
      <c r="AU89" s="125"/>
      <c r="AV89" s="125"/>
      <c r="AW89" s="125"/>
      <c r="AX89" s="125"/>
      <c r="AY89" s="125"/>
    </row>
    <row r="90" spans="1:52" x14ac:dyDescent="0.2">
      <c r="A90" s="124"/>
      <c r="B90" s="144">
        <v>46</v>
      </c>
      <c r="C90" s="124" t="s">
        <v>293</v>
      </c>
      <c r="D90" s="125"/>
      <c r="E90" s="125"/>
      <c r="F90" s="125"/>
      <c r="G90" s="125"/>
      <c r="H90" s="125"/>
      <c r="I90" s="125"/>
      <c r="J90" s="125"/>
      <c r="K90" s="125"/>
      <c r="L90" s="125"/>
      <c r="M90" s="125"/>
      <c r="N90" s="125"/>
      <c r="O90" s="125"/>
      <c r="P90" s="125"/>
      <c r="Q90" s="125"/>
      <c r="R90" s="125"/>
      <c r="S90" s="125"/>
      <c r="T90" s="125"/>
      <c r="U90" s="125"/>
      <c r="V90" s="125"/>
      <c r="W90" s="125"/>
      <c r="X90" s="125"/>
      <c r="Y90" s="125"/>
      <c r="Z90" s="125"/>
      <c r="AA90" s="125"/>
      <c r="AB90" s="125"/>
      <c r="AC90" s="125"/>
      <c r="AD90" s="125"/>
      <c r="AE90" s="125"/>
      <c r="AF90" s="125"/>
      <c r="AG90" s="125"/>
      <c r="AH90" s="125"/>
      <c r="AI90" s="125"/>
      <c r="AJ90" s="125"/>
      <c r="AK90" s="125"/>
      <c r="AL90" s="125"/>
      <c r="AM90" s="125"/>
      <c r="AN90" s="125"/>
      <c r="AO90" s="125"/>
      <c r="AP90" s="125"/>
      <c r="AQ90" s="125"/>
      <c r="AR90" s="125"/>
      <c r="AS90" s="125"/>
      <c r="AT90" s="125"/>
      <c r="AU90" s="125"/>
      <c r="AV90" s="125"/>
      <c r="AW90" s="125"/>
      <c r="AX90" s="125"/>
      <c r="AY90" s="125"/>
    </row>
    <row r="91" spans="1:52" x14ac:dyDescent="0.2">
      <c r="A91" s="124"/>
      <c r="B91" s="144">
        <v>47</v>
      </c>
      <c r="C91" s="124" t="s">
        <v>293</v>
      </c>
      <c r="D91" s="125"/>
      <c r="E91" s="125"/>
      <c r="F91" s="125"/>
      <c r="G91" s="125"/>
      <c r="H91" s="125"/>
      <c r="I91" s="125"/>
      <c r="J91" s="125"/>
      <c r="K91" s="125"/>
      <c r="L91" s="125"/>
      <c r="M91" s="125"/>
      <c r="N91" s="125"/>
      <c r="O91" s="125"/>
      <c r="P91" s="125"/>
      <c r="Q91" s="125"/>
      <c r="R91" s="125"/>
      <c r="S91" s="125"/>
      <c r="T91" s="125"/>
      <c r="U91" s="125"/>
      <c r="V91" s="125"/>
      <c r="W91" s="125"/>
      <c r="X91" s="125"/>
      <c r="Y91" s="125"/>
      <c r="Z91" s="125"/>
      <c r="AA91" s="125"/>
      <c r="AB91" s="125"/>
      <c r="AC91" s="125"/>
      <c r="AD91" s="125"/>
      <c r="AE91" s="125"/>
      <c r="AF91" s="125"/>
      <c r="AG91" s="125"/>
      <c r="AH91" s="125"/>
      <c r="AI91" s="125"/>
      <c r="AJ91" s="125"/>
      <c r="AK91" s="125"/>
      <c r="AL91" s="125"/>
      <c r="AM91" s="125"/>
      <c r="AN91" s="125"/>
      <c r="AO91" s="125"/>
      <c r="AP91" s="125"/>
      <c r="AQ91" s="125"/>
      <c r="AR91" s="125"/>
      <c r="AS91" s="125"/>
      <c r="AT91" s="125"/>
      <c r="AU91" s="125"/>
      <c r="AV91" s="125"/>
      <c r="AW91" s="125"/>
      <c r="AX91" s="125"/>
      <c r="AY91" s="125"/>
    </row>
    <row r="92" spans="1:52" x14ac:dyDescent="0.2">
      <c r="A92" s="142"/>
      <c r="B92" s="143">
        <v>48</v>
      </c>
      <c r="C92" s="142" t="s">
        <v>293</v>
      </c>
      <c r="D92" s="139">
        <v>0</v>
      </c>
      <c r="E92" s="139">
        <v>0</v>
      </c>
      <c r="F92" s="139">
        <v>0</v>
      </c>
      <c r="G92" s="139">
        <v>0</v>
      </c>
      <c r="H92" s="139">
        <v>0</v>
      </c>
      <c r="I92" s="139">
        <v>0</v>
      </c>
      <c r="J92" s="139">
        <v>0</v>
      </c>
      <c r="K92" s="139">
        <v>0</v>
      </c>
      <c r="L92" s="139">
        <v>0</v>
      </c>
      <c r="M92" s="139">
        <v>0</v>
      </c>
      <c r="N92" s="139">
        <v>0</v>
      </c>
      <c r="O92" s="139">
        <v>0</v>
      </c>
      <c r="P92" s="139">
        <v>0</v>
      </c>
      <c r="Q92" s="139">
        <v>0</v>
      </c>
      <c r="R92" s="139">
        <v>0</v>
      </c>
      <c r="S92" s="139">
        <v>0</v>
      </c>
      <c r="T92" s="139">
        <v>0</v>
      </c>
      <c r="U92" s="139">
        <v>0</v>
      </c>
      <c r="V92" s="139">
        <v>0</v>
      </c>
      <c r="W92" s="139">
        <v>0</v>
      </c>
      <c r="X92" s="139">
        <v>0</v>
      </c>
      <c r="Y92" s="139">
        <v>0</v>
      </c>
      <c r="Z92" s="139">
        <v>0</v>
      </c>
      <c r="AA92" s="139">
        <v>0</v>
      </c>
      <c r="AB92" s="139">
        <v>0</v>
      </c>
      <c r="AC92" s="139">
        <v>0</v>
      </c>
      <c r="AD92" s="139">
        <v>0</v>
      </c>
      <c r="AE92" s="139">
        <v>0</v>
      </c>
      <c r="AF92" s="139">
        <v>0</v>
      </c>
      <c r="AG92" s="139">
        <v>0</v>
      </c>
      <c r="AH92" s="139">
        <v>0</v>
      </c>
      <c r="AI92" s="139">
        <v>0</v>
      </c>
      <c r="AJ92" s="139">
        <v>0</v>
      </c>
      <c r="AK92" s="139">
        <v>0</v>
      </c>
      <c r="AL92" s="139">
        <v>0</v>
      </c>
      <c r="AM92" s="139">
        <v>0</v>
      </c>
      <c r="AN92" s="139">
        <v>0</v>
      </c>
      <c r="AO92" s="139">
        <v>0</v>
      </c>
      <c r="AP92" s="139">
        <v>0</v>
      </c>
      <c r="AQ92" s="139">
        <v>0</v>
      </c>
      <c r="AR92" s="139">
        <v>0</v>
      </c>
      <c r="AS92" s="139">
        <v>0</v>
      </c>
      <c r="AT92" s="139">
        <v>0</v>
      </c>
      <c r="AU92" s="139">
        <v>0</v>
      </c>
      <c r="AV92" s="139">
        <v>0</v>
      </c>
      <c r="AW92" s="139">
        <v>0</v>
      </c>
      <c r="AX92" s="139">
        <v>0</v>
      </c>
      <c r="AY92" s="139">
        <v>0</v>
      </c>
      <c r="AZ92" s="122">
        <f>SUM(D21:AY92)</f>
        <v>0</v>
      </c>
    </row>
    <row r="94" spans="1:52" x14ac:dyDescent="0.2">
      <c r="A94" s="1" t="s">
        <v>295</v>
      </c>
      <c r="B94" s="121"/>
      <c r="C94" s="121"/>
      <c r="D94" s="128"/>
      <c r="E94" s="128"/>
      <c r="F94" s="128"/>
      <c r="G94" s="128"/>
      <c r="H94" s="128"/>
      <c r="I94" s="128"/>
      <c r="J94" s="128"/>
      <c r="K94" s="128"/>
      <c r="L94" s="128"/>
      <c r="M94" s="128"/>
      <c r="N94" s="128"/>
      <c r="O94" s="128"/>
      <c r="P94" s="128"/>
      <c r="Q94" s="128"/>
      <c r="R94" s="128"/>
      <c r="S94" s="128"/>
      <c r="T94" s="128"/>
      <c r="U94" s="128"/>
      <c r="V94" s="128"/>
      <c r="W94" s="128"/>
      <c r="X94" s="128"/>
      <c r="Y94" s="128"/>
      <c r="Z94" s="128"/>
      <c r="AA94" s="128"/>
      <c r="AB94" s="128"/>
      <c r="AC94" s="128"/>
      <c r="AD94" s="128"/>
      <c r="AE94" s="128"/>
      <c r="AF94" s="128"/>
      <c r="AG94" s="128"/>
      <c r="AH94" s="128"/>
      <c r="AI94" s="128"/>
      <c r="AJ94" s="128"/>
      <c r="AK94" s="128"/>
      <c r="AL94" s="128"/>
      <c r="AM94" s="128"/>
      <c r="AN94" s="128"/>
      <c r="AO94" s="128"/>
      <c r="AP94" s="128"/>
      <c r="AQ94" s="128"/>
      <c r="AR94" s="128"/>
      <c r="AS94" s="128"/>
      <c r="AT94" s="128"/>
      <c r="AU94" s="128"/>
      <c r="AV94" s="128"/>
      <c r="AW94" s="128"/>
      <c r="AX94" s="128"/>
      <c r="AY94" s="128"/>
    </row>
    <row r="95" spans="1:52" x14ac:dyDescent="0.2">
      <c r="A95" s="140" t="s">
        <v>125</v>
      </c>
      <c r="B95" s="137">
        <v>1</v>
      </c>
      <c r="C95" s="138">
        <v>4578.989669510006</v>
      </c>
      <c r="D95" s="125">
        <v>6775.0809011602914</v>
      </c>
      <c r="E95" s="125">
        <v>6775.0809011602914</v>
      </c>
      <c r="F95" s="125">
        <v>6775.0809011602914</v>
      </c>
      <c r="G95" s="125">
        <v>6775.0809011602914</v>
      </c>
      <c r="H95" s="125">
        <v>6582.7267608681932</v>
      </c>
      <c r="I95" s="125">
        <v>6582.7267608681932</v>
      </c>
      <c r="J95" s="125">
        <v>6582.7267608681932</v>
      </c>
      <c r="K95" s="125">
        <v>6582.7267608681932</v>
      </c>
      <c r="L95" s="125">
        <v>6775.0809011602914</v>
      </c>
      <c r="M95" s="125">
        <v>6775.0809011602914</v>
      </c>
      <c r="N95" s="125">
        <v>6775.0809011602914</v>
      </c>
      <c r="O95" s="125">
        <v>6775.0809011602914</v>
      </c>
      <c r="P95" s="125">
        <v>6725.3454616249692</v>
      </c>
      <c r="Q95" s="125">
        <v>6725.3454616249692</v>
      </c>
      <c r="R95" s="125">
        <v>6725.3454616249692</v>
      </c>
      <c r="S95" s="125">
        <v>6725.3454616249692</v>
      </c>
      <c r="T95" s="125">
        <v>6775.0809011602914</v>
      </c>
      <c r="U95" s="125">
        <v>6775.0809011602914</v>
      </c>
      <c r="V95" s="125">
        <v>6775.0809011602914</v>
      </c>
      <c r="W95" s="125">
        <v>6775.0809011602914</v>
      </c>
      <c r="X95" s="125">
        <v>6775.0809011602914</v>
      </c>
      <c r="Y95" s="125">
        <v>6775.0809011602914</v>
      </c>
      <c r="Z95" s="125">
        <v>6775.0809011602914</v>
      </c>
      <c r="AA95" s="125">
        <v>6775.0809011602914</v>
      </c>
      <c r="AB95" s="125">
        <v>6725.3454616249692</v>
      </c>
      <c r="AC95" s="125">
        <v>6436.4810029213022</v>
      </c>
      <c r="AD95" s="125">
        <v>6437.0175080419394</v>
      </c>
      <c r="AE95" s="125">
        <v>6437.5518142073724</v>
      </c>
      <c r="AF95" s="125">
        <v>6775.0809011602914</v>
      </c>
      <c r="AG95" s="125">
        <v>6775.0809011602914</v>
      </c>
      <c r="AH95" s="125">
        <v>6775.0809011602914</v>
      </c>
      <c r="AI95" s="125">
        <v>6775.0809011602914</v>
      </c>
      <c r="AJ95" s="125">
        <v>6775.0809011602914</v>
      </c>
      <c r="AK95" s="125">
        <v>6775.0809011602914</v>
      </c>
      <c r="AL95" s="125">
        <v>6775.0809011602914</v>
      </c>
      <c r="AM95" s="125">
        <v>6775.0809011602914</v>
      </c>
      <c r="AN95" s="125">
        <v>6961.5705422687006</v>
      </c>
      <c r="AO95" s="125">
        <v>6961.5705422687006</v>
      </c>
      <c r="AP95" s="125">
        <v>6961.5705422687006</v>
      </c>
      <c r="AQ95" s="125">
        <v>6961.5705422687006</v>
      </c>
      <c r="AR95" s="125">
        <v>6911.8351027333783</v>
      </c>
      <c r="AS95" s="125">
        <v>6911.8351027333783</v>
      </c>
      <c r="AT95" s="125">
        <v>6911.8351027333783</v>
      </c>
      <c r="AU95" s="125">
        <v>6911.8351027333783</v>
      </c>
      <c r="AV95" s="125">
        <v>6632.4622004035155</v>
      </c>
      <c r="AW95" s="125">
        <v>6632.4622004035155</v>
      </c>
      <c r="AX95" s="125">
        <v>6632.4622004035155</v>
      </c>
      <c r="AY95" s="125">
        <v>6632.4622004035155</v>
      </c>
    </row>
    <row r="96" spans="1:52" x14ac:dyDescent="0.2">
      <c r="A96" s="124"/>
      <c r="B96" s="134">
        <v>2</v>
      </c>
      <c r="C96" s="125">
        <v>4578.989669510006</v>
      </c>
      <c r="D96" s="125">
        <v>4578.989669510006</v>
      </c>
      <c r="E96" s="125">
        <v>6775.0809011602914</v>
      </c>
      <c r="F96" s="125">
        <v>6775.0809011602914</v>
      </c>
      <c r="G96" s="125">
        <v>6775.0809011602914</v>
      </c>
      <c r="H96" s="125">
        <v>6775.0809011602914</v>
      </c>
      <c r="I96" s="125">
        <v>6582.7267608681932</v>
      </c>
      <c r="J96" s="125">
        <v>6582.7267608681932</v>
      </c>
      <c r="K96" s="125">
        <v>6582.7267608681932</v>
      </c>
      <c r="L96" s="125">
        <v>6582.7267608681932</v>
      </c>
      <c r="M96" s="125">
        <v>6775.0809011602914</v>
      </c>
      <c r="N96" s="125">
        <v>6775.0809011602914</v>
      </c>
      <c r="O96" s="125">
        <v>6775.0809011602914</v>
      </c>
      <c r="P96" s="125">
        <v>6775.0809011602914</v>
      </c>
      <c r="Q96" s="125">
        <v>6725.3454616249692</v>
      </c>
      <c r="R96" s="125">
        <v>6725.3454616249692</v>
      </c>
      <c r="S96" s="125">
        <v>6725.3454616249692</v>
      </c>
      <c r="T96" s="125">
        <v>6725.3454616249692</v>
      </c>
      <c r="U96" s="125">
        <v>6775.0809011602914</v>
      </c>
      <c r="V96" s="125">
        <v>6775.0809011602914</v>
      </c>
      <c r="W96" s="125">
        <v>6775.0809011602914</v>
      </c>
      <c r="X96" s="125">
        <v>6775.0809011602914</v>
      </c>
      <c r="Y96" s="125">
        <v>6775.0809011602914</v>
      </c>
      <c r="Z96" s="125">
        <v>6775.0809011602914</v>
      </c>
      <c r="AA96" s="125">
        <v>6775.0809011602914</v>
      </c>
      <c r="AB96" s="125">
        <v>6775.0809011602914</v>
      </c>
      <c r="AC96" s="125">
        <v>6725.3454616249692</v>
      </c>
      <c r="AD96" s="125">
        <v>6436.4810029213022</v>
      </c>
      <c r="AE96" s="125">
        <v>6437.0175080419394</v>
      </c>
      <c r="AF96" s="125">
        <v>6437.5518142073724</v>
      </c>
      <c r="AG96" s="125">
        <v>6775.0809011602914</v>
      </c>
      <c r="AH96" s="125">
        <v>6775.0809011602914</v>
      </c>
      <c r="AI96" s="125">
        <v>6775.0809011602914</v>
      </c>
      <c r="AJ96" s="125">
        <v>6775.0809011602914</v>
      </c>
      <c r="AK96" s="125">
        <v>6775.0809011602914</v>
      </c>
      <c r="AL96" s="125">
        <v>6775.0809011602914</v>
      </c>
      <c r="AM96" s="125">
        <v>6775.0809011602914</v>
      </c>
      <c r="AN96" s="125">
        <v>6775.0809011602914</v>
      </c>
      <c r="AO96" s="125">
        <v>6961.5705422687006</v>
      </c>
      <c r="AP96" s="125">
        <v>6961.5705422687006</v>
      </c>
      <c r="AQ96" s="125">
        <v>6961.5705422687006</v>
      </c>
      <c r="AR96" s="125">
        <v>6961.5705422687006</v>
      </c>
      <c r="AS96" s="125">
        <v>6911.8351027333783</v>
      </c>
      <c r="AT96" s="125">
        <v>6911.8351027333783</v>
      </c>
      <c r="AU96" s="125">
        <v>6911.8351027333783</v>
      </c>
      <c r="AV96" s="125">
        <v>6911.8351027333783</v>
      </c>
      <c r="AW96" s="125">
        <v>6632.4622004035155</v>
      </c>
      <c r="AX96" s="125">
        <v>6632.4622004035155</v>
      </c>
      <c r="AY96" s="125">
        <v>6632.4622004035155</v>
      </c>
    </row>
    <row r="97" spans="1:52" x14ac:dyDescent="0.2">
      <c r="A97" s="124"/>
      <c r="B97" s="141">
        <v>3</v>
      </c>
      <c r="C97" s="125">
        <v>2728.9801063768314</v>
      </c>
      <c r="D97" s="125">
        <v>4578.989669510006</v>
      </c>
      <c r="E97" s="125">
        <v>4578.989669510006</v>
      </c>
      <c r="F97" s="125">
        <v>6775.0809011602914</v>
      </c>
      <c r="G97" s="125">
        <v>6775.0809011602914</v>
      </c>
      <c r="H97" s="125">
        <v>6775.0809011602914</v>
      </c>
      <c r="I97" s="125">
        <v>6775.0809011602914</v>
      </c>
      <c r="J97" s="125">
        <v>6582.7267608681932</v>
      </c>
      <c r="K97" s="125">
        <v>6582.7267608681932</v>
      </c>
      <c r="L97" s="125">
        <v>6582.7267608681932</v>
      </c>
      <c r="M97" s="125">
        <v>6582.7267608681932</v>
      </c>
      <c r="N97" s="125">
        <v>6775.0809011602914</v>
      </c>
      <c r="O97" s="125">
        <v>6775.0809011602914</v>
      </c>
      <c r="P97" s="125">
        <v>6775.0809011602914</v>
      </c>
      <c r="Q97" s="125">
        <v>6775.0809011602914</v>
      </c>
      <c r="R97" s="125">
        <v>6725.3454616249692</v>
      </c>
      <c r="S97" s="125">
        <v>6725.3454616249692</v>
      </c>
      <c r="T97" s="125">
        <v>6725.3454616249692</v>
      </c>
      <c r="U97" s="125">
        <v>6725.3454616249692</v>
      </c>
      <c r="V97" s="125">
        <v>6775.0809011602914</v>
      </c>
      <c r="W97" s="125">
        <v>6775.0809011602914</v>
      </c>
      <c r="X97" s="125">
        <v>6775.0809011602914</v>
      </c>
      <c r="Y97" s="125">
        <v>6775.0809011602914</v>
      </c>
      <c r="Z97" s="125">
        <v>6775.0809011602914</v>
      </c>
      <c r="AA97" s="125">
        <v>6775.0809011602914</v>
      </c>
      <c r="AB97" s="125">
        <v>6775.0809011602914</v>
      </c>
      <c r="AC97" s="125">
        <v>6775.0809011602914</v>
      </c>
      <c r="AD97" s="125">
        <v>6725.3454616249692</v>
      </c>
      <c r="AE97" s="125">
        <v>6436.4810029213022</v>
      </c>
      <c r="AF97" s="125">
        <v>6437.0175080419394</v>
      </c>
      <c r="AG97" s="125">
        <v>6437.5518142073724</v>
      </c>
      <c r="AH97" s="125">
        <v>6775.0809011602914</v>
      </c>
      <c r="AI97" s="125">
        <v>6775.0809011602914</v>
      </c>
      <c r="AJ97" s="125">
        <v>6775.0809011602914</v>
      </c>
      <c r="AK97" s="125">
        <v>6775.0809011602914</v>
      </c>
      <c r="AL97" s="125">
        <v>6775.0809011602914</v>
      </c>
      <c r="AM97" s="125">
        <v>6775.0809011602914</v>
      </c>
      <c r="AN97" s="125">
        <v>6775.0809011602914</v>
      </c>
      <c r="AO97" s="125">
        <v>6775.0809011602914</v>
      </c>
      <c r="AP97" s="125">
        <v>6961.5705422687006</v>
      </c>
      <c r="AQ97" s="125">
        <v>6961.5705422687006</v>
      </c>
      <c r="AR97" s="125">
        <v>6961.5705422687006</v>
      </c>
      <c r="AS97" s="125">
        <v>6961.5705422687006</v>
      </c>
      <c r="AT97" s="125">
        <v>6911.8351027333783</v>
      </c>
      <c r="AU97" s="125">
        <v>6911.8351027333783</v>
      </c>
      <c r="AV97" s="125">
        <v>6911.8351027333783</v>
      </c>
      <c r="AW97" s="125">
        <v>6911.8351027333783</v>
      </c>
      <c r="AX97" s="125">
        <v>6632.4622004035155</v>
      </c>
      <c r="AY97" s="125">
        <v>6632.4622004035155</v>
      </c>
    </row>
    <row r="98" spans="1:52" x14ac:dyDescent="0.2">
      <c r="A98" s="124"/>
      <c r="B98" s="144">
        <v>4</v>
      </c>
      <c r="C98" s="121">
        <v>3897.6345555419725</v>
      </c>
      <c r="D98" s="125">
        <v>2728.9801063768314</v>
      </c>
      <c r="E98" s="125">
        <v>4578.989669510006</v>
      </c>
      <c r="F98" s="125">
        <v>4578.989669510006</v>
      </c>
      <c r="G98" s="125">
        <v>6775.0809011602914</v>
      </c>
      <c r="H98" s="125">
        <v>6775.0809011602914</v>
      </c>
      <c r="I98" s="125">
        <v>6775.0809011602914</v>
      </c>
      <c r="J98" s="125">
        <v>6775.0809011602914</v>
      </c>
      <c r="K98" s="125">
        <v>6582.7267608681932</v>
      </c>
      <c r="L98" s="125">
        <v>6582.7267608681932</v>
      </c>
      <c r="M98" s="125">
        <v>6582.7267608681932</v>
      </c>
      <c r="N98" s="125">
        <v>6582.7267608681932</v>
      </c>
      <c r="O98" s="125">
        <v>6775.0809011602914</v>
      </c>
      <c r="P98" s="125">
        <v>6775.0809011602914</v>
      </c>
      <c r="Q98" s="125">
        <v>6775.0809011602914</v>
      </c>
      <c r="R98" s="125">
        <v>6775.0809011602914</v>
      </c>
      <c r="S98" s="125">
        <v>6725.3454616249692</v>
      </c>
      <c r="T98" s="125">
        <v>6725.3454616249692</v>
      </c>
      <c r="U98" s="125">
        <v>6725.3454616249692</v>
      </c>
      <c r="V98" s="125">
        <v>6725.3454616249692</v>
      </c>
      <c r="W98" s="125">
        <v>6775.0809011602914</v>
      </c>
      <c r="X98" s="125">
        <v>6775.0809011602914</v>
      </c>
      <c r="Y98" s="125">
        <v>6775.0809011602914</v>
      </c>
      <c r="Z98" s="125">
        <v>6775.0809011602914</v>
      </c>
      <c r="AA98" s="125">
        <v>6775.0809011602914</v>
      </c>
      <c r="AB98" s="125">
        <v>6775.0809011602914</v>
      </c>
      <c r="AC98" s="125">
        <v>6775.0809011602914</v>
      </c>
      <c r="AD98" s="125">
        <v>6775.0809011602914</v>
      </c>
      <c r="AE98" s="125">
        <v>6725.3454616249692</v>
      </c>
      <c r="AF98" s="125">
        <v>6436.4810029213022</v>
      </c>
      <c r="AG98" s="125">
        <v>6437.0175080419394</v>
      </c>
      <c r="AH98" s="125">
        <v>6437.5518142073724</v>
      </c>
      <c r="AI98" s="125">
        <v>6775.0809011602914</v>
      </c>
      <c r="AJ98" s="125">
        <v>6775.0809011602914</v>
      </c>
      <c r="AK98" s="125">
        <v>6775.0809011602914</v>
      </c>
      <c r="AL98" s="125">
        <v>6775.0809011602914</v>
      </c>
      <c r="AM98" s="125">
        <v>6775.0809011602914</v>
      </c>
      <c r="AN98" s="125">
        <v>6775.0809011602914</v>
      </c>
      <c r="AO98" s="125">
        <v>6775.0809011602914</v>
      </c>
      <c r="AP98" s="125">
        <v>6775.0809011602914</v>
      </c>
      <c r="AQ98" s="125">
        <v>6961.5705422687006</v>
      </c>
      <c r="AR98" s="125">
        <v>6961.5705422687006</v>
      </c>
      <c r="AS98" s="125">
        <v>6961.5705422687006</v>
      </c>
      <c r="AT98" s="125">
        <v>6961.5705422687006</v>
      </c>
      <c r="AU98" s="125">
        <v>6911.8351027333783</v>
      </c>
      <c r="AV98" s="125">
        <v>6911.8351027333783</v>
      </c>
      <c r="AW98" s="125">
        <v>6911.8351027333783</v>
      </c>
      <c r="AX98" s="125">
        <v>6911.8351027333783</v>
      </c>
      <c r="AY98" s="125">
        <v>6632.4622004035155</v>
      </c>
    </row>
    <row r="99" spans="1:52" x14ac:dyDescent="0.2">
      <c r="A99" s="142"/>
      <c r="B99" s="146" t="s">
        <v>296</v>
      </c>
      <c r="C99" s="139">
        <v>3286.9424376364159</v>
      </c>
      <c r="D99" s="139">
        <v>3347.6345555419725</v>
      </c>
      <c r="E99" s="139">
        <v>2271.9801063768314</v>
      </c>
      <c r="F99" s="139">
        <v>4108.989669510006</v>
      </c>
      <c r="G99" s="139">
        <v>4167.989669510006</v>
      </c>
      <c r="H99" s="139">
        <v>6371.0809011602914</v>
      </c>
      <c r="I99" s="139">
        <v>6320.0809011602914</v>
      </c>
      <c r="J99" s="139">
        <v>6402.0809011602914</v>
      </c>
      <c r="K99" s="139">
        <v>6359.0809011602914</v>
      </c>
      <c r="L99" s="139">
        <v>6127.7267608681932</v>
      </c>
      <c r="M99" s="139">
        <v>6025.7267608681932</v>
      </c>
      <c r="N99" s="139">
        <v>6130.7267608681932</v>
      </c>
      <c r="O99" s="139">
        <v>6207.7267608681932</v>
      </c>
      <c r="P99" s="139">
        <v>6287.0809011602914</v>
      </c>
      <c r="Q99" s="139">
        <v>6313.0809011602914</v>
      </c>
      <c r="R99" s="139">
        <v>6293.0809011602914</v>
      </c>
      <c r="S99" s="139">
        <v>6336.0809011602914</v>
      </c>
      <c r="T99" s="139">
        <v>6230.3454616249692</v>
      </c>
      <c r="U99" s="139">
        <v>6233.3454616249692</v>
      </c>
      <c r="V99" s="139">
        <v>6220.3454616249692</v>
      </c>
      <c r="W99" s="139">
        <v>6286.3454616249692</v>
      </c>
      <c r="X99" s="139">
        <v>6270.0809011602914</v>
      </c>
      <c r="Y99" s="139">
        <v>6287.0809011602914</v>
      </c>
      <c r="Z99" s="139">
        <v>6308.0809011602914</v>
      </c>
      <c r="AA99" s="139">
        <v>6337.0809011602914</v>
      </c>
      <c r="AB99" s="139">
        <v>6245.0809011602914</v>
      </c>
      <c r="AC99" s="139">
        <v>6245.0809011602914</v>
      </c>
      <c r="AD99" s="139">
        <v>6357.0809011602914</v>
      </c>
      <c r="AE99" s="139">
        <v>6413.0809011602914</v>
      </c>
      <c r="AF99" s="139">
        <v>6294.3454616249692</v>
      </c>
      <c r="AG99" s="139">
        <v>5918.4810029213022</v>
      </c>
      <c r="AH99" s="139">
        <v>5998.0175080419394</v>
      </c>
      <c r="AI99" s="139">
        <v>5933.5518142073724</v>
      </c>
      <c r="AJ99" s="139">
        <v>6310.0809011602914</v>
      </c>
      <c r="AK99" s="139">
        <v>6260.0809011602914</v>
      </c>
      <c r="AL99" s="139">
        <v>6322.0809011602914</v>
      </c>
      <c r="AM99" s="139">
        <v>6308.0809011602914</v>
      </c>
      <c r="AN99" s="139">
        <v>6262.0809011602914</v>
      </c>
      <c r="AO99" s="139">
        <v>6278.0809011602914</v>
      </c>
      <c r="AP99" s="139">
        <v>6311.0809011602914</v>
      </c>
      <c r="AQ99" s="139">
        <v>6305.0809011602914</v>
      </c>
      <c r="AR99" s="139">
        <v>6510.5705422687006</v>
      </c>
      <c r="AS99" s="139">
        <v>6499.5705422687006</v>
      </c>
      <c r="AT99" s="139">
        <v>6488.5705422687006</v>
      </c>
      <c r="AU99" s="139">
        <v>6509.5705422687006</v>
      </c>
      <c r="AV99" s="139">
        <v>6458.8351027333783</v>
      </c>
      <c r="AW99" s="139">
        <v>6421.8351027333783</v>
      </c>
      <c r="AX99" s="139">
        <v>6392.8351027333783</v>
      </c>
      <c r="AY99" s="139">
        <v>6456.8351027333783</v>
      </c>
      <c r="AZ99" s="122">
        <f>SUM($D99:$AY99)</f>
        <v>290742.84288556228</v>
      </c>
    </row>
    <row r="100" spans="1:52" x14ac:dyDescent="0.2">
      <c r="A100" s="145" t="s">
        <v>133</v>
      </c>
      <c r="B100" s="133">
        <v>1</v>
      </c>
      <c r="C100" s="121">
        <v>154.90883747759892</v>
      </c>
      <c r="D100" s="121">
        <v>78.95146475989705</v>
      </c>
      <c r="E100" s="121">
        <v>563.04</v>
      </c>
      <c r="F100" s="121">
        <v>180</v>
      </c>
      <c r="G100" s="121">
        <v>525</v>
      </c>
      <c r="H100" s="121">
        <v>180</v>
      </c>
      <c r="I100" s="121">
        <v>510</v>
      </c>
      <c r="J100" s="121">
        <v>180</v>
      </c>
      <c r="K100" s="121">
        <v>510</v>
      </c>
      <c r="L100" s="121">
        <v>180</v>
      </c>
      <c r="M100" s="121">
        <v>525</v>
      </c>
      <c r="N100" s="121">
        <v>525</v>
      </c>
      <c r="O100" s="121">
        <v>345</v>
      </c>
      <c r="P100" s="121">
        <v>525</v>
      </c>
      <c r="Q100" s="121">
        <v>330</v>
      </c>
      <c r="R100" s="121">
        <v>180</v>
      </c>
      <c r="S100" s="121">
        <v>525</v>
      </c>
      <c r="T100" s="121">
        <v>525</v>
      </c>
      <c r="U100" s="121">
        <v>525</v>
      </c>
      <c r="V100" s="121">
        <v>180</v>
      </c>
      <c r="W100" s="121">
        <v>345</v>
      </c>
      <c r="X100" s="121">
        <v>525</v>
      </c>
      <c r="Y100" s="121">
        <v>525</v>
      </c>
      <c r="Z100" s="121">
        <v>525</v>
      </c>
      <c r="AA100" s="121">
        <v>345</v>
      </c>
      <c r="AB100" s="121">
        <v>525</v>
      </c>
      <c r="AC100" s="121">
        <v>525</v>
      </c>
      <c r="AD100" s="121">
        <v>180</v>
      </c>
      <c r="AE100" s="121">
        <v>510</v>
      </c>
      <c r="AF100" s="121">
        <v>180</v>
      </c>
      <c r="AG100" s="121">
        <v>345</v>
      </c>
      <c r="AH100" s="121">
        <v>180</v>
      </c>
      <c r="AI100" s="121">
        <v>525</v>
      </c>
      <c r="AJ100" s="121">
        <v>180</v>
      </c>
      <c r="AK100" s="121">
        <v>510</v>
      </c>
      <c r="AL100" s="121">
        <v>525</v>
      </c>
      <c r="AM100" s="121">
        <v>345</v>
      </c>
      <c r="AN100" s="121">
        <v>180</v>
      </c>
      <c r="AO100" s="121">
        <v>525</v>
      </c>
      <c r="AP100" s="121">
        <v>180</v>
      </c>
      <c r="AQ100" s="121">
        <v>345</v>
      </c>
      <c r="AR100" s="121">
        <v>180</v>
      </c>
      <c r="AS100" s="121">
        <v>510</v>
      </c>
      <c r="AT100" s="121">
        <v>180</v>
      </c>
      <c r="AU100" s="121">
        <v>345</v>
      </c>
      <c r="AV100" s="121">
        <v>525</v>
      </c>
      <c r="AW100" s="121">
        <v>345</v>
      </c>
      <c r="AX100" s="121">
        <v>180</v>
      </c>
      <c r="AY100" s="121">
        <v>345</v>
      </c>
    </row>
    <row r="101" spans="1:52" x14ac:dyDescent="0.2">
      <c r="A101" s="124"/>
      <c r="B101" s="133">
        <v>2</v>
      </c>
      <c r="C101" s="121">
        <v>140.09322600000002</v>
      </c>
      <c r="D101" s="121">
        <v>0</v>
      </c>
      <c r="E101" s="121">
        <v>0</v>
      </c>
      <c r="F101" s="121">
        <v>0</v>
      </c>
      <c r="G101" s="121">
        <v>0</v>
      </c>
      <c r="H101" s="121">
        <v>0</v>
      </c>
      <c r="I101" s="121">
        <v>345</v>
      </c>
      <c r="J101" s="121">
        <v>0</v>
      </c>
      <c r="K101" s="121">
        <v>345</v>
      </c>
      <c r="L101" s="121">
        <v>15</v>
      </c>
      <c r="M101" s="121">
        <v>0</v>
      </c>
      <c r="N101" s="121">
        <v>0</v>
      </c>
      <c r="O101" s="121">
        <v>0</v>
      </c>
      <c r="P101" s="121">
        <v>180</v>
      </c>
      <c r="Q101" s="121">
        <v>0</v>
      </c>
      <c r="R101" s="121">
        <v>195</v>
      </c>
      <c r="S101" s="121">
        <v>345</v>
      </c>
      <c r="T101" s="121">
        <v>0</v>
      </c>
      <c r="U101" s="121">
        <v>0</v>
      </c>
      <c r="V101" s="121">
        <v>0</v>
      </c>
      <c r="W101" s="121">
        <v>345</v>
      </c>
      <c r="X101" s="121">
        <v>180</v>
      </c>
      <c r="Y101" s="121">
        <v>0</v>
      </c>
      <c r="Z101" s="121">
        <v>0</v>
      </c>
      <c r="AA101" s="121">
        <v>0</v>
      </c>
      <c r="AB101" s="121">
        <v>180</v>
      </c>
      <c r="AC101" s="121">
        <v>0</v>
      </c>
      <c r="AD101" s="121">
        <v>0</v>
      </c>
      <c r="AE101" s="121">
        <v>345</v>
      </c>
      <c r="AF101" s="121">
        <v>15</v>
      </c>
      <c r="AG101" s="121">
        <v>345</v>
      </c>
      <c r="AH101" s="121">
        <v>180</v>
      </c>
      <c r="AI101" s="121">
        <v>0</v>
      </c>
      <c r="AJ101" s="121">
        <v>0</v>
      </c>
      <c r="AK101" s="121">
        <v>345</v>
      </c>
      <c r="AL101" s="121">
        <v>15</v>
      </c>
      <c r="AM101" s="121">
        <v>0</v>
      </c>
      <c r="AN101" s="121">
        <v>180</v>
      </c>
      <c r="AO101" s="121">
        <v>0</v>
      </c>
      <c r="AP101" s="121">
        <v>0</v>
      </c>
      <c r="AQ101" s="121">
        <v>345</v>
      </c>
      <c r="AR101" s="121">
        <v>180</v>
      </c>
      <c r="AS101" s="121">
        <v>0</v>
      </c>
      <c r="AT101" s="121">
        <v>15</v>
      </c>
      <c r="AU101" s="121">
        <v>345</v>
      </c>
      <c r="AV101" s="121">
        <v>180</v>
      </c>
      <c r="AW101" s="121">
        <v>0</v>
      </c>
      <c r="AX101" s="121">
        <v>180</v>
      </c>
      <c r="AY101" s="121">
        <v>345</v>
      </c>
    </row>
    <row r="102" spans="1:52" x14ac:dyDescent="0.2">
      <c r="A102" s="124"/>
      <c r="B102" s="134">
        <v>3</v>
      </c>
      <c r="C102" s="121">
        <v>20.093226000000016</v>
      </c>
      <c r="D102" s="121">
        <v>0</v>
      </c>
      <c r="E102" s="121">
        <v>0</v>
      </c>
      <c r="F102" s="121">
        <v>140.09322600000002</v>
      </c>
      <c r="G102" s="121">
        <v>0</v>
      </c>
      <c r="H102" s="121">
        <v>345</v>
      </c>
      <c r="I102" s="121">
        <v>0</v>
      </c>
      <c r="J102" s="121">
        <v>0</v>
      </c>
      <c r="K102" s="121">
        <v>15</v>
      </c>
      <c r="L102" s="121">
        <v>0</v>
      </c>
      <c r="M102" s="121">
        <v>0</v>
      </c>
      <c r="N102" s="121">
        <v>345</v>
      </c>
      <c r="O102" s="121">
        <v>0</v>
      </c>
      <c r="P102" s="121">
        <v>0</v>
      </c>
      <c r="Q102" s="121">
        <v>0</v>
      </c>
      <c r="R102" s="121">
        <v>0</v>
      </c>
      <c r="S102" s="121">
        <v>0</v>
      </c>
      <c r="T102" s="121">
        <v>0</v>
      </c>
      <c r="U102" s="121">
        <v>0</v>
      </c>
      <c r="V102" s="121">
        <v>0</v>
      </c>
      <c r="W102" s="121">
        <v>0</v>
      </c>
      <c r="X102" s="121">
        <v>0</v>
      </c>
      <c r="Y102" s="121">
        <v>0</v>
      </c>
      <c r="Z102" s="121">
        <v>0</v>
      </c>
      <c r="AA102" s="121">
        <v>0</v>
      </c>
      <c r="AB102" s="121">
        <v>0</v>
      </c>
      <c r="AC102" s="121">
        <v>0</v>
      </c>
      <c r="AD102" s="121">
        <v>0</v>
      </c>
      <c r="AE102" s="121">
        <v>0</v>
      </c>
      <c r="AF102" s="121">
        <v>0</v>
      </c>
      <c r="AG102" s="121">
        <v>0</v>
      </c>
      <c r="AH102" s="121">
        <v>0</v>
      </c>
      <c r="AI102" s="121">
        <v>0</v>
      </c>
      <c r="AJ102" s="121">
        <v>345</v>
      </c>
      <c r="AK102" s="121">
        <v>0</v>
      </c>
      <c r="AL102" s="121">
        <v>0</v>
      </c>
      <c r="AM102" s="121">
        <v>0</v>
      </c>
      <c r="AN102" s="121">
        <v>0</v>
      </c>
      <c r="AO102" s="121">
        <v>0</v>
      </c>
      <c r="AP102" s="121">
        <v>345</v>
      </c>
      <c r="AQ102" s="121">
        <v>0</v>
      </c>
      <c r="AR102" s="121">
        <v>0</v>
      </c>
      <c r="AS102" s="121">
        <v>0</v>
      </c>
      <c r="AT102" s="121">
        <v>345</v>
      </c>
      <c r="AU102" s="121">
        <v>0</v>
      </c>
      <c r="AV102" s="121">
        <v>0</v>
      </c>
      <c r="AW102" s="121">
        <v>0</v>
      </c>
      <c r="AX102" s="121">
        <v>0</v>
      </c>
      <c r="AY102" s="121">
        <v>0</v>
      </c>
    </row>
    <row r="103" spans="1:52" x14ac:dyDescent="0.2">
      <c r="A103" s="124"/>
      <c r="B103" s="134">
        <v>4</v>
      </c>
      <c r="C103" s="121">
        <v>0</v>
      </c>
      <c r="D103" s="121">
        <v>0</v>
      </c>
      <c r="E103" s="121">
        <v>0</v>
      </c>
      <c r="F103" s="121">
        <v>0</v>
      </c>
      <c r="G103" s="121">
        <v>0</v>
      </c>
      <c r="H103" s="121">
        <v>0</v>
      </c>
      <c r="I103" s="121">
        <v>0</v>
      </c>
      <c r="J103" s="121">
        <v>0</v>
      </c>
      <c r="K103" s="121">
        <v>0</v>
      </c>
      <c r="L103" s="121">
        <v>0</v>
      </c>
      <c r="M103" s="121">
        <v>0</v>
      </c>
      <c r="N103" s="121">
        <v>0</v>
      </c>
      <c r="O103" s="121">
        <v>0</v>
      </c>
      <c r="P103" s="121">
        <v>0</v>
      </c>
      <c r="Q103" s="121">
        <v>0</v>
      </c>
      <c r="R103" s="121">
        <v>0</v>
      </c>
      <c r="S103" s="121">
        <v>0</v>
      </c>
      <c r="T103" s="121">
        <v>0</v>
      </c>
      <c r="U103" s="121">
        <v>0</v>
      </c>
      <c r="V103" s="121">
        <v>0</v>
      </c>
      <c r="W103" s="121">
        <v>0</v>
      </c>
      <c r="X103" s="121">
        <v>0</v>
      </c>
      <c r="Y103" s="121">
        <v>0</v>
      </c>
      <c r="Z103" s="121">
        <v>0</v>
      </c>
      <c r="AA103" s="121">
        <v>0</v>
      </c>
      <c r="AB103" s="121">
        <v>0</v>
      </c>
      <c r="AC103" s="121">
        <v>0</v>
      </c>
      <c r="AD103" s="121">
        <v>0</v>
      </c>
      <c r="AE103" s="121">
        <v>0</v>
      </c>
      <c r="AF103" s="121">
        <v>0</v>
      </c>
      <c r="AG103" s="121">
        <v>0</v>
      </c>
      <c r="AH103" s="121">
        <v>0</v>
      </c>
      <c r="AI103" s="121">
        <v>0</v>
      </c>
      <c r="AJ103" s="121">
        <v>0</v>
      </c>
      <c r="AK103" s="121">
        <v>0</v>
      </c>
      <c r="AL103" s="121">
        <v>0</v>
      </c>
      <c r="AM103" s="121">
        <v>0</v>
      </c>
      <c r="AN103" s="121">
        <v>0</v>
      </c>
      <c r="AO103" s="121">
        <v>0</v>
      </c>
      <c r="AP103" s="121">
        <v>0</v>
      </c>
      <c r="AQ103" s="121">
        <v>0</v>
      </c>
      <c r="AR103" s="121">
        <v>0</v>
      </c>
      <c r="AS103" s="121">
        <v>0</v>
      </c>
      <c r="AT103" s="121">
        <v>0</v>
      </c>
      <c r="AU103" s="121">
        <v>0</v>
      </c>
      <c r="AV103" s="121">
        <v>0</v>
      </c>
      <c r="AW103" s="121">
        <v>0</v>
      </c>
      <c r="AX103" s="121">
        <v>0</v>
      </c>
      <c r="AY103" s="121">
        <v>0</v>
      </c>
    </row>
    <row r="104" spans="1:52" x14ac:dyDescent="0.2">
      <c r="A104" s="124"/>
      <c r="B104" s="141">
        <v>5</v>
      </c>
      <c r="C104" s="121">
        <v>0</v>
      </c>
      <c r="D104" s="121">
        <v>0</v>
      </c>
      <c r="E104" s="121">
        <v>0</v>
      </c>
      <c r="F104" s="121">
        <v>0</v>
      </c>
      <c r="G104" s="121">
        <v>0</v>
      </c>
      <c r="H104" s="121">
        <v>0</v>
      </c>
      <c r="I104" s="121">
        <v>0</v>
      </c>
      <c r="J104" s="121">
        <v>0</v>
      </c>
      <c r="K104" s="121">
        <v>0</v>
      </c>
      <c r="L104" s="121">
        <v>0</v>
      </c>
      <c r="M104" s="121">
        <v>0</v>
      </c>
      <c r="N104" s="121">
        <v>0</v>
      </c>
      <c r="O104" s="121">
        <v>0</v>
      </c>
      <c r="P104" s="121">
        <v>0</v>
      </c>
      <c r="Q104" s="121">
        <v>0</v>
      </c>
      <c r="R104" s="121">
        <v>0</v>
      </c>
      <c r="S104" s="121">
        <v>0</v>
      </c>
      <c r="T104" s="121">
        <v>0</v>
      </c>
      <c r="U104" s="121">
        <v>0</v>
      </c>
      <c r="V104" s="121">
        <v>0</v>
      </c>
      <c r="W104" s="121">
        <v>0</v>
      </c>
      <c r="X104" s="121">
        <v>0</v>
      </c>
      <c r="Y104" s="121">
        <v>0</v>
      </c>
      <c r="Z104" s="121">
        <v>0</v>
      </c>
      <c r="AA104" s="121">
        <v>0</v>
      </c>
      <c r="AB104" s="121">
        <v>0</v>
      </c>
      <c r="AC104" s="121">
        <v>0</v>
      </c>
      <c r="AD104" s="121">
        <v>0</v>
      </c>
      <c r="AE104" s="121">
        <v>0</v>
      </c>
      <c r="AF104" s="121">
        <v>0</v>
      </c>
      <c r="AG104" s="121">
        <v>0</v>
      </c>
      <c r="AH104" s="121">
        <v>0</v>
      </c>
      <c r="AI104" s="121">
        <v>0</v>
      </c>
      <c r="AJ104" s="121">
        <v>0</v>
      </c>
      <c r="AK104" s="121">
        <v>0</v>
      </c>
      <c r="AL104" s="121">
        <v>0</v>
      </c>
      <c r="AM104" s="121">
        <v>0</v>
      </c>
      <c r="AN104" s="121">
        <v>0</v>
      </c>
      <c r="AO104" s="121">
        <v>0</v>
      </c>
      <c r="AP104" s="121">
        <v>0</v>
      </c>
      <c r="AQ104" s="121">
        <v>0</v>
      </c>
      <c r="AR104" s="121">
        <v>0</v>
      </c>
      <c r="AS104" s="121">
        <v>0</v>
      </c>
      <c r="AT104" s="121">
        <v>0</v>
      </c>
      <c r="AU104" s="121">
        <v>0</v>
      </c>
      <c r="AV104" s="121">
        <v>0</v>
      </c>
      <c r="AW104" s="121">
        <v>0</v>
      </c>
      <c r="AX104" s="121">
        <v>0</v>
      </c>
      <c r="AY104" s="121">
        <v>0</v>
      </c>
    </row>
    <row r="105" spans="1:52" x14ac:dyDescent="0.2">
      <c r="A105" s="124"/>
      <c r="B105" s="141">
        <v>6</v>
      </c>
      <c r="C105" s="121">
        <v>0</v>
      </c>
      <c r="D105" s="121">
        <v>0</v>
      </c>
      <c r="E105" s="121">
        <v>0</v>
      </c>
      <c r="F105" s="121">
        <v>0</v>
      </c>
      <c r="G105" s="121">
        <v>0</v>
      </c>
      <c r="H105" s="121">
        <v>0</v>
      </c>
      <c r="I105" s="121">
        <v>0</v>
      </c>
      <c r="J105" s="121">
        <v>0</v>
      </c>
      <c r="K105" s="121">
        <v>0</v>
      </c>
      <c r="L105" s="121">
        <v>0</v>
      </c>
      <c r="M105" s="121">
        <v>0</v>
      </c>
      <c r="N105" s="121">
        <v>0</v>
      </c>
      <c r="O105" s="121">
        <v>0</v>
      </c>
      <c r="P105" s="121">
        <v>0</v>
      </c>
      <c r="Q105" s="121">
        <v>0</v>
      </c>
      <c r="R105" s="121">
        <v>0</v>
      </c>
      <c r="S105" s="121">
        <v>0</v>
      </c>
      <c r="T105" s="121">
        <v>0</v>
      </c>
      <c r="U105" s="121">
        <v>0</v>
      </c>
      <c r="V105" s="121">
        <v>0</v>
      </c>
      <c r="W105" s="121">
        <v>0</v>
      </c>
      <c r="X105" s="121">
        <v>0</v>
      </c>
      <c r="Y105" s="121">
        <v>0</v>
      </c>
      <c r="Z105" s="121">
        <v>0</v>
      </c>
      <c r="AA105" s="121">
        <v>0</v>
      </c>
      <c r="AB105" s="121">
        <v>0</v>
      </c>
      <c r="AC105" s="121">
        <v>0</v>
      </c>
      <c r="AD105" s="121">
        <v>0</v>
      </c>
      <c r="AE105" s="121">
        <v>0</v>
      </c>
      <c r="AF105" s="121">
        <v>0</v>
      </c>
      <c r="AG105" s="121">
        <v>0</v>
      </c>
      <c r="AH105" s="121">
        <v>0</v>
      </c>
      <c r="AI105" s="121">
        <v>0</v>
      </c>
      <c r="AJ105" s="121">
        <v>0</v>
      </c>
      <c r="AK105" s="121">
        <v>0</v>
      </c>
      <c r="AL105" s="121">
        <v>0</v>
      </c>
      <c r="AM105" s="121">
        <v>0</v>
      </c>
      <c r="AN105" s="121">
        <v>0</v>
      </c>
      <c r="AO105" s="121">
        <v>0</v>
      </c>
      <c r="AP105" s="121">
        <v>0</v>
      </c>
      <c r="AQ105" s="121">
        <v>0</v>
      </c>
      <c r="AR105" s="121">
        <v>0</v>
      </c>
      <c r="AS105" s="121">
        <v>0</v>
      </c>
      <c r="AT105" s="121">
        <v>0</v>
      </c>
      <c r="AU105" s="121">
        <v>0</v>
      </c>
      <c r="AV105" s="121">
        <v>0</v>
      </c>
      <c r="AW105" s="121">
        <v>0</v>
      </c>
      <c r="AX105" s="121">
        <v>0</v>
      </c>
      <c r="AY105" s="121">
        <v>0</v>
      </c>
    </row>
    <row r="106" spans="1:52" x14ac:dyDescent="0.2">
      <c r="A106" s="124"/>
      <c r="B106" s="144">
        <v>7</v>
      </c>
      <c r="C106" s="121">
        <v>0</v>
      </c>
      <c r="D106" s="121">
        <v>0</v>
      </c>
      <c r="E106" s="121">
        <v>0</v>
      </c>
      <c r="F106" s="121">
        <v>0</v>
      </c>
      <c r="G106" s="121">
        <v>0</v>
      </c>
      <c r="H106" s="121">
        <v>0</v>
      </c>
      <c r="I106" s="121">
        <v>0</v>
      </c>
      <c r="J106" s="121">
        <v>0</v>
      </c>
      <c r="K106" s="121">
        <v>0</v>
      </c>
      <c r="L106" s="121">
        <v>0</v>
      </c>
      <c r="M106" s="121">
        <v>0</v>
      </c>
      <c r="N106" s="121">
        <v>0</v>
      </c>
      <c r="O106" s="121">
        <v>0</v>
      </c>
      <c r="P106" s="121">
        <v>0</v>
      </c>
      <c r="Q106" s="121">
        <v>0</v>
      </c>
      <c r="R106" s="121">
        <v>0</v>
      </c>
      <c r="S106" s="121">
        <v>0</v>
      </c>
      <c r="T106" s="121">
        <v>0</v>
      </c>
      <c r="U106" s="121">
        <v>0</v>
      </c>
      <c r="V106" s="121">
        <v>0</v>
      </c>
      <c r="W106" s="121">
        <v>0</v>
      </c>
      <c r="X106" s="121">
        <v>0</v>
      </c>
      <c r="Y106" s="121">
        <v>0</v>
      </c>
      <c r="Z106" s="121">
        <v>0</v>
      </c>
      <c r="AA106" s="121">
        <v>0</v>
      </c>
      <c r="AB106" s="121">
        <v>0</v>
      </c>
      <c r="AC106" s="121">
        <v>0</v>
      </c>
      <c r="AD106" s="121">
        <v>0</v>
      </c>
      <c r="AE106" s="121">
        <v>0</v>
      </c>
      <c r="AF106" s="121">
        <v>0</v>
      </c>
      <c r="AG106" s="121">
        <v>0</v>
      </c>
      <c r="AH106" s="121">
        <v>0</v>
      </c>
      <c r="AI106" s="121">
        <v>0</v>
      </c>
      <c r="AJ106" s="121">
        <v>0</v>
      </c>
      <c r="AK106" s="121">
        <v>0</v>
      </c>
      <c r="AL106" s="121">
        <v>0</v>
      </c>
      <c r="AM106" s="121">
        <v>0</v>
      </c>
      <c r="AN106" s="121">
        <v>0</v>
      </c>
      <c r="AO106" s="121">
        <v>0</v>
      </c>
      <c r="AP106" s="121">
        <v>0</v>
      </c>
      <c r="AQ106" s="121">
        <v>0</v>
      </c>
      <c r="AR106" s="121">
        <v>0</v>
      </c>
      <c r="AS106" s="121">
        <v>0</v>
      </c>
      <c r="AT106" s="121">
        <v>0</v>
      </c>
      <c r="AU106" s="121">
        <v>0</v>
      </c>
      <c r="AV106" s="121">
        <v>0</v>
      </c>
      <c r="AW106" s="121">
        <v>0</v>
      </c>
      <c r="AX106" s="121">
        <v>0</v>
      </c>
      <c r="AY106" s="121">
        <v>0</v>
      </c>
    </row>
    <row r="107" spans="1:52" x14ac:dyDescent="0.2">
      <c r="A107" s="124"/>
      <c r="B107" s="144">
        <v>8</v>
      </c>
      <c r="C107" s="121">
        <v>0</v>
      </c>
      <c r="D107" s="121">
        <v>0</v>
      </c>
      <c r="E107" s="121">
        <v>0</v>
      </c>
      <c r="F107" s="121">
        <v>0</v>
      </c>
      <c r="G107" s="121">
        <v>0</v>
      </c>
      <c r="H107" s="121">
        <v>0</v>
      </c>
      <c r="I107" s="121">
        <v>0</v>
      </c>
      <c r="J107" s="121">
        <v>0</v>
      </c>
      <c r="K107" s="121">
        <v>0</v>
      </c>
      <c r="L107" s="121">
        <v>0</v>
      </c>
      <c r="M107" s="121">
        <v>0</v>
      </c>
      <c r="N107" s="121">
        <v>0</v>
      </c>
      <c r="O107" s="121">
        <v>0</v>
      </c>
      <c r="P107" s="121">
        <v>0</v>
      </c>
      <c r="Q107" s="121">
        <v>0</v>
      </c>
      <c r="R107" s="121">
        <v>0</v>
      </c>
      <c r="S107" s="121">
        <v>0</v>
      </c>
      <c r="T107" s="121">
        <v>0</v>
      </c>
      <c r="U107" s="121">
        <v>0</v>
      </c>
      <c r="V107" s="121">
        <v>0</v>
      </c>
      <c r="W107" s="121">
        <v>0</v>
      </c>
      <c r="X107" s="121">
        <v>0</v>
      </c>
      <c r="Y107" s="121">
        <v>0</v>
      </c>
      <c r="Z107" s="121">
        <v>0</v>
      </c>
      <c r="AA107" s="121">
        <v>0</v>
      </c>
      <c r="AB107" s="121">
        <v>0</v>
      </c>
      <c r="AC107" s="121">
        <v>0</v>
      </c>
      <c r="AD107" s="121">
        <v>0</v>
      </c>
      <c r="AE107" s="121">
        <v>0</v>
      </c>
      <c r="AF107" s="121">
        <v>0</v>
      </c>
      <c r="AG107" s="121">
        <v>0</v>
      </c>
      <c r="AH107" s="121">
        <v>0</v>
      </c>
      <c r="AI107" s="121">
        <v>0</v>
      </c>
      <c r="AJ107" s="121">
        <v>0</v>
      </c>
      <c r="AK107" s="121">
        <v>0</v>
      </c>
      <c r="AL107" s="121">
        <v>0</v>
      </c>
      <c r="AM107" s="121">
        <v>0</v>
      </c>
      <c r="AN107" s="121">
        <v>0</v>
      </c>
      <c r="AO107" s="121">
        <v>0</v>
      </c>
      <c r="AP107" s="121">
        <v>0</v>
      </c>
      <c r="AQ107" s="121">
        <v>0</v>
      </c>
      <c r="AR107" s="121">
        <v>0</v>
      </c>
      <c r="AS107" s="121">
        <v>0</v>
      </c>
      <c r="AT107" s="121">
        <v>0</v>
      </c>
      <c r="AU107" s="121">
        <v>0</v>
      </c>
      <c r="AV107" s="121">
        <v>0</v>
      </c>
      <c r="AW107" s="121">
        <v>0</v>
      </c>
      <c r="AX107" s="121">
        <v>0</v>
      </c>
      <c r="AY107" s="121">
        <v>0</v>
      </c>
    </row>
    <row r="108" spans="1:52" x14ac:dyDescent="0.2">
      <c r="A108" s="142"/>
      <c r="B108" s="146" t="s">
        <v>296</v>
      </c>
      <c r="C108" s="128">
        <v>0</v>
      </c>
      <c r="D108" s="139">
        <v>0</v>
      </c>
      <c r="E108" s="139">
        <v>0</v>
      </c>
      <c r="F108" s="139">
        <v>0</v>
      </c>
      <c r="G108" s="139">
        <v>0</v>
      </c>
      <c r="H108" s="139">
        <v>0</v>
      </c>
      <c r="I108" s="139">
        <v>0</v>
      </c>
      <c r="J108" s="139">
        <v>0</v>
      </c>
      <c r="K108" s="139">
        <v>0</v>
      </c>
      <c r="L108" s="139">
        <v>0</v>
      </c>
      <c r="M108" s="139">
        <v>0</v>
      </c>
      <c r="N108" s="139">
        <v>0</v>
      </c>
      <c r="O108" s="139">
        <v>0</v>
      </c>
      <c r="P108" s="139">
        <v>0</v>
      </c>
      <c r="Q108" s="139">
        <v>0</v>
      </c>
      <c r="R108" s="139">
        <v>0</v>
      </c>
      <c r="S108" s="139">
        <v>0</v>
      </c>
      <c r="T108" s="139">
        <v>0</v>
      </c>
      <c r="U108" s="139">
        <v>0</v>
      </c>
      <c r="V108" s="139">
        <v>0</v>
      </c>
      <c r="W108" s="139">
        <v>0</v>
      </c>
      <c r="X108" s="139">
        <v>0</v>
      </c>
      <c r="Y108" s="139">
        <v>0</v>
      </c>
      <c r="Z108" s="139">
        <v>0</v>
      </c>
      <c r="AA108" s="139">
        <v>0</v>
      </c>
      <c r="AB108" s="139">
        <v>0</v>
      </c>
      <c r="AC108" s="139">
        <v>0</v>
      </c>
      <c r="AD108" s="139">
        <v>0</v>
      </c>
      <c r="AE108" s="139">
        <v>0</v>
      </c>
      <c r="AF108" s="139">
        <v>0</v>
      </c>
      <c r="AG108" s="139">
        <v>0</v>
      </c>
      <c r="AH108" s="139">
        <v>0</v>
      </c>
      <c r="AI108" s="139">
        <v>0</v>
      </c>
      <c r="AJ108" s="139">
        <v>0</v>
      </c>
      <c r="AK108" s="139">
        <v>0</v>
      </c>
      <c r="AL108" s="139">
        <v>0</v>
      </c>
      <c r="AM108" s="139">
        <v>0</v>
      </c>
      <c r="AN108" s="139">
        <v>0</v>
      </c>
      <c r="AO108" s="139">
        <v>0</v>
      </c>
      <c r="AP108" s="139">
        <v>0</v>
      </c>
      <c r="AQ108" s="139">
        <v>0</v>
      </c>
      <c r="AR108" s="139">
        <v>0</v>
      </c>
      <c r="AS108" s="139">
        <v>0</v>
      </c>
      <c r="AT108" s="139">
        <v>0</v>
      </c>
      <c r="AU108" s="139">
        <v>0</v>
      </c>
      <c r="AV108" s="139">
        <v>0</v>
      </c>
      <c r="AW108" s="139">
        <v>0</v>
      </c>
      <c r="AX108" s="139">
        <v>0</v>
      </c>
      <c r="AY108" s="139">
        <v>0</v>
      </c>
      <c r="AZ108" s="122">
        <f>SUM($D108:$AY108)</f>
        <v>0</v>
      </c>
    </row>
    <row r="109" spans="1:52" x14ac:dyDescent="0.2">
      <c r="A109" s="145" t="s">
        <v>134</v>
      </c>
      <c r="B109" s="133">
        <v>1</v>
      </c>
      <c r="C109" s="121">
        <v>726.61990071835044</v>
      </c>
      <c r="D109" s="121">
        <v>725.06963139446816</v>
      </c>
      <c r="E109" s="121">
        <v>418.13582593295291</v>
      </c>
      <c r="F109" s="121">
        <v>98.244506543299124</v>
      </c>
      <c r="G109" s="121">
        <v>84.057800832886102</v>
      </c>
      <c r="H109" s="121">
        <v>84.057800832886102</v>
      </c>
      <c r="I109" s="121">
        <v>84.057800832886102</v>
      </c>
      <c r="J109" s="121">
        <v>84.057800832886102</v>
      </c>
      <c r="K109" s="121">
        <v>84.057800832886102</v>
      </c>
      <c r="L109" s="121">
        <v>84.057800832886102</v>
      </c>
      <c r="M109" s="121">
        <v>84.057800832886102</v>
      </c>
      <c r="N109" s="121">
        <v>84.057800832886102</v>
      </c>
      <c r="O109" s="121">
        <v>84.057800832886102</v>
      </c>
      <c r="P109" s="121">
        <v>84.057800832886102</v>
      </c>
      <c r="Q109" s="121">
        <v>84.057800832886102</v>
      </c>
      <c r="R109" s="121">
        <v>84.057800832886102</v>
      </c>
      <c r="S109" s="121">
        <v>84.057800832886102</v>
      </c>
      <c r="T109" s="121">
        <v>84.057800832886102</v>
      </c>
      <c r="U109" s="121">
        <v>84.057800832886102</v>
      </c>
      <c r="V109" s="121">
        <v>84.057800832886102</v>
      </c>
      <c r="W109" s="121">
        <v>84.057800832886102</v>
      </c>
      <c r="X109" s="121">
        <v>84.057800832886102</v>
      </c>
      <c r="Y109" s="121">
        <v>84.057800832886102</v>
      </c>
      <c r="Z109" s="121">
        <v>84.057800832886102</v>
      </c>
      <c r="AA109" s="121">
        <v>84.057800832886102</v>
      </c>
      <c r="AB109" s="121">
        <v>84.057800832886102</v>
      </c>
      <c r="AC109" s="121">
        <v>84.057800832886102</v>
      </c>
      <c r="AD109" s="121">
        <v>84.057800832886102</v>
      </c>
      <c r="AE109" s="121">
        <v>84.057800832886102</v>
      </c>
      <c r="AF109" s="121">
        <v>84.057800832886102</v>
      </c>
      <c r="AG109" s="121">
        <v>84.057800832886102</v>
      </c>
      <c r="AH109" s="121">
        <v>84.057800832886102</v>
      </c>
      <c r="AI109" s="121">
        <v>84.057800832886102</v>
      </c>
      <c r="AJ109" s="121">
        <v>84.057800832886102</v>
      </c>
      <c r="AK109" s="121">
        <v>84.057800832886102</v>
      </c>
      <c r="AL109" s="121">
        <v>84.057800832886102</v>
      </c>
      <c r="AM109" s="121">
        <v>84.057800832886102</v>
      </c>
      <c r="AN109" s="121">
        <v>84.057800832886102</v>
      </c>
      <c r="AO109" s="121">
        <v>84.057800832886102</v>
      </c>
      <c r="AP109" s="121">
        <v>84.057800832886102</v>
      </c>
      <c r="AQ109" s="121">
        <v>84.057800832886102</v>
      </c>
      <c r="AR109" s="121">
        <v>84.057800832886102</v>
      </c>
      <c r="AS109" s="121">
        <v>84.057800832886102</v>
      </c>
      <c r="AT109" s="121">
        <v>84.057800832886102</v>
      </c>
      <c r="AU109" s="121">
        <v>84.057800832886102</v>
      </c>
      <c r="AV109" s="121">
        <v>84.057800832886102</v>
      </c>
      <c r="AW109" s="121">
        <v>84.057800832886102</v>
      </c>
      <c r="AX109" s="121">
        <v>84.057800832886102</v>
      </c>
      <c r="AY109" s="121">
        <v>84.057800832886102</v>
      </c>
    </row>
    <row r="110" spans="1:52" x14ac:dyDescent="0.2">
      <c r="A110" s="124"/>
      <c r="B110" s="133">
        <v>2</v>
      </c>
      <c r="C110" s="121">
        <v>722.91145490082624</v>
      </c>
      <c r="D110" s="121">
        <v>726.61990071835044</v>
      </c>
      <c r="E110" s="121">
        <v>725.06963139446816</v>
      </c>
      <c r="F110" s="121">
        <v>418.13582593295291</v>
      </c>
      <c r="G110" s="121">
        <v>98.244506543299124</v>
      </c>
      <c r="H110" s="121">
        <v>84.057800832886102</v>
      </c>
      <c r="I110" s="121">
        <v>84.057800832886102</v>
      </c>
      <c r="J110" s="121">
        <v>84.057800832886102</v>
      </c>
      <c r="K110" s="121">
        <v>84.057800832886102</v>
      </c>
      <c r="L110" s="121">
        <v>84.057800832886102</v>
      </c>
      <c r="M110" s="121">
        <v>84.057800832886102</v>
      </c>
      <c r="N110" s="121">
        <v>84.057800832886102</v>
      </c>
      <c r="O110" s="121">
        <v>84.057800832886102</v>
      </c>
      <c r="P110" s="121">
        <v>84.057800832886102</v>
      </c>
      <c r="Q110" s="121">
        <v>84.057800832886102</v>
      </c>
      <c r="R110" s="121">
        <v>0</v>
      </c>
      <c r="S110" s="121">
        <v>0</v>
      </c>
      <c r="T110" s="121">
        <v>0</v>
      </c>
      <c r="U110" s="121">
        <v>0</v>
      </c>
      <c r="V110" s="121">
        <v>0</v>
      </c>
      <c r="W110" s="121">
        <v>0</v>
      </c>
      <c r="X110" s="121">
        <v>0</v>
      </c>
      <c r="Y110" s="121">
        <v>0</v>
      </c>
      <c r="Z110" s="121">
        <v>0</v>
      </c>
      <c r="AA110" s="121">
        <v>0</v>
      </c>
      <c r="AB110" s="121">
        <v>0</v>
      </c>
      <c r="AC110" s="121">
        <v>0</v>
      </c>
      <c r="AD110" s="121">
        <v>0</v>
      </c>
      <c r="AE110" s="121">
        <v>0</v>
      </c>
      <c r="AF110" s="121">
        <v>0</v>
      </c>
      <c r="AG110" s="121">
        <v>0</v>
      </c>
      <c r="AH110" s="121">
        <v>0</v>
      </c>
      <c r="AI110" s="121">
        <v>0</v>
      </c>
      <c r="AJ110" s="121">
        <v>0</v>
      </c>
      <c r="AK110" s="121">
        <v>0</v>
      </c>
      <c r="AL110" s="121">
        <v>0</v>
      </c>
      <c r="AM110" s="121">
        <v>0</v>
      </c>
      <c r="AN110" s="121">
        <v>0</v>
      </c>
      <c r="AO110" s="121">
        <v>0</v>
      </c>
      <c r="AP110" s="121">
        <v>0</v>
      </c>
      <c r="AQ110" s="121">
        <v>0</v>
      </c>
      <c r="AR110" s="121">
        <v>0</v>
      </c>
      <c r="AS110" s="121">
        <v>0</v>
      </c>
      <c r="AT110" s="121">
        <v>0</v>
      </c>
      <c r="AU110" s="121">
        <v>0</v>
      </c>
      <c r="AV110" s="121">
        <v>0</v>
      </c>
      <c r="AW110" s="121">
        <v>0</v>
      </c>
      <c r="AX110" s="121">
        <v>0</v>
      </c>
      <c r="AY110" s="121">
        <v>0</v>
      </c>
    </row>
    <row r="111" spans="1:52" x14ac:dyDescent="0.2">
      <c r="A111" s="124"/>
      <c r="B111" s="133">
        <v>3</v>
      </c>
      <c r="C111" s="121">
        <v>713.02424584331277</v>
      </c>
      <c r="D111" s="121">
        <v>722.91145490082624</v>
      </c>
      <c r="E111" s="121">
        <v>726.61990071835044</v>
      </c>
      <c r="F111" s="121">
        <v>725.06963139446816</v>
      </c>
      <c r="G111" s="121">
        <v>418.13582593295291</v>
      </c>
      <c r="H111" s="121">
        <v>98.244506543299124</v>
      </c>
      <c r="I111" s="121">
        <v>84.057800832886102</v>
      </c>
      <c r="J111" s="121">
        <v>84.057800832886102</v>
      </c>
      <c r="K111" s="121">
        <v>84.057800832886102</v>
      </c>
      <c r="L111" s="121">
        <v>84.057800832886102</v>
      </c>
      <c r="M111" s="121">
        <v>84.057800832886102</v>
      </c>
      <c r="N111" s="121">
        <v>84.057800832886102</v>
      </c>
      <c r="O111" s="121">
        <v>84.057800832886102</v>
      </c>
      <c r="P111" s="121">
        <v>84.057800832886102</v>
      </c>
      <c r="Q111" s="121">
        <v>84.057800832886102</v>
      </c>
      <c r="R111" s="121">
        <v>0</v>
      </c>
      <c r="S111" s="121">
        <v>0</v>
      </c>
      <c r="T111" s="121">
        <v>0</v>
      </c>
      <c r="U111" s="121">
        <v>0</v>
      </c>
      <c r="V111" s="121">
        <v>0</v>
      </c>
      <c r="W111" s="121">
        <v>0</v>
      </c>
      <c r="X111" s="121">
        <v>0</v>
      </c>
      <c r="Y111" s="121">
        <v>0</v>
      </c>
      <c r="Z111" s="121">
        <v>0</v>
      </c>
      <c r="AA111" s="121">
        <v>0</v>
      </c>
      <c r="AB111" s="121">
        <v>0</v>
      </c>
      <c r="AC111" s="121">
        <v>0</v>
      </c>
      <c r="AD111" s="121">
        <v>0</v>
      </c>
      <c r="AE111" s="121">
        <v>0</v>
      </c>
      <c r="AF111" s="121">
        <v>0</v>
      </c>
      <c r="AG111" s="121">
        <v>0</v>
      </c>
      <c r="AH111" s="121">
        <v>0</v>
      </c>
      <c r="AI111" s="121">
        <v>0</v>
      </c>
      <c r="AJ111" s="121">
        <v>0</v>
      </c>
      <c r="AK111" s="121">
        <v>0</v>
      </c>
      <c r="AL111" s="121">
        <v>0</v>
      </c>
      <c r="AM111" s="121">
        <v>0</v>
      </c>
      <c r="AN111" s="121">
        <v>0</v>
      </c>
      <c r="AO111" s="121">
        <v>0</v>
      </c>
      <c r="AP111" s="121">
        <v>0</v>
      </c>
      <c r="AQ111" s="121">
        <v>0</v>
      </c>
      <c r="AR111" s="121">
        <v>0</v>
      </c>
      <c r="AS111" s="121">
        <v>0</v>
      </c>
      <c r="AT111" s="121">
        <v>0</v>
      </c>
      <c r="AU111" s="121">
        <v>0</v>
      </c>
      <c r="AV111" s="121">
        <v>0</v>
      </c>
      <c r="AW111" s="121">
        <v>0</v>
      </c>
      <c r="AX111" s="121">
        <v>0</v>
      </c>
      <c r="AY111" s="121">
        <v>0</v>
      </c>
    </row>
    <row r="112" spans="1:52" x14ac:dyDescent="0.2">
      <c r="A112" s="124"/>
      <c r="B112" s="134">
        <v>4</v>
      </c>
      <c r="C112" s="121">
        <v>711.77627800812115</v>
      </c>
      <c r="D112" s="121">
        <v>713.02424584331277</v>
      </c>
      <c r="E112" s="121">
        <v>722.91145490082624</v>
      </c>
      <c r="F112" s="121">
        <v>726.61990071835044</v>
      </c>
      <c r="G112" s="121">
        <v>725.06963139446816</v>
      </c>
      <c r="H112" s="121">
        <v>418.13582593295291</v>
      </c>
      <c r="I112" s="121">
        <v>98.244506543299124</v>
      </c>
      <c r="J112" s="121">
        <v>84.057800832886102</v>
      </c>
      <c r="K112" s="121">
        <v>84.057800832886102</v>
      </c>
      <c r="L112" s="121">
        <v>84.057800832886102</v>
      </c>
      <c r="M112" s="121">
        <v>84.057800832886102</v>
      </c>
      <c r="N112" s="121">
        <v>84.057800832886102</v>
      </c>
      <c r="O112" s="121">
        <v>84.057800832886102</v>
      </c>
      <c r="P112" s="121">
        <v>84.057800832886102</v>
      </c>
      <c r="Q112" s="121">
        <v>84.057800832886102</v>
      </c>
      <c r="R112" s="121">
        <v>0</v>
      </c>
      <c r="S112" s="121">
        <v>0</v>
      </c>
      <c r="T112" s="121">
        <v>0</v>
      </c>
      <c r="U112" s="121">
        <v>0</v>
      </c>
      <c r="V112" s="121">
        <v>0</v>
      </c>
      <c r="W112" s="121">
        <v>0</v>
      </c>
      <c r="X112" s="121">
        <v>0</v>
      </c>
      <c r="Y112" s="121">
        <v>0</v>
      </c>
      <c r="Z112" s="121">
        <v>0</v>
      </c>
      <c r="AA112" s="121">
        <v>0</v>
      </c>
      <c r="AB112" s="121">
        <v>0</v>
      </c>
      <c r="AC112" s="121">
        <v>0</v>
      </c>
      <c r="AD112" s="121">
        <v>0</v>
      </c>
      <c r="AE112" s="121">
        <v>0</v>
      </c>
      <c r="AF112" s="121">
        <v>0</v>
      </c>
      <c r="AG112" s="121">
        <v>0</v>
      </c>
      <c r="AH112" s="121">
        <v>0</v>
      </c>
      <c r="AI112" s="121">
        <v>0</v>
      </c>
      <c r="AJ112" s="121">
        <v>0</v>
      </c>
      <c r="AK112" s="121">
        <v>0</v>
      </c>
      <c r="AL112" s="121">
        <v>0</v>
      </c>
      <c r="AM112" s="121">
        <v>0</v>
      </c>
      <c r="AN112" s="121">
        <v>0</v>
      </c>
      <c r="AO112" s="121">
        <v>0</v>
      </c>
      <c r="AP112" s="121">
        <v>0</v>
      </c>
      <c r="AQ112" s="121">
        <v>0</v>
      </c>
      <c r="AR112" s="121">
        <v>0</v>
      </c>
      <c r="AS112" s="121">
        <v>0</v>
      </c>
      <c r="AT112" s="121">
        <v>0</v>
      </c>
      <c r="AU112" s="121">
        <v>0</v>
      </c>
      <c r="AV112" s="121">
        <v>0</v>
      </c>
      <c r="AW112" s="121">
        <v>0</v>
      </c>
      <c r="AX112" s="121">
        <v>0</v>
      </c>
      <c r="AY112" s="121">
        <v>0</v>
      </c>
    </row>
    <row r="113" spans="1:52" x14ac:dyDescent="0.2">
      <c r="A113" s="124"/>
      <c r="B113" s="134">
        <v>5</v>
      </c>
      <c r="C113" s="121">
        <v>689.94112323920945</v>
      </c>
      <c r="D113" s="121">
        <v>711.77627800812115</v>
      </c>
      <c r="E113" s="121">
        <v>713.02424584331277</v>
      </c>
      <c r="F113" s="121">
        <v>722.91145490082624</v>
      </c>
      <c r="G113" s="121">
        <v>726.61990071835044</v>
      </c>
      <c r="H113" s="121">
        <v>725.06963139446816</v>
      </c>
      <c r="I113" s="121">
        <v>418.13582593295291</v>
      </c>
      <c r="J113" s="121">
        <v>98.244506543299124</v>
      </c>
      <c r="K113" s="121">
        <v>84.057800832886102</v>
      </c>
      <c r="L113" s="121">
        <v>84.057800832886102</v>
      </c>
      <c r="M113" s="121">
        <v>84.057800832886102</v>
      </c>
      <c r="N113" s="121">
        <v>84.057800832886102</v>
      </c>
      <c r="O113" s="121">
        <v>84.057800832886102</v>
      </c>
      <c r="P113" s="121">
        <v>84.057800832886102</v>
      </c>
      <c r="Q113" s="121">
        <v>84.057800832886102</v>
      </c>
      <c r="R113" s="121">
        <v>0</v>
      </c>
      <c r="S113" s="121">
        <v>0</v>
      </c>
      <c r="T113" s="121">
        <v>0</v>
      </c>
      <c r="U113" s="121">
        <v>0</v>
      </c>
      <c r="V113" s="121">
        <v>0</v>
      </c>
      <c r="W113" s="121">
        <v>0</v>
      </c>
      <c r="X113" s="121">
        <v>0</v>
      </c>
      <c r="Y113" s="121">
        <v>0</v>
      </c>
      <c r="Z113" s="121">
        <v>0</v>
      </c>
      <c r="AA113" s="121">
        <v>0</v>
      </c>
      <c r="AB113" s="121">
        <v>0</v>
      </c>
      <c r="AC113" s="121">
        <v>0</v>
      </c>
      <c r="AD113" s="121">
        <v>0</v>
      </c>
      <c r="AE113" s="121">
        <v>0</v>
      </c>
      <c r="AF113" s="121">
        <v>0</v>
      </c>
      <c r="AG113" s="121">
        <v>0</v>
      </c>
      <c r="AH113" s="121">
        <v>0</v>
      </c>
      <c r="AI113" s="121">
        <v>0</v>
      </c>
      <c r="AJ113" s="121">
        <v>0</v>
      </c>
      <c r="AK113" s="121">
        <v>0</v>
      </c>
      <c r="AL113" s="121">
        <v>0</v>
      </c>
      <c r="AM113" s="121">
        <v>0</v>
      </c>
      <c r="AN113" s="121">
        <v>0</v>
      </c>
      <c r="AO113" s="121">
        <v>0</v>
      </c>
      <c r="AP113" s="121">
        <v>0</v>
      </c>
      <c r="AQ113" s="121">
        <v>0</v>
      </c>
      <c r="AR113" s="121">
        <v>0</v>
      </c>
      <c r="AS113" s="121">
        <v>0</v>
      </c>
      <c r="AT113" s="121">
        <v>0</v>
      </c>
      <c r="AU113" s="121">
        <v>0</v>
      </c>
      <c r="AV113" s="121">
        <v>0</v>
      </c>
      <c r="AW113" s="121">
        <v>0</v>
      </c>
      <c r="AX113" s="121">
        <v>0</v>
      </c>
      <c r="AY113" s="121">
        <v>0</v>
      </c>
    </row>
    <row r="114" spans="1:52" x14ac:dyDescent="0.2">
      <c r="A114" s="124"/>
      <c r="B114" s="134">
        <v>6</v>
      </c>
      <c r="C114" s="121">
        <v>702.53984507808036</v>
      </c>
      <c r="D114" s="121">
        <v>689.94112323920945</v>
      </c>
      <c r="E114" s="121">
        <v>711.77627800812115</v>
      </c>
      <c r="F114" s="121">
        <v>713.02424584331277</v>
      </c>
      <c r="G114" s="121">
        <v>722.91145490082624</v>
      </c>
      <c r="H114" s="121">
        <v>726.61990071835044</v>
      </c>
      <c r="I114" s="121">
        <v>725.06963139446816</v>
      </c>
      <c r="J114" s="121">
        <v>418.13582593295291</v>
      </c>
      <c r="K114" s="121">
        <v>98.244506543299124</v>
      </c>
      <c r="L114" s="121">
        <v>84.057800832886102</v>
      </c>
      <c r="M114" s="121">
        <v>84.057800832886102</v>
      </c>
      <c r="N114" s="121">
        <v>84.057800832886102</v>
      </c>
      <c r="O114" s="121">
        <v>84.057800832886102</v>
      </c>
      <c r="P114" s="121">
        <v>84.057800832886102</v>
      </c>
      <c r="Q114" s="121">
        <v>84.057800832886102</v>
      </c>
      <c r="R114" s="121">
        <v>0</v>
      </c>
      <c r="S114" s="121">
        <v>0</v>
      </c>
      <c r="T114" s="121">
        <v>0</v>
      </c>
      <c r="U114" s="121">
        <v>0</v>
      </c>
      <c r="V114" s="121">
        <v>0</v>
      </c>
      <c r="W114" s="121">
        <v>0</v>
      </c>
      <c r="X114" s="121">
        <v>0</v>
      </c>
      <c r="Y114" s="121">
        <v>0</v>
      </c>
      <c r="Z114" s="121">
        <v>0</v>
      </c>
      <c r="AA114" s="121">
        <v>0</v>
      </c>
      <c r="AB114" s="121">
        <v>0</v>
      </c>
      <c r="AC114" s="121">
        <v>0</v>
      </c>
      <c r="AD114" s="121">
        <v>0</v>
      </c>
      <c r="AE114" s="121">
        <v>0</v>
      </c>
      <c r="AF114" s="121">
        <v>0</v>
      </c>
      <c r="AG114" s="121">
        <v>0</v>
      </c>
      <c r="AH114" s="121">
        <v>0</v>
      </c>
      <c r="AI114" s="121">
        <v>0</v>
      </c>
      <c r="AJ114" s="121">
        <v>0</v>
      </c>
      <c r="AK114" s="121">
        <v>0</v>
      </c>
      <c r="AL114" s="121">
        <v>0</v>
      </c>
      <c r="AM114" s="121">
        <v>0</v>
      </c>
      <c r="AN114" s="121">
        <v>0</v>
      </c>
      <c r="AO114" s="121">
        <v>0</v>
      </c>
      <c r="AP114" s="121">
        <v>0</v>
      </c>
      <c r="AQ114" s="121">
        <v>0</v>
      </c>
      <c r="AR114" s="121">
        <v>0</v>
      </c>
      <c r="AS114" s="121">
        <v>0</v>
      </c>
      <c r="AT114" s="121">
        <v>0</v>
      </c>
      <c r="AU114" s="121">
        <v>0</v>
      </c>
      <c r="AV114" s="121">
        <v>0</v>
      </c>
      <c r="AW114" s="121">
        <v>0</v>
      </c>
      <c r="AX114" s="121">
        <v>0</v>
      </c>
      <c r="AY114" s="121">
        <v>0</v>
      </c>
    </row>
    <row r="115" spans="1:52" x14ac:dyDescent="0.2">
      <c r="A115" s="124"/>
      <c r="B115" s="141">
        <v>7</v>
      </c>
      <c r="C115" s="121">
        <v>702.5088741161901</v>
      </c>
      <c r="D115" s="121">
        <v>702.53984507808036</v>
      </c>
      <c r="E115" s="121">
        <v>689.94112323920945</v>
      </c>
      <c r="F115" s="121">
        <v>711.77627800812115</v>
      </c>
      <c r="G115" s="121">
        <v>713.02424584331277</v>
      </c>
      <c r="H115" s="121">
        <v>722.91145490082624</v>
      </c>
      <c r="I115" s="121">
        <v>726.61990071835044</v>
      </c>
      <c r="J115" s="121">
        <v>725.06963139446816</v>
      </c>
      <c r="K115" s="121">
        <v>418.13582593295291</v>
      </c>
      <c r="L115" s="121">
        <v>98.244506543299124</v>
      </c>
      <c r="M115" s="121">
        <v>84.057800832886102</v>
      </c>
      <c r="N115" s="121">
        <v>84.057800832886102</v>
      </c>
      <c r="O115" s="121">
        <v>84.057800832886102</v>
      </c>
      <c r="P115" s="121">
        <v>84.057800832886102</v>
      </c>
      <c r="Q115" s="121">
        <v>84.057800832886102</v>
      </c>
      <c r="R115" s="121">
        <v>0</v>
      </c>
      <c r="S115" s="121">
        <v>0</v>
      </c>
      <c r="T115" s="121">
        <v>0</v>
      </c>
      <c r="U115" s="121">
        <v>0</v>
      </c>
      <c r="V115" s="121">
        <v>0</v>
      </c>
      <c r="W115" s="121">
        <v>0</v>
      </c>
      <c r="X115" s="121">
        <v>0</v>
      </c>
      <c r="Y115" s="121">
        <v>0</v>
      </c>
      <c r="Z115" s="121">
        <v>0</v>
      </c>
      <c r="AA115" s="121">
        <v>0</v>
      </c>
      <c r="AB115" s="121">
        <v>0</v>
      </c>
      <c r="AC115" s="121">
        <v>0</v>
      </c>
      <c r="AD115" s="121">
        <v>0</v>
      </c>
      <c r="AE115" s="121">
        <v>0</v>
      </c>
      <c r="AF115" s="121">
        <v>0</v>
      </c>
      <c r="AG115" s="121">
        <v>0</v>
      </c>
      <c r="AH115" s="121">
        <v>0</v>
      </c>
      <c r="AI115" s="121">
        <v>0</v>
      </c>
      <c r="AJ115" s="121">
        <v>0</v>
      </c>
      <c r="AK115" s="121">
        <v>0</v>
      </c>
      <c r="AL115" s="121">
        <v>0</v>
      </c>
      <c r="AM115" s="121">
        <v>0</v>
      </c>
      <c r="AN115" s="121">
        <v>0</v>
      </c>
      <c r="AO115" s="121">
        <v>0</v>
      </c>
      <c r="AP115" s="121">
        <v>0</v>
      </c>
      <c r="AQ115" s="121">
        <v>0</v>
      </c>
      <c r="AR115" s="121">
        <v>0</v>
      </c>
      <c r="AS115" s="121">
        <v>0</v>
      </c>
      <c r="AT115" s="121">
        <v>0</v>
      </c>
      <c r="AU115" s="121">
        <v>0</v>
      </c>
      <c r="AV115" s="121">
        <v>0</v>
      </c>
      <c r="AW115" s="121">
        <v>0</v>
      </c>
      <c r="AX115" s="121">
        <v>0</v>
      </c>
      <c r="AY115" s="121">
        <v>0</v>
      </c>
    </row>
    <row r="116" spans="1:52" x14ac:dyDescent="0.2">
      <c r="A116" s="124"/>
      <c r="B116" s="141">
        <v>8</v>
      </c>
      <c r="C116" s="121">
        <v>722.19606304951924</v>
      </c>
      <c r="D116" s="121">
        <v>702.5088741161901</v>
      </c>
      <c r="E116" s="121">
        <v>702.53984507808036</v>
      </c>
      <c r="F116" s="121">
        <v>689.94112323920945</v>
      </c>
      <c r="G116" s="121">
        <v>711.77627800812115</v>
      </c>
      <c r="H116" s="121">
        <v>713.02424584331277</v>
      </c>
      <c r="I116" s="121">
        <v>722.91145490082624</v>
      </c>
      <c r="J116" s="121">
        <v>726.61990071835044</v>
      </c>
      <c r="K116" s="121">
        <v>725.06963139446816</v>
      </c>
      <c r="L116" s="121">
        <v>418.13582593295291</v>
      </c>
      <c r="M116" s="121">
        <v>98.244506543299124</v>
      </c>
      <c r="N116" s="121">
        <v>84.057800832886102</v>
      </c>
      <c r="O116" s="121">
        <v>84.057800832886102</v>
      </c>
      <c r="P116" s="121">
        <v>84.057800832886102</v>
      </c>
      <c r="Q116" s="121">
        <v>84.057800832886102</v>
      </c>
      <c r="R116" s="121">
        <v>0</v>
      </c>
      <c r="S116" s="121">
        <v>0</v>
      </c>
      <c r="T116" s="121">
        <v>0</v>
      </c>
      <c r="U116" s="121">
        <v>0</v>
      </c>
      <c r="V116" s="121">
        <v>0</v>
      </c>
      <c r="W116" s="121">
        <v>0</v>
      </c>
      <c r="X116" s="121">
        <v>0</v>
      </c>
      <c r="Y116" s="121">
        <v>0</v>
      </c>
      <c r="Z116" s="121">
        <v>0</v>
      </c>
      <c r="AA116" s="121">
        <v>0</v>
      </c>
      <c r="AB116" s="121">
        <v>0</v>
      </c>
      <c r="AC116" s="121">
        <v>0</v>
      </c>
      <c r="AD116" s="121">
        <v>0</v>
      </c>
      <c r="AE116" s="121">
        <v>0</v>
      </c>
      <c r="AF116" s="121">
        <v>0</v>
      </c>
      <c r="AG116" s="121">
        <v>0</v>
      </c>
      <c r="AH116" s="121">
        <v>0</v>
      </c>
      <c r="AI116" s="121">
        <v>0</v>
      </c>
      <c r="AJ116" s="121">
        <v>0</v>
      </c>
      <c r="AK116" s="121">
        <v>0</v>
      </c>
      <c r="AL116" s="121">
        <v>0</v>
      </c>
      <c r="AM116" s="121">
        <v>0</v>
      </c>
      <c r="AN116" s="121">
        <v>0</v>
      </c>
      <c r="AO116" s="121">
        <v>0</v>
      </c>
      <c r="AP116" s="121">
        <v>0</v>
      </c>
      <c r="AQ116" s="121">
        <v>0</v>
      </c>
      <c r="AR116" s="121">
        <v>0</v>
      </c>
      <c r="AS116" s="121">
        <v>0</v>
      </c>
      <c r="AT116" s="121">
        <v>0</v>
      </c>
      <c r="AU116" s="121">
        <v>0</v>
      </c>
      <c r="AV116" s="121">
        <v>0</v>
      </c>
      <c r="AW116" s="121">
        <v>0</v>
      </c>
      <c r="AX116" s="121">
        <v>0</v>
      </c>
      <c r="AY116" s="121">
        <v>0</v>
      </c>
    </row>
    <row r="117" spans="1:52" x14ac:dyDescent="0.2">
      <c r="A117" s="124"/>
      <c r="B117" s="141">
        <v>9</v>
      </c>
      <c r="C117" s="121">
        <v>729.41395771538021</v>
      </c>
      <c r="D117" s="121">
        <v>722.19606304951924</v>
      </c>
      <c r="E117" s="121">
        <v>702.5088741161901</v>
      </c>
      <c r="F117" s="121">
        <v>702.53984507808036</v>
      </c>
      <c r="G117" s="121">
        <v>689.94112323920945</v>
      </c>
      <c r="H117" s="121">
        <v>711.77627800812115</v>
      </c>
      <c r="I117" s="121">
        <v>713.02424584331277</v>
      </c>
      <c r="J117" s="121">
        <v>722.91145490082624</v>
      </c>
      <c r="K117" s="121">
        <v>726.61990071835044</v>
      </c>
      <c r="L117" s="121">
        <v>725.06963139446816</v>
      </c>
      <c r="M117" s="121">
        <v>418.13582593295291</v>
      </c>
      <c r="N117" s="121">
        <v>98.244506543299124</v>
      </c>
      <c r="O117" s="121">
        <v>84.057800832886102</v>
      </c>
      <c r="P117" s="121">
        <v>84.057800832886102</v>
      </c>
      <c r="Q117" s="121">
        <v>20.609427549923936</v>
      </c>
      <c r="R117" s="121">
        <v>0</v>
      </c>
      <c r="S117" s="121">
        <v>0</v>
      </c>
      <c r="T117" s="121">
        <v>0</v>
      </c>
      <c r="U117" s="121">
        <v>0</v>
      </c>
      <c r="V117" s="121">
        <v>0</v>
      </c>
      <c r="W117" s="121">
        <v>0</v>
      </c>
      <c r="X117" s="121">
        <v>0</v>
      </c>
      <c r="Y117" s="121">
        <v>0</v>
      </c>
      <c r="Z117" s="121">
        <v>0</v>
      </c>
      <c r="AA117" s="121">
        <v>0</v>
      </c>
      <c r="AB117" s="121">
        <v>0</v>
      </c>
      <c r="AC117" s="121">
        <v>0</v>
      </c>
      <c r="AD117" s="121">
        <v>0</v>
      </c>
      <c r="AE117" s="121">
        <v>0</v>
      </c>
      <c r="AF117" s="121">
        <v>0</v>
      </c>
      <c r="AG117" s="121">
        <v>0</v>
      </c>
      <c r="AH117" s="121">
        <v>0</v>
      </c>
      <c r="AI117" s="121">
        <v>0</v>
      </c>
      <c r="AJ117" s="121">
        <v>0</v>
      </c>
      <c r="AK117" s="121">
        <v>0</v>
      </c>
      <c r="AL117" s="121">
        <v>0</v>
      </c>
      <c r="AM117" s="121">
        <v>0</v>
      </c>
      <c r="AN117" s="121">
        <v>0</v>
      </c>
      <c r="AO117" s="121">
        <v>0</v>
      </c>
      <c r="AP117" s="121">
        <v>0</v>
      </c>
      <c r="AQ117" s="121">
        <v>0</v>
      </c>
      <c r="AR117" s="121">
        <v>0</v>
      </c>
      <c r="AS117" s="121">
        <v>0</v>
      </c>
      <c r="AT117" s="121">
        <v>0</v>
      </c>
      <c r="AU117" s="121">
        <v>0</v>
      </c>
      <c r="AV117" s="121">
        <v>0</v>
      </c>
      <c r="AW117" s="121">
        <v>0</v>
      </c>
      <c r="AX117" s="121">
        <v>0</v>
      </c>
      <c r="AY117" s="121">
        <v>0</v>
      </c>
    </row>
    <row r="118" spans="1:52" x14ac:dyDescent="0.2">
      <c r="A118" s="124"/>
      <c r="B118" s="144">
        <v>10</v>
      </c>
      <c r="C118" s="121">
        <v>728.26303996779848</v>
      </c>
      <c r="D118" s="121">
        <v>729.41395771538021</v>
      </c>
      <c r="E118" s="121">
        <v>722.19606304951924</v>
      </c>
      <c r="F118" s="121">
        <v>702.5088741161901</v>
      </c>
      <c r="G118" s="121">
        <v>702.53984507808036</v>
      </c>
      <c r="H118" s="121">
        <v>689.94112323920945</v>
      </c>
      <c r="I118" s="121">
        <v>711.77627800812115</v>
      </c>
      <c r="J118" s="121">
        <v>713.02424584331277</v>
      </c>
      <c r="K118" s="121">
        <v>722.91145490082624</v>
      </c>
      <c r="L118" s="121">
        <v>726.61990071835044</v>
      </c>
      <c r="M118" s="121">
        <v>725.06963139446816</v>
      </c>
      <c r="N118" s="121">
        <v>418.13582593295291</v>
      </c>
      <c r="O118" s="121">
        <v>98.244506543299124</v>
      </c>
      <c r="P118" s="121">
        <v>84.057800832886102</v>
      </c>
      <c r="Q118" s="121">
        <v>0</v>
      </c>
      <c r="R118" s="121">
        <v>0</v>
      </c>
      <c r="S118" s="121">
        <v>0</v>
      </c>
      <c r="T118" s="121">
        <v>0</v>
      </c>
      <c r="U118" s="121">
        <v>0</v>
      </c>
      <c r="V118" s="121">
        <v>0</v>
      </c>
      <c r="W118" s="121">
        <v>0</v>
      </c>
      <c r="X118" s="121">
        <v>0</v>
      </c>
      <c r="Y118" s="121">
        <v>0</v>
      </c>
      <c r="Z118" s="121">
        <v>0</v>
      </c>
      <c r="AA118" s="121">
        <v>0</v>
      </c>
      <c r="AB118" s="121">
        <v>0</v>
      </c>
      <c r="AC118" s="121">
        <v>0</v>
      </c>
      <c r="AD118" s="121">
        <v>0</v>
      </c>
      <c r="AE118" s="121">
        <v>0</v>
      </c>
      <c r="AF118" s="121">
        <v>0</v>
      </c>
      <c r="AG118" s="121">
        <v>0</v>
      </c>
      <c r="AH118" s="121">
        <v>0</v>
      </c>
      <c r="AI118" s="121">
        <v>0</v>
      </c>
      <c r="AJ118" s="121">
        <v>0</v>
      </c>
      <c r="AK118" s="121">
        <v>0</v>
      </c>
      <c r="AL118" s="121">
        <v>0</v>
      </c>
      <c r="AM118" s="121">
        <v>0</v>
      </c>
      <c r="AN118" s="121">
        <v>0</v>
      </c>
      <c r="AO118" s="121">
        <v>0</v>
      </c>
      <c r="AP118" s="121">
        <v>0</v>
      </c>
      <c r="AQ118" s="121">
        <v>0</v>
      </c>
      <c r="AR118" s="121">
        <v>0</v>
      </c>
      <c r="AS118" s="121">
        <v>0</v>
      </c>
      <c r="AT118" s="121">
        <v>0</v>
      </c>
      <c r="AU118" s="121">
        <v>0</v>
      </c>
      <c r="AV118" s="121">
        <v>0</v>
      </c>
      <c r="AW118" s="121">
        <v>0</v>
      </c>
      <c r="AX118" s="121">
        <v>0</v>
      </c>
      <c r="AY118" s="121">
        <v>0</v>
      </c>
    </row>
    <row r="119" spans="1:52" x14ac:dyDescent="0.2">
      <c r="A119" s="124"/>
      <c r="B119" s="144">
        <v>11</v>
      </c>
      <c r="C119" s="121">
        <v>724.19335475497996</v>
      </c>
      <c r="D119" s="121">
        <v>728.26303996779848</v>
      </c>
      <c r="E119" s="121">
        <v>729.41395771538021</v>
      </c>
      <c r="F119" s="121">
        <v>722.19606304951924</v>
      </c>
      <c r="G119" s="121">
        <v>702.5088741161901</v>
      </c>
      <c r="H119" s="121">
        <v>702.53984507808036</v>
      </c>
      <c r="I119" s="121">
        <v>689.94112323920945</v>
      </c>
      <c r="J119" s="121">
        <v>711.77627800812115</v>
      </c>
      <c r="K119" s="121">
        <v>713.02424584331277</v>
      </c>
      <c r="L119" s="121">
        <v>722.91145490082624</v>
      </c>
      <c r="M119" s="121">
        <v>726.61990071835044</v>
      </c>
      <c r="N119" s="121">
        <v>725.06963139446816</v>
      </c>
      <c r="O119" s="121">
        <v>418.13582593295291</v>
      </c>
      <c r="P119" s="121">
        <v>98.244506543299124</v>
      </c>
      <c r="Q119" s="121">
        <v>0</v>
      </c>
      <c r="R119" s="121">
        <v>0</v>
      </c>
      <c r="S119" s="121">
        <v>0</v>
      </c>
      <c r="T119" s="121">
        <v>0</v>
      </c>
      <c r="U119" s="121">
        <v>0</v>
      </c>
      <c r="V119" s="121">
        <v>0</v>
      </c>
      <c r="W119" s="121">
        <v>0</v>
      </c>
      <c r="X119" s="121">
        <v>0</v>
      </c>
      <c r="Y119" s="121">
        <v>0</v>
      </c>
      <c r="Z119" s="121">
        <v>0</v>
      </c>
      <c r="AA119" s="121">
        <v>0</v>
      </c>
      <c r="AB119" s="121">
        <v>0</v>
      </c>
      <c r="AC119" s="121">
        <v>0</v>
      </c>
      <c r="AD119" s="121">
        <v>0</v>
      </c>
      <c r="AE119" s="121">
        <v>0</v>
      </c>
      <c r="AF119" s="121">
        <v>0</v>
      </c>
      <c r="AG119" s="121">
        <v>0</v>
      </c>
      <c r="AH119" s="121">
        <v>0</v>
      </c>
      <c r="AI119" s="121">
        <v>0</v>
      </c>
      <c r="AJ119" s="121">
        <v>0</v>
      </c>
      <c r="AK119" s="121">
        <v>0</v>
      </c>
      <c r="AL119" s="121">
        <v>0</v>
      </c>
      <c r="AM119" s="121">
        <v>0</v>
      </c>
      <c r="AN119" s="121">
        <v>0</v>
      </c>
      <c r="AO119" s="121">
        <v>0</v>
      </c>
      <c r="AP119" s="121">
        <v>0</v>
      </c>
      <c r="AQ119" s="121">
        <v>0</v>
      </c>
      <c r="AR119" s="121">
        <v>0</v>
      </c>
      <c r="AS119" s="121">
        <v>0</v>
      </c>
      <c r="AT119" s="121">
        <v>0</v>
      </c>
      <c r="AU119" s="121">
        <v>0</v>
      </c>
      <c r="AV119" s="121">
        <v>0</v>
      </c>
      <c r="AW119" s="121">
        <v>0</v>
      </c>
      <c r="AX119" s="121">
        <v>0</v>
      </c>
      <c r="AY119" s="121">
        <v>0</v>
      </c>
    </row>
    <row r="120" spans="1:52" x14ac:dyDescent="0.2">
      <c r="A120" s="124"/>
      <c r="B120" s="144">
        <v>12</v>
      </c>
      <c r="C120" s="121">
        <v>750.68428970196555</v>
      </c>
      <c r="D120" s="121">
        <v>724.19335475497996</v>
      </c>
      <c r="E120" s="121">
        <v>728.26303996779848</v>
      </c>
      <c r="F120" s="121">
        <v>729.41395771538021</v>
      </c>
      <c r="G120" s="121">
        <v>722.19606304951924</v>
      </c>
      <c r="H120" s="121">
        <v>702.5088741161901</v>
      </c>
      <c r="I120" s="121">
        <v>702.53984507808036</v>
      </c>
      <c r="J120" s="121">
        <v>689.94112323920945</v>
      </c>
      <c r="K120" s="121">
        <v>711.77627800812115</v>
      </c>
      <c r="L120" s="121">
        <v>713.02424584331277</v>
      </c>
      <c r="M120" s="121">
        <v>722.91145490082624</v>
      </c>
      <c r="N120" s="121">
        <v>726.61990071835044</v>
      </c>
      <c r="O120" s="121">
        <v>725.06963139446816</v>
      </c>
      <c r="P120" s="121">
        <v>418.13582593295291</v>
      </c>
      <c r="Q120" s="121">
        <v>0</v>
      </c>
      <c r="R120" s="121">
        <v>0</v>
      </c>
      <c r="S120" s="121">
        <v>0</v>
      </c>
      <c r="T120" s="121">
        <v>0</v>
      </c>
      <c r="U120" s="121">
        <v>0</v>
      </c>
      <c r="V120" s="121">
        <v>0</v>
      </c>
      <c r="W120" s="121">
        <v>0</v>
      </c>
      <c r="X120" s="121">
        <v>0</v>
      </c>
      <c r="Y120" s="121">
        <v>0</v>
      </c>
      <c r="Z120" s="121">
        <v>0</v>
      </c>
      <c r="AA120" s="121">
        <v>0</v>
      </c>
      <c r="AB120" s="121">
        <v>0</v>
      </c>
      <c r="AC120" s="121">
        <v>0</v>
      </c>
      <c r="AD120" s="121">
        <v>0</v>
      </c>
      <c r="AE120" s="121">
        <v>0</v>
      </c>
      <c r="AF120" s="121">
        <v>0</v>
      </c>
      <c r="AG120" s="121">
        <v>0</v>
      </c>
      <c r="AH120" s="121">
        <v>0</v>
      </c>
      <c r="AI120" s="121">
        <v>0</v>
      </c>
      <c r="AJ120" s="121">
        <v>0</v>
      </c>
      <c r="AK120" s="121">
        <v>0</v>
      </c>
      <c r="AL120" s="121">
        <v>0</v>
      </c>
      <c r="AM120" s="121">
        <v>0</v>
      </c>
      <c r="AN120" s="121">
        <v>0</v>
      </c>
      <c r="AO120" s="121">
        <v>0</v>
      </c>
      <c r="AP120" s="121">
        <v>0</v>
      </c>
      <c r="AQ120" s="121">
        <v>0</v>
      </c>
      <c r="AR120" s="121">
        <v>0</v>
      </c>
      <c r="AS120" s="121">
        <v>0</v>
      </c>
      <c r="AT120" s="121">
        <v>0</v>
      </c>
      <c r="AU120" s="121">
        <v>0</v>
      </c>
      <c r="AV120" s="121">
        <v>0</v>
      </c>
      <c r="AW120" s="121">
        <v>0</v>
      </c>
      <c r="AX120" s="121">
        <v>0</v>
      </c>
      <c r="AY120" s="121">
        <v>0</v>
      </c>
    </row>
    <row r="121" spans="1:52" x14ac:dyDescent="0.2">
      <c r="A121" s="142"/>
      <c r="B121" s="146" t="s">
        <v>296</v>
      </c>
      <c r="C121" s="128">
        <v>288.66286683775547</v>
      </c>
      <c r="D121" s="139">
        <v>232.94582073109132</v>
      </c>
      <c r="E121" s="139">
        <v>85.761086593356367</v>
      </c>
      <c r="F121" s="139">
        <v>93.637406259044837</v>
      </c>
      <c r="G121" s="139">
        <v>58.709211008936222</v>
      </c>
      <c r="H121" s="139">
        <v>154.14966209770489</v>
      </c>
      <c r="I121" s="139">
        <v>112.41494287887701</v>
      </c>
      <c r="J121" s="139">
        <v>39.539845078080361</v>
      </c>
      <c r="K121" s="139">
        <v>131.32153326198852</v>
      </c>
      <c r="L121" s="139">
        <v>41.579655720152687</v>
      </c>
      <c r="M121" s="139">
        <v>46.913249992690339</v>
      </c>
      <c r="N121" s="139">
        <v>165.24049846270475</v>
      </c>
      <c r="O121" s="139">
        <v>75.212753049094545</v>
      </c>
      <c r="P121" s="139">
        <v>150.74924304495357</v>
      </c>
      <c r="Q121" s="139">
        <v>0</v>
      </c>
      <c r="R121" s="139">
        <v>0</v>
      </c>
      <c r="S121" s="139">
        <v>0</v>
      </c>
      <c r="T121" s="139">
        <v>0</v>
      </c>
      <c r="U121" s="139">
        <v>0</v>
      </c>
      <c r="V121" s="139">
        <v>0</v>
      </c>
      <c r="W121" s="139">
        <v>0</v>
      </c>
      <c r="X121" s="139">
        <v>0</v>
      </c>
      <c r="Y121" s="139">
        <v>0</v>
      </c>
      <c r="Z121" s="139">
        <v>0</v>
      </c>
      <c r="AA121" s="139">
        <v>0</v>
      </c>
      <c r="AB121" s="139">
        <v>0</v>
      </c>
      <c r="AC121" s="139">
        <v>0</v>
      </c>
      <c r="AD121" s="139">
        <v>0</v>
      </c>
      <c r="AE121" s="139">
        <v>0</v>
      </c>
      <c r="AF121" s="139">
        <v>0</v>
      </c>
      <c r="AG121" s="139">
        <v>0</v>
      </c>
      <c r="AH121" s="139">
        <v>0</v>
      </c>
      <c r="AI121" s="139">
        <v>0</v>
      </c>
      <c r="AJ121" s="139">
        <v>0</v>
      </c>
      <c r="AK121" s="139">
        <v>0</v>
      </c>
      <c r="AL121" s="139">
        <v>0</v>
      </c>
      <c r="AM121" s="139">
        <v>0</v>
      </c>
      <c r="AN121" s="139">
        <v>0</v>
      </c>
      <c r="AO121" s="139">
        <v>0</v>
      </c>
      <c r="AP121" s="139">
        <v>0</v>
      </c>
      <c r="AQ121" s="139">
        <v>0</v>
      </c>
      <c r="AR121" s="139">
        <v>0</v>
      </c>
      <c r="AS121" s="139">
        <v>0</v>
      </c>
      <c r="AT121" s="139">
        <v>0</v>
      </c>
      <c r="AU121" s="139">
        <v>0</v>
      </c>
      <c r="AV121" s="139">
        <v>0</v>
      </c>
      <c r="AW121" s="139">
        <v>0</v>
      </c>
      <c r="AX121" s="139">
        <v>0</v>
      </c>
      <c r="AY121" s="139">
        <v>0</v>
      </c>
      <c r="AZ121" s="122">
        <f>SUM($D121:$AY121)</f>
        <v>1388.1749081786754</v>
      </c>
    </row>
    <row r="122" spans="1:52" x14ac:dyDescent="0.2">
      <c r="A122" s="145" t="s">
        <v>123</v>
      </c>
      <c r="B122" s="133">
        <v>1</v>
      </c>
      <c r="C122" s="121">
        <v>1269.9289161901002</v>
      </c>
      <c r="D122" s="121">
        <v>206.95974463835506</v>
      </c>
      <c r="E122" s="121">
        <v>206.95974463835506</v>
      </c>
      <c r="F122" s="121">
        <v>206.95974463835506</v>
      </c>
      <c r="G122" s="121">
        <v>206.95974463835506</v>
      </c>
      <c r="H122" s="121">
        <v>206.95974463835506</v>
      </c>
      <c r="I122" s="121">
        <v>206.95974463835506</v>
      </c>
      <c r="J122" s="121">
        <v>206.95974463835506</v>
      </c>
      <c r="K122" s="121">
        <v>206.95974463835506</v>
      </c>
      <c r="L122" s="121">
        <v>206.95974463835506</v>
      </c>
      <c r="M122" s="121">
        <v>206.95974463835506</v>
      </c>
      <c r="N122" s="121">
        <v>206.95974463835506</v>
      </c>
      <c r="O122" s="121">
        <v>206.95974463835506</v>
      </c>
      <c r="P122" s="121">
        <v>206.95974463835506</v>
      </c>
      <c r="Q122" s="121">
        <v>206.95974463835506</v>
      </c>
      <c r="R122" s="121">
        <v>206.95974463835506</v>
      </c>
      <c r="S122" s="121">
        <v>206.95974463835506</v>
      </c>
      <c r="T122" s="121">
        <v>206.95974463835506</v>
      </c>
      <c r="U122" s="121">
        <v>206.95974463835506</v>
      </c>
      <c r="V122" s="121">
        <v>206.95974463835506</v>
      </c>
      <c r="W122" s="121">
        <v>206.95974463835506</v>
      </c>
      <c r="X122" s="121">
        <v>206.95974463835506</v>
      </c>
      <c r="Y122" s="121">
        <v>206.95974463835506</v>
      </c>
      <c r="Z122" s="121">
        <v>206.95974463835506</v>
      </c>
      <c r="AA122" s="121">
        <v>206.95974463835506</v>
      </c>
      <c r="AB122" s="121">
        <v>206.95974463835506</v>
      </c>
      <c r="AC122" s="121">
        <v>206.95974463835506</v>
      </c>
      <c r="AD122" s="121">
        <v>206.95974463835506</v>
      </c>
      <c r="AE122" s="121">
        <v>206.95974463835506</v>
      </c>
      <c r="AF122" s="121">
        <v>206.95974463835506</v>
      </c>
      <c r="AG122" s="121">
        <v>206.95974463835506</v>
      </c>
      <c r="AH122" s="121">
        <v>206.95974463835506</v>
      </c>
      <c r="AI122" s="121">
        <v>206.95974463835506</v>
      </c>
      <c r="AJ122" s="121">
        <v>206.95974463835506</v>
      </c>
      <c r="AK122" s="121">
        <v>206.95974463835506</v>
      </c>
      <c r="AL122" s="121">
        <v>206.95974463835506</v>
      </c>
      <c r="AM122" s="121">
        <v>206.95974463835506</v>
      </c>
      <c r="AN122" s="121">
        <v>206.95974463835506</v>
      </c>
      <c r="AO122" s="121">
        <v>206.95974463835506</v>
      </c>
      <c r="AP122" s="121">
        <v>206.95974463835506</v>
      </c>
      <c r="AQ122" s="121">
        <v>206.95974463835506</v>
      </c>
      <c r="AR122" s="121">
        <v>206.95974463835506</v>
      </c>
      <c r="AS122" s="121">
        <v>206.95974463835506</v>
      </c>
      <c r="AT122" s="121">
        <v>206.95974463835506</v>
      </c>
      <c r="AU122" s="121">
        <v>206.95974463835506</v>
      </c>
      <c r="AV122" s="121">
        <v>206.95974463835506</v>
      </c>
      <c r="AW122" s="121">
        <v>206.95974463835506</v>
      </c>
      <c r="AX122" s="121">
        <v>206.95974463835506</v>
      </c>
      <c r="AY122" s="121">
        <v>206.95974463835506</v>
      </c>
    </row>
    <row r="123" spans="1:52" x14ac:dyDescent="0.2">
      <c r="A123" s="124"/>
      <c r="B123" s="133">
        <v>2</v>
      </c>
      <c r="C123" s="121">
        <v>848.96807494350537</v>
      </c>
      <c r="D123" s="121">
        <v>822.53761196362086</v>
      </c>
      <c r="E123" s="121">
        <v>34.929262507399372</v>
      </c>
      <c r="F123" s="121">
        <v>1.4210854715202004E-14</v>
      </c>
      <c r="G123" s="121">
        <v>1.4210854715202004E-14</v>
      </c>
      <c r="H123" s="121">
        <v>1.4210854715202004E-14</v>
      </c>
      <c r="I123" s="121">
        <v>1.4210854715202004E-14</v>
      </c>
      <c r="J123" s="121">
        <v>1.4210854715202004E-14</v>
      </c>
      <c r="K123" s="121">
        <v>1.4210854715202004E-14</v>
      </c>
      <c r="L123" s="121">
        <v>1.4210854715202004E-14</v>
      </c>
      <c r="M123" s="121">
        <v>1.4210854715202004E-14</v>
      </c>
      <c r="N123" s="121">
        <v>1.4210854715202004E-14</v>
      </c>
      <c r="O123" s="121">
        <v>1.4210854715202004E-14</v>
      </c>
      <c r="P123" s="121">
        <v>1.4210854715202004E-14</v>
      </c>
      <c r="Q123" s="121">
        <v>1.4210854715202004E-14</v>
      </c>
      <c r="R123" s="121">
        <v>1.4210854715202004E-14</v>
      </c>
      <c r="S123" s="121">
        <v>1.4210854715202004E-14</v>
      </c>
      <c r="T123" s="121">
        <v>1.4210854715202004E-14</v>
      </c>
      <c r="U123" s="121">
        <v>1.4210854715202004E-14</v>
      </c>
      <c r="V123" s="121">
        <v>1.4210854715202004E-14</v>
      </c>
      <c r="W123" s="121">
        <v>1.4210854715202004E-14</v>
      </c>
      <c r="X123" s="121">
        <v>1.4210854715202004E-14</v>
      </c>
      <c r="Y123" s="121">
        <v>1.4210854715202004E-14</v>
      </c>
      <c r="Z123" s="121">
        <v>1.4210854715202004E-14</v>
      </c>
      <c r="AA123" s="121">
        <v>1.4210854715202004E-14</v>
      </c>
      <c r="AB123" s="121">
        <v>1.4210854715202004E-14</v>
      </c>
      <c r="AC123" s="121">
        <v>1.4210854715202004E-14</v>
      </c>
      <c r="AD123" s="121">
        <v>1.4210854715202004E-14</v>
      </c>
      <c r="AE123" s="121">
        <v>1.4210854715202004E-14</v>
      </c>
      <c r="AF123" s="121">
        <v>1.4210854715202004E-14</v>
      </c>
      <c r="AG123" s="121">
        <v>1.4210854715202004E-14</v>
      </c>
      <c r="AH123" s="121">
        <v>1.4210854715202004E-14</v>
      </c>
      <c r="AI123" s="121">
        <v>1.4210854715202004E-14</v>
      </c>
      <c r="AJ123" s="121">
        <v>1.4210854715202004E-14</v>
      </c>
      <c r="AK123" s="121">
        <v>1.4210854715202004E-14</v>
      </c>
      <c r="AL123" s="121">
        <v>1.4210854715202004E-14</v>
      </c>
      <c r="AM123" s="121">
        <v>1.4210854715202004E-14</v>
      </c>
      <c r="AN123" s="121">
        <v>1.4210854715202004E-14</v>
      </c>
      <c r="AO123" s="121">
        <v>1.4210854715202004E-14</v>
      </c>
      <c r="AP123" s="121">
        <v>1.4210854715202004E-14</v>
      </c>
      <c r="AQ123" s="121">
        <v>1.4210854715202004E-14</v>
      </c>
      <c r="AR123" s="121">
        <v>1.4210854715202004E-14</v>
      </c>
      <c r="AS123" s="121">
        <v>1.4210854715202004E-14</v>
      </c>
      <c r="AT123" s="121">
        <v>1.4210854715202004E-14</v>
      </c>
      <c r="AU123" s="121">
        <v>1.4210854715202004E-14</v>
      </c>
      <c r="AV123" s="121">
        <v>1.4210854715202004E-14</v>
      </c>
      <c r="AW123" s="121">
        <v>1.4210854715202004E-14</v>
      </c>
      <c r="AX123" s="121">
        <v>1.4210854715202004E-14</v>
      </c>
      <c r="AY123" s="121">
        <v>1.4210854715202004E-14</v>
      </c>
    </row>
    <row r="124" spans="1:52" x14ac:dyDescent="0.2">
      <c r="A124" s="124"/>
      <c r="B124" s="133">
        <v>3</v>
      </c>
      <c r="C124" s="121">
        <v>68.448721195357848</v>
      </c>
      <c r="D124" s="121">
        <v>0</v>
      </c>
      <c r="E124" s="121">
        <v>0</v>
      </c>
      <c r="F124" s="121">
        <v>0</v>
      </c>
      <c r="G124" s="121">
        <v>0</v>
      </c>
      <c r="H124" s="121">
        <v>0</v>
      </c>
      <c r="I124" s="121">
        <v>0</v>
      </c>
      <c r="J124" s="121">
        <v>0</v>
      </c>
      <c r="K124" s="121">
        <v>0</v>
      </c>
      <c r="L124" s="121">
        <v>0</v>
      </c>
      <c r="M124" s="121">
        <v>0</v>
      </c>
      <c r="N124" s="121">
        <v>0</v>
      </c>
      <c r="O124" s="121">
        <v>0</v>
      </c>
      <c r="P124" s="121">
        <v>0</v>
      </c>
      <c r="Q124" s="121">
        <v>0</v>
      </c>
      <c r="R124" s="121">
        <v>0</v>
      </c>
      <c r="S124" s="121">
        <v>0</v>
      </c>
      <c r="T124" s="121">
        <v>0</v>
      </c>
      <c r="U124" s="121">
        <v>0</v>
      </c>
      <c r="V124" s="121">
        <v>0</v>
      </c>
      <c r="W124" s="121">
        <v>0</v>
      </c>
      <c r="X124" s="121">
        <v>0</v>
      </c>
      <c r="Y124" s="121">
        <v>0</v>
      </c>
      <c r="Z124" s="121">
        <v>0</v>
      </c>
      <c r="AA124" s="121">
        <v>0</v>
      </c>
      <c r="AB124" s="121">
        <v>0</v>
      </c>
      <c r="AC124" s="121">
        <v>0</v>
      </c>
      <c r="AD124" s="121">
        <v>0</v>
      </c>
      <c r="AE124" s="121">
        <v>0</v>
      </c>
      <c r="AF124" s="121">
        <v>0</v>
      </c>
      <c r="AG124" s="121">
        <v>0</v>
      </c>
      <c r="AH124" s="121">
        <v>0</v>
      </c>
      <c r="AI124" s="121">
        <v>0</v>
      </c>
      <c r="AJ124" s="121">
        <v>0</v>
      </c>
      <c r="AK124" s="121">
        <v>0</v>
      </c>
      <c r="AL124" s="121">
        <v>0</v>
      </c>
      <c r="AM124" s="121">
        <v>0</v>
      </c>
      <c r="AN124" s="121">
        <v>0</v>
      </c>
      <c r="AO124" s="121">
        <v>0</v>
      </c>
      <c r="AP124" s="121">
        <v>0</v>
      </c>
      <c r="AQ124" s="121">
        <v>0</v>
      </c>
      <c r="AR124" s="121">
        <v>0</v>
      </c>
      <c r="AS124" s="121">
        <v>0</v>
      </c>
      <c r="AT124" s="121">
        <v>0</v>
      </c>
      <c r="AU124" s="121">
        <v>0</v>
      </c>
      <c r="AV124" s="121">
        <v>0</v>
      </c>
      <c r="AW124" s="121">
        <v>0</v>
      </c>
      <c r="AX124" s="121">
        <v>0</v>
      </c>
      <c r="AY124" s="121">
        <v>0</v>
      </c>
    </row>
    <row r="125" spans="1:52" x14ac:dyDescent="0.2">
      <c r="A125" s="124"/>
      <c r="B125" s="133">
        <v>4</v>
      </c>
      <c r="C125" s="121">
        <v>0</v>
      </c>
      <c r="D125" s="121">
        <v>0</v>
      </c>
      <c r="E125" s="121">
        <v>0</v>
      </c>
      <c r="F125" s="121">
        <v>0</v>
      </c>
      <c r="G125" s="121">
        <v>0</v>
      </c>
      <c r="H125" s="121">
        <v>0</v>
      </c>
      <c r="I125" s="121">
        <v>0</v>
      </c>
      <c r="J125" s="121">
        <v>0</v>
      </c>
      <c r="K125" s="121">
        <v>0</v>
      </c>
      <c r="L125" s="121">
        <v>0</v>
      </c>
      <c r="M125" s="121">
        <v>0</v>
      </c>
      <c r="N125" s="121">
        <v>0</v>
      </c>
      <c r="O125" s="121">
        <v>0</v>
      </c>
      <c r="P125" s="121">
        <v>0</v>
      </c>
      <c r="Q125" s="121">
        <v>0</v>
      </c>
      <c r="R125" s="121">
        <v>0</v>
      </c>
      <c r="S125" s="121">
        <v>0</v>
      </c>
      <c r="T125" s="121">
        <v>0</v>
      </c>
      <c r="U125" s="121">
        <v>0</v>
      </c>
      <c r="V125" s="121">
        <v>0</v>
      </c>
      <c r="W125" s="121">
        <v>0</v>
      </c>
      <c r="X125" s="121">
        <v>0</v>
      </c>
      <c r="Y125" s="121">
        <v>0</v>
      </c>
      <c r="Z125" s="121">
        <v>0</v>
      </c>
      <c r="AA125" s="121">
        <v>0</v>
      </c>
      <c r="AB125" s="121">
        <v>0</v>
      </c>
      <c r="AC125" s="121">
        <v>0</v>
      </c>
      <c r="AD125" s="121">
        <v>0</v>
      </c>
      <c r="AE125" s="121">
        <v>0</v>
      </c>
      <c r="AF125" s="121">
        <v>0</v>
      </c>
      <c r="AG125" s="121">
        <v>0</v>
      </c>
      <c r="AH125" s="121">
        <v>0</v>
      </c>
      <c r="AI125" s="121">
        <v>0</v>
      </c>
      <c r="AJ125" s="121">
        <v>0</v>
      </c>
      <c r="AK125" s="121">
        <v>0</v>
      </c>
      <c r="AL125" s="121">
        <v>0</v>
      </c>
      <c r="AM125" s="121">
        <v>0</v>
      </c>
      <c r="AN125" s="121">
        <v>0</v>
      </c>
      <c r="AO125" s="121">
        <v>0</v>
      </c>
      <c r="AP125" s="121">
        <v>0</v>
      </c>
      <c r="AQ125" s="121">
        <v>0</v>
      </c>
      <c r="AR125" s="121">
        <v>0</v>
      </c>
      <c r="AS125" s="121">
        <v>0</v>
      </c>
      <c r="AT125" s="121">
        <v>0</v>
      </c>
      <c r="AU125" s="121">
        <v>0</v>
      </c>
      <c r="AV125" s="121">
        <v>0</v>
      </c>
      <c r="AW125" s="121">
        <v>0</v>
      </c>
      <c r="AX125" s="121">
        <v>0</v>
      </c>
      <c r="AY125" s="121">
        <v>0</v>
      </c>
    </row>
    <row r="126" spans="1:52" x14ac:dyDescent="0.2">
      <c r="A126" s="124"/>
      <c r="B126" s="133">
        <v>5</v>
      </c>
      <c r="C126" s="121">
        <v>0</v>
      </c>
      <c r="D126" s="121">
        <v>0</v>
      </c>
      <c r="E126" s="121">
        <v>0</v>
      </c>
      <c r="F126" s="121">
        <v>0</v>
      </c>
      <c r="G126" s="121">
        <v>0</v>
      </c>
      <c r="H126" s="121">
        <v>0</v>
      </c>
      <c r="I126" s="121">
        <v>0</v>
      </c>
      <c r="J126" s="121">
        <v>0</v>
      </c>
      <c r="K126" s="121">
        <v>0</v>
      </c>
      <c r="L126" s="121">
        <v>0</v>
      </c>
      <c r="M126" s="121">
        <v>0</v>
      </c>
      <c r="N126" s="121">
        <v>0</v>
      </c>
      <c r="O126" s="121">
        <v>0</v>
      </c>
      <c r="P126" s="121">
        <v>0</v>
      </c>
      <c r="Q126" s="121">
        <v>0</v>
      </c>
      <c r="R126" s="121">
        <v>0</v>
      </c>
      <c r="S126" s="121">
        <v>0</v>
      </c>
      <c r="T126" s="121">
        <v>0</v>
      </c>
      <c r="U126" s="121">
        <v>0</v>
      </c>
      <c r="V126" s="121">
        <v>0</v>
      </c>
      <c r="W126" s="121">
        <v>0</v>
      </c>
      <c r="X126" s="121">
        <v>0</v>
      </c>
      <c r="Y126" s="121">
        <v>0</v>
      </c>
      <c r="Z126" s="121">
        <v>0</v>
      </c>
      <c r="AA126" s="121">
        <v>0</v>
      </c>
      <c r="AB126" s="121">
        <v>0</v>
      </c>
      <c r="AC126" s="121">
        <v>0</v>
      </c>
      <c r="AD126" s="121">
        <v>0</v>
      </c>
      <c r="AE126" s="121">
        <v>0</v>
      </c>
      <c r="AF126" s="121">
        <v>0</v>
      </c>
      <c r="AG126" s="121">
        <v>0</v>
      </c>
      <c r="AH126" s="121">
        <v>0</v>
      </c>
      <c r="AI126" s="121">
        <v>0</v>
      </c>
      <c r="AJ126" s="121">
        <v>0</v>
      </c>
      <c r="AK126" s="121">
        <v>0</v>
      </c>
      <c r="AL126" s="121">
        <v>0</v>
      </c>
      <c r="AM126" s="121">
        <v>0</v>
      </c>
      <c r="AN126" s="121">
        <v>0</v>
      </c>
      <c r="AO126" s="121">
        <v>0</v>
      </c>
      <c r="AP126" s="121">
        <v>0</v>
      </c>
      <c r="AQ126" s="121">
        <v>0</v>
      </c>
      <c r="AR126" s="121">
        <v>0</v>
      </c>
      <c r="AS126" s="121">
        <v>0</v>
      </c>
      <c r="AT126" s="121">
        <v>0</v>
      </c>
      <c r="AU126" s="121">
        <v>0</v>
      </c>
      <c r="AV126" s="121">
        <v>0</v>
      </c>
      <c r="AW126" s="121">
        <v>0</v>
      </c>
      <c r="AX126" s="121">
        <v>0</v>
      </c>
      <c r="AY126" s="121">
        <v>0</v>
      </c>
    </row>
    <row r="127" spans="1:52" x14ac:dyDescent="0.2">
      <c r="A127" s="124"/>
      <c r="B127" s="133">
        <v>6</v>
      </c>
      <c r="C127" s="121">
        <v>0</v>
      </c>
      <c r="D127" s="121">
        <v>0</v>
      </c>
      <c r="E127" s="121">
        <v>0</v>
      </c>
      <c r="F127" s="121">
        <v>0</v>
      </c>
      <c r="G127" s="121">
        <v>0</v>
      </c>
      <c r="H127" s="121">
        <v>0</v>
      </c>
      <c r="I127" s="121">
        <v>0</v>
      </c>
      <c r="J127" s="121">
        <v>0</v>
      </c>
      <c r="K127" s="121">
        <v>0</v>
      </c>
      <c r="L127" s="121">
        <v>0</v>
      </c>
      <c r="M127" s="121">
        <v>0</v>
      </c>
      <c r="N127" s="121">
        <v>0</v>
      </c>
      <c r="O127" s="121">
        <v>0</v>
      </c>
      <c r="P127" s="121">
        <v>0</v>
      </c>
      <c r="Q127" s="121">
        <v>0</v>
      </c>
      <c r="R127" s="121">
        <v>0</v>
      </c>
      <c r="S127" s="121">
        <v>0</v>
      </c>
      <c r="T127" s="121">
        <v>0</v>
      </c>
      <c r="U127" s="121">
        <v>0</v>
      </c>
      <c r="V127" s="121">
        <v>0</v>
      </c>
      <c r="W127" s="121">
        <v>0</v>
      </c>
      <c r="X127" s="121">
        <v>0</v>
      </c>
      <c r="Y127" s="121">
        <v>0</v>
      </c>
      <c r="Z127" s="121">
        <v>0</v>
      </c>
      <c r="AA127" s="121">
        <v>0</v>
      </c>
      <c r="AB127" s="121">
        <v>0</v>
      </c>
      <c r="AC127" s="121">
        <v>0</v>
      </c>
      <c r="AD127" s="121">
        <v>0</v>
      </c>
      <c r="AE127" s="121">
        <v>0</v>
      </c>
      <c r="AF127" s="121">
        <v>0</v>
      </c>
      <c r="AG127" s="121">
        <v>0</v>
      </c>
      <c r="AH127" s="121">
        <v>0</v>
      </c>
      <c r="AI127" s="121">
        <v>0</v>
      </c>
      <c r="AJ127" s="121">
        <v>0</v>
      </c>
      <c r="AK127" s="121">
        <v>0</v>
      </c>
      <c r="AL127" s="121">
        <v>0</v>
      </c>
      <c r="AM127" s="121">
        <v>0</v>
      </c>
      <c r="AN127" s="121">
        <v>0</v>
      </c>
      <c r="AO127" s="121">
        <v>0</v>
      </c>
      <c r="AP127" s="121">
        <v>0</v>
      </c>
      <c r="AQ127" s="121">
        <v>0</v>
      </c>
      <c r="AR127" s="121">
        <v>0</v>
      </c>
      <c r="AS127" s="121">
        <v>0</v>
      </c>
      <c r="AT127" s="121">
        <v>0</v>
      </c>
      <c r="AU127" s="121">
        <v>0</v>
      </c>
      <c r="AV127" s="121">
        <v>0</v>
      </c>
      <c r="AW127" s="121">
        <v>0</v>
      </c>
      <c r="AX127" s="121">
        <v>0</v>
      </c>
      <c r="AY127" s="121">
        <v>0</v>
      </c>
    </row>
    <row r="128" spans="1:52" x14ac:dyDescent="0.2">
      <c r="A128" s="124"/>
      <c r="B128" s="133">
        <v>7</v>
      </c>
      <c r="C128" s="121">
        <v>0</v>
      </c>
      <c r="D128" s="121">
        <v>0</v>
      </c>
      <c r="E128" s="121">
        <v>0</v>
      </c>
      <c r="F128" s="121">
        <v>0</v>
      </c>
      <c r="G128" s="121">
        <v>0</v>
      </c>
      <c r="H128" s="121">
        <v>0</v>
      </c>
      <c r="I128" s="121">
        <v>0</v>
      </c>
      <c r="J128" s="121">
        <v>0</v>
      </c>
      <c r="K128" s="121">
        <v>0</v>
      </c>
      <c r="L128" s="121">
        <v>0</v>
      </c>
      <c r="M128" s="121">
        <v>0</v>
      </c>
      <c r="N128" s="121">
        <v>0</v>
      </c>
      <c r="O128" s="121">
        <v>0</v>
      </c>
      <c r="P128" s="121">
        <v>0</v>
      </c>
      <c r="Q128" s="121">
        <v>0</v>
      </c>
      <c r="R128" s="121">
        <v>0</v>
      </c>
      <c r="S128" s="121">
        <v>0</v>
      </c>
      <c r="T128" s="121">
        <v>0</v>
      </c>
      <c r="U128" s="121">
        <v>0</v>
      </c>
      <c r="V128" s="121">
        <v>0</v>
      </c>
      <c r="W128" s="121">
        <v>0</v>
      </c>
      <c r="X128" s="121">
        <v>0</v>
      </c>
      <c r="Y128" s="121">
        <v>0</v>
      </c>
      <c r="Z128" s="121">
        <v>0</v>
      </c>
      <c r="AA128" s="121">
        <v>0</v>
      </c>
      <c r="AB128" s="121">
        <v>0</v>
      </c>
      <c r="AC128" s="121">
        <v>0</v>
      </c>
      <c r="AD128" s="121">
        <v>0</v>
      </c>
      <c r="AE128" s="121">
        <v>0</v>
      </c>
      <c r="AF128" s="121">
        <v>0</v>
      </c>
      <c r="AG128" s="121">
        <v>0</v>
      </c>
      <c r="AH128" s="121">
        <v>0</v>
      </c>
      <c r="AI128" s="121">
        <v>0</v>
      </c>
      <c r="AJ128" s="121">
        <v>0</v>
      </c>
      <c r="AK128" s="121">
        <v>0</v>
      </c>
      <c r="AL128" s="121">
        <v>0</v>
      </c>
      <c r="AM128" s="121">
        <v>0</v>
      </c>
      <c r="AN128" s="121">
        <v>0</v>
      </c>
      <c r="AO128" s="121">
        <v>0</v>
      </c>
      <c r="AP128" s="121">
        <v>0</v>
      </c>
      <c r="AQ128" s="121">
        <v>0</v>
      </c>
      <c r="AR128" s="121">
        <v>0</v>
      </c>
      <c r="AS128" s="121">
        <v>0</v>
      </c>
      <c r="AT128" s="121">
        <v>0</v>
      </c>
      <c r="AU128" s="121">
        <v>0</v>
      </c>
      <c r="AV128" s="121">
        <v>0</v>
      </c>
      <c r="AW128" s="121">
        <v>0</v>
      </c>
      <c r="AX128" s="121">
        <v>0</v>
      </c>
      <c r="AY128" s="121">
        <v>0</v>
      </c>
    </row>
    <row r="129" spans="1:51" x14ac:dyDescent="0.2">
      <c r="A129" s="124"/>
      <c r="B129" s="133">
        <v>8</v>
      </c>
      <c r="C129" s="121">
        <v>0</v>
      </c>
      <c r="D129" s="121">
        <v>0</v>
      </c>
      <c r="E129" s="121">
        <v>0</v>
      </c>
      <c r="F129" s="121">
        <v>0</v>
      </c>
      <c r="G129" s="121">
        <v>0</v>
      </c>
      <c r="H129" s="121">
        <v>0</v>
      </c>
      <c r="I129" s="121">
        <v>0</v>
      </c>
      <c r="J129" s="121">
        <v>0</v>
      </c>
      <c r="K129" s="121">
        <v>0</v>
      </c>
      <c r="L129" s="121">
        <v>0</v>
      </c>
      <c r="M129" s="121">
        <v>0</v>
      </c>
      <c r="N129" s="121">
        <v>0</v>
      </c>
      <c r="O129" s="121">
        <v>0</v>
      </c>
      <c r="P129" s="121">
        <v>0</v>
      </c>
      <c r="Q129" s="121">
        <v>0</v>
      </c>
      <c r="R129" s="121">
        <v>0</v>
      </c>
      <c r="S129" s="121">
        <v>0</v>
      </c>
      <c r="T129" s="121">
        <v>0</v>
      </c>
      <c r="U129" s="121">
        <v>0</v>
      </c>
      <c r="V129" s="121">
        <v>0</v>
      </c>
      <c r="W129" s="121">
        <v>0</v>
      </c>
      <c r="X129" s="121">
        <v>0</v>
      </c>
      <c r="Y129" s="121">
        <v>0</v>
      </c>
      <c r="Z129" s="121">
        <v>0</v>
      </c>
      <c r="AA129" s="121">
        <v>0</v>
      </c>
      <c r="AB129" s="121">
        <v>0</v>
      </c>
      <c r="AC129" s="121">
        <v>0</v>
      </c>
      <c r="AD129" s="121">
        <v>0</v>
      </c>
      <c r="AE129" s="121">
        <v>0</v>
      </c>
      <c r="AF129" s="121">
        <v>0</v>
      </c>
      <c r="AG129" s="121">
        <v>0</v>
      </c>
      <c r="AH129" s="121">
        <v>0</v>
      </c>
      <c r="AI129" s="121">
        <v>0</v>
      </c>
      <c r="AJ129" s="121">
        <v>0</v>
      </c>
      <c r="AK129" s="121">
        <v>0</v>
      </c>
      <c r="AL129" s="121">
        <v>0</v>
      </c>
      <c r="AM129" s="121">
        <v>0</v>
      </c>
      <c r="AN129" s="121">
        <v>0</v>
      </c>
      <c r="AO129" s="121">
        <v>0</v>
      </c>
      <c r="AP129" s="121">
        <v>0</v>
      </c>
      <c r="AQ129" s="121">
        <v>0</v>
      </c>
      <c r="AR129" s="121">
        <v>0</v>
      </c>
      <c r="AS129" s="121">
        <v>0</v>
      </c>
      <c r="AT129" s="121">
        <v>0</v>
      </c>
      <c r="AU129" s="121">
        <v>0</v>
      </c>
      <c r="AV129" s="121">
        <v>0</v>
      </c>
      <c r="AW129" s="121">
        <v>0</v>
      </c>
      <c r="AX129" s="121">
        <v>0</v>
      </c>
      <c r="AY129" s="121">
        <v>0</v>
      </c>
    </row>
    <row r="130" spans="1:51" x14ac:dyDescent="0.2">
      <c r="A130" s="124"/>
      <c r="B130" s="133">
        <v>9</v>
      </c>
      <c r="C130" s="121">
        <v>0</v>
      </c>
      <c r="D130" s="121">
        <v>0</v>
      </c>
      <c r="E130" s="121">
        <v>0</v>
      </c>
      <c r="F130" s="121">
        <v>0</v>
      </c>
      <c r="G130" s="121">
        <v>0</v>
      </c>
      <c r="H130" s="121">
        <v>0</v>
      </c>
      <c r="I130" s="121">
        <v>0</v>
      </c>
      <c r="J130" s="121">
        <v>0</v>
      </c>
      <c r="K130" s="121">
        <v>0</v>
      </c>
      <c r="L130" s="121">
        <v>0</v>
      </c>
      <c r="M130" s="121">
        <v>0</v>
      </c>
      <c r="N130" s="121">
        <v>0</v>
      </c>
      <c r="O130" s="121">
        <v>0</v>
      </c>
      <c r="P130" s="121">
        <v>0</v>
      </c>
      <c r="Q130" s="121">
        <v>0</v>
      </c>
      <c r="R130" s="121">
        <v>0</v>
      </c>
      <c r="S130" s="121">
        <v>0</v>
      </c>
      <c r="T130" s="121">
        <v>0</v>
      </c>
      <c r="U130" s="121">
        <v>0</v>
      </c>
      <c r="V130" s="121">
        <v>0</v>
      </c>
      <c r="W130" s="121">
        <v>0</v>
      </c>
      <c r="X130" s="121">
        <v>0</v>
      </c>
      <c r="Y130" s="121">
        <v>0</v>
      </c>
      <c r="Z130" s="121">
        <v>0</v>
      </c>
      <c r="AA130" s="121">
        <v>0</v>
      </c>
      <c r="AB130" s="121">
        <v>0</v>
      </c>
      <c r="AC130" s="121">
        <v>0</v>
      </c>
      <c r="AD130" s="121">
        <v>0</v>
      </c>
      <c r="AE130" s="121">
        <v>0</v>
      </c>
      <c r="AF130" s="121">
        <v>0</v>
      </c>
      <c r="AG130" s="121">
        <v>0</v>
      </c>
      <c r="AH130" s="121">
        <v>0</v>
      </c>
      <c r="AI130" s="121">
        <v>0</v>
      </c>
      <c r="AJ130" s="121">
        <v>0</v>
      </c>
      <c r="AK130" s="121">
        <v>0</v>
      </c>
      <c r="AL130" s="121">
        <v>0</v>
      </c>
      <c r="AM130" s="121">
        <v>0</v>
      </c>
      <c r="AN130" s="121">
        <v>0</v>
      </c>
      <c r="AO130" s="121">
        <v>0</v>
      </c>
      <c r="AP130" s="121">
        <v>0</v>
      </c>
      <c r="AQ130" s="121">
        <v>0</v>
      </c>
      <c r="AR130" s="121">
        <v>0</v>
      </c>
      <c r="AS130" s="121">
        <v>0</v>
      </c>
      <c r="AT130" s="121">
        <v>0</v>
      </c>
      <c r="AU130" s="121">
        <v>0</v>
      </c>
      <c r="AV130" s="121">
        <v>0</v>
      </c>
      <c r="AW130" s="121">
        <v>0</v>
      </c>
      <c r="AX130" s="121">
        <v>0</v>
      </c>
      <c r="AY130" s="121">
        <v>0</v>
      </c>
    </row>
    <row r="131" spans="1:51" x14ac:dyDescent="0.2">
      <c r="A131" s="124"/>
      <c r="B131" s="133">
        <v>10</v>
      </c>
      <c r="C131" s="121">
        <v>0</v>
      </c>
      <c r="D131" s="121">
        <v>0</v>
      </c>
      <c r="E131" s="121">
        <v>0</v>
      </c>
      <c r="F131" s="121">
        <v>0</v>
      </c>
      <c r="G131" s="121">
        <v>0</v>
      </c>
      <c r="H131" s="121">
        <v>0</v>
      </c>
      <c r="I131" s="121">
        <v>0</v>
      </c>
      <c r="J131" s="121">
        <v>0</v>
      </c>
      <c r="K131" s="121">
        <v>0</v>
      </c>
      <c r="L131" s="121">
        <v>0</v>
      </c>
      <c r="M131" s="121">
        <v>0</v>
      </c>
      <c r="N131" s="121">
        <v>0</v>
      </c>
      <c r="O131" s="121">
        <v>0</v>
      </c>
      <c r="P131" s="121">
        <v>0</v>
      </c>
      <c r="Q131" s="121">
        <v>0</v>
      </c>
      <c r="R131" s="121">
        <v>0</v>
      </c>
      <c r="S131" s="121">
        <v>0</v>
      </c>
      <c r="T131" s="121">
        <v>0</v>
      </c>
      <c r="U131" s="121">
        <v>0</v>
      </c>
      <c r="V131" s="121">
        <v>0</v>
      </c>
      <c r="W131" s="121">
        <v>0</v>
      </c>
      <c r="X131" s="121">
        <v>0</v>
      </c>
      <c r="Y131" s="121">
        <v>0</v>
      </c>
      <c r="Z131" s="121">
        <v>0</v>
      </c>
      <c r="AA131" s="121">
        <v>0</v>
      </c>
      <c r="AB131" s="121">
        <v>0</v>
      </c>
      <c r="AC131" s="121">
        <v>0</v>
      </c>
      <c r="AD131" s="121">
        <v>0</v>
      </c>
      <c r="AE131" s="121">
        <v>0</v>
      </c>
      <c r="AF131" s="121">
        <v>0</v>
      </c>
      <c r="AG131" s="121">
        <v>0</v>
      </c>
      <c r="AH131" s="121">
        <v>0</v>
      </c>
      <c r="AI131" s="121">
        <v>0</v>
      </c>
      <c r="AJ131" s="121">
        <v>0</v>
      </c>
      <c r="AK131" s="121">
        <v>0</v>
      </c>
      <c r="AL131" s="121">
        <v>0</v>
      </c>
      <c r="AM131" s="121">
        <v>0</v>
      </c>
      <c r="AN131" s="121">
        <v>0</v>
      </c>
      <c r="AO131" s="121">
        <v>0</v>
      </c>
      <c r="AP131" s="121">
        <v>0</v>
      </c>
      <c r="AQ131" s="121">
        <v>0</v>
      </c>
      <c r="AR131" s="121">
        <v>0</v>
      </c>
      <c r="AS131" s="121">
        <v>0</v>
      </c>
      <c r="AT131" s="121">
        <v>0</v>
      </c>
      <c r="AU131" s="121">
        <v>0</v>
      </c>
      <c r="AV131" s="121">
        <v>0</v>
      </c>
      <c r="AW131" s="121">
        <v>0</v>
      </c>
      <c r="AX131" s="121">
        <v>0</v>
      </c>
      <c r="AY131" s="121">
        <v>0</v>
      </c>
    </row>
    <row r="132" spans="1:51" x14ac:dyDescent="0.2">
      <c r="A132" s="124"/>
      <c r="B132" s="133">
        <v>11</v>
      </c>
      <c r="C132" s="121">
        <v>0</v>
      </c>
      <c r="D132" s="121">
        <v>0</v>
      </c>
      <c r="E132" s="121">
        <v>0</v>
      </c>
      <c r="F132" s="121">
        <v>0</v>
      </c>
      <c r="G132" s="121">
        <v>0</v>
      </c>
      <c r="H132" s="121">
        <v>0</v>
      </c>
      <c r="I132" s="121">
        <v>0</v>
      </c>
      <c r="J132" s="121">
        <v>0</v>
      </c>
      <c r="K132" s="121">
        <v>0</v>
      </c>
      <c r="L132" s="121">
        <v>0</v>
      </c>
      <c r="M132" s="121">
        <v>0</v>
      </c>
      <c r="N132" s="121">
        <v>0</v>
      </c>
      <c r="O132" s="121">
        <v>0</v>
      </c>
      <c r="P132" s="121">
        <v>0</v>
      </c>
      <c r="Q132" s="121">
        <v>0</v>
      </c>
      <c r="R132" s="121">
        <v>0</v>
      </c>
      <c r="S132" s="121">
        <v>0</v>
      </c>
      <c r="T132" s="121">
        <v>0</v>
      </c>
      <c r="U132" s="121">
        <v>0</v>
      </c>
      <c r="V132" s="121">
        <v>0</v>
      </c>
      <c r="W132" s="121">
        <v>0</v>
      </c>
      <c r="X132" s="121">
        <v>0</v>
      </c>
      <c r="Y132" s="121">
        <v>0</v>
      </c>
      <c r="Z132" s="121">
        <v>0</v>
      </c>
      <c r="AA132" s="121">
        <v>0</v>
      </c>
      <c r="AB132" s="121">
        <v>0</v>
      </c>
      <c r="AC132" s="121">
        <v>0</v>
      </c>
      <c r="AD132" s="121">
        <v>0</v>
      </c>
      <c r="AE132" s="121">
        <v>0</v>
      </c>
      <c r="AF132" s="121">
        <v>0</v>
      </c>
      <c r="AG132" s="121">
        <v>0</v>
      </c>
      <c r="AH132" s="121">
        <v>0</v>
      </c>
      <c r="AI132" s="121">
        <v>0</v>
      </c>
      <c r="AJ132" s="121">
        <v>0</v>
      </c>
      <c r="AK132" s="121">
        <v>0</v>
      </c>
      <c r="AL132" s="121">
        <v>0</v>
      </c>
      <c r="AM132" s="121">
        <v>0</v>
      </c>
      <c r="AN132" s="121">
        <v>0</v>
      </c>
      <c r="AO132" s="121">
        <v>0</v>
      </c>
      <c r="AP132" s="121">
        <v>0</v>
      </c>
      <c r="AQ132" s="121">
        <v>0</v>
      </c>
      <c r="AR132" s="121">
        <v>0</v>
      </c>
      <c r="AS132" s="121">
        <v>0</v>
      </c>
      <c r="AT132" s="121">
        <v>0</v>
      </c>
      <c r="AU132" s="121">
        <v>0</v>
      </c>
      <c r="AV132" s="121">
        <v>0</v>
      </c>
      <c r="AW132" s="121">
        <v>0</v>
      </c>
      <c r="AX132" s="121">
        <v>0</v>
      </c>
      <c r="AY132" s="121">
        <v>0</v>
      </c>
    </row>
    <row r="133" spans="1:51" x14ac:dyDescent="0.2">
      <c r="A133" s="124"/>
      <c r="B133" s="133">
        <v>12</v>
      </c>
      <c r="C133" s="121">
        <v>0</v>
      </c>
      <c r="D133" s="121">
        <v>0</v>
      </c>
      <c r="E133" s="121">
        <v>0</v>
      </c>
      <c r="F133" s="121">
        <v>0</v>
      </c>
      <c r="G133" s="121">
        <v>0</v>
      </c>
      <c r="H133" s="121">
        <v>0</v>
      </c>
      <c r="I133" s="121">
        <v>0</v>
      </c>
      <c r="J133" s="121">
        <v>0</v>
      </c>
      <c r="K133" s="121">
        <v>0</v>
      </c>
      <c r="L133" s="121">
        <v>0</v>
      </c>
      <c r="M133" s="121">
        <v>0</v>
      </c>
      <c r="N133" s="121">
        <v>0</v>
      </c>
      <c r="O133" s="121">
        <v>0</v>
      </c>
      <c r="P133" s="121">
        <v>0</v>
      </c>
      <c r="Q133" s="121">
        <v>0</v>
      </c>
      <c r="R133" s="121">
        <v>0</v>
      </c>
      <c r="S133" s="121">
        <v>0</v>
      </c>
      <c r="T133" s="121">
        <v>0</v>
      </c>
      <c r="U133" s="121">
        <v>0</v>
      </c>
      <c r="V133" s="121">
        <v>0</v>
      </c>
      <c r="W133" s="121">
        <v>0</v>
      </c>
      <c r="X133" s="121">
        <v>0</v>
      </c>
      <c r="Y133" s="121">
        <v>0</v>
      </c>
      <c r="Z133" s="121">
        <v>0</v>
      </c>
      <c r="AA133" s="121">
        <v>0</v>
      </c>
      <c r="AB133" s="121">
        <v>0</v>
      </c>
      <c r="AC133" s="121">
        <v>0</v>
      </c>
      <c r="AD133" s="121">
        <v>0</v>
      </c>
      <c r="AE133" s="121">
        <v>0</v>
      </c>
      <c r="AF133" s="121">
        <v>0</v>
      </c>
      <c r="AG133" s="121">
        <v>0</v>
      </c>
      <c r="AH133" s="121">
        <v>0</v>
      </c>
      <c r="AI133" s="121">
        <v>0</v>
      </c>
      <c r="AJ133" s="121">
        <v>0</v>
      </c>
      <c r="AK133" s="121">
        <v>0</v>
      </c>
      <c r="AL133" s="121">
        <v>0</v>
      </c>
      <c r="AM133" s="121">
        <v>0</v>
      </c>
      <c r="AN133" s="121">
        <v>0</v>
      </c>
      <c r="AO133" s="121">
        <v>0</v>
      </c>
      <c r="AP133" s="121">
        <v>0</v>
      </c>
      <c r="AQ133" s="121">
        <v>0</v>
      </c>
      <c r="AR133" s="121">
        <v>0</v>
      </c>
      <c r="AS133" s="121">
        <v>0</v>
      </c>
      <c r="AT133" s="121">
        <v>0</v>
      </c>
      <c r="AU133" s="121">
        <v>0</v>
      </c>
      <c r="AV133" s="121">
        <v>0</v>
      </c>
      <c r="AW133" s="121">
        <v>0</v>
      </c>
      <c r="AX133" s="121">
        <v>0</v>
      </c>
      <c r="AY133" s="121">
        <v>0</v>
      </c>
    </row>
    <row r="134" spans="1:51" x14ac:dyDescent="0.2">
      <c r="A134" s="124"/>
      <c r="B134" s="134">
        <v>13</v>
      </c>
      <c r="C134" s="121">
        <v>0</v>
      </c>
      <c r="D134" s="121">
        <v>0</v>
      </c>
      <c r="E134" s="121">
        <v>0</v>
      </c>
      <c r="F134" s="121">
        <v>0</v>
      </c>
      <c r="G134" s="121">
        <v>0</v>
      </c>
      <c r="H134" s="121">
        <v>0</v>
      </c>
      <c r="I134" s="121">
        <v>0</v>
      </c>
      <c r="J134" s="121">
        <v>0</v>
      </c>
      <c r="K134" s="121">
        <v>0</v>
      </c>
      <c r="L134" s="121">
        <v>0</v>
      </c>
      <c r="M134" s="121">
        <v>0</v>
      </c>
      <c r="N134" s="121">
        <v>0</v>
      </c>
      <c r="O134" s="121">
        <v>0</v>
      </c>
      <c r="P134" s="121">
        <v>0</v>
      </c>
      <c r="Q134" s="121">
        <v>0</v>
      </c>
      <c r="R134" s="121">
        <v>0</v>
      </c>
      <c r="S134" s="121">
        <v>0</v>
      </c>
      <c r="T134" s="121">
        <v>0</v>
      </c>
      <c r="U134" s="121">
        <v>0</v>
      </c>
      <c r="V134" s="121">
        <v>0</v>
      </c>
      <c r="W134" s="121">
        <v>0</v>
      </c>
      <c r="X134" s="121">
        <v>0</v>
      </c>
      <c r="Y134" s="121">
        <v>0</v>
      </c>
      <c r="Z134" s="121">
        <v>0</v>
      </c>
      <c r="AA134" s="121">
        <v>0</v>
      </c>
      <c r="AB134" s="121">
        <v>0</v>
      </c>
      <c r="AC134" s="121">
        <v>0</v>
      </c>
      <c r="AD134" s="121">
        <v>0</v>
      </c>
      <c r="AE134" s="121">
        <v>0</v>
      </c>
      <c r="AF134" s="121">
        <v>0</v>
      </c>
      <c r="AG134" s="121">
        <v>0</v>
      </c>
      <c r="AH134" s="121">
        <v>0</v>
      </c>
      <c r="AI134" s="121">
        <v>0</v>
      </c>
      <c r="AJ134" s="121">
        <v>0</v>
      </c>
      <c r="AK134" s="121">
        <v>0</v>
      </c>
      <c r="AL134" s="121">
        <v>0</v>
      </c>
      <c r="AM134" s="121">
        <v>0</v>
      </c>
      <c r="AN134" s="121">
        <v>0</v>
      </c>
      <c r="AO134" s="121">
        <v>0</v>
      </c>
      <c r="AP134" s="121">
        <v>0</v>
      </c>
      <c r="AQ134" s="121">
        <v>0</v>
      </c>
      <c r="AR134" s="121">
        <v>0</v>
      </c>
      <c r="AS134" s="121">
        <v>0</v>
      </c>
      <c r="AT134" s="121">
        <v>0</v>
      </c>
      <c r="AU134" s="121">
        <v>0</v>
      </c>
      <c r="AV134" s="121">
        <v>0</v>
      </c>
      <c r="AW134" s="121">
        <v>0</v>
      </c>
      <c r="AX134" s="121">
        <v>0</v>
      </c>
      <c r="AY134" s="121">
        <v>0</v>
      </c>
    </row>
    <row r="135" spans="1:51" x14ac:dyDescent="0.2">
      <c r="A135" s="124"/>
      <c r="B135" s="134">
        <v>14</v>
      </c>
      <c r="C135" s="121">
        <v>0</v>
      </c>
      <c r="D135" s="121">
        <v>0</v>
      </c>
      <c r="E135" s="121">
        <v>0</v>
      </c>
      <c r="F135" s="121">
        <v>0</v>
      </c>
      <c r="G135" s="121">
        <v>0</v>
      </c>
      <c r="H135" s="121">
        <v>0</v>
      </c>
      <c r="I135" s="121">
        <v>0</v>
      </c>
      <c r="J135" s="121">
        <v>0</v>
      </c>
      <c r="K135" s="121">
        <v>0</v>
      </c>
      <c r="L135" s="121">
        <v>0</v>
      </c>
      <c r="M135" s="121">
        <v>0</v>
      </c>
      <c r="N135" s="121">
        <v>0</v>
      </c>
      <c r="O135" s="121">
        <v>0</v>
      </c>
      <c r="P135" s="121">
        <v>0</v>
      </c>
      <c r="Q135" s="121">
        <v>0</v>
      </c>
      <c r="R135" s="121">
        <v>0</v>
      </c>
      <c r="S135" s="121">
        <v>0</v>
      </c>
      <c r="T135" s="121">
        <v>0</v>
      </c>
      <c r="U135" s="121">
        <v>0</v>
      </c>
      <c r="V135" s="121">
        <v>0</v>
      </c>
      <c r="W135" s="121">
        <v>0</v>
      </c>
      <c r="X135" s="121">
        <v>0</v>
      </c>
      <c r="Y135" s="121">
        <v>0</v>
      </c>
      <c r="Z135" s="121">
        <v>0</v>
      </c>
      <c r="AA135" s="121">
        <v>0</v>
      </c>
      <c r="AB135" s="121">
        <v>0</v>
      </c>
      <c r="AC135" s="121">
        <v>0</v>
      </c>
      <c r="AD135" s="121">
        <v>0</v>
      </c>
      <c r="AE135" s="121">
        <v>0</v>
      </c>
      <c r="AF135" s="121">
        <v>0</v>
      </c>
      <c r="AG135" s="121">
        <v>0</v>
      </c>
      <c r="AH135" s="121">
        <v>0</v>
      </c>
      <c r="AI135" s="121">
        <v>0</v>
      </c>
      <c r="AJ135" s="121">
        <v>0</v>
      </c>
      <c r="AK135" s="121">
        <v>0</v>
      </c>
      <c r="AL135" s="121">
        <v>0</v>
      </c>
      <c r="AM135" s="121">
        <v>0</v>
      </c>
      <c r="AN135" s="121">
        <v>0</v>
      </c>
      <c r="AO135" s="121">
        <v>0</v>
      </c>
      <c r="AP135" s="121">
        <v>0</v>
      </c>
      <c r="AQ135" s="121">
        <v>0</v>
      </c>
      <c r="AR135" s="121">
        <v>0</v>
      </c>
      <c r="AS135" s="121">
        <v>0</v>
      </c>
      <c r="AT135" s="121">
        <v>0</v>
      </c>
      <c r="AU135" s="121">
        <v>0</v>
      </c>
      <c r="AV135" s="121">
        <v>0</v>
      </c>
      <c r="AW135" s="121">
        <v>0</v>
      </c>
      <c r="AX135" s="121">
        <v>0</v>
      </c>
      <c r="AY135" s="121">
        <v>0</v>
      </c>
    </row>
    <row r="136" spans="1:51" x14ac:dyDescent="0.2">
      <c r="A136" s="124"/>
      <c r="B136" s="134">
        <v>15</v>
      </c>
      <c r="C136" s="121">
        <v>0</v>
      </c>
      <c r="D136" s="121">
        <v>0</v>
      </c>
      <c r="E136" s="121">
        <v>0</v>
      </c>
      <c r="F136" s="121">
        <v>0</v>
      </c>
      <c r="G136" s="121">
        <v>0</v>
      </c>
      <c r="H136" s="121">
        <v>0</v>
      </c>
      <c r="I136" s="121">
        <v>0</v>
      </c>
      <c r="J136" s="121">
        <v>0</v>
      </c>
      <c r="K136" s="121">
        <v>0</v>
      </c>
      <c r="L136" s="121">
        <v>0</v>
      </c>
      <c r="M136" s="121">
        <v>0</v>
      </c>
      <c r="N136" s="121">
        <v>0</v>
      </c>
      <c r="O136" s="121">
        <v>0</v>
      </c>
      <c r="P136" s="121">
        <v>0</v>
      </c>
      <c r="Q136" s="121">
        <v>0</v>
      </c>
      <c r="R136" s="121">
        <v>0</v>
      </c>
      <c r="S136" s="121">
        <v>0</v>
      </c>
      <c r="T136" s="121">
        <v>0</v>
      </c>
      <c r="U136" s="121">
        <v>0</v>
      </c>
      <c r="V136" s="121">
        <v>0</v>
      </c>
      <c r="W136" s="121">
        <v>0</v>
      </c>
      <c r="X136" s="121">
        <v>0</v>
      </c>
      <c r="Y136" s="121">
        <v>0</v>
      </c>
      <c r="Z136" s="121">
        <v>0</v>
      </c>
      <c r="AA136" s="121">
        <v>0</v>
      </c>
      <c r="AB136" s="121">
        <v>0</v>
      </c>
      <c r="AC136" s="121">
        <v>0</v>
      </c>
      <c r="AD136" s="121">
        <v>0</v>
      </c>
      <c r="AE136" s="121">
        <v>0</v>
      </c>
      <c r="AF136" s="121">
        <v>0</v>
      </c>
      <c r="AG136" s="121">
        <v>0</v>
      </c>
      <c r="AH136" s="121">
        <v>0</v>
      </c>
      <c r="AI136" s="121">
        <v>0</v>
      </c>
      <c r="AJ136" s="121">
        <v>0</v>
      </c>
      <c r="AK136" s="121">
        <v>0</v>
      </c>
      <c r="AL136" s="121">
        <v>0</v>
      </c>
      <c r="AM136" s="121">
        <v>0</v>
      </c>
      <c r="AN136" s="121">
        <v>0</v>
      </c>
      <c r="AO136" s="121">
        <v>0</v>
      </c>
      <c r="AP136" s="121">
        <v>0</v>
      </c>
      <c r="AQ136" s="121">
        <v>0</v>
      </c>
      <c r="AR136" s="121">
        <v>0</v>
      </c>
      <c r="AS136" s="121">
        <v>0</v>
      </c>
      <c r="AT136" s="121">
        <v>0</v>
      </c>
      <c r="AU136" s="121">
        <v>0</v>
      </c>
      <c r="AV136" s="121">
        <v>0</v>
      </c>
      <c r="AW136" s="121">
        <v>0</v>
      </c>
      <c r="AX136" s="121">
        <v>0</v>
      </c>
      <c r="AY136" s="121">
        <v>0</v>
      </c>
    </row>
    <row r="137" spans="1:51" x14ac:dyDescent="0.2">
      <c r="A137" s="124"/>
      <c r="B137" s="134">
        <v>16</v>
      </c>
      <c r="C137" s="121">
        <v>0</v>
      </c>
      <c r="D137" s="121">
        <v>0</v>
      </c>
      <c r="E137" s="121">
        <v>0</v>
      </c>
      <c r="F137" s="121">
        <v>0</v>
      </c>
      <c r="G137" s="121">
        <v>0</v>
      </c>
      <c r="H137" s="121">
        <v>0</v>
      </c>
      <c r="I137" s="121">
        <v>0</v>
      </c>
      <c r="J137" s="121">
        <v>0</v>
      </c>
      <c r="K137" s="121">
        <v>0</v>
      </c>
      <c r="L137" s="121">
        <v>0</v>
      </c>
      <c r="M137" s="121">
        <v>0</v>
      </c>
      <c r="N137" s="121">
        <v>0</v>
      </c>
      <c r="O137" s="121">
        <v>0</v>
      </c>
      <c r="P137" s="121">
        <v>0</v>
      </c>
      <c r="Q137" s="121">
        <v>0</v>
      </c>
      <c r="R137" s="121">
        <v>0</v>
      </c>
      <c r="S137" s="121">
        <v>0</v>
      </c>
      <c r="T137" s="121">
        <v>0</v>
      </c>
      <c r="U137" s="121">
        <v>0</v>
      </c>
      <c r="V137" s="121">
        <v>0</v>
      </c>
      <c r="W137" s="121">
        <v>0</v>
      </c>
      <c r="X137" s="121">
        <v>0</v>
      </c>
      <c r="Y137" s="121">
        <v>0</v>
      </c>
      <c r="Z137" s="121">
        <v>0</v>
      </c>
      <c r="AA137" s="121">
        <v>0</v>
      </c>
      <c r="AB137" s="121">
        <v>0</v>
      </c>
      <c r="AC137" s="121">
        <v>0</v>
      </c>
      <c r="AD137" s="121">
        <v>0</v>
      </c>
      <c r="AE137" s="121">
        <v>0</v>
      </c>
      <c r="AF137" s="121">
        <v>0</v>
      </c>
      <c r="AG137" s="121">
        <v>0</v>
      </c>
      <c r="AH137" s="121">
        <v>0</v>
      </c>
      <c r="AI137" s="121">
        <v>0</v>
      </c>
      <c r="AJ137" s="121">
        <v>0</v>
      </c>
      <c r="AK137" s="121">
        <v>0</v>
      </c>
      <c r="AL137" s="121">
        <v>0</v>
      </c>
      <c r="AM137" s="121">
        <v>0</v>
      </c>
      <c r="AN137" s="121">
        <v>0</v>
      </c>
      <c r="AO137" s="121">
        <v>0</v>
      </c>
      <c r="AP137" s="121">
        <v>0</v>
      </c>
      <c r="AQ137" s="121">
        <v>0</v>
      </c>
      <c r="AR137" s="121">
        <v>0</v>
      </c>
      <c r="AS137" s="121">
        <v>0</v>
      </c>
      <c r="AT137" s="121">
        <v>0</v>
      </c>
      <c r="AU137" s="121">
        <v>0</v>
      </c>
      <c r="AV137" s="121">
        <v>0</v>
      </c>
      <c r="AW137" s="121">
        <v>0</v>
      </c>
      <c r="AX137" s="121">
        <v>0</v>
      </c>
      <c r="AY137" s="121">
        <v>0</v>
      </c>
    </row>
    <row r="138" spans="1:51" x14ac:dyDescent="0.2">
      <c r="A138" s="124"/>
      <c r="B138" s="134">
        <v>17</v>
      </c>
      <c r="C138" s="121">
        <v>0</v>
      </c>
      <c r="D138" s="121">
        <v>0</v>
      </c>
      <c r="E138" s="121">
        <v>0</v>
      </c>
      <c r="F138" s="121">
        <v>0</v>
      </c>
      <c r="G138" s="121">
        <v>0</v>
      </c>
      <c r="H138" s="121">
        <v>0</v>
      </c>
      <c r="I138" s="121">
        <v>0</v>
      </c>
      <c r="J138" s="121">
        <v>0</v>
      </c>
      <c r="K138" s="121">
        <v>0</v>
      </c>
      <c r="L138" s="121">
        <v>0</v>
      </c>
      <c r="M138" s="121">
        <v>0</v>
      </c>
      <c r="N138" s="121">
        <v>0</v>
      </c>
      <c r="O138" s="121">
        <v>0</v>
      </c>
      <c r="P138" s="121">
        <v>0</v>
      </c>
      <c r="Q138" s="121">
        <v>0</v>
      </c>
      <c r="R138" s="121">
        <v>0</v>
      </c>
      <c r="S138" s="121">
        <v>0</v>
      </c>
      <c r="T138" s="121">
        <v>0</v>
      </c>
      <c r="U138" s="121">
        <v>0</v>
      </c>
      <c r="V138" s="121">
        <v>0</v>
      </c>
      <c r="W138" s="121">
        <v>0</v>
      </c>
      <c r="X138" s="121">
        <v>0</v>
      </c>
      <c r="Y138" s="121">
        <v>0</v>
      </c>
      <c r="Z138" s="121">
        <v>0</v>
      </c>
      <c r="AA138" s="121">
        <v>0</v>
      </c>
      <c r="AB138" s="121">
        <v>0</v>
      </c>
      <c r="AC138" s="121">
        <v>0</v>
      </c>
      <c r="AD138" s="121">
        <v>0</v>
      </c>
      <c r="AE138" s="121">
        <v>0</v>
      </c>
      <c r="AF138" s="121">
        <v>0</v>
      </c>
      <c r="AG138" s="121">
        <v>0</v>
      </c>
      <c r="AH138" s="121">
        <v>0</v>
      </c>
      <c r="AI138" s="121">
        <v>0</v>
      </c>
      <c r="AJ138" s="121">
        <v>0</v>
      </c>
      <c r="AK138" s="121">
        <v>0</v>
      </c>
      <c r="AL138" s="121">
        <v>0</v>
      </c>
      <c r="AM138" s="121">
        <v>0</v>
      </c>
      <c r="AN138" s="121">
        <v>0</v>
      </c>
      <c r="AO138" s="121">
        <v>0</v>
      </c>
      <c r="AP138" s="121">
        <v>0</v>
      </c>
      <c r="AQ138" s="121">
        <v>0</v>
      </c>
      <c r="AR138" s="121">
        <v>0</v>
      </c>
      <c r="AS138" s="121">
        <v>0</v>
      </c>
      <c r="AT138" s="121">
        <v>0</v>
      </c>
      <c r="AU138" s="121">
        <v>0</v>
      </c>
      <c r="AV138" s="121">
        <v>0</v>
      </c>
      <c r="AW138" s="121">
        <v>0</v>
      </c>
      <c r="AX138" s="121">
        <v>0</v>
      </c>
      <c r="AY138" s="121">
        <v>0</v>
      </c>
    </row>
    <row r="139" spans="1:51" x14ac:dyDescent="0.2">
      <c r="A139" s="124"/>
      <c r="B139" s="134">
        <v>18</v>
      </c>
      <c r="C139" s="121">
        <v>0</v>
      </c>
      <c r="D139" s="121">
        <v>0</v>
      </c>
      <c r="E139" s="121">
        <v>0</v>
      </c>
      <c r="F139" s="121">
        <v>0</v>
      </c>
      <c r="G139" s="121">
        <v>0</v>
      </c>
      <c r="H139" s="121">
        <v>0</v>
      </c>
      <c r="I139" s="121">
        <v>0</v>
      </c>
      <c r="J139" s="121">
        <v>0</v>
      </c>
      <c r="K139" s="121">
        <v>0</v>
      </c>
      <c r="L139" s="121">
        <v>0</v>
      </c>
      <c r="M139" s="121">
        <v>0</v>
      </c>
      <c r="N139" s="121">
        <v>0</v>
      </c>
      <c r="O139" s="121">
        <v>0</v>
      </c>
      <c r="P139" s="121">
        <v>0</v>
      </c>
      <c r="Q139" s="121">
        <v>0</v>
      </c>
      <c r="R139" s="121">
        <v>0</v>
      </c>
      <c r="S139" s="121">
        <v>0</v>
      </c>
      <c r="T139" s="121">
        <v>0</v>
      </c>
      <c r="U139" s="121">
        <v>0</v>
      </c>
      <c r="V139" s="121">
        <v>0</v>
      </c>
      <c r="W139" s="121">
        <v>0</v>
      </c>
      <c r="X139" s="121">
        <v>0</v>
      </c>
      <c r="Y139" s="121">
        <v>0</v>
      </c>
      <c r="Z139" s="121">
        <v>0</v>
      </c>
      <c r="AA139" s="121">
        <v>0</v>
      </c>
      <c r="AB139" s="121">
        <v>0</v>
      </c>
      <c r="AC139" s="121">
        <v>0</v>
      </c>
      <c r="AD139" s="121">
        <v>0</v>
      </c>
      <c r="AE139" s="121">
        <v>0</v>
      </c>
      <c r="AF139" s="121">
        <v>0</v>
      </c>
      <c r="AG139" s="121">
        <v>0</v>
      </c>
      <c r="AH139" s="121">
        <v>0</v>
      </c>
      <c r="AI139" s="121">
        <v>0</v>
      </c>
      <c r="AJ139" s="121">
        <v>0</v>
      </c>
      <c r="AK139" s="121">
        <v>0</v>
      </c>
      <c r="AL139" s="121">
        <v>0</v>
      </c>
      <c r="AM139" s="121">
        <v>0</v>
      </c>
      <c r="AN139" s="121">
        <v>0</v>
      </c>
      <c r="AO139" s="121">
        <v>0</v>
      </c>
      <c r="AP139" s="121">
        <v>0</v>
      </c>
      <c r="AQ139" s="121">
        <v>0</v>
      </c>
      <c r="AR139" s="121">
        <v>0</v>
      </c>
      <c r="AS139" s="121">
        <v>0</v>
      </c>
      <c r="AT139" s="121">
        <v>0</v>
      </c>
      <c r="AU139" s="121">
        <v>0</v>
      </c>
      <c r="AV139" s="121">
        <v>0</v>
      </c>
      <c r="AW139" s="121">
        <v>0</v>
      </c>
      <c r="AX139" s="121">
        <v>0</v>
      </c>
      <c r="AY139" s="121">
        <v>0</v>
      </c>
    </row>
    <row r="140" spans="1:51" x14ac:dyDescent="0.2">
      <c r="A140" s="124"/>
      <c r="B140" s="134">
        <v>19</v>
      </c>
      <c r="C140" s="121">
        <v>0</v>
      </c>
      <c r="D140" s="121">
        <v>0</v>
      </c>
      <c r="E140" s="121">
        <v>0</v>
      </c>
      <c r="F140" s="121">
        <v>0</v>
      </c>
      <c r="G140" s="121">
        <v>0</v>
      </c>
      <c r="H140" s="121">
        <v>0</v>
      </c>
      <c r="I140" s="121">
        <v>0</v>
      </c>
      <c r="J140" s="121">
        <v>0</v>
      </c>
      <c r="K140" s="121">
        <v>0</v>
      </c>
      <c r="L140" s="121">
        <v>0</v>
      </c>
      <c r="M140" s="121">
        <v>0</v>
      </c>
      <c r="N140" s="121">
        <v>0</v>
      </c>
      <c r="O140" s="121">
        <v>0</v>
      </c>
      <c r="P140" s="121">
        <v>0</v>
      </c>
      <c r="Q140" s="121">
        <v>0</v>
      </c>
      <c r="R140" s="121">
        <v>0</v>
      </c>
      <c r="S140" s="121">
        <v>0</v>
      </c>
      <c r="T140" s="121">
        <v>0</v>
      </c>
      <c r="U140" s="121">
        <v>0</v>
      </c>
      <c r="V140" s="121">
        <v>0</v>
      </c>
      <c r="W140" s="121">
        <v>0</v>
      </c>
      <c r="X140" s="121">
        <v>0</v>
      </c>
      <c r="Y140" s="121">
        <v>0</v>
      </c>
      <c r="Z140" s="121">
        <v>0</v>
      </c>
      <c r="AA140" s="121">
        <v>0</v>
      </c>
      <c r="AB140" s="121">
        <v>0</v>
      </c>
      <c r="AC140" s="121">
        <v>0</v>
      </c>
      <c r="AD140" s="121">
        <v>0</v>
      </c>
      <c r="AE140" s="121">
        <v>0</v>
      </c>
      <c r="AF140" s="121">
        <v>0</v>
      </c>
      <c r="AG140" s="121">
        <v>0</v>
      </c>
      <c r="AH140" s="121">
        <v>0</v>
      </c>
      <c r="AI140" s="121">
        <v>0</v>
      </c>
      <c r="AJ140" s="121">
        <v>0</v>
      </c>
      <c r="AK140" s="121">
        <v>0</v>
      </c>
      <c r="AL140" s="121">
        <v>0</v>
      </c>
      <c r="AM140" s="121">
        <v>0</v>
      </c>
      <c r="AN140" s="121">
        <v>0</v>
      </c>
      <c r="AO140" s="121">
        <v>0</v>
      </c>
      <c r="AP140" s="121">
        <v>0</v>
      </c>
      <c r="AQ140" s="121">
        <v>0</v>
      </c>
      <c r="AR140" s="121">
        <v>0</v>
      </c>
      <c r="AS140" s="121">
        <v>0</v>
      </c>
      <c r="AT140" s="121">
        <v>0</v>
      </c>
      <c r="AU140" s="121">
        <v>0</v>
      </c>
      <c r="AV140" s="121">
        <v>0</v>
      </c>
      <c r="AW140" s="121">
        <v>0</v>
      </c>
      <c r="AX140" s="121">
        <v>0</v>
      </c>
      <c r="AY140" s="121">
        <v>0</v>
      </c>
    </row>
    <row r="141" spans="1:51" x14ac:dyDescent="0.2">
      <c r="A141" s="124"/>
      <c r="B141" s="134">
        <v>20</v>
      </c>
      <c r="C141" s="121">
        <v>0</v>
      </c>
      <c r="D141" s="121">
        <v>0</v>
      </c>
      <c r="E141" s="121">
        <v>0</v>
      </c>
      <c r="F141" s="121">
        <v>0</v>
      </c>
      <c r="G141" s="121">
        <v>0</v>
      </c>
      <c r="H141" s="121">
        <v>0</v>
      </c>
      <c r="I141" s="121">
        <v>0</v>
      </c>
      <c r="J141" s="121">
        <v>0</v>
      </c>
      <c r="K141" s="121">
        <v>0</v>
      </c>
      <c r="L141" s="121">
        <v>0</v>
      </c>
      <c r="M141" s="121">
        <v>0</v>
      </c>
      <c r="N141" s="121">
        <v>0</v>
      </c>
      <c r="O141" s="121">
        <v>0</v>
      </c>
      <c r="P141" s="121">
        <v>0</v>
      </c>
      <c r="Q141" s="121">
        <v>0</v>
      </c>
      <c r="R141" s="121">
        <v>0</v>
      </c>
      <c r="S141" s="121">
        <v>0</v>
      </c>
      <c r="T141" s="121">
        <v>0</v>
      </c>
      <c r="U141" s="121">
        <v>0</v>
      </c>
      <c r="V141" s="121">
        <v>0</v>
      </c>
      <c r="W141" s="121">
        <v>0</v>
      </c>
      <c r="X141" s="121">
        <v>0</v>
      </c>
      <c r="Y141" s="121">
        <v>0</v>
      </c>
      <c r="Z141" s="121">
        <v>0</v>
      </c>
      <c r="AA141" s="121">
        <v>0</v>
      </c>
      <c r="AB141" s="121">
        <v>0</v>
      </c>
      <c r="AC141" s="121">
        <v>0</v>
      </c>
      <c r="AD141" s="121">
        <v>0</v>
      </c>
      <c r="AE141" s="121">
        <v>0</v>
      </c>
      <c r="AF141" s="121">
        <v>0</v>
      </c>
      <c r="AG141" s="121">
        <v>0</v>
      </c>
      <c r="AH141" s="121">
        <v>0</v>
      </c>
      <c r="AI141" s="121">
        <v>0</v>
      </c>
      <c r="AJ141" s="121">
        <v>0</v>
      </c>
      <c r="AK141" s="121">
        <v>0</v>
      </c>
      <c r="AL141" s="121">
        <v>0</v>
      </c>
      <c r="AM141" s="121">
        <v>0</v>
      </c>
      <c r="AN141" s="121">
        <v>0</v>
      </c>
      <c r="AO141" s="121">
        <v>0</v>
      </c>
      <c r="AP141" s="121">
        <v>0</v>
      </c>
      <c r="AQ141" s="121">
        <v>0</v>
      </c>
      <c r="AR141" s="121">
        <v>0</v>
      </c>
      <c r="AS141" s="121">
        <v>0</v>
      </c>
      <c r="AT141" s="121">
        <v>0</v>
      </c>
      <c r="AU141" s="121">
        <v>0</v>
      </c>
      <c r="AV141" s="121">
        <v>0</v>
      </c>
      <c r="AW141" s="121">
        <v>0</v>
      </c>
      <c r="AX141" s="121">
        <v>0</v>
      </c>
      <c r="AY141" s="121">
        <v>0</v>
      </c>
    </row>
    <row r="142" spans="1:51" x14ac:dyDescent="0.2">
      <c r="A142" s="124"/>
      <c r="B142" s="134">
        <v>21</v>
      </c>
      <c r="C142" s="121">
        <v>0</v>
      </c>
      <c r="D142" s="121">
        <v>0</v>
      </c>
      <c r="E142" s="121">
        <v>0</v>
      </c>
      <c r="F142" s="121">
        <v>0</v>
      </c>
      <c r="G142" s="121">
        <v>0</v>
      </c>
      <c r="H142" s="121">
        <v>0</v>
      </c>
      <c r="I142" s="121">
        <v>0</v>
      </c>
      <c r="J142" s="121">
        <v>0</v>
      </c>
      <c r="K142" s="121">
        <v>0</v>
      </c>
      <c r="L142" s="121">
        <v>0</v>
      </c>
      <c r="M142" s="121">
        <v>0</v>
      </c>
      <c r="N142" s="121">
        <v>0</v>
      </c>
      <c r="O142" s="121">
        <v>0</v>
      </c>
      <c r="P142" s="121">
        <v>0</v>
      </c>
      <c r="Q142" s="121">
        <v>0</v>
      </c>
      <c r="R142" s="121">
        <v>0</v>
      </c>
      <c r="S142" s="121">
        <v>0</v>
      </c>
      <c r="T142" s="121">
        <v>0</v>
      </c>
      <c r="U142" s="121">
        <v>0</v>
      </c>
      <c r="V142" s="121">
        <v>0</v>
      </c>
      <c r="W142" s="121">
        <v>0</v>
      </c>
      <c r="X142" s="121">
        <v>0</v>
      </c>
      <c r="Y142" s="121">
        <v>0</v>
      </c>
      <c r="Z142" s="121">
        <v>0</v>
      </c>
      <c r="AA142" s="121">
        <v>0</v>
      </c>
      <c r="AB142" s="121">
        <v>0</v>
      </c>
      <c r="AC142" s="121">
        <v>0</v>
      </c>
      <c r="AD142" s="121">
        <v>0</v>
      </c>
      <c r="AE142" s="121">
        <v>0</v>
      </c>
      <c r="AF142" s="121">
        <v>0</v>
      </c>
      <c r="AG142" s="121">
        <v>0</v>
      </c>
      <c r="AH142" s="121">
        <v>0</v>
      </c>
      <c r="AI142" s="121">
        <v>0</v>
      </c>
      <c r="AJ142" s="121">
        <v>0</v>
      </c>
      <c r="AK142" s="121">
        <v>0</v>
      </c>
      <c r="AL142" s="121">
        <v>0</v>
      </c>
      <c r="AM142" s="121">
        <v>0</v>
      </c>
      <c r="AN142" s="121">
        <v>0</v>
      </c>
      <c r="AO142" s="121">
        <v>0</v>
      </c>
      <c r="AP142" s="121">
        <v>0</v>
      </c>
      <c r="AQ142" s="121">
        <v>0</v>
      </c>
      <c r="AR142" s="121">
        <v>0</v>
      </c>
      <c r="AS142" s="121">
        <v>0</v>
      </c>
      <c r="AT142" s="121">
        <v>0</v>
      </c>
      <c r="AU142" s="121">
        <v>0</v>
      </c>
      <c r="AV142" s="121">
        <v>0</v>
      </c>
      <c r="AW142" s="121">
        <v>0</v>
      </c>
      <c r="AX142" s="121">
        <v>0</v>
      </c>
      <c r="AY142" s="121">
        <v>0</v>
      </c>
    </row>
    <row r="143" spans="1:51" x14ac:dyDescent="0.2">
      <c r="A143" s="124"/>
      <c r="B143" s="134">
        <v>22</v>
      </c>
      <c r="C143" s="121">
        <v>0</v>
      </c>
      <c r="D143" s="121">
        <v>0</v>
      </c>
      <c r="E143" s="121">
        <v>0</v>
      </c>
      <c r="F143" s="121">
        <v>0</v>
      </c>
      <c r="G143" s="121">
        <v>0</v>
      </c>
      <c r="H143" s="121">
        <v>0</v>
      </c>
      <c r="I143" s="121">
        <v>0</v>
      </c>
      <c r="J143" s="121">
        <v>0</v>
      </c>
      <c r="K143" s="121">
        <v>0</v>
      </c>
      <c r="L143" s="121">
        <v>0</v>
      </c>
      <c r="M143" s="121">
        <v>0</v>
      </c>
      <c r="N143" s="121">
        <v>0</v>
      </c>
      <c r="O143" s="121">
        <v>0</v>
      </c>
      <c r="P143" s="121">
        <v>0</v>
      </c>
      <c r="Q143" s="121">
        <v>0</v>
      </c>
      <c r="R143" s="121">
        <v>0</v>
      </c>
      <c r="S143" s="121">
        <v>0</v>
      </c>
      <c r="T143" s="121">
        <v>0</v>
      </c>
      <c r="U143" s="121">
        <v>0</v>
      </c>
      <c r="V143" s="121">
        <v>0</v>
      </c>
      <c r="W143" s="121">
        <v>0</v>
      </c>
      <c r="X143" s="121">
        <v>0</v>
      </c>
      <c r="Y143" s="121">
        <v>0</v>
      </c>
      <c r="Z143" s="121">
        <v>0</v>
      </c>
      <c r="AA143" s="121">
        <v>0</v>
      </c>
      <c r="AB143" s="121">
        <v>0</v>
      </c>
      <c r="AC143" s="121">
        <v>0</v>
      </c>
      <c r="AD143" s="121">
        <v>0</v>
      </c>
      <c r="AE143" s="121">
        <v>0</v>
      </c>
      <c r="AF143" s="121">
        <v>0</v>
      </c>
      <c r="AG143" s="121">
        <v>0</v>
      </c>
      <c r="AH143" s="121">
        <v>0</v>
      </c>
      <c r="AI143" s="121">
        <v>0</v>
      </c>
      <c r="AJ143" s="121">
        <v>0</v>
      </c>
      <c r="AK143" s="121">
        <v>0</v>
      </c>
      <c r="AL143" s="121">
        <v>0</v>
      </c>
      <c r="AM143" s="121">
        <v>0</v>
      </c>
      <c r="AN143" s="121">
        <v>0</v>
      </c>
      <c r="AO143" s="121">
        <v>0</v>
      </c>
      <c r="AP143" s="121">
        <v>0</v>
      </c>
      <c r="AQ143" s="121">
        <v>0</v>
      </c>
      <c r="AR143" s="121">
        <v>0</v>
      </c>
      <c r="AS143" s="121">
        <v>0</v>
      </c>
      <c r="AT143" s="121">
        <v>0</v>
      </c>
      <c r="AU143" s="121">
        <v>0</v>
      </c>
      <c r="AV143" s="121">
        <v>0</v>
      </c>
      <c r="AW143" s="121">
        <v>0</v>
      </c>
      <c r="AX143" s="121">
        <v>0</v>
      </c>
      <c r="AY143" s="121">
        <v>0</v>
      </c>
    </row>
    <row r="144" spans="1:51" x14ac:dyDescent="0.2">
      <c r="A144" s="124"/>
      <c r="B144" s="134">
        <v>23</v>
      </c>
      <c r="C144" s="121">
        <v>0</v>
      </c>
      <c r="D144" s="121">
        <v>0</v>
      </c>
      <c r="E144" s="121">
        <v>0</v>
      </c>
      <c r="F144" s="121">
        <v>0</v>
      </c>
      <c r="G144" s="121">
        <v>0</v>
      </c>
      <c r="H144" s="121">
        <v>0</v>
      </c>
      <c r="I144" s="121">
        <v>0</v>
      </c>
      <c r="J144" s="121">
        <v>0</v>
      </c>
      <c r="K144" s="121">
        <v>0</v>
      </c>
      <c r="L144" s="121">
        <v>0</v>
      </c>
      <c r="M144" s="121">
        <v>0</v>
      </c>
      <c r="N144" s="121">
        <v>0</v>
      </c>
      <c r="O144" s="121">
        <v>0</v>
      </c>
      <c r="P144" s="121">
        <v>0</v>
      </c>
      <c r="Q144" s="121">
        <v>0</v>
      </c>
      <c r="R144" s="121">
        <v>0</v>
      </c>
      <c r="S144" s="121">
        <v>0</v>
      </c>
      <c r="T144" s="121">
        <v>0</v>
      </c>
      <c r="U144" s="121">
        <v>0</v>
      </c>
      <c r="V144" s="121">
        <v>0</v>
      </c>
      <c r="W144" s="121">
        <v>0</v>
      </c>
      <c r="X144" s="121">
        <v>0</v>
      </c>
      <c r="Y144" s="121">
        <v>0</v>
      </c>
      <c r="Z144" s="121">
        <v>0</v>
      </c>
      <c r="AA144" s="121">
        <v>0</v>
      </c>
      <c r="AB144" s="121">
        <v>0</v>
      </c>
      <c r="AC144" s="121">
        <v>0</v>
      </c>
      <c r="AD144" s="121">
        <v>0</v>
      </c>
      <c r="AE144" s="121">
        <v>0</v>
      </c>
      <c r="AF144" s="121">
        <v>0</v>
      </c>
      <c r="AG144" s="121">
        <v>0</v>
      </c>
      <c r="AH144" s="121">
        <v>0</v>
      </c>
      <c r="AI144" s="121">
        <v>0</v>
      </c>
      <c r="AJ144" s="121">
        <v>0</v>
      </c>
      <c r="AK144" s="121">
        <v>0</v>
      </c>
      <c r="AL144" s="121">
        <v>0</v>
      </c>
      <c r="AM144" s="121">
        <v>0</v>
      </c>
      <c r="AN144" s="121">
        <v>0</v>
      </c>
      <c r="AO144" s="121">
        <v>0</v>
      </c>
      <c r="AP144" s="121">
        <v>0</v>
      </c>
      <c r="AQ144" s="121">
        <v>0</v>
      </c>
      <c r="AR144" s="121">
        <v>0</v>
      </c>
      <c r="AS144" s="121">
        <v>0</v>
      </c>
      <c r="AT144" s="121">
        <v>0</v>
      </c>
      <c r="AU144" s="121">
        <v>0</v>
      </c>
      <c r="AV144" s="121">
        <v>0</v>
      </c>
      <c r="AW144" s="121">
        <v>0</v>
      </c>
      <c r="AX144" s="121">
        <v>0</v>
      </c>
      <c r="AY144" s="121">
        <v>0</v>
      </c>
    </row>
    <row r="145" spans="1:51" x14ac:dyDescent="0.2">
      <c r="A145" s="124"/>
      <c r="B145" s="134">
        <v>24</v>
      </c>
      <c r="C145" s="121">
        <v>0</v>
      </c>
      <c r="D145" s="121">
        <v>0</v>
      </c>
      <c r="E145" s="121">
        <v>0</v>
      </c>
      <c r="F145" s="121">
        <v>0</v>
      </c>
      <c r="G145" s="121">
        <v>0</v>
      </c>
      <c r="H145" s="121">
        <v>0</v>
      </c>
      <c r="I145" s="121">
        <v>0</v>
      </c>
      <c r="J145" s="121">
        <v>0</v>
      </c>
      <c r="K145" s="121">
        <v>0</v>
      </c>
      <c r="L145" s="121">
        <v>0</v>
      </c>
      <c r="M145" s="121">
        <v>0</v>
      </c>
      <c r="N145" s="121">
        <v>0</v>
      </c>
      <c r="O145" s="121">
        <v>0</v>
      </c>
      <c r="P145" s="121">
        <v>0</v>
      </c>
      <c r="Q145" s="121">
        <v>0</v>
      </c>
      <c r="R145" s="121">
        <v>0</v>
      </c>
      <c r="S145" s="121">
        <v>0</v>
      </c>
      <c r="T145" s="121">
        <v>0</v>
      </c>
      <c r="U145" s="121">
        <v>0</v>
      </c>
      <c r="V145" s="121">
        <v>0</v>
      </c>
      <c r="W145" s="121">
        <v>0</v>
      </c>
      <c r="X145" s="121">
        <v>0</v>
      </c>
      <c r="Y145" s="121">
        <v>0</v>
      </c>
      <c r="Z145" s="121">
        <v>0</v>
      </c>
      <c r="AA145" s="121">
        <v>0</v>
      </c>
      <c r="AB145" s="121">
        <v>0</v>
      </c>
      <c r="AC145" s="121">
        <v>0</v>
      </c>
      <c r="AD145" s="121">
        <v>0</v>
      </c>
      <c r="AE145" s="121">
        <v>0</v>
      </c>
      <c r="AF145" s="121">
        <v>0</v>
      </c>
      <c r="AG145" s="121">
        <v>0</v>
      </c>
      <c r="AH145" s="121">
        <v>0</v>
      </c>
      <c r="AI145" s="121">
        <v>0</v>
      </c>
      <c r="AJ145" s="121">
        <v>0</v>
      </c>
      <c r="AK145" s="121">
        <v>0</v>
      </c>
      <c r="AL145" s="121">
        <v>0</v>
      </c>
      <c r="AM145" s="121">
        <v>0</v>
      </c>
      <c r="AN145" s="121">
        <v>0</v>
      </c>
      <c r="AO145" s="121">
        <v>0</v>
      </c>
      <c r="AP145" s="121">
        <v>0</v>
      </c>
      <c r="AQ145" s="121">
        <v>0</v>
      </c>
      <c r="AR145" s="121">
        <v>0</v>
      </c>
      <c r="AS145" s="121">
        <v>0</v>
      </c>
      <c r="AT145" s="121">
        <v>0</v>
      </c>
      <c r="AU145" s="121">
        <v>0</v>
      </c>
      <c r="AV145" s="121">
        <v>0</v>
      </c>
      <c r="AW145" s="121">
        <v>0</v>
      </c>
      <c r="AX145" s="121">
        <v>0</v>
      </c>
      <c r="AY145" s="121">
        <v>0</v>
      </c>
    </row>
    <row r="146" spans="1:51" x14ac:dyDescent="0.2">
      <c r="A146" s="124"/>
      <c r="B146" s="141">
        <v>25</v>
      </c>
      <c r="C146" s="121">
        <v>0</v>
      </c>
      <c r="D146" s="121">
        <v>0</v>
      </c>
      <c r="E146" s="121">
        <v>0</v>
      </c>
      <c r="F146" s="121">
        <v>0</v>
      </c>
      <c r="G146" s="121">
        <v>0</v>
      </c>
      <c r="H146" s="121">
        <v>0</v>
      </c>
      <c r="I146" s="121">
        <v>0</v>
      </c>
      <c r="J146" s="121">
        <v>0</v>
      </c>
      <c r="K146" s="121">
        <v>0</v>
      </c>
      <c r="L146" s="121">
        <v>0</v>
      </c>
      <c r="M146" s="121">
        <v>0</v>
      </c>
      <c r="N146" s="121">
        <v>0</v>
      </c>
      <c r="O146" s="121">
        <v>0</v>
      </c>
      <c r="P146" s="121">
        <v>0</v>
      </c>
      <c r="Q146" s="121">
        <v>0</v>
      </c>
      <c r="R146" s="121">
        <v>0</v>
      </c>
      <c r="S146" s="121">
        <v>0</v>
      </c>
      <c r="T146" s="121">
        <v>0</v>
      </c>
      <c r="U146" s="121">
        <v>0</v>
      </c>
      <c r="V146" s="121">
        <v>0</v>
      </c>
      <c r="W146" s="121">
        <v>0</v>
      </c>
      <c r="X146" s="121">
        <v>0</v>
      </c>
      <c r="Y146" s="121">
        <v>0</v>
      </c>
      <c r="Z146" s="121">
        <v>0</v>
      </c>
      <c r="AA146" s="121">
        <v>0</v>
      </c>
      <c r="AB146" s="121">
        <v>0</v>
      </c>
      <c r="AC146" s="121">
        <v>0</v>
      </c>
      <c r="AD146" s="121">
        <v>0</v>
      </c>
      <c r="AE146" s="121">
        <v>0</v>
      </c>
      <c r="AF146" s="121">
        <v>0</v>
      </c>
      <c r="AG146" s="121">
        <v>0</v>
      </c>
      <c r="AH146" s="121">
        <v>0</v>
      </c>
      <c r="AI146" s="121">
        <v>0</v>
      </c>
      <c r="AJ146" s="121">
        <v>0</v>
      </c>
      <c r="AK146" s="121">
        <v>0</v>
      </c>
      <c r="AL146" s="121">
        <v>0</v>
      </c>
      <c r="AM146" s="121">
        <v>0</v>
      </c>
      <c r="AN146" s="121">
        <v>0</v>
      </c>
      <c r="AO146" s="121">
        <v>0</v>
      </c>
      <c r="AP146" s="121">
        <v>0</v>
      </c>
      <c r="AQ146" s="121">
        <v>0</v>
      </c>
      <c r="AR146" s="121">
        <v>0</v>
      </c>
      <c r="AS146" s="121">
        <v>0</v>
      </c>
      <c r="AT146" s="121">
        <v>0</v>
      </c>
      <c r="AU146" s="121">
        <v>0</v>
      </c>
      <c r="AV146" s="121">
        <v>0</v>
      </c>
      <c r="AW146" s="121">
        <v>0</v>
      </c>
      <c r="AX146" s="121">
        <v>0</v>
      </c>
      <c r="AY146" s="121">
        <v>0</v>
      </c>
    </row>
    <row r="147" spans="1:51" x14ac:dyDescent="0.2">
      <c r="A147" s="124"/>
      <c r="B147" s="141">
        <v>26</v>
      </c>
      <c r="C147" s="121">
        <v>0</v>
      </c>
      <c r="D147" s="121">
        <v>0</v>
      </c>
      <c r="E147" s="121">
        <v>0</v>
      </c>
      <c r="F147" s="121">
        <v>0</v>
      </c>
      <c r="G147" s="121">
        <v>0</v>
      </c>
      <c r="H147" s="121">
        <v>0</v>
      </c>
      <c r="I147" s="121">
        <v>0</v>
      </c>
      <c r="J147" s="121">
        <v>0</v>
      </c>
      <c r="K147" s="121">
        <v>0</v>
      </c>
      <c r="L147" s="121">
        <v>0</v>
      </c>
      <c r="M147" s="121">
        <v>0</v>
      </c>
      <c r="N147" s="121">
        <v>0</v>
      </c>
      <c r="O147" s="121">
        <v>0</v>
      </c>
      <c r="P147" s="121">
        <v>0</v>
      </c>
      <c r="Q147" s="121">
        <v>0</v>
      </c>
      <c r="R147" s="121">
        <v>0</v>
      </c>
      <c r="S147" s="121">
        <v>0</v>
      </c>
      <c r="T147" s="121">
        <v>0</v>
      </c>
      <c r="U147" s="121">
        <v>0</v>
      </c>
      <c r="V147" s="121">
        <v>0</v>
      </c>
      <c r="W147" s="121">
        <v>0</v>
      </c>
      <c r="X147" s="121">
        <v>0</v>
      </c>
      <c r="Y147" s="121">
        <v>0</v>
      </c>
      <c r="Z147" s="121">
        <v>0</v>
      </c>
      <c r="AA147" s="121">
        <v>0</v>
      </c>
      <c r="AB147" s="121">
        <v>0</v>
      </c>
      <c r="AC147" s="121">
        <v>0</v>
      </c>
      <c r="AD147" s="121">
        <v>0</v>
      </c>
      <c r="AE147" s="121">
        <v>0</v>
      </c>
      <c r="AF147" s="121">
        <v>0</v>
      </c>
      <c r="AG147" s="121">
        <v>0</v>
      </c>
      <c r="AH147" s="121">
        <v>0</v>
      </c>
      <c r="AI147" s="121">
        <v>0</v>
      </c>
      <c r="AJ147" s="121">
        <v>0</v>
      </c>
      <c r="AK147" s="121">
        <v>0</v>
      </c>
      <c r="AL147" s="121">
        <v>0</v>
      </c>
      <c r="AM147" s="121">
        <v>0</v>
      </c>
      <c r="AN147" s="121">
        <v>0</v>
      </c>
      <c r="AO147" s="121">
        <v>0</v>
      </c>
      <c r="AP147" s="121">
        <v>0</v>
      </c>
      <c r="AQ147" s="121">
        <v>0</v>
      </c>
      <c r="AR147" s="121">
        <v>0</v>
      </c>
      <c r="AS147" s="121">
        <v>0</v>
      </c>
      <c r="AT147" s="121">
        <v>0</v>
      </c>
      <c r="AU147" s="121">
        <v>0</v>
      </c>
      <c r="AV147" s="121">
        <v>0</v>
      </c>
      <c r="AW147" s="121">
        <v>0</v>
      </c>
      <c r="AX147" s="121">
        <v>0</v>
      </c>
      <c r="AY147" s="121">
        <v>0</v>
      </c>
    </row>
    <row r="148" spans="1:51" x14ac:dyDescent="0.2">
      <c r="A148" s="124"/>
      <c r="B148" s="141">
        <v>27</v>
      </c>
      <c r="C148" s="121">
        <v>0</v>
      </c>
      <c r="D148" s="121">
        <v>0</v>
      </c>
      <c r="E148" s="121">
        <v>0</v>
      </c>
      <c r="F148" s="121">
        <v>0</v>
      </c>
      <c r="G148" s="121">
        <v>0</v>
      </c>
      <c r="H148" s="121">
        <v>0</v>
      </c>
      <c r="I148" s="121">
        <v>0</v>
      </c>
      <c r="J148" s="121">
        <v>0</v>
      </c>
      <c r="K148" s="121">
        <v>0</v>
      </c>
      <c r="L148" s="121">
        <v>0</v>
      </c>
      <c r="M148" s="121">
        <v>0</v>
      </c>
      <c r="N148" s="121">
        <v>0</v>
      </c>
      <c r="O148" s="121">
        <v>0</v>
      </c>
      <c r="P148" s="121">
        <v>0</v>
      </c>
      <c r="Q148" s="121">
        <v>0</v>
      </c>
      <c r="R148" s="121">
        <v>0</v>
      </c>
      <c r="S148" s="121">
        <v>0</v>
      </c>
      <c r="T148" s="121">
        <v>0</v>
      </c>
      <c r="U148" s="121">
        <v>0</v>
      </c>
      <c r="V148" s="121">
        <v>0</v>
      </c>
      <c r="W148" s="121">
        <v>0</v>
      </c>
      <c r="X148" s="121">
        <v>0</v>
      </c>
      <c r="Y148" s="121">
        <v>0</v>
      </c>
      <c r="Z148" s="121">
        <v>0</v>
      </c>
      <c r="AA148" s="121">
        <v>0</v>
      </c>
      <c r="AB148" s="121">
        <v>0</v>
      </c>
      <c r="AC148" s="121">
        <v>0</v>
      </c>
      <c r="AD148" s="121">
        <v>0</v>
      </c>
      <c r="AE148" s="121">
        <v>0</v>
      </c>
      <c r="AF148" s="121">
        <v>0</v>
      </c>
      <c r="AG148" s="121">
        <v>0</v>
      </c>
      <c r="AH148" s="121">
        <v>0</v>
      </c>
      <c r="AI148" s="121">
        <v>0</v>
      </c>
      <c r="AJ148" s="121">
        <v>0</v>
      </c>
      <c r="AK148" s="121">
        <v>0</v>
      </c>
      <c r="AL148" s="121">
        <v>0</v>
      </c>
      <c r="AM148" s="121">
        <v>0</v>
      </c>
      <c r="AN148" s="121">
        <v>0</v>
      </c>
      <c r="AO148" s="121">
        <v>0</v>
      </c>
      <c r="AP148" s="121">
        <v>0</v>
      </c>
      <c r="AQ148" s="121">
        <v>0</v>
      </c>
      <c r="AR148" s="121">
        <v>0</v>
      </c>
      <c r="AS148" s="121">
        <v>0</v>
      </c>
      <c r="AT148" s="121">
        <v>0</v>
      </c>
      <c r="AU148" s="121">
        <v>0</v>
      </c>
      <c r="AV148" s="121">
        <v>0</v>
      </c>
      <c r="AW148" s="121">
        <v>0</v>
      </c>
      <c r="AX148" s="121">
        <v>0</v>
      </c>
      <c r="AY148" s="121">
        <v>0</v>
      </c>
    </row>
    <row r="149" spans="1:51" x14ac:dyDescent="0.2">
      <c r="A149" s="124"/>
      <c r="B149" s="141">
        <v>28</v>
      </c>
      <c r="C149" s="121">
        <v>0</v>
      </c>
      <c r="D149" s="121">
        <v>0</v>
      </c>
      <c r="E149" s="121">
        <v>0</v>
      </c>
      <c r="F149" s="121">
        <v>0</v>
      </c>
      <c r="G149" s="121">
        <v>0</v>
      </c>
      <c r="H149" s="121">
        <v>0</v>
      </c>
      <c r="I149" s="121">
        <v>0</v>
      </c>
      <c r="J149" s="121">
        <v>0</v>
      </c>
      <c r="K149" s="121">
        <v>0</v>
      </c>
      <c r="L149" s="121">
        <v>0</v>
      </c>
      <c r="M149" s="121">
        <v>0</v>
      </c>
      <c r="N149" s="121">
        <v>0</v>
      </c>
      <c r="O149" s="121">
        <v>0</v>
      </c>
      <c r="P149" s="121">
        <v>0</v>
      </c>
      <c r="Q149" s="121">
        <v>0</v>
      </c>
      <c r="R149" s="121">
        <v>0</v>
      </c>
      <c r="S149" s="121">
        <v>0</v>
      </c>
      <c r="T149" s="121">
        <v>0</v>
      </c>
      <c r="U149" s="121">
        <v>0</v>
      </c>
      <c r="V149" s="121">
        <v>0</v>
      </c>
      <c r="W149" s="121">
        <v>0</v>
      </c>
      <c r="X149" s="121">
        <v>0</v>
      </c>
      <c r="Y149" s="121">
        <v>0</v>
      </c>
      <c r="Z149" s="121">
        <v>0</v>
      </c>
      <c r="AA149" s="121">
        <v>0</v>
      </c>
      <c r="AB149" s="121">
        <v>0</v>
      </c>
      <c r="AC149" s="121">
        <v>0</v>
      </c>
      <c r="AD149" s="121">
        <v>0</v>
      </c>
      <c r="AE149" s="121">
        <v>0</v>
      </c>
      <c r="AF149" s="121">
        <v>0</v>
      </c>
      <c r="AG149" s="121">
        <v>0</v>
      </c>
      <c r="AH149" s="121">
        <v>0</v>
      </c>
      <c r="AI149" s="121">
        <v>0</v>
      </c>
      <c r="AJ149" s="121">
        <v>0</v>
      </c>
      <c r="AK149" s="121">
        <v>0</v>
      </c>
      <c r="AL149" s="121">
        <v>0</v>
      </c>
      <c r="AM149" s="121">
        <v>0</v>
      </c>
      <c r="AN149" s="121">
        <v>0</v>
      </c>
      <c r="AO149" s="121">
        <v>0</v>
      </c>
      <c r="AP149" s="121">
        <v>0</v>
      </c>
      <c r="AQ149" s="121">
        <v>0</v>
      </c>
      <c r="AR149" s="121">
        <v>0</v>
      </c>
      <c r="AS149" s="121">
        <v>0</v>
      </c>
      <c r="AT149" s="121">
        <v>0</v>
      </c>
      <c r="AU149" s="121">
        <v>0</v>
      </c>
      <c r="AV149" s="121">
        <v>0</v>
      </c>
      <c r="AW149" s="121">
        <v>0</v>
      </c>
      <c r="AX149" s="121">
        <v>0</v>
      </c>
      <c r="AY149" s="121">
        <v>0</v>
      </c>
    </row>
    <row r="150" spans="1:51" x14ac:dyDescent="0.2">
      <c r="A150" s="124"/>
      <c r="B150" s="141">
        <v>29</v>
      </c>
      <c r="C150" s="121">
        <v>0</v>
      </c>
      <c r="D150" s="121">
        <v>0</v>
      </c>
      <c r="E150" s="121">
        <v>0</v>
      </c>
      <c r="F150" s="121">
        <v>0</v>
      </c>
      <c r="G150" s="121">
        <v>0</v>
      </c>
      <c r="H150" s="121">
        <v>0</v>
      </c>
      <c r="I150" s="121">
        <v>0</v>
      </c>
      <c r="J150" s="121">
        <v>0</v>
      </c>
      <c r="K150" s="121">
        <v>0</v>
      </c>
      <c r="L150" s="121">
        <v>0</v>
      </c>
      <c r="M150" s="121">
        <v>0</v>
      </c>
      <c r="N150" s="121">
        <v>0</v>
      </c>
      <c r="O150" s="121">
        <v>0</v>
      </c>
      <c r="P150" s="121">
        <v>0</v>
      </c>
      <c r="Q150" s="121">
        <v>0</v>
      </c>
      <c r="R150" s="121">
        <v>0</v>
      </c>
      <c r="S150" s="121">
        <v>0</v>
      </c>
      <c r="T150" s="121">
        <v>0</v>
      </c>
      <c r="U150" s="121">
        <v>0</v>
      </c>
      <c r="V150" s="121">
        <v>0</v>
      </c>
      <c r="W150" s="121">
        <v>0</v>
      </c>
      <c r="X150" s="121">
        <v>0</v>
      </c>
      <c r="Y150" s="121">
        <v>0</v>
      </c>
      <c r="Z150" s="121">
        <v>0</v>
      </c>
      <c r="AA150" s="121">
        <v>0</v>
      </c>
      <c r="AB150" s="121">
        <v>0</v>
      </c>
      <c r="AC150" s="121">
        <v>0</v>
      </c>
      <c r="AD150" s="121">
        <v>0</v>
      </c>
      <c r="AE150" s="121">
        <v>0</v>
      </c>
      <c r="AF150" s="121">
        <v>0</v>
      </c>
      <c r="AG150" s="121">
        <v>0</v>
      </c>
      <c r="AH150" s="121">
        <v>0</v>
      </c>
      <c r="AI150" s="121">
        <v>0</v>
      </c>
      <c r="AJ150" s="121">
        <v>0</v>
      </c>
      <c r="AK150" s="121">
        <v>0</v>
      </c>
      <c r="AL150" s="121">
        <v>0</v>
      </c>
      <c r="AM150" s="121">
        <v>0</v>
      </c>
      <c r="AN150" s="121">
        <v>0</v>
      </c>
      <c r="AO150" s="121">
        <v>0</v>
      </c>
      <c r="AP150" s="121">
        <v>0</v>
      </c>
      <c r="AQ150" s="121">
        <v>0</v>
      </c>
      <c r="AR150" s="121">
        <v>0</v>
      </c>
      <c r="AS150" s="121">
        <v>0</v>
      </c>
      <c r="AT150" s="121">
        <v>0</v>
      </c>
      <c r="AU150" s="121">
        <v>0</v>
      </c>
      <c r="AV150" s="121">
        <v>0</v>
      </c>
      <c r="AW150" s="121">
        <v>0</v>
      </c>
      <c r="AX150" s="121">
        <v>0</v>
      </c>
      <c r="AY150" s="121">
        <v>0</v>
      </c>
    </row>
    <row r="151" spans="1:51" x14ac:dyDescent="0.2">
      <c r="A151" s="124"/>
      <c r="B151" s="141">
        <v>30</v>
      </c>
      <c r="C151" s="121">
        <v>0</v>
      </c>
      <c r="D151" s="121">
        <v>0</v>
      </c>
      <c r="E151" s="121">
        <v>0</v>
      </c>
      <c r="F151" s="121">
        <v>0</v>
      </c>
      <c r="G151" s="121">
        <v>0</v>
      </c>
      <c r="H151" s="121">
        <v>0</v>
      </c>
      <c r="I151" s="121">
        <v>0</v>
      </c>
      <c r="J151" s="121">
        <v>0</v>
      </c>
      <c r="K151" s="121">
        <v>0</v>
      </c>
      <c r="L151" s="121">
        <v>0</v>
      </c>
      <c r="M151" s="121">
        <v>0</v>
      </c>
      <c r="N151" s="121">
        <v>0</v>
      </c>
      <c r="O151" s="121">
        <v>0</v>
      </c>
      <c r="P151" s="121">
        <v>0</v>
      </c>
      <c r="Q151" s="121">
        <v>0</v>
      </c>
      <c r="R151" s="121">
        <v>0</v>
      </c>
      <c r="S151" s="121">
        <v>0</v>
      </c>
      <c r="T151" s="121">
        <v>0</v>
      </c>
      <c r="U151" s="121">
        <v>0</v>
      </c>
      <c r="V151" s="121">
        <v>0</v>
      </c>
      <c r="W151" s="121">
        <v>0</v>
      </c>
      <c r="X151" s="121">
        <v>0</v>
      </c>
      <c r="Y151" s="121">
        <v>0</v>
      </c>
      <c r="Z151" s="121">
        <v>0</v>
      </c>
      <c r="AA151" s="121">
        <v>0</v>
      </c>
      <c r="AB151" s="121">
        <v>0</v>
      </c>
      <c r="AC151" s="121">
        <v>0</v>
      </c>
      <c r="AD151" s="121">
        <v>0</v>
      </c>
      <c r="AE151" s="121">
        <v>0</v>
      </c>
      <c r="AF151" s="121">
        <v>0</v>
      </c>
      <c r="AG151" s="121">
        <v>0</v>
      </c>
      <c r="AH151" s="121">
        <v>0</v>
      </c>
      <c r="AI151" s="121">
        <v>0</v>
      </c>
      <c r="AJ151" s="121">
        <v>0</v>
      </c>
      <c r="AK151" s="121">
        <v>0</v>
      </c>
      <c r="AL151" s="121">
        <v>0</v>
      </c>
      <c r="AM151" s="121">
        <v>0</v>
      </c>
      <c r="AN151" s="121">
        <v>0</v>
      </c>
      <c r="AO151" s="121">
        <v>0</v>
      </c>
      <c r="AP151" s="121">
        <v>0</v>
      </c>
      <c r="AQ151" s="121">
        <v>0</v>
      </c>
      <c r="AR151" s="121">
        <v>0</v>
      </c>
      <c r="AS151" s="121">
        <v>0</v>
      </c>
      <c r="AT151" s="121">
        <v>0</v>
      </c>
      <c r="AU151" s="121">
        <v>0</v>
      </c>
      <c r="AV151" s="121">
        <v>0</v>
      </c>
      <c r="AW151" s="121">
        <v>0</v>
      </c>
      <c r="AX151" s="121">
        <v>0</v>
      </c>
      <c r="AY151" s="121">
        <v>0</v>
      </c>
    </row>
    <row r="152" spans="1:51" x14ac:dyDescent="0.2">
      <c r="A152" s="124"/>
      <c r="B152" s="141">
        <v>31</v>
      </c>
      <c r="C152" s="121">
        <v>0</v>
      </c>
      <c r="D152" s="121">
        <v>0</v>
      </c>
      <c r="E152" s="121">
        <v>0</v>
      </c>
      <c r="F152" s="121">
        <v>0</v>
      </c>
      <c r="G152" s="121">
        <v>0</v>
      </c>
      <c r="H152" s="121">
        <v>0</v>
      </c>
      <c r="I152" s="121">
        <v>0</v>
      </c>
      <c r="J152" s="121">
        <v>0</v>
      </c>
      <c r="K152" s="121">
        <v>0</v>
      </c>
      <c r="L152" s="121">
        <v>0</v>
      </c>
      <c r="M152" s="121">
        <v>0</v>
      </c>
      <c r="N152" s="121">
        <v>0</v>
      </c>
      <c r="O152" s="121">
        <v>0</v>
      </c>
      <c r="P152" s="121">
        <v>0</v>
      </c>
      <c r="Q152" s="121">
        <v>0</v>
      </c>
      <c r="R152" s="121">
        <v>0</v>
      </c>
      <c r="S152" s="121">
        <v>0</v>
      </c>
      <c r="T152" s="121">
        <v>0</v>
      </c>
      <c r="U152" s="121">
        <v>0</v>
      </c>
      <c r="V152" s="121">
        <v>0</v>
      </c>
      <c r="W152" s="121">
        <v>0</v>
      </c>
      <c r="X152" s="121">
        <v>0</v>
      </c>
      <c r="Y152" s="121">
        <v>0</v>
      </c>
      <c r="Z152" s="121">
        <v>0</v>
      </c>
      <c r="AA152" s="121">
        <v>0</v>
      </c>
      <c r="AB152" s="121">
        <v>0</v>
      </c>
      <c r="AC152" s="121">
        <v>0</v>
      </c>
      <c r="AD152" s="121">
        <v>0</v>
      </c>
      <c r="AE152" s="121">
        <v>0</v>
      </c>
      <c r="AF152" s="121">
        <v>0</v>
      </c>
      <c r="AG152" s="121">
        <v>0</v>
      </c>
      <c r="AH152" s="121">
        <v>0</v>
      </c>
      <c r="AI152" s="121">
        <v>0</v>
      </c>
      <c r="AJ152" s="121">
        <v>0</v>
      </c>
      <c r="AK152" s="121">
        <v>0</v>
      </c>
      <c r="AL152" s="121">
        <v>0</v>
      </c>
      <c r="AM152" s="121">
        <v>0</v>
      </c>
      <c r="AN152" s="121">
        <v>0</v>
      </c>
      <c r="AO152" s="121">
        <v>0</v>
      </c>
      <c r="AP152" s="121">
        <v>0</v>
      </c>
      <c r="AQ152" s="121">
        <v>0</v>
      </c>
      <c r="AR152" s="121">
        <v>0</v>
      </c>
      <c r="AS152" s="121">
        <v>0</v>
      </c>
      <c r="AT152" s="121">
        <v>0</v>
      </c>
      <c r="AU152" s="121">
        <v>0</v>
      </c>
      <c r="AV152" s="121">
        <v>0</v>
      </c>
      <c r="AW152" s="121">
        <v>0</v>
      </c>
      <c r="AX152" s="121">
        <v>0</v>
      </c>
      <c r="AY152" s="121">
        <v>0</v>
      </c>
    </row>
    <row r="153" spans="1:51" x14ac:dyDescent="0.2">
      <c r="A153" s="124"/>
      <c r="B153" s="141">
        <v>32</v>
      </c>
      <c r="C153" s="121">
        <v>0</v>
      </c>
      <c r="D153" s="121">
        <v>0</v>
      </c>
      <c r="E153" s="121">
        <v>0</v>
      </c>
      <c r="F153" s="121">
        <v>0</v>
      </c>
      <c r="G153" s="121">
        <v>0</v>
      </c>
      <c r="H153" s="121">
        <v>0</v>
      </c>
      <c r="I153" s="121">
        <v>0</v>
      </c>
      <c r="J153" s="121">
        <v>0</v>
      </c>
      <c r="K153" s="121">
        <v>0</v>
      </c>
      <c r="L153" s="121">
        <v>0</v>
      </c>
      <c r="M153" s="121">
        <v>0</v>
      </c>
      <c r="N153" s="121">
        <v>0</v>
      </c>
      <c r="O153" s="121">
        <v>0</v>
      </c>
      <c r="P153" s="121">
        <v>0</v>
      </c>
      <c r="Q153" s="121">
        <v>0</v>
      </c>
      <c r="R153" s="121">
        <v>0</v>
      </c>
      <c r="S153" s="121">
        <v>0</v>
      </c>
      <c r="T153" s="121">
        <v>0</v>
      </c>
      <c r="U153" s="121">
        <v>0</v>
      </c>
      <c r="V153" s="121">
        <v>0</v>
      </c>
      <c r="W153" s="121">
        <v>0</v>
      </c>
      <c r="X153" s="121">
        <v>0</v>
      </c>
      <c r="Y153" s="121">
        <v>0</v>
      </c>
      <c r="Z153" s="121">
        <v>0</v>
      </c>
      <c r="AA153" s="121">
        <v>0</v>
      </c>
      <c r="AB153" s="121">
        <v>0</v>
      </c>
      <c r="AC153" s="121">
        <v>0</v>
      </c>
      <c r="AD153" s="121">
        <v>0</v>
      </c>
      <c r="AE153" s="121">
        <v>0</v>
      </c>
      <c r="AF153" s="121">
        <v>0</v>
      </c>
      <c r="AG153" s="121">
        <v>0</v>
      </c>
      <c r="AH153" s="121">
        <v>0</v>
      </c>
      <c r="AI153" s="121">
        <v>0</v>
      </c>
      <c r="AJ153" s="121">
        <v>0</v>
      </c>
      <c r="AK153" s="121">
        <v>0</v>
      </c>
      <c r="AL153" s="121">
        <v>0</v>
      </c>
      <c r="AM153" s="121">
        <v>0</v>
      </c>
      <c r="AN153" s="121">
        <v>0</v>
      </c>
      <c r="AO153" s="121">
        <v>0</v>
      </c>
      <c r="AP153" s="121">
        <v>0</v>
      </c>
      <c r="AQ153" s="121">
        <v>0</v>
      </c>
      <c r="AR153" s="121">
        <v>0</v>
      </c>
      <c r="AS153" s="121">
        <v>0</v>
      </c>
      <c r="AT153" s="121">
        <v>0</v>
      </c>
      <c r="AU153" s="121">
        <v>0</v>
      </c>
      <c r="AV153" s="121">
        <v>0</v>
      </c>
      <c r="AW153" s="121">
        <v>0</v>
      </c>
      <c r="AX153" s="121">
        <v>0</v>
      </c>
      <c r="AY153" s="121">
        <v>0</v>
      </c>
    </row>
    <row r="154" spans="1:51" x14ac:dyDescent="0.2">
      <c r="A154" s="124"/>
      <c r="B154" s="141">
        <v>33</v>
      </c>
      <c r="C154" s="121">
        <v>0</v>
      </c>
      <c r="D154" s="121">
        <v>0</v>
      </c>
      <c r="E154" s="121">
        <v>0</v>
      </c>
      <c r="F154" s="121">
        <v>0</v>
      </c>
      <c r="G154" s="121">
        <v>0</v>
      </c>
      <c r="H154" s="121">
        <v>0</v>
      </c>
      <c r="I154" s="121">
        <v>0</v>
      </c>
      <c r="J154" s="121">
        <v>0</v>
      </c>
      <c r="K154" s="121">
        <v>0</v>
      </c>
      <c r="L154" s="121">
        <v>0</v>
      </c>
      <c r="M154" s="121">
        <v>0</v>
      </c>
      <c r="N154" s="121">
        <v>0</v>
      </c>
      <c r="O154" s="121">
        <v>0</v>
      </c>
      <c r="P154" s="121">
        <v>0</v>
      </c>
      <c r="Q154" s="121">
        <v>0</v>
      </c>
      <c r="R154" s="121">
        <v>0</v>
      </c>
      <c r="S154" s="121">
        <v>0</v>
      </c>
      <c r="T154" s="121">
        <v>0</v>
      </c>
      <c r="U154" s="121">
        <v>0</v>
      </c>
      <c r="V154" s="121">
        <v>0</v>
      </c>
      <c r="W154" s="121">
        <v>0</v>
      </c>
      <c r="X154" s="121">
        <v>0</v>
      </c>
      <c r="Y154" s="121">
        <v>0</v>
      </c>
      <c r="Z154" s="121">
        <v>0</v>
      </c>
      <c r="AA154" s="121">
        <v>0</v>
      </c>
      <c r="AB154" s="121">
        <v>0</v>
      </c>
      <c r="AC154" s="121">
        <v>0</v>
      </c>
      <c r="AD154" s="121">
        <v>0</v>
      </c>
      <c r="AE154" s="121">
        <v>0</v>
      </c>
      <c r="AF154" s="121">
        <v>0</v>
      </c>
      <c r="AG154" s="121">
        <v>0</v>
      </c>
      <c r="AH154" s="121">
        <v>0</v>
      </c>
      <c r="AI154" s="121">
        <v>0</v>
      </c>
      <c r="AJ154" s="121">
        <v>0</v>
      </c>
      <c r="AK154" s="121">
        <v>0</v>
      </c>
      <c r="AL154" s="121">
        <v>0</v>
      </c>
      <c r="AM154" s="121">
        <v>0</v>
      </c>
      <c r="AN154" s="121">
        <v>0</v>
      </c>
      <c r="AO154" s="121">
        <v>0</v>
      </c>
      <c r="AP154" s="121">
        <v>0</v>
      </c>
      <c r="AQ154" s="121">
        <v>0</v>
      </c>
      <c r="AR154" s="121">
        <v>0</v>
      </c>
      <c r="AS154" s="121">
        <v>0</v>
      </c>
      <c r="AT154" s="121">
        <v>0</v>
      </c>
      <c r="AU154" s="121">
        <v>0</v>
      </c>
      <c r="AV154" s="121">
        <v>0</v>
      </c>
      <c r="AW154" s="121">
        <v>0</v>
      </c>
      <c r="AX154" s="121">
        <v>0</v>
      </c>
      <c r="AY154" s="121">
        <v>0</v>
      </c>
    </row>
    <row r="155" spans="1:51" x14ac:dyDescent="0.2">
      <c r="A155" s="124"/>
      <c r="B155" s="141">
        <v>34</v>
      </c>
      <c r="C155" s="121">
        <v>0</v>
      </c>
      <c r="D155" s="121">
        <v>0</v>
      </c>
      <c r="E155" s="121">
        <v>0</v>
      </c>
      <c r="F155" s="121">
        <v>0</v>
      </c>
      <c r="G155" s="121">
        <v>0</v>
      </c>
      <c r="H155" s="121">
        <v>0</v>
      </c>
      <c r="I155" s="121">
        <v>0</v>
      </c>
      <c r="J155" s="121">
        <v>0</v>
      </c>
      <c r="K155" s="121">
        <v>0</v>
      </c>
      <c r="L155" s="121">
        <v>0</v>
      </c>
      <c r="M155" s="121">
        <v>0</v>
      </c>
      <c r="N155" s="121">
        <v>0</v>
      </c>
      <c r="O155" s="121">
        <v>0</v>
      </c>
      <c r="P155" s="121">
        <v>0</v>
      </c>
      <c r="Q155" s="121">
        <v>0</v>
      </c>
      <c r="R155" s="121">
        <v>0</v>
      </c>
      <c r="S155" s="121">
        <v>0</v>
      </c>
      <c r="T155" s="121">
        <v>0</v>
      </c>
      <c r="U155" s="121">
        <v>0</v>
      </c>
      <c r="V155" s="121">
        <v>0</v>
      </c>
      <c r="W155" s="121">
        <v>0</v>
      </c>
      <c r="X155" s="121">
        <v>0</v>
      </c>
      <c r="Y155" s="121">
        <v>0</v>
      </c>
      <c r="Z155" s="121">
        <v>0</v>
      </c>
      <c r="AA155" s="121">
        <v>0</v>
      </c>
      <c r="AB155" s="121">
        <v>0</v>
      </c>
      <c r="AC155" s="121">
        <v>0</v>
      </c>
      <c r="AD155" s="121">
        <v>0</v>
      </c>
      <c r="AE155" s="121">
        <v>0</v>
      </c>
      <c r="AF155" s="121">
        <v>0</v>
      </c>
      <c r="AG155" s="121">
        <v>0</v>
      </c>
      <c r="AH155" s="121">
        <v>0</v>
      </c>
      <c r="AI155" s="121">
        <v>0</v>
      </c>
      <c r="AJ155" s="121">
        <v>0</v>
      </c>
      <c r="AK155" s="121">
        <v>0</v>
      </c>
      <c r="AL155" s="121">
        <v>0</v>
      </c>
      <c r="AM155" s="121">
        <v>0</v>
      </c>
      <c r="AN155" s="121">
        <v>0</v>
      </c>
      <c r="AO155" s="121">
        <v>0</v>
      </c>
      <c r="AP155" s="121">
        <v>0</v>
      </c>
      <c r="AQ155" s="121">
        <v>0</v>
      </c>
      <c r="AR155" s="121">
        <v>0</v>
      </c>
      <c r="AS155" s="121">
        <v>0</v>
      </c>
      <c r="AT155" s="121">
        <v>0</v>
      </c>
      <c r="AU155" s="121">
        <v>0</v>
      </c>
      <c r="AV155" s="121">
        <v>0</v>
      </c>
      <c r="AW155" s="121">
        <v>0</v>
      </c>
      <c r="AX155" s="121">
        <v>0</v>
      </c>
      <c r="AY155" s="121">
        <v>0</v>
      </c>
    </row>
    <row r="156" spans="1:51" x14ac:dyDescent="0.2">
      <c r="A156" s="124"/>
      <c r="B156" s="141">
        <v>35</v>
      </c>
      <c r="C156" s="121">
        <v>0</v>
      </c>
      <c r="D156" s="121">
        <v>0</v>
      </c>
      <c r="E156" s="121">
        <v>0</v>
      </c>
      <c r="F156" s="121">
        <v>0</v>
      </c>
      <c r="G156" s="121">
        <v>0</v>
      </c>
      <c r="H156" s="121">
        <v>0</v>
      </c>
      <c r="I156" s="121">
        <v>0</v>
      </c>
      <c r="J156" s="121">
        <v>0</v>
      </c>
      <c r="K156" s="121">
        <v>0</v>
      </c>
      <c r="L156" s="121">
        <v>0</v>
      </c>
      <c r="M156" s="121">
        <v>0</v>
      </c>
      <c r="N156" s="121">
        <v>0</v>
      </c>
      <c r="O156" s="121">
        <v>0</v>
      </c>
      <c r="P156" s="121">
        <v>0</v>
      </c>
      <c r="Q156" s="121">
        <v>0</v>
      </c>
      <c r="R156" s="121">
        <v>0</v>
      </c>
      <c r="S156" s="121">
        <v>0</v>
      </c>
      <c r="T156" s="121">
        <v>0</v>
      </c>
      <c r="U156" s="121">
        <v>0</v>
      </c>
      <c r="V156" s="121">
        <v>0</v>
      </c>
      <c r="W156" s="121">
        <v>0</v>
      </c>
      <c r="X156" s="121">
        <v>0</v>
      </c>
      <c r="Y156" s="121">
        <v>0</v>
      </c>
      <c r="Z156" s="121">
        <v>0</v>
      </c>
      <c r="AA156" s="121">
        <v>0</v>
      </c>
      <c r="AB156" s="121">
        <v>0</v>
      </c>
      <c r="AC156" s="121">
        <v>0</v>
      </c>
      <c r="AD156" s="121">
        <v>0</v>
      </c>
      <c r="AE156" s="121">
        <v>0</v>
      </c>
      <c r="AF156" s="121">
        <v>0</v>
      </c>
      <c r="AG156" s="121">
        <v>0</v>
      </c>
      <c r="AH156" s="121">
        <v>0</v>
      </c>
      <c r="AI156" s="121">
        <v>0</v>
      </c>
      <c r="AJ156" s="121">
        <v>0</v>
      </c>
      <c r="AK156" s="121">
        <v>0</v>
      </c>
      <c r="AL156" s="121">
        <v>0</v>
      </c>
      <c r="AM156" s="121">
        <v>0</v>
      </c>
      <c r="AN156" s="121">
        <v>0</v>
      </c>
      <c r="AO156" s="121">
        <v>0</v>
      </c>
      <c r="AP156" s="121">
        <v>0</v>
      </c>
      <c r="AQ156" s="121">
        <v>0</v>
      </c>
      <c r="AR156" s="121">
        <v>0</v>
      </c>
      <c r="AS156" s="121">
        <v>0</v>
      </c>
      <c r="AT156" s="121">
        <v>0</v>
      </c>
      <c r="AU156" s="121">
        <v>0</v>
      </c>
      <c r="AV156" s="121">
        <v>0</v>
      </c>
      <c r="AW156" s="121">
        <v>0</v>
      </c>
      <c r="AX156" s="121">
        <v>0</v>
      </c>
      <c r="AY156" s="121">
        <v>0</v>
      </c>
    </row>
    <row r="157" spans="1:51" x14ac:dyDescent="0.2">
      <c r="A157" s="124"/>
      <c r="B157" s="141">
        <v>36</v>
      </c>
      <c r="C157" s="121">
        <v>0</v>
      </c>
      <c r="D157" s="121">
        <v>0</v>
      </c>
      <c r="E157" s="121">
        <v>0</v>
      </c>
      <c r="F157" s="121">
        <v>0</v>
      </c>
      <c r="G157" s="121">
        <v>0</v>
      </c>
      <c r="H157" s="121">
        <v>0</v>
      </c>
      <c r="I157" s="121">
        <v>0</v>
      </c>
      <c r="J157" s="121">
        <v>0</v>
      </c>
      <c r="K157" s="121">
        <v>0</v>
      </c>
      <c r="L157" s="121">
        <v>0</v>
      </c>
      <c r="M157" s="121">
        <v>0</v>
      </c>
      <c r="N157" s="121">
        <v>0</v>
      </c>
      <c r="O157" s="121">
        <v>0</v>
      </c>
      <c r="P157" s="121">
        <v>0</v>
      </c>
      <c r="Q157" s="121">
        <v>0</v>
      </c>
      <c r="R157" s="121">
        <v>0</v>
      </c>
      <c r="S157" s="121">
        <v>0</v>
      </c>
      <c r="T157" s="121">
        <v>0</v>
      </c>
      <c r="U157" s="121">
        <v>0</v>
      </c>
      <c r="V157" s="121">
        <v>0</v>
      </c>
      <c r="W157" s="121">
        <v>0</v>
      </c>
      <c r="X157" s="121">
        <v>0</v>
      </c>
      <c r="Y157" s="121">
        <v>0</v>
      </c>
      <c r="Z157" s="121">
        <v>0</v>
      </c>
      <c r="AA157" s="121">
        <v>0</v>
      </c>
      <c r="AB157" s="121">
        <v>0</v>
      </c>
      <c r="AC157" s="121">
        <v>0</v>
      </c>
      <c r="AD157" s="121">
        <v>0</v>
      </c>
      <c r="AE157" s="121">
        <v>0</v>
      </c>
      <c r="AF157" s="121">
        <v>0</v>
      </c>
      <c r="AG157" s="121">
        <v>0</v>
      </c>
      <c r="AH157" s="121">
        <v>0</v>
      </c>
      <c r="AI157" s="121">
        <v>0</v>
      </c>
      <c r="AJ157" s="121">
        <v>0</v>
      </c>
      <c r="AK157" s="121">
        <v>0</v>
      </c>
      <c r="AL157" s="121">
        <v>0</v>
      </c>
      <c r="AM157" s="121">
        <v>0</v>
      </c>
      <c r="AN157" s="121">
        <v>0</v>
      </c>
      <c r="AO157" s="121">
        <v>0</v>
      </c>
      <c r="AP157" s="121">
        <v>0</v>
      </c>
      <c r="AQ157" s="121">
        <v>0</v>
      </c>
      <c r="AR157" s="121">
        <v>0</v>
      </c>
      <c r="AS157" s="121">
        <v>0</v>
      </c>
      <c r="AT157" s="121">
        <v>0</v>
      </c>
      <c r="AU157" s="121">
        <v>0</v>
      </c>
      <c r="AV157" s="121">
        <v>0</v>
      </c>
      <c r="AW157" s="121">
        <v>0</v>
      </c>
      <c r="AX157" s="121">
        <v>0</v>
      </c>
      <c r="AY157" s="121">
        <v>0</v>
      </c>
    </row>
    <row r="158" spans="1:51" x14ac:dyDescent="0.2">
      <c r="A158" s="124"/>
      <c r="B158" s="144">
        <v>37</v>
      </c>
      <c r="C158" s="121">
        <v>0</v>
      </c>
      <c r="D158" s="121">
        <v>0</v>
      </c>
      <c r="E158" s="121">
        <v>0</v>
      </c>
      <c r="F158" s="121">
        <v>0</v>
      </c>
      <c r="G158" s="121">
        <v>0</v>
      </c>
      <c r="H158" s="121">
        <v>0</v>
      </c>
      <c r="I158" s="121">
        <v>0</v>
      </c>
      <c r="J158" s="121">
        <v>0</v>
      </c>
      <c r="K158" s="121">
        <v>0</v>
      </c>
      <c r="L158" s="121">
        <v>0</v>
      </c>
      <c r="M158" s="121">
        <v>0</v>
      </c>
      <c r="N158" s="121">
        <v>0</v>
      </c>
      <c r="O158" s="121">
        <v>0</v>
      </c>
      <c r="P158" s="121">
        <v>0</v>
      </c>
      <c r="Q158" s="121">
        <v>0</v>
      </c>
      <c r="R158" s="121">
        <v>0</v>
      </c>
      <c r="S158" s="121">
        <v>0</v>
      </c>
      <c r="T158" s="121">
        <v>0</v>
      </c>
      <c r="U158" s="121">
        <v>0</v>
      </c>
      <c r="V158" s="121">
        <v>0</v>
      </c>
      <c r="W158" s="121">
        <v>0</v>
      </c>
      <c r="X158" s="121">
        <v>0</v>
      </c>
      <c r="Y158" s="121">
        <v>0</v>
      </c>
      <c r="Z158" s="121">
        <v>0</v>
      </c>
      <c r="AA158" s="121">
        <v>0</v>
      </c>
      <c r="AB158" s="121">
        <v>0</v>
      </c>
      <c r="AC158" s="121">
        <v>0</v>
      </c>
      <c r="AD158" s="121">
        <v>0</v>
      </c>
      <c r="AE158" s="121">
        <v>0</v>
      </c>
      <c r="AF158" s="121">
        <v>0</v>
      </c>
      <c r="AG158" s="121">
        <v>0</v>
      </c>
      <c r="AH158" s="121">
        <v>0</v>
      </c>
      <c r="AI158" s="121">
        <v>0</v>
      </c>
      <c r="AJ158" s="121">
        <v>0</v>
      </c>
      <c r="AK158" s="121">
        <v>0</v>
      </c>
      <c r="AL158" s="121">
        <v>0</v>
      </c>
      <c r="AM158" s="121">
        <v>0</v>
      </c>
      <c r="AN158" s="121">
        <v>0</v>
      </c>
      <c r="AO158" s="121">
        <v>0</v>
      </c>
      <c r="AP158" s="121">
        <v>0</v>
      </c>
      <c r="AQ158" s="121">
        <v>0</v>
      </c>
      <c r="AR158" s="121">
        <v>0</v>
      </c>
      <c r="AS158" s="121">
        <v>0</v>
      </c>
      <c r="AT158" s="121">
        <v>0</v>
      </c>
      <c r="AU158" s="121">
        <v>0</v>
      </c>
      <c r="AV158" s="121">
        <v>0</v>
      </c>
      <c r="AW158" s="121">
        <v>0</v>
      </c>
      <c r="AX158" s="121">
        <v>0</v>
      </c>
      <c r="AY158" s="121">
        <v>0</v>
      </c>
    </row>
    <row r="159" spans="1:51" x14ac:dyDescent="0.2">
      <c r="A159" s="124"/>
      <c r="B159" s="144">
        <v>38</v>
      </c>
      <c r="C159" s="121">
        <v>0</v>
      </c>
      <c r="D159" s="121">
        <v>0</v>
      </c>
      <c r="E159" s="121">
        <v>0</v>
      </c>
      <c r="F159" s="121">
        <v>0</v>
      </c>
      <c r="G159" s="121">
        <v>0</v>
      </c>
      <c r="H159" s="121">
        <v>0</v>
      </c>
      <c r="I159" s="121">
        <v>0</v>
      </c>
      <c r="J159" s="121">
        <v>0</v>
      </c>
      <c r="K159" s="121">
        <v>0</v>
      </c>
      <c r="L159" s="121">
        <v>0</v>
      </c>
      <c r="M159" s="121">
        <v>0</v>
      </c>
      <c r="N159" s="121">
        <v>0</v>
      </c>
      <c r="O159" s="121">
        <v>0</v>
      </c>
      <c r="P159" s="121">
        <v>0</v>
      </c>
      <c r="Q159" s="121">
        <v>0</v>
      </c>
      <c r="R159" s="121">
        <v>0</v>
      </c>
      <c r="S159" s="121">
        <v>0</v>
      </c>
      <c r="T159" s="121">
        <v>0</v>
      </c>
      <c r="U159" s="121">
        <v>0</v>
      </c>
      <c r="V159" s="121">
        <v>0</v>
      </c>
      <c r="W159" s="121">
        <v>0</v>
      </c>
      <c r="X159" s="121">
        <v>0</v>
      </c>
      <c r="Y159" s="121">
        <v>0</v>
      </c>
      <c r="Z159" s="121">
        <v>0</v>
      </c>
      <c r="AA159" s="121">
        <v>0</v>
      </c>
      <c r="AB159" s="121">
        <v>0</v>
      </c>
      <c r="AC159" s="121">
        <v>0</v>
      </c>
      <c r="AD159" s="121">
        <v>0</v>
      </c>
      <c r="AE159" s="121">
        <v>0</v>
      </c>
      <c r="AF159" s="121">
        <v>0</v>
      </c>
      <c r="AG159" s="121">
        <v>0</v>
      </c>
      <c r="AH159" s="121">
        <v>0</v>
      </c>
      <c r="AI159" s="121">
        <v>0</v>
      </c>
      <c r="AJ159" s="121">
        <v>0</v>
      </c>
      <c r="AK159" s="121">
        <v>0</v>
      </c>
      <c r="AL159" s="121">
        <v>0</v>
      </c>
      <c r="AM159" s="121">
        <v>0</v>
      </c>
      <c r="AN159" s="121">
        <v>0</v>
      </c>
      <c r="AO159" s="121">
        <v>0</v>
      </c>
      <c r="AP159" s="121">
        <v>0</v>
      </c>
      <c r="AQ159" s="121">
        <v>0</v>
      </c>
      <c r="AR159" s="121">
        <v>0</v>
      </c>
      <c r="AS159" s="121">
        <v>0</v>
      </c>
      <c r="AT159" s="121">
        <v>0</v>
      </c>
      <c r="AU159" s="121">
        <v>0</v>
      </c>
      <c r="AV159" s="121">
        <v>0</v>
      </c>
      <c r="AW159" s="121">
        <v>0</v>
      </c>
      <c r="AX159" s="121">
        <v>0</v>
      </c>
      <c r="AY159" s="121">
        <v>0</v>
      </c>
    </row>
    <row r="160" spans="1:51" x14ac:dyDescent="0.2">
      <c r="A160" s="124"/>
      <c r="B160" s="144">
        <v>39</v>
      </c>
      <c r="C160" s="121">
        <v>0</v>
      </c>
      <c r="D160" s="121">
        <v>0</v>
      </c>
      <c r="E160" s="121">
        <v>0</v>
      </c>
      <c r="F160" s="121">
        <v>0</v>
      </c>
      <c r="G160" s="121">
        <v>0</v>
      </c>
      <c r="H160" s="121">
        <v>0</v>
      </c>
      <c r="I160" s="121">
        <v>0</v>
      </c>
      <c r="J160" s="121">
        <v>0</v>
      </c>
      <c r="K160" s="121">
        <v>0</v>
      </c>
      <c r="L160" s="121">
        <v>0</v>
      </c>
      <c r="M160" s="121">
        <v>0</v>
      </c>
      <c r="N160" s="121">
        <v>0</v>
      </c>
      <c r="O160" s="121">
        <v>0</v>
      </c>
      <c r="P160" s="121">
        <v>0</v>
      </c>
      <c r="Q160" s="121">
        <v>0</v>
      </c>
      <c r="R160" s="121">
        <v>0</v>
      </c>
      <c r="S160" s="121">
        <v>0</v>
      </c>
      <c r="T160" s="121">
        <v>0</v>
      </c>
      <c r="U160" s="121">
        <v>0</v>
      </c>
      <c r="V160" s="121">
        <v>0</v>
      </c>
      <c r="W160" s="121">
        <v>0</v>
      </c>
      <c r="X160" s="121">
        <v>0</v>
      </c>
      <c r="Y160" s="121">
        <v>0</v>
      </c>
      <c r="Z160" s="121">
        <v>0</v>
      </c>
      <c r="AA160" s="121">
        <v>0</v>
      </c>
      <c r="AB160" s="121">
        <v>0</v>
      </c>
      <c r="AC160" s="121">
        <v>0</v>
      </c>
      <c r="AD160" s="121">
        <v>0</v>
      </c>
      <c r="AE160" s="121">
        <v>0</v>
      </c>
      <c r="AF160" s="121">
        <v>0</v>
      </c>
      <c r="AG160" s="121">
        <v>0</v>
      </c>
      <c r="AH160" s="121">
        <v>0</v>
      </c>
      <c r="AI160" s="121">
        <v>0</v>
      </c>
      <c r="AJ160" s="121">
        <v>0</v>
      </c>
      <c r="AK160" s="121">
        <v>0</v>
      </c>
      <c r="AL160" s="121">
        <v>0</v>
      </c>
      <c r="AM160" s="121">
        <v>0</v>
      </c>
      <c r="AN160" s="121">
        <v>0</v>
      </c>
      <c r="AO160" s="121">
        <v>0</v>
      </c>
      <c r="AP160" s="121">
        <v>0</v>
      </c>
      <c r="AQ160" s="121">
        <v>0</v>
      </c>
      <c r="AR160" s="121">
        <v>0</v>
      </c>
      <c r="AS160" s="121">
        <v>0</v>
      </c>
      <c r="AT160" s="121">
        <v>0</v>
      </c>
      <c r="AU160" s="121">
        <v>0</v>
      </c>
      <c r="AV160" s="121">
        <v>0</v>
      </c>
      <c r="AW160" s="121">
        <v>0</v>
      </c>
      <c r="AX160" s="121">
        <v>0</v>
      </c>
      <c r="AY160" s="121">
        <v>0</v>
      </c>
    </row>
    <row r="161" spans="1:52" x14ac:dyDescent="0.2">
      <c r="A161" s="124"/>
      <c r="B161" s="144">
        <v>40</v>
      </c>
      <c r="C161" s="121">
        <v>0</v>
      </c>
      <c r="D161" s="121">
        <v>0</v>
      </c>
      <c r="E161" s="121">
        <v>0</v>
      </c>
      <c r="F161" s="121">
        <v>0</v>
      </c>
      <c r="G161" s="121">
        <v>0</v>
      </c>
      <c r="H161" s="121">
        <v>0</v>
      </c>
      <c r="I161" s="121">
        <v>0</v>
      </c>
      <c r="J161" s="121">
        <v>0</v>
      </c>
      <c r="K161" s="121">
        <v>0</v>
      </c>
      <c r="L161" s="121">
        <v>0</v>
      </c>
      <c r="M161" s="121">
        <v>0</v>
      </c>
      <c r="N161" s="121">
        <v>0</v>
      </c>
      <c r="O161" s="121">
        <v>0</v>
      </c>
      <c r="P161" s="121">
        <v>0</v>
      </c>
      <c r="Q161" s="121">
        <v>0</v>
      </c>
      <c r="R161" s="121">
        <v>0</v>
      </c>
      <c r="S161" s="121">
        <v>0</v>
      </c>
      <c r="T161" s="121">
        <v>0</v>
      </c>
      <c r="U161" s="121">
        <v>0</v>
      </c>
      <c r="V161" s="121">
        <v>0</v>
      </c>
      <c r="W161" s="121">
        <v>0</v>
      </c>
      <c r="X161" s="121">
        <v>0</v>
      </c>
      <c r="Y161" s="121">
        <v>0</v>
      </c>
      <c r="Z161" s="121">
        <v>0</v>
      </c>
      <c r="AA161" s="121">
        <v>0</v>
      </c>
      <c r="AB161" s="121">
        <v>0</v>
      </c>
      <c r="AC161" s="121">
        <v>0</v>
      </c>
      <c r="AD161" s="121">
        <v>0</v>
      </c>
      <c r="AE161" s="121">
        <v>0</v>
      </c>
      <c r="AF161" s="121">
        <v>0</v>
      </c>
      <c r="AG161" s="121">
        <v>0</v>
      </c>
      <c r="AH161" s="121">
        <v>0</v>
      </c>
      <c r="AI161" s="121">
        <v>0</v>
      </c>
      <c r="AJ161" s="121">
        <v>0</v>
      </c>
      <c r="AK161" s="121">
        <v>0</v>
      </c>
      <c r="AL161" s="121">
        <v>0</v>
      </c>
      <c r="AM161" s="121">
        <v>0</v>
      </c>
      <c r="AN161" s="121">
        <v>0</v>
      </c>
      <c r="AO161" s="121">
        <v>0</v>
      </c>
      <c r="AP161" s="121">
        <v>0</v>
      </c>
      <c r="AQ161" s="121">
        <v>0</v>
      </c>
      <c r="AR161" s="121">
        <v>0</v>
      </c>
      <c r="AS161" s="121">
        <v>0</v>
      </c>
      <c r="AT161" s="121">
        <v>0</v>
      </c>
      <c r="AU161" s="121">
        <v>0</v>
      </c>
      <c r="AV161" s="121">
        <v>0</v>
      </c>
      <c r="AW161" s="121">
        <v>0</v>
      </c>
      <c r="AX161" s="121">
        <v>0</v>
      </c>
      <c r="AY161" s="121">
        <v>0</v>
      </c>
    </row>
    <row r="162" spans="1:52" x14ac:dyDescent="0.2">
      <c r="A162" s="124"/>
      <c r="B162" s="144">
        <v>41</v>
      </c>
      <c r="C162" s="121">
        <v>0</v>
      </c>
      <c r="D162" s="121">
        <v>0</v>
      </c>
      <c r="E162" s="121">
        <v>0</v>
      </c>
      <c r="F162" s="121">
        <v>0</v>
      </c>
      <c r="G162" s="121">
        <v>0</v>
      </c>
      <c r="H162" s="121">
        <v>0</v>
      </c>
      <c r="I162" s="121">
        <v>0</v>
      </c>
      <c r="J162" s="121">
        <v>0</v>
      </c>
      <c r="K162" s="121">
        <v>0</v>
      </c>
      <c r="L162" s="121">
        <v>0</v>
      </c>
      <c r="M162" s="121">
        <v>0</v>
      </c>
      <c r="N162" s="121">
        <v>0</v>
      </c>
      <c r="O162" s="121">
        <v>0</v>
      </c>
      <c r="P162" s="121">
        <v>0</v>
      </c>
      <c r="Q162" s="121">
        <v>0</v>
      </c>
      <c r="R162" s="121">
        <v>0</v>
      </c>
      <c r="S162" s="121">
        <v>0</v>
      </c>
      <c r="T162" s="121">
        <v>0</v>
      </c>
      <c r="U162" s="121">
        <v>0</v>
      </c>
      <c r="V162" s="121">
        <v>0</v>
      </c>
      <c r="W162" s="121">
        <v>0</v>
      </c>
      <c r="X162" s="121">
        <v>0</v>
      </c>
      <c r="Y162" s="121">
        <v>0</v>
      </c>
      <c r="Z162" s="121">
        <v>0</v>
      </c>
      <c r="AA162" s="121">
        <v>0</v>
      </c>
      <c r="AB162" s="121">
        <v>0</v>
      </c>
      <c r="AC162" s="121">
        <v>0</v>
      </c>
      <c r="AD162" s="121">
        <v>0</v>
      </c>
      <c r="AE162" s="121">
        <v>0</v>
      </c>
      <c r="AF162" s="121">
        <v>0</v>
      </c>
      <c r="AG162" s="121">
        <v>0</v>
      </c>
      <c r="AH162" s="121">
        <v>0</v>
      </c>
      <c r="AI162" s="121">
        <v>0</v>
      </c>
      <c r="AJ162" s="121">
        <v>0</v>
      </c>
      <c r="AK162" s="121">
        <v>0</v>
      </c>
      <c r="AL162" s="121">
        <v>0</v>
      </c>
      <c r="AM162" s="121">
        <v>0</v>
      </c>
      <c r="AN162" s="121">
        <v>0</v>
      </c>
      <c r="AO162" s="121">
        <v>0</v>
      </c>
      <c r="AP162" s="121">
        <v>0</v>
      </c>
      <c r="AQ162" s="121">
        <v>0</v>
      </c>
      <c r="AR162" s="121">
        <v>0</v>
      </c>
      <c r="AS162" s="121">
        <v>0</v>
      </c>
      <c r="AT162" s="121">
        <v>0</v>
      </c>
      <c r="AU162" s="121">
        <v>0</v>
      </c>
      <c r="AV162" s="121">
        <v>0</v>
      </c>
      <c r="AW162" s="121">
        <v>0</v>
      </c>
      <c r="AX162" s="121">
        <v>0</v>
      </c>
      <c r="AY162" s="121">
        <v>0</v>
      </c>
    </row>
    <row r="163" spans="1:52" x14ac:dyDescent="0.2">
      <c r="A163" s="124"/>
      <c r="B163" s="144">
        <v>42</v>
      </c>
      <c r="C163" s="121">
        <v>0</v>
      </c>
      <c r="D163" s="121">
        <v>0</v>
      </c>
      <c r="E163" s="121">
        <v>0</v>
      </c>
      <c r="F163" s="121">
        <v>0</v>
      </c>
      <c r="G163" s="121">
        <v>0</v>
      </c>
      <c r="H163" s="121">
        <v>0</v>
      </c>
      <c r="I163" s="121">
        <v>0</v>
      </c>
      <c r="J163" s="121">
        <v>0</v>
      </c>
      <c r="K163" s="121">
        <v>0</v>
      </c>
      <c r="L163" s="121">
        <v>0</v>
      </c>
      <c r="M163" s="121">
        <v>0</v>
      </c>
      <c r="N163" s="121">
        <v>0</v>
      </c>
      <c r="O163" s="121">
        <v>0</v>
      </c>
      <c r="P163" s="121">
        <v>0</v>
      </c>
      <c r="Q163" s="121">
        <v>0</v>
      </c>
      <c r="R163" s="121">
        <v>0</v>
      </c>
      <c r="S163" s="121">
        <v>0</v>
      </c>
      <c r="T163" s="121">
        <v>0</v>
      </c>
      <c r="U163" s="121">
        <v>0</v>
      </c>
      <c r="V163" s="121">
        <v>0</v>
      </c>
      <c r="W163" s="121">
        <v>0</v>
      </c>
      <c r="X163" s="121">
        <v>0</v>
      </c>
      <c r="Y163" s="121">
        <v>0</v>
      </c>
      <c r="Z163" s="121">
        <v>0</v>
      </c>
      <c r="AA163" s="121">
        <v>0</v>
      </c>
      <c r="AB163" s="121">
        <v>0</v>
      </c>
      <c r="AC163" s="121">
        <v>0</v>
      </c>
      <c r="AD163" s="121">
        <v>0</v>
      </c>
      <c r="AE163" s="121">
        <v>0</v>
      </c>
      <c r="AF163" s="121">
        <v>0</v>
      </c>
      <c r="AG163" s="121">
        <v>0</v>
      </c>
      <c r="AH163" s="121">
        <v>0</v>
      </c>
      <c r="AI163" s="121">
        <v>0</v>
      </c>
      <c r="AJ163" s="121">
        <v>0</v>
      </c>
      <c r="AK163" s="121">
        <v>0</v>
      </c>
      <c r="AL163" s="121">
        <v>0</v>
      </c>
      <c r="AM163" s="121">
        <v>0</v>
      </c>
      <c r="AN163" s="121">
        <v>0</v>
      </c>
      <c r="AO163" s="121">
        <v>0</v>
      </c>
      <c r="AP163" s="121">
        <v>0</v>
      </c>
      <c r="AQ163" s="121">
        <v>0</v>
      </c>
      <c r="AR163" s="121">
        <v>0</v>
      </c>
      <c r="AS163" s="121">
        <v>0</v>
      </c>
      <c r="AT163" s="121">
        <v>0</v>
      </c>
      <c r="AU163" s="121">
        <v>0</v>
      </c>
      <c r="AV163" s="121">
        <v>0</v>
      </c>
      <c r="AW163" s="121">
        <v>0</v>
      </c>
      <c r="AX163" s="121">
        <v>0</v>
      </c>
      <c r="AY163" s="121">
        <v>0</v>
      </c>
    </row>
    <row r="164" spans="1:52" x14ac:dyDescent="0.2">
      <c r="A164" s="124"/>
      <c r="B164" s="144">
        <v>43</v>
      </c>
      <c r="C164" s="121">
        <v>0</v>
      </c>
      <c r="D164" s="121">
        <v>0</v>
      </c>
      <c r="E164" s="121">
        <v>0</v>
      </c>
      <c r="F164" s="121">
        <v>0</v>
      </c>
      <c r="G164" s="121">
        <v>0</v>
      </c>
      <c r="H164" s="121">
        <v>0</v>
      </c>
      <c r="I164" s="121">
        <v>0</v>
      </c>
      <c r="J164" s="121">
        <v>0</v>
      </c>
      <c r="K164" s="121">
        <v>0</v>
      </c>
      <c r="L164" s="121">
        <v>0</v>
      </c>
      <c r="M164" s="121">
        <v>0</v>
      </c>
      <c r="N164" s="121">
        <v>0</v>
      </c>
      <c r="O164" s="121">
        <v>0</v>
      </c>
      <c r="P164" s="121">
        <v>0</v>
      </c>
      <c r="Q164" s="121">
        <v>0</v>
      </c>
      <c r="R164" s="121">
        <v>0</v>
      </c>
      <c r="S164" s="121">
        <v>0</v>
      </c>
      <c r="T164" s="121">
        <v>0</v>
      </c>
      <c r="U164" s="121">
        <v>0</v>
      </c>
      <c r="V164" s="121">
        <v>0</v>
      </c>
      <c r="W164" s="121">
        <v>0</v>
      </c>
      <c r="X164" s="121">
        <v>0</v>
      </c>
      <c r="Y164" s="121">
        <v>0</v>
      </c>
      <c r="Z164" s="121">
        <v>0</v>
      </c>
      <c r="AA164" s="121">
        <v>0</v>
      </c>
      <c r="AB164" s="121">
        <v>0</v>
      </c>
      <c r="AC164" s="121">
        <v>0</v>
      </c>
      <c r="AD164" s="121">
        <v>0</v>
      </c>
      <c r="AE164" s="121">
        <v>0</v>
      </c>
      <c r="AF164" s="121">
        <v>0</v>
      </c>
      <c r="AG164" s="121">
        <v>0</v>
      </c>
      <c r="AH164" s="121">
        <v>0</v>
      </c>
      <c r="AI164" s="121">
        <v>0</v>
      </c>
      <c r="AJ164" s="121">
        <v>0</v>
      </c>
      <c r="AK164" s="121">
        <v>0</v>
      </c>
      <c r="AL164" s="121">
        <v>0</v>
      </c>
      <c r="AM164" s="121">
        <v>0</v>
      </c>
      <c r="AN164" s="121">
        <v>0</v>
      </c>
      <c r="AO164" s="121">
        <v>0</v>
      </c>
      <c r="AP164" s="121">
        <v>0</v>
      </c>
      <c r="AQ164" s="121">
        <v>0</v>
      </c>
      <c r="AR164" s="121">
        <v>0</v>
      </c>
      <c r="AS164" s="121">
        <v>0</v>
      </c>
      <c r="AT164" s="121">
        <v>0</v>
      </c>
      <c r="AU164" s="121">
        <v>0</v>
      </c>
      <c r="AV164" s="121">
        <v>0</v>
      </c>
      <c r="AW164" s="121">
        <v>0</v>
      </c>
      <c r="AX164" s="121">
        <v>0</v>
      </c>
      <c r="AY164" s="121">
        <v>0</v>
      </c>
    </row>
    <row r="165" spans="1:52" x14ac:dyDescent="0.2">
      <c r="A165" s="124"/>
      <c r="B165" s="144">
        <v>44</v>
      </c>
      <c r="C165" s="121">
        <v>0</v>
      </c>
      <c r="D165" s="121">
        <v>0</v>
      </c>
      <c r="E165" s="121">
        <v>0</v>
      </c>
      <c r="F165" s="121">
        <v>0</v>
      </c>
      <c r="G165" s="121">
        <v>0</v>
      </c>
      <c r="H165" s="121">
        <v>0</v>
      </c>
      <c r="I165" s="121">
        <v>0</v>
      </c>
      <c r="J165" s="121">
        <v>0</v>
      </c>
      <c r="K165" s="121">
        <v>0</v>
      </c>
      <c r="L165" s="121">
        <v>0</v>
      </c>
      <c r="M165" s="121">
        <v>0</v>
      </c>
      <c r="N165" s="121">
        <v>0</v>
      </c>
      <c r="O165" s="121">
        <v>0</v>
      </c>
      <c r="P165" s="121">
        <v>0</v>
      </c>
      <c r="Q165" s="121">
        <v>0</v>
      </c>
      <c r="R165" s="121">
        <v>0</v>
      </c>
      <c r="S165" s="121">
        <v>0</v>
      </c>
      <c r="T165" s="121">
        <v>0</v>
      </c>
      <c r="U165" s="121">
        <v>0</v>
      </c>
      <c r="V165" s="121">
        <v>0</v>
      </c>
      <c r="W165" s="121">
        <v>0</v>
      </c>
      <c r="X165" s="121">
        <v>0</v>
      </c>
      <c r="Y165" s="121">
        <v>0</v>
      </c>
      <c r="Z165" s="121">
        <v>0</v>
      </c>
      <c r="AA165" s="121">
        <v>0</v>
      </c>
      <c r="AB165" s="121">
        <v>0</v>
      </c>
      <c r="AC165" s="121">
        <v>0</v>
      </c>
      <c r="AD165" s="121">
        <v>0</v>
      </c>
      <c r="AE165" s="121">
        <v>0</v>
      </c>
      <c r="AF165" s="121">
        <v>0</v>
      </c>
      <c r="AG165" s="121">
        <v>0</v>
      </c>
      <c r="AH165" s="121">
        <v>0</v>
      </c>
      <c r="AI165" s="121">
        <v>0</v>
      </c>
      <c r="AJ165" s="121">
        <v>0</v>
      </c>
      <c r="AK165" s="121">
        <v>0</v>
      </c>
      <c r="AL165" s="121">
        <v>0</v>
      </c>
      <c r="AM165" s="121">
        <v>0</v>
      </c>
      <c r="AN165" s="121">
        <v>0</v>
      </c>
      <c r="AO165" s="121">
        <v>0</v>
      </c>
      <c r="AP165" s="121">
        <v>0</v>
      </c>
      <c r="AQ165" s="121">
        <v>0</v>
      </c>
      <c r="AR165" s="121">
        <v>0</v>
      </c>
      <c r="AS165" s="121">
        <v>0</v>
      </c>
      <c r="AT165" s="121">
        <v>0</v>
      </c>
      <c r="AU165" s="121">
        <v>0</v>
      </c>
      <c r="AV165" s="121">
        <v>0</v>
      </c>
      <c r="AW165" s="121">
        <v>0</v>
      </c>
      <c r="AX165" s="121">
        <v>0</v>
      </c>
      <c r="AY165" s="121">
        <v>0</v>
      </c>
    </row>
    <row r="166" spans="1:52" x14ac:dyDescent="0.2">
      <c r="A166" s="124"/>
      <c r="B166" s="144">
        <v>45</v>
      </c>
      <c r="C166" s="121">
        <v>0</v>
      </c>
      <c r="D166" s="121">
        <v>0</v>
      </c>
      <c r="E166" s="121">
        <v>0</v>
      </c>
      <c r="F166" s="121">
        <v>0</v>
      </c>
      <c r="G166" s="121">
        <v>0</v>
      </c>
      <c r="H166" s="121">
        <v>0</v>
      </c>
      <c r="I166" s="121">
        <v>0</v>
      </c>
      <c r="J166" s="121">
        <v>0</v>
      </c>
      <c r="K166" s="121">
        <v>0</v>
      </c>
      <c r="L166" s="121">
        <v>0</v>
      </c>
      <c r="M166" s="121">
        <v>0</v>
      </c>
      <c r="N166" s="121">
        <v>0</v>
      </c>
      <c r="O166" s="121">
        <v>0</v>
      </c>
      <c r="P166" s="121">
        <v>0</v>
      </c>
      <c r="Q166" s="121">
        <v>0</v>
      </c>
      <c r="R166" s="121">
        <v>0</v>
      </c>
      <c r="S166" s="121">
        <v>0</v>
      </c>
      <c r="T166" s="121">
        <v>0</v>
      </c>
      <c r="U166" s="121">
        <v>0</v>
      </c>
      <c r="V166" s="121">
        <v>0</v>
      </c>
      <c r="W166" s="121">
        <v>0</v>
      </c>
      <c r="X166" s="121">
        <v>0</v>
      </c>
      <c r="Y166" s="121">
        <v>0</v>
      </c>
      <c r="Z166" s="121">
        <v>0</v>
      </c>
      <c r="AA166" s="121">
        <v>0</v>
      </c>
      <c r="AB166" s="121">
        <v>0</v>
      </c>
      <c r="AC166" s="121">
        <v>0</v>
      </c>
      <c r="AD166" s="121">
        <v>0</v>
      </c>
      <c r="AE166" s="121">
        <v>0</v>
      </c>
      <c r="AF166" s="121">
        <v>0</v>
      </c>
      <c r="AG166" s="121">
        <v>0</v>
      </c>
      <c r="AH166" s="121">
        <v>0</v>
      </c>
      <c r="AI166" s="121">
        <v>0</v>
      </c>
      <c r="AJ166" s="121">
        <v>0</v>
      </c>
      <c r="AK166" s="121">
        <v>0</v>
      </c>
      <c r="AL166" s="121">
        <v>0</v>
      </c>
      <c r="AM166" s="121">
        <v>0</v>
      </c>
      <c r="AN166" s="121">
        <v>0</v>
      </c>
      <c r="AO166" s="121">
        <v>0</v>
      </c>
      <c r="AP166" s="121">
        <v>0</v>
      </c>
      <c r="AQ166" s="121">
        <v>0</v>
      </c>
      <c r="AR166" s="121">
        <v>0</v>
      </c>
      <c r="AS166" s="121">
        <v>0</v>
      </c>
      <c r="AT166" s="121">
        <v>0</v>
      </c>
      <c r="AU166" s="121">
        <v>0</v>
      </c>
      <c r="AV166" s="121">
        <v>0</v>
      </c>
      <c r="AW166" s="121">
        <v>0</v>
      </c>
      <c r="AX166" s="121">
        <v>0</v>
      </c>
      <c r="AY166" s="121">
        <v>0</v>
      </c>
    </row>
    <row r="167" spans="1:52" x14ac:dyDescent="0.2">
      <c r="A167" s="124"/>
      <c r="B167" s="144">
        <v>46</v>
      </c>
      <c r="C167" s="121">
        <v>0</v>
      </c>
      <c r="D167" s="121">
        <v>0</v>
      </c>
      <c r="E167" s="121">
        <v>0</v>
      </c>
      <c r="F167" s="121">
        <v>0</v>
      </c>
      <c r="G167" s="121">
        <v>0</v>
      </c>
      <c r="H167" s="121">
        <v>0</v>
      </c>
      <c r="I167" s="121">
        <v>0</v>
      </c>
      <c r="J167" s="121">
        <v>0</v>
      </c>
      <c r="K167" s="121">
        <v>0</v>
      </c>
      <c r="L167" s="121">
        <v>0</v>
      </c>
      <c r="M167" s="121">
        <v>0</v>
      </c>
      <c r="N167" s="121">
        <v>0</v>
      </c>
      <c r="O167" s="121">
        <v>0</v>
      </c>
      <c r="P167" s="121">
        <v>0</v>
      </c>
      <c r="Q167" s="121">
        <v>0</v>
      </c>
      <c r="R167" s="121">
        <v>0</v>
      </c>
      <c r="S167" s="121">
        <v>0</v>
      </c>
      <c r="T167" s="121">
        <v>0</v>
      </c>
      <c r="U167" s="121">
        <v>0</v>
      </c>
      <c r="V167" s="121">
        <v>0</v>
      </c>
      <c r="W167" s="121">
        <v>0</v>
      </c>
      <c r="X167" s="121">
        <v>0</v>
      </c>
      <c r="Y167" s="121">
        <v>0</v>
      </c>
      <c r="Z167" s="121">
        <v>0</v>
      </c>
      <c r="AA167" s="121">
        <v>0</v>
      </c>
      <c r="AB167" s="121">
        <v>0</v>
      </c>
      <c r="AC167" s="121">
        <v>0</v>
      </c>
      <c r="AD167" s="121">
        <v>0</v>
      </c>
      <c r="AE167" s="121">
        <v>0</v>
      </c>
      <c r="AF167" s="121">
        <v>0</v>
      </c>
      <c r="AG167" s="121">
        <v>0</v>
      </c>
      <c r="AH167" s="121">
        <v>0</v>
      </c>
      <c r="AI167" s="121">
        <v>0</v>
      </c>
      <c r="AJ167" s="121">
        <v>0</v>
      </c>
      <c r="AK167" s="121">
        <v>0</v>
      </c>
      <c r="AL167" s="121">
        <v>0</v>
      </c>
      <c r="AM167" s="121">
        <v>0</v>
      </c>
      <c r="AN167" s="121">
        <v>0</v>
      </c>
      <c r="AO167" s="121">
        <v>0</v>
      </c>
      <c r="AP167" s="121">
        <v>0</v>
      </c>
      <c r="AQ167" s="121">
        <v>0</v>
      </c>
      <c r="AR167" s="121">
        <v>0</v>
      </c>
      <c r="AS167" s="121">
        <v>0</v>
      </c>
      <c r="AT167" s="121">
        <v>0</v>
      </c>
      <c r="AU167" s="121">
        <v>0</v>
      </c>
      <c r="AV167" s="121">
        <v>0</v>
      </c>
      <c r="AW167" s="121">
        <v>0</v>
      </c>
      <c r="AX167" s="121">
        <v>0</v>
      </c>
      <c r="AY167" s="121">
        <v>0</v>
      </c>
    </row>
    <row r="168" spans="1:52" x14ac:dyDescent="0.2">
      <c r="A168" s="124"/>
      <c r="B168" s="144">
        <v>47</v>
      </c>
      <c r="C168" s="121">
        <v>0</v>
      </c>
      <c r="D168" s="121">
        <v>0</v>
      </c>
      <c r="E168" s="121">
        <v>0</v>
      </c>
      <c r="F168" s="121">
        <v>0</v>
      </c>
      <c r="G168" s="121">
        <v>0</v>
      </c>
      <c r="H168" s="121">
        <v>0</v>
      </c>
      <c r="I168" s="121">
        <v>0</v>
      </c>
      <c r="J168" s="121">
        <v>0</v>
      </c>
      <c r="K168" s="121">
        <v>0</v>
      </c>
      <c r="L168" s="121">
        <v>0</v>
      </c>
      <c r="M168" s="121">
        <v>0</v>
      </c>
      <c r="N168" s="121">
        <v>0</v>
      </c>
      <c r="O168" s="121">
        <v>0</v>
      </c>
      <c r="P168" s="121">
        <v>0</v>
      </c>
      <c r="Q168" s="121">
        <v>0</v>
      </c>
      <c r="R168" s="121">
        <v>0</v>
      </c>
      <c r="S168" s="121">
        <v>0</v>
      </c>
      <c r="T168" s="121">
        <v>0</v>
      </c>
      <c r="U168" s="121">
        <v>0</v>
      </c>
      <c r="V168" s="121">
        <v>0</v>
      </c>
      <c r="W168" s="121">
        <v>0</v>
      </c>
      <c r="X168" s="121">
        <v>0</v>
      </c>
      <c r="Y168" s="121">
        <v>0</v>
      </c>
      <c r="Z168" s="121">
        <v>0</v>
      </c>
      <c r="AA168" s="121">
        <v>0</v>
      </c>
      <c r="AB168" s="121">
        <v>0</v>
      </c>
      <c r="AC168" s="121">
        <v>0</v>
      </c>
      <c r="AD168" s="121">
        <v>0</v>
      </c>
      <c r="AE168" s="121">
        <v>0</v>
      </c>
      <c r="AF168" s="121">
        <v>0</v>
      </c>
      <c r="AG168" s="121">
        <v>0</v>
      </c>
      <c r="AH168" s="121">
        <v>0</v>
      </c>
      <c r="AI168" s="121">
        <v>0</v>
      </c>
      <c r="AJ168" s="121">
        <v>0</v>
      </c>
      <c r="AK168" s="121">
        <v>0</v>
      </c>
      <c r="AL168" s="121">
        <v>0</v>
      </c>
      <c r="AM168" s="121">
        <v>0</v>
      </c>
      <c r="AN168" s="121">
        <v>0</v>
      </c>
      <c r="AO168" s="121">
        <v>0</v>
      </c>
      <c r="AP168" s="121">
        <v>0</v>
      </c>
      <c r="AQ168" s="121">
        <v>0</v>
      </c>
      <c r="AR168" s="121">
        <v>0</v>
      </c>
      <c r="AS168" s="121">
        <v>0</v>
      </c>
      <c r="AT168" s="121">
        <v>0</v>
      </c>
      <c r="AU168" s="121">
        <v>0</v>
      </c>
      <c r="AV168" s="121">
        <v>0</v>
      </c>
      <c r="AW168" s="121">
        <v>0</v>
      </c>
      <c r="AX168" s="121">
        <v>0</v>
      </c>
      <c r="AY168" s="121">
        <v>0</v>
      </c>
    </row>
    <row r="169" spans="1:52" x14ac:dyDescent="0.2">
      <c r="A169" s="124"/>
      <c r="B169" s="144">
        <v>48</v>
      </c>
      <c r="C169" s="121">
        <v>0</v>
      </c>
      <c r="D169" s="121">
        <v>0</v>
      </c>
      <c r="E169" s="121">
        <v>0</v>
      </c>
      <c r="F169" s="121">
        <v>0</v>
      </c>
      <c r="G169" s="121">
        <v>0</v>
      </c>
      <c r="H169" s="121">
        <v>0</v>
      </c>
      <c r="I169" s="121">
        <v>0</v>
      </c>
      <c r="J169" s="121">
        <v>0</v>
      </c>
      <c r="K169" s="121">
        <v>0</v>
      </c>
      <c r="L169" s="121">
        <v>0</v>
      </c>
      <c r="M169" s="121">
        <v>0</v>
      </c>
      <c r="N169" s="121">
        <v>0</v>
      </c>
      <c r="O169" s="121">
        <v>0</v>
      </c>
      <c r="P169" s="121">
        <v>0</v>
      </c>
      <c r="Q169" s="121">
        <v>0</v>
      </c>
      <c r="R169" s="121">
        <v>0</v>
      </c>
      <c r="S169" s="121">
        <v>0</v>
      </c>
      <c r="T169" s="121">
        <v>0</v>
      </c>
      <c r="U169" s="121">
        <v>0</v>
      </c>
      <c r="V169" s="121">
        <v>0</v>
      </c>
      <c r="W169" s="121">
        <v>0</v>
      </c>
      <c r="X169" s="121">
        <v>0</v>
      </c>
      <c r="Y169" s="121">
        <v>0</v>
      </c>
      <c r="Z169" s="121">
        <v>0</v>
      </c>
      <c r="AA169" s="121">
        <v>0</v>
      </c>
      <c r="AB169" s="121">
        <v>0</v>
      </c>
      <c r="AC169" s="121">
        <v>0</v>
      </c>
      <c r="AD169" s="121">
        <v>0</v>
      </c>
      <c r="AE169" s="121">
        <v>0</v>
      </c>
      <c r="AF169" s="121">
        <v>0</v>
      </c>
      <c r="AG169" s="121">
        <v>0</v>
      </c>
      <c r="AH169" s="121">
        <v>0</v>
      </c>
      <c r="AI169" s="121">
        <v>0</v>
      </c>
      <c r="AJ169" s="121">
        <v>0</v>
      </c>
      <c r="AK169" s="121">
        <v>0</v>
      </c>
      <c r="AL169" s="121">
        <v>0</v>
      </c>
      <c r="AM169" s="121">
        <v>0</v>
      </c>
      <c r="AN169" s="121">
        <v>0</v>
      </c>
      <c r="AO169" s="121">
        <v>0</v>
      </c>
      <c r="AP169" s="121">
        <v>0</v>
      </c>
      <c r="AQ169" s="121">
        <v>0</v>
      </c>
      <c r="AR169" s="121">
        <v>0</v>
      </c>
      <c r="AS169" s="121">
        <v>0</v>
      </c>
      <c r="AT169" s="121">
        <v>0</v>
      </c>
      <c r="AU169" s="121">
        <v>0</v>
      </c>
      <c r="AV169" s="121">
        <v>0</v>
      </c>
      <c r="AW169" s="121">
        <v>0</v>
      </c>
      <c r="AX169" s="121">
        <v>0</v>
      </c>
      <c r="AY169" s="121">
        <v>0</v>
      </c>
    </row>
    <row r="170" spans="1:52" x14ac:dyDescent="0.2">
      <c r="A170" s="142"/>
      <c r="B170" s="146" t="s">
        <v>296</v>
      </c>
      <c r="C170" s="128">
        <v>0</v>
      </c>
      <c r="D170" s="139">
        <v>0</v>
      </c>
      <c r="E170" s="139">
        <v>0</v>
      </c>
      <c r="F170" s="139">
        <v>0</v>
      </c>
      <c r="G170" s="139">
        <v>0</v>
      </c>
      <c r="H170" s="139">
        <v>0</v>
      </c>
      <c r="I170" s="139">
        <v>0</v>
      </c>
      <c r="J170" s="139">
        <v>0</v>
      </c>
      <c r="K170" s="139">
        <v>0</v>
      </c>
      <c r="L170" s="139">
        <v>0</v>
      </c>
      <c r="M170" s="139">
        <v>0</v>
      </c>
      <c r="N170" s="139">
        <v>0</v>
      </c>
      <c r="O170" s="139">
        <v>0</v>
      </c>
      <c r="P170" s="139">
        <v>0</v>
      </c>
      <c r="Q170" s="139">
        <v>0</v>
      </c>
      <c r="R170" s="139">
        <v>0</v>
      </c>
      <c r="S170" s="139">
        <v>0</v>
      </c>
      <c r="T170" s="139">
        <v>0</v>
      </c>
      <c r="U170" s="139">
        <v>0</v>
      </c>
      <c r="V170" s="139">
        <v>0</v>
      </c>
      <c r="W170" s="139">
        <v>0</v>
      </c>
      <c r="X170" s="139">
        <v>0</v>
      </c>
      <c r="Y170" s="139">
        <v>0</v>
      </c>
      <c r="Z170" s="139">
        <v>0</v>
      </c>
      <c r="AA170" s="139">
        <v>0</v>
      </c>
      <c r="AB170" s="139">
        <v>0</v>
      </c>
      <c r="AC170" s="139">
        <v>0</v>
      </c>
      <c r="AD170" s="139">
        <v>0</v>
      </c>
      <c r="AE170" s="139">
        <v>0</v>
      </c>
      <c r="AF170" s="139">
        <v>0</v>
      </c>
      <c r="AG170" s="139">
        <v>0</v>
      </c>
      <c r="AH170" s="139">
        <v>0</v>
      </c>
      <c r="AI170" s="139">
        <v>0</v>
      </c>
      <c r="AJ170" s="139">
        <v>0</v>
      </c>
      <c r="AK170" s="139">
        <v>0</v>
      </c>
      <c r="AL170" s="139">
        <v>0</v>
      </c>
      <c r="AM170" s="139">
        <v>0</v>
      </c>
      <c r="AN170" s="139">
        <v>0</v>
      </c>
      <c r="AO170" s="139">
        <v>0</v>
      </c>
      <c r="AP170" s="139">
        <v>0</v>
      </c>
      <c r="AQ170" s="139">
        <v>0</v>
      </c>
      <c r="AR170" s="139">
        <v>0</v>
      </c>
      <c r="AS170" s="139">
        <v>0</v>
      </c>
      <c r="AT170" s="139">
        <v>0</v>
      </c>
      <c r="AU170" s="139">
        <v>0</v>
      </c>
      <c r="AV170" s="139">
        <v>0</v>
      </c>
      <c r="AW170" s="139">
        <v>0</v>
      </c>
      <c r="AX170" s="139">
        <v>0</v>
      </c>
      <c r="AY170" s="139">
        <v>0</v>
      </c>
      <c r="AZ170" s="122">
        <f>SUM($D170:$AY170)</f>
        <v>0</v>
      </c>
    </row>
    <row r="172" spans="1:52" x14ac:dyDescent="0.2">
      <c r="A172" s="1" t="s">
        <v>124</v>
      </c>
      <c r="B172" s="147" t="s">
        <v>297</v>
      </c>
      <c r="C172" s="148">
        <v>0.33148378297386499</v>
      </c>
      <c r="D172" s="148">
        <v>0.40615531769122598</v>
      </c>
      <c r="E172" s="148">
        <v>0.40615531769122598</v>
      </c>
      <c r="F172" s="148">
        <v>0.40615531769122598</v>
      </c>
      <c r="G172" s="148">
        <v>0.40615531769122598</v>
      </c>
      <c r="H172" s="148">
        <v>0.40615531769122598</v>
      </c>
      <c r="I172" s="148">
        <v>0.40615531769122598</v>
      </c>
      <c r="J172" s="148">
        <v>0.40615531769122598</v>
      </c>
      <c r="K172" s="148">
        <v>0.40615531769122598</v>
      </c>
      <c r="L172" s="148">
        <v>0.40615531769122598</v>
      </c>
      <c r="M172" s="148">
        <v>0.40615531769122598</v>
      </c>
      <c r="N172" s="148">
        <v>0.40615531769122598</v>
      </c>
      <c r="O172" s="148">
        <v>0.40615531769122598</v>
      </c>
      <c r="P172" s="148">
        <v>0.40615531769122598</v>
      </c>
      <c r="Q172" s="148">
        <v>0.40615531769122598</v>
      </c>
      <c r="R172" s="148">
        <v>0.40615531769122598</v>
      </c>
      <c r="S172" s="148">
        <v>0.40615531769122598</v>
      </c>
      <c r="T172" s="148">
        <v>0.40615531769122598</v>
      </c>
      <c r="U172" s="148">
        <v>0.40615531769122598</v>
      </c>
      <c r="V172" s="148">
        <v>0.40615531769122598</v>
      </c>
      <c r="W172" s="148">
        <v>0.40615531769122598</v>
      </c>
      <c r="X172" s="148">
        <v>0.40615531769122598</v>
      </c>
      <c r="Y172" s="148">
        <v>0.40615531769122598</v>
      </c>
      <c r="Z172" s="148">
        <v>0.40615531769122598</v>
      </c>
      <c r="AA172" s="148">
        <v>0.40615531769122598</v>
      </c>
      <c r="AB172" s="148">
        <v>0.40615531769122598</v>
      </c>
      <c r="AC172" s="148">
        <v>0.40615531769122598</v>
      </c>
      <c r="AD172" s="148">
        <v>0.40615531769122598</v>
      </c>
      <c r="AE172" s="148">
        <v>0.40615531769122598</v>
      </c>
      <c r="AF172" s="148">
        <v>0.40615531769122598</v>
      </c>
      <c r="AG172" s="148">
        <v>0.40615531769122598</v>
      </c>
      <c r="AH172" s="148">
        <v>0.40615531769122598</v>
      </c>
      <c r="AI172" s="148">
        <v>0.40615531769122598</v>
      </c>
      <c r="AJ172" s="148">
        <v>0.40615531769122598</v>
      </c>
      <c r="AK172" s="148">
        <v>0.40615531769122598</v>
      </c>
      <c r="AL172" s="148">
        <v>0.40615531769122598</v>
      </c>
      <c r="AM172" s="148">
        <v>0.40615531769122598</v>
      </c>
      <c r="AN172" s="148">
        <v>0.40615531769122598</v>
      </c>
      <c r="AO172" s="148">
        <v>0.40615531769122598</v>
      </c>
      <c r="AP172" s="148">
        <v>0.40615531769122598</v>
      </c>
      <c r="AQ172" s="148">
        <v>0.40615531769122598</v>
      </c>
      <c r="AR172" s="148">
        <v>0.40615531769122598</v>
      </c>
      <c r="AS172" s="148">
        <v>0.40615531769122598</v>
      </c>
      <c r="AT172" s="148">
        <v>0.40615531769122598</v>
      </c>
      <c r="AU172" s="148">
        <v>0.40615531769122598</v>
      </c>
      <c r="AV172" s="148">
        <v>0.40615531769122598</v>
      </c>
      <c r="AW172" s="148">
        <v>0.40615531769122598</v>
      </c>
      <c r="AX172" s="148">
        <v>0.40615531769122598</v>
      </c>
      <c r="AY172" s="148">
        <v>0.40615531769122598</v>
      </c>
    </row>
    <row r="174" spans="1:52" x14ac:dyDescent="0.2">
      <c r="A174" s="1" t="s">
        <v>272</v>
      </c>
    </row>
    <row r="175" spans="1:52" x14ac:dyDescent="0.2">
      <c r="A175" s="149" t="s">
        <v>125</v>
      </c>
      <c r="B175" s="149" t="s">
        <v>298</v>
      </c>
      <c r="C175" s="138" t="s">
        <v>293</v>
      </c>
      <c r="D175" s="138">
        <f t="shared" ref="D175:AY175" si="1">SUM(D95:D98)</f>
        <v>18662.040346557136</v>
      </c>
      <c r="E175" s="138">
        <f t="shared" si="1"/>
        <v>22708.141141340595</v>
      </c>
      <c r="F175" s="138">
        <f t="shared" si="1"/>
        <v>24904.232372990882</v>
      </c>
      <c r="G175" s="138">
        <f t="shared" si="1"/>
        <v>27100.323604641166</v>
      </c>
      <c r="H175" s="138">
        <f t="shared" si="1"/>
        <v>26907.969464349066</v>
      </c>
      <c r="I175" s="138">
        <f t="shared" si="1"/>
        <v>26715.615324056969</v>
      </c>
      <c r="J175" s="138">
        <f t="shared" si="1"/>
        <v>26523.261183764869</v>
      </c>
      <c r="K175" s="138">
        <f t="shared" si="1"/>
        <v>26330.907043472773</v>
      </c>
      <c r="L175" s="138">
        <f t="shared" si="1"/>
        <v>26523.261183764873</v>
      </c>
      <c r="M175" s="138">
        <f t="shared" si="1"/>
        <v>26715.615324056969</v>
      </c>
      <c r="N175" s="138">
        <f t="shared" si="1"/>
        <v>26907.969464349069</v>
      </c>
      <c r="O175" s="138">
        <f t="shared" si="1"/>
        <v>27100.323604641166</v>
      </c>
      <c r="P175" s="138">
        <f t="shared" si="1"/>
        <v>27050.588165105841</v>
      </c>
      <c r="Q175" s="138">
        <f t="shared" si="1"/>
        <v>27000.852725570519</v>
      </c>
      <c r="R175" s="138">
        <f t="shared" si="1"/>
        <v>26951.117286035198</v>
      </c>
      <c r="S175" s="138">
        <f t="shared" si="1"/>
        <v>26901.381846499877</v>
      </c>
      <c r="T175" s="138">
        <f t="shared" si="1"/>
        <v>26951.117286035198</v>
      </c>
      <c r="U175" s="138">
        <f t="shared" si="1"/>
        <v>27000.852725570523</v>
      </c>
      <c r="V175" s="138">
        <f t="shared" si="1"/>
        <v>27050.588165105844</v>
      </c>
      <c r="W175" s="138">
        <f t="shared" si="1"/>
        <v>27100.323604641166</v>
      </c>
      <c r="X175" s="138">
        <f t="shared" si="1"/>
        <v>27100.323604641166</v>
      </c>
      <c r="Y175" s="138">
        <f t="shared" si="1"/>
        <v>27100.323604641166</v>
      </c>
      <c r="Z175" s="138">
        <f t="shared" si="1"/>
        <v>27100.323604641166</v>
      </c>
      <c r="AA175" s="138">
        <f t="shared" si="1"/>
        <v>27100.323604641166</v>
      </c>
      <c r="AB175" s="138">
        <f t="shared" si="1"/>
        <v>27050.588165105841</v>
      </c>
      <c r="AC175" s="138">
        <f t="shared" si="1"/>
        <v>26711.988266866854</v>
      </c>
      <c r="AD175" s="138">
        <f t="shared" si="1"/>
        <v>26373.924873748503</v>
      </c>
      <c r="AE175" s="138">
        <f t="shared" si="1"/>
        <v>26036.395786795583</v>
      </c>
      <c r="AF175" s="138">
        <f t="shared" si="1"/>
        <v>26086.131226330908</v>
      </c>
      <c r="AG175" s="138">
        <f t="shared" si="1"/>
        <v>26424.731124569895</v>
      </c>
      <c r="AH175" s="138">
        <f t="shared" si="1"/>
        <v>26762.794517688249</v>
      </c>
      <c r="AI175" s="138">
        <f t="shared" si="1"/>
        <v>27100.323604641166</v>
      </c>
      <c r="AJ175" s="138">
        <f t="shared" si="1"/>
        <v>27100.323604641166</v>
      </c>
      <c r="AK175" s="138">
        <f t="shared" si="1"/>
        <v>27100.323604641166</v>
      </c>
      <c r="AL175" s="138">
        <f t="shared" si="1"/>
        <v>27100.323604641166</v>
      </c>
      <c r="AM175" s="138">
        <f t="shared" si="1"/>
        <v>27100.323604641166</v>
      </c>
      <c r="AN175" s="138">
        <f t="shared" si="1"/>
        <v>27286.813245749574</v>
      </c>
      <c r="AO175" s="138">
        <f t="shared" si="1"/>
        <v>27473.302886857982</v>
      </c>
      <c r="AP175" s="138">
        <f t="shared" si="1"/>
        <v>27659.79252796639</v>
      </c>
      <c r="AQ175" s="138">
        <f t="shared" si="1"/>
        <v>27846.282169074802</v>
      </c>
      <c r="AR175" s="138">
        <f t="shared" si="1"/>
        <v>27796.546729539485</v>
      </c>
      <c r="AS175" s="138">
        <f t="shared" si="1"/>
        <v>27746.81129000416</v>
      </c>
      <c r="AT175" s="138">
        <f t="shared" si="1"/>
        <v>27697.075850468835</v>
      </c>
      <c r="AU175" s="138">
        <f t="shared" si="1"/>
        <v>27647.340410933513</v>
      </c>
      <c r="AV175" s="138">
        <f t="shared" si="1"/>
        <v>27367.967508603648</v>
      </c>
      <c r="AW175" s="138">
        <f t="shared" si="1"/>
        <v>27088.594606273786</v>
      </c>
      <c r="AX175" s="138">
        <f t="shared" si="1"/>
        <v>26809.221703943924</v>
      </c>
      <c r="AY175" s="138">
        <f t="shared" si="1"/>
        <v>26529.848801614062</v>
      </c>
    </row>
    <row r="176" spans="1:52" x14ac:dyDescent="0.2">
      <c r="A176" s="139"/>
      <c r="B176" s="150" t="s">
        <v>299</v>
      </c>
      <c r="C176" s="139" t="s">
        <v>293</v>
      </c>
      <c r="D176" s="139">
        <v>457</v>
      </c>
      <c r="E176" s="139">
        <v>470</v>
      </c>
      <c r="F176" s="139">
        <v>411</v>
      </c>
      <c r="G176" s="139">
        <v>404</v>
      </c>
      <c r="H176" s="139">
        <v>455</v>
      </c>
      <c r="I176" s="139">
        <v>373</v>
      </c>
      <c r="J176" s="139">
        <v>416</v>
      </c>
      <c r="K176" s="139">
        <v>455</v>
      </c>
      <c r="L176" s="139">
        <v>557</v>
      </c>
      <c r="M176" s="139">
        <v>452</v>
      </c>
      <c r="N176" s="139">
        <v>375</v>
      </c>
      <c r="O176" s="139">
        <v>488</v>
      </c>
      <c r="P176" s="139">
        <v>462</v>
      </c>
      <c r="Q176" s="139">
        <v>482</v>
      </c>
      <c r="R176" s="139">
        <v>439</v>
      </c>
      <c r="S176" s="139">
        <v>495</v>
      </c>
      <c r="T176" s="139">
        <v>492</v>
      </c>
      <c r="U176" s="139">
        <v>505</v>
      </c>
      <c r="V176" s="139">
        <v>439</v>
      </c>
      <c r="W176" s="139">
        <v>505</v>
      </c>
      <c r="X176" s="139">
        <v>488</v>
      </c>
      <c r="Y176" s="139">
        <v>467</v>
      </c>
      <c r="Z176" s="139">
        <v>438</v>
      </c>
      <c r="AA176" s="139">
        <v>530</v>
      </c>
      <c r="AB176" s="139">
        <v>530</v>
      </c>
      <c r="AC176" s="139">
        <v>418</v>
      </c>
      <c r="AD176" s="139">
        <v>362</v>
      </c>
      <c r="AE176" s="139">
        <v>431</v>
      </c>
      <c r="AF176" s="139">
        <v>518</v>
      </c>
      <c r="AG176" s="139">
        <v>439</v>
      </c>
      <c r="AH176" s="139">
        <v>504</v>
      </c>
      <c r="AI176" s="139">
        <v>465</v>
      </c>
      <c r="AJ176" s="139">
        <v>515</v>
      </c>
      <c r="AK176" s="139">
        <v>453</v>
      </c>
      <c r="AL176" s="139">
        <v>467</v>
      </c>
      <c r="AM176" s="139">
        <v>513</v>
      </c>
      <c r="AN176" s="139">
        <v>497</v>
      </c>
      <c r="AO176" s="139">
        <v>464</v>
      </c>
      <c r="AP176" s="139">
        <v>470</v>
      </c>
      <c r="AQ176" s="139">
        <v>451</v>
      </c>
      <c r="AR176" s="139">
        <v>462</v>
      </c>
      <c r="AS176" s="139">
        <v>473</v>
      </c>
      <c r="AT176" s="139">
        <v>452</v>
      </c>
      <c r="AU176" s="139">
        <v>453</v>
      </c>
      <c r="AV176" s="139">
        <v>490</v>
      </c>
      <c r="AW176" s="139">
        <v>519</v>
      </c>
      <c r="AX176" s="139">
        <v>455</v>
      </c>
      <c r="AY176" s="139">
        <v>556</v>
      </c>
    </row>
    <row r="177" spans="1:51" x14ac:dyDescent="0.2">
      <c r="A177" s="149" t="s">
        <v>133</v>
      </c>
      <c r="B177" s="149" t="s">
        <v>298</v>
      </c>
      <c r="C177" s="138" t="s">
        <v>293</v>
      </c>
      <c r="D177" s="138">
        <f t="shared" ref="D177:AY177" si="2">SUM(D100:D107)</f>
        <v>78.95146475989705</v>
      </c>
      <c r="E177" s="138">
        <f t="shared" si="2"/>
        <v>563.04</v>
      </c>
      <c r="F177" s="138">
        <f t="shared" si="2"/>
        <v>320.09322600000002</v>
      </c>
      <c r="G177" s="138">
        <f t="shared" si="2"/>
        <v>525</v>
      </c>
      <c r="H177" s="138">
        <f t="shared" si="2"/>
        <v>525</v>
      </c>
      <c r="I177" s="138">
        <f t="shared" si="2"/>
        <v>855</v>
      </c>
      <c r="J177" s="138">
        <f t="shared" si="2"/>
        <v>180</v>
      </c>
      <c r="K177" s="138">
        <f t="shared" si="2"/>
        <v>870</v>
      </c>
      <c r="L177" s="138">
        <f t="shared" si="2"/>
        <v>195</v>
      </c>
      <c r="M177" s="138">
        <f t="shared" si="2"/>
        <v>525</v>
      </c>
      <c r="N177" s="138">
        <f t="shared" si="2"/>
        <v>870</v>
      </c>
      <c r="O177" s="138">
        <f t="shared" si="2"/>
        <v>345</v>
      </c>
      <c r="P177" s="138">
        <f t="shared" si="2"/>
        <v>705</v>
      </c>
      <c r="Q177" s="138">
        <f t="shared" si="2"/>
        <v>330</v>
      </c>
      <c r="R177" s="138">
        <f t="shared" si="2"/>
        <v>375</v>
      </c>
      <c r="S177" s="138">
        <f t="shared" si="2"/>
        <v>870</v>
      </c>
      <c r="T177" s="138">
        <f t="shared" si="2"/>
        <v>525</v>
      </c>
      <c r="U177" s="138">
        <f t="shared" si="2"/>
        <v>525</v>
      </c>
      <c r="V177" s="138">
        <f t="shared" si="2"/>
        <v>180</v>
      </c>
      <c r="W177" s="138">
        <f t="shared" si="2"/>
        <v>690</v>
      </c>
      <c r="X177" s="138">
        <f t="shared" si="2"/>
        <v>705</v>
      </c>
      <c r="Y177" s="138">
        <f t="shared" si="2"/>
        <v>525</v>
      </c>
      <c r="Z177" s="138">
        <f t="shared" si="2"/>
        <v>525</v>
      </c>
      <c r="AA177" s="138">
        <f t="shared" si="2"/>
        <v>345</v>
      </c>
      <c r="AB177" s="138">
        <f t="shared" si="2"/>
        <v>705</v>
      </c>
      <c r="AC177" s="138">
        <f t="shared" si="2"/>
        <v>525</v>
      </c>
      <c r="AD177" s="138">
        <f t="shared" si="2"/>
        <v>180</v>
      </c>
      <c r="AE177" s="138">
        <f t="shared" si="2"/>
        <v>855</v>
      </c>
      <c r="AF177" s="138">
        <f t="shared" si="2"/>
        <v>195</v>
      </c>
      <c r="AG177" s="138">
        <f t="shared" si="2"/>
        <v>690</v>
      </c>
      <c r="AH177" s="138">
        <f t="shared" si="2"/>
        <v>360</v>
      </c>
      <c r="AI177" s="138">
        <f t="shared" si="2"/>
        <v>525</v>
      </c>
      <c r="AJ177" s="138">
        <f t="shared" si="2"/>
        <v>525</v>
      </c>
      <c r="AK177" s="138">
        <f t="shared" si="2"/>
        <v>855</v>
      </c>
      <c r="AL177" s="138">
        <f t="shared" si="2"/>
        <v>540</v>
      </c>
      <c r="AM177" s="138">
        <f t="shared" si="2"/>
        <v>345</v>
      </c>
      <c r="AN177" s="138">
        <f t="shared" si="2"/>
        <v>360</v>
      </c>
      <c r="AO177" s="138">
        <f t="shared" si="2"/>
        <v>525</v>
      </c>
      <c r="AP177" s="138">
        <f t="shared" si="2"/>
        <v>525</v>
      </c>
      <c r="AQ177" s="138">
        <f t="shared" si="2"/>
        <v>690</v>
      </c>
      <c r="AR177" s="138">
        <f t="shared" si="2"/>
        <v>360</v>
      </c>
      <c r="AS177" s="138">
        <f t="shared" si="2"/>
        <v>510</v>
      </c>
      <c r="AT177" s="138">
        <f t="shared" si="2"/>
        <v>540</v>
      </c>
      <c r="AU177" s="138">
        <f t="shared" si="2"/>
        <v>690</v>
      </c>
      <c r="AV177" s="138">
        <f t="shared" si="2"/>
        <v>705</v>
      </c>
      <c r="AW177" s="138">
        <f t="shared" si="2"/>
        <v>345</v>
      </c>
      <c r="AX177" s="138">
        <f t="shared" si="2"/>
        <v>360</v>
      </c>
      <c r="AY177" s="138">
        <f t="shared" si="2"/>
        <v>690</v>
      </c>
    </row>
    <row r="178" spans="1:51" x14ac:dyDescent="0.2">
      <c r="A178" s="139"/>
      <c r="B178" s="150" t="s">
        <v>299</v>
      </c>
      <c r="C178" s="139" t="s">
        <v>293</v>
      </c>
      <c r="D178" s="139">
        <v>78.95146475989705</v>
      </c>
      <c r="E178" s="139">
        <v>563.04</v>
      </c>
      <c r="F178" s="139">
        <v>320.09322600000002</v>
      </c>
      <c r="G178" s="139">
        <v>525</v>
      </c>
      <c r="H178" s="139">
        <v>525</v>
      </c>
      <c r="I178" s="139">
        <v>855</v>
      </c>
      <c r="J178" s="139">
        <v>180</v>
      </c>
      <c r="K178" s="139">
        <v>870</v>
      </c>
      <c r="L178" s="139">
        <v>195</v>
      </c>
      <c r="M178" s="139">
        <v>525</v>
      </c>
      <c r="N178" s="139">
        <v>870</v>
      </c>
      <c r="O178" s="139">
        <v>345</v>
      </c>
      <c r="P178" s="139">
        <v>705</v>
      </c>
      <c r="Q178" s="139">
        <v>330</v>
      </c>
      <c r="R178" s="139">
        <v>375</v>
      </c>
      <c r="S178" s="139">
        <v>870</v>
      </c>
      <c r="T178" s="139">
        <v>525</v>
      </c>
      <c r="U178" s="139">
        <v>525</v>
      </c>
      <c r="V178" s="139">
        <v>180</v>
      </c>
      <c r="W178" s="139">
        <v>690</v>
      </c>
      <c r="X178" s="139">
        <v>705</v>
      </c>
      <c r="Y178" s="139">
        <v>525</v>
      </c>
      <c r="Z178" s="139">
        <v>525</v>
      </c>
      <c r="AA178" s="139">
        <v>345</v>
      </c>
      <c r="AB178" s="139">
        <v>705</v>
      </c>
      <c r="AC178" s="139">
        <v>525</v>
      </c>
      <c r="AD178" s="139">
        <v>180</v>
      </c>
      <c r="AE178" s="139">
        <v>855</v>
      </c>
      <c r="AF178" s="139">
        <v>195</v>
      </c>
      <c r="AG178" s="139">
        <v>690</v>
      </c>
      <c r="AH178" s="139">
        <v>360</v>
      </c>
      <c r="AI178" s="139">
        <v>525</v>
      </c>
      <c r="AJ178" s="139">
        <v>525</v>
      </c>
      <c r="AK178" s="139">
        <v>855</v>
      </c>
      <c r="AL178" s="139">
        <v>540</v>
      </c>
      <c r="AM178" s="139">
        <v>345</v>
      </c>
      <c r="AN178" s="139">
        <v>360</v>
      </c>
      <c r="AO178" s="139">
        <v>525</v>
      </c>
      <c r="AP178" s="139">
        <v>525</v>
      </c>
      <c r="AQ178" s="139">
        <v>690</v>
      </c>
      <c r="AR178" s="139">
        <v>360</v>
      </c>
      <c r="AS178" s="139">
        <v>510</v>
      </c>
      <c r="AT178" s="139">
        <v>540</v>
      </c>
      <c r="AU178" s="139">
        <v>690</v>
      </c>
      <c r="AV178" s="139">
        <v>705</v>
      </c>
      <c r="AW178" s="139">
        <v>345</v>
      </c>
      <c r="AX178" s="139">
        <v>360</v>
      </c>
      <c r="AY178" s="139">
        <v>690</v>
      </c>
    </row>
    <row r="179" spans="1:51" x14ac:dyDescent="0.2">
      <c r="A179" s="149" t="s">
        <v>134</v>
      </c>
      <c r="B179" s="149" t="s">
        <v>298</v>
      </c>
      <c r="C179" s="138" t="s">
        <v>293</v>
      </c>
      <c r="D179" s="138">
        <f t="shared" ref="D179:AY179" si="3">SUM(D109:D120)</f>
        <v>8598.4577687862366</v>
      </c>
      <c r="E179" s="138">
        <f t="shared" si="3"/>
        <v>8292.4002399642086</v>
      </c>
      <c r="F179" s="138">
        <f t="shared" si="3"/>
        <v>7662.3817065397097</v>
      </c>
      <c r="G179" s="138">
        <f t="shared" si="3"/>
        <v>7017.0255496572163</v>
      </c>
      <c r="H179" s="138">
        <f t="shared" si="3"/>
        <v>6378.8872874405833</v>
      </c>
      <c r="I179" s="138">
        <f t="shared" si="3"/>
        <v>5760.4362141572783</v>
      </c>
      <c r="J179" s="138">
        <f t="shared" si="3"/>
        <v>5141.9541699120846</v>
      </c>
      <c r="K179" s="138">
        <f t="shared" si="3"/>
        <v>4536.0708475057618</v>
      </c>
      <c r="L179" s="138">
        <f t="shared" si="3"/>
        <v>3908.3523703305264</v>
      </c>
      <c r="M179" s="138">
        <f t="shared" si="3"/>
        <v>3279.3859253200999</v>
      </c>
      <c r="N179" s="138">
        <f t="shared" si="3"/>
        <v>2640.5322712521593</v>
      </c>
      <c r="O179" s="138">
        <f t="shared" si="3"/>
        <v>1997.970171366695</v>
      </c>
      <c r="P179" s="138">
        <f t="shared" si="3"/>
        <v>1356.958340805113</v>
      </c>
      <c r="Q179" s="138">
        <f t="shared" si="3"/>
        <v>693.07183421301261</v>
      </c>
      <c r="R179" s="138">
        <f t="shared" si="3"/>
        <v>84.057800832886102</v>
      </c>
      <c r="S179" s="138">
        <f t="shared" si="3"/>
        <v>84.057800832886102</v>
      </c>
      <c r="T179" s="138">
        <f t="shared" si="3"/>
        <v>84.057800832886102</v>
      </c>
      <c r="U179" s="138">
        <f t="shared" si="3"/>
        <v>84.057800832886102</v>
      </c>
      <c r="V179" s="138">
        <f t="shared" si="3"/>
        <v>84.057800832886102</v>
      </c>
      <c r="W179" s="138">
        <f t="shared" si="3"/>
        <v>84.057800832886102</v>
      </c>
      <c r="X179" s="138">
        <f t="shared" si="3"/>
        <v>84.057800832886102</v>
      </c>
      <c r="Y179" s="138">
        <f t="shared" si="3"/>
        <v>84.057800832886102</v>
      </c>
      <c r="Z179" s="138">
        <f t="shared" si="3"/>
        <v>84.057800832886102</v>
      </c>
      <c r="AA179" s="138">
        <f t="shared" si="3"/>
        <v>84.057800832886102</v>
      </c>
      <c r="AB179" s="138">
        <f t="shared" si="3"/>
        <v>84.057800832886102</v>
      </c>
      <c r="AC179" s="138">
        <f t="shared" si="3"/>
        <v>84.057800832886102</v>
      </c>
      <c r="AD179" s="138">
        <f t="shared" si="3"/>
        <v>84.057800832886102</v>
      </c>
      <c r="AE179" s="138">
        <f t="shared" si="3"/>
        <v>84.057800832886102</v>
      </c>
      <c r="AF179" s="138">
        <f t="shared" si="3"/>
        <v>84.057800832886102</v>
      </c>
      <c r="AG179" s="138">
        <f t="shared" si="3"/>
        <v>84.057800832886102</v>
      </c>
      <c r="AH179" s="138">
        <f t="shared" si="3"/>
        <v>84.057800832886102</v>
      </c>
      <c r="AI179" s="138">
        <f t="shared" si="3"/>
        <v>84.057800832886102</v>
      </c>
      <c r="AJ179" s="138">
        <f t="shared" si="3"/>
        <v>84.057800832886102</v>
      </c>
      <c r="AK179" s="138">
        <f t="shared" si="3"/>
        <v>84.057800832886102</v>
      </c>
      <c r="AL179" s="138">
        <f t="shared" si="3"/>
        <v>84.057800832886102</v>
      </c>
      <c r="AM179" s="138">
        <f t="shared" si="3"/>
        <v>84.057800832886102</v>
      </c>
      <c r="AN179" s="138">
        <f t="shared" si="3"/>
        <v>84.057800832886102</v>
      </c>
      <c r="AO179" s="138">
        <f t="shared" si="3"/>
        <v>84.057800832886102</v>
      </c>
      <c r="AP179" s="138">
        <f t="shared" si="3"/>
        <v>84.057800832886102</v>
      </c>
      <c r="AQ179" s="138">
        <f t="shared" si="3"/>
        <v>84.057800832886102</v>
      </c>
      <c r="AR179" s="138">
        <f t="shared" si="3"/>
        <v>84.057800832886102</v>
      </c>
      <c r="AS179" s="138">
        <f t="shared" si="3"/>
        <v>84.057800832886102</v>
      </c>
      <c r="AT179" s="138">
        <f t="shared" si="3"/>
        <v>84.057800832886102</v>
      </c>
      <c r="AU179" s="138">
        <f t="shared" si="3"/>
        <v>84.057800832886102</v>
      </c>
      <c r="AV179" s="138">
        <f t="shared" si="3"/>
        <v>84.057800832886102</v>
      </c>
      <c r="AW179" s="138">
        <f t="shared" si="3"/>
        <v>84.057800832886102</v>
      </c>
      <c r="AX179" s="138">
        <f t="shared" si="3"/>
        <v>84.057800832886102</v>
      </c>
      <c r="AY179" s="138">
        <f t="shared" si="3"/>
        <v>84.057800832886102</v>
      </c>
    </row>
    <row r="180" spans="1:51" x14ac:dyDescent="0.2">
      <c r="A180" s="139"/>
      <c r="B180" s="150" t="s">
        <v>299</v>
      </c>
      <c r="C180" s="139" t="s">
        <v>293</v>
      </c>
      <c r="D180" s="139">
        <v>638.4322681616236</v>
      </c>
      <c r="E180" s="139">
        <v>634.62563370875364</v>
      </c>
      <c r="F180" s="139">
        <v>670.70474670644398</v>
      </c>
      <c r="G180" s="139">
        <v>568.04640095181435</v>
      </c>
      <c r="H180" s="139">
        <v>590.09393123731309</v>
      </c>
      <c r="I180" s="139">
        <v>663</v>
      </c>
      <c r="J180" s="139">
        <v>558.61958997722093</v>
      </c>
      <c r="K180" s="139">
        <v>670.19662228796847</v>
      </c>
      <c r="L180" s="139">
        <v>666.11099585062243</v>
      </c>
      <c r="M180" s="139">
        <v>557.67095643812149</v>
      </c>
      <c r="N180" s="139">
        <v>651.40714766925589</v>
      </c>
      <c r="O180" s="139">
        <v>574.32038834951459</v>
      </c>
      <c r="P180" s="139">
        <v>747.94430742498639</v>
      </c>
      <c r="Q180" s="139">
        <v>693.07183421301261</v>
      </c>
      <c r="R180" s="139">
        <v>84.057800832886102</v>
      </c>
      <c r="S180" s="139">
        <v>84.057800832886102</v>
      </c>
      <c r="T180" s="139">
        <v>84.057800832886102</v>
      </c>
      <c r="U180" s="139">
        <v>84.057800832886102</v>
      </c>
      <c r="V180" s="139">
        <v>84.057800832886102</v>
      </c>
      <c r="W180" s="139">
        <v>84.057800832886102</v>
      </c>
      <c r="X180" s="139">
        <v>84.057800832886102</v>
      </c>
      <c r="Y180" s="139">
        <v>84.057800832886102</v>
      </c>
      <c r="Z180" s="139">
        <v>84.057800832886102</v>
      </c>
      <c r="AA180" s="139">
        <v>84.057800832886102</v>
      </c>
      <c r="AB180" s="139">
        <v>84.057800832886102</v>
      </c>
      <c r="AC180" s="139">
        <v>84.057800832886102</v>
      </c>
      <c r="AD180" s="139">
        <v>84.057800832886102</v>
      </c>
      <c r="AE180" s="139">
        <v>84.057800832886102</v>
      </c>
      <c r="AF180" s="139">
        <v>84.057800832886102</v>
      </c>
      <c r="AG180" s="139">
        <v>84.057800832886102</v>
      </c>
      <c r="AH180" s="139">
        <v>84.057800832886102</v>
      </c>
      <c r="AI180" s="139">
        <v>84.057800832886102</v>
      </c>
      <c r="AJ180" s="139">
        <v>84.057800832886102</v>
      </c>
      <c r="AK180" s="139">
        <v>84.057800832886102</v>
      </c>
      <c r="AL180" s="139">
        <v>84.057800832886102</v>
      </c>
      <c r="AM180" s="139">
        <v>84.057800832886102</v>
      </c>
      <c r="AN180" s="139">
        <v>84.057800832886102</v>
      </c>
      <c r="AO180" s="139">
        <v>84.057800832886102</v>
      </c>
      <c r="AP180" s="139">
        <v>84.057800832886102</v>
      </c>
      <c r="AQ180" s="139">
        <v>84.057800832886102</v>
      </c>
      <c r="AR180" s="139">
        <v>84.057800832886102</v>
      </c>
      <c r="AS180" s="139">
        <v>84.057800832886102</v>
      </c>
      <c r="AT180" s="139">
        <v>84.057800832886102</v>
      </c>
      <c r="AU180" s="139">
        <v>84.057800832886102</v>
      </c>
      <c r="AV180" s="139">
        <v>84.057800832886102</v>
      </c>
      <c r="AW180" s="139">
        <v>84.057800832886102</v>
      </c>
      <c r="AX180" s="139">
        <v>84.057800832886102</v>
      </c>
      <c r="AY180" s="139">
        <v>84.057800832886102</v>
      </c>
    </row>
    <row r="181" spans="1:51" x14ac:dyDescent="0.2">
      <c r="A181" s="149" t="s">
        <v>123</v>
      </c>
      <c r="B181" s="149" t="s">
        <v>298</v>
      </c>
      <c r="C181" s="138" t="s">
        <v>293</v>
      </c>
      <c r="D181" s="138">
        <f t="shared" ref="D181:AY181" si="4">(1-D172)*SUM(D122:D169)</f>
        <v>611.36153066902295</v>
      </c>
      <c r="E181" s="138">
        <f t="shared" si="4"/>
        <v>143.64450060245528</v>
      </c>
      <c r="F181" s="138">
        <f t="shared" si="4"/>
        <v>122.90194380546895</v>
      </c>
      <c r="G181" s="138">
        <f t="shared" si="4"/>
        <v>122.90194380546895</v>
      </c>
      <c r="H181" s="138">
        <f t="shared" si="4"/>
        <v>122.90194380546895</v>
      </c>
      <c r="I181" s="138">
        <f t="shared" si="4"/>
        <v>122.90194380546895</v>
      </c>
      <c r="J181" s="138">
        <f t="shared" si="4"/>
        <v>122.90194380546895</v>
      </c>
      <c r="K181" s="138">
        <f t="shared" si="4"/>
        <v>122.90194380546895</v>
      </c>
      <c r="L181" s="138">
        <f t="shared" si="4"/>
        <v>122.90194380546895</v>
      </c>
      <c r="M181" s="138">
        <f t="shared" si="4"/>
        <v>122.90194380546895</v>
      </c>
      <c r="N181" s="138">
        <f t="shared" si="4"/>
        <v>122.90194380546895</v>
      </c>
      <c r="O181" s="138">
        <f t="shared" si="4"/>
        <v>122.90194380546895</v>
      </c>
      <c r="P181" s="138">
        <f t="shared" si="4"/>
        <v>122.90194380546895</v>
      </c>
      <c r="Q181" s="138">
        <f t="shared" si="4"/>
        <v>122.90194380546895</v>
      </c>
      <c r="R181" s="138">
        <f t="shared" si="4"/>
        <v>122.90194380546895</v>
      </c>
      <c r="S181" s="138">
        <f t="shared" si="4"/>
        <v>122.90194380546895</v>
      </c>
      <c r="T181" s="138">
        <f t="shared" si="4"/>
        <v>122.90194380546895</v>
      </c>
      <c r="U181" s="138">
        <f t="shared" si="4"/>
        <v>122.90194380546895</v>
      </c>
      <c r="V181" s="138">
        <f t="shared" si="4"/>
        <v>122.90194380546895</v>
      </c>
      <c r="W181" s="138">
        <f t="shared" si="4"/>
        <v>122.90194380546895</v>
      </c>
      <c r="X181" s="138">
        <f t="shared" si="4"/>
        <v>122.90194380546895</v>
      </c>
      <c r="Y181" s="138">
        <f t="shared" si="4"/>
        <v>122.90194380546895</v>
      </c>
      <c r="Z181" s="138">
        <f t="shared" si="4"/>
        <v>122.90194380546895</v>
      </c>
      <c r="AA181" s="138">
        <f t="shared" si="4"/>
        <v>122.90194380546895</v>
      </c>
      <c r="AB181" s="138">
        <f t="shared" si="4"/>
        <v>122.90194380546895</v>
      </c>
      <c r="AC181" s="138">
        <f t="shared" si="4"/>
        <v>122.90194380546895</v>
      </c>
      <c r="AD181" s="138">
        <f t="shared" si="4"/>
        <v>122.90194380546895</v>
      </c>
      <c r="AE181" s="138">
        <f t="shared" si="4"/>
        <v>122.90194380546895</v>
      </c>
      <c r="AF181" s="138">
        <f t="shared" si="4"/>
        <v>122.90194380546895</v>
      </c>
      <c r="AG181" s="138">
        <f t="shared" si="4"/>
        <v>122.90194380546895</v>
      </c>
      <c r="AH181" s="138">
        <f t="shared" si="4"/>
        <v>122.90194380546895</v>
      </c>
      <c r="AI181" s="138">
        <f t="shared" si="4"/>
        <v>122.90194380546895</v>
      </c>
      <c r="AJ181" s="138">
        <f t="shared" si="4"/>
        <v>122.90194380546895</v>
      </c>
      <c r="AK181" s="138">
        <f t="shared" si="4"/>
        <v>122.90194380546895</v>
      </c>
      <c r="AL181" s="138">
        <f t="shared" si="4"/>
        <v>122.90194380546895</v>
      </c>
      <c r="AM181" s="138">
        <f t="shared" si="4"/>
        <v>122.90194380546895</v>
      </c>
      <c r="AN181" s="138">
        <f t="shared" si="4"/>
        <v>122.90194380546895</v>
      </c>
      <c r="AO181" s="138">
        <f t="shared" si="4"/>
        <v>122.90194380546895</v>
      </c>
      <c r="AP181" s="138">
        <f t="shared" si="4"/>
        <v>122.90194380546895</v>
      </c>
      <c r="AQ181" s="138">
        <f t="shared" si="4"/>
        <v>122.90194380546895</v>
      </c>
      <c r="AR181" s="138">
        <f t="shared" si="4"/>
        <v>122.90194380546895</v>
      </c>
      <c r="AS181" s="138">
        <f t="shared" si="4"/>
        <v>122.90194380546895</v>
      </c>
      <c r="AT181" s="138">
        <f t="shared" si="4"/>
        <v>122.90194380546895</v>
      </c>
      <c r="AU181" s="138">
        <f t="shared" si="4"/>
        <v>122.90194380546895</v>
      </c>
      <c r="AV181" s="138">
        <f t="shared" si="4"/>
        <v>122.90194380546895</v>
      </c>
      <c r="AW181" s="138">
        <f t="shared" si="4"/>
        <v>122.90194380546895</v>
      </c>
      <c r="AX181" s="138">
        <f t="shared" si="4"/>
        <v>122.90194380546895</v>
      </c>
      <c r="AY181" s="138">
        <f t="shared" si="4"/>
        <v>122.90194380546895</v>
      </c>
    </row>
    <row r="182" spans="1:51" x14ac:dyDescent="0.2">
      <c r="A182" s="139"/>
      <c r="B182" s="150" t="s">
        <v>299</v>
      </c>
      <c r="C182" s="139" t="s">
        <v>293</v>
      </c>
      <c r="D182" s="139">
        <v>576.4322681616236</v>
      </c>
      <c r="E182" s="139">
        <v>143.64450060245528</v>
      </c>
      <c r="F182" s="139">
        <v>122.90194380546895</v>
      </c>
      <c r="G182" s="139">
        <v>122.90194380546895</v>
      </c>
      <c r="H182" s="139">
        <v>122.90194380546895</v>
      </c>
      <c r="I182" s="139">
        <v>122.90194380546895</v>
      </c>
      <c r="J182" s="139">
        <v>122.90194380546895</v>
      </c>
      <c r="K182" s="139">
        <v>122.90194380546895</v>
      </c>
      <c r="L182" s="139">
        <v>122.90194380546895</v>
      </c>
      <c r="M182" s="139">
        <v>122.90194380546895</v>
      </c>
      <c r="N182" s="139">
        <v>122.90194380546895</v>
      </c>
      <c r="O182" s="139">
        <v>122.90194380546895</v>
      </c>
      <c r="P182" s="139">
        <v>122.90194380546895</v>
      </c>
      <c r="Q182" s="139">
        <v>122.90194380546895</v>
      </c>
      <c r="R182" s="139">
        <v>122.90194380546895</v>
      </c>
      <c r="S182" s="139">
        <v>122.90194380546895</v>
      </c>
      <c r="T182" s="139">
        <v>122.90194380546895</v>
      </c>
      <c r="U182" s="139">
        <v>122.90194380546895</v>
      </c>
      <c r="V182" s="139">
        <v>122.90194380546895</v>
      </c>
      <c r="W182" s="139">
        <v>122.90194380546895</v>
      </c>
      <c r="X182" s="139">
        <v>122.90194380546895</v>
      </c>
      <c r="Y182" s="139">
        <v>122.90194380546895</v>
      </c>
      <c r="Z182" s="139">
        <v>122.90194380546895</v>
      </c>
      <c r="AA182" s="139">
        <v>122.90194380546895</v>
      </c>
      <c r="AB182" s="139">
        <v>122.90194380546895</v>
      </c>
      <c r="AC182" s="139">
        <v>122.90194380546895</v>
      </c>
      <c r="AD182" s="139">
        <v>122.90194380546895</v>
      </c>
      <c r="AE182" s="139">
        <v>122.90194380546895</v>
      </c>
      <c r="AF182" s="139">
        <v>122.90194380546895</v>
      </c>
      <c r="AG182" s="139">
        <v>122.90194380546895</v>
      </c>
      <c r="AH182" s="139">
        <v>122.90194380546895</v>
      </c>
      <c r="AI182" s="139">
        <v>122.90194380546895</v>
      </c>
      <c r="AJ182" s="139">
        <v>122.90194380546895</v>
      </c>
      <c r="AK182" s="139">
        <v>122.90194380546895</v>
      </c>
      <c r="AL182" s="139">
        <v>122.90194380546895</v>
      </c>
      <c r="AM182" s="139">
        <v>122.90194380546895</v>
      </c>
      <c r="AN182" s="139">
        <v>122.90194380546895</v>
      </c>
      <c r="AO182" s="139">
        <v>122.90194380546895</v>
      </c>
      <c r="AP182" s="139">
        <v>122.90194380546895</v>
      </c>
      <c r="AQ182" s="139">
        <v>122.90194380546895</v>
      </c>
      <c r="AR182" s="139">
        <v>122.90194380546895</v>
      </c>
      <c r="AS182" s="139">
        <v>122.90194380546895</v>
      </c>
      <c r="AT182" s="139">
        <v>122.90194380546895</v>
      </c>
      <c r="AU182" s="139">
        <v>122.90194380546895</v>
      </c>
      <c r="AV182" s="139">
        <v>122.90194380546895</v>
      </c>
      <c r="AW182" s="139">
        <v>122.90194380546895</v>
      </c>
      <c r="AX182" s="139">
        <v>122.90194380546895</v>
      </c>
      <c r="AY182" s="139">
        <v>122.90194380546895</v>
      </c>
    </row>
    <row r="184" spans="1:51" x14ac:dyDescent="0.2">
      <c r="A184" s="1" t="s">
        <v>300</v>
      </c>
    </row>
    <row r="185" spans="1:51" x14ac:dyDescent="0.2">
      <c r="A185" s="140" t="s">
        <v>125</v>
      </c>
      <c r="B185" s="137">
        <v>1</v>
      </c>
      <c r="C185" s="138">
        <v>0</v>
      </c>
      <c r="D185" s="138">
        <v>0</v>
      </c>
      <c r="E185" s="138">
        <v>0</v>
      </c>
      <c r="F185" s="138">
        <v>0</v>
      </c>
      <c r="G185" s="138">
        <v>0</v>
      </c>
      <c r="H185" s="138">
        <v>0</v>
      </c>
      <c r="I185" s="138">
        <v>0</v>
      </c>
      <c r="J185" s="138">
        <v>0</v>
      </c>
      <c r="K185" s="138">
        <v>0</v>
      </c>
      <c r="L185" s="138">
        <v>0</v>
      </c>
      <c r="M185" s="138">
        <v>0</v>
      </c>
      <c r="N185" s="138">
        <v>0</v>
      </c>
      <c r="O185" s="138">
        <v>0</v>
      </c>
      <c r="P185" s="138">
        <v>0</v>
      </c>
      <c r="Q185" s="138">
        <v>0</v>
      </c>
      <c r="R185" s="138">
        <v>0</v>
      </c>
      <c r="S185" s="138">
        <v>0</v>
      </c>
      <c r="T185" s="138">
        <v>0</v>
      </c>
      <c r="U185" s="138">
        <v>0</v>
      </c>
      <c r="V185" s="138">
        <v>0</v>
      </c>
      <c r="W185" s="138">
        <v>0</v>
      </c>
      <c r="X185" s="138">
        <v>0</v>
      </c>
      <c r="Y185" s="138">
        <v>0</v>
      </c>
      <c r="Z185" s="138">
        <v>0</v>
      </c>
      <c r="AA185" s="138">
        <v>0</v>
      </c>
      <c r="AB185" s="138">
        <v>0</v>
      </c>
      <c r="AC185" s="138">
        <v>0</v>
      </c>
      <c r="AD185" s="138">
        <v>0</v>
      </c>
      <c r="AE185" s="138">
        <v>0</v>
      </c>
      <c r="AF185" s="138">
        <v>0</v>
      </c>
      <c r="AG185" s="138">
        <v>0</v>
      </c>
      <c r="AH185" s="138">
        <v>0</v>
      </c>
      <c r="AI185" s="138">
        <v>0</v>
      </c>
      <c r="AJ185" s="138">
        <v>0</v>
      </c>
      <c r="AK185" s="138">
        <v>0</v>
      </c>
      <c r="AL185" s="138">
        <v>0</v>
      </c>
      <c r="AM185" s="138">
        <v>0</v>
      </c>
      <c r="AN185" s="138">
        <v>0</v>
      </c>
      <c r="AO185" s="138">
        <v>0</v>
      </c>
      <c r="AP185" s="138">
        <v>0</v>
      </c>
      <c r="AQ185" s="138">
        <v>0</v>
      </c>
      <c r="AR185" s="138">
        <v>0</v>
      </c>
      <c r="AS185" s="138">
        <v>0</v>
      </c>
      <c r="AT185" s="138">
        <v>0</v>
      </c>
      <c r="AU185" s="138">
        <v>0</v>
      </c>
      <c r="AV185" s="138">
        <v>0</v>
      </c>
      <c r="AW185" s="138">
        <v>0</v>
      </c>
      <c r="AX185" s="138">
        <v>0</v>
      </c>
      <c r="AY185" s="138">
        <v>0</v>
      </c>
    </row>
    <row r="186" spans="1:51" x14ac:dyDescent="0.2">
      <c r="A186" s="124"/>
      <c r="B186" s="134">
        <v>2</v>
      </c>
      <c r="C186" s="121">
        <v>0</v>
      </c>
      <c r="D186" s="121">
        <v>0</v>
      </c>
      <c r="E186" s="121">
        <v>0</v>
      </c>
      <c r="F186" s="121">
        <v>0</v>
      </c>
      <c r="G186" s="121">
        <v>0</v>
      </c>
      <c r="H186" s="121">
        <v>0</v>
      </c>
      <c r="I186" s="121">
        <v>0</v>
      </c>
      <c r="J186" s="121">
        <v>0</v>
      </c>
      <c r="K186" s="121">
        <v>0</v>
      </c>
      <c r="L186" s="121">
        <v>0</v>
      </c>
      <c r="M186" s="121">
        <v>0</v>
      </c>
      <c r="N186" s="121">
        <v>0</v>
      </c>
      <c r="O186" s="121">
        <v>0</v>
      </c>
      <c r="P186" s="121">
        <v>0</v>
      </c>
      <c r="Q186" s="121">
        <v>0</v>
      </c>
      <c r="R186" s="121">
        <v>0</v>
      </c>
      <c r="S186" s="121">
        <v>0</v>
      </c>
      <c r="T186" s="121">
        <v>0</v>
      </c>
      <c r="U186" s="121">
        <v>0</v>
      </c>
      <c r="V186" s="121">
        <v>0</v>
      </c>
      <c r="W186" s="121">
        <v>0</v>
      </c>
      <c r="X186" s="121">
        <v>0</v>
      </c>
      <c r="Y186" s="121">
        <v>0</v>
      </c>
      <c r="Z186" s="121">
        <v>0</v>
      </c>
      <c r="AA186" s="121">
        <v>0</v>
      </c>
      <c r="AB186" s="121">
        <v>0</v>
      </c>
      <c r="AC186" s="121">
        <v>0</v>
      </c>
      <c r="AD186" s="121">
        <v>0</v>
      </c>
      <c r="AE186" s="121">
        <v>0</v>
      </c>
      <c r="AF186" s="121">
        <v>0</v>
      </c>
      <c r="AG186" s="121">
        <v>0</v>
      </c>
      <c r="AH186" s="121">
        <v>0</v>
      </c>
      <c r="AI186" s="121">
        <v>0</v>
      </c>
      <c r="AJ186" s="121">
        <v>0</v>
      </c>
      <c r="AK186" s="121">
        <v>0</v>
      </c>
      <c r="AL186" s="121">
        <v>0</v>
      </c>
      <c r="AM186" s="121">
        <v>0</v>
      </c>
      <c r="AN186" s="121">
        <v>0</v>
      </c>
      <c r="AO186" s="121">
        <v>0</v>
      </c>
      <c r="AP186" s="121">
        <v>0</v>
      </c>
      <c r="AQ186" s="121">
        <v>0</v>
      </c>
      <c r="AR186" s="121">
        <v>0</v>
      </c>
      <c r="AS186" s="121">
        <v>0</v>
      </c>
      <c r="AT186" s="121">
        <v>0</v>
      </c>
      <c r="AU186" s="121">
        <v>0</v>
      </c>
      <c r="AV186" s="121">
        <v>0</v>
      </c>
      <c r="AW186" s="121">
        <v>0</v>
      </c>
      <c r="AX186" s="121">
        <v>0</v>
      </c>
      <c r="AY186" s="121">
        <v>0</v>
      </c>
    </row>
    <row r="187" spans="1:51" x14ac:dyDescent="0.2">
      <c r="A187" s="124"/>
      <c r="B187" s="141">
        <v>3</v>
      </c>
      <c r="C187" s="121">
        <v>0</v>
      </c>
      <c r="D187" s="121">
        <v>0</v>
      </c>
      <c r="E187" s="121">
        <v>0</v>
      </c>
      <c r="F187" s="121">
        <v>0</v>
      </c>
      <c r="G187" s="121">
        <v>0</v>
      </c>
      <c r="H187" s="121">
        <v>0</v>
      </c>
      <c r="I187" s="121">
        <v>0</v>
      </c>
      <c r="J187" s="121">
        <v>0</v>
      </c>
      <c r="K187" s="121">
        <v>0</v>
      </c>
      <c r="L187" s="121">
        <v>0</v>
      </c>
      <c r="M187" s="121">
        <v>0</v>
      </c>
      <c r="N187" s="121">
        <v>0</v>
      </c>
      <c r="O187" s="121">
        <v>0</v>
      </c>
      <c r="P187" s="121">
        <v>0</v>
      </c>
      <c r="Q187" s="121">
        <v>0</v>
      </c>
      <c r="R187" s="121">
        <v>0</v>
      </c>
      <c r="S187" s="121">
        <v>0</v>
      </c>
      <c r="T187" s="121">
        <v>0</v>
      </c>
      <c r="U187" s="121">
        <v>0</v>
      </c>
      <c r="V187" s="121">
        <v>0</v>
      </c>
      <c r="W187" s="121">
        <v>0</v>
      </c>
      <c r="X187" s="121">
        <v>0</v>
      </c>
      <c r="Y187" s="121">
        <v>0</v>
      </c>
      <c r="Z187" s="121">
        <v>0</v>
      </c>
      <c r="AA187" s="121">
        <v>0</v>
      </c>
      <c r="AB187" s="121">
        <v>0</v>
      </c>
      <c r="AC187" s="121">
        <v>0</v>
      </c>
      <c r="AD187" s="121">
        <v>0</v>
      </c>
      <c r="AE187" s="121">
        <v>0</v>
      </c>
      <c r="AF187" s="121">
        <v>0</v>
      </c>
      <c r="AG187" s="121">
        <v>0</v>
      </c>
      <c r="AH187" s="121">
        <v>0</v>
      </c>
      <c r="AI187" s="121">
        <v>0</v>
      </c>
      <c r="AJ187" s="121">
        <v>0</v>
      </c>
      <c r="AK187" s="121">
        <v>0</v>
      </c>
      <c r="AL187" s="121">
        <v>0</v>
      </c>
      <c r="AM187" s="121">
        <v>0</v>
      </c>
      <c r="AN187" s="121">
        <v>0</v>
      </c>
      <c r="AO187" s="121">
        <v>0</v>
      </c>
      <c r="AP187" s="121">
        <v>0</v>
      </c>
      <c r="AQ187" s="121">
        <v>0</v>
      </c>
      <c r="AR187" s="121">
        <v>0</v>
      </c>
      <c r="AS187" s="121">
        <v>0</v>
      </c>
      <c r="AT187" s="121">
        <v>0</v>
      </c>
      <c r="AU187" s="121">
        <v>0</v>
      </c>
      <c r="AV187" s="121">
        <v>0</v>
      </c>
      <c r="AW187" s="121">
        <v>0</v>
      </c>
      <c r="AX187" s="121">
        <v>0</v>
      </c>
      <c r="AY187" s="121">
        <v>0</v>
      </c>
    </row>
    <row r="188" spans="1:51" x14ac:dyDescent="0.2">
      <c r="A188" s="142"/>
      <c r="B188" s="143">
        <v>4</v>
      </c>
      <c r="C188" s="121">
        <v>550</v>
      </c>
      <c r="D188" s="121">
        <v>457</v>
      </c>
      <c r="E188" s="121">
        <v>470</v>
      </c>
      <c r="F188" s="121">
        <v>411</v>
      </c>
      <c r="G188" s="121">
        <v>404</v>
      </c>
      <c r="H188" s="121">
        <v>455</v>
      </c>
      <c r="I188" s="121">
        <v>373</v>
      </c>
      <c r="J188" s="121">
        <v>416</v>
      </c>
      <c r="K188" s="121">
        <v>455</v>
      </c>
      <c r="L188" s="121">
        <v>557</v>
      </c>
      <c r="M188" s="121">
        <v>452</v>
      </c>
      <c r="N188" s="121">
        <v>375</v>
      </c>
      <c r="O188" s="121">
        <v>488</v>
      </c>
      <c r="P188" s="121">
        <v>462</v>
      </c>
      <c r="Q188" s="121">
        <v>482</v>
      </c>
      <c r="R188" s="121">
        <v>439</v>
      </c>
      <c r="S188" s="121">
        <v>495</v>
      </c>
      <c r="T188" s="121">
        <v>492</v>
      </c>
      <c r="U188" s="121">
        <v>505</v>
      </c>
      <c r="V188" s="121">
        <v>439</v>
      </c>
      <c r="W188" s="121">
        <v>505</v>
      </c>
      <c r="X188" s="121">
        <v>488</v>
      </c>
      <c r="Y188" s="121">
        <v>467</v>
      </c>
      <c r="Z188" s="121">
        <v>438</v>
      </c>
      <c r="AA188" s="121">
        <v>530</v>
      </c>
      <c r="AB188" s="121">
        <v>530</v>
      </c>
      <c r="AC188" s="121">
        <v>418</v>
      </c>
      <c r="AD188" s="121">
        <v>362</v>
      </c>
      <c r="AE188" s="121">
        <v>431</v>
      </c>
      <c r="AF188" s="121">
        <v>518</v>
      </c>
      <c r="AG188" s="121">
        <v>439</v>
      </c>
      <c r="AH188" s="121">
        <v>504</v>
      </c>
      <c r="AI188" s="121">
        <v>465</v>
      </c>
      <c r="AJ188" s="121">
        <v>515</v>
      </c>
      <c r="AK188" s="121">
        <v>453</v>
      </c>
      <c r="AL188" s="121">
        <v>467</v>
      </c>
      <c r="AM188" s="121">
        <v>513</v>
      </c>
      <c r="AN188" s="121">
        <v>497</v>
      </c>
      <c r="AO188" s="121">
        <v>464</v>
      </c>
      <c r="AP188" s="121">
        <v>470</v>
      </c>
      <c r="AQ188" s="121">
        <v>451</v>
      </c>
      <c r="AR188" s="121">
        <v>462</v>
      </c>
      <c r="AS188" s="121">
        <v>473</v>
      </c>
      <c r="AT188" s="121">
        <v>452</v>
      </c>
      <c r="AU188" s="121">
        <v>453</v>
      </c>
      <c r="AV188" s="121">
        <v>490</v>
      </c>
      <c r="AW188" s="121">
        <v>519</v>
      </c>
      <c r="AX188" s="121">
        <v>455</v>
      </c>
      <c r="AY188" s="121">
        <v>556</v>
      </c>
    </row>
    <row r="189" spans="1:51" x14ac:dyDescent="0.2">
      <c r="A189" s="140" t="s">
        <v>133</v>
      </c>
      <c r="B189" s="137">
        <v>1</v>
      </c>
      <c r="C189" s="138">
        <v>154.90883747759892</v>
      </c>
      <c r="D189" s="138">
        <v>78.95146475989705</v>
      </c>
      <c r="E189" s="138">
        <v>563.04</v>
      </c>
      <c r="F189" s="138">
        <v>180</v>
      </c>
      <c r="G189" s="138">
        <v>525</v>
      </c>
      <c r="H189" s="138">
        <v>180</v>
      </c>
      <c r="I189" s="138">
        <v>510</v>
      </c>
      <c r="J189" s="138">
        <v>180</v>
      </c>
      <c r="K189" s="138">
        <v>510</v>
      </c>
      <c r="L189" s="138">
        <v>180</v>
      </c>
      <c r="M189" s="138">
        <v>525</v>
      </c>
      <c r="N189" s="138">
        <v>525</v>
      </c>
      <c r="O189" s="138">
        <v>345</v>
      </c>
      <c r="P189" s="138">
        <v>525</v>
      </c>
      <c r="Q189" s="138">
        <v>330</v>
      </c>
      <c r="R189" s="138">
        <v>180</v>
      </c>
      <c r="S189" s="138">
        <v>525</v>
      </c>
      <c r="T189" s="138">
        <v>525</v>
      </c>
      <c r="U189" s="138">
        <v>525</v>
      </c>
      <c r="V189" s="138">
        <v>180</v>
      </c>
      <c r="W189" s="138">
        <v>345</v>
      </c>
      <c r="X189" s="138">
        <v>525</v>
      </c>
      <c r="Y189" s="138">
        <v>525</v>
      </c>
      <c r="Z189" s="138">
        <v>525</v>
      </c>
      <c r="AA189" s="138">
        <v>345</v>
      </c>
      <c r="AB189" s="138">
        <v>525</v>
      </c>
      <c r="AC189" s="138">
        <v>525</v>
      </c>
      <c r="AD189" s="138">
        <v>180</v>
      </c>
      <c r="AE189" s="138">
        <v>510</v>
      </c>
      <c r="AF189" s="138">
        <v>180</v>
      </c>
      <c r="AG189" s="138">
        <v>345</v>
      </c>
      <c r="AH189" s="138">
        <v>180</v>
      </c>
      <c r="AI189" s="138">
        <v>525</v>
      </c>
      <c r="AJ189" s="138">
        <v>180</v>
      </c>
      <c r="AK189" s="138">
        <v>510</v>
      </c>
      <c r="AL189" s="138">
        <v>525</v>
      </c>
      <c r="AM189" s="138">
        <v>345</v>
      </c>
      <c r="AN189" s="138">
        <v>180</v>
      </c>
      <c r="AO189" s="138">
        <v>525</v>
      </c>
      <c r="AP189" s="138">
        <v>180</v>
      </c>
      <c r="AQ189" s="138">
        <v>345</v>
      </c>
      <c r="AR189" s="138">
        <v>180</v>
      </c>
      <c r="AS189" s="138">
        <v>510</v>
      </c>
      <c r="AT189" s="138">
        <v>180</v>
      </c>
      <c r="AU189" s="138">
        <v>345</v>
      </c>
      <c r="AV189" s="138">
        <v>525</v>
      </c>
      <c r="AW189" s="138">
        <v>345</v>
      </c>
      <c r="AX189" s="138">
        <v>180</v>
      </c>
      <c r="AY189" s="138">
        <v>345</v>
      </c>
    </row>
    <row r="190" spans="1:51" x14ac:dyDescent="0.2">
      <c r="A190" s="124"/>
      <c r="B190" s="133">
        <v>2</v>
      </c>
      <c r="C190" s="121">
        <v>140.09322600000002</v>
      </c>
      <c r="D190" s="121">
        <v>0</v>
      </c>
      <c r="E190" s="121">
        <v>0</v>
      </c>
      <c r="F190" s="121">
        <v>0</v>
      </c>
      <c r="G190" s="121">
        <v>0</v>
      </c>
      <c r="H190" s="121">
        <v>0</v>
      </c>
      <c r="I190" s="121">
        <v>345</v>
      </c>
      <c r="J190" s="121">
        <v>0</v>
      </c>
      <c r="K190" s="121">
        <v>345</v>
      </c>
      <c r="L190" s="121">
        <v>15</v>
      </c>
      <c r="M190" s="121">
        <v>0</v>
      </c>
      <c r="N190" s="121">
        <v>0</v>
      </c>
      <c r="O190" s="121">
        <v>0</v>
      </c>
      <c r="P190" s="121">
        <v>180</v>
      </c>
      <c r="Q190" s="121">
        <v>0</v>
      </c>
      <c r="R190" s="121">
        <v>195</v>
      </c>
      <c r="S190" s="121">
        <v>345</v>
      </c>
      <c r="T190" s="121">
        <v>0</v>
      </c>
      <c r="U190" s="121">
        <v>0</v>
      </c>
      <c r="V190" s="121">
        <v>0</v>
      </c>
      <c r="W190" s="121">
        <v>345</v>
      </c>
      <c r="X190" s="121">
        <v>180</v>
      </c>
      <c r="Y190" s="121">
        <v>0</v>
      </c>
      <c r="Z190" s="121">
        <v>0</v>
      </c>
      <c r="AA190" s="121">
        <v>0</v>
      </c>
      <c r="AB190" s="121">
        <v>180</v>
      </c>
      <c r="AC190" s="121">
        <v>0</v>
      </c>
      <c r="AD190" s="121">
        <v>0</v>
      </c>
      <c r="AE190" s="121">
        <v>345</v>
      </c>
      <c r="AF190" s="121">
        <v>15</v>
      </c>
      <c r="AG190" s="121">
        <v>345</v>
      </c>
      <c r="AH190" s="121">
        <v>180</v>
      </c>
      <c r="AI190" s="121">
        <v>0</v>
      </c>
      <c r="AJ190" s="121">
        <v>0</v>
      </c>
      <c r="AK190" s="121">
        <v>345</v>
      </c>
      <c r="AL190" s="121">
        <v>15</v>
      </c>
      <c r="AM190" s="121">
        <v>0</v>
      </c>
      <c r="AN190" s="121">
        <v>180</v>
      </c>
      <c r="AO190" s="121">
        <v>0</v>
      </c>
      <c r="AP190" s="121">
        <v>0</v>
      </c>
      <c r="AQ190" s="121">
        <v>345</v>
      </c>
      <c r="AR190" s="121">
        <v>180</v>
      </c>
      <c r="AS190" s="121">
        <v>0</v>
      </c>
      <c r="AT190" s="121">
        <v>15</v>
      </c>
      <c r="AU190" s="121">
        <v>345</v>
      </c>
      <c r="AV190" s="121">
        <v>180</v>
      </c>
      <c r="AW190" s="121">
        <v>0</v>
      </c>
      <c r="AX190" s="121">
        <v>180</v>
      </c>
      <c r="AY190" s="121">
        <v>345</v>
      </c>
    </row>
    <row r="191" spans="1:51" x14ac:dyDescent="0.2">
      <c r="A191" s="124"/>
      <c r="B191" s="134">
        <v>3</v>
      </c>
      <c r="C191" s="121">
        <v>20.093226000000016</v>
      </c>
      <c r="D191" s="121">
        <v>0</v>
      </c>
      <c r="E191" s="121">
        <v>0</v>
      </c>
      <c r="F191" s="121">
        <v>140.09322600000002</v>
      </c>
      <c r="G191" s="121">
        <v>0</v>
      </c>
      <c r="H191" s="121">
        <v>345</v>
      </c>
      <c r="I191" s="121">
        <v>0</v>
      </c>
      <c r="J191" s="121">
        <v>0</v>
      </c>
      <c r="K191" s="121">
        <v>15</v>
      </c>
      <c r="L191" s="121">
        <v>0</v>
      </c>
      <c r="M191" s="121">
        <v>0</v>
      </c>
      <c r="N191" s="121">
        <v>345</v>
      </c>
      <c r="O191" s="121">
        <v>0</v>
      </c>
      <c r="P191" s="121">
        <v>0</v>
      </c>
      <c r="Q191" s="121">
        <v>0</v>
      </c>
      <c r="R191" s="121">
        <v>0</v>
      </c>
      <c r="S191" s="121">
        <v>0</v>
      </c>
      <c r="T191" s="121">
        <v>0</v>
      </c>
      <c r="U191" s="121">
        <v>0</v>
      </c>
      <c r="V191" s="121">
        <v>0</v>
      </c>
      <c r="W191" s="121">
        <v>0</v>
      </c>
      <c r="X191" s="121">
        <v>0</v>
      </c>
      <c r="Y191" s="121">
        <v>0</v>
      </c>
      <c r="Z191" s="121">
        <v>0</v>
      </c>
      <c r="AA191" s="121">
        <v>0</v>
      </c>
      <c r="AB191" s="121">
        <v>0</v>
      </c>
      <c r="AC191" s="121">
        <v>0</v>
      </c>
      <c r="AD191" s="121">
        <v>0</v>
      </c>
      <c r="AE191" s="121">
        <v>0</v>
      </c>
      <c r="AF191" s="121">
        <v>0</v>
      </c>
      <c r="AG191" s="121">
        <v>0</v>
      </c>
      <c r="AH191" s="121">
        <v>0</v>
      </c>
      <c r="AI191" s="121">
        <v>0</v>
      </c>
      <c r="AJ191" s="121">
        <v>345</v>
      </c>
      <c r="AK191" s="121">
        <v>0</v>
      </c>
      <c r="AL191" s="121">
        <v>0</v>
      </c>
      <c r="AM191" s="121">
        <v>0</v>
      </c>
      <c r="AN191" s="121">
        <v>0</v>
      </c>
      <c r="AO191" s="121">
        <v>0</v>
      </c>
      <c r="AP191" s="121">
        <v>345</v>
      </c>
      <c r="AQ191" s="121">
        <v>0</v>
      </c>
      <c r="AR191" s="121">
        <v>0</v>
      </c>
      <c r="AS191" s="121">
        <v>0</v>
      </c>
      <c r="AT191" s="121">
        <v>345</v>
      </c>
      <c r="AU191" s="121">
        <v>0</v>
      </c>
      <c r="AV191" s="121">
        <v>0</v>
      </c>
      <c r="AW191" s="121">
        <v>0</v>
      </c>
      <c r="AX191" s="121">
        <v>0</v>
      </c>
      <c r="AY191" s="121">
        <v>0</v>
      </c>
    </row>
    <row r="192" spans="1:51" x14ac:dyDescent="0.2">
      <c r="A192" s="124"/>
      <c r="B192" s="134">
        <v>4</v>
      </c>
      <c r="C192" s="121">
        <v>0</v>
      </c>
      <c r="D192" s="121">
        <v>0</v>
      </c>
      <c r="E192" s="121">
        <v>0</v>
      </c>
      <c r="F192" s="121">
        <v>0</v>
      </c>
      <c r="G192" s="121">
        <v>0</v>
      </c>
      <c r="H192" s="121">
        <v>0</v>
      </c>
      <c r="I192" s="121">
        <v>0</v>
      </c>
      <c r="J192" s="121">
        <v>0</v>
      </c>
      <c r="K192" s="121">
        <v>0</v>
      </c>
      <c r="L192" s="121">
        <v>0</v>
      </c>
      <c r="M192" s="121">
        <v>0</v>
      </c>
      <c r="N192" s="121">
        <v>0</v>
      </c>
      <c r="O192" s="121">
        <v>0</v>
      </c>
      <c r="P192" s="121">
        <v>0</v>
      </c>
      <c r="Q192" s="121">
        <v>0</v>
      </c>
      <c r="R192" s="121">
        <v>0</v>
      </c>
      <c r="S192" s="121">
        <v>0</v>
      </c>
      <c r="T192" s="121">
        <v>0</v>
      </c>
      <c r="U192" s="121">
        <v>0</v>
      </c>
      <c r="V192" s="121">
        <v>0</v>
      </c>
      <c r="W192" s="121">
        <v>0</v>
      </c>
      <c r="X192" s="121">
        <v>0</v>
      </c>
      <c r="Y192" s="121">
        <v>0</v>
      </c>
      <c r="Z192" s="121">
        <v>0</v>
      </c>
      <c r="AA192" s="121">
        <v>0</v>
      </c>
      <c r="AB192" s="121">
        <v>0</v>
      </c>
      <c r="AC192" s="121">
        <v>0</v>
      </c>
      <c r="AD192" s="121">
        <v>0</v>
      </c>
      <c r="AE192" s="121">
        <v>0</v>
      </c>
      <c r="AF192" s="121">
        <v>0</v>
      </c>
      <c r="AG192" s="121">
        <v>0</v>
      </c>
      <c r="AH192" s="121">
        <v>0</v>
      </c>
      <c r="AI192" s="121">
        <v>0</v>
      </c>
      <c r="AJ192" s="121">
        <v>0</v>
      </c>
      <c r="AK192" s="121">
        <v>0</v>
      </c>
      <c r="AL192" s="121">
        <v>0</v>
      </c>
      <c r="AM192" s="121">
        <v>0</v>
      </c>
      <c r="AN192" s="121">
        <v>0</v>
      </c>
      <c r="AO192" s="121">
        <v>0</v>
      </c>
      <c r="AP192" s="121">
        <v>0</v>
      </c>
      <c r="AQ192" s="121">
        <v>0</v>
      </c>
      <c r="AR192" s="121">
        <v>0</v>
      </c>
      <c r="AS192" s="121">
        <v>0</v>
      </c>
      <c r="AT192" s="121">
        <v>0</v>
      </c>
      <c r="AU192" s="121">
        <v>0</v>
      </c>
      <c r="AV192" s="121">
        <v>0</v>
      </c>
      <c r="AW192" s="121">
        <v>0</v>
      </c>
      <c r="AX192" s="121">
        <v>0</v>
      </c>
      <c r="AY192" s="121">
        <v>0</v>
      </c>
    </row>
    <row r="193" spans="1:51" x14ac:dyDescent="0.2">
      <c r="A193" s="124"/>
      <c r="B193" s="141">
        <v>5</v>
      </c>
      <c r="C193" s="121">
        <v>0</v>
      </c>
      <c r="D193" s="121">
        <v>0</v>
      </c>
      <c r="E193" s="121">
        <v>0</v>
      </c>
      <c r="F193" s="121">
        <v>0</v>
      </c>
      <c r="G193" s="121">
        <v>0</v>
      </c>
      <c r="H193" s="121">
        <v>0</v>
      </c>
      <c r="I193" s="121">
        <v>0</v>
      </c>
      <c r="J193" s="121">
        <v>0</v>
      </c>
      <c r="K193" s="121">
        <v>0</v>
      </c>
      <c r="L193" s="121">
        <v>0</v>
      </c>
      <c r="M193" s="121">
        <v>0</v>
      </c>
      <c r="N193" s="121">
        <v>0</v>
      </c>
      <c r="O193" s="121">
        <v>0</v>
      </c>
      <c r="P193" s="121">
        <v>0</v>
      </c>
      <c r="Q193" s="121">
        <v>0</v>
      </c>
      <c r="R193" s="121">
        <v>0</v>
      </c>
      <c r="S193" s="121">
        <v>0</v>
      </c>
      <c r="T193" s="121">
        <v>0</v>
      </c>
      <c r="U193" s="121">
        <v>0</v>
      </c>
      <c r="V193" s="121">
        <v>0</v>
      </c>
      <c r="W193" s="121">
        <v>0</v>
      </c>
      <c r="X193" s="121">
        <v>0</v>
      </c>
      <c r="Y193" s="121">
        <v>0</v>
      </c>
      <c r="Z193" s="121">
        <v>0</v>
      </c>
      <c r="AA193" s="121">
        <v>0</v>
      </c>
      <c r="AB193" s="121">
        <v>0</v>
      </c>
      <c r="AC193" s="121">
        <v>0</v>
      </c>
      <c r="AD193" s="121">
        <v>0</v>
      </c>
      <c r="AE193" s="121">
        <v>0</v>
      </c>
      <c r="AF193" s="121">
        <v>0</v>
      </c>
      <c r="AG193" s="121">
        <v>0</v>
      </c>
      <c r="AH193" s="121">
        <v>0</v>
      </c>
      <c r="AI193" s="121">
        <v>0</v>
      </c>
      <c r="AJ193" s="121">
        <v>0</v>
      </c>
      <c r="AK193" s="121">
        <v>0</v>
      </c>
      <c r="AL193" s="121">
        <v>0</v>
      </c>
      <c r="AM193" s="121">
        <v>0</v>
      </c>
      <c r="AN193" s="121">
        <v>0</v>
      </c>
      <c r="AO193" s="121">
        <v>0</v>
      </c>
      <c r="AP193" s="121">
        <v>0</v>
      </c>
      <c r="AQ193" s="121">
        <v>0</v>
      </c>
      <c r="AR193" s="121">
        <v>0</v>
      </c>
      <c r="AS193" s="121">
        <v>0</v>
      </c>
      <c r="AT193" s="121">
        <v>0</v>
      </c>
      <c r="AU193" s="121">
        <v>0</v>
      </c>
      <c r="AV193" s="121">
        <v>0</v>
      </c>
      <c r="AW193" s="121">
        <v>0</v>
      </c>
      <c r="AX193" s="121">
        <v>0</v>
      </c>
      <c r="AY193" s="121">
        <v>0</v>
      </c>
    </row>
    <row r="194" spans="1:51" x14ac:dyDescent="0.2">
      <c r="A194" s="124"/>
      <c r="B194" s="141">
        <v>6</v>
      </c>
      <c r="C194" s="121">
        <v>0</v>
      </c>
      <c r="D194" s="121">
        <v>0</v>
      </c>
      <c r="E194" s="121">
        <v>0</v>
      </c>
      <c r="F194" s="121">
        <v>0</v>
      </c>
      <c r="G194" s="121">
        <v>0</v>
      </c>
      <c r="H194" s="121">
        <v>0</v>
      </c>
      <c r="I194" s="121">
        <v>0</v>
      </c>
      <c r="J194" s="121">
        <v>0</v>
      </c>
      <c r="K194" s="121">
        <v>0</v>
      </c>
      <c r="L194" s="121">
        <v>0</v>
      </c>
      <c r="M194" s="121">
        <v>0</v>
      </c>
      <c r="N194" s="121">
        <v>0</v>
      </c>
      <c r="O194" s="121">
        <v>0</v>
      </c>
      <c r="P194" s="121">
        <v>0</v>
      </c>
      <c r="Q194" s="121">
        <v>0</v>
      </c>
      <c r="R194" s="121">
        <v>0</v>
      </c>
      <c r="S194" s="121">
        <v>0</v>
      </c>
      <c r="T194" s="121">
        <v>0</v>
      </c>
      <c r="U194" s="121">
        <v>0</v>
      </c>
      <c r="V194" s="121">
        <v>0</v>
      </c>
      <c r="W194" s="121">
        <v>0</v>
      </c>
      <c r="X194" s="121">
        <v>0</v>
      </c>
      <c r="Y194" s="121">
        <v>0</v>
      </c>
      <c r="Z194" s="121">
        <v>0</v>
      </c>
      <c r="AA194" s="121">
        <v>0</v>
      </c>
      <c r="AB194" s="121">
        <v>0</v>
      </c>
      <c r="AC194" s="121">
        <v>0</v>
      </c>
      <c r="AD194" s="121">
        <v>0</v>
      </c>
      <c r="AE194" s="121">
        <v>0</v>
      </c>
      <c r="AF194" s="121">
        <v>0</v>
      </c>
      <c r="AG194" s="121">
        <v>0</v>
      </c>
      <c r="AH194" s="121">
        <v>0</v>
      </c>
      <c r="AI194" s="121">
        <v>0</v>
      </c>
      <c r="AJ194" s="121">
        <v>0</v>
      </c>
      <c r="AK194" s="121">
        <v>0</v>
      </c>
      <c r="AL194" s="121">
        <v>0</v>
      </c>
      <c r="AM194" s="121">
        <v>0</v>
      </c>
      <c r="AN194" s="121">
        <v>0</v>
      </c>
      <c r="AO194" s="121">
        <v>0</v>
      </c>
      <c r="AP194" s="121">
        <v>0</v>
      </c>
      <c r="AQ194" s="121">
        <v>0</v>
      </c>
      <c r="AR194" s="121">
        <v>0</v>
      </c>
      <c r="AS194" s="121">
        <v>0</v>
      </c>
      <c r="AT194" s="121">
        <v>0</v>
      </c>
      <c r="AU194" s="121">
        <v>0</v>
      </c>
      <c r="AV194" s="121">
        <v>0</v>
      </c>
      <c r="AW194" s="121">
        <v>0</v>
      </c>
      <c r="AX194" s="121">
        <v>0</v>
      </c>
      <c r="AY194" s="121">
        <v>0</v>
      </c>
    </row>
    <row r="195" spans="1:51" x14ac:dyDescent="0.2">
      <c r="A195" s="124"/>
      <c r="B195" s="144">
        <v>7</v>
      </c>
      <c r="C195" s="121">
        <v>0</v>
      </c>
      <c r="D195" s="121">
        <v>0</v>
      </c>
      <c r="E195" s="121">
        <v>0</v>
      </c>
      <c r="F195" s="121">
        <v>0</v>
      </c>
      <c r="G195" s="121">
        <v>0</v>
      </c>
      <c r="H195" s="121">
        <v>0</v>
      </c>
      <c r="I195" s="121">
        <v>0</v>
      </c>
      <c r="J195" s="121">
        <v>0</v>
      </c>
      <c r="K195" s="121">
        <v>0</v>
      </c>
      <c r="L195" s="121">
        <v>0</v>
      </c>
      <c r="M195" s="121">
        <v>0</v>
      </c>
      <c r="N195" s="121">
        <v>0</v>
      </c>
      <c r="O195" s="121">
        <v>0</v>
      </c>
      <c r="P195" s="121">
        <v>0</v>
      </c>
      <c r="Q195" s="121">
        <v>0</v>
      </c>
      <c r="R195" s="121">
        <v>0</v>
      </c>
      <c r="S195" s="121">
        <v>0</v>
      </c>
      <c r="T195" s="121">
        <v>0</v>
      </c>
      <c r="U195" s="121">
        <v>0</v>
      </c>
      <c r="V195" s="121">
        <v>0</v>
      </c>
      <c r="W195" s="121">
        <v>0</v>
      </c>
      <c r="X195" s="121">
        <v>0</v>
      </c>
      <c r="Y195" s="121">
        <v>0</v>
      </c>
      <c r="Z195" s="121">
        <v>0</v>
      </c>
      <c r="AA195" s="121">
        <v>0</v>
      </c>
      <c r="AB195" s="121">
        <v>0</v>
      </c>
      <c r="AC195" s="121">
        <v>0</v>
      </c>
      <c r="AD195" s="121">
        <v>0</v>
      </c>
      <c r="AE195" s="121">
        <v>0</v>
      </c>
      <c r="AF195" s="121">
        <v>0</v>
      </c>
      <c r="AG195" s="121">
        <v>0</v>
      </c>
      <c r="AH195" s="121">
        <v>0</v>
      </c>
      <c r="AI195" s="121">
        <v>0</v>
      </c>
      <c r="AJ195" s="121">
        <v>0</v>
      </c>
      <c r="AK195" s="121">
        <v>0</v>
      </c>
      <c r="AL195" s="121">
        <v>0</v>
      </c>
      <c r="AM195" s="121">
        <v>0</v>
      </c>
      <c r="AN195" s="121">
        <v>0</v>
      </c>
      <c r="AO195" s="121">
        <v>0</v>
      </c>
      <c r="AP195" s="121">
        <v>0</v>
      </c>
      <c r="AQ195" s="121">
        <v>0</v>
      </c>
      <c r="AR195" s="121">
        <v>0</v>
      </c>
      <c r="AS195" s="121">
        <v>0</v>
      </c>
      <c r="AT195" s="121">
        <v>0</v>
      </c>
      <c r="AU195" s="121">
        <v>0</v>
      </c>
      <c r="AV195" s="121">
        <v>0</v>
      </c>
      <c r="AW195" s="121">
        <v>0</v>
      </c>
      <c r="AX195" s="121">
        <v>0</v>
      </c>
      <c r="AY195" s="121">
        <v>0</v>
      </c>
    </row>
    <row r="196" spans="1:51" x14ac:dyDescent="0.2">
      <c r="A196" s="142"/>
      <c r="B196" s="143">
        <v>8</v>
      </c>
      <c r="C196" s="128">
        <v>0</v>
      </c>
      <c r="D196" s="128">
        <v>0</v>
      </c>
      <c r="E196" s="128">
        <v>0</v>
      </c>
      <c r="F196" s="128">
        <v>0</v>
      </c>
      <c r="G196" s="128">
        <v>0</v>
      </c>
      <c r="H196" s="128">
        <v>0</v>
      </c>
      <c r="I196" s="128">
        <v>0</v>
      </c>
      <c r="J196" s="128">
        <v>0</v>
      </c>
      <c r="K196" s="128">
        <v>0</v>
      </c>
      <c r="L196" s="128">
        <v>0</v>
      </c>
      <c r="M196" s="128">
        <v>0</v>
      </c>
      <c r="N196" s="128">
        <v>0</v>
      </c>
      <c r="O196" s="128">
        <v>0</v>
      </c>
      <c r="P196" s="128">
        <v>0</v>
      </c>
      <c r="Q196" s="128">
        <v>0</v>
      </c>
      <c r="R196" s="128">
        <v>0</v>
      </c>
      <c r="S196" s="128">
        <v>0</v>
      </c>
      <c r="T196" s="128">
        <v>0</v>
      </c>
      <c r="U196" s="128">
        <v>0</v>
      </c>
      <c r="V196" s="128">
        <v>0</v>
      </c>
      <c r="W196" s="128">
        <v>0</v>
      </c>
      <c r="X196" s="128">
        <v>0</v>
      </c>
      <c r="Y196" s="128">
        <v>0</v>
      </c>
      <c r="Z196" s="128">
        <v>0</v>
      </c>
      <c r="AA196" s="128">
        <v>0</v>
      </c>
      <c r="AB196" s="128">
        <v>0</v>
      </c>
      <c r="AC196" s="128">
        <v>0</v>
      </c>
      <c r="AD196" s="128">
        <v>0</v>
      </c>
      <c r="AE196" s="128">
        <v>0</v>
      </c>
      <c r="AF196" s="128">
        <v>0</v>
      </c>
      <c r="AG196" s="128">
        <v>0</v>
      </c>
      <c r="AH196" s="128">
        <v>0</v>
      </c>
      <c r="AI196" s="128">
        <v>0</v>
      </c>
      <c r="AJ196" s="128">
        <v>0</v>
      </c>
      <c r="AK196" s="128">
        <v>0</v>
      </c>
      <c r="AL196" s="128">
        <v>0</v>
      </c>
      <c r="AM196" s="128">
        <v>0</v>
      </c>
      <c r="AN196" s="128">
        <v>0</v>
      </c>
      <c r="AO196" s="128">
        <v>0</v>
      </c>
      <c r="AP196" s="128">
        <v>0</v>
      </c>
      <c r="AQ196" s="128">
        <v>0</v>
      </c>
      <c r="AR196" s="128">
        <v>0</v>
      </c>
      <c r="AS196" s="128">
        <v>0</v>
      </c>
      <c r="AT196" s="128">
        <v>0</v>
      </c>
      <c r="AU196" s="128">
        <v>0</v>
      </c>
      <c r="AV196" s="128">
        <v>0</v>
      </c>
      <c r="AW196" s="128">
        <v>0</v>
      </c>
      <c r="AX196" s="128">
        <v>0</v>
      </c>
      <c r="AY196" s="128">
        <v>0</v>
      </c>
    </row>
    <row r="197" spans="1:51" x14ac:dyDescent="0.2">
      <c r="A197" s="145" t="s">
        <v>134</v>
      </c>
      <c r="B197" s="133">
        <v>1</v>
      </c>
      <c r="C197" s="121">
        <v>0</v>
      </c>
      <c r="D197" s="121">
        <v>0</v>
      </c>
      <c r="E197" s="121">
        <v>0</v>
      </c>
      <c r="F197" s="121">
        <v>0</v>
      </c>
      <c r="G197" s="121">
        <v>0</v>
      </c>
      <c r="H197" s="121">
        <v>0</v>
      </c>
      <c r="I197" s="121">
        <v>0</v>
      </c>
      <c r="J197" s="121">
        <v>0</v>
      </c>
      <c r="K197" s="121">
        <v>0</v>
      </c>
      <c r="L197" s="121">
        <v>0</v>
      </c>
      <c r="M197" s="121">
        <v>0</v>
      </c>
      <c r="N197" s="121">
        <v>0</v>
      </c>
      <c r="O197" s="121">
        <v>0</v>
      </c>
      <c r="P197" s="121">
        <v>0</v>
      </c>
      <c r="Q197" s="121">
        <v>84.057800832886102</v>
      </c>
      <c r="R197" s="121">
        <v>84.057800832886102</v>
      </c>
      <c r="S197" s="121">
        <v>84.057800832886102</v>
      </c>
      <c r="T197" s="121">
        <v>84.057800832886102</v>
      </c>
      <c r="U197" s="121">
        <v>84.057800832886102</v>
      </c>
      <c r="V197" s="121">
        <v>84.057800832886102</v>
      </c>
      <c r="W197" s="121">
        <v>84.057800832886102</v>
      </c>
      <c r="X197" s="121">
        <v>84.057800832886102</v>
      </c>
      <c r="Y197" s="121">
        <v>84.057800832886102</v>
      </c>
      <c r="Z197" s="121">
        <v>84.057800832886102</v>
      </c>
      <c r="AA197" s="121">
        <v>84.057800832886102</v>
      </c>
      <c r="AB197" s="121">
        <v>84.057800832886102</v>
      </c>
      <c r="AC197" s="121">
        <v>84.057800832886102</v>
      </c>
      <c r="AD197" s="121">
        <v>84.057800832886102</v>
      </c>
      <c r="AE197" s="121">
        <v>84.057800832886102</v>
      </c>
      <c r="AF197" s="121">
        <v>84.057800832886102</v>
      </c>
      <c r="AG197" s="121">
        <v>84.057800832886102</v>
      </c>
      <c r="AH197" s="121">
        <v>84.057800832886102</v>
      </c>
      <c r="AI197" s="121">
        <v>84.057800832886102</v>
      </c>
      <c r="AJ197" s="121">
        <v>84.057800832886102</v>
      </c>
      <c r="AK197" s="121">
        <v>84.057800832886102</v>
      </c>
      <c r="AL197" s="121">
        <v>84.057800832886102</v>
      </c>
      <c r="AM197" s="121">
        <v>84.057800832886102</v>
      </c>
      <c r="AN197" s="121">
        <v>84.057800832886102</v>
      </c>
      <c r="AO197" s="121">
        <v>84.057800832886102</v>
      </c>
      <c r="AP197" s="121">
        <v>84.057800832886102</v>
      </c>
      <c r="AQ197" s="121">
        <v>84.057800832886102</v>
      </c>
      <c r="AR197" s="121">
        <v>84.057800832886102</v>
      </c>
      <c r="AS197" s="121">
        <v>84.057800832886102</v>
      </c>
      <c r="AT197" s="121">
        <v>84.057800832886102</v>
      </c>
      <c r="AU197" s="121">
        <v>84.057800832886102</v>
      </c>
      <c r="AV197" s="121">
        <v>84.057800832886102</v>
      </c>
      <c r="AW197" s="121">
        <v>84.057800832886102</v>
      </c>
      <c r="AX197" s="121">
        <v>84.057800832886102</v>
      </c>
      <c r="AY197" s="121">
        <v>84.057800832886102</v>
      </c>
    </row>
    <row r="198" spans="1:51" x14ac:dyDescent="0.2">
      <c r="A198" s="124"/>
      <c r="B198" s="133">
        <v>2</v>
      </c>
      <c r="C198" s="121">
        <v>0</v>
      </c>
      <c r="D198" s="121">
        <v>0</v>
      </c>
      <c r="E198" s="121">
        <v>0</v>
      </c>
      <c r="F198" s="121">
        <v>0</v>
      </c>
      <c r="G198" s="121">
        <v>0</v>
      </c>
      <c r="H198" s="121">
        <v>0</v>
      </c>
      <c r="I198" s="121">
        <v>0</v>
      </c>
      <c r="J198" s="121">
        <v>0</v>
      </c>
      <c r="K198" s="121">
        <v>0</v>
      </c>
      <c r="L198" s="121">
        <v>0</v>
      </c>
      <c r="M198" s="121">
        <v>0</v>
      </c>
      <c r="N198" s="121">
        <v>0</v>
      </c>
      <c r="O198" s="121">
        <v>0</v>
      </c>
      <c r="P198" s="121">
        <v>0</v>
      </c>
      <c r="Q198" s="121">
        <v>84.057800832886102</v>
      </c>
      <c r="R198" s="121">
        <v>0</v>
      </c>
      <c r="S198" s="121">
        <v>0</v>
      </c>
      <c r="T198" s="121">
        <v>0</v>
      </c>
      <c r="U198" s="121">
        <v>0</v>
      </c>
      <c r="V198" s="121">
        <v>0</v>
      </c>
      <c r="W198" s="121">
        <v>0</v>
      </c>
      <c r="X198" s="121">
        <v>0</v>
      </c>
      <c r="Y198" s="121">
        <v>0</v>
      </c>
      <c r="Z198" s="121">
        <v>0</v>
      </c>
      <c r="AA198" s="121">
        <v>0</v>
      </c>
      <c r="AB198" s="121">
        <v>0</v>
      </c>
      <c r="AC198" s="121">
        <v>0</v>
      </c>
      <c r="AD198" s="121">
        <v>0</v>
      </c>
      <c r="AE198" s="121">
        <v>0</v>
      </c>
      <c r="AF198" s="121">
        <v>0</v>
      </c>
      <c r="AG198" s="121">
        <v>0</v>
      </c>
      <c r="AH198" s="121">
        <v>0</v>
      </c>
      <c r="AI198" s="121">
        <v>0</v>
      </c>
      <c r="AJ198" s="121">
        <v>0</v>
      </c>
      <c r="AK198" s="121">
        <v>0</v>
      </c>
      <c r="AL198" s="121">
        <v>0</v>
      </c>
      <c r="AM198" s="121">
        <v>0</v>
      </c>
      <c r="AN198" s="121">
        <v>0</v>
      </c>
      <c r="AO198" s="121">
        <v>0</v>
      </c>
      <c r="AP198" s="121">
        <v>0</v>
      </c>
      <c r="AQ198" s="121">
        <v>0</v>
      </c>
      <c r="AR198" s="121">
        <v>0</v>
      </c>
      <c r="AS198" s="121">
        <v>0</v>
      </c>
      <c r="AT198" s="121">
        <v>0</v>
      </c>
      <c r="AU198" s="121">
        <v>0</v>
      </c>
      <c r="AV198" s="121">
        <v>0</v>
      </c>
      <c r="AW198" s="121">
        <v>0</v>
      </c>
      <c r="AX198" s="121">
        <v>0</v>
      </c>
      <c r="AY198" s="121">
        <v>0</v>
      </c>
    </row>
    <row r="199" spans="1:51" x14ac:dyDescent="0.2">
      <c r="A199" s="124"/>
      <c r="B199" s="133">
        <v>3</v>
      </c>
      <c r="C199" s="121">
        <v>0</v>
      </c>
      <c r="D199" s="121">
        <v>0</v>
      </c>
      <c r="E199" s="121">
        <v>0</v>
      </c>
      <c r="F199" s="121">
        <v>0</v>
      </c>
      <c r="G199" s="121">
        <v>0</v>
      </c>
      <c r="H199" s="121">
        <v>0</v>
      </c>
      <c r="I199" s="121">
        <v>0</v>
      </c>
      <c r="J199" s="121">
        <v>0</v>
      </c>
      <c r="K199" s="121">
        <v>0</v>
      </c>
      <c r="L199" s="121">
        <v>0</v>
      </c>
      <c r="M199" s="121">
        <v>0</v>
      </c>
      <c r="N199" s="121">
        <v>0</v>
      </c>
      <c r="O199" s="121">
        <v>0</v>
      </c>
      <c r="P199" s="121">
        <v>0</v>
      </c>
      <c r="Q199" s="121">
        <v>84.057800832886102</v>
      </c>
      <c r="R199" s="121">
        <v>0</v>
      </c>
      <c r="S199" s="121">
        <v>0</v>
      </c>
      <c r="T199" s="121">
        <v>0</v>
      </c>
      <c r="U199" s="121">
        <v>0</v>
      </c>
      <c r="V199" s="121">
        <v>0</v>
      </c>
      <c r="W199" s="121">
        <v>0</v>
      </c>
      <c r="X199" s="121">
        <v>0</v>
      </c>
      <c r="Y199" s="121">
        <v>0</v>
      </c>
      <c r="Z199" s="121">
        <v>0</v>
      </c>
      <c r="AA199" s="121">
        <v>0</v>
      </c>
      <c r="AB199" s="121">
        <v>0</v>
      </c>
      <c r="AC199" s="121">
        <v>0</v>
      </c>
      <c r="AD199" s="121">
        <v>0</v>
      </c>
      <c r="AE199" s="121">
        <v>0</v>
      </c>
      <c r="AF199" s="121">
        <v>0</v>
      </c>
      <c r="AG199" s="121">
        <v>0</v>
      </c>
      <c r="AH199" s="121">
        <v>0</v>
      </c>
      <c r="AI199" s="121">
        <v>0</v>
      </c>
      <c r="AJ199" s="121">
        <v>0</v>
      </c>
      <c r="AK199" s="121">
        <v>0</v>
      </c>
      <c r="AL199" s="121">
        <v>0</v>
      </c>
      <c r="AM199" s="121">
        <v>0</v>
      </c>
      <c r="AN199" s="121">
        <v>0</v>
      </c>
      <c r="AO199" s="121">
        <v>0</v>
      </c>
      <c r="AP199" s="121">
        <v>0</v>
      </c>
      <c r="AQ199" s="121">
        <v>0</v>
      </c>
      <c r="AR199" s="121">
        <v>0</v>
      </c>
      <c r="AS199" s="121">
        <v>0</v>
      </c>
      <c r="AT199" s="121">
        <v>0</v>
      </c>
      <c r="AU199" s="121">
        <v>0</v>
      </c>
      <c r="AV199" s="121">
        <v>0</v>
      </c>
      <c r="AW199" s="121">
        <v>0</v>
      </c>
      <c r="AX199" s="121">
        <v>0</v>
      </c>
      <c r="AY199" s="121">
        <v>0</v>
      </c>
    </row>
    <row r="200" spans="1:51" x14ac:dyDescent="0.2">
      <c r="A200" s="124"/>
      <c r="B200" s="134">
        <v>4</v>
      </c>
      <c r="C200" s="121">
        <v>0</v>
      </c>
      <c r="D200" s="121">
        <v>0</v>
      </c>
      <c r="E200" s="121">
        <v>0</v>
      </c>
      <c r="F200" s="121">
        <v>0</v>
      </c>
      <c r="G200" s="121">
        <v>0</v>
      </c>
      <c r="H200" s="121">
        <v>0</v>
      </c>
      <c r="I200" s="121">
        <v>0</v>
      </c>
      <c r="J200" s="121">
        <v>0</v>
      </c>
      <c r="K200" s="121">
        <v>0</v>
      </c>
      <c r="L200" s="121">
        <v>0</v>
      </c>
      <c r="M200" s="121">
        <v>0</v>
      </c>
      <c r="N200" s="121">
        <v>0</v>
      </c>
      <c r="O200" s="121">
        <v>0</v>
      </c>
      <c r="P200" s="121">
        <v>0</v>
      </c>
      <c r="Q200" s="121">
        <v>84.057800832886102</v>
      </c>
      <c r="R200" s="121">
        <v>0</v>
      </c>
      <c r="S200" s="121">
        <v>0</v>
      </c>
      <c r="T200" s="121">
        <v>0</v>
      </c>
      <c r="U200" s="121">
        <v>0</v>
      </c>
      <c r="V200" s="121">
        <v>0</v>
      </c>
      <c r="W200" s="121">
        <v>0</v>
      </c>
      <c r="X200" s="121">
        <v>0</v>
      </c>
      <c r="Y200" s="121">
        <v>0</v>
      </c>
      <c r="Z200" s="121">
        <v>0</v>
      </c>
      <c r="AA200" s="121">
        <v>0</v>
      </c>
      <c r="AB200" s="121">
        <v>0</v>
      </c>
      <c r="AC200" s="121">
        <v>0</v>
      </c>
      <c r="AD200" s="121">
        <v>0</v>
      </c>
      <c r="AE200" s="121">
        <v>0</v>
      </c>
      <c r="AF200" s="121">
        <v>0</v>
      </c>
      <c r="AG200" s="121">
        <v>0</v>
      </c>
      <c r="AH200" s="121">
        <v>0</v>
      </c>
      <c r="AI200" s="121">
        <v>0</v>
      </c>
      <c r="AJ200" s="121">
        <v>0</v>
      </c>
      <c r="AK200" s="121">
        <v>0</v>
      </c>
      <c r="AL200" s="121">
        <v>0</v>
      </c>
      <c r="AM200" s="121">
        <v>0</v>
      </c>
      <c r="AN200" s="121">
        <v>0</v>
      </c>
      <c r="AO200" s="121">
        <v>0</v>
      </c>
      <c r="AP200" s="121">
        <v>0</v>
      </c>
      <c r="AQ200" s="121">
        <v>0</v>
      </c>
      <c r="AR200" s="121">
        <v>0</v>
      </c>
      <c r="AS200" s="121">
        <v>0</v>
      </c>
      <c r="AT200" s="121">
        <v>0</v>
      </c>
      <c r="AU200" s="121">
        <v>0</v>
      </c>
      <c r="AV200" s="121">
        <v>0</v>
      </c>
      <c r="AW200" s="121">
        <v>0</v>
      </c>
      <c r="AX200" s="121">
        <v>0</v>
      </c>
      <c r="AY200" s="121">
        <v>0</v>
      </c>
    </row>
    <row r="201" spans="1:51" x14ac:dyDescent="0.2">
      <c r="A201" s="124"/>
      <c r="B201" s="134">
        <v>5</v>
      </c>
      <c r="C201" s="121">
        <v>0</v>
      </c>
      <c r="D201" s="121">
        <v>0</v>
      </c>
      <c r="E201" s="121">
        <v>0</v>
      </c>
      <c r="F201" s="121">
        <v>0</v>
      </c>
      <c r="G201" s="121">
        <v>0</v>
      </c>
      <c r="H201" s="121">
        <v>0</v>
      </c>
      <c r="I201" s="121">
        <v>0</v>
      </c>
      <c r="J201" s="121">
        <v>0</v>
      </c>
      <c r="K201" s="121">
        <v>0</v>
      </c>
      <c r="L201" s="121">
        <v>0</v>
      </c>
      <c r="M201" s="121">
        <v>0</v>
      </c>
      <c r="N201" s="121">
        <v>0</v>
      </c>
      <c r="O201" s="121">
        <v>0</v>
      </c>
      <c r="P201" s="121">
        <v>0</v>
      </c>
      <c r="Q201" s="121">
        <v>84.057800832886102</v>
      </c>
      <c r="R201" s="121">
        <v>0</v>
      </c>
      <c r="S201" s="121">
        <v>0</v>
      </c>
      <c r="T201" s="121">
        <v>0</v>
      </c>
      <c r="U201" s="121">
        <v>0</v>
      </c>
      <c r="V201" s="121">
        <v>0</v>
      </c>
      <c r="W201" s="121">
        <v>0</v>
      </c>
      <c r="X201" s="121">
        <v>0</v>
      </c>
      <c r="Y201" s="121">
        <v>0</v>
      </c>
      <c r="Z201" s="121">
        <v>0</v>
      </c>
      <c r="AA201" s="121">
        <v>0</v>
      </c>
      <c r="AB201" s="121">
        <v>0</v>
      </c>
      <c r="AC201" s="121">
        <v>0</v>
      </c>
      <c r="AD201" s="121">
        <v>0</v>
      </c>
      <c r="AE201" s="121">
        <v>0</v>
      </c>
      <c r="AF201" s="121">
        <v>0</v>
      </c>
      <c r="AG201" s="121">
        <v>0</v>
      </c>
      <c r="AH201" s="121">
        <v>0</v>
      </c>
      <c r="AI201" s="121">
        <v>0</v>
      </c>
      <c r="AJ201" s="121">
        <v>0</v>
      </c>
      <c r="AK201" s="121">
        <v>0</v>
      </c>
      <c r="AL201" s="121">
        <v>0</v>
      </c>
      <c r="AM201" s="121">
        <v>0</v>
      </c>
      <c r="AN201" s="121">
        <v>0</v>
      </c>
      <c r="AO201" s="121">
        <v>0</v>
      </c>
      <c r="AP201" s="121">
        <v>0</v>
      </c>
      <c r="AQ201" s="121">
        <v>0</v>
      </c>
      <c r="AR201" s="121">
        <v>0</v>
      </c>
      <c r="AS201" s="121">
        <v>0</v>
      </c>
      <c r="AT201" s="121">
        <v>0</v>
      </c>
      <c r="AU201" s="121">
        <v>0</v>
      </c>
      <c r="AV201" s="121">
        <v>0</v>
      </c>
      <c r="AW201" s="121">
        <v>0</v>
      </c>
      <c r="AX201" s="121">
        <v>0</v>
      </c>
      <c r="AY201" s="121">
        <v>0</v>
      </c>
    </row>
    <row r="202" spans="1:51" x14ac:dyDescent="0.2">
      <c r="A202" s="124"/>
      <c r="B202" s="134">
        <v>6</v>
      </c>
      <c r="C202" s="121">
        <v>0</v>
      </c>
      <c r="D202" s="121">
        <v>0</v>
      </c>
      <c r="E202" s="121">
        <v>0</v>
      </c>
      <c r="F202" s="121">
        <v>0</v>
      </c>
      <c r="G202" s="121">
        <v>0</v>
      </c>
      <c r="H202" s="121">
        <v>0</v>
      </c>
      <c r="I202" s="121">
        <v>0</v>
      </c>
      <c r="J202" s="121">
        <v>0</v>
      </c>
      <c r="K202" s="121">
        <v>0</v>
      </c>
      <c r="L202" s="121">
        <v>0</v>
      </c>
      <c r="M202" s="121">
        <v>0</v>
      </c>
      <c r="N202" s="121">
        <v>0</v>
      </c>
      <c r="O202" s="121">
        <v>0</v>
      </c>
      <c r="P202" s="121">
        <v>0</v>
      </c>
      <c r="Q202" s="121">
        <v>84.057800832886102</v>
      </c>
      <c r="R202" s="121">
        <v>0</v>
      </c>
      <c r="S202" s="121">
        <v>0</v>
      </c>
      <c r="T202" s="121">
        <v>0</v>
      </c>
      <c r="U202" s="121">
        <v>0</v>
      </c>
      <c r="V202" s="121">
        <v>0</v>
      </c>
      <c r="W202" s="121">
        <v>0</v>
      </c>
      <c r="X202" s="121">
        <v>0</v>
      </c>
      <c r="Y202" s="121">
        <v>0</v>
      </c>
      <c r="Z202" s="121">
        <v>0</v>
      </c>
      <c r="AA202" s="121">
        <v>0</v>
      </c>
      <c r="AB202" s="121">
        <v>0</v>
      </c>
      <c r="AC202" s="121">
        <v>0</v>
      </c>
      <c r="AD202" s="121">
        <v>0</v>
      </c>
      <c r="AE202" s="121">
        <v>0</v>
      </c>
      <c r="AF202" s="121">
        <v>0</v>
      </c>
      <c r="AG202" s="121">
        <v>0</v>
      </c>
      <c r="AH202" s="121">
        <v>0</v>
      </c>
      <c r="AI202" s="121">
        <v>0</v>
      </c>
      <c r="AJ202" s="121">
        <v>0</v>
      </c>
      <c r="AK202" s="121">
        <v>0</v>
      </c>
      <c r="AL202" s="121">
        <v>0</v>
      </c>
      <c r="AM202" s="121">
        <v>0</v>
      </c>
      <c r="AN202" s="121">
        <v>0</v>
      </c>
      <c r="AO202" s="121">
        <v>0</v>
      </c>
      <c r="AP202" s="121">
        <v>0</v>
      </c>
      <c r="AQ202" s="121">
        <v>0</v>
      </c>
      <c r="AR202" s="121">
        <v>0</v>
      </c>
      <c r="AS202" s="121">
        <v>0</v>
      </c>
      <c r="AT202" s="121">
        <v>0</v>
      </c>
      <c r="AU202" s="121">
        <v>0</v>
      </c>
      <c r="AV202" s="121">
        <v>0</v>
      </c>
      <c r="AW202" s="121">
        <v>0</v>
      </c>
      <c r="AX202" s="121">
        <v>0</v>
      </c>
      <c r="AY202" s="121">
        <v>0</v>
      </c>
    </row>
    <row r="203" spans="1:51" x14ac:dyDescent="0.2">
      <c r="A203" s="124"/>
      <c r="B203" s="141">
        <v>7</v>
      </c>
      <c r="C203" s="121">
        <v>0</v>
      </c>
      <c r="D203" s="121">
        <v>0</v>
      </c>
      <c r="E203" s="121">
        <v>0</v>
      </c>
      <c r="F203" s="121">
        <v>0</v>
      </c>
      <c r="G203" s="121">
        <v>0</v>
      </c>
      <c r="H203" s="121">
        <v>0</v>
      </c>
      <c r="I203" s="121">
        <v>0</v>
      </c>
      <c r="J203" s="121">
        <v>0</v>
      </c>
      <c r="K203" s="121">
        <v>0</v>
      </c>
      <c r="L203" s="121">
        <v>0</v>
      </c>
      <c r="M203" s="121">
        <v>0</v>
      </c>
      <c r="N203" s="121">
        <v>0</v>
      </c>
      <c r="O203" s="121">
        <v>0</v>
      </c>
      <c r="P203" s="121">
        <v>0</v>
      </c>
      <c r="Q203" s="121">
        <v>84.057800832886102</v>
      </c>
      <c r="R203" s="121">
        <v>0</v>
      </c>
      <c r="S203" s="121">
        <v>0</v>
      </c>
      <c r="T203" s="121">
        <v>0</v>
      </c>
      <c r="U203" s="121">
        <v>0</v>
      </c>
      <c r="V203" s="121">
        <v>0</v>
      </c>
      <c r="W203" s="121">
        <v>0</v>
      </c>
      <c r="X203" s="121">
        <v>0</v>
      </c>
      <c r="Y203" s="121">
        <v>0</v>
      </c>
      <c r="Z203" s="121">
        <v>0</v>
      </c>
      <c r="AA203" s="121">
        <v>0</v>
      </c>
      <c r="AB203" s="121">
        <v>0</v>
      </c>
      <c r="AC203" s="121">
        <v>0</v>
      </c>
      <c r="AD203" s="121">
        <v>0</v>
      </c>
      <c r="AE203" s="121">
        <v>0</v>
      </c>
      <c r="AF203" s="121">
        <v>0</v>
      </c>
      <c r="AG203" s="121">
        <v>0</v>
      </c>
      <c r="AH203" s="121">
        <v>0</v>
      </c>
      <c r="AI203" s="121">
        <v>0</v>
      </c>
      <c r="AJ203" s="121">
        <v>0</v>
      </c>
      <c r="AK203" s="121">
        <v>0</v>
      </c>
      <c r="AL203" s="121">
        <v>0</v>
      </c>
      <c r="AM203" s="121">
        <v>0</v>
      </c>
      <c r="AN203" s="121">
        <v>0</v>
      </c>
      <c r="AO203" s="121">
        <v>0</v>
      </c>
      <c r="AP203" s="121">
        <v>0</v>
      </c>
      <c r="AQ203" s="121">
        <v>0</v>
      </c>
      <c r="AR203" s="121">
        <v>0</v>
      </c>
      <c r="AS203" s="121">
        <v>0</v>
      </c>
      <c r="AT203" s="121">
        <v>0</v>
      </c>
      <c r="AU203" s="121">
        <v>0</v>
      </c>
      <c r="AV203" s="121">
        <v>0</v>
      </c>
      <c r="AW203" s="121">
        <v>0</v>
      </c>
      <c r="AX203" s="121">
        <v>0</v>
      </c>
      <c r="AY203" s="121">
        <v>0</v>
      </c>
    </row>
    <row r="204" spans="1:51" x14ac:dyDescent="0.2">
      <c r="A204" s="124"/>
      <c r="B204" s="141">
        <v>8</v>
      </c>
      <c r="C204" s="121">
        <v>0</v>
      </c>
      <c r="D204" s="121">
        <v>0</v>
      </c>
      <c r="E204" s="121">
        <v>0</v>
      </c>
      <c r="F204" s="121">
        <v>0</v>
      </c>
      <c r="G204" s="121">
        <v>0</v>
      </c>
      <c r="H204" s="121">
        <v>0</v>
      </c>
      <c r="I204" s="121">
        <v>0</v>
      </c>
      <c r="J204" s="121">
        <v>0</v>
      </c>
      <c r="K204" s="121">
        <v>0</v>
      </c>
      <c r="L204" s="121">
        <v>0</v>
      </c>
      <c r="M204" s="121">
        <v>0</v>
      </c>
      <c r="N204" s="121">
        <v>0</v>
      </c>
      <c r="O204" s="121">
        <v>0</v>
      </c>
      <c r="P204" s="121">
        <v>63.448373282962166</v>
      </c>
      <c r="Q204" s="121">
        <v>84.057800832886102</v>
      </c>
      <c r="R204" s="121">
        <v>0</v>
      </c>
      <c r="S204" s="121">
        <v>0</v>
      </c>
      <c r="T204" s="121">
        <v>0</v>
      </c>
      <c r="U204" s="121">
        <v>0</v>
      </c>
      <c r="V204" s="121">
        <v>0</v>
      </c>
      <c r="W204" s="121">
        <v>0</v>
      </c>
      <c r="X204" s="121">
        <v>0</v>
      </c>
      <c r="Y204" s="121">
        <v>0</v>
      </c>
      <c r="Z204" s="121">
        <v>0</v>
      </c>
      <c r="AA204" s="121">
        <v>0</v>
      </c>
      <c r="AB204" s="121">
        <v>0</v>
      </c>
      <c r="AC204" s="121">
        <v>0</v>
      </c>
      <c r="AD204" s="121">
        <v>0</v>
      </c>
      <c r="AE204" s="121">
        <v>0</v>
      </c>
      <c r="AF204" s="121">
        <v>0</v>
      </c>
      <c r="AG204" s="121">
        <v>0</v>
      </c>
      <c r="AH204" s="121">
        <v>0</v>
      </c>
      <c r="AI204" s="121">
        <v>0</v>
      </c>
      <c r="AJ204" s="121">
        <v>0</v>
      </c>
      <c r="AK204" s="121">
        <v>0</v>
      </c>
      <c r="AL204" s="121">
        <v>0</v>
      </c>
      <c r="AM204" s="121">
        <v>0</v>
      </c>
      <c r="AN204" s="121">
        <v>0</v>
      </c>
      <c r="AO204" s="121">
        <v>0</v>
      </c>
      <c r="AP204" s="121">
        <v>0</v>
      </c>
      <c r="AQ204" s="121">
        <v>0</v>
      </c>
      <c r="AR204" s="121">
        <v>0</v>
      </c>
      <c r="AS204" s="121">
        <v>0</v>
      </c>
      <c r="AT204" s="121">
        <v>0</v>
      </c>
      <c r="AU204" s="121">
        <v>0</v>
      </c>
      <c r="AV204" s="121">
        <v>0</v>
      </c>
      <c r="AW204" s="121">
        <v>0</v>
      </c>
      <c r="AX204" s="121">
        <v>0</v>
      </c>
      <c r="AY204" s="121">
        <v>0</v>
      </c>
    </row>
    <row r="205" spans="1:51" x14ac:dyDescent="0.2">
      <c r="A205" s="124"/>
      <c r="B205" s="141">
        <v>9</v>
      </c>
      <c r="C205" s="121">
        <v>0</v>
      </c>
      <c r="D205" s="121">
        <v>0</v>
      </c>
      <c r="E205" s="121">
        <v>0</v>
      </c>
      <c r="F205" s="121">
        <v>0</v>
      </c>
      <c r="G205" s="121">
        <v>0</v>
      </c>
      <c r="H205" s="121">
        <v>0</v>
      </c>
      <c r="I205" s="121">
        <v>0</v>
      </c>
      <c r="J205" s="121">
        <v>0</v>
      </c>
      <c r="K205" s="121">
        <v>0</v>
      </c>
      <c r="L205" s="121">
        <v>0</v>
      </c>
      <c r="M205" s="121">
        <v>0</v>
      </c>
      <c r="N205" s="121">
        <v>0</v>
      </c>
      <c r="O205" s="121">
        <v>0</v>
      </c>
      <c r="P205" s="121">
        <v>84.057800832886102</v>
      </c>
      <c r="Q205" s="121">
        <v>20.609427549923936</v>
      </c>
      <c r="R205" s="121">
        <v>0</v>
      </c>
      <c r="S205" s="121">
        <v>0</v>
      </c>
      <c r="T205" s="121">
        <v>0</v>
      </c>
      <c r="U205" s="121">
        <v>0</v>
      </c>
      <c r="V205" s="121">
        <v>0</v>
      </c>
      <c r="W205" s="121">
        <v>0</v>
      </c>
      <c r="X205" s="121">
        <v>0</v>
      </c>
      <c r="Y205" s="121">
        <v>0</v>
      </c>
      <c r="Z205" s="121">
        <v>0</v>
      </c>
      <c r="AA205" s="121">
        <v>0</v>
      </c>
      <c r="AB205" s="121">
        <v>0</v>
      </c>
      <c r="AC205" s="121">
        <v>0</v>
      </c>
      <c r="AD205" s="121">
        <v>0</v>
      </c>
      <c r="AE205" s="121">
        <v>0</v>
      </c>
      <c r="AF205" s="121">
        <v>0</v>
      </c>
      <c r="AG205" s="121">
        <v>0</v>
      </c>
      <c r="AH205" s="121">
        <v>0</v>
      </c>
      <c r="AI205" s="121">
        <v>0</v>
      </c>
      <c r="AJ205" s="121">
        <v>0</v>
      </c>
      <c r="AK205" s="121">
        <v>0</v>
      </c>
      <c r="AL205" s="121">
        <v>0</v>
      </c>
      <c r="AM205" s="121">
        <v>0</v>
      </c>
      <c r="AN205" s="121">
        <v>0</v>
      </c>
      <c r="AO205" s="121">
        <v>0</v>
      </c>
      <c r="AP205" s="121">
        <v>0</v>
      </c>
      <c r="AQ205" s="121">
        <v>0</v>
      </c>
      <c r="AR205" s="121">
        <v>0</v>
      </c>
      <c r="AS205" s="121">
        <v>0</v>
      </c>
      <c r="AT205" s="121">
        <v>0</v>
      </c>
      <c r="AU205" s="121">
        <v>0</v>
      </c>
      <c r="AV205" s="121">
        <v>0</v>
      </c>
      <c r="AW205" s="121">
        <v>0</v>
      </c>
      <c r="AX205" s="121">
        <v>0</v>
      </c>
      <c r="AY205" s="121">
        <v>0</v>
      </c>
    </row>
    <row r="206" spans="1:51" x14ac:dyDescent="0.2">
      <c r="A206" s="124"/>
      <c r="B206" s="144">
        <v>10</v>
      </c>
      <c r="C206" s="121">
        <v>0</v>
      </c>
      <c r="D206" s="121">
        <v>0</v>
      </c>
      <c r="E206" s="121">
        <v>0</v>
      </c>
      <c r="F206" s="121">
        <v>0</v>
      </c>
      <c r="G206" s="121">
        <v>0</v>
      </c>
      <c r="H206" s="121">
        <v>0</v>
      </c>
      <c r="I206" s="121">
        <v>0</v>
      </c>
      <c r="J206" s="121">
        <v>0</v>
      </c>
      <c r="K206" s="121">
        <v>0</v>
      </c>
      <c r="L206" s="121">
        <v>0</v>
      </c>
      <c r="M206" s="121">
        <v>0</v>
      </c>
      <c r="N206" s="121">
        <v>0</v>
      </c>
      <c r="O206" s="121">
        <v>0</v>
      </c>
      <c r="P206" s="121">
        <v>84.057800832886102</v>
      </c>
      <c r="Q206" s="121">
        <v>0</v>
      </c>
      <c r="R206" s="121">
        <v>0</v>
      </c>
      <c r="S206" s="121">
        <v>0</v>
      </c>
      <c r="T206" s="121">
        <v>0</v>
      </c>
      <c r="U206" s="121">
        <v>0</v>
      </c>
      <c r="V206" s="121">
        <v>0</v>
      </c>
      <c r="W206" s="121">
        <v>0</v>
      </c>
      <c r="X206" s="121">
        <v>0</v>
      </c>
      <c r="Y206" s="121">
        <v>0</v>
      </c>
      <c r="Z206" s="121">
        <v>0</v>
      </c>
      <c r="AA206" s="121">
        <v>0</v>
      </c>
      <c r="AB206" s="121">
        <v>0</v>
      </c>
      <c r="AC206" s="121">
        <v>0</v>
      </c>
      <c r="AD206" s="121">
        <v>0</v>
      </c>
      <c r="AE206" s="121">
        <v>0</v>
      </c>
      <c r="AF206" s="121">
        <v>0</v>
      </c>
      <c r="AG206" s="121">
        <v>0</v>
      </c>
      <c r="AH206" s="121">
        <v>0</v>
      </c>
      <c r="AI206" s="121">
        <v>0</v>
      </c>
      <c r="AJ206" s="121">
        <v>0</v>
      </c>
      <c r="AK206" s="121">
        <v>0</v>
      </c>
      <c r="AL206" s="121">
        <v>0</v>
      </c>
      <c r="AM206" s="121">
        <v>0</v>
      </c>
      <c r="AN206" s="121">
        <v>0</v>
      </c>
      <c r="AO206" s="121">
        <v>0</v>
      </c>
      <c r="AP206" s="121">
        <v>0</v>
      </c>
      <c r="AQ206" s="121">
        <v>0</v>
      </c>
      <c r="AR206" s="121">
        <v>0</v>
      </c>
      <c r="AS206" s="121">
        <v>0</v>
      </c>
      <c r="AT206" s="121">
        <v>0</v>
      </c>
      <c r="AU206" s="121">
        <v>0</v>
      </c>
      <c r="AV206" s="121">
        <v>0</v>
      </c>
      <c r="AW206" s="121">
        <v>0</v>
      </c>
      <c r="AX206" s="121">
        <v>0</v>
      </c>
      <c r="AY206" s="121">
        <v>0</v>
      </c>
    </row>
    <row r="207" spans="1:51" x14ac:dyDescent="0.2">
      <c r="A207" s="124"/>
      <c r="B207" s="144">
        <v>11</v>
      </c>
      <c r="C207" s="121">
        <v>0</v>
      </c>
      <c r="D207" s="121">
        <v>0</v>
      </c>
      <c r="E207" s="121">
        <v>0</v>
      </c>
      <c r="F207" s="121">
        <v>0</v>
      </c>
      <c r="G207" s="121">
        <v>0</v>
      </c>
      <c r="H207" s="121">
        <v>0</v>
      </c>
      <c r="I207" s="121">
        <v>0</v>
      </c>
      <c r="J207" s="121">
        <v>0</v>
      </c>
      <c r="K207" s="121">
        <v>0</v>
      </c>
      <c r="L207" s="121">
        <v>0</v>
      </c>
      <c r="M207" s="121">
        <v>0</v>
      </c>
      <c r="N207" s="121">
        <v>0</v>
      </c>
      <c r="O207" s="121">
        <v>0</v>
      </c>
      <c r="P207" s="121">
        <v>98.244506543299124</v>
      </c>
      <c r="Q207" s="121">
        <v>0</v>
      </c>
      <c r="R207" s="121">
        <v>0</v>
      </c>
      <c r="S207" s="121">
        <v>0</v>
      </c>
      <c r="T207" s="121">
        <v>0</v>
      </c>
      <c r="U207" s="121">
        <v>0</v>
      </c>
      <c r="V207" s="121">
        <v>0</v>
      </c>
      <c r="W207" s="121">
        <v>0</v>
      </c>
      <c r="X207" s="121">
        <v>0</v>
      </c>
      <c r="Y207" s="121">
        <v>0</v>
      </c>
      <c r="Z207" s="121">
        <v>0</v>
      </c>
      <c r="AA207" s="121">
        <v>0</v>
      </c>
      <c r="AB207" s="121">
        <v>0</v>
      </c>
      <c r="AC207" s="121">
        <v>0</v>
      </c>
      <c r="AD207" s="121">
        <v>0</v>
      </c>
      <c r="AE207" s="121">
        <v>0</v>
      </c>
      <c r="AF207" s="121">
        <v>0</v>
      </c>
      <c r="AG207" s="121">
        <v>0</v>
      </c>
      <c r="AH207" s="121">
        <v>0</v>
      </c>
      <c r="AI207" s="121">
        <v>0</v>
      </c>
      <c r="AJ207" s="121">
        <v>0</v>
      </c>
      <c r="AK207" s="121">
        <v>0</v>
      </c>
      <c r="AL207" s="121">
        <v>0</v>
      </c>
      <c r="AM207" s="121">
        <v>0</v>
      </c>
      <c r="AN207" s="121">
        <v>0</v>
      </c>
      <c r="AO207" s="121">
        <v>0</v>
      </c>
      <c r="AP207" s="121">
        <v>0</v>
      </c>
      <c r="AQ207" s="121">
        <v>0</v>
      </c>
      <c r="AR207" s="121">
        <v>0</v>
      </c>
      <c r="AS207" s="121">
        <v>0</v>
      </c>
      <c r="AT207" s="121">
        <v>0</v>
      </c>
      <c r="AU207" s="121">
        <v>0</v>
      </c>
      <c r="AV207" s="121">
        <v>0</v>
      </c>
      <c r="AW207" s="121">
        <v>0</v>
      </c>
      <c r="AX207" s="121">
        <v>0</v>
      </c>
      <c r="AY207" s="121">
        <v>0</v>
      </c>
    </row>
    <row r="208" spans="1:51" x14ac:dyDescent="0.2">
      <c r="A208" s="124"/>
      <c r="B208" s="144">
        <v>12</v>
      </c>
      <c r="C208" s="121">
        <v>517.73846897087424</v>
      </c>
      <c r="D208" s="121">
        <v>638.4322681616236</v>
      </c>
      <c r="E208" s="121">
        <v>634.62563370875364</v>
      </c>
      <c r="F208" s="121">
        <v>670.70474670644398</v>
      </c>
      <c r="G208" s="121">
        <v>568.04640095181435</v>
      </c>
      <c r="H208" s="121">
        <v>590.09393123731309</v>
      </c>
      <c r="I208" s="121">
        <v>663</v>
      </c>
      <c r="J208" s="121">
        <v>558.61958997722093</v>
      </c>
      <c r="K208" s="121">
        <v>670.19662228796847</v>
      </c>
      <c r="L208" s="121">
        <v>666.11099585062243</v>
      </c>
      <c r="M208" s="121">
        <v>557.67095643812149</v>
      </c>
      <c r="N208" s="121">
        <v>651.40714766925589</v>
      </c>
      <c r="O208" s="121">
        <v>574.32038834951459</v>
      </c>
      <c r="P208" s="121">
        <v>418.13582593295291</v>
      </c>
      <c r="Q208" s="121">
        <v>0</v>
      </c>
      <c r="R208" s="121">
        <v>0</v>
      </c>
      <c r="S208" s="121">
        <v>0</v>
      </c>
      <c r="T208" s="121">
        <v>0</v>
      </c>
      <c r="U208" s="121">
        <v>0</v>
      </c>
      <c r="V208" s="121">
        <v>0</v>
      </c>
      <c r="W208" s="121">
        <v>0</v>
      </c>
      <c r="X208" s="121">
        <v>0</v>
      </c>
      <c r="Y208" s="121">
        <v>0</v>
      </c>
      <c r="Z208" s="121">
        <v>0</v>
      </c>
      <c r="AA208" s="121">
        <v>0</v>
      </c>
      <c r="AB208" s="121">
        <v>0</v>
      </c>
      <c r="AC208" s="121">
        <v>0</v>
      </c>
      <c r="AD208" s="121">
        <v>0</v>
      </c>
      <c r="AE208" s="121">
        <v>0</v>
      </c>
      <c r="AF208" s="121">
        <v>0</v>
      </c>
      <c r="AG208" s="121">
        <v>0</v>
      </c>
      <c r="AH208" s="121">
        <v>0</v>
      </c>
      <c r="AI208" s="121">
        <v>0</v>
      </c>
      <c r="AJ208" s="121">
        <v>0</v>
      </c>
      <c r="AK208" s="121">
        <v>0</v>
      </c>
      <c r="AL208" s="121">
        <v>0</v>
      </c>
      <c r="AM208" s="121">
        <v>0</v>
      </c>
      <c r="AN208" s="121">
        <v>0</v>
      </c>
      <c r="AO208" s="121">
        <v>0</v>
      </c>
      <c r="AP208" s="121">
        <v>0</v>
      </c>
      <c r="AQ208" s="121">
        <v>0</v>
      </c>
      <c r="AR208" s="121">
        <v>0</v>
      </c>
      <c r="AS208" s="121">
        <v>0</v>
      </c>
      <c r="AT208" s="121">
        <v>0</v>
      </c>
      <c r="AU208" s="121">
        <v>0</v>
      </c>
      <c r="AV208" s="121">
        <v>0</v>
      </c>
      <c r="AW208" s="121">
        <v>0</v>
      </c>
      <c r="AX208" s="121">
        <v>0</v>
      </c>
      <c r="AY208" s="121">
        <v>0</v>
      </c>
    </row>
    <row r="209" spans="1:51" x14ac:dyDescent="0.2">
      <c r="A209" s="140" t="s">
        <v>123</v>
      </c>
      <c r="B209" s="137">
        <v>1</v>
      </c>
      <c r="C209" s="138">
        <v>26.43046297988451</v>
      </c>
      <c r="D209" s="138">
        <v>87.972681298069574</v>
      </c>
      <c r="E209" s="138">
        <v>122.90194380546893</v>
      </c>
      <c r="F209" s="138">
        <v>122.90194380546893</v>
      </c>
      <c r="G209" s="138">
        <v>122.90194380546893</v>
      </c>
      <c r="H209" s="138">
        <v>122.90194380546893</v>
      </c>
      <c r="I209" s="138">
        <v>122.90194380546893</v>
      </c>
      <c r="J209" s="138">
        <v>122.90194380546893</v>
      </c>
      <c r="K209" s="138">
        <v>122.90194380546893</v>
      </c>
      <c r="L209" s="138">
        <v>122.90194380546893</v>
      </c>
      <c r="M209" s="138">
        <v>122.90194380546893</v>
      </c>
      <c r="N209" s="138">
        <v>122.90194380546893</v>
      </c>
      <c r="O209" s="138">
        <v>122.90194380546893</v>
      </c>
      <c r="P209" s="138">
        <v>122.90194380546893</v>
      </c>
      <c r="Q209" s="138">
        <v>122.90194380546893</v>
      </c>
      <c r="R209" s="138">
        <v>122.90194380546893</v>
      </c>
      <c r="S209" s="138">
        <v>122.90194380546893</v>
      </c>
      <c r="T209" s="138">
        <v>122.90194380546893</v>
      </c>
      <c r="U209" s="138">
        <v>122.90194380546893</v>
      </c>
      <c r="V209" s="138">
        <v>122.90194380546893</v>
      </c>
      <c r="W209" s="138">
        <v>122.90194380546893</v>
      </c>
      <c r="X209" s="138">
        <v>122.90194380546893</v>
      </c>
      <c r="Y209" s="138">
        <v>122.90194380546893</v>
      </c>
      <c r="Z209" s="138">
        <v>122.90194380546893</v>
      </c>
      <c r="AA209" s="138">
        <v>122.90194380546893</v>
      </c>
      <c r="AB209" s="138">
        <v>122.90194380546893</v>
      </c>
      <c r="AC209" s="138">
        <v>122.90194380546893</v>
      </c>
      <c r="AD209" s="138">
        <v>122.90194380546893</v>
      </c>
      <c r="AE209" s="138">
        <v>122.90194380546893</v>
      </c>
      <c r="AF209" s="138">
        <v>122.90194380546893</v>
      </c>
      <c r="AG209" s="138">
        <v>122.90194380546893</v>
      </c>
      <c r="AH209" s="138">
        <v>122.90194380546893</v>
      </c>
      <c r="AI209" s="138">
        <v>122.90194380546893</v>
      </c>
      <c r="AJ209" s="138">
        <v>122.90194380546893</v>
      </c>
      <c r="AK209" s="138">
        <v>122.90194380546893</v>
      </c>
      <c r="AL209" s="138">
        <v>122.90194380546893</v>
      </c>
      <c r="AM209" s="138">
        <v>122.90194380546893</v>
      </c>
      <c r="AN209" s="138">
        <v>122.90194380546893</v>
      </c>
      <c r="AO209" s="138">
        <v>122.90194380546893</v>
      </c>
      <c r="AP209" s="138">
        <v>122.90194380546893</v>
      </c>
      <c r="AQ209" s="138">
        <v>122.90194380546893</v>
      </c>
      <c r="AR209" s="138">
        <v>122.90194380546893</v>
      </c>
      <c r="AS209" s="138">
        <v>122.90194380546893</v>
      </c>
      <c r="AT209" s="138">
        <v>122.90194380546893</v>
      </c>
      <c r="AU209" s="138">
        <v>122.90194380546893</v>
      </c>
      <c r="AV209" s="138">
        <v>122.90194380546893</v>
      </c>
      <c r="AW209" s="138">
        <v>122.90194380546893</v>
      </c>
      <c r="AX209" s="138">
        <v>122.90194380546893</v>
      </c>
      <c r="AY209" s="138">
        <v>122.90194380546893</v>
      </c>
    </row>
    <row r="210" spans="1:51" x14ac:dyDescent="0.2">
      <c r="A210" s="124"/>
      <c r="B210" s="133">
        <v>2</v>
      </c>
      <c r="C210" s="121">
        <v>567.54892583719243</v>
      </c>
      <c r="D210" s="125">
        <v>488.45958686355402</v>
      </c>
      <c r="E210" s="125">
        <v>20.742556796986349</v>
      </c>
      <c r="F210" s="125">
        <v>8.4390405036852764E-15</v>
      </c>
      <c r="G210" s="125">
        <v>8.4390405036852764E-15</v>
      </c>
      <c r="H210" s="125">
        <v>8.4390405036852764E-15</v>
      </c>
      <c r="I210" s="125">
        <v>8.4390405036852764E-15</v>
      </c>
      <c r="J210" s="125">
        <v>8.4390405036852764E-15</v>
      </c>
      <c r="K210" s="125">
        <v>8.4390405036852764E-15</v>
      </c>
      <c r="L210" s="125">
        <v>8.4390405036852764E-15</v>
      </c>
      <c r="M210" s="125">
        <v>8.4390405036852764E-15</v>
      </c>
      <c r="N210" s="125">
        <v>8.4390405036852764E-15</v>
      </c>
      <c r="O210" s="125">
        <v>8.4390405036852764E-15</v>
      </c>
      <c r="P210" s="125">
        <v>8.4390405036852764E-15</v>
      </c>
      <c r="Q210" s="125">
        <v>8.4390405036852764E-15</v>
      </c>
      <c r="R210" s="125">
        <v>8.4390405036852764E-15</v>
      </c>
      <c r="S210" s="125">
        <v>8.4390405036852764E-15</v>
      </c>
      <c r="T210" s="125">
        <v>8.4390405036852764E-15</v>
      </c>
      <c r="U210" s="125">
        <v>8.4390405036852764E-15</v>
      </c>
      <c r="V210" s="125">
        <v>8.4390405036852764E-15</v>
      </c>
      <c r="W210" s="125">
        <v>8.4390405036852764E-15</v>
      </c>
      <c r="X210" s="125">
        <v>8.4390405036852764E-15</v>
      </c>
      <c r="Y210" s="125">
        <v>8.4390405036852764E-15</v>
      </c>
      <c r="Z210" s="125">
        <v>8.4390405036852764E-15</v>
      </c>
      <c r="AA210" s="125">
        <v>8.4390405036852764E-15</v>
      </c>
      <c r="AB210" s="125">
        <v>8.4390405036852764E-15</v>
      </c>
      <c r="AC210" s="125">
        <v>8.4390405036852764E-15</v>
      </c>
      <c r="AD210" s="125">
        <v>8.4390405036852764E-15</v>
      </c>
      <c r="AE210" s="125">
        <v>8.4390405036852764E-15</v>
      </c>
      <c r="AF210" s="125">
        <v>8.4390405036852764E-15</v>
      </c>
      <c r="AG210" s="125">
        <v>8.4390405036852764E-15</v>
      </c>
      <c r="AH210" s="125">
        <v>8.4390405036852764E-15</v>
      </c>
      <c r="AI210" s="125">
        <v>8.4390405036852764E-15</v>
      </c>
      <c r="AJ210" s="125">
        <v>8.4390405036852764E-15</v>
      </c>
      <c r="AK210" s="125">
        <v>8.4390405036852764E-15</v>
      </c>
      <c r="AL210" s="125">
        <v>8.4390405036852764E-15</v>
      </c>
      <c r="AM210" s="125">
        <v>8.4390405036852764E-15</v>
      </c>
      <c r="AN210" s="125">
        <v>8.4390405036852764E-15</v>
      </c>
      <c r="AO210" s="125">
        <v>8.4390405036852764E-15</v>
      </c>
      <c r="AP210" s="125">
        <v>8.4390405036852764E-15</v>
      </c>
      <c r="AQ210" s="125">
        <v>8.4390405036852764E-15</v>
      </c>
      <c r="AR210" s="125">
        <v>8.4390405036852764E-15</v>
      </c>
      <c r="AS210" s="125">
        <v>8.4390405036852764E-15</v>
      </c>
      <c r="AT210" s="125">
        <v>8.4390405036852764E-15</v>
      </c>
      <c r="AU210" s="125">
        <v>8.4390405036852764E-15</v>
      </c>
      <c r="AV210" s="125">
        <v>8.4390405036852764E-15</v>
      </c>
      <c r="AW210" s="125">
        <v>8.4390405036852764E-15</v>
      </c>
      <c r="AX210" s="125">
        <v>8.4390405036852764E-15</v>
      </c>
      <c r="AY210" s="125">
        <v>8.4390405036852764E-15</v>
      </c>
    </row>
    <row r="211" spans="1:51" x14ac:dyDescent="0.2">
      <c r="A211" s="124"/>
      <c r="B211" s="133">
        <v>3</v>
      </c>
      <c r="C211" s="121">
        <v>45.75908015379725</v>
      </c>
      <c r="D211" s="125">
        <v>0</v>
      </c>
      <c r="E211" s="125">
        <v>0</v>
      </c>
      <c r="F211" s="125">
        <v>0</v>
      </c>
      <c r="G211" s="125">
        <v>0</v>
      </c>
      <c r="H211" s="125">
        <v>0</v>
      </c>
      <c r="I211" s="125">
        <v>0</v>
      </c>
      <c r="J211" s="125">
        <v>0</v>
      </c>
      <c r="K211" s="125">
        <v>0</v>
      </c>
      <c r="L211" s="125">
        <v>0</v>
      </c>
      <c r="M211" s="125">
        <v>0</v>
      </c>
      <c r="N211" s="125">
        <v>0</v>
      </c>
      <c r="O211" s="125">
        <v>0</v>
      </c>
      <c r="P211" s="125">
        <v>0</v>
      </c>
      <c r="Q211" s="125">
        <v>0</v>
      </c>
      <c r="R211" s="125">
        <v>0</v>
      </c>
      <c r="S211" s="125">
        <v>0</v>
      </c>
      <c r="T211" s="125">
        <v>0</v>
      </c>
      <c r="U211" s="125">
        <v>0</v>
      </c>
      <c r="V211" s="125">
        <v>0</v>
      </c>
      <c r="W211" s="125">
        <v>0</v>
      </c>
      <c r="X211" s="125">
        <v>0</v>
      </c>
      <c r="Y211" s="125">
        <v>0</v>
      </c>
      <c r="Z211" s="125">
        <v>0</v>
      </c>
      <c r="AA211" s="125">
        <v>0</v>
      </c>
      <c r="AB211" s="125">
        <v>0</v>
      </c>
      <c r="AC211" s="125">
        <v>0</v>
      </c>
      <c r="AD211" s="125">
        <v>0</v>
      </c>
      <c r="AE211" s="125">
        <v>0</v>
      </c>
      <c r="AF211" s="125">
        <v>0</v>
      </c>
      <c r="AG211" s="125">
        <v>0</v>
      </c>
      <c r="AH211" s="125">
        <v>0</v>
      </c>
      <c r="AI211" s="125">
        <v>0</v>
      </c>
      <c r="AJ211" s="125">
        <v>0</v>
      </c>
      <c r="AK211" s="125">
        <v>0</v>
      </c>
      <c r="AL211" s="125">
        <v>0</v>
      </c>
      <c r="AM211" s="125">
        <v>0</v>
      </c>
      <c r="AN211" s="125">
        <v>0</v>
      </c>
      <c r="AO211" s="125">
        <v>0</v>
      </c>
      <c r="AP211" s="125">
        <v>0</v>
      </c>
      <c r="AQ211" s="125">
        <v>0</v>
      </c>
      <c r="AR211" s="125">
        <v>0</v>
      </c>
      <c r="AS211" s="125">
        <v>0</v>
      </c>
      <c r="AT211" s="125">
        <v>0</v>
      </c>
      <c r="AU211" s="125">
        <v>0</v>
      </c>
      <c r="AV211" s="125">
        <v>0</v>
      </c>
      <c r="AW211" s="125">
        <v>0</v>
      </c>
      <c r="AX211" s="125">
        <v>0</v>
      </c>
      <c r="AY211" s="125">
        <v>0</v>
      </c>
    </row>
    <row r="212" spans="1:51" x14ac:dyDescent="0.2">
      <c r="A212" s="124"/>
      <c r="B212" s="133">
        <v>4</v>
      </c>
      <c r="C212" s="121">
        <v>0</v>
      </c>
      <c r="D212" s="125">
        <v>0</v>
      </c>
      <c r="E212" s="125">
        <v>0</v>
      </c>
      <c r="F212" s="125">
        <v>0</v>
      </c>
      <c r="G212" s="125">
        <v>0</v>
      </c>
      <c r="H212" s="125">
        <v>0</v>
      </c>
      <c r="I212" s="125">
        <v>0</v>
      </c>
      <c r="J212" s="125">
        <v>0</v>
      </c>
      <c r="K212" s="125">
        <v>0</v>
      </c>
      <c r="L212" s="125">
        <v>0</v>
      </c>
      <c r="M212" s="125">
        <v>0</v>
      </c>
      <c r="N212" s="125">
        <v>0</v>
      </c>
      <c r="O212" s="125">
        <v>0</v>
      </c>
      <c r="P212" s="125">
        <v>0</v>
      </c>
      <c r="Q212" s="125">
        <v>0</v>
      </c>
      <c r="R212" s="125">
        <v>0</v>
      </c>
      <c r="S212" s="125">
        <v>0</v>
      </c>
      <c r="T212" s="125">
        <v>0</v>
      </c>
      <c r="U212" s="125">
        <v>0</v>
      </c>
      <c r="V212" s="125">
        <v>0</v>
      </c>
      <c r="W212" s="125">
        <v>0</v>
      </c>
      <c r="X212" s="125">
        <v>0</v>
      </c>
      <c r="Y212" s="125">
        <v>0</v>
      </c>
      <c r="Z212" s="125">
        <v>0</v>
      </c>
      <c r="AA212" s="125">
        <v>0</v>
      </c>
      <c r="AB212" s="125">
        <v>0</v>
      </c>
      <c r="AC212" s="125">
        <v>0</v>
      </c>
      <c r="AD212" s="125">
        <v>0</v>
      </c>
      <c r="AE212" s="125">
        <v>0</v>
      </c>
      <c r="AF212" s="125">
        <v>0</v>
      </c>
      <c r="AG212" s="125">
        <v>0</v>
      </c>
      <c r="AH212" s="125">
        <v>0</v>
      </c>
      <c r="AI212" s="125">
        <v>0</v>
      </c>
      <c r="AJ212" s="125">
        <v>0</v>
      </c>
      <c r="AK212" s="125">
        <v>0</v>
      </c>
      <c r="AL212" s="125">
        <v>0</v>
      </c>
      <c r="AM212" s="125">
        <v>0</v>
      </c>
      <c r="AN212" s="125">
        <v>0</v>
      </c>
      <c r="AO212" s="125">
        <v>0</v>
      </c>
      <c r="AP212" s="125">
        <v>0</v>
      </c>
      <c r="AQ212" s="125">
        <v>0</v>
      </c>
      <c r="AR212" s="125">
        <v>0</v>
      </c>
      <c r="AS212" s="125">
        <v>0</v>
      </c>
      <c r="AT212" s="125">
        <v>0</v>
      </c>
      <c r="AU212" s="125">
        <v>0</v>
      </c>
      <c r="AV212" s="125">
        <v>0</v>
      </c>
      <c r="AW212" s="125">
        <v>0</v>
      </c>
      <c r="AX212" s="125">
        <v>0</v>
      </c>
      <c r="AY212" s="125">
        <v>0</v>
      </c>
    </row>
    <row r="213" spans="1:51" x14ac:dyDescent="0.2">
      <c r="A213" s="124"/>
      <c r="B213" s="133">
        <v>5</v>
      </c>
      <c r="C213" s="121">
        <v>0</v>
      </c>
      <c r="D213" s="125">
        <v>0</v>
      </c>
      <c r="E213" s="125">
        <v>0</v>
      </c>
      <c r="F213" s="125">
        <v>0</v>
      </c>
      <c r="G213" s="125">
        <v>0</v>
      </c>
      <c r="H213" s="125">
        <v>0</v>
      </c>
      <c r="I213" s="125">
        <v>0</v>
      </c>
      <c r="J213" s="125">
        <v>0</v>
      </c>
      <c r="K213" s="125">
        <v>0</v>
      </c>
      <c r="L213" s="125">
        <v>0</v>
      </c>
      <c r="M213" s="125">
        <v>0</v>
      </c>
      <c r="N213" s="125">
        <v>0</v>
      </c>
      <c r="O213" s="125">
        <v>0</v>
      </c>
      <c r="P213" s="125">
        <v>0</v>
      </c>
      <c r="Q213" s="125">
        <v>0</v>
      </c>
      <c r="R213" s="125">
        <v>0</v>
      </c>
      <c r="S213" s="125">
        <v>0</v>
      </c>
      <c r="T213" s="125">
        <v>0</v>
      </c>
      <c r="U213" s="125">
        <v>0</v>
      </c>
      <c r="V213" s="125">
        <v>0</v>
      </c>
      <c r="W213" s="125">
        <v>0</v>
      </c>
      <c r="X213" s="125">
        <v>0</v>
      </c>
      <c r="Y213" s="125">
        <v>0</v>
      </c>
      <c r="Z213" s="125">
        <v>0</v>
      </c>
      <c r="AA213" s="125">
        <v>0</v>
      </c>
      <c r="AB213" s="125">
        <v>0</v>
      </c>
      <c r="AC213" s="125">
        <v>0</v>
      </c>
      <c r="AD213" s="125">
        <v>0</v>
      </c>
      <c r="AE213" s="125">
        <v>0</v>
      </c>
      <c r="AF213" s="125">
        <v>0</v>
      </c>
      <c r="AG213" s="125">
        <v>0</v>
      </c>
      <c r="AH213" s="125">
        <v>0</v>
      </c>
      <c r="AI213" s="125">
        <v>0</v>
      </c>
      <c r="AJ213" s="125">
        <v>0</v>
      </c>
      <c r="AK213" s="125">
        <v>0</v>
      </c>
      <c r="AL213" s="125">
        <v>0</v>
      </c>
      <c r="AM213" s="125">
        <v>0</v>
      </c>
      <c r="AN213" s="125">
        <v>0</v>
      </c>
      <c r="AO213" s="125">
        <v>0</v>
      </c>
      <c r="AP213" s="125">
        <v>0</v>
      </c>
      <c r="AQ213" s="125">
        <v>0</v>
      </c>
      <c r="AR213" s="125">
        <v>0</v>
      </c>
      <c r="AS213" s="125">
        <v>0</v>
      </c>
      <c r="AT213" s="125">
        <v>0</v>
      </c>
      <c r="AU213" s="125">
        <v>0</v>
      </c>
      <c r="AV213" s="125">
        <v>0</v>
      </c>
      <c r="AW213" s="125">
        <v>0</v>
      </c>
      <c r="AX213" s="125">
        <v>0</v>
      </c>
      <c r="AY213" s="125">
        <v>0</v>
      </c>
    </row>
    <row r="214" spans="1:51" x14ac:dyDescent="0.2">
      <c r="A214" s="124"/>
      <c r="B214" s="133">
        <v>6</v>
      </c>
      <c r="C214" s="121">
        <v>0</v>
      </c>
      <c r="D214" s="125">
        <v>0</v>
      </c>
      <c r="E214" s="125">
        <v>0</v>
      </c>
      <c r="F214" s="125">
        <v>0</v>
      </c>
      <c r="G214" s="125">
        <v>0</v>
      </c>
      <c r="H214" s="125">
        <v>0</v>
      </c>
      <c r="I214" s="125">
        <v>0</v>
      </c>
      <c r="J214" s="125">
        <v>0</v>
      </c>
      <c r="K214" s="125">
        <v>0</v>
      </c>
      <c r="L214" s="125">
        <v>0</v>
      </c>
      <c r="M214" s="125">
        <v>0</v>
      </c>
      <c r="N214" s="125">
        <v>0</v>
      </c>
      <c r="O214" s="125">
        <v>0</v>
      </c>
      <c r="P214" s="125">
        <v>0</v>
      </c>
      <c r="Q214" s="125">
        <v>0</v>
      </c>
      <c r="R214" s="125">
        <v>0</v>
      </c>
      <c r="S214" s="125">
        <v>0</v>
      </c>
      <c r="T214" s="125">
        <v>0</v>
      </c>
      <c r="U214" s="125">
        <v>0</v>
      </c>
      <c r="V214" s="125">
        <v>0</v>
      </c>
      <c r="W214" s="125">
        <v>0</v>
      </c>
      <c r="X214" s="125">
        <v>0</v>
      </c>
      <c r="Y214" s="125">
        <v>0</v>
      </c>
      <c r="Z214" s="125">
        <v>0</v>
      </c>
      <c r="AA214" s="125">
        <v>0</v>
      </c>
      <c r="AB214" s="125">
        <v>0</v>
      </c>
      <c r="AC214" s="125">
        <v>0</v>
      </c>
      <c r="AD214" s="125">
        <v>0</v>
      </c>
      <c r="AE214" s="125">
        <v>0</v>
      </c>
      <c r="AF214" s="125">
        <v>0</v>
      </c>
      <c r="AG214" s="125">
        <v>0</v>
      </c>
      <c r="AH214" s="125">
        <v>0</v>
      </c>
      <c r="AI214" s="125">
        <v>0</v>
      </c>
      <c r="AJ214" s="125">
        <v>0</v>
      </c>
      <c r="AK214" s="125">
        <v>0</v>
      </c>
      <c r="AL214" s="125">
        <v>0</v>
      </c>
      <c r="AM214" s="125">
        <v>0</v>
      </c>
      <c r="AN214" s="125">
        <v>0</v>
      </c>
      <c r="AO214" s="125">
        <v>0</v>
      </c>
      <c r="AP214" s="125">
        <v>0</v>
      </c>
      <c r="AQ214" s="125">
        <v>0</v>
      </c>
      <c r="AR214" s="125">
        <v>0</v>
      </c>
      <c r="AS214" s="125">
        <v>0</v>
      </c>
      <c r="AT214" s="125">
        <v>0</v>
      </c>
      <c r="AU214" s="125">
        <v>0</v>
      </c>
      <c r="AV214" s="125">
        <v>0</v>
      </c>
      <c r="AW214" s="125">
        <v>0</v>
      </c>
      <c r="AX214" s="125">
        <v>0</v>
      </c>
      <c r="AY214" s="125">
        <v>0</v>
      </c>
    </row>
    <row r="215" spans="1:51" x14ac:dyDescent="0.2">
      <c r="A215" s="124"/>
      <c r="B215" s="133">
        <v>7</v>
      </c>
      <c r="C215" s="121">
        <v>0</v>
      </c>
      <c r="D215" s="125">
        <v>0</v>
      </c>
      <c r="E215" s="125">
        <v>0</v>
      </c>
      <c r="F215" s="125">
        <v>0</v>
      </c>
      <c r="G215" s="125">
        <v>0</v>
      </c>
      <c r="H215" s="125">
        <v>0</v>
      </c>
      <c r="I215" s="125">
        <v>0</v>
      </c>
      <c r="J215" s="125">
        <v>0</v>
      </c>
      <c r="K215" s="125">
        <v>0</v>
      </c>
      <c r="L215" s="125">
        <v>0</v>
      </c>
      <c r="M215" s="125">
        <v>0</v>
      </c>
      <c r="N215" s="125">
        <v>0</v>
      </c>
      <c r="O215" s="125">
        <v>0</v>
      </c>
      <c r="P215" s="125">
        <v>0</v>
      </c>
      <c r="Q215" s="125">
        <v>0</v>
      </c>
      <c r="R215" s="125">
        <v>0</v>
      </c>
      <c r="S215" s="125">
        <v>0</v>
      </c>
      <c r="T215" s="125">
        <v>0</v>
      </c>
      <c r="U215" s="125">
        <v>0</v>
      </c>
      <c r="V215" s="125">
        <v>0</v>
      </c>
      <c r="W215" s="125">
        <v>0</v>
      </c>
      <c r="X215" s="125">
        <v>0</v>
      </c>
      <c r="Y215" s="125">
        <v>0</v>
      </c>
      <c r="Z215" s="125">
        <v>0</v>
      </c>
      <c r="AA215" s="125">
        <v>0</v>
      </c>
      <c r="AB215" s="125">
        <v>0</v>
      </c>
      <c r="AC215" s="125">
        <v>0</v>
      </c>
      <c r="AD215" s="125">
        <v>0</v>
      </c>
      <c r="AE215" s="125">
        <v>0</v>
      </c>
      <c r="AF215" s="125">
        <v>0</v>
      </c>
      <c r="AG215" s="125">
        <v>0</v>
      </c>
      <c r="AH215" s="125">
        <v>0</v>
      </c>
      <c r="AI215" s="125">
        <v>0</v>
      </c>
      <c r="AJ215" s="125">
        <v>0</v>
      </c>
      <c r="AK215" s="125">
        <v>0</v>
      </c>
      <c r="AL215" s="125">
        <v>0</v>
      </c>
      <c r="AM215" s="125">
        <v>0</v>
      </c>
      <c r="AN215" s="125">
        <v>0</v>
      </c>
      <c r="AO215" s="125">
        <v>0</v>
      </c>
      <c r="AP215" s="125">
        <v>0</v>
      </c>
      <c r="AQ215" s="125">
        <v>0</v>
      </c>
      <c r="AR215" s="125">
        <v>0</v>
      </c>
      <c r="AS215" s="125">
        <v>0</v>
      </c>
      <c r="AT215" s="125">
        <v>0</v>
      </c>
      <c r="AU215" s="125">
        <v>0</v>
      </c>
      <c r="AV215" s="125">
        <v>0</v>
      </c>
      <c r="AW215" s="125">
        <v>0</v>
      </c>
      <c r="AX215" s="125">
        <v>0</v>
      </c>
      <c r="AY215" s="125">
        <v>0</v>
      </c>
    </row>
    <row r="216" spans="1:51" x14ac:dyDescent="0.2">
      <c r="A216" s="124"/>
      <c r="B216" s="133">
        <v>8</v>
      </c>
      <c r="C216" s="121">
        <v>0</v>
      </c>
      <c r="D216" s="125">
        <v>0</v>
      </c>
      <c r="E216" s="125">
        <v>0</v>
      </c>
      <c r="F216" s="125">
        <v>0</v>
      </c>
      <c r="G216" s="125">
        <v>0</v>
      </c>
      <c r="H216" s="125">
        <v>0</v>
      </c>
      <c r="I216" s="125">
        <v>0</v>
      </c>
      <c r="J216" s="125">
        <v>0</v>
      </c>
      <c r="K216" s="125">
        <v>0</v>
      </c>
      <c r="L216" s="125">
        <v>0</v>
      </c>
      <c r="M216" s="125">
        <v>0</v>
      </c>
      <c r="N216" s="125">
        <v>0</v>
      </c>
      <c r="O216" s="125">
        <v>0</v>
      </c>
      <c r="P216" s="125">
        <v>0</v>
      </c>
      <c r="Q216" s="125">
        <v>0</v>
      </c>
      <c r="R216" s="125">
        <v>0</v>
      </c>
      <c r="S216" s="125">
        <v>0</v>
      </c>
      <c r="T216" s="125">
        <v>0</v>
      </c>
      <c r="U216" s="125">
        <v>0</v>
      </c>
      <c r="V216" s="125">
        <v>0</v>
      </c>
      <c r="W216" s="125">
        <v>0</v>
      </c>
      <c r="X216" s="125">
        <v>0</v>
      </c>
      <c r="Y216" s="125">
        <v>0</v>
      </c>
      <c r="Z216" s="125">
        <v>0</v>
      </c>
      <c r="AA216" s="125">
        <v>0</v>
      </c>
      <c r="AB216" s="125">
        <v>0</v>
      </c>
      <c r="AC216" s="125">
        <v>0</v>
      </c>
      <c r="AD216" s="125">
        <v>0</v>
      </c>
      <c r="AE216" s="125">
        <v>0</v>
      </c>
      <c r="AF216" s="125">
        <v>0</v>
      </c>
      <c r="AG216" s="125">
        <v>0</v>
      </c>
      <c r="AH216" s="125">
        <v>0</v>
      </c>
      <c r="AI216" s="125">
        <v>0</v>
      </c>
      <c r="AJ216" s="125">
        <v>0</v>
      </c>
      <c r="AK216" s="125">
        <v>0</v>
      </c>
      <c r="AL216" s="125">
        <v>0</v>
      </c>
      <c r="AM216" s="125">
        <v>0</v>
      </c>
      <c r="AN216" s="125">
        <v>0</v>
      </c>
      <c r="AO216" s="125">
        <v>0</v>
      </c>
      <c r="AP216" s="125">
        <v>0</v>
      </c>
      <c r="AQ216" s="125">
        <v>0</v>
      </c>
      <c r="AR216" s="125">
        <v>0</v>
      </c>
      <c r="AS216" s="125">
        <v>0</v>
      </c>
      <c r="AT216" s="125">
        <v>0</v>
      </c>
      <c r="AU216" s="125">
        <v>0</v>
      </c>
      <c r="AV216" s="125">
        <v>0</v>
      </c>
      <c r="AW216" s="125">
        <v>0</v>
      </c>
      <c r="AX216" s="125">
        <v>0</v>
      </c>
      <c r="AY216" s="125">
        <v>0</v>
      </c>
    </row>
    <row r="217" spans="1:51" x14ac:dyDescent="0.2">
      <c r="A217" s="124"/>
      <c r="B217" s="133">
        <v>9</v>
      </c>
      <c r="C217" s="121">
        <v>0</v>
      </c>
      <c r="D217" s="125">
        <v>0</v>
      </c>
      <c r="E217" s="125">
        <v>0</v>
      </c>
      <c r="F217" s="125">
        <v>0</v>
      </c>
      <c r="G217" s="125">
        <v>0</v>
      </c>
      <c r="H217" s="125">
        <v>0</v>
      </c>
      <c r="I217" s="125">
        <v>0</v>
      </c>
      <c r="J217" s="125">
        <v>0</v>
      </c>
      <c r="K217" s="125">
        <v>0</v>
      </c>
      <c r="L217" s="125">
        <v>0</v>
      </c>
      <c r="M217" s="125">
        <v>0</v>
      </c>
      <c r="N217" s="125">
        <v>0</v>
      </c>
      <c r="O217" s="125">
        <v>0</v>
      </c>
      <c r="P217" s="125">
        <v>0</v>
      </c>
      <c r="Q217" s="125">
        <v>0</v>
      </c>
      <c r="R217" s="125">
        <v>0</v>
      </c>
      <c r="S217" s="125">
        <v>0</v>
      </c>
      <c r="T217" s="125">
        <v>0</v>
      </c>
      <c r="U217" s="125">
        <v>0</v>
      </c>
      <c r="V217" s="125">
        <v>0</v>
      </c>
      <c r="W217" s="125">
        <v>0</v>
      </c>
      <c r="X217" s="125">
        <v>0</v>
      </c>
      <c r="Y217" s="125">
        <v>0</v>
      </c>
      <c r="Z217" s="125">
        <v>0</v>
      </c>
      <c r="AA217" s="125">
        <v>0</v>
      </c>
      <c r="AB217" s="125">
        <v>0</v>
      </c>
      <c r="AC217" s="125">
        <v>0</v>
      </c>
      <c r="AD217" s="125">
        <v>0</v>
      </c>
      <c r="AE217" s="125">
        <v>0</v>
      </c>
      <c r="AF217" s="125">
        <v>0</v>
      </c>
      <c r="AG217" s="125">
        <v>0</v>
      </c>
      <c r="AH217" s="125">
        <v>0</v>
      </c>
      <c r="AI217" s="125">
        <v>0</v>
      </c>
      <c r="AJ217" s="125">
        <v>0</v>
      </c>
      <c r="AK217" s="125">
        <v>0</v>
      </c>
      <c r="AL217" s="125">
        <v>0</v>
      </c>
      <c r="AM217" s="125">
        <v>0</v>
      </c>
      <c r="AN217" s="125">
        <v>0</v>
      </c>
      <c r="AO217" s="125">
        <v>0</v>
      </c>
      <c r="AP217" s="125">
        <v>0</v>
      </c>
      <c r="AQ217" s="125">
        <v>0</v>
      </c>
      <c r="AR217" s="125">
        <v>0</v>
      </c>
      <c r="AS217" s="125">
        <v>0</v>
      </c>
      <c r="AT217" s="125">
        <v>0</v>
      </c>
      <c r="AU217" s="125">
        <v>0</v>
      </c>
      <c r="AV217" s="125">
        <v>0</v>
      </c>
      <c r="AW217" s="125">
        <v>0</v>
      </c>
      <c r="AX217" s="125">
        <v>0</v>
      </c>
      <c r="AY217" s="125">
        <v>0</v>
      </c>
    </row>
    <row r="218" spans="1:51" x14ac:dyDescent="0.2">
      <c r="A218" s="124"/>
      <c r="B218" s="133">
        <v>10</v>
      </c>
      <c r="C218" s="121">
        <v>0</v>
      </c>
      <c r="D218" s="125">
        <v>0</v>
      </c>
      <c r="E218" s="125">
        <v>0</v>
      </c>
      <c r="F218" s="125">
        <v>0</v>
      </c>
      <c r="G218" s="125">
        <v>0</v>
      </c>
      <c r="H218" s="125">
        <v>0</v>
      </c>
      <c r="I218" s="125">
        <v>0</v>
      </c>
      <c r="J218" s="125">
        <v>0</v>
      </c>
      <c r="K218" s="125">
        <v>0</v>
      </c>
      <c r="L218" s="125">
        <v>0</v>
      </c>
      <c r="M218" s="125">
        <v>0</v>
      </c>
      <c r="N218" s="125">
        <v>0</v>
      </c>
      <c r="O218" s="125">
        <v>0</v>
      </c>
      <c r="P218" s="125">
        <v>0</v>
      </c>
      <c r="Q218" s="125">
        <v>0</v>
      </c>
      <c r="R218" s="125">
        <v>0</v>
      </c>
      <c r="S218" s="125">
        <v>0</v>
      </c>
      <c r="T218" s="125">
        <v>0</v>
      </c>
      <c r="U218" s="125">
        <v>0</v>
      </c>
      <c r="V218" s="125">
        <v>0</v>
      </c>
      <c r="W218" s="125">
        <v>0</v>
      </c>
      <c r="X218" s="125">
        <v>0</v>
      </c>
      <c r="Y218" s="125">
        <v>0</v>
      </c>
      <c r="Z218" s="125">
        <v>0</v>
      </c>
      <c r="AA218" s="125">
        <v>0</v>
      </c>
      <c r="AB218" s="125">
        <v>0</v>
      </c>
      <c r="AC218" s="125">
        <v>0</v>
      </c>
      <c r="AD218" s="125">
        <v>0</v>
      </c>
      <c r="AE218" s="125">
        <v>0</v>
      </c>
      <c r="AF218" s="125">
        <v>0</v>
      </c>
      <c r="AG218" s="125">
        <v>0</v>
      </c>
      <c r="AH218" s="125">
        <v>0</v>
      </c>
      <c r="AI218" s="125">
        <v>0</v>
      </c>
      <c r="AJ218" s="125">
        <v>0</v>
      </c>
      <c r="AK218" s="125">
        <v>0</v>
      </c>
      <c r="AL218" s="125">
        <v>0</v>
      </c>
      <c r="AM218" s="125">
        <v>0</v>
      </c>
      <c r="AN218" s="125">
        <v>0</v>
      </c>
      <c r="AO218" s="125">
        <v>0</v>
      </c>
      <c r="AP218" s="125">
        <v>0</v>
      </c>
      <c r="AQ218" s="125">
        <v>0</v>
      </c>
      <c r="AR218" s="125">
        <v>0</v>
      </c>
      <c r="AS218" s="125">
        <v>0</v>
      </c>
      <c r="AT218" s="125">
        <v>0</v>
      </c>
      <c r="AU218" s="125">
        <v>0</v>
      </c>
      <c r="AV218" s="125">
        <v>0</v>
      </c>
      <c r="AW218" s="125">
        <v>0</v>
      </c>
      <c r="AX218" s="125">
        <v>0</v>
      </c>
      <c r="AY218" s="125">
        <v>0</v>
      </c>
    </row>
    <row r="219" spans="1:51" x14ac:dyDescent="0.2">
      <c r="A219" s="124"/>
      <c r="B219" s="133">
        <v>11</v>
      </c>
      <c r="C219" s="121">
        <v>0</v>
      </c>
      <c r="D219" s="125">
        <v>0</v>
      </c>
      <c r="E219" s="125">
        <v>0</v>
      </c>
      <c r="F219" s="125">
        <v>0</v>
      </c>
      <c r="G219" s="125">
        <v>0</v>
      </c>
      <c r="H219" s="125">
        <v>0</v>
      </c>
      <c r="I219" s="125">
        <v>0</v>
      </c>
      <c r="J219" s="125">
        <v>0</v>
      </c>
      <c r="K219" s="125">
        <v>0</v>
      </c>
      <c r="L219" s="125">
        <v>0</v>
      </c>
      <c r="M219" s="125">
        <v>0</v>
      </c>
      <c r="N219" s="125">
        <v>0</v>
      </c>
      <c r="O219" s="125">
        <v>0</v>
      </c>
      <c r="P219" s="125">
        <v>0</v>
      </c>
      <c r="Q219" s="125">
        <v>0</v>
      </c>
      <c r="R219" s="125">
        <v>0</v>
      </c>
      <c r="S219" s="125">
        <v>0</v>
      </c>
      <c r="T219" s="125">
        <v>0</v>
      </c>
      <c r="U219" s="125">
        <v>0</v>
      </c>
      <c r="V219" s="125">
        <v>0</v>
      </c>
      <c r="W219" s="125">
        <v>0</v>
      </c>
      <c r="X219" s="125">
        <v>0</v>
      </c>
      <c r="Y219" s="125">
        <v>0</v>
      </c>
      <c r="Z219" s="125">
        <v>0</v>
      </c>
      <c r="AA219" s="125">
        <v>0</v>
      </c>
      <c r="AB219" s="125">
        <v>0</v>
      </c>
      <c r="AC219" s="125">
        <v>0</v>
      </c>
      <c r="AD219" s="125">
        <v>0</v>
      </c>
      <c r="AE219" s="125">
        <v>0</v>
      </c>
      <c r="AF219" s="125">
        <v>0</v>
      </c>
      <c r="AG219" s="125">
        <v>0</v>
      </c>
      <c r="AH219" s="125">
        <v>0</v>
      </c>
      <c r="AI219" s="125">
        <v>0</v>
      </c>
      <c r="AJ219" s="125">
        <v>0</v>
      </c>
      <c r="AK219" s="125">
        <v>0</v>
      </c>
      <c r="AL219" s="125">
        <v>0</v>
      </c>
      <c r="AM219" s="125">
        <v>0</v>
      </c>
      <c r="AN219" s="125">
        <v>0</v>
      </c>
      <c r="AO219" s="125">
        <v>0</v>
      </c>
      <c r="AP219" s="125">
        <v>0</v>
      </c>
      <c r="AQ219" s="125">
        <v>0</v>
      </c>
      <c r="AR219" s="125">
        <v>0</v>
      </c>
      <c r="AS219" s="125">
        <v>0</v>
      </c>
      <c r="AT219" s="125">
        <v>0</v>
      </c>
      <c r="AU219" s="125">
        <v>0</v>
      </c>
      <c r="AV219" s="125">
        <v>0</v>
      </c>
      <c r="AW219" s="125">
        <v>0</v>
      </c>
      <c r="AX219" s="125">
        <v>0</v>
      </c>
      <c r="AY219" s="125">
        <v>0</v>
      </c>
    </row>
    <row r="220" spans="1:51" x14ac:dyDescent="0.2">
      <c r="A220" s="124"/>
      <c r="B220" s="133">
        <v>12</v>
      </c>
      <c r="C220" s="121">
        <v>0</v>
      </c>
      <c r="D220" s="125">
        <v>0</v>
      </c>
      <c r="E220" s="125">
        <v>0</v>
      </c>
      <c r="F220" s="125">
        <v>0</v>
      </c>
      <c r="G220" s="125">
        <v>0</v>
      </c>
      <c r="H220" s="125">
        <v>0</v>
      </c>
      <c r="I220" s="125">
        <v>0</v>
      </c>
      <c r="J220" s="125">
        <v>0</v>
      </c>
      <c r="K220" s="125">
        <v>0</v>
      </c>
      <c r="L220" s="125">
        <v>0</v>
      </c>
      <c r="M220" s="125">
        <v>0</v>
      </c>
      <c r="N220" s="125">
        <v>0</v>
      </c>
      <c r="O220" s="125">
        <v>0</v>
      </c>
      <c r="P220" s="125">
        <v>0</v>
      </c>
      <c r="Q220" s="125">
        <v>0</v>
      </c>
      <c r="R220" s="125">
        <v>0</v>
      </c>
      <c r="S220" s="125">
        <v>0</v>
      </c>
      <c r="T220" s="125">
        <v>0</v>
      </c>
      <c r="U220" s="125">
        <v>0</v>
      </c>
      <c r="V220" s="125">
        <v>0</v>
      </c>
      <c r="W220" s="125">
        <v>0</v>
      </c>
      <c r="X220" s="125">
        <v>0</v>
      </c>
      <c r="Y220" s="125">
        <v>0</v>
      </c>
      <c r="Z220" s="125">
        <v>0</v>
      </c>
      <c r="AA220" s="125">
        <v>0</v>
      </c>
      <c r="AB220" s="125">
        <v>0</v>
      </c>
      <c r="AC220" s="125">
        <v>0</v>
      </c>
      <c r="AD220" s="125">
        <v>0</v>
      </c>
      <c r="AE220" s="125">
        <v>0</v>
      </c>
      <c r="AF220" s="125">
        <v>0</v>
      </c>
      <c r="AG220" s="125">
        <v>0</v>
      </c>
      <c r="AH220" s="125">
        <v>0</v>
      </c>
      <c r="AI220" s="125">
        <v>0</v>
      </c>
      <c r="AJ220" s="125">
        <v>0</v>
      </c>
      <c r="AK220" s="125">
        <v>0</v>
      </c>
      <c r="AL220" s="125">
        <v>0</v>
      </c>
      <c r="AM220" s="125">
        <v>0</v>
      </c>
      <c r="AN220" s="125">
        <v>0</v>
      </c>
      <c r="AO220" s="125">
        <v>0</v>
      </c>
      <c r="AP220" s="125">
        <v>0</v>
      </c>
      <c r="AQ220" s="125">
        <v>0</v>
      </c>
      <c r="AR220" s="125">
        <v>0</v>
      </c>
      <c r="AS220" s="125">
        <v>0</v>
      </c>
      <c r="AT220" s="125">
        <v>0</v>
      </c>
      <c r="AU220" s="125">
        <v>0</v>
      </c>
      <c r="AV220" s="125">
        <v>0</v>
      </c>
      <c r="AW220" s="125">
        <v>0</v>
      </c>
      <c r="AX220" s="125">
        <v>0</v>
      </c>
      <c r="AY220" s="125">
        <v>0</v>
      </c>
    </row>
    <row r="221" spans="1:51" x14ac:dyDescent="0.2">
      <c r="A221" s="124"/>
      <c r="B221" s="134">
        <v>13</v>
      </c>
      <c r="C221" s="121">
        <v>0</v>
      </c>
      <c r="D221" s="125">
        <v>0</v>
      </c>
      <c r="E221" s="125">
        <v>0</v>
      </c>
      <c r="F221" s="125">
        <v>0</v>
      </c>
      <c r="G221" s="125">
        <v>0</v>
      </c>
      <c r="H221" s="125">
        <v>0</v>
      </c>
      <c r="I221" s="125">
        <v>0</v>
      </c>
      <c r="J221" s="125">
        <v>0</v>
      </c>
      <c r="K221" s="125">
        <v>0</v>
      </c>
      <c r="L221" s="125">
        <v>0</v>
      </c>
      <c r="M221" s="125">
        <v>0</v>
      </c>
      <c r="N221" s="125">
        <v>0</v>
      </c>
      <c r="O221" s="125">
        <v>0</v>
      </c>
      <c r="P221" s="125">
        <v>0</v>
      </c>
      <c r="Q221" s="125">
        <v>0</v>
      </c>
      <c r="R221" s="125">
        <v>0</v>
      </c>
      <c r="S221" s="125">
        <v>0</v>
      </c>
      <c r="T221" s="125">
        <v>0</v>
      </c>
      <c r="U221" s="125">
        <v>0</v>
      </c>
      <c r="V221" s="125">
        <v>0</v>
      </c>
      <c r="W221" s="125">
        <v>0</v>
      </c>
      <c r="X221" s="125">
        <v>0</v>
      </c>
      <c r="Y221" s="125">
        <v>0</v>
      </c>
      <c r="Z221" s="125">
        <v>0</v>
      </c>
      <c r="AA221" s="125">
        <v>0</v>
      </c>
      <c r="AB221" s="125">
        <v>0</v>
      </c>
      <c r="AC221" s="125">
        <v>0</v>
      </c>
      <c r="AD221" s="125">
        <v>0</v>
      </c>
      <c r="AE221" s="125">
        <v>0</v>
      </c>
      <c r="AF221" s="125">
        <v>0</v>
      </c>
      <c r="AG221" s="125">
        <v>0</v>
      </c>
      <c r="AH221" s="125">
        <v>0</v>
      </c>
      <c r="AI221" s="125">
        <v>0</v>
      </c>
      <c r="AJ221" s="125">
        <v>0</v>
      </c>
      <c r="AK221" s="125">
        <v>0</v>
      </c>
      <c r="AL221" s="125">
        <v>0</v>
      </c>
      <c r="AM221" s="125">
        <v>0</v>
      </c>
      <c r="AN221" s="125">
        <v>0</v>
      </c>
      <c r="AO221" s="125">
        <v>0</v>
      </c>
      <c r="AP221" s="125">
        <v>0</v>
      </c>
      <c r="AQ221" s="125">
        <v>0</v>
      </c>
      <c r="AR221" s="125">
        <v>0</v>
      </c>
      <c r="AS221" s="125">
        <v>0</v>
      </c>
      <c r="AT221" s="125">
        <v>0</v>
      </c>
      <c r="AU221" s="125">
        <v>0</v>
      </c>
      <c r="AV221" s="125">
        <v>0</v>
      </c>
      <c r="AW221" s="125">
        <v>0</v>
      </c>
      <c r="AX221" s="125">
        <v>0</v>
      </c>
      <c r="AY221" s="125">
        <v>0</v>
      </c>
    </row>
    <row r="222" spans="1:51" x14ac:dyDescent="0.2">
      <c r="A222" s="124"/>
      <c r="B222" s="134">
        <v>14</v>
      </c>
      <c r="C222" s="121">
        <v>0</v>
      </c>
      <c r="D222" s="125">
        <v>0</v>
      </c>
      <c r="E222" s="125">
        <v>0</v>
      </c>
      <c r="F222" s="125">
        <v>0</v>
      </c>
      <c r="G222" s="125">
        <v>0</v>
      </c>
      <c r="H222" s="125">
        <v>0</v>
      </c>
      <c r="I222" s="125">
        <v>0</v>
      </c>
      <c r="J222" s="125">
        <v>0</v>
      </c>
      <c r="K222" s="125">
        <v>0</v>
      </c>
      <c r="L222" s="125">
        <v>0</v>
      </c>
      <c r="M222" s="125">
        <v>0</v>
      </c>
      <c r="N222" s="125">
        <v>0</v>
      </c>
      <c r="O222" s="125">
        <v>0</v>
      </c>
      <c r="P222" s="125">
        <v>0</v>
      </c>
      <c r="Q222" s="125">
        <v>0</v>
      </c>
      <c r="R222" s="125">
        <v>0</v>
      </c>
      <c r="S222" s="125">
        <v>0</v>
      </c>
      <c r="T222" s="125">
        <v>0</v>
      </c>
      <c r="U222" s="125">
        <v>0</v>
      </c>
      <c r="V222" s="125">
        <v>0</v>
      </c>
      <c r="W222" s="125">
        <v>0</v>
      </c>
      <c r="X222" s="125">
        <v>0</v>
      </c>
      <c r="Y222" s="125">
        <v>0</v>
      </c>
      <c r="Z222" s="125">
        <v>0</v>
      </c>
      <c r="AA222" s="125">
        <v>0</v>
      </c>
      <c r="AB222" s="125">
        <v>0</v>
      </c>
      <c r="AC222" s="125">
        <v>0</v>
      </c>
      <c r="AD222" s="125">
        <v>0</v>
      </c>
      <c r="AE222" s="125">
        <v>0</v>
      </c>
      <c r="AF222" s="125">
        <v>0</v>
      </c>
      <c r="AG222" s="125">
        <v>0</v>
      </c>
      <c r="AH222" s="125">
        <v>0</v>
      </c>
      <c r="AI222" s="125">
        <v>0</v>
      </c>
      <c r="AJ222" s="125">
        <v>0</v>
      </c>
      <c r="AK222" s="125">
        <v>0</v>
      </c>
      <c r="AL222" s="125">
        <v>0</v>
      </c>
      <c r="AM222" s="125">
        <v>0</v>
      </c>
      <c r="AN222" s="125">
        <v>0</v>
      </c>
      <c r="AO222" s="125">
        <v>0</v>
      </c>
      <c r="AP222" s="125">
        <v>0</v>
      </c>
      <c r="AQ222" s="125">
        <v>0</v>
      </c>
      <c r="AR222" s="125">
        <v>0</v>
      </c>
      <c r="AS222" s="125">
        <v>0</v>
      </c>
      <c r="AT222" s="125">
        <v>0</v>
      </c>
      <c r="AU222" s="125">
        <v>0</v>
      </c>
      <c r="AV222" s="125">
        <v>0</v>
      </c>
      <c r="AW222" s="125">
        <v>0</v>
      </c>
      <c r="AX222" s="125">
        <v>0</v>
      </c>
      <c r="AY222" s="125">
        <v>0</v>
      </c>
    </row>
    <row r="223" spans="1:51" x14ac:dyDescent="0.2">
      <c r="A223" s="124"/>
      <c r="B223" s="134">
        <v>15</v>
      </c>
      <c r="C223" s="121">
        <v>0</v>
      </c>
      <c r="D223" s="125">
        <v>0</v>
      </c>
      <c r="E223" s="125">
        <v>0</v>
      </c>
      <c r="F223" s="125">
        <v>0</v>
      </c>
      <c r="G223" s="125">
        <v>0</v>
      </c>
      <c r="H223" s="125">
        <v>0</v>
      </c>
      <c r="I223" s="125">
        <v>0</v>
      </c>
      <c r="J223" s="125">
        <v>0</v>
      </c>
      <c r="K223" s="125">
        <v>0</v>
      </c>
      <c r="L223" s="125">
        <v>0</v>
      </c>
      <c r="M223" s="125">
        <v>0</v>
      </c>
      <c r="N223" s="125">
        <v>0</v>
      </c>
      <c r="O223" s="125">
        <v>0</v>
      </c>
      <c r="P223" s="125">
        <v>0</v>
      </c>
      <c r="Q223" s="125">
        <v>0</v>
      </c>
      <c r="R223" s="125">
        <v>0</v>
      </c>
      <c r="S223" s="125">
        <v>0</v>
      </c>
      <c r="T223" s="125">
        <v>0</v>
      </c>
      <c r="U223" s="125">
        <v>0</v>
      </c>
      <c r="V223" s="125">
        <v>0</v>
      </c>
      <c r="W223" s="125">
        <v>0</v>
      </c>
      <c r="X223" s="125">
        <v>0</v>
      </c>
      <c r="Y223" s="125">
        <v>0</v>
      </c>
      <c r="Z223" s="125">
        <v>0</v>
      </c>
      <c r="AA223" s="125">
        <v>0</v>
      </c>
      <c r="AB223" s="125">
        <v>0</v>
      </c>
      <c r="AC223" s="125">
        <v>0</v>
      </c>
      <c r="AD223" s="125">
        <v>0</v>
      </c>
      <c r="AE223" s="125">
        <v>0</v>
      </c>
      <c r="AF223" s="125">
        <v>0</v>
      </c>
      <c r="AG223" s="125">
        <v>0</v>
      </c>
      <c r="AH223" s="125">
        <v>0</v>
      </c>
      <c r="AI223" s="125">
        <v>0</v>
      </c>
      <c r="AJ223" s="125">
        <v>0</v>
      </c>
      <c r="AK223" s="125">
        <v>0</v>
      </c>
      <c r="AL223" s="125">
        <v>0</v>
      </c>
      <c r="AM223" s="125">
        <v>0</v>
      </c>
      <c r="AN223" s="125">
        <v>0</v>
      </c>
      <c r="AO223" s="125">
        <v>0</v>
      </c>
      <c r="AP223" s="125">
        <v>0</v>
      </c>
      <c r="AQ223" s="125">
        <v>0</v>
      </c>
      <c r="AR223" s="125">
        <v>0</v>
      </c>
      <c r="AS223" s="125">
        <v>0</v>
      </c>
      <c r="AT223" s="125">
        <v>0</v>
      </c>
      <c r="AU223" s="125">
        <v>0</v>
      </c>
      <c r="AV223" s="125">
        <v>0</v>
      </c>
      <c r="AW223" s="125">
        <v>0</v>
      </c>
      <c r="AX223" s="125">
        <v>0</v>
      </c>
      <c r="AY223" s="125">
        <v>0</v>
      </c>
    </row>
    <row r="224" spans="1:51" x14ac:dyDescent="0.2">
      <c r="A224" s="124"/>
      <c r="B224" s="134">
        <v>16</v>
      </c>
      <c r="C224" s="121">
        <v>0</v>
      </c>
      <c r="D224" s="125">
        <v>0</v>
      </c>
      <c r="E224" s="125">
        <v>0</v>
      </c>
      <c r="F224" s="125">
        <v>0</v>
      </c>
      <c r="G224" s="125">
        <v>0</v>
      </c>
      <c r="H224" s="125">
        <v>0</v>
      </c>
      <c r="I224" s="125">
        <v>0</v>
      </c>
      <c r="J224" s="125">
        <v>0</v>
      </c>
      <c r="K224" s="125">
        <v>0</v>
      </c>
      <c r="L224" s="125">
        <v>0</v>
      </c>
      <c r="M224" s="125">
        <v>0</v>
      </c>
      <c r="N224" s="125">
        <v>0</v>
      </c>
      <c r="O224" s="125">
        <v>0</v>
      </c>
      <c r="P224" s="125">
        <v>0</v>
      </c>
      <c r="Q224" s="125">
        <v>0</v>
      </c>
      <c r="R224" s="125">
        <v>0</v>
      </c>
      <c r="S224" s="125">
        <v>0</v>
      </c>
      <c r="T224" s="125">
        <v>0</v>
      </c>
      <c r="U224" s="125">
        <v>0</v>
      </c>
      <c r="V224" s="125">
        <v>0</v>
      </c>
      <c r="W224" s="125">
        <v>0</v>
      </c>
      <c r="X224" s="125">
        <v>0</v>
      </c>
      <c r="Y224" s="125">
        <v>0</v>
      </c>
      <c r="Z224" s="125">
        <v>0</v>
      </c>
      <c r="AA224" s="125">
        <v>0</v>
      </c>
      <c r="AB224" s="125">
        <v>0</v>
      </c>
      <c r="AC224" s="125">
        <v>0</v>
      </c>
      <c r="AD224" s="125">
        <v>0</v>
      </c>
      <c r="AE224" s="125">
        <v>0</v>
      </c>
      <c r="AF224" s="125">
        <v>0</v>
      </c>
      <c r="AG224" s="125">
        <v>0</v>
      </c>
      <c r="AH224" s="125">
        <v>0</v>
      </c>
      <c r="AI224" s="125">
        <v>0</v>
      </c>
      <c r="AJ224" s="125">
        <v>0</v>
      </c>
      <c r="AK224" s="125">
        <v>0</v>
      </c>
      <c r="AL224" s="125">
        <v>0</v>
      </c>
      <c r="AM224" s="125">
        <v>0</v>
      </c>
      <c r="AN224" s="125">
        <v>0</v>
      </c>
      <c r="AO224" s="125">
        <v>0</v>
      </c>
      <c r="AP224" s="125">
        <v>0</v>
      </c>
      <c r="AQ224" s="125">
        <v>0</v>
      </c>
      <c r="AR224" s="125">
        <v>0</v>
      </c>
      <c r="AS224" s="125">
        <v>0</v>
      </c>
      <c r="AT224" s="125">
        <v>0</v>
      </c>
      <c r="AU224" s="125">
        <v>0</v>
      </c>
      <c r="AV224" s="125">
        <v>0</v>
      </c>
      <c r="AW224" s="125">
        <v>0</v>
      </c>
      <c r="AX224" s="125">
        <v>0</v>
      </c>
      <c r="AY224" s="125">
        <v>0</v>
      </c>
    </row>
    <row r="225" spans="1:51" x14ac:dyDescent="0.2">
      <c r="A225" s="124"/>
      <c r="B225" s="134">
        <v>17</v>
      </c>
      <c r="C225" s="121">
        <v>0</v>
      </c>
      <c r="D225" s="125">
        <v>0</v>
      </c>
      <c r="E225" s="125">
        <v>0</v>
      </c>
      <c r="F225" s="125">
        <v>0</v>
      </c>
      <c r="G225" s="125">
        <v>0</v>
      </c>
      <c r="H225" s="125">
        <v>0</v>
      </c>
      <c r="I225" s="125">
        <v>0</v>
      </c>
      <c r="J225" s="125">
        <v>0</v>
      </c>
      <c r="K225" s="125">
        <v>0</v>
      </c>
      <c r="L225" s="125">
        <v>0</v>
      </c>
      <c r="M225" s="125">
        <v>0</v>
      </c>
      <c r="N225" s="125">
        <v>0</v>
      </c>
      <c r="O225" s="125">
        <v>0</v>
      </c>
      <c r="P225" s="125">
        <v>0</v>
      </c>
      <c r="Q225" s="125">
        <v>0</v>
      </c>
      <c r="R225" s="125">
        <v>0</v>
      </c>
      <c r="S225" s="125">
        <v>0</v>
      </c>
      <c r="T225" s="125">
        <v>0</v>
      </c>
      <c r="U225" s="125">
        <v>0</v>
      </c>
      <c r="V225" s="125">
        <v>0</v>
      </c>
      <c r="W225" s="125">
        <v>0</v>
      </c>
      <c r="X225" s="125">
        <v>0</v>
      </c>
      <c r="Y225" s="125">
        <v>0</v>
      </c>
      <c r="Z225" s="125">
        <v>0</v>
      </c>
      <c r="AA225" s="125">
        <v>0</v>
      </c>
      <c r="AB225" s="125">
        <v>0</v>
      </c>
      <c r="AC225" s="125">
        <v>0</v>
      </c>
      <c r="AD225" s="125">
        <v>0</v>
      </c>
      <c r="AE225" s="125">
        <v>0</v>
      </c>
      <c r="AF225" s="125">
        <v>0</v>
      </c>
      <c r="AG225" s="125">
        <v>0</v>
      </c>
      <c r="AH225" s="125">
        <v>0</v>
      </c>
      <c r="AI225" s="125">
        <v>0</v>
      </c>
      <c r="AJ225" s="125">
        <v>0</v>
      </c>
      <c r="AK225" s="125">
        <v>0</v>
      </c>
      <c r="AL225" s="125">
        <v>0</v>
      </c>
      <c r="AM225" s="125">
        <v>0</v>
      </c>
      <c r="AN225" s="125">
        <v>0</v>
      </c>
      <c r="AO225" s="125">
        <v>0</v>
      </c>
      <c r="AP225" s="125">
        <v>0</v>
      </c>
      <c r="AQ225" s="125">
        <v>0</v>
      </c>
      <c r="AR225" s="125">
        <v>0</v>
      </c>
      <c r="AS225" s="125">
        <v>0</v>
      </c>
      <c r="AT225" s="125">
        <v>0</v>
      </c>
      <c r="AU225" s="125">
        <v>0</v>
      </c>
      <c r="AV225" s="125">
        <v>0</v>
      </c>
      <c r="AW225" s="125">
        <v>0</v>
      </c>
      <c r="AX225" s="125">
        <v>0</v>
      </c>
      <c r="AY225" s="125">
        <v>0</v>
      </c>
    </row>
    <row r="226" spans="1:51" x14ac:dyDescent="0.2">
      <c r="A226" s="124"/>
      <c r="B226" s="134">
        <v>18</v>
      </c>
      <c r="C226" s="121">
        <v>0</v>
      </c>
      <c r="D226" s="125">
        <v>0</v>
      </c>
      <c r="E226" s="125">
        <v>0</v>
      </c>
      <c r="F226" s="125">
        <v>0</v>
      </c>
      <c r="G226" s="125">
        <v>0</v>
      </c>
      <c r="H226" s="125">
        <v>0</v>
      </c>
      <c r="I226" s="125">
        <v>0</v>
      </c>
      <c r="J226" s="125">
        <v>0</v>
      </c>
      <c r="K226" s="125">
        <v>0</v>
      </c>
      <c r="L226" s="125">
        <v>0</v>
      </c>
      <c r="M226" s="125">
        <v>0</v>
      </c>
      <c r="N226" s="125">
        <v>0</v>
      </c>
      <c r="O226" s="125">
        <v>0</v>
      </c>
      <c r="P226" s="125">
        <v>0</v>
      </c>
      <c r="Q226" s="125">
        <v>0</v>
      </c>
      <c r="R226" s="125">
        <v>0</v>
      </c>
      <c r="S226" s="125">
        <v>0</v>
      </c>
      <c r="T226" s="125">
        <v>0</v>
      </c>
      <c r="U226" s="125">
        <v>0</v>
      </c>
      <c r="V226" s="125">
        <v>0</v>
      </c>
      <c r="W226" s="125">
        <v>0</v>
      </c>
      <c r="X226" s="125">
        <v>0</v>
      </c>
      <c r="Y226" s="125">
        <v>0</v>
      </c>
      <c r="Z226" s="125">
        <v>0</v>
      </c>
      <c r="AA226" s="125">
        <v>0</v>
      </c>
      <c r="AB226" s="125">
        <v>0</v>
      </c>
      <c r="AC226" s="125">
        <v>0</v>
      </c>
      <c r="AD226" s="125">
        <v>0</v>
      </c>
      <c r="AE226" s="125">
        <v>0</v>
      </c>
      <c r="AF226" s="125">
        <v>0</v>
      </c>
      <c r="AG226" s="125">
        <v>0</v>
      </c>
      <c r="AH226" s="125">
        <v>0</v>
      </c>
      <c r="AI226" s="125">
        <v>0</v>
      </c>
      <c r="AJ226" s="125">
        <v>0</v>
      </c>
      <c r="AK226" s="125">
        <v>0</v>
      </c>
      <c r="AL226" s="125">
        <v>0</v>
      </c>
      <c r="AM226" s="125">
        <v>0</v>
      </c>
      <c r="AN226" s="125">
        <v>0</v>
      </c>
      <c r="AO226" s="125">
        <v>0</v>
      </c>
      <c r="AP226" s="125">
        <v>0</v>
      </c>
      <c r="AQ226" s="125">
        <v>0</v>
      </c>
      <c r="AR226" s="125">
        <v>0</v>
      </c>
      <c r="AS226" s="125">
        <v>0</v>
      </c>
      <c r="AT226" s="125">
        <v>0</v>
      </c>
      <c r="AU226" s="125">
        <v>0</v>
      </c>
      <c r="AV226" s="125">
        <v>0</v>
      </c>
      <c r="AW226" s="125">
        <v>0</v>
      </c>
      <c r="AX226" s="125">
        <v>0</v>
      </c>
      <c r="AY226" s="125">
        <v>0</v>
      </c>
    </row>
    <row r="227" spans="1:51" x14ac:dyDescent="0.2">
      <c r="A227" s="124"/>
      <c r="B227" s="134">
        <v>19</v>
      </c>
      <c r="C227" s="121">
        <v>0</v>
      </c>
      <c r="D227" s="125">
        <v>0</v>
      </c>
      <c r="E227" s="125">
        <v>0</v>
      </c>
      <c r="F227" s="125">
        <v>0</v>
      </c>
      <c r="G227" s="125">
        <v>0</v>
      </c>
      <c r="H227" s="125">
        <v>0</v>
      </c>
      <c r="I227" s="125">
        <v>0</v>
      </c>
      <c r="J227" s="125">
        <v>0</v>
      </c>
      <c r="K227" s="125">
        <v>0</v>
      </c>
      <c r="L227" s="125">
        <v>0</v>
      </c>
      <c r="M227" s="125">
        <v>0</v>
      </c>
      <c r="N227" s="125">
        <v>0</v>
      </c>
      <c r="O227" s="125">
        <v>0</v>
      </c>
      <c r="P227" s="125">
        <v>0</v>
      </c>
      <c r="Q227" s="125">
        <v>0</v>
      </c>
      <c r="R227" s="125">
        <v>0</v>
      </c>
      <c r="S227" s="125">
        <v>0</v>
      </c>
      <c r="T227" s="125">
        <v>0</v>
      </c>
      <c r="U227" s="125">
        <v>0</v>
      </c>
      <c r="V227" s="125">
        <v>0</v>
      </c>
      <c r="W227" s="125">
        <v>0</v>
      </c>
      <c r="X227" s="125">
        <v>0</v>
      </c>
      <c r="Y227" s="125">
        <v>0</v>
      </c>
      <c r="Z227" s="125">
        <v>0</v>
      </c>
      <c r="AA227" s="125">
        <v>0</v>
      </c>
      <c r="AB227" s="125">
        <v>0</v>
      </c>
      <c r="AC227" s="125">
        <v>0</v>
      </c>
      <c r="AD227" s="125">
        <v>0</v>
      </c>
      <c r="AE227" s="125">
        <v>0</v>
      </c>
      <c r="AF227" s="125">
        <v>0</v>
      </c>
      <c r="AG227" s="125">
        <v>0</v>
      </c>
      <c r="AH227" s="125">
        <v>0</v>
      </c>
      <c r="AI227" s="125">
        <v>0</v>
      </c>
      <c r="AJ227" s="125">
        <v>0</v>
      </c>
      <c r="AK227" s="125">
        <v>0</v>
      </c>
      <c r="AL227" s="125">
        <v>0</v>
      </c>
      <c r="AM227" s="125">
        <v>0</v>
      </c>
      <c r="AN227" s="125">
        <v>0</v>
      </c>
      <c r="AO227" s="125">
        <v>0</v>
      </c>
      <c r="AP227" s="125">
        <v>0</v>
      </c>
      <c r="AQ227" s="125">
        <v>0</v>
      </c>
      <c r="AR227" s="125">
        <v>0</v>
      </c>
      <c r="AS227" s="125">
        <v>0</v>
      </c>
      <c r="AT227" s="125">
        <v>0</v>
      </c>
      <c r="AU227" s="125">
        <v>0</v>
      </c>
      <c r="AV227" s="125">
        <v>0</v>
      </c>
      <c r="AW227" s="125">
        <v>0</v>
      </c>
      <c r="AX227" s="125">
        <v>0</v>
      </c>
      <c r="AY227" s="125">
        <v>0</v>
      </c>
    </row>
    <row r="228" spans="1:51" x14ac:dyDescent="0.2">
      <c r="A228" s="124"/>
      <c r="B228" s="134">
        <v>20</v>
      </c>
      <c r="C228" s="121">
        <v>0</v>
      </c>
      <c r="D228" s="125">
        <v>0</v>
      </c>
      <c r="E228" s="125">
        <v>0</v>
      </c>
      <c r="F228" s="125">
        <v>0</v>
      </c>
      <c r="G228" s="125">
        <v>0</v>
      </c>
      <c r="H228" s="125">
        <v>0</v>
      </c>
      <c r="I228" s="125">
        <v>0</v>
      </c>
      <c r="J228" s="125">
        <v>0</v>
      </c>
      <c r="K228" s="125">
        <v>0</v>
      </c>
      <c r="L228" s="125">
        <v>0</v>
      </c>
      <c r="M228" s="125">
        <v>0</v>
      </c>
      <c r="N228" s="125">
        <v>0</v>
      </c>
      <c r="O228" s="125">
        <v>0</v>
      </c>
      <c r="P228" s="125">
        <v>0</v>
      </c>
      <c r="Q228" s="125">
        <v>0</v>
      </c>
      <c r="R228" s="125">
        <v>0</v>
      </c>
      <c r="S228" s="125">
        <v>0</v>
      </c>
      <c r="T228" s="125">
        <v>0</v>
      </c>
      <c r="U228" s="125">
        <v>0</v>
      </c>
      <c r="V228" s="125">
        <v>0</v>
      </c>
      <c r="W228" s="125">
        <v>0</v>
      </c>
      <c r="X228" s="125">
        <v>0</v>
      </c>
      <c r="Y228" s="125">
        <v>0</v>
      </c>
      <c r="Z228" s="125">
        <v>0</v>
      </c>
      <c r="AA228" s="125">
        <v>0</v>
      </c>
      <c r="AB228" s="125">
        <v>0</v>
      </c>
      <c r="AC228" s="125">
        <v>0</v>
      </c>
      <c r="AD228" s="125">
        <v>0</v>
      </c>
      <c r="AE228" s="125">
        <v>0</v>
      </c>
      <c r="AF228" s="125">
        <v>0</v>
      </c>
      <c r="AG228" s="125">
        <v>0</v>
      </c>
      <c r="AH228" s="125">
        <v>0</v>
      </c>
      <c r="AI228" s="125">
        <v>0</v>
      </c>
      <c r="AJ228" s="125">
        <v>0</v>
      </c>
      <c r="AK228" s="125">
        <v>0</v>
      </c>
      <c r="AL228" s="125">
        <v>0</v>
      </c>
      <c r="AM228" s="125">
        <v>0</v>
      </c>
      <c r="AN228" s="125">
        <v>0</v>
      </c>
      <c r="AO228" s="125">
        <v>0</v>
      </c>
      <c r="AP228" s="125">
        <v>0</v>
      </c>
      <c r="AQ228" s="125">
        <v>0</v>
      </c>
      <c r="AR228" s="125">
        <v>0</v>
      </c>
      <c r="AS228" s="125">
        <v>0</v>
      </c>
      <c r="AT228" s="125">
        <v>0</v>
      </c>
      <c r="AU228" s="125">
        <v>0</v>
      </c>
      <c r="AV228" s="125">
        <v>0</v>
      </c>
      <c r="AW228" s="125">
        <v>0</v>
      </c>
      <c r="AX228" s="125">
        <v>0</v>
      </c>
      <c r="AY228" s="125">
        <v>0</v>
      </c>
    </row>
    <row r="229" spans="1:51" x14ac:dyDescent="0.2">
      <c r="A229" s="124"/>
      <c r="B229" s="134">
        <v>21</v>
      </c>
      <c r="C229" s="121">
        <v>0</v>
      </c>
      <c r="D229" s="125">
        <v>0</v>
      </c>
      <c r="E229" s="125">
        <v>0</v>
      </c>
      <c r="F229" s="125">
        <v>0</v>
      </c>
      <c r="G229" s="125">
        <v>0</v>
      </c>
      <c r="H229" s="125">
        <v>0</v>
      </c>
      <c r="I229" s="125">
        <v>0</v>
      </c>
      <c r="J229" s="125">
        <v>0</v>
      </c>
      <c r="K229" s="125">
        <v>0</v>
      </c>
      <c r="L229" s="125">
        <v>0</v>
      </c>
      <c r="M229" s="125">
        <v>0</v>
      </c>
      <c r="N229" s="125">
        <v>0</v>
      </c>
      <c r="O229" s="125">
        <v>0</v>
      </c>
      <c r="P229" s="125">
        <v>0</v>
      </c>
      <c r="Q229" s="125">
        <v>0</v>
      </c>
      <c r="R229" s="125">
        <v>0</v>
      </c>
      <c r="S229" s="125">
        <v>0</v>
      </c>
      <c r="T229" s="125">
        <v>0</v>
      </c>
      <c r="U229" s="125">
        <v>0</v>
      </c>
      <c r="V229" s="125">
        <v>0</v>
      </c>
      <c r="W229" s="125">
        <v>0</v>
      </c>
      <c r="X229" s="125">
        <v>0</v>
      </c>
      <c r="Y229" s="125">
        <v>0</v>
      </c>
      <c r="Z229" s="125">
        <v>0</v>
      </c>
      <c r="AA229" s="125">
        <v>0</v>
      </c>
      <c r="AB229" s="125">
        <v>0</v>
      </c>
      <c r="AC229" s="125">
        <v>0</v>
      </c>
      <c r="AD229" s="125">
        <v>0</v>
      </c>
      <c r="AE229" s="125">
        <v>0</v>
      </c>
      <c r="AF229" s="125">
        <v>0</v>
      </c>
      <c r="AG229" s="125">
        <v>0</v>
      </c>
      <c r="AH229" s="125">
        <v>0</v>
      </c>
      <c r="AI229" s="125">
        <v>0</v>
      </c>
      <c r="AJ229" s="125">
        <v>0</v>
      </c>
      <c r="AK229" s="125">
        <v>0</v>
      </c>
      <c r="AL229" s="125">
        <v>0</v>
      </c>
      <c r="AM229" s="125">
        <v>0</v>
      </c>
      <c r="AN229" s="125">
        <v>0</v>
      </c>
      <c r="AO229" s="125">
        <v>0</v>
      </c>
      <c r="AP229" s="125">
        <v>0</v>
      </c>
      <c r="AQ229" s="125">
        <v>0</v>
      </c>
      <c r="AR229" s="125">
        <v>0</v>
      </c>
      <c r="AS229" s="125">
        <v>0</v>
      </c>
      <c r="AT229" s="125">
        <v>0</v>
      </c>
      <c r="AU229" s="125">
        <v>0</v>
      </c>
      <c r="AV229" s="125">
        <v>0</v>
      </c>
      <c r="AW229" s="125">
        <v>0</v>
      </c>
      <c r="AX229" s="125">
        <v>0</v>
      </c>
      <c r="AY229" s="125">
        <v>0</v>
      </c>
    </row>
    <row r="230" spans="1:51" x14ac:dyDescent="0.2">
      <c r="A230" s="124"/>
      <c r="B230" s="134">
        <v>22</v>
      </c>
      <c r="C230" s="121">
        <v>0</v>
      </c>
      <c r="D230" s="125">
        <v>0</v>
      </c>
      <c r="E230" s="125">
        <v>0</v>
      </c>
      <c r="F230" s="125">
        <v>0</v>
      </c>
      <c r="G230" s="125">
        <v>0</v>
      </c>
      <c r="H230" s="125">
        <v>0</v>
      </c>
      <c r="I230" s="125">
        <v>0</v>
      </c>
      <c r="J230" s="125">
        <v>0</v>
      </c>
      <c r="K230" s="125">
        <v>0</v>
      </c>
      <c r="L230" s="125">
        <v>0</v>
      </c>
      <c r="M230" s="125">
        <v>0</v>
      </c>
      <c r="N230" s="125">
        <v>0</v>
      </c>
      <c r="O230" s="125">
        <v>0</v>
      </c>
      <c r="P230" s="125">
        <v>0</v>
      </c>
      <c r="Q230" s="125">
        <v>0</v>
      </c>
      <c r="R230" s="125">
        <v>0</v>
      </c>
      <c r="S230" s="125">
        <v>0</v>
      </c>
      <c r="T230" s="125">
        <v>0</v>
      </c>
      <c r="U230" s="125">
        <v>0</v>
      </c>
      <c r="V230" s="125">
        <v>0</v>
      </c>
      <c r="W230" s="125">
        <v>0</v>
      </c>
      <c r="X230" s="125">
        <v>0</v>
      </c>
      <c r="Y230" s="125">
        <v>0</v>
      </c>
      <c r="Z230" s="125">
        <v>0</v>
      </c>
      <c r="AA230" s="125">
        <v>0</v>
      </c>
      <c r="AB230" s="125">
        <v>0</v>
      </c>
      <c r="AC230" s="125">
        <v>0</v>
      </c>
      <c r="AD230" s="125">
        <v>0</v>
      </c>
      <c r="AE230" s="125">
        <v>0</v>
      </c>
      <c r="AF230" s="125">
        <v>0</v>
      </c>
      <c r="AG230" s="125">
        <v>0</v>
      </c>
      <c r="AH230" s="125">
        <v>0</v>
      </c>
      <c r="AI230" s="125">
        <v>0</v>
      </c>
      <c r="AJ230" s="125">
        <v>0</v>
      </c>
      <c r="AK230" s="125">
        <v>0</v>
      </c>
      <c r="AL230" s="125">
        <v>0</v>
      </c>
      <c r="AM230" s="125">
        <v>0</v>
      </c>
      <c r="AN230" s="125">
        <v>0</v>
      </c>
      <c r="AO230" s="125">
        <v>0</v>
      </c>
      <c r="AP230" s="125">
        <v>0</v>
      </c>
      <c r="AQ230" s="125">
        <v>0</v>
      </c>
      <c r="AR230" s="125">
        <v>0</v>
      </c>
      <c r="AS230" s="125">
        <v>0</v>
      </c>
      <c r="AT230" s="125">
        <v>0</v>
      </c>
      <c r="AU230" s="125">
        <v>0</v>
      </c>
      <c r="AV230" s="125">
        <v>0</v>
      </c>
      <c r="AW230" s="125">
        <v>0</v>
      </c>
      <c r="AX230" s="125">
        <v>0</v>
      </c>
      <c r="AY230" s="125">
        <v>0</v>
      </c>
    </row>
    <row r="231" spans="1:51" x14ac:dyDescent="0.2">
      <c r="A231" s="124"/>
      <c r="B231" s="134">
        <v>23</v>
      </c>
      <c r="C231" s="121">
        <v>0</v>
      </c>
      <c r="D231" s="125">
        <v>0</v>
      </c>
      <c r="E231" s="125">
        <v>0</v>
      </c>
      <c r="F231" s="125">
        <v>0</v>
      </c>
      <c r="G231" s="125">
        <v>0</v>
      </c>
      <c r="H231" s="125">
        <v>0</v>
      </c>
      <c r="I231" s="125">
        <v>0</v>
      </c>
      <c r="J231" s="125">
        <v>0</v>
      </c>
      <c r="K231" s="125">
        <v>0</v>
      </c>
      <c r="L231" s="125">
        <v>0</v>
      </c>
      <c r="M231" s="125">
        <v>0</v>
      </c>
      <c r="N231" s="125">
        <v>0</v>
      </c>
      <c r="O231" s="125">
        <v>0</v>
      </c>
      <c r="P231" s="125">
        <v>0</v>
      </c>
      <c r="Q231" s="125">
        <v>0</v>
      </c>
      <c r="R231" s="125">
        <v>0</v>
      </c>
      <c r="S231" s="125">
        <v>0</v>
      </c>
      <c r="T231" s="125">
        <v>0</v>
      </c>
      <c r="U231" s="125">
        <v>0</v>
      </c>
      <c r="V231" s="125">
        <v>0</v>
      </c>
      <c r="W231" s="125">
        <v>0</v>
      </c>
      <c r="X231" s="125">
        <v>0</v>
      </c>
      <c r="Y231" s="125">
        <v>0</v>
      </c>
      <c r="Z231" s="125">
        <v>0</v>
      </c>
      <c r="AA231" s="125">
        <v>0</v>
      </c>
      <c r="AB231" s="125">
        <v>0</v>
      </c>
      <c r="AC231" s="125">
        <v>0</v>
      </c>
      <c r="AD231" s="125">
        <v>0</v>
      </c>
      <c r="AE231" s="125">
        <v>0</v>
      </c>
      <c r="AF231" s="125">
        <v>0</v>
      </c>
      <c r="AG231" s="125">
        <v>0</v>
      </c>
      <c r="AH231" s="125">
        <v>0</v>
      </c>
      <c r="AI231" s="125">
        <v>0</v>
      </c>
      <c r="AJ231" s="125">
        <v>0</v>
      </c>
      <c r="AK231" s="125">
        <v>0</v>
      </c>
      <c r="AL231" s="125">
        <v>0</v>
      </c>
      <c r="AM231" s="125">
        <v>0</v>
      </c>
      <c r="AN231" s="125">
        <v>0</v>
      </c>
      <c r="AO231" s="125">
        <v>0</v>
      </c>
      <c r="AP231" s="125">
        <v>0</v>
      </c>
      <c r="AQ231" s="125">
        <v>0</v>
      </c>
      <c r="AR231" s="125">
        <v>0</v>
      </c>
      <c r="AS231" s="125">
        <v>0</v>
      </c>
      <c r="AT231" s="125">
        <v>0</v>
      </c>
      <c r="AU231" s="125">
        <v>0</v>
      </c>
      <c r="AV231" s="125">
        <v>0</v>
      </c>
      <c r="AW231" s="125">
        <v>0</v>
      </c>
      <c r="AX231" s="125">
        <v>0</v>
      </c>
      <c r="AY231" s="125">
        <v>0</v>
      </c>
    </row>
    <row r="232" spans="1:51" x14ac:dyDescent="0.2">
      <c r="A232" s="124"/>
      <c r="B232" s="134">
        <v>24</v>
      </c>
      <c r="C232" s="121">
        <v>0</v>
      </c>
      <c r="D232" s="125">
        <v>0</v>
      </c>
      <c r="E232" s="125">
        <v>0</v>
      </c>
      <c r="F232" s="125">
        <v>0</v>
      </c>
      <c r="G232" s="125">
        <v>0</v>
      </c>
      <c r="H232" s="125">
        <v>0</v>
      </c>
      <c r="I232" s="125">
        <v>0</v>
      </c>
      <c r="J232" s="125">
        <v>0</v>
      </c>
      <c r="K232" s="125">
        <v>0</v>
      </c>
      <c r="L232" s="125">
        <v>0</v>
      </c>
      <c r="M232" s="125">
        <v>0</v>
      </c>
      <c r="N232" s="125">
        <v>0</v>
      </c>
      <c r="O232" s="125">
        <v>0</v>
      </c>
      <c r="P232" s="125">
        <v>0</v>
      </c>
      <c r="Q232" s="125">
        <v>0</v>
      </c>
      <c r="R232" s="125">
        <v>0</v>
      </c>
      <c r="S232" s="125">
        <v>0</v>
      </c>
      <c r="T232" s="125">
        <v>0</v>
      </c>
      <c r="U232" s="125">
        <v>0</v>
      </c>
      <c r="V232" s="125">
        <v>0</v>
      </c>
      <c r="W232" s="125">
        <v>0</v>
      </c>
      <c r="X232" s="125">
        <v>0</v>
      </c>
      <c r="Y232" s="125">
        <v>0</v>
      </c>
      <c r="Z232" s="125">
        <v>0</v>
      </c>
      <c r="AA232" s="125">
        <v>0</v>
      </c>
      <c r="AB232" s="125">
        <v>0</v>
      </c>
      <c r="AC232" s="125">
        <v>0</v>
      </c>
      <c r="AD232" s="125">
        <v>0</v>
      </c>
      <c r="AE232" s="125">
        <v>0</v>
      </c>
      <c r="AF232" s="125">
        <v>0</v>
      </c>
      <c r="AG232" s="125">
        <v>0</v>
      </c>
      <c r="AH232" s="125">
        <v>0</v>
      </c>
      <c r="AI232" s="125">
        <v>0</v>
      </c>
      <c r="AJ232" s="125">
        <v>0</v>
      </c>
      <c r="AK232" s="125">
        <v>0</v>
      </c>
      <c r="AL232" s="125">
        <v>0</v>
      </c>
      <c r="AM232" s="125">
        <v>0</v>
      </c>
      <c r="AN232" s="125">
        <v>0</v>
      </c>
      <c r="AO232" s="125">
        <v>0</v>
      </c>
      <c r="AP232" s="125">
        <v>0</v>
      </c>
      <c r="AQ232" s="125">
        <v>0</v>
      </c>
      <c r="AR232" s="125">
        <v>0</v>
      </c>
      <c r="AS232" s="125">
        <v>0</v>
      </c>
      <c r="AT232" s="125">
        <v>0</v>
      </c>
      <c r="AU232" s="125">
        <v>0</v>
      </c>
      <c r="AV232" s="125">
        <v>0</v>
      </c>
      <c r="AW232" s="125">
        <v>0</v>
      </c>
      <c r="AX232" s="125">
        <v>0</v>
      </c>
      <c r="AY232" s="125">
        <v>0</v>
      </c>
    </row>
    <row r="233" spans="1:51" x14ac:dyDescent="0.2">
      <c r="A233" s="124"/>
      <c r="B233" s="141">
        <v>25</v>
      </c>
      <c r="C233" s="121">
        <v>0</v>
      </c>
      <c r="D233" s="125">
        <v>0</v>
      </c>
      <c r="E233" s="125">
        <v>0</v>
      </c>
      <c r="F233" s="125">
        <v>0</v>
      </c>
      <c r="G233" s="125">
        <v>0</v>
      </c>
      <c r="H233" s="125">
        <v>0</v>
      </c>
      <c r="I233" s="125">
        <v>0</v>
      </c>
      <c r="J233" s="125">
        <v>0</v>
      </c>
      <c r="K233" s="125">
        <v>0</v>
      </c>
      <c r="L233" s="125">
        <v>0</v>
      </c>
      <c r="M233" s="125">
        <v>0</v>
      </c>
      <c r="N233" s="125">
        <v>0</v>
      </c>
      <c r="O233" s="125">
        <v>0</v>
      </c>
      <c r="P233" s="125">
        <v>0</v>
      </c>
      <c r="Q233" s="125">
        <v>0</v>
      </c>
      <c r="R233" s="125">
        <v>0</v>
      </c>
      <c r="S233" s="125">
        <v>0</v>
      </c>
      <c r="T233" s="125">
        <v>0</v>
      </c>
      <c r="U233" s="125">
        <v>0</v>
      </c>
      <c r="V233" s="125">
        <v>0</v>
      </c>
      <c r="W233" s="125">
        <v>0</v>
      </c>
      <c r="X233" s="125">
        <v>0</v>
      </c>
      <c r="Y233" s="125">
        <v>0</v>
      </c>
      <c r="Z233" s="125">
        <v>0</v>
      </c>
      <c r="AA233" s="125">
        <v>0</v>
      </c>
      <c r="AB233" s="125">
        <v>0</v>
      </c>
      <c r="AC233" s="125">
        <v>0</v>
      </c>
      <c r="AD233" s="125">
        <v>0</v>
      </c>
      <c r="AE233" s="125">
        <v>0</v>
      </c>
      <c r="AF233" s="125">
        <v>0</v>
      </c>
      <c r="AG233" s="125">
        <v>0</v>
      </c>
      <c r="AH233" s="125">
        <v>0</v>
      </c>
      <c r="AI233" s="125">
        <v>0</v>
      </c>
      <c r="AJ233" s="125">
        <v>0</v>
      </c>
      <c r="AK233" s="125">
        <v>0</v>
      </c>
      <c r="AL233" s="125">
        <v>0</v>
      </c>
      <c r="AM233" s="125">
        <v>0</v>
      </c>
      <c r="AN233" s="125">
        <v>0</v>
      </c>
      <c r="AO233" s="125">
        <v>0</v>
      </c>
      <c r="AP233" s="125">
        <v>0</v>
      </c>
      <c r="AQ233" s="125">
        <v>0</v>
      </c>
      <c r="AR233" s="125">
        <v>0</v>
      </c>
      <c r="AS233" s="125">
        <v>0</v>
      </c>
      <c r="AT233" s="125">
        <v>0</v>
      </c>
      <c r="AU233" s="125">
        <v>0</v>
      </c>
      <c r="AV233" s="125">
        <v>0</v>
      </c>
      <c r="AW233" s="125">
        <v>0</v>
      </c>
      <c r="AX233" s="125">
        <v>0</v>
      </c>
      <c r="AY233" s="125">
        <v>0</v>
      </c>
    </row>
    <row r="234" spans="1:51" x14ac:dyDescent="0.2">
      <c r="A234" s="124"/>
      <c r="B234" s="141">
        <v>26</v>
      </c>
      <c r="C234" s="121">
        <v>0</v>
      </c>
      <c r="D234" s="125">
        <v>0</v>
      </c>
      <c r="E234" s="125">
        <v>0</v>
      </c>
      <c r="F234" s="125">
        <v>0</v>
      </c>
      <c r="G234" s="125">
        <v>0</v>
      </c>
      <c r="H234" s="125">
        <v>0</v>
      </c>
      <c r="I234" s="125">
        <v>0</v>
      </c>
      <c r="J234" s="125">
        <v>0</v>
      </c>
      <c r="K234" s="125">
        <v>0</v>
      </c>
      <c r="L234" s="125">
        <v>0</v>
      </c>
      <c r="M234" s="125">
        <v>0</v>
      </c>
      <c r="N234" s="125">
        <v>0</v>
      </c>
      <c r="O234" s="125">
        <v>0</v>
      </c>
      <c r="P234" s="125">
        <v>0</v>
      </c>
      <c r="Q234" s="125">
        <v>0</v>
      </c>
      <c r="R234" s="125">
        <v>0</v>
      </c>
      <c r="S234" s="125">
        <v>0</v>
      </c>
      <c r="T234" s="125">
        <v>0</v>
      </c>
      <c r="U234" s="125">
        <v>0</v>
      </c>
      <c r="V234" s="125">
        <v>0</v>
      </c>
      <c r="W234" s="125">
        <v>0</v>
      </c>
      <c r="X234" s="125">
        <v>0</v>
      </c>
      <c r="Y234" s="125">
        <v>0</v>
      </c>
      <c r="Z234" s="125">
        <v>0</v>
      </c>
      <c r="AA234" s="125">
        <v>0</v>
      </c>
      <c r="AB234" s="125">
        <v>0</v>
      </c>
      <c r="AC234" s="125">
        <v>0</v>
      </c>
      <c r="AD234" s="125">
        <v>0</v>
      </c>
      <c r="AE234" s="125">
        <v>0</v>
      </c>
      <c r="AF234" s="125">
        <v>0</v>
      </c>
      <c r="AG234" s="125">
        <v>0</v>
      </c>
      <c r="AH234" s="125">
        <v>0</v>
      </c>
      <c r="AI234" s="125">
        <v>0</v>
      </c>
      <c r="AJ234" s="125">
        <v>0</v>
      </c>
      <c r="AK234" s="125">
        <v>0</v>
      </c>
      <c r="AL234" s="125">
        <v>0</v>
      </c>
      <c r="AM234" s="125">
        <v>0</v>
      </c>
      <c r="AN234" s="125">
        <v>0</v>
      </c>
      <c r="AO234" s="125">
        <v>0</v>
      </c>
      <c r="AP234" s="125">
        <v>0</v>
      </c>
      <c r="AQ234" s="125">
        <v>0</v>
      </c>
      <c r="AR234" s="125">
        <v>0</v>
      </c>
      <c r="AS234" s="125">
        <v>0</v>
      </c>
      <c r="AT234" s="125">
        <v>0</v>
      </c>
      <c r="AU234" s="125">
        <v>0</v>
      </c>
      <c r="AV234" s="125">
        <v>0</v>
      </c>
      <c r="AW234" s="125">
        <v>0</v>
      </c>
      <c r="AX234" s="125">
        <v>0</v>
      </c>
      <c r="AY234" s="125">
        <v>0</v>
      </c>
    </row>
    <row r="235" spans="1:51" x14ac:dyDescent="0.2">
      <c r="A235" s="124"/>
      <c r="B235" s="141">
        <v>27</v>
      </c>
      <c r="C235" s="121">
        <v>0</v>
      </c>
      <c r="D235" s="125">
        <v>0</v>
      </c>
      <c r="E235" s="125">
        <v>0</v>
      </c>
      <c r="F235" s="125">
        <v>0</v>
      </c>
      <c r="G235" s="125">
        <v>0</v>
      </c>
      <c r="H235" s="125">
        <v>0</v>
      </c>
      <c r="I235" s="125">
        <v>0</v>
      </c>
      <c r="J235" s="125">
        <v>0</v>
      </c>
      <c r="K235" s="125">
        <v>0</v>
      </c>
      <c r="L235" s="125">
        <v>0</v>
      </c>
      <c r="M235" s="125">
        <v>0</v>
      </c>
      <c r="N235" s="125">
        <v>0</v>
      </c>
      <c r="O235" s="125">
        <v>0</v>
      </c>
      <c r="P235" s="125">
        <v>0</v>
      </c>
      <c r="Q235" s="125">
        <v>0</v>
      </c>
      <c r="R235" s="125">
        <v>0</v>
      </c>
      <c r="S235" s="125">
        <v>0</v>
      </c>
      <c r="T235" s="125">
        <v>0</v>
      </c>
      <c r="U235" s="125">
        <v>0</v>
      </c>
      <c r="V235" s="125">
        <v>0</v>
      </c>
      <c r="W235" s="125">
        <v>0</v>
      </c>
      <c r="X235" s="125">
        <v>0</v>
      </c>
      <c r="Y235" s="125">
        <v>0</v>
      </c>
      <c r="Z235" s="125">
        <v>0</v>
      </c>
      <c r="AA235" s="125">
        <v>0</v>
      </c>
      <c r="AB235" s="125">
        <v>0</v>
      </c>
      <c r="AC235" s="125">
        <v>0</v>
      </c>
      <c r="AD235" s="125">
        <v>0</v>
      </c>
      <c r="AE235" s="125">
        <v>0</v>
      </c>
      <c r="AF235" s="125">
        <v>0</v>
      </c>
      <c r="AG235" s="125">
        <v>0</v>
      </c>
      <c r="AH235" s="125">
        <v>0</v>
      </c>
      <c r="AI235" s="125">
        <v>0</v>
      </c>
      <c r="AJ235" s="125">
        <v>0</v>
      </c>
      <c r="AK235" s="125">
        <v>0</v>
      </c>
      <c r="AL235" s="125">
        <v>0</v>
      </c>
      <c r="AM235" s="125">
        <v>0</v>
      </c>
      <c r="AN235" s="125">
        <v>0</v>
      </c>
      <c r="AO235" s="125">
        <v>0</v>
      </c>
      <c r="AP235" s="125">
        <v>0</v>
      </c>
      <c r="AQ235" s="125">
        <v>0</v>
      </c>
      <c r="AR235" s="125">
        <v>0</v>
      </c>
      <c r="AS235" s="125">
        <v>0</v>
      </c>
      <c r="AT235" s="125">
        <v>0</v>
      </c>
      <c r="AU235" s="125">
        <v>0</v>
      </c>
      <c r="AV235" s="125">
        <v>0</v>
      </c>
      <c r="AW235" s="125">
        <v>0</v>
      </c>
      <c r="AX235" s="125">
        <v>0</v>
      </c>
      <c r="AY235" s="125">
        <v>0</v>
      </c>
    </row>
    <row r="236" spans="1:51" x14ac:dyDescent="0.2">
      <c r="A236" s="124"/>
      <c r="B236" s="141">
        <v>28</v>
      </c>
      <c r="C236" s="121">
        <v>0</v>
      </c>
      <c r="D236" s="125">
        <v>0</v>
      </c>
      <c r="E236" s="125">
        <v>0</v>
      </c>
      <c r="F236" s="125">
        <v>0</v>
      </c>
      <c r="G236" s="125">
        <v>0</v>
      </c>
      <c r="H236" s="125">
        <v>0</v>
      </c>
      <c r="I236" s="125">
        <v>0</v>
      </c>
      <c r="J236" s="125">
        <v>0</v>
      </c>
      <c r="K236" s="125">
        <v>0</v>
      </c>
      <c r="L236" s="125">
        <v>0</v>
      </c>
      <c r="M236" s="125">
        <v>0</v>
      </c>
      <c r="N236" s="125">
        <v>0</v>
      </c>
      <c r="O236" s="125">
        <v>0</v>
      </c>
      <c r="P236" s="125">
        <v>0</v>
      </c>
      <c r="Q236" s="125">
        <v>0</v>
      </c>
      <c r="R236" s="125">
        <v>0</v>
      </c>
      <c r="S236" s="125">
        <v>0</v>
      </c>
      <c r="T236" s="125">
        <v>0</v>
      </c>
      <c r="U236" s="125">
        <v>0</v>
      </c>
      <c r="V236" s="125">
        <v>0</v>
      </c>
      <c r="W236" s="125">
        <v>0</v>
      </c>
      <c r="X236" s="125">
        <v>0</v>
      </c>
      <c r="Y236" s="125">
        <v>0</v>
      </c>
      <c r="Z236" s="125">
        <v>0</v>
      </c>
      <c r="AA236" s="125">
        <v>0</v>
      </c>
      <c r="AB236" s="125">
        <v>0</v>
      </c>
      <c r="AC236" s="125">
        <v>0</v>
      </c>
      <c r="AD236" s="125">
        <v>0</v>
      </c>
      <c r="AE236" s="125">
        <v>0</v>
      </c>
      <c r="AF236" s="125">
        <v>0</v>
      </c>
      <c r="AG236" s="125">
        <v>0</v>
      </c>
      <c r="AH236" s="125">
        <v>0</v>
      </c>
      <c r="AI236" s="125">
        <v>0</v>
      </c>
      <c r="AJ236" s="125">
        <v>0</v>
      </c>
      <c r="AK236" s="125">
        <v>0</v>
      </c>
      <c r="AL236" s="125">
        <v>0</v>
      </c>
      <c r="AM236" s="125">
        <v>0</v>
      </c>
      <c r="AN236" s="125">
        <v>0</v>
      </c>
      <c r="AO236" s="125">
        <v>0</v>
      </c>
      <c r="AP236" s="125">
        <v>0</v>
      </c>
      <c r="AQ236" s="125">
        <v>0</v>
      </c>
      <c r="AR236" s="125">
        <v>0</v>
      </c>
      <c r="AS236" s="125">
        <v>0</v>
      </c>
      <c r="AT236" s="125">
        <v>0</v>
      </c>
      <c r="AU236" s="125">
        <v>0</v>
      </c>
      <c r="AV236" s="125">
        <v>0</v>
      </c>
      <c r="AW236" s="125">
        <v>0</v>
      </c>
      <c r="AX236" s="125">
        <v>0</v>
      </c>
      <c r="AY236" s="125">
        <v>0</v>
      </c>
    </row>
    <row r="237" spans="1:51" x14ac:dyDescent="0.2">
      <c r="A237" s="124"/>
      <c r="B237" s="141">
        <v>29</v>
      </c>
      <c r="C237" s="121">
        <v>0</v>
      </c>
      <c r="D237" s="125">
        <v>0</v>
      </c>
      <c r="E237" s="125">
        <v>0</v>
      </c>
      <c r="F237" s="125">
        <v>0</v>
      </c>
      <c r="G237" s="125">
        <v>0</v>
      </c>
      <c r="H237" s="125">
        <v>0</v>
      </c>
      <c r="I237" s="125">
        <v>0</v>
      </c>
      <c r="J237" s="125">
        <v>0</v>
      </c>
      <c r="K237" s="125">
        <v>0</v>
      </c>
      <c r="L237" s="125">
        <v>0</v>
      </c>
      <c r="M237" s="125">
        <v>0</v>
      </c>
      <c r="N237" s="125">
        <v>0</v>
      </c>
      <c r="O237" s="125">
        <v>0</v>
      </c>
      <c r="P237" s="125">
        <v>0</v>
      </c>
      <c r="Q237" s="125">
        <v>0</v>
      </c>
      <c r="R237" s="125">
        <v>0</v>
      </c>
      <c r="S237" s="125">
        <v>0</v>
      </c>
      <c r="T237" s="125">
        <v>0</v>
      </c>
      <c r="U237" s="125">
        <v>0</v>
      </c>
      <c r="V237" s="125">
        <v>0</v>
      </c>
      <c r="W237" s="125">
        <v>0</v>
      </c>
      <c r="X237" s="125">
        <v>0</v>
      </c>
      <c r="Y237" s="125">
        <v>0</v>
      </c>
      <c r="Z237" s="125">
        <v>0</v>
      </c>
      <c r="AA237" s="125">
        <v>0</v>
      </c>
      <c r="AB237" s="125">
        <v>0</v>
      </c>
      <c r="AC237" s="125">
        <v>0</v>
      </c>
      <c r="AD237" s="125">
        <v>0</v>
      </c>
      <c r="AE237" s="125">
        <v>0</v>
      </c>
      <c r="AF237" s="125">
        <v>0</v>
      </c>
      <c r="AG237" s="125">
        <v>0</v>
      </c>
      <c r="AH237" s="125">
        <v>0</v>
      </c>
      <c r="AI237" s="125">
        <v>0</v>
      </c>
      <c r="AJ237" s="125">
        <v>0</v>
      </c>
      <c r="AK237" s="125">
        <v>0</v>
      </c>
      <c r="AL237" s="125">
        <v>0</v>
      </c>
      <c r="AM237" s="125">
        <v>0</v>
      </c>
      <c r="AN237" s="125">
        <v>0</v>
      </c>
      <c r="AO237" s="125">
        <v>0</v>
      </c>
      <c r="AP237" s="125">
        <v>0</v>
      </c>
      <c r="AQ237" s="125">
        <v>0</v>
      </c>
      <c r="AR237" s="125">
        <v>0</v>
      </c>
      <c r="AS237" s="125">
        <v>0</v>
      </c>
      <c r="AT237" s="125">
        <v>0</v>
      </c>
      <c r="AU237" s="125">
        <v>0</v>
      </c>
      <c r="AV237" s="125">
        <v>0</v>
      </c>
      <c r="AW237" s="125">
        <v>0</v>
      </c>
      <c r="AX237" s="125">
        <v>0</v>
      </c>
      <c r="AY237" s="125">
        <v>0</v>
      </c>
    </row>
    <row r="238" spans="1:51" x14ac:dyDescent="0.2">
      <c r="A238" s="124"/>
      <c r="B238" s="141">
        <v>30</v>
      </c>
      <c r="C238" s="121">
        <v>0</v>
      </c>
      <c r="D238" s="125">
        <v>0</v>
      </c>
      <c r="E238" s="125">
        <v>0</v>
      </c>
      <c r="F238" s="125">
        <v>0</v>
      </c>
      <c r="G238" s="125">
        <v>0</v>
      </c>
      <c r="H238" s="125">
        <v>0</v>
      </c>
      <c r="I238" s="125">
        <v>0</v>
      </c>
      <c r="J238" s="125">
        <v>0</v>
      </c>
      <c r="K238" s="125">
        <v>0</v>
      </c>
      <c r="L238" s="125">
        <v>0</v>
      </c>
      <c r="M238" s="125">
        <v>0</v>
      </c>
      <c r="N238" s="125">
        <v>0</v>
      </c>
      <c r="O238" s="125">
        <v>0</v>
      </c>
      <c r="P238" s="125">
        <v>0</v>
      </c>
      <c r="Q238" s="125">
        <v>0</v>
      </c>
      <c r="R238" s="125">
        <v>0</v>
      </c>
      <c r="S238" s="125">
        <v>0</v>
      </c>
      <c r="T238" s="125">
        <v>0</v>
      </c>
      <c r="U238" s="125">
        <v>0</v>
      </c>
      <c r="V238" s="125">
        <v>0</v>
      </c>
      <c r="W238" s="125">
        <v>0</v>
      </c>
      <c r="X238" s="125">
        <v>0</v>
      </c>
      <c r="Y238" s="125">
        <v>0</v>
      </c>
      <c r="Z238" s="125">
        <v>0</v>
      </c>
      <c r="AA238" s="125">
        <v>0</v>
      </c>
      <c r="AB238" s="125">
        <v>0</v>
      </c>
      <c r="AC238" s="125">
        <v>0</v>
      </c>
      <c r="AD238" s="125">
        <v>0</v>
      </c>
      <c r="AE238" s="125">
        <v>0</v>
      </c>
      <c r="AF238" s="125">
        <v>0</v>
      </c>
      <c r="AG238" s="125">
        <v>0</v>
      </c>
      <c r="AH238" s="125">
        <v>0</v>
      </c>
      <c r="AI238" s="125">
        <v>0</v>
      </c>
      <c r="AJ238" s="125">
        <v>0</v>
      </c>
      <c r="AK238" s="125">
        <v>0</v>
      </c>
      <c r="AL238" s="125">
        <v>0</v>
      </c>
      <c r="AM238" s="125">
        <v>0</v>
      </c>
      <c r="AN238" s="125">
        <v>0</v>
      </c>
      <c r="AO238" s="125">
        <v>0</v>
      </c>
      <c r="AP238" s="125">
        <v>0</v>
      </c>
      <c r="AQ238" s="125">
        <v>0</v>
      </c>
      <c r="AR238" s="125">
        <v>0</v>
      </c>
      <c r="AS238" s="125">
        <v>0</v>
      </c>
      <c r="AT238" s="125">
        <v>0</v>
      </c>
      <c r="AU238" s="125">
        <v>0</v>
      </c>
      <c r="AV238" s="125">
        <v>0</v>
      </c>
      <c r="AW238" s="125">
        <v>0</v>
      </c>
      <c r="AX238" s="125">
        <v>0</v>
      </c>
      <c r="AY238" s="125">
        <v>0</v>
      </c>
    </row>
    <row r="239" spans="1:51" x14ac:dyDescent="0.2">
      <c r="A239" s="124"/>
      <c r="B239" s="141">
        <v>31</v>
      </c>
      <c r="C239" s="121">
        <v>0</v>
      </c>
      <c r="D239" s="125">
        <v>0</v>
      </c>
      <c r="E239" s="125">
        <v>0</v>
      </c>
      <c r="F239" s="125">
        <v>0</v>
      </c>
      <c r="G239" s="125">
        <v>0</v>
      </c>
      <c r="H239" s="125">
        <v>0</v>
      </c>
      <c r="I239" s="125">
        <v>0</v>
      </c>
      <c r="J239" s="125">
        <v>0</v>
      </c>
      <c r="K239" s="125">
        <v>0</v>
      </c>
      <c r="L239" s="125">
        <v>0</v>
      </c>
      <c r="M239" s="125">
        <v>0</v>
      </c>
      <c r="N239" s="125">
        <v>0</v>
      </c>
      <c r="O239" s="125">
        <v>0</v>
      </c>
      <c r="P239" s="125">
        <v>0</v>
      </c>
      <c r="Q239" s="125">
        <v>0</v>
      </c>
      <c r="R239" s="125">
        <v>0</v>
      </c>
      <c r="S239" s="125">
        <v>0</v>
      </c>
      <c r="T239" s="125">
        <v>0</v>
      </c>
      <c r="U239" s="125">
        <v>0</v>
      </c>
      <c r="V239" s="125">
        <v>0</v>
      </c>
      <c r="W239" s="125">
        <v>0</v>
      </c>
      <c r="X239" s="125">
        <v>0</v>
      </c>
      <c r="Y239" s="125">
        <v>0</v>
      </c>
      <c r="Z239" s="125">
        <v>0</v>
      </c>
      <c r="AA239" s="125">
        <v>0</v>
      </c>
      <c r="AB239" s="125">
        <v>0</v>
      </c>
      <c r="AC239" s="125">
        <v>0</v>
      </c>
      <c r="AD239" s="125">
        <v>0</v>
      </c>
      <c r="AE239" s="125">
        <v>0</v>
      </c>
      <c r="AF239" s="125">
        <v>0</v>
      </c>
      <c r="AG239" s="125">
        <v>0</v>
      </c>
      <c r="AH239" s="125">
        <v>0</v>
      </c>
      <c r="AI239" s="125">
        <v>0</v>
      </c>
      <c r="AJ239" s="125">
        <v>0</v>
      </c>
      <c r="AK239" s="125">
        <v>0</v>
      </c>
      <c r="AL239" s="125">
        <v>0</v>
      </c>
      <c r="AM239" s="125">
        <v>0</v>
      </c>
      <c r="AN239" s="125">
        <v>0</v>
      </c>
      <c r="AO239" s="125">
        <v>0</v>
      </c>
      <c r="AP239" s="125">
        <v>0</v>
      </c>
      <c r="AQ239" s="125">
        <v>0</v>
      </c>
      <c r="AR239" s="125">
        <v>0</v>
      </c>
      <c r="AS239" s="125">
        <v>0</v>
      </c>
      <c r="AT239" s="125">
        <v>0</v>
      </c>
      <c r="AU239" s="125">
        <v>0</v>
      </c>
      <c r="AV239" s="125">
        <v>0</v>
      </c>
      <c r="AW239" s="125">
        <v>0</v>
      </c>
      <c r="AX239" s="125">
        <v>0</v>
      </c>
      <c r="AY239" s="125">
        <v>0</v>
      </c>
    </row>
    <row r="240" spans="1:51" x14ac:dyDescent="0.2">
      <c r="A240" s="124"/>
      <c r="B240" s="141">
        <v>32</v>
      </c>
      <c r="C240" s="121">
        <v>0</v>
      </c>
      <c r="D240" s="125">
        <v>0</v>
      </c>
      <c r="E240" s="125">
        <v>0</v>
      </c>
      <c r="F240" s="125">
        <v>0</v>
      </c>
      <c r="G240" s="125">
        <v>0</v>
      </c>
      <c r="H240" s="125">
        <v>0</v>
      </c>
      <c r="I240" s="125">
        <v>0</v>
      </c>
      <c r="J240" s="125">
        <v>0</v>
      </c>
      <c r="K240" s="125">
        <v>0</v>
      </c>
      <c r="L240" s="125">
        <v>0</v>
      </c>
      <c r="M240" s="125">
        <v>0</v>
      </c>
      <c r="N240" s="125">
        <v>0</v>
      </c>
      <c r="O240" s="125">
        <v>0</v>
      </c>
      <c r="P240" s="125">
        <v>0</v>
      </c>
      <c r="Q240" s="125">
        <v>0</v>
      </c>
      <c r="R240" s="125">
        <v>0</v>
      </c>
      <c r="S240" s="125">
        <v>0</v>
      </c>
      <c r="T240" s="125">
        <v>0</v>
      </c>
      <c r="U240" s="125">
        <v>0</v>
      </c>
      <c r="V240" s="125">
        <v>0</v>
      </c>
      <c r="W240" s="125">
        <v>0</v>
      </c>
      <c r="X240" s="125">
        <v>0</v>
      </c>
      <c r="Y240" s="125">
        <v>0</v>
      </c>
      <c r="Z240" s="125">
        <v>0</v>
      </c>
      <c r="AA240" s="125">
        <v>0</v>
      </c>
      <c r="AB240" s="125">
        <v>0</v>
      </c>
      <c r="AC240" s="125">
        <v>0</v>
      </c>
      <c r="AD240" s="125">
        <v>0</v>
      </c>
      <c r="AE240" s="125">
        <v>0</v>
      </c>
      <c r="AF240" s="125">
        <v>0</v>
      </c>
      <c r="AG240" s="125">
        <v>0</v>
      </c>
      <c r="AH240" s="125">
        <v>0</v>
      </c>
      <c r="AI240" s="125">
        <v>0</v>
      </c>
      <c r="AJ240" s="125">
        <v>0</v>
      </c>
      <c r="AK240" s="125">
        <v>0</v>
      </c>
      <c r="AL240" s="125">
        <v>0</v>
      </c>
      <c r="AM240" s="125">
        <v>0</v>
      </c>
      <c r="AN240" s="125">
        <v>0</v>
      </c>
      <c r="AO240" s="125">
        <v>0</v>
      </c>
      <c r="AP240" s="125">
        <v>0</v>
      </c>
      <c r="AQ240" s="125">
        <v>0</v>
      </c>
      <c r="AR240" s="125">
        <v>0</v>
      </c>
      <c r="AS240" s="125">
        <v>0</v>
      </c>
      <c r="AT240" s="125">
        <v>0</v>
      </c>
      <c r="AU240" s="125">
        <v>0</v>
      </c>
      <c r="AV240" s="125">
        <v>0</v>
      </c>
      <c r="AW240" s="125">
        <v>0</v>
      </c>
      <c r="AX240" s="125">
        <v>0</v>
      </c>
      <c r="AY240" s="125">
        <v>0</v>
      </c>
    </row>
    <row r="241" spans="1:51" x14ac:dyDescent="0.2">
      <c r="A241" s="124"/>
      <c r="B241" s="141">
        <v>33</v>
      </c>
      <c r="C241" s="121">
        <v>0</v>
      </c>
      <c r="D241" s="125">
        <v>0</v>
      </c>
      <c r="E241" s="125">
        <v>0</v>
      </c>
      <c r="F241" s="125">
        <v>0</v>
      </c>
      <c r="G241" s="125">
        <v>0</v>
      </c>
      <c r="H241" s="125">
        <v>0</v>
      </c>
      <c r="I241" s="125">
        <v>0</v>
      </c>
      <c r="J241" s="125">
        <v>0</v>
      </c>
      <c r="K241" s="125">
        <v>0</v>
      </c>
      <c r="L241" s="125">
        <v>0</v>
      </c>
      <c r="M241" s="125">
        <v>0</v>
      </c>
      <c r="N241" s="125">
        <v>0</v>
      </c>
      <c r="O241" s="125">
        <v>0</v>
      </c>
      <c r="P241" s="125">
        <v>0</v>
      </c>
      <c r="Q241" s="125">
        <v>0</v>
      </c>
      <c r="R241" s="125">
        <v>0</v>
      </c>
      <c r="S241" s="125">
        <v>0</v>
      </c>
      <c r="T241" s="125">
        <v>0</v>
      </c>
      <c r="U241" s="125">
        <v>0</v>
      </c>
      <c r="V241" s="125">
        <v>0</v>
      </c>
      <c r="W241" s="125">
        <v>0</v>
      </c>
      <c r="X241" s="125">
        <v>0</v>
      </c>
      <c r="Y241" s="125">
        <v>0</v>
      </c>
      <c r="Z241" s="125">
        <v>0</v>
      </c>
      <c r="AA241" s="125">
        <v>0</v>
      </c>
      <c r="AB241" s="125">
        <v>0</v>
      </c>
      <c r="AC241" s="125">
        <v>0</v>
      </c>
      <c r="AD241" s="125">
        <v>0</v>
      </c>
      <c r="AE241" s="125">
        <v>0</v>
      </c>
      <c r="AF241" s="125">
        <v>0</v>
      </c>
      <c r="AG241" s="125">
        <v>0</v>
      </c>
      <c r="AH241" s="125">
        <v>0</v>
      </c>
      <c r="AI241" s="125">
        <v>0</v>
      </c>
      <c r="AJ241" s="125">
        <v>0</v>
      </c>
      <c r="AK241" s="125">
        <v>0</v>
      </c>
      <c r="AL241" s="125">
        <v>0</v>
      </c>
      <c r="AM241" s="125">
        <v>0</v>
      </c>
      <c r="AN241" s="125">
        <v>0</v>
      </c>
      <c r="AO241" s="125">
        <v>0</v>
      </c>
      <c r="AP241" s="125">
        <v>0</v>
      </c>
      <c r="AQ241" s="125">
        <v>0</v>
      </c>
      <c r="AR241" s="125">
        <v>0</v>
      </c>
      <c r="AS241" s="125">
        <v>0</v>
      </c>
      <c r="AT241" s="125">
        <v>0</v>
      </c>
      <c r="AU241" s="125">
        <v>0</v>
      </c>
      <c r="AV241" s="125">
        <v>0</v>
      </c>
      <c r="AW241" s="125">
        <v>0</v>
      </c>
      <c r="AX241" s="125">
        <v>0</v>
      </c>
      <c r="AY241" s="125">
        <v>0</v>
      </c>
    </row>
    <row r="242" spans="1:51" x14ac:dyDescent="0.2">
      <c r="A242" s="124"/>
      <c r="B242" s="141">
        <v>34</v>
      </c>
      <c r="C242" s="121">
        <v>0</v>
      </c>
      <c r="D242" s="125">
        <v>0</v>
      </c>
      <c r="E242" s="125">
        <v>0</v>
      </c>
      <c r="F242" s="125">
        <v>0</v>
      </c>
      <c r="G242" s="125">
        <v>0</v>
      </c>
      <c r="H242" s="125">
        <v>0</v>
      </c>
      <c r="I242" s="125">
        <v>0</v>
      </c>
      <c r="J242" s="125">
        <v>0</v>
      </c>
      <c r="K242" s="125">
        <v>0</v>
      </c>
      <c r="L242" s="125">
        <v>0</v>
      </c>
      <c r="M242" s="125">
        <v>0</v>
      </c>
      <c r="N242" s="125">
        <v>0</v>
      </c>
      <c r="O242" s="125">
        <v>0</v>
      </c>
      <c r="P242" s="125">
        <v>0</v>
      </c>
      <c r="Q242" s="125">
        <v>0</v>
      </c>
      <c r="R242" s="125">
        <v>0</v>
      </c>
      <c r="S242" s="125">
        <v>0</v>
      </c>
      <c r="T242" s="125">
        <v>0</v>
      </c>
      <c r="U242" s="125">
        <v>0</v>
      </c>
      <c r="V242" s="125">
        <v>0</v>
      </c>
      <c r="W242" s="125">
        <v>0</v>
      </c>
      <c r="X242" s="125">
        <v>0</v>
      </c>
      <c r="Y242" s="125">
        <v>0</v>
      </c>
      <c r="Z242" s="125">
        <v>0</v>
      </c>
      <c r="AA242" s="125">
        <v>0</v>
      </c>
      <c r="AB242" s="125">
        <v>0</v>
      </c>
      <c r="AC242" s="125">
        <v>0</v>
      </c>
      <c r="AD242" s="125">
        <v>0</v>
      </c>
      <c r="AE242" s="125">
        <v>0</v>
      </c>
      <c r="AF242" s="125">
        <v>0</v>
      </c>
      <c r="AG242" s="125">
        <v>0</v>
      </c>
      <c r="AH242" s="125">
        <v>0</v>
      </c>
      <c r="AI242" s="125">
        <v>0</v>
      </c>
      <c r="AJ242" s="125">
        <v>0</v>
      </c>
      <c r="AK242" s="125">
        <v>0</v>
      </c>
      <c r="AL242" s="125">
        <v>0</v>
      </c>
      <c r="AM242" s="125">
        <v>0</v>
      </c>
      <c r="AN242" s="125">
        <v>0</v>
      </c>
      <c r="AO242" s="125">
        <v>0</v>
      </c>
      <c r="AP242" s="125">
        <v>0</v>
      </c>
      <c r="AQ242" s="125">
        <v>0</v>
      </c>
      <c r="AR242" s="125">
        <v>0</v>
      </c>
      <c r="AS242" s="125">
        <v>0</v>
      </c>
      <c r="AT242" s="125">
        <v>0</v>
      </c>
      <c r="AU242" s="125">
        <v>0</v>
      </c>
      <c r="AV242" s="125">
        <v>0</v>
      </c>
      <c r="AW242" s="125">
        <v>0</v>
      </c>
      <c r="AX242" s="125">
        <v>0</v>
      </c>
      <c r="AY242" s="125">
        <v>0</v>
      </c>
    </row>
    <row r="243" spans="1:51" x14ac:dyDescent="0.2">
      <c r="A243" s="124"/>
      <c r="B243" s="141">
        <v>35</v>
      </c>
      <c r="C243" s="121">
        <v>0</v>
      </c>
      <c r="D243" s="125">
        <v>0</v>
      </c>
      <c r="E243" s="125">
        <v>0</v>
      </c>
      <c r="F243" s="125">
        <v>0</v>
      </c>
      <c r="G243" s="125">
        <v>0</v>
      </c>
      <c r="H243" s="125">
        <v>0</v>
      </c>
      <c r="I243" s="125">
        <v>0</v>
      </c>
      <c r="J243" s="125">
        <v>0</v>
      </c>
      <c r="K243" s="125">
        <v>0</v>
      </c>
      <c r="L243" s="125">
        <v>0</v>
      </c>
      <c r="M243" s="125">
        <v>0</v>
      </c>
      <c r="N243" s="125">
        <v>0</v>
      </c>
      <c r="O243" s="125">
        <v>0</v>
      </c>
      <c r="P243" s="125">
        <v>0</v>
      </c>
      <c r="Q243" s="125">
        <v>0</v>
      </c>
      <c r="R243" s="125">
        <v>0</v>
      </c>
      <c r="S243" s="125">
        <v>0</v>
      </c>
      <c r="T243" s="125">
        <v>0</v>
      </c>
      <c r="U243" s="125">
        <v>0</v>
      </c>
      <c r="V243" s="125">
        <v>0</v>
      </c>
      <c r="W243" s="125">
        <v>0</v>
      </c>
      <c r="X243" s="125">
        <v>0</v>
      </c>
      <c r="Y243" s="125">
        <v>0</v>
      </c>
      <c r="Z243" s="125">
        <v>0</v>
      </c>
      <c r="AA243" s="125">
        <v>0</v>
      </c>
      <c r="AB243" s="125">
        <v>0</v>
      </c>
      <c r="AC243" s="125">
        <v>0</v>
      </c>
      <c r="AD243" s="125">
        <v>0</v>
      </c>
      <c r="AE243" s="125">
        <v>0</v>
      </c>
      <c r="AF243" s="125">
        <v>0</v>
      </c>
      <c r="AG243" s="125">
        <v>0</v>
      </c>
      <c r="AH243" s="125">
        <v>0</v>
      </c>
      <c r="AI243" s="125">
        <v>0</v>
      </c>
      <c r="AJ243" s="125">
        <v>0</v>
      </c>
      <c r="AK243" s="125">
        <v>0</v>
      </c>
      <c r="AL243" s="125">
        <v>0</v>
      </c>
      <c r="AM243" s="125">
        <v>0</v>
      </c>
      <c r="AN243" s="125">
        <v>0</v>
      </c>
      <c r="AO243" s="125">
        <v>0</v>
      </c>
      <c r="AP243" s="125">
        <v>0</v>
      </c>
      <c r="AQ243" s="125">
        <v>0</v>
      </c>
      <c r="AR243" s="125">
        <v>0</v>
      </c>
      <c r="AS243" s="125">
        <v>0</v>
      </c>
      <c r="AT243" s="125">
        <v>0</v>
      </c>
      <c r="AU243" s="125">
        <v>0</v>
      </c>
      <c r="AV243" s="125">
        <v>0</v>
      </c>
      <c r="AW243" s="125">
        <v>0</v>
      </c>
      <c r="AX243" s="125">
        <v>0</v>
      </c>
      <c r="AY243" s="125">
        <v>0</v>
      </c>
    </row>
    <row r="244" spans="1:51" x14ac:dyDescent="0.2">
      <c r="A244" s="124"/>
      <c r="B244" s="141">
        <v>36</v>
      </c>
      <c r="C244" s="121">
        <v>0</v>
      </c>
      <c r="D244" s="125">
        <v>0</v>
      </c>
      <c r="E244" s="125">
        <v>0</v>
      </c>
      <c r="F244" s="125">
        <v>0</v>
      </c>
      <c r="G244" s="125">
        <v>0</v>
      </c>
      <c r="H244" s="125">
        <v>0</v>
      </c>
      <c r="I244" s="125">
        <v>0</v>
      </c>
      <c r="J244" s="125">
        <v>0</v>
      </c>
      <c r="K244" s="125">
        <v>0</v>
      </c>
      <c r="L244" s="125">
        <v>0</v>
      </c>
      <c r="M244" s="125">
        <v>0</v>
      </c>
      <c r="N244" s="125">
        <v>0</v>
      </c>
      <c r="O244" s="125">
        <v>0</v>
      </c>
      <c r="P244" s="125">
        <v>0</v>
      </c>
      <c r="Q244" s="125">
        <v>0</v>
      </c>
      <c r="R244" s="125">
        <v>0</v>
      </c>
      <c r="S244" s="125">
        <v>0</v>
      </c>
      <c r="T244" s="125">
        <v>0</v>
      </c>
      <c r="U244" s="125">
        <v>0</v>
      </c>
      <c r="V244" s="125">
        <v>0</v>
      </c>
      <c r="W244" s="125">
        <v>0</v>
      </c>
      <c r="X244" s="125">
        <v>0</v>
      </c>
      <c r="Y244" s="125">
        <v>0</v>
      </c>
      <c r="Z244" s="125">
        <v>0</v>
      </c>
      <c r="AA244" s="125">
        <v>0</v>
      </c>
      <c r="AB244" s="125">
        <v>0</v>
      </c>
      <c r="AC244" s="125">
        <v>0</v>
      </c>
      <c r="AD244" s="125">
        <v>0</v>
      </c>
      <c r="AE244" s="125">
        <v>0</v>
      </c>
      <c r="AF244" s="125">
        <v>0</v>
      </c>
      <c r="AG244" s="125">
        <v>0</v>
      </c>
      <c r="AH244" s="125">
        <v>0</v>
      </c>
      <c r="AI244" s="125">
        <v>0</v>
      </c>
      <c r="AJ244" s="125">
        <v>0</v>
      </c>
      <c r="AK244" s="125">
        <v>0</v>
      </c>
      <c r="AL244" s="125">
        <v>0</v>
      </c>
      <c r="AM244" s="125">
        <v>0</v>
      </c>
      <c r="AN244" s="125">
        <v>0</v>
      </c>
      <c r="AO244" s="125">
        <v>0</v>
      </c>
      <c r="AP244" s="125">
        <v>0</v>
      </c>
      <c r="AQ244" s="125">
        <v>0</v>
      </c>
      <c r="AR244" s="125">
        <v>0</v>
      </c>
      <c r="AS244" s="125">
        <v>0</v>
      </c>
      <c r="AT244" s="125">
        <v>0</v>
      </c>
      <c r="AU244" s="125">
        <v>0</v>
      </c>
      <c r="AV244" s="125">
        <v>0</v>
      </c>
      <c r="AW244" s="125">
        <v>0</v>
      </c>
      <c r="AX244" s="125">
        <v>0</v>
      </c>
      <c r="AY244" s="125">
        <v>0</v>
      </c>
    </row>
    <row r="245" spans="1:51" x14ac:dyDescent="0.2">
      <c r="A245" s="124"/>
      <c r="B245" s="144">
        <v>37</v>
      </c>
      <c r="C245" s="121">
        <v>0</v>
      </c>
      <c r="D245" s="125">
        <v>0</v>
      </c>
      <c r="E245" s="125">
        <v>0</v>
      </c>
      <c r="F245" s="125">
        <v>0</v>
      </c>
      <c r="G245" s="125">
        <v>0</v>
      </c>
      <c r="H245" s="125">
        <v>0</v>
      </c>
      <c r="I245" s="125">
        <v>0</v>
      </c>
      <c r="J245" s="125">
        <v>0</v>
      </c>
      <c r="K245" s="125">
        <v>0</v>
      </c>
      <c r="L245" s="125">
        <v>0</v>
      </c>
      <c r="M245" s="125">
        <v>0</v>
      </c>
      <c r="N245" s="125">
        <v>0</v>
      </c>
      <c r="O245" s="125">
        <v>0</v>
      </c>
      <c r="P245" s="125">
        <v>0</v>
      </c>
      <c r="Q245" s="125">
        <v>0</v>
      </c>
      <c r="R245" s="125">
        <v>0</v>
      </c>
      <c r="S245" s="125">
        <v>0</v>
      </c>
      <c r="T245" s="125">
        <v>0</v>
      </c>
      <c r="U245" s="125">
        <v>0</v>
      </c>
      <c r="V245" s="125">
        <v>0</v>
      </c>
      <c r="W245" s="125">
        <v>0</v>
      </c>
      <c r="X245" s="125">
        <v>0</v>
      </c>
      <c r="Y245" s="125">
        <v>0</v>
      </c>
      <c r="Z245" s="125">
        <v>0</v>
      </c>
      <c r="AA245" s="125">
        <v>0</v>
      </c>
      <c r="AB245" s="125">
        <v>0</v>
      </c>
      <c r="AC245" s="125">
        <v>0</v>
      </c>
      <c r="AD245" s="125">
        <v>0</v>
      </c>
      <c r="AE245" s="125">
        <v>0</v>
      </c>
      <c r="AF245" s="125">
        <v>0</v>
      </c>
      <c r="AG245" s="125">
        <v>0</v>
      </c>
      <c r="AH245" s="125">
        <v>0</v>
      </c>
      <c r="AI245" s="125">
        <v>0</v>
      </c>
      <c r="AJ245" s="125">
        <v>0</v>
      </c>
      <c r="AK245" s="125">
        <v>0</v>
      </c>
      <c r="AL245" s="125">
        <v>0</v>
      </c>
      <c r="AM245" s="125">
        <v>0</v>
      </c>
      <c r="AN245" s="125">
        <v>0</v>
      </c>
      <c r="AO245" s="125">
        <v>0</v>
      </c>
      <c r="AP245" s="125">
        <v>0</v>
      </c>
      <c r="AQ245" s="125">
        <v>0</v>
      </c>
      <c r="AR245" s="125">
        <v>0</v>
      </c>
      <c r="AS245" s="125">
        <v>0</v>
      </c>
      <c r="AT245" s="125">
        <v>0</v>
      </c>
      <c r="AU245" s="125">
        <v>0</v>
      </c>
      <c r="AV245" s="125">
        <v>0</v>
      </c>
      <c r="AW245" s="125">
        <v>0</v>
      </c>
      <c r="AX245" s="125">
        <v>0</v>
      </c>
      <c r="AY245" s="125">
        <v>0</v>
      </c>
    </row>
    <row r="246" spans="1:51" x14ac:dyDescent="0.2">
      <c r="A246" s="124"/>
      <c r="B246" s="144">
        <v>38</v>
      </c>
      <c r="C246" s="121">
        <v>0</v>
      </c>
      <c r="D246" s="125">
        <v>0</v>
      </c>
      <c r="E246" s="125">
        <v>0</v>
      </c>
      <c r="F246" s="125">
        <v>0</v>
      </c>
      <c r="G246" s="125">
        <v>0</v>
      </c>
      <c r="H246" s="125">
        <v>0</v>
      </c>
      <c r="I246" s="125">
        <v>0</v>
      </c>
      <c r="J246" s="125">
        <v>0</v>
      </c>
      <c r="K246" s="125">
        <v>0</v>
      </c>
      <c r="L246" s="125">
        <v>0</v>
      </c>
      <c r="M246" s="125">
        <v>0</v>
      </c>
      <c r="N246" s="125">
        <v>0</v>
      </c>
      <c r="O246" s="125">
        <v>0</v>
      </c>
      <c r="P246" s="125">
        <v>0</v>
      </c>
      <c r="Q246" s="125">
        <v>0</v>
      </c>
      <c r="R246" s="125">
        <v>0</v>
      </c>
      <c r="S246" s="125">
        <v>0</v>
      </c>
      <c r="T246" s="125">
        <v>0</v>
      </c>
      <c r="U246" s="125">
        <v>0</v>
      </c>
      <c r="V246" s="125">
        <v>0</v>
      </c>
      <c r="W246" s="125">
        <v>0</v>
      </c>
      <c r="X246" s="125">
        <v>0</v>
      </c>
      <c r="Y246" s="125">
        <v>0</v>
      </c>
      <c r="Z246" s="125">
        <v>0</v>
      </c>
      <c r="AA246" s="125">
        <v>0</v>
      </c>
      <c r="AB246" s="125">
        <v>0</v>
      </c>
      <c r="AC246" s="125">
        <v>0</v>
      </c>
      <c r="AD246" s="125">
        <v>0</v>
      </c>
      <c r="AE246" s="125">
        <v>0</v>
      </c>
      <c r="AF246" s="125">
        <v>0</v>
      </c>
      <c r="AG246" s="125">
        <v>0</v>
      </c>
      <c r="AH246" s="125">
        <v>0</v>
      </c>
      <c r="AI246" s="125">
        <v>0</v>
      </c>
      <c r="AJ246" s="125">
        <v>0</v>
      </c>
      <c r="AK246" s="125">
        <v>0</v>
      </c>
      <c r="AL246" s="125">
        <v>0</v>
      </c>
      <c r="AM246" s="125">
        <v>0</v>
      </c>
      <c r="AN246" s="125">
        <v>0</v>
      </c>
      <c r="AO246" s="125">
        <v>0</v>
      </c>
      <c r="AP246" s="125">
        <v>0</v>
      </c>
      <c r="AQ246" s="125">
        <v>0</v>
      </c>
      <c r="AR246" s="125">
        <v>0</v>
      </c>
      <c r="AS246" s="125">
        <v>0</v>
      </c>
      <c r="AT246" s="125">
        <v>0</v>
      </c>
      <c r="AU246" s="125">
        <v>0</v>
      </c>
      <c r="AV246" s="125">
        <v>0</v>
      </c>
      <c r="AW246" s="125">
        <v>0</v>
      </c>
      <c r="AX246" s="125">
        <v>0</v>
      </c>
      <c r="AY246" s="125">
        <v>0</v>
      </c>
    </row>
    <row r="247" spans="1:51" x14ac:dyDescent="0.2">
      <c r="A247" s="124"/>
      <c r="B247" s="144">
        <v>39</v>
      </c>
      <c r="C247" s="121">
        <v>0</v>
      </c>
      <c r="D247" s="125">
        <v>0</v>
      </c>
      <c r="E247" s="125">
        <v>0</v>
      </c>
      <c r="F247" s="125">
        <v>0</v>
      </c>
      <c r="G247" s="125">
        <v>0</v>
      </c>
      <c r="H247" s="125">
        <v>0</v>
      </c>
      <c r="I247" s="125">
        <v>0</v>
      </c>
      <c r="J247" s="125">
        <v>0</v>
      </c>
      <c r="K247" s="125">
        <v>0</v>
      </c>
      <c r="L247" s="125">
        <v>0</v>
      </c>
      <c r="M247" s="125">
        <v>0</v>
      </c>
      <c r="N247" s="125">
        <v>0</v>
      </c>
      <c r="O247" s="125">
        <v>0</v>
      </c>
      <c r="P247" s="125">
        <v>0</v>
      </c>
      <c r="Q247" s="125">
        <v>0</v>
      </c>
      <c r="R247" s="125">
        <v>0</v>
      </c>
      <c r="S247" s="125">
        <v>0</v>
      </c>
      <c r="T247" s="125">
        <v>0</v>
      </c>
      <c r="U247" s="125">
        <v>0</v>
      </c>
      <c r="V247" s="125">
        <v>0</v>
      </c>
      <c r="W247" s="125">
        <v>0</v>
      </c>
      <c r="X247" s="125">
        <v>0</v>
      </c>
      <c r="Y247" s="125">
        <v>0</v>
      </c>
      <c r="Z247" s="125">
        <v>0</v>
      </c>
      <c r="AA247" s="125">
        <v>0</v>
      </c>
      <c r="AB247" s="125">
        <v>0</v>
      </c>
      <c r="AC247" s="125">
        <v>0</v>
      </c>
      <c r="AD247" s="125">
        <v>0</v>
      </c>
      <c r="AE247" s="125">
        <v>0</v>
      </c>
      <c r="AF247" s="125">
        <v>0</v>
      </c>
      <c r="AG247" s="125">
        <v>0</v>
      </c>
      <c r="AH247" s="125">
        <v>0</v>
      </c>
      <c r="AI247" s="125">
        <v>0</v>
      </c>
      <c r="AJ247" s="125">
        <v>0</v>
      </c>
      <c r="AK247" s="125">
        <v>0</v>
      </c>
      <c r="AL247" s="125">
        <v>0</v>
      </c>
      <c r="AM247" s="125">
        <v>0</v>
      </c>
      <c r="AN247" s="125">
        <v>0</v>
      </c>
      <c r="AO247" s="125">
        <v>0</v>
      </c>
      <c r="AP247" s="125">
        <v>0</v>
      </c>
      <c r="AQ247" s="125">
        <v>0</v>
      </c>
      <c r="AR247" s="125">
        <v>0</v>
      </c>
      <c r="AS247" s="125">
        <v>0</v>
      </c>
      <c r="AT247" s="125">
        <v>0</v>
      </c>
      <c r="AU247" s="125">
        <v>0</v>
      </c>
      <c r="AV247" s="125">
        <v>0</v>
      </c>
      <c r="AW247" s="125">
        <v>0</v>
      </c>
      <c r="AX247" s="125">
        <v>0</v>
      </c>
      <c r="AY247" s="125">
        <v>0</v>
      </c>
    </row>
    <row r="248" spans="1:51" x14ac:dyDescent="0.2">
      <c r="A248" s="124"/>
      <c r="B248" s="144">
        <v>40</v>
      </c>
      <c r="C248" s="121">
        <v>0</v>
      </c>
      <c r="D248" s="125">
        <v>0</v>
      </c>
      <c r="E248" s="125">
        <v>0</v>
      </c>
      <c r="F248" s="125">
        <v>0</v>
      </c>
      <c r="G248" s="125">
        <v>0</v>
      </c>
      <c r="H248" s="125">
        <v>0</v>
      </c>
      <c r="I248" s="125">
        <v>0</v>
      </c>
      <c r="J248" s="125">
        <v>0</v>
      </c>
      <c r="K248" s="125">
        <v>0</v>
      </c>
      <c r="L248" s="125">
        <v>0</v>
      </c>
      <c r="M248" s="125">
        <v>0</v>
      </c>
      <c r="N248" s="125">
        <v>0</v>
      </c>
      <c r="O248" s="125">
        <v>0</v>
      </c>
      <c r="P248" s="125">
        <v>0</v>
      </c>
      <c r="Q248" s="125">
        <v>0</v>
      </c>
      <c r="R248" s="125">
        <v>0</v>
      </c>
      <c r="S248" s="125">
        <v>0</v>
      </c>
      <c r="T248" s="125">
        <v>0</v>
      </c>
      <c r="U248" s="125">
        <v>0</v>
      </c>
      <c r="V248" s="125">
        <v>0</v>
      </c>
      <c r="W248" s="125">
        <v>0</v>
      </c>
      <c r="X248" s="125">
        <v>0</v>
      </c>
      <c r="Y248" s="125">
        <v>0</v>
      </c>
      <c r="Z248" s="125">
        <v>0</v>
      </c>
      <c r="AA248" s="125">
        <v>0</v>
      </c>
      <c r="AB248" s="125">
        <v>0</v>
      </c>
      <c r="AC248" s="125">
        <v>0</v>
      </c>
      <c r="AD248" s="125">
        <v>0</v>
      </c>
      <c r="AE248" s="125">
        <v>0</v>
      </c>
      <c r="AF248" s="125">
        <v>0</v>
      </c>
      <c r="AG248" s="125">
        <v>0</v>
      </c>
      <c r="AH248" s="125">
        <v>0</v>
      </c>
      <c r="AI248" s="125">
        <v>0</v>
      </c>
      <c r="AJ248" s="125">
        <v>0</v>
      </c>
      <c r="AK248" s="125">
        <v>0</v>
      </c>
      <c r="AL248" s="125">
        <v>0</v>
      </c>
      <c r="AM248" s="125">
        <v>0</v>
      </c>
      <c r="AN248" s="125">
        <v>0</v>
      </c>
      <c r="AO248" s="125">
        <v>0</v>
      </c>
      <c r="AP248" s="125">
        <v>0</v>
      </c>
      <c r="AQ248" s="125">
        <v>0</v>
      </c>
      <c r="AR248" s="125">
        <v>0</v>
      </c>
      <c r="AS248" s="125">
        <v>0</v>
      </c>
      <c r="AT248" s="125">
        <v>0</v>
      </c>
      <c r="AU248" s="125">
        <v>0</v>
      </c>
      <c r="AV248" s="125">
        <v>0</v>
      </c>
      <c r="AW248" s="125">
        <v>0</v>
      </c>
      <c r="AX248" s="125">
        <v>0</v>
      </c>
      <c r="AY248" s="125">
        <v>0</v>
      </c>
    </row>
    <row r="249" spans="1:51" x14ac:dyDescent="0.2">
      <c r="A249" s="124"/>
      <c r="B249" s="144">
        <v>41</v>
      </c>
      <c r="C249" s="121">
        <v>0</v>
      </c>
      <c r="D249" s="125">
        <v>0</v>
      </c>
      <c r="E249" s="125">
        <v>0</v>
      </c>
      <c r="F249" s="125">
        <v>0</v>
      </c>
      <c r="G249" s="125">
        <v>0</v>
      </c>
      <c r="H249" s="125">
        <v>0</v>
      </c>
      <c r="I249" s="125">
        <v>0</v>
      </c>
      <c r="J249" s="125">
        <v>0</v>
      </c>
      <c r="K249" s="125">
        <v>0</v>
      </c>
      <c r="L249" s="125">
        <v>0</v>
      </c>
      <c r="M249" s="125">
        <v>0</v>
      </c>
      <c r="N249" s="125">
        <v>0</v>
      </c>
      <c r="O249" s="125">
        <v>0</v>
      </c>
      <c r="P249" s="125">
        <v>0</v>
      </c>
      <c r="Q249" s="125">
        <v>0</v>
      </c>
      <c r="R249" s="125">
        <v>0</v>
      </c>
      <c r="S249" s="125">
        <v>0</v>
      </c>
      <c r="T249" s="125">
        <v>0</v>
      </c>
      <c r="U249" s="125">
        <v>0</v>
      </c>
      <c r="V249" s="125">
        <v>0</v>
      </c>
      <c r="W249" s="125">
        <v>0</v>
      </c>
      <c r="X249" s="125">
        <v>0</v>
      </c>
      <c r="Y249" s="125">
        <v>0</v>
      </c>
      <c r="Z249" s="125">
        <v>0</v>
      </c>
      <c r="AA249" s="125">
        <v>0</v>
      </c>
      <c r="AB249" s="125">
        <v>0</v>
      </c>
      <c r="AC249" s="125">
        <v>0</v>
      </c>
      <c r="AD249" s="125">
        <v>0</v>
      </c>
      <c r="AE249" s="125">
        <v>0</v>
      </c>
      <c r="AF249" s="125">
        <v>0</v>
      </c>
      <c r="AG249" s="125">
        <v>0</v>
      </c>
      <c r="AH249" s="125">
        <v>0</v>
      </c>
      <c r="AI249" s="125">
        <v>0</v>
      </c>
      <c r="AJ249" s="125">
        <v>0</v>
      </c>
      <c r="AK249" s="125">
        <v>0</v>
      </c>
      <c r="AL249" s="125">
        <v>0</v>
      </c>
      <c r="AM249" s="125">
        <v>0</v>
      </c>
      <c r="AN249" s="125">
        <v>0</v>
      </c>
      <c r="AO249" s="125">
        <v>0</v>
      </c>
      <c r="AP249" s="125">
        <v>0</v>
      </c>
      <c r="AQ249" s="125">
        <v>0</v>
      </c>
      <c r="AR249" s="125">
        <v>0</v>
      </c>
      <c r="AS249" s="125">
        <v>0</v>
      </c>
      <c r="AT249" s="125">
        <v>0</v>
      </c>
      <c r="AU249" s="125">
        <v>0</v>
      </c>
      <c r="AV249" s="125">
        <v>0</v>
      </c>
      <c r="AW249" s="125">
        <v>0</v>
      </c>
      <c r="AX249" s="125">
        <v>0</v>
      </c>
      <c r="AY249" s="125">
        <v>0</v>
      </c>
    </row>
    <row r="250" spans="1:51" x14ac:dyDescent="0.2">
      <c r="A250" s="124"/>
      <c r="B250" s="144">
        <v>42</v>
      </c>
      <c r="C250" s="121">
        <v>0</v>
      </c>
      <c r="D250" s="125">
        <v>0</v>
      </c>
      <c r="E250" s="125">
        <v>0</v>
      </c>
      <c r="F250" s="125">
        <v>0</v>
      </c>
      <c r="G250" s="125">
        <v>0</v>
      </c>
      <c r="H250" s="125">
        <v>0</v>
      </c>
      <c r="I250" s="125">
        <v>0</v>
      </c>
      <c r="J250" s="125">
        <v>0</v>
      </c>
      <c r="K250" s="125">
        <v>0</v>
      </c>
      <c r="L250" s="125">
        <v>0</v>
      </c>
      <c r="M250" s="125">
        <v>0</v>
      </c>
      <c r="N250" s="125">
        <v>0</v>
      </c>
      <c r="O250" s="125">
        <v>0</v>
      </c>
      <c r="P250" s="125">
        <v>0</v>
      </c>
      <c r="Q250" s="125">
        <v>0</v>
      </c>
      <c r="R250" s="125">
        <v>0</v>
      </c>
      <c r="S250" s="125">
        <v>0</v>
      </c>
      <c r="T250" s="125">
        <v>0</v>
      </c>
      <c r="U250" s="125">
        <v>0</v>
      </c>
      <c r="V250" s="125">
        <v>0</v>
      </c>
      <c r="W250" s="125">
        <v>0</v>
      </c>
      <c r="X250" s="125">
        <v>0</v>
      </c>
      <c r="Y250" s="125">
        <v>0</v>
      </c>
      <c r="Z250" s="125">
        <v>0</v>
      </c>
      <c r="AA250" s="125">
        <v>0</v>
      </c>
      <c r="AB250" s="125">
        <v>0</v>
      </c>
      <c r="AC250" s="125">
        <v>0</v>
      </c>
      <c r="AD250" s="125">
        <v>0</v>
      </c>
      <c r="AE250" s="125">
        <v>0</v>
      </c>
      <c r="AF250" s="125">
        <v>0</v>
      </c>
      <c r="AG250" s="125">
        <v>0</v>
      </c>
      <c r="AH250" s="125">
        <v>0</v>
      </c>
      <c r="AI250" s="125">
        <v>0</v>
      </c>
      <c r="AJ250" s="125">
        <v>0</v>
      </c>
      <c r="AK250" s="125">
        <v>0</v>
      </c>
      <c r="AL250" s="125">
        <v>0</v>
      </c>
      <c r="AM250" s="125">
        <v>0</v>
      </c>
      <c r="AN250" s="125">
        <v>0</v>
      </c>
      <c r="AO250" s="125">
        <v>0</v>
      </c>
      <c r="AP250" s="125">
        <v>0</v>
      </c>
      <c r="AQ250" s="125">
        <v>0</v>
      </c>
      <c r="AR250" s="125">
        <v>0</v>
      </c>
      <c r="AS250" s="125">
        <v>0</v>
      </c>
      <c r="AT250" s="125">
        <v>0</v>
      </c>
      <c r="AU250" s="125">
        <v>0</v>
      </c>
      <c r="AV250" s="125">
        <v>0</v>
      </c>
      <c r="AW250" s="125">
        <v>0</v>
      </c>
      <c r="AX250" s="125">
        <v>0</v>
      </c>
      <c r="AY250" s="125">
        <v>0</v>
      </c>
    </row>
    <row r="251" spans="1:51" x14ac:dyDescent="0.2">
      <c r="A251" s="124"/>
      <c r="B251" s="144">
        <v>43</v>
      </c>
      <c r="C251" s="121">
        <v>0</v>
      </c>
      <c r="D251" s="125">
        <v>0</v>
      </c>
      <c r="E251" s="125">
        <v>0</v>
      </c>
      <c r="F251" s="125">
        <v>0</v>
      </c>
      <c r="G251" s="125">
        <v>0</v>
      </c>
      <c r="H251" s="125">
        <v>0</v>
      </c>
      <c r="I251" s="125">
        <v>0</v>
      </c>
      <c r="J251" s="125">
        <v>0</v>
      </c>
      <c r="K251" s="125">
        <v>0</v>
      </c>
      <c r="L251" s="125">
        <v>0</v>
      </c>
      <c r="M251" s="125">
        <v>0</v>
      </c>
      <c r="N251" s="125">
        <v>0</v>
      </c>
      <c r="O251" s="125">
        <v>0</v>
      </c>
      <c r="P251" s="125">
        <v>0</v>
      </c>
      <c r="Q251" s="125">
        <v>0</v>
      </c>
      <c r="R251" s="125">
        <v>0</v>
      </c>
      <c r="S251" s="125">
        <v>0</v>
      </c>
      <c r="T251" s="125">
        <v>0</v>
      </c>
      <c r="U251" s="125">
        <v>0</v>
      </c>
      <c r="V251" s="125">
        <v>0</v>
      </c>
      <c r="W251" s="125">
        <v>0</v>
      </c>
      <c r="X251" s="125">
        <v>0</v>
      </c>
      <c r="Y251" s="125">
        <v>0</v>
      </c>
      <c r="Z251" s="125">
        <v>0</v>
      </c>
      <c r="AA251" s="125">
        <v>0</v>
      </c>
      <c r="AB251" s="125">
        <v>0</v>
      </c>
      <c r="AC251" s="125">
        <v>0</v>
      </c>
      <c r="AD251" s="125">
        <v>0</v>
      </c>
      <c r="AE251" s="125">
        <v>0</v>
      </c>
      <c r="AF251" s="125">
        <v>0</v>
      </c>
      <c r="AG251" s="125">
        <v>0</v>
      </c>
      <c r="AH251" s="125">
        <v>0</v>
      </c>
      <c r="AI251" s="125">
        <v>0</v>
      </c>
      <c r="AJ251" s="125">
        <v>0</v>
      </c>
      <c r="AK251" s="125">
        <v>0</v>
      </c>
      <c r="AL251" s="125">
        <v>0</v>
      </c>
      <c r="AM251" s="125">
        <v>0</v>
      </c>
      <c r="AN251" s="125">
        <v>0</v>
      </c>
      <c r="AO251" s="125">
        <v>0</v>
      </c>
      <c r="AP251" s="125">
        <v>0</v>
      </c>
      <c r="AQ251" s="125">
        <v>0</v>
      </c>
      <c r="AR251" s="125">
        <v>0</v>
      </c>
      <c r="AS251" s="125">
        <v>0</v>
      </c>
      <c r="AT251" s="125">
        <v>0</v>
      </c>
      <c r="AU251" s="125">
        <v>0</v>
      </c>
      <c r="AV251" s="125">
        <v>0</v>
      </c>
      <c r="AW251" s="125">
        <v>0</v>
      </c>
      <c r="AX251" s="125">
        <v>0</v>
      </c>
      <c r="AY251" s="125">
        <v>0</v>
      </c>
    </row>
    <row r="252" spans="1:51" x14ac:dyDescent="0.2">
      <c r="A252" s="124"/>
      <c r="B252" s="144">
        <v>44</v>
      </c>
      <c r="C252" s="121">
        <v>0</v>
      </c>
      <c r="D252" s="125">
        <v>0</v>
      </c>
      <c r="E252" s="125">
        <v>0</v>
      </c>
      <c r="F252" s="125">
        <v>0</v>
      </c>
      <c r="G252" s="125">
        <v>0</v>
      </c>
      <c r="H252" s="125">
        <v>0</v>
      </c>
      <c r="I252" s="125">
        <v>0</v>
      </c>
      <c r="J252" s="125">
        <v>0</v>
      </c>
      <c r="K252" s="125">
        <v>0</v>
      </c>
      <c r="L252" s="125">
        <v>0</v>
      </c>
      <c r="M252" s="125">
        <v>0</v>
      </c>
      <c r="N252" s="125">
        <v>0</v>
      </c>
      <c r="O252" s="125">
        <v>0</v>
      </c>
      <c r="P252" s="125">
        <v>0</v>
      </c>
      <c r="Q252" s="125">
        <v>0</v>
      </c>
      <c r="R252" s="125">
        <v>0</v>
      </c>
      <c r="S252" s="125">
        <v>0</v>
      </c>
      <c r="T252" s="125">
        <v>0</v>
      </c>
      <c r="U252" s="125">
        <v>0</v>
      </c>
      <c r="V252" s="125">
        <v>0</v>
      </c>
      <c r="W252" s="125">
        <v>0</v>
      </c>
      <c r="X252" s="125">
        <v>0</v>
      </c>
      <c r="Y252" s="125">
        <v>0</v>
      </c>
      <c r="Z252" s="125">
        <v>0</v>
      </c>
      <c r="AA252" s="125">
        <v>0</v>
      </c>
      <c r="AB252" s="125">
        <v>0</v>
      </c>
      <c r="AC252" s="125">
        <v>0</v>
      </c>
      <c r="AD252" s="125">
        <v>0</v>
      </c>
      <c r="AE252" s="125">
        <v>0</v>
      </c>
      <c r="AF252" s="125">
        <v>0</v>
      </c>
      <c r="AG252" s="125">
        <v>0</v>
      </c>
      <c r="AH252" s="125">
        <v>0</v>
      </c>
      <c r="AI252" s="125">
        <v>0</v>
      </c>
      <c r="AJ252" s="125">
        <v>0</v>
      </c>
      <c r="AK252" s="125">
        <v>0</v>
      </c>
      <c r="AL252" s="125">
        <v>0</v>
      </c>
      <c r="AM252" s="125">
        <v>0</v>
      </c>
      <c r="AN252" s="125">
        <v>0</v>
      </c>
      <c r="AO252" s="125">
        <v>0</v>
      </c>
      <c r="AP252" s="125">
        <v>0</v>
      </c>
      <c r="AQ252" s="125">
        <v>0</v>
      </c>
      <c r="AR252" s="125">
        <v>0</v>
      </c>
      <c r="AS252" s="125">
        <v>0</v>
      </c>
      <c r="AT252" s="125">
        <v>0</v>
      </c>
      <c r="AU252" s="125">
        <v>0</v>
      </c>
      <c r="AV252" s="125">
        <v>0</v>
      </c>
      <c r="AW252" s="125">
        <v>0</v>
      </c>
      <c r="AX252" s="125">
        <v>0</v>
      </c>
      <c r="AY252" s="125">
        <v>0</v>
      </c>
    </row>
    <row r="253" spans="1:51" x14ac:dyDescent="0.2">
      <c r="A253" s="124"/>
      <c r="B253" s="144">
        <v>45</v>
      </c>
      <c r="C253" s="121">
        <v>0</v>
      </c>
      <c r="D253" s="125">
        <v>0</v>
      </c>
      <c r="E253" s="125">
        <v>0</v>
      </c>
      <c r="F253" s="125">
        <v>0</v>
      </c>
      <c r="G253" s="125">
        <v>0</v>
      </c>
      <c r="H253" s="125">
        <v>0</v>
      </c>
      <c r="I253" s="125">
        <v>0</v>
      </c>
      <c r="J253" s="125">
        <v>0</v>
      </c>
      <c r="K253" s="125">
        <v>0</v>
      </c>
      <c r="L253" s="125">
        <v>0</v>
      </c>
      <c r="M253" s="125">
        <v>0</v>
      </c>
      <c r="N253" s="125">
        <v>0</v>
      </c>
      <c r="O253" s="125">
        <v>0</v>
      </c>
      <c r="P253" s="125">
        <v>0</v>
      </c>
      <c r="Q253" s="125">
        <v>0</v>
      </c>
      <c r="R253" s="125">
        <v>0</v>
      </c>
      <c r="S253" s="125">
        <v>0</v>
      </c>
      <c r="T253" s="125">
        <v>0</v>
      </c>
      <c r="U253" s="125">
        <v>0</v>
      </c>
      <c r="V253" s="125">
        <v>0</v>
      </c>
      <c r="W253" s="125">
        <v>0</v>
      </c>
      <c r="X253" s="125">
        <v>0</v>
      </c>
      <c r="Y253" s="125">
        <v>0</v>
      </c>
      <c r="Z253" s="125">
        <v>0</v>
      </c>
      <c r="AA253" s="125">
        <v>0</v>
      </c>
      <c r="AB253" s="125">
        <v>0</v>
      </c>
      <c r="AC253" s="125">
        <v>0</v>
      </c>
      <c r="AD253" s="125">
        <v>0</v>
      </c>
      <c r="AE253" s="125">
        <v>0</v>
      </c>
      <c r="AF253" s="125">
        <v>0</v>
      </c>
      <c r="AG253" s="125">
        <v>0</v>
      </c>
      <c r="AH253" s="125">
        <v>0</v>
      </c>
      <c r="AI253" s="125">
        <v>0</v>
      </c>
      <c r="AJ253" s="125">
        <v>0</v>
      </c>
      <c r="AK253" s="125">
        <v>0</v>
      </c>
      <c r="AL253" s="125">
        <v>0</v>
      </c>
      <c r="AM253" s="125">
        <v>0</v>
      </c>
      <c r="AN253" s="125">
        <v>0</v>
      </c>
      <c r="AO253" s="125">
        <v>0</v>
      </c>
      <c r="AP253" s="125">
        <v>0</v>
      </c>
      <c r="AQ253" s="125">
        <v>0</v>
      </c>
      <c r="AR253" s="125">
        <v>0</v>
      </c>
      <c r="AS253" s="125">
        <v>0</v>
      </c>
      <c r="AT253" s="125">
        <v>0</v>
      </c>
      <c r="AU253" s="125">
        <v>0</v>
      </c>
      <c r="AV253" s="125">
        <v>0</v>
      </c>
      <c r="AW253" s="125">
        <v>0</v>
      </c>
      <c r="AX253" s="125">
        <v>0</v>
      </c>
      <c r="AY253" s="125">
        <v>0</v>
      </c>
    </row>
    <row r="254" spans="1:51" x14ac:dyDescent="0.2">
      <c r="A254" s="124"/>
      <c r="B254" s="144">
        <v>46</v>
      </c>
      <c r="C254" s="121">
        <v>0</v>
      </c>
      <c r="D254" s="125">
        <v>0</v>
      </c>
      <c r="E254" s="125">
        <v>0</v>
      </c>
      <c r="F254" s="125">
        <v>0</v>
      </c>
      <c r="G254" s="125">
        <v>0</v>
      </c>
      <c r="H254" s="125">
        <v>0</v>
      </c>
      <c r="I254" s="125">
        <v>0</v>
      </c>
      <c r="J254" s="125">
        <v>0</v>
      </c>
      <c r="K254" s="125">
        <v>0</v>
      </c>
      <c r="L254" s="125">
        <v>0</v>
      </c>
      <c r="M254" s="125">
        <v>0</v>
      </c>
      <c r="N254" s="125">
        <v>0</v>
      </c>
      <c r="O254" s="125">
        <v>0</v>
      </c>
      <c r="P254" s="125">
        <v>0</v>
      </c>
      <c r="Q254" s="125">
        <v>0</v>
      </c>
      <c r="R254" s="125">
        <v>0</v>
      </c>
      <c r="S254" s="125">
        <v>0</v>
      </c>
      <c r="T254" s="125">
        <v>0</v>
      </c>
      <c r="U254" s="125">
        <v>0</v>
      </c>
      <c r="V254" s="125">
        <v>0</v>
      </c>
      <c r="W254" s="125">
        <v>0</v>
      </c>
      <c r="X254" s="125">
        <v>0</v>
      </c>
      <c r="Y254" s="125">
        <v>0</v>
      </c>
      <c r="Z254" s="125">
        <v>0</v>
      </c>
      <c r="AA254" s="125">
        <v>0</v>
      </c>
      <c r="AB254" s="125">
        <v>0</v>
      </c>
      <c r="AC254" s="125">
        <v>0</v>
      </c>
      <c r="AD254" s="125">
        <v>0</v>
      </c>
      <c r="AE254" s="125">
        <v>0</v>
      </c>
      <c r="AF254" s="125">
        <v>0</v>
      </c>
      <c r="AG254" s="125">
        <v>0</v>
      </c>
      <c r="AH254" s="125">
        <v>0</v>
      </c>
      <c r="AI254" s="125">
        <v>0</v>
      </c>
      <c r="AJ254" s="125">
        <v>0</v>
      </c>
      <c r="AK254" s="125">
        <v>0</v>
      </c>
      <c r="AL254" s="125">
        <v>0</v>
      </c>
      <c r="AM254" s="125">
        <v>0</v>
      </c>
      <c r="AN254" s="125">
        <v>0</v>
      </c>
      <c r="AO254" s="125">
        <v>0</v>
      </c>
      <c r="AP254" s="125">
        <v>0</v>
      </c>
      <c r="AQ254" s="125">
        <v>0</v>
      </c>
      <c r="AR254" s="125">
        <v>0</v>
      </c>
      <c r="AS254" s="125">
        <v>0</v>
      </c>
      <c r="AT254" s="125">
        <v>0</v>
      </c>
      <c r="AU254" s="125">
        <v>0</v>
      </c>
      <c r="AV254" s="125">
        <v>0</v>
      </c>
      <c r="AW254" s="125">
        <v>0</v>
      </c>
      <c r="AX254" s="125">
        <v>0</v>
      </c>
      <c r="AY254" s="125">
        <v>0</v>
      </c>
    </row>
    <row r="255" spans="1:51" x14ac:dyDescent="0.2">
      <c r="A255" s="124"/>
      <c r="B255" s="144">
        <v>47</v>
      </c>
      <c r="C255" s="121">
        <v>0</v>
      </c>
      <c r="D255" s="125">
        <v>0</v>
      </c>
      <c r="E255" s="125">
        <v>0</v>
      </c>
      <c r="F255" s="125">
        <v>0</v>
      </c>
      <c r="G255" s="125">
        <v>0</v>
      </c>
      <c r="H255" s="125">
        <v>0</v>
      </c>
      <c r="I255" s="125">
        <v>0</v>
      </c>
      <c r="J255" s="125">
        <v>0</v>
      </c>
      <c r="K255" s="125">
        <v>0</v>
      </c>
      <c r="L255" s="125">
        <v>0</v>
      </c>
      <c r="M255" s="125">
        <v>0</v>
      </c>
      <c r="N255" s="125">
        <v>0</v>
      </c>
      <c r="O255" s="125">
        <v>0</v>
      </c>
      <c r="P255" s="125">
        <v>0</v>
      </c>
      <c r="Q255" s="125">
        <v>0</v>
      </c>
      <c r="R255" s="125">
        <v>0</v>
      </c>
      <c r="S255" s="125">
        <v>0</v>
      </c>
      <c r="T255" s="125">
        <v>0</v>
      </c>
      <c r="U255" s="125">
        <v>0</v>
      </c>
      <c r="V255" s="125">
        <v>0</v>
      </c>
      <c r="W255" s="125">
        <v>0</v>
      </c>
      <c r="X255" s="125">
        <v>0</v>
      </c>
      <c r="Y255" s="125">
        <v>0</v>
      </c>
      <c r="Z255" s="125">
        <v>0</v>
      </c>
      <c r="AA255" s="125">
        <v>0</v>
      </c>
      <c r="AB255" s="125">
        <v>0</v>
      </c>
      <c r="AC255" s="125">
        <v>0</v>
      </c>
      <c r="AD255" s="125">
        <v>0</v>
      </c>
      <c r="AE255" s="125">
        <v>0</v>
      </c>
      <c r="AF255" s="125">
        <v>0</v>
      </c>
      <c r="AG255" s="125">
        <v>0</v>
      </c>
      <c r="AH255" s="125">
        <v>0</v>
      </c>
      <c r="AI255" s="125">
        <v>0</v>
      </c>
      <c r="AJ255" s="125">
        <v>0</v>
      </c>
      <c r="AK255" s="125">
        <v>0</v>
      </c>
      <c r="AL255" s="125">
        <v>0</v>
      </c>
      <c r="AM255" s="125">
        <v>0</v>
      </c>
      <c r="AN255" s="125">
        <v>0</v>
      </c>
      <c r="AO255" s="125">
        <v>0</v>
      </c>
      <c r="AP255" s="125">
        <v>0</v>
      </c>
      <c r="AQ255" s="125">
        <v>0</v>
      </c>
      <c r="AR255" s="125">
        <v>0</v>
      </c>
      <c r="AS255" s="125">
        <v>0</v>
      </c>
      <c r="AT255" s="125">
        <v>0</v>
      </c>
      <c r="AU255" s="125">
        <v>0</v>
      </c>
      <c r="AV255" s="125">
        <v>0</v>
      </c>
      <c r="AW255" s="125">
        <v>0</v>
      </c>
      <c r="AX255" s="125">
        <v>0</v>
      </c>
      <c r="AY255" s="125">
        <v>0</v>
      </c>
    </row>
    <row r="256" spans="1:51" x14ac:dyDescent="0.2">
      <c r="A256" s="142"/>
      <c r="B256" s="143">
        <v>48</v>
      </c>
      <c r="C256" s="128">
        <v>0</v>
      </c>
      <c r="D256" s="139">
        <v>0</v>
      </c>
      <c r="E256" s="139">
        <v>0</v>
      </c>
      <c r="F256" s="139">
        <v>0</v>
      </c>
      <c r="G256" s="139">
        <v>0</v>
      </c>
      <c r="H256" s="139">
        <v>0</v>
      </c>
      <c r="I256" s="139">
        <v>0</v>
      </c>
      <c r="J256" s="139">
        <v>0</v>
      </c>
      <c r="K256" s="139">
        <v>0</v>
      </c>
      <c r="L256" s="139">
        <v>0</v>
      </c>
      <c r="M256" s="139">
        <v>0</v>
      </c>
      <c r="N256" s="139">
        <v>0</v>
      </c>
      <c r="O256" s="139">
        <v>0</v>
      </c>
      <c r="P256" s="139">
        <v>0</v>
      </c>
      <c r="Q256" s="139">
        <v>0</v>
      </c>
      <c r="R256" s="139">
        <v>0</v>
      </c>
      <c r="S256" s="139">
        <v>0</v>
      </c>
      <c r="T256" s="139">
        <v>0</v>
      </c>
      <c r="U256" s="139">
        <v>0</v>
      </c>
      <c r="V256" s="139">
        <v>0</v>
      </c>
      <c r="W256" s="139">
        <v>0</v>
      </c>
      <c r="X256" s="139">
        <v>0</v>
      </c>
      <c r="Y256" s="139">
        <v>0</v>
      </c>
      <c r="Z256" s="139">
        <v>0</v>
      </c>
      <c r="AA256" s="139">
        <v>0</v>
      </c>
      <c r="AB256" s="139">
        <v>0</v>
      </c>
      <c r="AC256" s="139">
        <v>0</v>
      </c>
      <c r="AD256" s="139">
        <v>0</v>
      </c>
      <c r="AE256" s="139">
        <v>0</v>
      </c>
      <c r="AF256" s="139">
        <v>0</v>
      </c>
      <c r="AG256" s="139">
        <v>0</v>
      </c>
      <c r="AH256" s="139">
        <v>0</v>
      </c>
      <c r="AI256" s="139">
        <v>0</v>
      </c>
      <c r="AJ256" s="139">
        <v>0</v>
      </c>
      <c r="AK256" s="139">
        <v>0</v>
      </c>
      <c r="AL256" s="139">
        <v>0</v>
      </c>
      <c r="AM256" s="139">
        <v>0</v>
      </c>
      <c r="AN256" s="139">
        <v>0</v>
      </c>
      <c r="AO256" s="139">
        <v>0</v>
      </c>
      <c r="AP256" s="139">
        <v>0</v>
      </c>
      <c r="AQ256" s="139">
        <v>0</v>
      </c>
      <c r="AR256" s="139">
        <v>0</v>
      </c>
      <c r="AS256" s="139">
        <v>0</v>
      </c>
      <c r="AT256" s="139">
        <v>0</v>
      </c>
      <c r="AU256" s="139">
        <v>0</v>
      </c>
      <c r="AV256" s="139">
        <v>0</v>
      </c>
      <c r="AW256" s="139">
        <v>0</v>
      </c>
      <c r="AX256" s="139">
        <v>0</v>
      </c>
      <c r="AY256" s="139">
        <v>0</v>
      </c>
    </row>
    <row r="258" spans="1:52" x14ac:dyDescent="0.2">
      <c r="A258" s="1" t="s">
        <v>301</v>
      </c>
    </row>
    <row r="259" spans="1:52" x14ac:dyDescent="0.2">
      <c r="A259" s="151" t="s">
        <v>124</v>
      </c>
      <c r="B259" s="152">
        <v>650</v>
      </c>
      <c r="C259" s="138" t="s">
        <v>293</v>
      </c>
      <c r="D259" s="138">
        <f>E$14*$B$259</f>
        <v>271788.28685641941</v>
      </c>
      <c r="E259" s="138">
        <f t="shared" ref="E259:AX259" si="5">F$14*$B$259</f>
        <v>63858.92925314443</v>
      </c>
      <c r="F259" s="138">
        <f t="shared" si="5"/>
        <v>54637.570541375964</v>
      </c>
      <c r="G259" s="138">
        <f t="shared" si="5"/>
        <v>54637.570541375964</v>
      </c>
      <c r="H259" s="138">
        <f t="shared" si="5"/>
        <v>54637.570541375964</v>
      </c>
      <c r="I259" s="138">
        <f t="shared" si="5"/>
        <v>54637.570541375964</v>
      </c>
      <c r="J259" s="138">
        <f t="shared" si="5"/>
        <v>54637.570541375964</v>
      </c>
      <c r="K259" s="138">
        <f t="shared" si="5"/>
        <v>54637.570541375964</v>
      </c>
      <c r="L259" s="138">
        <f t="shared" si="5"/>
        <v>54637.570541375964</v>
      </c>
      <c r="M259" s="138">
        <f t="shared" si="5"/>
        <v>54637.570541375964</v>
      </c>
      <c r="N259" s="138">
        <f t="shared" si="5"/>
        <v>54637.570541375964</v>
      </c>
      <c r="O259" s="138">
        <f t="shared" si="5"/>
        <v>54637.570541375964</v>
      </c>
      <c r="P259" s="138">
        <f t="shared" si="5"/>
        <v>54637.570541375964</v>
      </c>
      <c r="Q259" s="138">
        <f t="shared" si="5"/>
        <v>54637.570541375964</v>
      </c>
      <c r="R259" s="138">
        <f t="shared" si="5"/>
        <v>54637.570541375964</v>
      </c>
      <c r="S259" s="138">
        <f t="shared" si="5"/>
        <v>54637.570541375964</v>
      </c>
      <c r="T259" s="138">
        <f t="shared" si="5"/>
        <v>54637.570541375964</v>
      </c>
      <c r="U259" s="138">
        <f t="shared" si="5"/>
        <v>54637.570541375964</v>
      </c>
      <c r="V259" s="138">
        <f t="shared" si="5"/>
        <v>54637.570541375964</v>
      </c>
      <c r="W259" s="138">
        <f t="shared" si="5"/>
        <v>54637.570541375964</v>
      </c>
      <c r="X259" s="138">
        <f t="shared" si="5"/>
        <v>54637.570541375964</v>
      </c>
      <c r="Y259" s="138">
        <f t="shared" si="5"/>
        <v>54637.570541375964</v>
      </c>
      <c r="Z259" s="138">
        <f t="shared" si="5"/>
        <v>54637.570541375964</v>
      </c>
      <c r="AA259" s="138">
        <f t="shared" si="5"/>
        <v>54637.570541375964</v>
      </c>
      <c r="AB259" s="138">
        <f t="shared" si="5"/>
        <v>54637.570541375964</v>
      </c>
      <c r="AC259" s="138">
        <f t="shared" si="5"/>
        <v>54637.570541375964</v>
      </c>
      <c r="AD259" s="138">
        <f t="shared" si="5"/>
        <v>54637.570541375964</v>
      </c>
      <c r="AE259" s="138">
        <f t="shared" si="5"/>
        <v>54637.570541375964</v>
      </c>
      <c r="AF259" s="138">
        <f t="shared" si="5"/>
        <v>54637.570541375964</v>
      </c>
      <c r="AG259" s="138">
        <f t="shared" si="5"/>
        <v>54637.570541375964</v>
      </c>
      <c r="AH259" s="138">
        <f t="shared" si="5"/>
        <v>54637.570541375964</v>
      </c>
      <c r="AI259" s="138">
        <f t="shared" si="5"/>
        <v>54637.570541375964</v>
      </c>
      <c r="AJ259" s="138">
        <f t="shared" si="5"/>
        <v>54637.570541375964</v>
      </c>
      <c r="AK259" s="138">
        <f t="shared" si="5"/>
        <v>54637.570541375964</v>
      </c>
      <c r="AL259" s="138">
        <f t="shared" si="5"/>
        <v>54637.570541375964</v>
      </c>
      <c r="AM259" s="138">
        <f t="shared" si="5"/>
        <v>54637.570541375964</v>
      </c>
      <c r="AN259" s="138">
        <f t="shared" si="5"/>
        <v>54637.570541375964</v>
      </c>
      <c r="AO259" s="138">
        <f t="shared" si="5"/>
        <v>54637.570541375964</v>
      </c>
      <c r="AP259" s="138">
        <f t="shared" si="5"/>
        <v>54637.570541375964</v>
      </c>
      <c r="AQ259" s="138">
        <f t="shared" si="5"/>
        <v>54637.570541375964</v>
      </c>
      <c r="AR259" s="138">
        <f t="shared" si="5"/>
        <v>54637.570541375964</v>
      </c>
      <c r="AS259" s="138">
        <f t="shared" si="5"/>
        <v>54637.570541375964</v>
      </c>
      <c r="AT259" s="138">
        <f t="shared" si="5"/>
        <v>54637.570541375964</v>
      </c>
      <c r="AU259" s="138">
        <f t="shared" si="5"/>
        <v>54637.570541375964</v>
      </c>
      <c r="AV259" s="138">
        <f t="shared" si="5"/>
        <v>54637.570541375964</v>
      </c>
      <c r="AW259" s="138">
        <f t="shared" si="5"/>
        <v>54637.570541375964</v>
      </c>
      <c r="AX259" s="138">
        <f t="shared" si="5"/>
        <v>54637.570541375964</v>
      </c>
      <c r="AY259" s="138">
        <f>AZ$14*$B$259</f>
        <v>54637.570541375964</v>
      </c>
      <c r="AZ259" s="153">
        <f>SUM($D259:$AY259)</f>
        <v>2848975.461012857</v>
      </c>
    </row>
    <row r="260" spans="1:52" x14ac:dyDescent="0.2">
      <c r="A260" s="154" t="s">
        <v>302</v>
      </c>
      <c r="B260" s="128">
        <v>60</v>
      </c>
      <c r="C260" s="139" t="s">
        <v>293</v>
      </c>
      <c r="D260" s="139">
        <f>(D$175-D$176+D$177-D$178+D$179-D$180+D$181-D$182)*$B$260</f>
        <v>1571999.7065813488</v>
      </c>
      <c r="E260" s="139">
        <f t="shared" ref="E260:AY260" si="6">(E$175-E$176+E$177-E$178+E$179-E$180+E$181-E$182)*$B$260</f>
        <v>1793754.9448557629</v>
      </c>
      <c r="F260" s="139">
        <f t="shared" si="6"/>
        <v>1889094.5599694487</v>
      </c>
      <c r="G260" s="139">
        <f t="shared" si="6"/>
        <v>1988718.1652007943</v>
      </c>
      <c r="H260" s="139">
        <f t="shared" si="6"/>
        <v>1934505.7692331404</v>
      </c>
      <c r="I260" s="139">
        <f t="shared" si="6"/>
        <v>1886403.0922928548</v>
      </c>
      <c r="J260" s="139">
        <f t="shared" si="6"/>
        <v>1841435.745821984</v>
      </c>
      <c r="K260" s="139">
        <f t="shared" si="6"/>
        <v>1784506.8761214339</v>
      </c>
      <c r="L260" s="139">
        <f t="shared" si="6"/>
        <v>1752510.1534946864</v>
      </c>
      <c r="M260" s="139">
        <f t="shared" si="6"/>
        <v>1739119.8175763369</v>
      </c>
      <c r="N260" s="139">
        <f t="shared" si="6"/>
        <v>1711325.6752759183</v>
      </c>
      <c r="O260" s="139">
        <f t="shared" si="6"/>
        <v>1682158.4032595006</v>
      </c>
      <c r="P260" s="139">
        <f t="shared" si="6"/>
        <v>1631856.1319091581</v>
      </c>
      <c r="Q260" s="139">
        <f t="shared" si="6"/>
        <v>1591131.1635342313</v>
      </c>
      <c r="R260" s="139">
        <f t="shared" si="6"/>
        <v>1590727.0371621118</v>
      </c>
      <c r="S260" s="139">
        <f t="shared" si="6"/>
        <v>1584382.9107899927</v>
      </c>
      <c r="T260" s="139">
        <f t="shared" si="6"/>
        <v>1587547.0371621118</v>
      </c>
      <c r="U260" s="139">
        <f t="shared" si="6"/>
        <v>1589751.1635342315</v>
      </c>
      <c r="V260" s="139">
        <f t="shared" si="6"/>
        <v>1596695.2899063507</v>
      </c>
      <c r="W260" s="139">
        <f t="shared" si="6"/>
        <v>1595719.4162784698</v>
      </c>
      <c r="X260" s="139">
        <f t="shared" si="6"/>
        <v>1596739.4162784698</v>
      </c>
      <c r="Y260" s="139">
        <f t="shared" si="6"/>
        <v>1597999.4162784698</v>
      </c>
      <c r="Z260" s="139">
        <f t="shared" si="6"/>
        <v>1599739.4162784698</v>
      </c>
      <c r="AA260" s="139">
        <f t="shared" si="6"/>
        <v>1594219.4162784698</v>
      </c>
      <c r="AB260" s="139">
        <f t="shared" si="6"/>
        <v>1591235.2899063504</v>
      </c>
      <c r="AC260" s="139">
        <f t="shared" si="6"/>
        <v>1577639.2960120114</v>
      </c>
      <c r="AD260" s="139">
        <f t="shared" si="6"/>
        <v>1560715.4924249102</v>
      </c>
      <c r="AE260" s="139">
        <f t="shared" si="6"/>
        <v>1536323.747207735</v>
      </c>
      <c r="AF260" s="139">
        <f t="shared" si="6"/>
        <v>1534087.8735798546</v>
      </c>
      <c r="AG260" s="139">
        <f t="shared" si="6"/>
        <v>1559143.8674741937</v>
      </c>
      <c r="AH260" s="139">
        <f t="shared" si="6"/>
        <v>1575527.6710612951</v>
      </c>
      <c r="AI260" s="139">
        <f t="shared" si="6"/>
        <v>1598119.4162784698</v>
      </c>
      <c r="AJ260" s="139">
        <f t="shared" si="6"/>
        <v>1595119.4162784698</v>
      </c>
      <c r="AK260" s="139">
        <f t="shared" si="6"/>
        <v>1598839.4162784698</v>
      </c>
      <c r="AL260" s="139">
        <f t="shared" si="6"/>
        <v>1597999.4162784698</v>
      </c>
      <c r="AM260" s="139">
        <f t="shared" si="6"/>
        <v>1595239.4162784698</v>
      </c>
      <c r="AN260" s="139">
        <f t="shared" si="6"/>
        <v>1607388.7947449745</v>
      </c>
      <c r="AO260" s="139">
        <f t="shared" si="6"/>
        <v>1620558.1732114789</v>
      </c>
      <c r="AP260" s="139">
        <f t="shared" si="6"/>
        <v>1631387.5516779835</v>
      </c>
      <c r="AQ260" s="139">
        <f t="shared" si="6"/>
        <v>1643716.9301444881</v>
      </c>
      <c r="AR260" s="139">
        <f t="shared" si="6"/>
        <v>1640072.8037723692</v>
      </c>
      <c r="AS260" s="139">
        <f t="shared" si="6"/>
        <v>1636428.6774002495</v>
      </c>
      <c r="AT260" s="139">
        <f t="shared" si="6"/>
        <v>1634704.5510281301</v>
      </c>
      <c r="AU260" s="139">
        <f t="shared" si="6"/>
        <v>1631660.4246560107</v>
      </c>
      <c r="AV260" s="139">
        <f t="shared" si="6"/>
        <v>1612678.0505162189</v>
      </c>
      <c r="AW260" s="139">
        <f t="shared" si="6"/>
        <v>1594175.6763764271</v>
      </c>
      <c r="AX260" s="139">
        <f t="shared" si="6"/>
        <v>1581253.3022366355</v>
      </c>
      <c r="AY260" s="139">
        <f t="shared" si="6"/>
        <v>1558430.9280968437</v>
      </c>
      <c r="AZ260" s="155">
        <f>SUM($D260:$AY260)</f>
        <v>79044486.907994226</v>
      </c>
    </row>
  </sheetData>
  <pageMargins left="0.75" right="0.75" top="1" bottom="1" header="0.5" footer="0.5"/>
  <pageSetup orientation="portrait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A260"/>
  <sheetViews>
    <sheetView workbookViewId="0">
      <pane xSplit="2" ySplit="7" topLeftCell="C175" activePane="bottomRight" state="frozen"/>
      <selection pane="topRight"/>
      <selection pane="bottomLeft"/>
      <selection pane="bottomRight" activeCell="C185" sqref="C185:C256"/>
    </sheetView>
  </sheetViews>
  <sheetFormatPr defaultRowHeight="12.75" x14ac:dyDescent="0.2"/>
  <cols>
    <col min="1" max="1" width="14.7109375" customWidth="1"/>
    <col min="2" max="2" width="12.7109375" customWidth="1"/>
  </cols>
  <sheetData>
    <row r="1" spans="1:53" x14ac:dyDescent="0.2">
      <c r="A1" s="1" t="s">
        <v>284</v>
      </c>
    </row>
    <row r="2" spans="1:53" x14ac:dyDescent="0.2">
      <c r="A2" t="s">
        <v>285</v>
      </c>
      <c r="B2" s="122" t="s">
        <v>59</v>
      </c>
    </row>
    <row r="3" spans="1:53" x14ac:dyDescent="0.2">
      <c r="A3" t="s">
        <v>286</v>
      </c>
      <c r="B3" s="123">
        <v>43000</v>
      </c>
      <c r="C3" s="124"/>
    </row>
    <row r="4" spans="1:53" x14ac:dyDescent="0.2">
      <c r="B4" s="125"/>
      <c r="C4" s="125"/>
    </row>
    <row r="5" spans="1:53" x14ac:dyDescent="0.2">
      <c r="C5" s="9" t="s">
        <v>287</v>
      </c>
    </row>
    <row r="6" spans="1:53" x14ac:dyDescent="0.2">
      <c r="C6" s="126">
        <v>0</v>
      </c>
      <c r="D6" s="126">
        <v>1</v>
      </c>
      <c r="E6" s="126">
        <v>2</v>
      </c>
      <c r="F6" s="126">
        <v>3</v>
      </c>
      <c r="G6" s="126">
        <v>4</v>
      </c>
      <c r="H6" s="126">
        <v>5</v>
      </c>
      <c r="I6" s="126">
        <v>6</v>
      </c>
      <c r="J6" s="126">
        <v>7</v>
      </c>
      <c r="K6" s="126">
        <v>8</v>
      </c>
      <c r="L6" s="126">
        <v>9</v>
      </c>
      <c r="M6" s="126">
        <v>10</v>
      </c>
      <c r="N6" s="126">
        <v>11</v>
      </c>
      <c r="O6" s="126">
        <v>12</v>
      </c>
      <c r="P6" s="126">
        <v>13</v>
      </c>
      <c r="Q6" s="126">
        <v>14</v>
      </c>
      <c r="R6" s="126">
        <v>15</v>
      </c>
      <c r="S6" s="126">
        <v>16</v>
      </c>
      <c r="T6" s="126">
        <v>17</v>
      </c>
      <c r="U6" s="126">
        <v>18</v>
      </c>
      <c r="V6" s="126">
        <v>19</v>
      </c>
      <c r="W6" s="126">
        <v>20</v>
      </c>
      <c r="X6" s="126">
        <v>21</v>
      </c>
      <c r="Y6" s="126">
        <v>22</v>
      </c>
      <c r="Z6" s="126">
        <v>23</v>
      </c>
      <c r="AA6" s="126">
        <v>24</v>
      </c>
      <c r="AB6" s="126">
        <v>25</v>
      </c>
      <c r="AC6" s="126">
        <v>26</v>
      </c>
      <c r="AD6" s="126">
        <v>27</v>
      </c>
      <c r="AE6" s="126">
        <v>28</v>
      </c>
      <c r="AF6" s="126">
        <v>29</v>
      </c>
      <c r="AG6" s="126">
        <v>30</v>
      </c>
      <c r="AH6" s="126">
        <v>31</v>
      </c>
      <c r="AI6" s="126">
        <v>32</v>
      </c>
      <c r="AJ6" s="126">
        <v>33</v>
      </c>
      <c r="AK6" s="126">
        <v>34</v>
      </c>
      <c r="AL6" s="126">
        <v>35</v>
      </c>
      <c r="AM6" s="126">
        <v>36</v>
      </c>
      <c r="AN6" s="126">
        <v>37</v>
      </c>
      <c r="AO6" s="126">
        <v>38</v>
      </c>
      <c r="AP6" s="126">
        <v>39</v>
      </c>
      <c r="AQ6" s="126">
        <v>40</v>
      </c>
      <c r="AR6" s="126">
        <v>41</v>
      </c>
      <c r="AS6" s="126">
        <v>42</v>
      </c>
      <c r="AT6" s="126">
        <v>43</v>
      </c>
      <c r="AU6" s="126">
        <v>44</v>
      </c>
      <c r="AV6" s="126">
        <v>45</v>
      </c>
      <c r="AW6" s="126">
        <v>46</v>
      </c>
      <c r="AX6" s="126">
        <v>47</v>
      </c>
      <c r="AY6" s="126">
        <v>48</v>
      </c>
    </row>
    <row r="7" spans="1:53" x14ac:dyDescent="0.2">
      <c r="B7" s="125"/>
      <c r="C7" s="127" t="s">
        <v>288</v>
      </c>
      <c r="D7" s="126" t="s">
        <v>289</v>
      </c>
      <c r="E7" s="126" t="s">
        <v>289</v>
      </c>
      <c r="F7" s="126" t="s">
        <v>289</v>
      </c>
      <c r="G7" s="126" t="s">
        <v>289</v>
      </c>
      <c r="H7" s="126" t="s">
        <v>289</v>
      </c>
      <c r="I7" s="126" t="s">
        <v>289</v>
      </c>
      <c r="J7" s="126" t="s">
        <v>289</v>
      </c>
      <c r="K7" s="126" t="s">
        <v>289</v>
      </c>
      <c r="L7" s="126" t="s">
        <v>289</v>
      </c>
      <c r="M7" s="126" t="s">
        <v>289</v>
      </c>
      <c r="N7" s="126" t="s">
        <v>289</v>
      </c>
      <c r="O7" s="126" t="s">
        <v>289</v>
      </c>
      <c r="P7" s="126" t="s">
        <v>289</v>
      </c>
      <c r="Q7" s="126" t="s">
        <v>289</v>
      </c>
      <c r="R7" s="126" t="s">
        <v>289</v>
      </c>
      <c r="S7" s="126" t="s">
        <v>289</v>
      </c>
      <c r="T7" s="126" t="s">
        <v>289</v>
      </c>
      <c r="U7" s="126" t="s">
        <v>289</v>
      </c>
      <c r="V7" s="126" t="s">
        <v>289</v>
      </c>
      <c r="W7" s="126" t="s">
        <v>289</v>
      </c>
      <c r="X7" s="126" t="s">
        <v>289</v>
      </c>
      <c r="Y7" s="126" t="s">
        <v>289</v>
      </c>
      <c r="Z7" s="126" t="s">
        <v>289</v>
      </c>
      <c r="AA7" s="126" t="s">
        <v>289</v>
      </c>
      <c r="AB7" s="126" t="s">
        <v>289</v>
      </c>
      <c r="AC7" s="126" t="s">
        <v>289</v>
      </c>
      <c r="AD7" s="126" t="s">
        <v>289</v>
      </c>
      <c r="AE7" s="126" t="s">
        <v>289</v>
      </c>
      <c r="AF7" s="126" t="s">
        <v>289</v>
      </c>
      <c r="AG7" s="126" t="s">
        <v>289</v>
      </c>
      <c r="AH7" s="126" t="s">
        <v>289</v>
      </c>
      <c r="AI7" s="126" t="s">
        <v>289</v>
      </c>
      <c r="AJ7" s="126" t="s">
        <v>289</v>
      </c>
      <c r="AK7" s="126" t="s">
        <v>289</v>
      </c>
      <c r="AL7" s="126" t="s">
        <v>289</v>
      </c>
      <c r="AM7" s="126" t="s">
        <v>289</v>
      </c>
      <c r="AN7" s="126" t="s">
        <v>289</v>
      </c>
      <c r="AO7" s="126" t="s">
        <v>289</v>
      </c>
      <c r="AP7" s="126" t="s">
        <v>289</v>
      </c>
      <c r="AQ7" s="126" t="s">
        <v>289</v>
      </c>
      <c r="AR7" s="126" t="s">
        <v>289</v>
      </c>
      <c r="AS7" s="126" t="s">
        <v>289</v>
      </c>
      <c r="AT7" s="126" t="s">
        <v>289</v>
      </c>
      <c r="AU7" s="126" t="s">
        <v>289</v>
      </c>
      <c r="AV7" s="126" t="s">
        <v>289</v>
      </c>
      <c r="AW7" s="126" t="s">
        <v>289</v>
      </c>
      <c r="AX7" s="126" t="s">
        <v>289</v>
      </c>
      <c r="AY7" s="9" t="s">
        <v>290</v>
      </c>
      <c r="AZ7" s="9" t="s">
        <v>291</v>
      </c>
    </row>
    <row r="8" spans="1:53" x14ac:dyDescent="0.2">
      <c r="A8" s="1" t="s">
        <v>292</v>
      </c>
      <c r="B8" s="128"/>
      <c r="AY8" s="125"/>
    </row>
    <row r="9" spans="1:53" x14ac:dyDescent="0.2">
      <c r="A9" s="129" t="s">
        <v>125</v>
      </c>
      <c r="B9" s="130">
        <v>1</v>
      </c>
      <c r="C9" s="131" t="s">
        <v>293</v>
      </c>
      <c r="D9" s="131">
        <v>7608.5840784748398</v>
      </c>
      <c r="E9" s="131">
        <v>7608.5840784748398</v>
      </c>
      <c r="F9" s="131">
        <v>7608.5840784748398</v>
      </c>
      <c r="G9" s="131">
        <v>7608.5840784748398</v>
      </c>
      <c r="H9" s="131">
        <v>7249.9947344038501</v>
      </c>
      <c r="I9" s="131">
        <v>7249.9947344038501</v>
      </c>
      <c r="J9" s="131">
        <v>7249.9947344038501</v>
      </c>
      <c r="K9" s="131">
        <v>7249.9947344038501</v>
      </c>
      <c r="L9" s="131">
        <v>7608.5840784748398</v>
      </c>
      <c r="M9" s="131">
        <v>7608.5840784748398</v>
      </c>
      <c r="N9" s="131">
        <v>7608.5840784748398</v>
      </c>
      <c r="O9" s="131">
        <v>7608.5840784748398</v>
      </c>
      <c r="P9" s="131">
        <v>7402.4948360173948</v>
      </c>
      <c r="Q9" s="131">
        <v>7402.4948360173948</v>
      </c>
      <c r="R9" s="131">
        <v>7402.4948360173948</v>
      </c>
      <c r="S9" s="131">
        <v>7402.4948360173948</v>
      </c>
      <c r="T9" s="131">
        <v>7608.5840784748398</v>
      </c>
      <c r="U9" s="131">
        <v>7608.5840784748398</v>
      </c>
      <c r="V9" s="131">
        <v>7608.5840784748398</v>
      </c>
      <c r="W9" s="131">
        <v>7608.5840784748398</v>
      </c>
      <c r="X9" s="131">
        <v>7608.5840784748398</v>
      </c>
      <c r="Y9" s="131">
        <v>7608.5840784748398</v>
      </c>
      <c r="Z9" s="131">
        <v>7608.5840784748398</v>
      </c>
      <c r="AA9" s="131">
        <v>7608.5840784748398</v>
      </c>
      <c r="AB9" s="131">
        <v>7402.4948360173948</v>
      </c>
      <c r="AC9" s="131">
        <v>7221.4273316417293</v>
      </c>
      <c r="AD9" s="131">
        <v>7221.7636265383544</v>
      </c>
      <c r="AE9" s="131">
        <v>7222.0985430745795</v>
      </c>
      <c r="AF9" s="131">
        <v>7608.5840784748398</v>
      </c>
      <c r="AG9" s="131">
        <v>7608.5840784748398</v>
      </c>
      <c r="AH9" s="131">
        <v>7608.5840784748398</v>
      </c>
      <c r="AI9" s="131">
        <v>7608.5840784748398</v>
      </c>
      <c r="AJ9" s="131">
        <v>7608.5840784748398</v>
      </c>
      <c r="AK9" s="131">
        <v>7608.5840784748398</v>
      </c>
      <c r="AL9" s="131">
        <v>7608.5840784748398</v>
      </c>
      <c r="AM9" s="131">
        <v>7608.5840784748398</v>
      </c>
      <c r="AN9" s="131">
        <v>7725.4804736179112</v>
      </c>
      <c r="AO9" s="131">
        <v>7725.4804736179112</v>
      </c>
      <c r="AP9" s="131">
        <v>7725.4804736179112</v>
      </c>
      <c r="AQ9" s="131">
        <v>7725.4804736179112</v>
      </c>
      <c r="AR9" s="131">
        <v>7519.3912311604654</v>
      </c>
      <c r="AS9" s="131">
        <v>7519.3912311604654</v>
      </c>
      <c r="AT9" s="131">
        <v>7519.3912311604654</v>
      </c>
      <c r="AU9" s="131">
        <v>7519.3912311604654</v>
      </c>
      <c r="AV9" s="131">
        <v>7456.083976861295</v>
      </c>
      <c r="AW9" s="131">
        <v>7456.083976861295</v>
      </c>
      <c r="AX9" s="131">
        <v>7456.083976861295</v>
      </c>
      <c r="AY9" s="131">
        <v>7456.083976861295</v>
      </c>
    </row>
    <row r="10" spans="1:53" x14ac:dyDescent="0.2">
      <c r="A10" s="132" t="s">
        <v>133</v>
      </c>
      <c r="B10" s="133">
        <v>1</v>
      </c>
      <c r="C10" s="121" t="s">
        <v>293</v>
      </c>
      <c r="D10">
        <v>1402.9553092401027</v>
      </c>
      <c r="E10">
        <v>120</v>
      </c>
      <c r="F10">
        <v>2999.3507586071873</v>
      </c>
      <c r="G10">
        <v>150</v>
      </c>
      <c r="H10">
        <v>1910</v>
      </c>
      <c r="I10">
        <v>2829.3507586071873</v>
      </c>
      <c r="J10">
        <v>2935.8396286779675</v>
      </c>
      <c r="K10">
        <v>2765.8396286779675</v>
      </c>
      <c r="L10">
        <v>2935.8396286779675</v>
      </c>
      <c r="M10">
        <v>2765.8396286779675</v>
      </c>
      <c r="N10">
        <v>1910</v>
      </c>
      <c r="O10">
        <v>2829.3507586071873</v>
      </c>
      <c r="P10">
        <v>1910</v>
      </c>
      <c r="Q10">
        <v>2829.3507586071873</v>
      </c>
      <c r="R10">
        <v>1910</v>
      </c>
      <c r="S10">
        <v>2829.3507586071873</v>
      </c>
      <c r="T10">
        <v>1910</v>
      </c>
      <c r="U10">
        <v>150</v>
      </c>
      <c r="V10">
        <v>1910</v>
      </c>
      <c r="W10">
        <v>150</v>
      </c>
      <c r="X10">
        <v>1910</v>
      </c>
      <c r="Y10">
        <v>2829.3507586071873</v>
      </c>
      <c r="Z10">
        <v>1910</v>
      </c>
      <c r="AA10">
        <v>150</v>
      </c>
      <c r="AB10">
        <v>1910</v>
      </c>
      <c r="AC10">
        <v>2829.3507586071873</v>
      </c>
      <c r="AD10">
        <v>1910</v>
      </c>
      <c r="AE10">
        <v>2829.3507586071873</v>
      </c>
      <c r="AF10">
        <v>2999.3507586071873</v>
      </c>
      <c r="AG10">
        <v>150</v>
      </c>
      <c r="AH10">
        <v>2999.3507586071873</v>
      </c>
      <c r="AI10">
        <v>2829.3507586071873</v>
      </c>
      <c r="AJ10">
        <v>1910</v>
      </c>
      <c r="AK10">
        <v>2829.3507586071873</v>
      </c>
      <c r="AL10">
        <v>1910</v>
      </c>
      <c r="AM10">
        <v>150</v>
      </c>
      <c r="AN10">
        <v>1910</v>
      </c>
      <c r="AO10">
        <v>2829.3507586071873</v>
      </c>
      <c r="AP10">
        <v>2999.3507586071873</v>
      </c>
      <c r="AQ10">
        <v>150</v>
      </c>
      <c r="AR10">
        <v>2999.3507586071873</v>
      </c>
      <c r="AS10">
        <v>2829.3507586071873</v>
      </c>
      <c r="AT10">
        <v>1910</v>
      </c>
      <c r="AU10">
        <v>2829.3507586071873</v>
      </c>
      <c r="AV10">
        <v>1910</v>
      </c>
      <c r="AW10">
        <v>2829.3507586071873</v>
      </c>
      <c r="AX10">
        <v>2935.8396286779675</v>
      </c>
      <c r="AY10">
        <v>150</v>
      </c>
      <c r="AZ10">
        <v>2935.8396286779675</v>
      </c>
    </row>
    <row r="11" spans="1:53" x14ac:dyDescent="0.2">
      <c r="B11" s="133">
        <v>2</v>
      </c>
      <c r="C11" s="121" t="s">
        <v>293</v>
      </c>
      <c r="D11">
        <v>1354.7211105903114</v>
      </c>
      <c r="E11">
        <v>0</v>
      </c>
      <c r="F11">
        <v>0</v>
      </c>
      <c r="H11">
        <v>2849.3507586071873</v>
      </c>
      <c r="I11">
        <v>1089.3507586071873</v>
      </c>
      <c r="J11">
        <v>170</v>
      </c>
      <c r="K11">
        <v>0</v>
      </c>
      <c r="L11">
        <v>0</v>
      </c>
      <c r="M11">
        <v>0</v>
      </c>
      <c r="N11">
        <v>170</v>
      </c>
      <c r="O11">
        <v>1089.3507586071873</v>
      </c>
      <c r="P11">
        <v>170</v>
      </c>
      <c r="Q11">
        <v>1089.3507586071873</v>
      </c>
      <c r="R11">
        <v>170</v>
      </c>
      <c r="S11">
        <v>1089.3507586071873</v>
      </c>
      <c r="T11">
        <v>170</v>
      </c>
      <c r="U11">
        <v>1089.3507586071873</v>
      </c>
      <c r="V11">
        <v>2849.3507586071873</v>
      </c>
      <c r="W11">
        <v>1089.3507586071873</v>
      </c>
      <c r="X11">
        <v>2679.3507586071873</v>
      </c>
      <c r="Y11">
        <v>1089.3507586071873</v>
      </c>
      <c r="AA11">
        <v>1089.3507586071873</v>
      </c>
      <c r="AB11">
        <v>2679.3507586071873</v>
      </c>
      <c r="AC11">
        <v>0</v>
      </c>
      <c r="AD11">
        <v>170</v>
      </c>
      <c r="AE11">
        <v>1089.3507586071873</v>
      </c>
      <c r="AF11">
        <v>0</v>
      </c>
      <c r="AH11">
        <v>2679.3507586071873</v>
      </c>
      <c r="AJ11">
        <v>170</v>
      </c>
      <c r="AL11">
        <v>170</v>
      </c>
      <c r="AM11">
        <v>1089.3507586071873</v>
      </c>
      <c r="AN11">
        <v>2679.3507586071873</v>
      </c>
      <c r="AO11">
        <v>1089.3507586071873</v>
      </c>
      <c r="AP11">
        <v>170</v>
      </c>
      <c r="AQ11">
        <v>0</v>
      </c>
      <c r="AR11">
        <v>2679.3507586071873</v>
      </c>
      <c r="AS11">
        <v>0</v>
      </c>
      <c r="AT11">
        <v>170</v>
      </c>
      <c r="AU11">
        <v>1089.3507586071873</v>
      </c>
      <c r="AV11">
        <v>170</v>
      </c>
      <c r="AY11">
        <v>0</v>
      </c>
      <c r="AZ11">
        <v>170</v>
      </c>
      <c r="BA11">
        <v>0</v>
      </c>
    </row>
    <row r="12" spans="1:53" x14ac:dyDescent="0.2">
      <c r="B12" s="134">
        <v>3</v>
      </c>
      <c r="C12" s="121" t="s">
        <v>293</v>
      </c>
      <c r="F12">
        <v>178.72111059031158</v>
      </c>
      <c r="G12">
        <v>2144.2758722718731</v>
      </c>
      <c r="M12">
        <v>170</v>
      </c>
      <c r="Q12">
        <v>0</v>
      </c>
      <c r="T12">
        <v>0</v>
      </c>
      <c r="X12">
        <v>0</v>
      </c>
      <c r="Y12">
        <v>170</v>
      </c>
      <c r="Z12">
        <v>0</v>
      </c>
      <c r="AC12">
        <v>170</v>
      </c>
      <c r="AD12">
        <v>1089.3507586071873</v>
      </c>
      <c r="AE12">
        <v>0</v>
      </c>
      <c r="AH12">
        <v>0</v>
      </c>
      <c r="AJ12">
        <v>0</v>
      </c>
      <c r="AL12">
        <v>1089.3507586071873</v>
      </c>
      <c r="AM12">
        <v>0</v>
      </c>
      <c r="AN12">
        <v>0</v>
      </c>
      <c r="AO12">
        <v>170</v>
      </c>
      <c r="AR12">
        <v>0</v>
      </c>
      <c r="AX12">
        <v>1089.3507586071873</v>
      </c>
      <c r="AY12">
        <v>170</v>
      </c>
      <c r="BA12">
        <v>2615.8396286779675</v>
      </c>
    </row>
    <row r="13" spans="1:53" x14ac:dyDescent="0.2">
      <c r="B13" s="134">
        <v>4</v>
      </c>
      <c r="C13" s="121" t="s">
        <v>293</v>
      </c>
      <c r="F13">
        <v>0</v>
      </c>
      <c r="I13">
        <v>0</v>
      </c>
      <c r="S13">
        <v>0</v>
      </c>
      <c r="AB13">
        <v>170</v>
      </c>
      <c r="AH13">
        <v>170</v>
      </c>
      <c r="AJ13">
        <v>170</v>
      </c>
      <c r="AT13">
        <v>170</v>
      </c>
      <c r="AY13">
        <v>0</v>
      </c>
    </row>
    <row r="14" spans="1:53" x14ac:dyDescent="0.2">
      <c r="A14" s="129" t="s">
        <v>134</v>
      </c>
      <c r="B14" s="135">
        <v>1</v>
      </c>
      <c r="C14" s="131" t="s">
        <v>293</v>
      </c>
      <c r="D14" s="131">
        <v>4456.9518533497421</v>
      </c>
      <c r="E14" s="131">
        <f t="shared" ref="E14:AZ14" si="0">D$172*SUM(D$122:D$169)</f>
        <v>3993.9493982513395</v>
      </c>
      <c r="F14" s="131">
        <f t="shared" si="0"/>
        <v>2699.1360445745463</v>
      </c>
      <c r="G14" s="131">
        <f t="shared" si="0"/>
        <v>2048.3452015112607</v>
      </c>
      <c r="H14" s="131">
        <f t="shared" si="0"/>
        <v>1676.9147420123061</v>
      </c>
      <c r="I14" s="131">
        <f t="shared" si="0"/>
        <v>1405.6504175438968</v>
      </c>
      <c r="J14" s="131">
        <f t="shared" si="0"/>
        <v>1278.957546010455</v>
      </c>
      <c r="K14" s="131">
        <f t="shared" si="0"/>
        <v>1257.5954385030009</v>
      </c>
      <c r="L14" s="131">
        <f t="shared" si="0"/>
        <v>1155.6906773004332</v>
      </c>
      <c r="M14" s="131">
        <f t="shared" si="0"/>
        <v>1195.8996223475838</v>
      </c>
      <c r="N14" s="131">
        <f t="shared" si="0"/>
        <v>1144.2983122228272</v>
      </c>
      <c r="O14" s="131">
        <f t="shared" si="0"/>
        <v>1173.2228801365281</v>
      </c>
      <c r="P14" s="131">
        <f t="shared" si="0"/>
        <v>1125.6004827235402</v>
      </c>
      <c r="Q14" s="131">
        <f t="shared" si="0"/>
        <v>1191.0722591610834</v>
      </c>
      <c r="R14" s="131">
        <f t="shared" si="0"/>
        <v>1229.2719326015726</v>
      </c>
      <c r="S14" s="131">
        <f t="shared" si="0"/>
        <v>1179.7927523164074</v>
      </c>
      <c r="T14" s="131">
        <f t="shared" si="0"/>
        <v>1258.0163806945779</v>
      </c>
      <c r="U14" s="131">
        <f t="shared" si="0"/>
        <v>1233.8758600734504</v>
      </c>
      <c r="V14" s="131">
        <f t="shared" si="0"/>
        <v>1207.9654895261795</v>
      </c>
      <c r="W14" s="131">
        <f t="shared" si="0"/>
        <v>1175.1354344953888</v>
      </c>
      <c r="X14" s="131">
        <f t="shared" si="0"/>
        <v>1230.2733086591209</v>
      </c>
      <c r="Y14" s="131">
        <f t="shared" si="0"/>
        <v>1196.3849519453756</v>
      </c>
      <c r="Z14" s="131">
        <f t="shared" si="0"/>
        <v>1169.7825538275747</v>
      </c>
      <c r="AA14" s="131">
        <f t="shared" si="0"/>
        <v>1154.0035591963358</v>
      </c>
      <c r="AB14" s="131">
        <f t="shared" si="0"/>
        <v>1216.0804906140202</v>
      </c>
      <c r="AC14" s="131">
        <f t="shared" si="0"/>
        <v>1288.6693038827873</v>
      </c>
      <c r="AD14" s="131">
        <f t="shared" si="0"/>
        <v>1255.5164991583772</v>
      </c>
      <c r="AE14" s="131">
        <f t="shared" si="0"/>
        <v>1214.6380391351065</v>
      </c>
      <c r="AF14" s="131">
        <f t="shared" si="0"/>
        <v>1192.963876402536</v>
      </c>
      <c r="AG14" s="131">
        <f t="shared" si="0"/>
        <v>1182.6045986072843</v>
      </c>
      <c r="AH14" s="131">
        <f t="shared" si="0"/>
        <v>1175.1615087823234</v>
      </c>
      <c r="AI14" s="131">
        <f t="shared" si="0"/>
        <v>1150.9544364555995</v>
      </c>
      <c r="AJ14" s="131">
        <f t="shared" si="0"/>
        <v>1159.4009475080866</v>
      </c>
      <c r="AK14" s="131">
        <f t="shared" si="0"/>
        <v>1184.1512999886077</v>
      </c>
      <c r="AL14" s="131">
        <f t="shared" si="0"/>
        <v>1178.7503690813769</v>
      </c>
      <c r="AM14" s="131">
        <f t="shared" si="0"/>
        <v>1182.7047378182065</v>
      </c>
      <c r="AN14" s="131">
        <f t="shared" si="0"/>
        <v>1131.6513685135631</v>
      </c>
      <c r="AO14" s="131">
        <f t="shared" si="0"/>
        <v>1114.0982430439155</v>
      </c>
      <c r="AP14" s="131">
        <f t="shared" si="0"/>
        <v>1215.5689637586747</v>
      </c>
      <c r="AQ14" s="131">
        <f t="shared" si="0"/>
        <v>1208.6007872783366</v>
      </c>
      <c r="AR14" s="131">
        <f t="shared" si="0"/>
        <v>1183.7337018540397</v>
      </c>
      <c r="AS14" s="131">
        <f t="shared" si="0"/>
        <v>1141.3799221323459</v>
      </c>
      <c r="AT14" s="131">
        <f t="shared" si="0"/>
        <v>1065.2540336039983</v>
      </c>
      <c r="AU14" s="131">
        <f t="shared" si="0"/>
        <v>1084.1103181949243</v>
      </c>
      <c r="AV14" s="131">
        <f t="shared" si="0"/>
        <v>1109.9110895850308</v>
      </c>
      <c r="AW14" s="131">
        <f t="shared" si="0"/>
        <v>1163.3175533108354</v>
      </c>
      <c r="AX14" s="131">
        <f t="shared" si="0"/>
        <v>1118.861746770013</v>
      </c>
      <c r="AY14" s="131">
        <f t="shared" si="0"/>
        <v>1071.4049550772042</v>
      </c>
      <c r="AZ14" s="125">
        <f t="shared" si="0"/>
        <v>1092.0263200527177</v>
      </c>
      <c r="BA14" s="122">
        <f>SUM($E14:$AZ14)</f>
        <v>62462.350356244708</v>
      </c>
    </row>
    <row r="15" spans="1:53" x14ac:dyDescent="0.2">
      <c r="A15" s="136" t="s">
        <v>123</v>
      </c>
      <c r="B15" s="137">
        <v>1</v>
      </c>
      <c r="C15" s="138" t="s">
        <v>293</v>
      </c>
      <c r="D15" s="138">
        <v>2826.373588694978</v>
      </c>
      <c r="E15" s="138">
        <v>1876.3735886949778</v>
      </c>
      <c r="F15" s="138">
        <v>1876.3735886949778</v>
      </c>
      <c r="G15" s="138">
        <v>1876.3735886949778</v>
      </c>
      <c r="H15" s="138">
        <v>1876.3735886949778</v>
      </c>
      <c r="I15" s="138">
        <v>1876.3735886949778</v>
      </c>
      <c r="J15" s="138">
        <v>1876.3735886949778</v>
      </c>
      <c r="K15" s="138">
        <v>1876.3735886949778</v>
      </c>
      <c r="L15" s="138">
        <v>1876.3735886949778</v>
      </c>
      <c r="M15" s="138">
        <v>1876.3735886949778</v>
      </c>
      <c r="N15" s="138">
        <v>1876.3735886949778</v>
      </c>
      <c r="O15" s="138">
        <v>1876.3735886949778</v>
      </c>
      <c r="P15" s="138">
        <v>1876.3735886949778</v>
      </c>
      <c r="Q15" s="138">
        <v>1876.3735886949778</v>
      </c>
      <c r="R15" s="138">
        <v>1876.3735886949778</v>
      </c>
      <c r="S15" s="138">
        <v>1876.3735886949778</v>
      </c>
      <c r="T15" s="138">
        <v>1876.3735886949778</v>
      </c>
      <c r="U15" s="138">
        <v>1876.3735886949778</v>
      </c>
      <c r="V15" s="138">
        <v>1876.3735886949778</v>
      </c>
      <c r="W15" s="138">
        <v>1876.3735886949778</v>
      </c>
      <c r="X15" s="138">
        <v>1876.3735886949778</v>
      </c>
      <c r="Y15" s="138">
        <v>1876.3735886949778</v>
      </c>
      <c r="Z15" s="138">
        <v>1876.3735886949778</v>
      </c>
      <c r="AA15" s="138">
        <v>1876.3735886949778</v>
      </c>
      <c r="AB15" s="138">
        <v>1876.3735886949778</v>
      </c>
      <c r="AC15" s="138">
        <v>1876.3735886949778</v>
      </c>
      <c r="AD15" s="138">
        <v>1876.3735886949778</v>
      </c>
      <c r="AE15" s="138">
        <v>1876.3735886949778</v>
      </c>
      <c r="AF15" s="138">
        <v>1876.3735886949778</v>
      </c>
      <c r="AG15" s="138">
        <v>1876.3735886949778</v>
      </c>
      <c r="AH15" s="138">
        <v>1876.3735886949778</v>
      </c>
      <c r="AI15" s="138">
        <v>1876.3735886949778</v>
      </c>
      <c r="AJ15" s="138">
        <v>1876.3735886949778</v>
      </c>
      <c r="AK15" s="138">
        <v>1876.3735886949778</v>
      </c>
      <c r="AL15" s="138">
        <v>1876.3735886949778</v>
      </c>
      <c r="AM15" s="138">
        <v>1876.3735886949778</v>
      </c>
      <c r="AN15" s="138">
        <v>1876.3735886949778</v>
      </c>
      <c r="AO15" s="138">
        <v>1876.3735886949778</v>
      </c>
      <c r="AP15" s="138">
        <v>1876.3735886949778</v>
      </c>
      <c r="AQ15" s="138">
        <v>1876.3735886949778</v>
      </c>
      <c r="AR15" s="138">
        <v>1876.3735886949778</v>
      </c>
      <c r="AS15" s="138">
        <v>1876.3735886949778</v>
      </c>
      <c r="AT15" s="138">
        <v>1876.3735886949778</v>
      </c>
      <c r="AU15" s="138">
        <v>1876.3735886949778</v>
      </c>
      <c r="AV15" s="138">
        <v>1876.3735886949778</v>
      </c>
      <c r="AW15" s="138">
        <v>1876.3735886949778</v>
      </c>
      <c r="AX15" s="138">
        <v>1876.3735886949778</v>
      </c>
      <c r="AY15" s="138">
        <v>1876.3735886949778</v>
      </c>
      <c r="AZ15">
        <v>0</v>
      </c>
    </row>
    <row r="16" spans="1:53" x14ac:dyDescent="0.2">
      <c r="A16" s="125"/>
      <c r="B16" s="133">
        <v>2</v>
      </c>
      <c r="C16" s="124" t="s">
        <v>293</v>
      </c>
      <c r="D16" s="121">
        <v>580.59476168156209</v>
      </c>
      <c r="E16" s="125">
        <v>0</v>
      </c>
      <c r="F16" s="125">
        <v>0</v>
      </c>
      <c r="G16" s="125"/>
      <c r="H16" s="125">
        <v>0</v>
      </c>
      <c r="I16" s="125">
        <v>0</v>
      </c>
      <c r="J16" s="125">
        <v>0</v>
      </c>
      <c r="K16" s="125">
        <v>0</v>
      </c>
      <c r="L16" s="125">
        <v>0</v>
      </c>
      <c r="M16" s="125">
        <v>0</v>
      </c>
      <c r="N16" s="125">
        <v>0</v>
      </c>
      <c r="O16" s="125">
        <v>0</v>
      </c>
      <c r="P16" s="125">
        <v>0</v>
      </c>
      <c r="Q16" s="125">
        <v>0</v>
      </c>
      <c r="R16" s="125">
        <v>0</v>
      </c>
      <c r="S16" s="125">
        <v>0</v>
      </c>
      <c r="T16" s="125">
        <v>0</v>
      </c>
      <c r="U16" s="125">
        <v>0</v>
      </c>
      <c r="V16" s="125">
        <v>0</v>
      </c>
      <c r="W16" s="125">
        <v>0</v>
      </c>
      <c r="X16" s="125">
        <v>0</v>
      </c>
      <c r="Y16" s="125">
        <v>0</v>
      </c>
      <c r="Z16" s="125"/>
      <c r="AA16" s="125">
        <v>0</v>
      </c>
      <c r="AB16" s="125">
        <v>0</v>
      </c>
      <c r="AC16" s="125">
        <v>0</v>
      </c>
      <c r="AD16" s="125">
        <v>0</v>
      </c>
      <c r="AE16" s="125">
        <v>0</v>
      </c>
      <c r="AF16" s="125">
        <v>0</v>
      </c>
      <c r="AG16" s="125"/>
      <c r="AH16" s="125">
        <v>0</v>
      </c>
      <c r="AI16" s="125"/>
      <c r="AJ16" s="125">
        <v>0</v>
      </c>
      <c r="AK16" s="125"/>
      <c r="AL16" s="125">
        <v>0</v>
      </c>
      <c r="AM16" s="125">
        <v>0</v>
      </c>
      <c r="AN16" s="125">
        <v>0</v>
      </c>
      <c r="AO16" s="125">
        <v>0</v>
      </c>
      <c r="AP16" s="125">
        <v>0</v>
      </c>
      <c r="AQ16" s="125">
        <v>0</v>
      </c>
      <c r="AR16" s="125">
        <v>0</v>
      </c>
      <c r="AS16" s="125">
        <v>0</v>
      </c>
      <c r="AT16" s="125">
        <v>0</v>
      </c>
      <c r="AU16" s="125">
        <v>0</v>
      </c>
      <c r="AV16" s="125">
        <v>0</v>
      </c>
      <c r="AW16" s="125"/>
      <c r="AX16" s="125"/>
      <c r="AY16" s="125">
        <v>0</v>
      </c>
      <c r="AZ16">
        <v>0</v>
      </c>
      <c r="BA16">
        <v>0</v>
      </c>
    </row>
    <row r="17" spans="1:53" x14ac:dyDescent="0.2">
      <c r="A17" s="125"/>
      <c r="B17" s="133">
        <v>3</v>
      </c>
      <c r="C17" s="124" t="s">
        <v>293</v>
      </c>
      <c r="D17" s="121"/>
      <c r="E17" s="125"/>
      <c r="F17" s="125">
        <v>76.59476168156209</v>
      </c>
      <c r="G17" s="125">
        <v>0</v>
      </c>
      <c r="H17" s="125"/>
      <c r="I17" s="125"/>
      <c r="J17" s="125"/>
      <c r="K17" s="125"/>
      <c r="L17" s="125"/>
      <c r="M17" s="125">
        <v>0</v>
      </c>
      <c r="N17" s="125"/>
      <c r="O17" s="125"/>
      <c r="P17" s="125"/>
      <c r="Q17" s="125">
        <v>0</v>
      </c>
      <c r="R17" s="125"/>
      <c r="S17" s="125"/>
      <c r="T17" s="125">
        <v>0</v>
      </c>
      <c r="U17" s="125"/>
      <c r="V17" s="125"/>
      <c r="W17" s="125"/>
      <c r="X17" s="125">
        <v>0</v>
      </c>
      <c r="Y17" s="125">
        <v>0</v>
      </c>
      <c r="Z17" s="125">
        <v>0</v>
      </c>
      <c r="AA17" s="125"/>
      <c r="AB17" s="125"/>
      <c r="AC17" s="125">
        <v>0</v>
      </c>
      <c r="AD17" s="125">
        <v>0</v>
      </c>
      <c r="AE17" s="125">
        <v>0</v>
      </c>
      <c r="AF17" s="125"/>
      <c r="AG17" s="125"/>
      <c r="AH17" s="125">
        <v>0</v>
      </c>
      <c r="AI17" s="125"/>
      <c r="AJ17" s="125">
        <v>0</v>
      </c>
      <c r="AK17" s="125"/>
      <c r="AL17" s="125">
        <v>0</v>
      </c>
      <c r="AM17" s="125">
        <v>0</v>
      </c>
      <c r="AN17" s="125">
        <v>0</v>
      </c>
      <c r="AO17" s="125">
        <v>0</v>
      </c>
      <c r="AP17" s="125"/>
      <c r="AQ17" s="125"/>
      <c r="AR17" s="125">
        <v>0</v>
      </c>
      <c r="AS17" s="125"/>
      <c r="AT17" s="125"/>
      <c r="AU17" s="125"/>
      <c r="AV17" s="125"/>
      <c r="AW17" s="125"/>
      <c r="AX17" s="125">
        <v>0</v>
      </c>
      <c r="AY17" s="125">
        <v>0</v>
      </c>
      <c r="BA17">
        <v>0</v>
      </c>
    </row>
    <row r="18" spans="1:53" x14ac:dyDescent="0.2">
      <c r="A18" s="139"/>
      <c r="B18" s="130">
        <v>4</v>
      </c>
      <c r="C18" s="139" t="s">
        <v>293</v>
      </c>
      <c r="D18" s="139"/>
      <c r="E18" s="139"/>
      <c r="F18" s="139">
        <v>0</v>
      </c>
      <c r="G18" s="139"/>
      <c r="H18" s="139"/>
      <c r="I18" s="139">
        <v>0</v>
      </c>
      <c r="J18" s="139"/>
      <c r="K18" s="139"/>
      <c r="L18" s="139"/>
      <c r="M18" s="139"/>
      <c r="N18" s="139"/>
      <c r="O18" s="139"/>
      <c r="P18" s="139"/>
      <c r="Q18" s="139"/>
      <c r="R18" s="139"/>
      <c r="S18" s="139">
        <v>0</v>
      </c>
      <c r="T18" s="139"/>
      <c r="U18" s="139"/>
      <c r="V18" s="139"/>
      <c r="W18" s="139"/>
      <c r="X18" s="139"/>
      <c r="Y18" s="139"/>
      <c r="Z18" s="139"/>
      <c r="AA18" s="139"/>
      <c r="AB18" s="139">
        <v>0</v>
      </c>
      <c r="AC18" s="139"/>
      <c r="AD18" s="139"/>
      <c r="AE18" s="139"/>
      <c r="AF18" s="139"/>
      <c r="AG18" s="139"/>
      <c r="AH18" s="139">
        <v>0</v>
      </c>
      <c r="AI18" s="139"/>
      <c r="AJ18" s="139">
        <v>0</v>
      </c>
      <c r="AK18" s="139"/>
      <c r="AL18" s="139"/>
      <c r="AM18" s="139"/>
      <c r="AN18" s="139"/>
      <c r="AO18" s="139"/>
      <c r="AP18" s="139"/>
      <c r="AQ18" s="139"/>
      <c r="AR18" s="139"/>
      <c r="AS18" s="139"/>
      <c r="AT18" s="139">
        <v>0</v>
      </c>
      <c r="AU18" s="139"/>
      <c r="AV18" s="139"/>
      <c r="AW18" s="139"/>
      <c r="AX18" s="139"/>
      <c r="AY18" s="139">
        <v>0</v>
      </c>
    </row>
    <row r="20" spans="1:53" x14ac:dyDescent="0.2">
      <c r="A20" s="1" t="s">
        <v>294</v>
      </c>
    </row>
    <row r="21" spans="1:53" x14ac:dyDescent="0.2">
      <c r="A21" s="140" t="s">
        <v>125</v>
      </c>
      <c r="B21" s="137">
        <v>1</v>
      </c>
      <c r="C21" s="138" t="s">
        <v>293</v>
      </c>
      <c r="D21" s="138">
        <v>7608.5840784748398</v>
      </c>
      <c r="E21" s="138">
        <v>6027.9576671698087</v>
      </c>
      <c r="F21" s="138">
        <v>6561.3308070271696</v>
      </c>
      <c r="G21" s="138">
        <v>4782.0794211860757</v>
      </c>
      <c r="H21" s="138">
        <v>4516.9230277179404</v>
      </c>
      <c r="I21" s="138">
        <v>3898.7382897208349</v>
      </c>
      <c r="J21" s="138">
        <v>2660.2798858131628</v>
      </c>
      <c r="K21" s="138">
        <v>1019.0401883612681</v>
      </c>
      <c r="L21" s="138"/>
      <c r="M21" s="138"/>
      <c r="N21" s="138"/>
      <c r="O21" s="138"/>
      <c r="P21" s="138"/>
      <c r="Q21" s="138"/>
      <c r="R21" s="138"/>
      <c r="S21" s="138"/>
      <c r="T21" s="138"/>
      <c r="U21" s="138"/>
      <c r="V21" s="138"/>
      <c r="W21" s="138"/>
      <c r="X21" s="138"/>
      <c r="Y21" s="138"/>
      <c r="Z21" s="138"/>
      <c r="AA21" s="138"/>
      <c r="AB21" s="138"/>
      <c r="AC21" s="138"/>
      <c r="AD21" s="138"/>
      <c r="AE21" s="138"/>
      <c r="AF21" s="138"/>
      <c r="AG21" s="138"/>
      <c r="AH21" s="138"/>
      <c r="AI21" s="138"/>
      <c r="AJ21" s="138"/>
      <c r="AK21" s="138"/>
      <c r="AL21" s="138"/>
      <c r="AM21" s="138"/>
      <c r="AN21" s="138"/>
      <c r="AO21" s="138"/>
      <c r="AP21" s="138"/>
      <c r="AQ21" s="138"/>
      <c r="AR21" s="138"/>
      <c r="AS21" s="138"/>
      <c r="AT21" s="138"/>
      <c r="AU21" s="138"/>
      <c r="AV21" s="138"/>
      <c r="AW21" s="138"/>
      <c r="AX21" s="138"/>
      <c r="AY21" s="138"/>
    </row>
    <row r="22" spans="1:53" x14ac:dyDescent="0.2">
      <c r="A22" s="124"/>
      <c r="B22" s="134">
        <v>2</v>
      </c>
      <c r="C22" s="125" t="s">
        <v>293</v>
      </c>
      <c r="D22" s="125">
        <v>0</v>
      </c>
      <c r="E22" s="125">
        <v>0</v>
      </c>
      <c r="F22" s="125">
        <v>489.62641130503107</v>
      </c>
      <c r="G22" s="125">
        <v>0</v>
      </c>
      <c r="H22" s="125">
        <v>1589.5046572887641</v>
      </c>
      <c r="I22" s="125">
        <v>1530.0717066859097</v>
      </c>
      <c r="J22" s="125">
        <v>2222.2564446830152</v>
      </c>
      <c r="K22" s="125">
        <v>3353.7148485906873</v>
      </c>
      <c r="L22" s="125">
        <v>4900.6682289691389</v>
      </c>
      <c r="M22" s="125">
        <v>4683.0050984787977</v>
      </c>
      <c r="N22" s="125">
        <v>4075.0788974606212</v>
      </c>
      <c r="O22" s="125">
        <v>3665.355784011444</v>
      </c>
      <c r="P22" s="125">
        <v>2410.9299668776575</v>
      </c>
      <c r="Q22" s="125">
        <v>2601.6305704740257</v>
      </c>
      <c r="R22" s="125">
        <v>1984.4078462545369</v>
      </c>
      <c r="S22" s="125">
        <v>2604.0121023227548</v>
      </c>
      <c r="T22" s="125">
        <v>1891.6152894666673</v>
      </c>
      <c r="U22" s="125">
        <v>878.50961570079198</v>
      </c>
      <c r="V22" s="125">
        <v>2004.4682850257516</v>
      </c>
      <c r="W22" s="125">
        <v>746.69013747208544</v>
      </c>
      <c r="X22" s="125">
        <v>1744.9498142421448</v>
      </c>
      <c r="Y22" s="125">
        <v>2435.467738168064</v>
      </c>
      <c r="Z22" s="125">
        <v>1566.1722211713254</v>
      </c>
      <c r="AA22" s="125">
        <v>299.76955110313276</v>
      </c>
      <c r="AB22" s="125">
        <v>1466.2285625783015</v>
      </c>
      <c r="AC22" s="125">
        <v>1254.9569487034732</v>
      </c>
      <c r="AD22" s="125">
        <v>1086.723792680116</v>
      </c>
      <c r="AE22" s="125">
        <v>1766.7225451343018</v>
      </c>
      <c r="AF22" s="125">
        <v>2195.0609065390299</v>
      </c>
      <c r="AG22" s="125">
        <v>309.98434753475317</v>
      </c>
      <c r="AH22" s="125">
        <v>2343.9190814100275</v>
      </c>
      <c r="AI22" s="125">
        <v>2088.1273484580447</v>
      </c>
      <c r="AJ22" s="125">
        <v>1366.5861629346368</v>
      </c>
      <c r="AK22" s="125">
        <v>1176.0645472839735</v>
      </c>
      <c r="AL22" s="125">
        <v>1340.5836795910952</v>
      </c>
      <c r="AM22" s="125">
        <v>54.815150543392321</v>
      </c>
      <c r="AN22" s="125">
        <v>1262.1473405974291</v>
      </c>
      <c r="AO22" s="125">
        <v>2020.7685083428478</v>
      </c>
      <c r="AP22" s="125">
        <v>2228.4943438670675</v>
      </c>
      <c r="AQ22" s="125"/>
      <c r="AR22" s="125">
        <v>1643.3352280088573</v>
      </c>
      <c r="AS22" s="125">
        <v>1157.0883545062572</v>
      </c>
      <c r="AT22" s="125">
        <v>472.98699078247967</v>
      </c>
      <c r="AU22" s="125">
        <v>1140.4659227930574</v>
      </c>
      <c r="AV22" s="125">
        <v>286.72392249850094</v>
      </c>
      <c r="AW22" s="125">
        <v>20.794374344769494</v>
      </c>
      <c r="AX22" s="125">
        <v>513.00611310817976</v>
      </c>
      <c r="AY22" s="125"/>
    </row>
    <row r="23" spans="1:53" x14ac:dyDescent="0.2">
      <c r="A23" s="124"/>
      <c r="B23" s="141">
        <v>3</v>
      </c>
      <c r="C23" s="125" t="s">
        <v>293</v>
      </c>
      <c r="D23" s="125">
        <v>0</v>
      </c>
      <c r="E23" s="125">
        <v>0</v>
      </c>
      <c r="F23" s="125">
        <v>0</v>
      </c>
      <c r="G23" s="125">
        <v>0</v>
      </c>
      <c r="H23" s="125">
        <v>0</v>
      </c>
      <c r="I23" s="125">
        <v>0</v>
      </c>
      <c r="J23" s="125">
        <v>0</v>
      </c>
      <c r="K23" s="125">
        <v>0</v>
      </c>
      <c r="L23" s="125">
        <v>0</v>
      </c>
      <c r="M23" s="125">
        <v>0</v>
      </c>
      <c r="N23" s="125">
        <v>450.86529706948477</v>
      </c>
      <c r="O23" s="125">
        <v>2326.5051810142186</v>
      </c>
      <c r="P23" s="125">
        <v>2855.2282944633957</v>
      </c>
      <c r="Q23" s="125">
        <v>4041.6541115971822</v>
      </c>
      <c r="R23" s="125">
        <v>3647.8642655433687</v>
      </c>
      <c r="S23" s="125">
        <v>4213.0869897628581</v>
      </c>
      <c r="T23" s="125">
        <v>3424.48273369464</v>
      </c>
      <c r="U23" s="125">
        <v>4338.8795465507274</v>
      </c>
      <c r="V23" s="125">
        <v>5461.0744627740478</v>
      </c>
      <c r="W23" s="125">
        <v>4517.1157934490884</v>
      </c>
      <c r="X23" s="125">
        <v>5572.8939410027542</v>
      </c>
      <c r="Y23" s="125">
        <v>4595.6342642326945</v>
      </c>
      <c r="Z23" s="125">
        <v>4180.1163403067758</v>
      </c>
      <c r="AA23" s="125">
        <v>4702.4118573035139</v>
      </c>
      <c r="AB23" s="125">
        <v>6073.8145273717073</v>
      </c>
      <c r="AC23" s="125">
        <v>4893.3555158965382</v>
      </c>
      <c r="AD23" s="125">
        <v>5172.5378873139216</v>
      </c>
      <c r="AE23" s="125">
        <v>4758.703538961613</v>
      </c>
      <c r="AF23" s="125">
        <v>4171.0410814040524</v>
      </c>
      <c r="AG23" s="125">
        <v>3737.0376365355496</v>
      </c>
      <c r="AH23" s="125">
        <v>5871.5997309400864</v>
      </c>
      <c r="AI23" s="125">
        <v>3953.6649970648123</v>
      </c>
      <c r="AJ23" s="125">
        <v>4264.4567300167946</v>
      </c>
      <c r="AK23" s="125">
        <v>4995.9979155402034</v>
      </c>
      <c r="AL23" s="125">
        <v>5122.5195311908665</v>
      </c>
      <c r="AM23" s="125">
        <v>5083.0003988837443</v>
      </c>
      <c r="AN23" s="125">
        <v>6265.7689279314473</v>
      </c>
      <c r="AO23" s="125">
        <v>5269.4367378774105</v>
      </c>
      <c r="AP23" s="125">
        <v>4415.7119652750634</v>
      </c>
      <c r="AQ23" s="125">
        <v>4433.5670641632751</v>
      </c>
      <c r="AR23" s="125">
        <v>6356.8995392054794</v>
      </c>
      <c r="AS23" s="125">
        <v>4680.1452456090537</v>
      </c>
      <c r="AT23" s="125">
        <v>5288.3028766542084</v>
      </c>
      <c r="AU23" s="125">
        <v>5905.4042403779858</v>
      </c>
      <c r="AV23" s="125">
        <v>5109.9253083674084</v>
      </c>
      <c r="AW23" s="125">
        <v>5775.6673086619649</v>
      </c>
      <c r="AX23" s="125">
        <v>6030.2896025165255</v>
      </c>
      <c r="AY23" s="125">
        <v>3719.1957267333792</v>
      </c>
    </row>
    <row r="24" spans="1:53" x14ac:dyDescent="0.2">
      <c r="A24" s="142"/>
      <c r="B24" s="143">
        <v>4</v>
      </c>
      <c r="C24" s="142" t="s">
        <v>293</v>
      </c>
      <c r="D24" s="139">
        <v>0</v>
      </c>
      <c r="E24" s="139">
        <v>0</v>
      </c>
      <c r="F24" s="139">
        <v>0</v>
      </c>
      <c r="G24" s="139">
        <v>0</v>
      </c>
      <c r="H24" s="139">
        <v>0</v>
      </c>
      <c r="I24" s="139">
        <v>0</v>
      </c>
      <c r="J24" s="139">
        <v>0</v>
      </c>
      <c r="K24" s="139">
        <v>0</v>
      </c>
      <c r="L24" s="139">
        <v>0</v>
      </c>
      <c r="M24" s="139">
        <v>0</v>
      </c>
      <c r="N24" s="139">
        <v>0</v>
      </c>
      <c r="O24" s="139">
        <v>0</v>
      </c>
      <c r="P24" s="139">
        <v>0</v>
      </c>
      <c r="Q24" s="139">
        <v>0</v>
      </c>
      <c r="R24" s="139">
        <v>0</v>
      </c>
      <c r="S24" s="139">
        <v>0</v>
      </c>
      <c r="T24" s="139">
        <v>0</v>
      </c>
      <c r="U24" s="139">
        <v>0</v>
      </c>
      <c r="V24" s="139">
        <v>0</v>
      </c>
      <c r="W24" s="139">
        <v>0</v>
      </c>
      <c r="X24" s="139">
        <v>0</v>
      </c>
      <c r="Y24" s="139">
        <v>0</v>
      </c>
      <c r="Z24" s="139">
        <v>0</v>
      </c>
      <c r="AA24" s="139">
        <v>0</v>
      </c>
      <c r="AB24" s="139">
        <v>0</v>
      </c>
      <c r="AC24" s="139">
        <v>0</v>
      </c>
      <c r="AD24" s="139">
        <v>0</v>
      </c>
      <c r="AE24" s="139">
        <v>0</v>
      </c>
      <c r="AF24" s="139">
        <v>0</v>
      </c>
      <c r="AG24" s="139">
        <v>0</v>
      </c>
      <c r="AH24" s="139">
        <v>0</v>
      </c>
      <c r="AI24" s="139">
        <v>0</v>
      </c>
      <c r="AJ24" s="139">
        <v>0</v>
      </c>
      <c r="AK24" s="139">
        <v>0</v>
      </c>
      <c r="AL24" s="139">
        <v>0</v>
      </c>
      <c r="AM24" s="139">
        <v>0</v>
      </c>
      <c r="AN24" s="139">
        <v>0</v>
      </c>
      <c r="AO24" s="139">
        <v>0</v>
      </c>
      <c r="AP24" s="139">
        <v>0</v>
      </c>
      <c r="AQ24" s="139">
        <v>0</v>
      </c>
      <c r="AR24" s="139">
        <v>0</v>
      </c>
      <c r="AS24" s="139">
        <v>0</v>
      </c>
      <c r="AT24" s="139">
        <v>0</v>
      </c>
      <c r="AU24" s="139">
        <v>0</v>
      </c>
      <c r="AV24" s="139">
        <v>0</v>
      </c>
      <c r="AW24" s="139">
        <v>0</v>
      </c>
      <c r="AX24" s="139">
        <v>0</v>
      </c>
      <c r="AY24" s="139">
        <v>0</v>
      </c>
    </row>
    <row r="25" spans="1:53" x14ac:dyDescent="0.2">
      <c r="A25" s="140" t="s">
        <v>133</v>
      </c>
      <c r="B25" s="137">
        <v>1</v>
      </c>
      <c r="C25" s="124" t="s">
        <v>293</v>
      </c>
      <c r="D25" s="125"/>
      <c r="E25" s="125"/>
      <c r="F25" s="125"/>
      <c r="G25" s="125"/>
      <c r="H25" s="125"/>
      <c r="I25" s="125"/>
      <c r="J25" s="125"/>
      <c r="K25" s="125"/>
      <c r="L25" s="125"/>
      <c r="M25" s="125"/>
      <c r="N25" s="125"/>
      <c r="O25" s="125"/>
      <c r="P25" s="125"/>
      <c r="Q25" s="125"/>
      <c r="R25" s="125"/>
      <c r="S25" s="125"/>
      <c r="T25" s="125"/>
      <c r="U25" s="125"/>
      <c r="V25" s="125"/>
      <c r="W25" s="125"/>
      <c r="X25" s="125"/>
      <c r="Y25" s="125"/>
      <c r="Z25" s="125"/>
      <c r="AA25" s="125"/>
      <c r="AB25" s="125"/>
      <c r="AC25" s="125"/>
      <c r="AD25" s="125"/>
      <c r="AE25" s="125"/>
      <c r="AF25" s="125"/>
      <c r="AG25" s="125"/>
      <c r="AH25" s="125"/>
      <c r="AI25" s="125"/>
      <c r="AJ25" s="125"/>
      <c r="AK25" s="125"/>
      <c r="AL25" s="125"/>
      <c r="AM25" s="125"/>
      <c r="AN25" s="125"/>
      <c r="AO25" s="125"/>
      <c r="AP25" s="125"/>
      <c r="AQ25" s="125"/>
      <c r="AR25" s="125"/>
      <c r="AS25" s="125"/>
      <c r="AT25" s="125"/>
      <c r="AU25" s="125"/>
      <c r="AV25" s="125"/>
      <c r="AW25" s="125"/>
      <c r="AX25" s="125"/>
      <c r="AY25" s="125"/>
    </row>
    <row r="26" spans="1:53" x14ac:dyDescent="0.2">
      <c r="A26" s="124"/>
      <c r="B26" s="133">
        <v>2</v>
      </c>
      <c r="C26" s="124" t="s">
        <v>293</v>
      </c>
      <c r="D26" s="125"/>
      <c r="E26" s="125"/>
      <c r="F26" s="125"/>
      <c r="G26" s="125"/>
      <c r="H26" s="125"/>
      <c r="I26" s="125"/>
      <c r="J26" s="125"/>
      <c r="K26" s="125"/>
      <c r="L26" s="125"/>
      <c r="M26" s="125"/>
      <c r="N26" s="125"/>
      <c r="O26" s="125"/>
      <c r="P26" s="125"/>
      <c r="Q26" s="125"/>
      <c r="R26" s="125"/>
      <c r="S26" s="125"/>
      <c r="T26" s="125"/>
      <c r="U26" s="125"/>
      <c r="V26" s="125"/>
      <c r="W26" s="125"/>
      <c r="X26" s="125"/>
      <c r="Y26" s="125"/>
      <c r="Z26" s="125"/>
      <c r="AA26" s="125"/>
      <c r="AB26" s="125"/>
      <c r="AC26" s="125"/>
      <c r="AD26" s="125"/>
      <c r="AE26" s="125"/>
      <c r="AF26" s="125"/>
      <c r="AG26" s="125"/>
      <c r="AH26" s="125"/>
      <c r="AI26" s="125"/>
      <c r="AJ26" s="125"/>
      <c r="AK26" s="125"/>
      <c r="AL26" s="125"/>
      <c r="AM26" s="125"/>
      <c r="AN26" s="125"/>
      <c r="AO26" s="125"/>
      <c r="AP26" s="125"/>
      <c r="AQ26" s="125"/>
      <c r="AR26" s="125"/>
      <c r="AS26" s="125"/>
      <c r="AT26" s="125"/>
      <c r="AU26" s="125"/>
      <c r="AV26" s="125"/>
      <c r="AW26" s="125"/>
      <c r="AX26" s="125"/>
      <c r="AY26" s="125"/>
    </row>
    <row r="27" spans="1:53" x14ac:dyDescent="0.2">
      <c r="A27" s="124"/>
      <c r="B27" s="134">
        <v>3</v>
      </c>
      <c r="C27" s="124" t="s">
        <v>293</v>
      </c>
      <c r="D27" s="125">
        <v>0</v>
      </c>
      <c r="E27" s="125"/>
      <c r="F27" s="125"/>
      <c r="G27" s="125"/>
      <c r="H27" s="125"/>
      <c r="I27" s="125"/>
      <c r="J27" s="125"/>
      <c r="K27" s="125"/>
      <c r="L27" s="125"/>
      <c r="M27" s="125"/>
      <c r="N27" s="125"/>
      <c r="O27" s="125"/>
      <c r="P27" s="125"/>
      <c r="Q27" s="125"/>
      <c r="R27" s="125"/>
      <c r="S27" s="125"/>
      <c r="T27" s="125"/>
      <c r="U27" s="125"/>
      <c r="V27" s="125"/>
      <c r="W27" s="125"/>
      <c r="X27" s="125"/>
      <c r="Y27" s="125"/>
      <c r="Z27" s="125"/>
      <c r="AA27" s="125"/>
      <c r="AB27" s="125"/>
      <c r="AC27" s="125"/>
      <c r="AD27" s="125"/>
      <c r="AE27" s="125"/>
      <c r="AF27" s="125"/>
      <c r="AG27" s="125"/>
      <c r="AH27" s="125"/>
      <c r="AI27" s="125"/>
      <c r="AJ27" s="125"/>
      <c r="AK27" s="125"/>
      <c r="AL27" s="125"/>
      <c r="AM27" s="125"/>
      <c r="AN27" s="125"/>
      <c r="AO27" s="125"/>
      <c r="AP27" s="125"/>
      <c r="AQ27" s="125"/>
      <c r="AR27" s="125"/>
      <c r="AS27" s="125"/>
      <c r="AT27" s="125"/>
      <c r="AU27" s="125"/>
      <c r="AV27" s="125"/>
      <c r="AW27" s="125"/>
      <c r="AX27" s="125"/>
      <c r="AY27" s="125"/>
    </row>
    <row r="28" spans="1:53" x14ac:dyDescent="0.2">
      <c r="A28" s="124"/>
      <c r="B28" s="134">
        <v>4</v>
      </c>
      <c r="C28" s="124" t="s">
        <v>293</v>
      </c>
      <c r="D28" s="125">
        <v>0</v>
      </c>
      <c r="E28" s="125"/>
      <c r="F28" s="125"/>
      <c r="G28" s="125"/>
      <c r="H28" s="125"/>
      <c r="I28" s="125"/>
      <c r="J28" s="125"/>
      <c r="K28" s="125"/>
      <c r="L28" s="125"/>
      <c r="M28" s="125"/>
      <c r="N28" s="125"/>
      <c r="O28" s="125"/>
      <c r="P28" s="125"/>
      <c r="Q28" s="125"/>
      <c r="R28" s="125"/>
      <c r="S28" s="125"/>
      <c r="T28" s="125"/>
      <c r="U28" s="125"/>
      <c r="V28" s="125"/>
      <c r="W28" s="125"/>
      <c r="X28" s="125"/>
      <c r="Y28" s="125"/>
      <c r="Z28" s="125"/>
      <c r="AA28" s="125"/>
      <c r="AB28" s="125"/>
      <c r="AC28" s="125"/>
      <c r="AD28" s="125"/>
      <c r="AE28" s="125"/>
      <c r="AF28" s="125"/>
      <c r="AG28" s="125"/>
      <c r="AH28" s="125"/>
      <c r="AI28" s="125"/>
      <c r="AJ28" s="125"/>
      <c r="AK28" s="125"/>
      <c r="AL28" s="125"/>
      <c r="AM28" s="125"/>
      <c r="AN28" s="125"/>
      <c r="AO28" s="125"/>
      <c r="AP28" s="125"/>
      <c r="AQ28" s="125"/>
      <c r="AR28" s="125"/>
      <c r="AS28" s="125"/>
      <c r="AT28" s="125"/>
      <c r="AU28" s="125"/>
      <c r="AV28" s="125"/>
      <c r="AW28" s="125"/>
      <c r="AX28" s="125"/>
      <c r="AY28" s="125"/>
    </row>
    <row r="29" spans="1:53" x14ac:dyDescent="0.2">
      <c r="A29" s="124"/>
      <c r="B29" s="141">
        <v>5</v>
      </c>
      <c r="C29" s="124" t="s">
        <v>293</v>
      </c>
      <c r="D29" s="125">
        <v>0</v>
      </c>
      <c r="E29" s="125">
        <v>0</v>
      </c>
      <c r="F29" s="125">
        <v>0</v>
      </c>
      <c r="G29" s="125">
        <v>0</v>
      </c>
      <c r="H29" s="125">
        <v>0</v>
      </c>
      <c r="I29" s="125">
        <v>0</v>
      </c>
      <c r="J29" s="125">
        <v>0</v>
      </c>
      <c r="K29" s="125">
        <v>0</v>
      </c>
      <c r="L29" s="125"/>
      <c r="M29" s="125"/>
      <c r="N29" s="125"/>
      <c r="O29" s="125"/>
      <c r="P29" s="125"/>
      <c r="Q29" s="125"/>
      <c r="R29" s="125"/>
      <c r="S29" s="125"/>
      <c r="T29" s="125"/>
      <c r="U29" s="125"/>
      <c r="V29" s="125"/>
      <c r="W29" s="125"/>
      <c r="X29" s="125"/>
      <c r="Y29" s="125"/>
      <c r="Z29" s="125"/>
      <c r="AA29" s="125"/>
      <c r="AB29" s="125"/>
      <c r="AC29" s="125"/>
      <c r="AD29" s="125"/>
      <c r="AE29" s="125"/>
      <c r="AF29" s="125"/>
      <c r="AG29" s="125"/>
      <c r="AH29" s="125"/>
      <c r="AI29" s="125"/>
      <c r="AJ29" s="125"/>
      <c r="AK29" s="125"/>
      <c r="AL29" s="125"/>
      <c r="AM29" s="125"/>
      <c r="AN29" s="125"/>
      <c r="AO29" s="125"/>
      <c r="AP29" s="125"/>
      <c r="AQ29" s="125"/>
      <c r="AR29" s="125"/>
      <c r="AS29" s="125"/>
      <c r="AT29" s="125"/>
      <c r="AU29" s="125"/>
      <c r="AV29" s="125"/>
      <c r="AW29" s="125"/>
      <c r="AX29" s="125"/>
      <c r="AY29" s="125"/>
    </row>
    <row r="30" spans="1:53" x14ac:dyDescent="0.2">
      <c r="A30" s="124"/>
      <c r="B30" s="141">
        <v>6</v>
      </c>
      <c r="C30" s="124" t="s">
        <v>293</v>
      </c>
      <c r="D30" s="125">
        <v>0</v>
      </c>
      <c r="E30" s="125">
        <v>0</v>
      </c>
      <c r="F30" s="125">
        <v>0</v>
      </c>
      <c r="G30" s="125">
        <v>0</v>
      </c>
      <c r="H30" s="125">
        <v>0</v>
      </c>
      <c r="I30" s="125">
        <v>0</v>
      </c>
      <c r="J30" s="125">
        <v>0</v>
      </c>
      <c r="K30" s="125">
        <v>0</v>
      </c>
      <c r="L30" s="125">
        <v>0</v>
      </c>
      <c r="M30" s="125">
        <v>0</v>
      </c>
      <c r="N30" s="125">
        <v>106.39231080428605</v>
      </c>
      <c r="O30" s="125">
        <v>578.13201351128146</v>
      </c>
      <c r="P30" s="125">
        <v>560.79608504922601</v>
      </c>
      <c r="Q30" s="125">
        <v>724.6415764513996</v>
      </c>
      <c r="R30" s="125">
        <v>715.76567954675909</v>
      </c>
      <c r="S30" s="125">
        <v>1055.0964029751467</v>
      </c>
      <c r="T30" s="125">
        <v>766.44670197531104</v>
      </c>
      <c r="U30" s="125">
        <v>346.3139074391438</v>
      </c>
      <c r="V30" s="125">
        <v>790.17375759895378</v>
      </c>
      <c r="W30" s="125">
        <v>294.3498563165428</v>
      </c>
      <c r="X30" s="125">
        <v>687.86997621346654</v>
      </c>
      <c r="Y30" s="125">
        <v>960.07639958970969</v>
      </c>
      <c r="Z30" s="125">
        <v>617.39474667425168</v>
      </c>
      <c r="AA30" s="125">
        <v>118.17100543741996</v>
      </c>
      <c r="AB30" s="125">
        <v>577.99634019977759</v>
      </c>
      <c r="AC30" s="125">
        <v>508.48479593647619</v>
      </c>
      <c r="AD30" s="125">
        <v>451.3603311757725</v>
      </c>
      <c r="AE30" s="125">
        <v>733.75713745660153</v>
      </c>
      <c r="AF30" s="125">
        <v>911.6128166833339</v>
      </c>
      <c r="AG30" s="125">
        <v>122.19774117565998</v>
      </c>
      <c r="AH30" s="125">
        <v>923.98735460254738</v>
      </c>
      <c r="AI30" s="125">
        <v>823.15267624951991</v>
      </c>
      <c r="AJ30" s="125">
        <v>538.71669186071711</v>
      </c>
      <c r="AK30" s="125">
        <v>463.61189620635525</v>
      </c>
      <c r="AL30" s="125">
        <v>528.4663525942085</v>
      </c>
      <c r="AM30" s="125">
        <v>21.608470336894445</v>
      </c>
      <c r="AN30" s="125">
        <v>497.54626412090346</v>
      </c>
      <c r="AO30" s="125">
        <v>784.54583882071711</v>
      </c>
      <c r="AP30" s="125">
        <v>865.19359199147914</v>
      </c>
      <c r="AQ30" s="125"/>
      <c r="AR30" s="125">
        <v>638.01064278219769</v>
      </c>
      <c r="AS30" s="125">
        <v>461.54186252233092</v>
      </c>
      <c r="AT30" s="125">
        <v>188.66605633390091</v>
      </c>
      <c r="AU30" s="125">
        <v>454.91147162548862</v>
      </c>
      <c r="AV30" s="125">
        <v>114.36904770866481</v>
      </c>
      <c r="AW30" s="125">
        <v>8.3649302582025467</v>
      </c>
      <c r="AX30" s="125">
        <v>206.36640886773742</v>
      </c>
      <c r="AY30" s="125"/>
    </row>
    <row r="31" spans="1:53" x14ac:dyDescent="0.2">
      <c r="A31" s="124"/>
      <c r="B31" s="144">
        <v>7</v>
      </c>
      <c r="C31" s="124" t="s">
        <v>293</v>
      </c>
      <c r="D31" s="125">
        <v>0</v>
      </c>
      <c r="E31" s="125">
        <v>0</v>
      </c>
      <c r="F31" s="125">
        <v>0</v>
      </c>
      <c r="G31" s="125">
        <v>0</v>
      </c>
      <c r="H31" s="125">
        <v>0</v>
      </c>
      <c r="I31" s="125">
        <v>0</v>
      </c>
      <c r="J31" s="125">
        <v>0</v>
      </c>
      <c r="K31" s="125">
        <v>0</v>
      </c>
      <c r="L31" s="125">
        <v>0</v>
      </c>
      <c r="M31" s="125">
        <v>0</v>
      </c>
      <c r="N31" s="125">
        <v>0</v>
      </c>
      <c r="O31" s="125">
        <v>0</v>
      </c>
      <c r="P31" s="125">
        <v>0</v>
      </c>
      <c r="Q31" s="125">
        <v>0</v>
      </c>
      <c r="R31" s="125">
        <v>0</v>
      </c>
      <c r="S31" s="125">
        <v>308.27604430749216</v>
      </c>
      <c r="T31" s="125">
        <v>488.25435563204064</v>
      </c>
      <c r="U31" s="125">
        <v>414.9040566318763</v>
      </c>
      <c r="V31" s="125">
        <v>911.03685116804354</v>
      </c>
      <c r="W31" s="125">
        <v>186.17700100823367</v>
      </c>
      <c r="X31" s="125">
        <v>731.00090229064472</v>
      </c>
      <c r="Y31" s="125">
        <v>677.4807823937208</v>
      </c>
      <c r="Z31" s="125">
        <v>129.27435901747776</v>
      </c>
      <c r="AA31" s="125">
        <v>601.95601193293578</v>
      </c>
      <c r="AB31" s="125">
        <v>1178.1797531697675</v>
      </c>
      <c r="AC31" s="125">
        <v>574.35441840740987</v>
      </c>
      <c r="AD31" s="125">
        <v>698.86596267071127</v>
      </c>
      <c r="AE31" s="125">
        <v>833.9904274314149</v>
      </c>
      <c r="AF31" s="125">
        <v>273.59362115058593</v>
      </c>
      <c r="AG31" s="125">
        <v>207.73794192385321</v>
      </c>
      <c r="AH31" s="125">
        <v>1286.1530174315276</v>
      </c>
      <c r="AI31" s="125">
        <v>207.36340400463996</v>
      </c>
      <c r="AJ31" s="125">
        <v>113.19808235766732</v>
      </c>
      <c r="AK31" s="125">
        <v>249.63406674647013</v>
      </c>
      <c r="AL31" s="125">
        <v>456.7388624008322</v>
      </c>
      <c r="AM31" s="125">
        <v>663.88440601297862</v>
      </c>
      <c r="AN31" s="125">
        <v>699.7422882702931</v>
      </c>
      <c r="AO31" s="125">
        <v>916.80449448628406</v>
      </c>
      <c r="AP31" s="125">
        <v>230.80491978647024</v>
      </c>
      <c r="AQ31" s="125">
        <v>480.28699814961897</v>
      </c>
      <c r="AR31" s="125">
        <v>1124.2209270732767</v>
      </c>
      <c r="AS31" s="125">
        <v>317.34011582498988</v>
      </c>
      <c r="AT31" s="125">
        <v>773.80889608485631</v>
      </c>
      <c r="AU31" s="125">
        <v>811.68470227328635</v>
      </c>
      <c r="AV31" s="125">
        <v>615.43928698169884</v>
      </c>
      <c r="AW31" s="125">
        <v>963.98171089852258</v>
      </c>
      <c r="AX31" s="125">
        <v>1058.9858283489848</v>
      </c>
      <c r="AY31" s="125">
        <v>541.26183882289388</v>
      </c>
    </row>
    <row r="32" spans="1:53" x14ac:dyDescent="0.2">
      <c r="A32" s="142"/>
      <c r="B32" s="143">
        <v>8</v>
      </c>
      <c r="C32" s="142" t="s">
        <v>293</v>
      </c>
      <c r="D32" s="139">
        <v>0</v>
      </c>
      <c r="E32" s="139">
        <v>0</v>
      </c>
      <c r="F32" s="139">
        <v>0</v>
      </c>
      <c r="G32" s="139">
        <v>0</v>
      </c>
      <c r="H32" s="139">
        <v>0</v>
      </c>
      <c r="I32" s="139">
        <v>0</v>
      </c>
      <c r="J32" s="139">
        <v>0</v>
      </c>
      <c r="K32" s="139">
        <v>0</v>
      </c>
      <c r="L32" s="139">
        <v>0</v>
      </c>
      <c r="M32" s="139">
        <v>0</v>
      </c>
      <c r="N32" s="139">
        <v>0</v>
      </c>
      <c r="O32" s="139">
        <v>0</v>
      </c>
      <c r="P32" s="139">
        <v>0</v>
      </c>
      <c r="Q32" s="139">
        <v>0</v>
      </c>
      <c r="R32" s="139">
        <v>0</v>
      </c>
      <c r="S32" s="139">
        <v>0</v>
      </c>
      <c r="T32" s="139">
        <v>0</v>
      </c>
      <c r="U32" s="139">
        <v>0</v>
      </c>
      <c r="V32" s="139">
        <v>0</v>
      </c>
      <c r="W32" s="139">
        <v>0</v>
      </c>
      <c r="X32" s="139">
        <v>0</v>
      </c>
      <c r="Y32" s="139">
        <v>0</v>
      </c>
      <c r="Z32" s="139">
        <v>0</v>
      </c>
      <c r="AA32" s="139">
        <v>0</v>
      </c>
      <c r="AB32" s="139">
        <v>0</v>
      </c>
      <c r="AC32" s="139">
        <v>0</v>
      </c>
      <c r="AD32" s="139">
        <v>0</v>
      </c>
      <c r="AE32" s="139">
        <v>0</v>
      </c>
      <c r="AF32" s="139">
        <v>0</v>
      </c>
      <c r="AG32" s="139">
        <v>0</v>
      </c>
      <c r="AH32" s="139">
        <v>0</v>
      </c>
      <c r="AI32" s="139">
        <v>0</v>
      </c>
      <c r="AJ32" s="139">
        <v>0</v>
      </c>
      <c r="AK32" s="139">
        <v>0</v>
      </c>
      <c r="AL32" s="139">
        <v>0</v>
      </c>
      <c r="AM32" s="139">
        <v>0</v>
      </c>
      <c r="AN32" s="139">
        <v>0</v>
      </c>
      <c r="AO32" s="139">
        <v>0</v>
      </c>
      <c r="AP32" s="139">
        <v>0</v>
      </c>
      <c r="AQ32" s="139">
        <v>0</v>
      </c>
      <c r="AR32" s="139">
        <v>0</v>
      </c>
      <c r="AS32" s="139">
        <v>0</v>
      </c>
      <c r="AT32" s="139">
        <v>0</v>
      </c>
      <c r="AU32" s="139">
        <v>0</v>
      </c>
      <c r="AV32" s="139">
        <v>0</v>
      </c>
      <c r="AW32" s="139">
        <v>0</v>
      </c>
      <c r="AX32" s="139">
        <v>0</v>
      </c>
      <c r="AY32" s="139">
        <v>0</v>
      </c>
    </row>
    <row r="33" spans="1:51" x14ac:dyDescent="0.2">
      <c r="A33" s="145" t="s">
        <v>134</v>
      </c>
      <c r="B33" s="133">
        <v>1</v>
      </c>
      <c r="C33" s="124" t="s">
        <v>293</v>
      </c>
      <c r="D33" s="121"/>
      <c r="E33" s="121"/>
      <c r="F33" s="121"/>
      <c r="G33" s="121"/>
      <c r="H33" s="121"/>
      <c r="I33" s="121"/>
      <c r="J33" s="121"/>
      <c r="K33" s="121"/>
      <c r="L33" s="121"/>
      <c r="M33" s="121"/>
      <c r="N33" s="121"/>
      <c r="O33" s="121"/>
      <c r="P33" s="121"/>
      <c r="Q33" s="121"/>
      <c r="R33" s="121"/>
      <c r="S33" s="121"/>
      <c r="T33" s="121"/>
      <c r="U33" s="121"/>
      <c r="V33" s="121"/>
      <c r="W33" s="121"/>
      <c r="X33" s="121"/>
      <c r="Y33" s="121"/>
      <c r="Z33" s="121"/>
      <c r="AA33" s="121"/>
      <c r="AB33" s="121"/>
      <c r="AC33" s="121"/>
      <c r="AD33" s="121"/>
      <c r="AE33" s="121"/>
      <c r="AF33" s="121"/>
      <c r="AG33" s="121"/>
      <c r="AH33" s="121"/>
      <c r="AI33" s="121"/>
      <c r="AJ33" s="121"/>
      <c r="AK33" s="121"/>
      <c r="AL33" s="121"/>
      <c r="AM33" s="121"/>
      <c r="AN33" s="121"/>
      <c r="AO33" s="121"/>
      <c r="AP33" s="121"/>
      <c r="AQ33" s="121"/>
      <c r="AR33" s="121"/>
      <c r="AS33" s="121"/>
      <c r="AT33" s="121"/>
      <c r="AU33" s="121"/>
      <c r="AV33" s="121"/>
      <c r="AW33" s="121"/>
      <c r="AX33" s="121"/>
      <c r="AY33" s="121"/>
    </row>
    <row r="34" spans="1:51" x14ac:dyDescent="0.2">
      <c r="A34" s="124"/>
      <c r="B34" s="133">
        <v>2</v>
      </c>
      <c r="C34" s="124" t="s">
        <v>293</v>
      </c>
      <c r="D34" s="121"/>
      <c r="E34" s="121"/>
      <c r="F34" s="121"/>
      <c r="G34" s="121"/>
      <c r="H34" s="121"/>
      <c r="I34" s="121"/>
      <c r="J34" s="121"/>
      <c r="K34" s="121"/>
      <c r="L34" s="121"/>
      <c r="M34" s="121"/>
      <c r="N34" s="121"/>
      <c r="O34" s="121"/>
      <c r="P34" s="121"/>
      <c r="Q34" s="121"/>
      <c r="R34" s="121"/>
      <c r="S34" s="121"/>
      <c r="T34" s="121"/>
      <c r="U34" s="121"/>
      <c r="V34" s="121"/>
      <c r="W34" s="121"/>
      <c r="X34" s="121"/>
      <c r="Y34" s="121"/>
      <c r="Z34" s="121"/>
      <c r="AA34" s="121"/>
      <c r="AB34" s="121"/>
      <c r="AC34" s="121"/>
      <c r="AD34" s="121"/>
      <c r="AE34" s="121"/>
      <c r="AF34" s="121"/>
      <c r="AG34" s="121"/>
      <c r="AH34" s="121"/>
      <c r="AI34" s="121"/>
      <c r="AJ34" s="121"/>
      <c r="AK34" s="121"/>
      <c r="AL34" s="121"/>
      <c r="AM34" s="121"/>
      <c r="AN34" s="121"/>
      <c r="AO34" s="121"/>
      <c r="AP34" s="121"/>
      <c r="AQ34" s="121"/>
      <c r="AR34" s="121"/>
      <c r="AS34" s="121"/>
      <c r="AT34" s="121"/>
      <c r="AU34" s="121"/>
      <c r="AV34" s="121"/>
      <c r="AW34" s="121"/>
      <c r="AX34" s="121"/>
      <c r="AY34" s="121"/>
    </row>
    <row r="35" spans="1:51" x14ac:dyDescent="0.2">
      <c r="A35" s="124"/>
      <c r="B35" s="133">
        <v>3</v>
      </c>
      <c r="C35" s="124" t="s">
        <v>293</v>
      </c>
      <c r="D35" s="121"/>
      <c r="E35" s="121"/>
      <c r="F35" s="121"/>
      <c r="G35" s="121"/>
      <c r="H35" s="121"/>
      <c r="I35" s="121"/>
      <c r="J35" s="121"/>
      <c r="K35" s="121"/>
      <c r="L35" s="121"/>
      <c r="M35" s="121"/>
      <c r="N35" s="121"/>
      <c r="O35" s="121"/>
      <c r="P35" s="121"/>
      <c r="Q35" s="121"/>
      <c r="R35" s="121"/>
      <c r="S35" s="121"/>
      <c r="T35" s="121"/>
      <c r="U35" s="121"/>
      <c r="V35" s="121"/>
      <c r="W35" s="121"/>
      <c r="X35" s="121"/>
      <c r="Y35" s="121"/>
      <c r="Z35" s="121"/>
      <c r="AA35" s="121"/>
      <c r="AB35" s="121"/>
      <c r="AC35" s="121"/>
      <c r="AD35" s="121"/>
      <c r="AE35" s="121"/>
      <c r="AF35" s="121"/>
      <c r="AG35" s="121"/>
      <c r="AH35" s="121"/>
      <c r="AI35" s="121"/>
      <c r="AJ35" s="121"/>
      <c r="AK35" s="121"/>
      <c r="AL35" s="121"/>
      <c r="AM35" s="121"/>
      <c r="AN35" s="121"/>
      <c r="AO35" s="121"/>
      <c r="AP35" s="121"/>
      <c r="AQ35" s="121"/>
      <c r="AR35" s="121"/>
      <c r="AS35" s="121"/>
      <c r="AT35" s="121"/>
      <c r="AU35" s="121"/>
      <c r="AV35" s="121"/>
      <c r="AW35" s="121"/>
      <c r="AX35" s="121"/>
      <c r="AY35" s="121"/>
    </row>
    <row r="36" spans="1:51" x14ac:dyDescent="0.2">
      <c r="A36" s="124"/>
      <c r="B36" s="134">
        <v>4</v>
      </c>
      <c r="C36" s="124" t="s">
        <v>293</v>
      </c>
      <c r="D36" s="121"/>
      <c r="E36" s="121"/>
      <c r="F36" s="121"/>
      <c r="G36" s="121"/>
      <c r="H36" s="121"/>
      <c r="I36" s="121"/>
      <c r="J36" s="121"/>
      <c r="K36" s="121"/>
      <c r="L36" s="121"/>
      <c r="M36" s="121"/>
      <c r="N36" s="121"/>
      <c r="O36" s="121"/>
      <c r="P36" s="121"/>
      <c r="Q36" s="121"/>
      <c r="R36" s="121"/>
      <c r="S36" s="121"/>
      <c r="T36" s="121"/>
      <c r="U36" s="121"/>
      <c r="V36" s="121"/>
      <c r="W36" s="121"/>
      <c r="X36" s="121"/>
      <c r="Y36" s="121"/>
      <c r="Z36" s="121"/>
      <c r="AA36" s="121"/>
      <c r="AB36" s="121"/>
      <c r="AC36" s="121"/>
      <c r="AD36" s="121"/>
      <c r="AE36" s="121"/>
      <c r="AF36" s="121"/>
      <c r="AG36" s="121"/>
      <c r="AH36" s="121"/>
      <c r="AI36" s="121"/>
      <c r="AJ36" s="121"/>
      <c r="AK36" s="121"/>
      <c r="AL36" s="121"/>
      <c r="AM36" s="121"/>
      <c r="AN36" s="121"/>
      <c r="AO36" s="121"/>
      <c r="AP36" s="121"/>
      <c r="AQ36" s="121"/>
      <c r="AR36" s="121"/>
      <c r="AS36" s="121"/>
      <c r="AT36" s="121"/>
      <c r="AU36" s="121"/>
      <c r="AV36" s="121"/>
      <c r="AW36" s="121"/>
      <c r="AX36" s="121"/>
      <c r="AY36" s="121"/>
    </row>
    <row r="37" spans="1:51" x14ac:dyDescent="0.2">
      <c r="A37" s="124"/>
      <c r="B37" s="134">
        <v>5</v>
      </c>
      <c r="C37" s="124" t="s">
        <v>293</v>
      </c>
      <c r="D37" s="121"/>
      <c r="E37" s="121"/>
      <c r="F37" s="121"/>
      <c r="G37" s="121"/>
      <c r="H37" s="121"/>
      <c r="I37" s="121"/>
      <c r="J37" s="121"/>
      <c r="K37" s="121"/>
      <c r="L37" s="121"/>
      <c r="M37" s="121"/>
      <c r="N37" s="121"/>
      <c r="O37" s="121"/>
      <c r="P37" s="121"/>
      <c r="Q37" s="121"/>
      <c r="R37" s="121"/>
      <c r="S37" s="121"/>
      <c r="T37" s="121"/>
      <c r="U37" s="121"/>
      <c r="V37" s="121"/>
      <c r="W37" s="121"/>
      <c r="X37" s="121"/>
      <c r="Y37" s="121"/>
      <c r="Z37" s="121"/>
      <c r="AA37" s="121"/>
      <c r="AB37" s="121"/>
      <c r="AC37" s="121"/>
      <c r="AD37" s="121"/>
      <c r="AE37" s="121"/>
      <c r="AF37" s="121"/>
      <c r="AG37" s="121"/>
      <c r="AH37" s="121"/>
      <c r="AI37" s="121"/>
      <c r="AJ37" s="121"/>
      <c r="AK37" s="121"/>
      <c r="AL37" s="121"/>
      <c r="AM37" s="121"/>
      <c r="AN37" s="121"/>
      <c r="AO37" s="121"/>
      <c r="AP37" s="121"/>
      <c r="AQ37" s="121"/>
      <c r="AR37" s="121"/>
      <c r="AS37" s="121"/>
      <c r="AT37" s="121"/>
      <c r="AU37" s="121"/>
      <c r="AV37" s="121"/>
      <c r="AW37" s="121"/>
      <c r="AX37" s="121"/>
      <c r="AY37" s="121"/>
    </row>
    <row r="38" spans="1:51" x14ac:dyDescent="0.2">
      <c r="A38" s="124"/>
      <c r="B38" s="134">
        <v>6</v>
      </c>
      <c r="C38" s="124" t="s">
        <v>293</v>
      </c>
      <c r="D38" s="121"/>
      <c r="E38" s="121"/>
      <c r="F38" s="121"/>
      <c r="G38" s="121"/>
      <c r="H38" s="121"/>
      <c r="I38" s="121"/>
      <c r="J38" s="121"/>
      <c r="K38" s="121"/>
      <c r="L38" s="121"/>
      <c r="M38" s="121"/>
      <c r="N38" s="121"/>
      <c r="O38" s="121"/>
      <c r="P38" s="121"/>
      <c r="Q38" s="121"/>
      <c r="R38" s="121"/>
      <c r="S38" s="121"/>
      <c r="T38" s="121"/>
      <c r="U38" s="121"/>
      <c r="V38" s="121"/>
      <c r="W38" s="121"/>
      <c r="X38" s="121"/>
      <c r="Y38" s="121"/>
      <c r="Z38" s="121"/>
      <c r="AA38" s="121"/>
      <c r="AB38" s="121"/>
      <c r="AC38" s="121"/>
      <c r="AD38" s="121"/>
      <c r="AE38" s="121"/>
      <c r="AF38" s="121"/>
      <c r="AG38" s="121"/>
      <c r="AH38" s="121"/>
      <c r="AI38" s="121"/>
      <c r="AJ38" s="121"/>
      <c r="AK38" s="121"/>
      <c r="AL38" s="121"/>
      <c r="AM38" s="121"/>
      <c r="AN38" s="121"/>
      <c r="AO38" s="121"/>
      <c r="AP38" s="121"/>
      <c r="AQ38" s="121"/>
      <c r="AR38" s="121"/>
      <c r="AS38" s="121"/>
      <c r="AT38" s="121"/>
      <c r="AU38" s="121"/>
      <c r="AV38" s="121"/>
      <c r="AW38" s="121"/>
      <c r="AX38" s="121"/>
      <c r="AY38" s="121"/>
    </row>
    <row r="39" spans="1:51" x14ac:dyDescent="0.2">
      <c r="A39" s="124"/>
      <c r="B39" s="141">
        <v>7</v>
      </c>
      <c r="C39" s="124" t="s">
        <v>293</v>
      </c>
      <c r="D39" s="121">
        <v>274.60234885713498</v>
      </c>
      <c r="E39" s="121"/>
      <c r="F39" s="121"/>
      <c r="G39" s="121"/>
      <c r="H39" s="121"/>
      <c r="I39" s="121"/>
      <c r="J39" s="121"/>
      <c r="K39" s="121"/>
      <c r="L39" s="121"/>
      <c r="M39" s="121"/>
      <c r="N39" s="121"/>
      <c r="O39" s="121"/>
      <c r="P39" s="121"/>
      <c r="Q39" s="121"/>
      <c r="R39" s="121"/>
      <c r="S39" s="121"/>
      <c r="T39" s="121"/>
      <c r="U39" s="121"/>
      <c r="V39" s="121"/>
      <c r="W39" s="121"/>
      <c r="X39" s="121"/>
      <c r="Y39" s="121"/>
      <c r="Z39" s="121"/>
      <c r="AA39" s="121"/>
      <c r="AB39" s="121"/>
      <c r="AC39" s="121"/>
      <c r="AD39" s="121"/>
      <c r="AE39" s="121"/>
      <c r="AF39" s="121"/>
      <c r="AG39" s="121"/>
      <c r="AH39" s="121"/>
      <c r="AI39" s="121"/>
      <c r="AJ39" s="121"/>
      <c r="AK39" s="121"/>
      <c r="AL39" s="121"/>
      <c r="AM39" s="121"/>
      <c r="AN39" s="121"/>
      <c r="AO39" s="121"/>
      <c r="AP39" s="121"/>
      <c r="AQ39" s="121"/>
      <c r="AR39" s="121"/>
      <c r="AS39" s="121"/>
      <c r="AT39" s="121"/>
      <c r="AU39" s="121"/>
      <c r="AV39" s="121"/>
      <c r="AW39" s="121"/>
      <c r="AX39" s="121"/>
      <c r="AY39" s="121"/>
    </row>
    <row r="40" spans="1:51" x14ac:dyDescent="0.2">
      <c r="A40" s="124"/>
      <c r="B40" s="141">
        <v>8</v>
      </c>
      <c r="C40" s="124" t="s">
        <v>293</v>
      </c>
      <c r="D40" s="121">
        <v>2336.042421349825</v>
      </c>
      <c r="E40" s="121"/>
      <c r="F40" s="121"/>
      <c r="G40" s="121"/>
      <c r="H40" s="121"/>
      <c r="I40" s="121"/>
      <c r="J40" s="121"/>
      <c r="K40" s="121"/>
      <c r="L40" s="121"/>
      <c r="M40" s="121"/>
      <c r="N40" s="121"/>
      <c r="O40" s="121"/>
      <c r="P40" s="121"/>
      <c r="Q40" s="121"/>
      <c r="R40" s="121"/>
      <c r="S40" s="121"/>
      <c r="T40" s="121"/>
      <c r="U40" s="121"/>
      <c r="V40" s="121"/>
      <c r="W40" s="121"/>
      <c r="X40" s="121"/>
      <c r="Y40" s="121"/>
      <c r="Z40" s="121"/>
      <c r="AA40" s="121"/>
      <c r="AB40" s="121"/>
      <c r="AC40" s="121"/>
      <c r="AD40" s="121"/>
      <c r="AE40" s="121"/>
      <c r="AF40" s="121"/>
      <c r="AG40" s="121"/>
      <c r="AH40" s="121"/>
      <c r="AI40" s="121"/>
      <c r="AJ40" s="121"/>
      <c r="AK40" s="121"/>
      <c r="AL40" s="121"/>
      <c r="AM40" s="121"/>
      <c r="AN40" s="121"/>
      <c r="AO40" s="121"/>
      <c r="AP40" s="121"/>
      <c r="AQ40" s="121"/>
      <c r="AR40" s="121"/>
      <c r="AS40" s="121"/>
      <c r="AT40" s="121"/>
      <c r="AU40" s="121"/>
      <c r="AV40" s="121"/>
      <c r="AW40" s="121"/>
      <c r="AX40" s="121"/>
      <c r="AY40" s="121"/>
    </row>
    <row r="41" spans="1:51" x14ac:dyDescent="0.2">
      <c r="A41" s="124"/>
      <c r="B41" s="141">
        <v>9</v>
      </c>
      <c r="C41" s="124" t="s">
        <v>293</v>
      </c>
      <c r="D41" s="121">
        <v>0</v>
      </c>
      <c r="E41" s="121">
        <v>0</v>
      </c>
      <c r="F41" s="121">
        <v>1342.6670797166817</v>
      </c>
      <c r="G41" s="121">
        <v>2032.9008468079498</v>
      </c>
      <c r="H41" s="121">
        <v>2576.2913966993065</v>
      </c>
      <c r="I41" s="121">
        <v>2476.4134608069057</v>
      </c>
      <c r="J41" s="121">
        <v>1710.009486633161</v>
      </c>
      <c r="K41" s="121">
        <v>661.21599656459375</v>
      </c>
      <c r="L41" s="121"/>
      <c r="M41" s="121"/>
      <c r="N41" s="121"/>
      <c r="O41" s="121"/>
      <c r="P41" s="121"/>
      <c r="Q41" s="121"/>
      <c r="R41" s="121"/>
      <c r="S41" s="121"/>
      <c r="T41" s="121"/>
      <c r="U41" s="121"/>
      <c r="V41" s="121"/>
      <c r="W41" s="121"/>
      <c r="X41" s="121"/>
      <c r="Y41" s="121"/>
      <c r="Z41" s="121"/>
      <c r="AA41" s="121"/>
      <c r="AB41" s="121"/>
      <c r="AC41" s="121"/>
      <c r="AD41" s="121"/>
      <c r="AE41" s="121"/>
      <c r="AF41" s="121"/>
      <c r="AG41" s="121"/>
      <c r="AH41" s="121"/>
      <c r="AI41" s="121"/>
      <c r="AJ41" s="121"/>
      <c r="AK41" s="121"/>
      <c r="AL41" s="121"/>
      <c r="AM41" s="121"/>
      <c r="AN41" s="121"/>
      <c r="AO41" s="121"/>
      <c r="AP41" s="121"/>
      <c r="AQ41" s="121"/>
      <c r="AR41" s="121"/>
      <c r="AS41" s="121"/>
      <c r="AT41" s="121"/>
      <c r="AU41" s="121"/>
      <c r="AV41" s="121"/>
      <c r="AW41" s="121"/>
      <c r="AX41" s="121"/>
      <c r="AY41" s="121"/>
    </row>
    <row r="42" spans="1:51" x14ac:dyDescent="0.2">
      <c r="A42" s="124"/>
      <c r="B42" s="144">
        <v>10</v>
      </c>
      <c r="C42" s="124" t="s">
        <v>293</v>
      </c>
      <c r="D42" s="121">
        <v>0</v>
      </c>
      <c r="E42" s="121">
        <v>0</v>
      </c>
      <c r="F42" s="121">
        <v>0</v>
      </c>
      <c r="G42" s="121">
        <v>0</v>
      </c>
      <c r="H42" s="121">
        <v>0</v>
      </c>
      <c r="I42" s="121">
        <v>280.84638309955426</v>
      </c>
      <c r="J42" s="121">
        <v>1047.6621346474535</v>
      </c>
      <c r="K42" s="121">
        <v>1727.2369182602506</v>
      </c>
      <c r="L42" s="121">
        <v>2943.1290668786451</v>
      </c>
      <c r="M42" s="121">
        <v>2354.7921973689863</v>
      </c>
      <c r="N42" s="121">
        <v>1950.6211618354239</v>
      </c>
      <c r="O42" s="121">
        <v>1300.2805529617306</v>
      </c>
      <c r="P42" s="121">
        <v>649.05858670927262</v>
      </c>
      <c r="Q42" s="121">
        <v>589.35706860215203</v>
      </c>
      <c r="R42" s="121">
        <v>363.830633367703</v>
      </c>
      <c r="S42" s="121">
        <v>343.09840255849576</v>
      </c>
      <c r="T42" s="121">
        <v>136.15858640116417</v>
      </c>
      <c r="U42" s="121">
        <v>64.701299454462969</v>
      </c>
      <c r="V42" s="121">
        <v>130.55506921020566</v>
      </c>
      <c r="W42" s="121">
        <v>23.975637531052087</v>
      </c>
      <c r="X42" s="121">
        <v>11.593792027992173</v>
      </c>
      <c r="Y42" s="121">
        <v>0</v>
      </c>
      <c r="Z42" s="121">
        <v>0</v>
      </c>
      <c r="AA42" s="121">
        <v>0</v>
      </c>
      <c r="AB42" s="121">
        <v>0</v>
      </c>
      <c r="AC42" s="121">
        <v>0</v>
      </c>
      <c r="AD42" s="121">
        <v>0</v>
      </c>
      <c r="AE42" s="121">
        <v>0</v>
      </c>
      <c r="AF42" s="121">
        <v>0</v>
      </c>
      <c r="AG42" s="121">
        <v>0</v>
      </c>
      <c r="AH42" s="121">
        <v>0</v>
      </c>
      <c r="AI42" s="121">
        <v>0</v>
      </c>
      <c r="AJ42" s="121">
        <v>0</v>
      </c>
      <c r="AK42" s="121">
        <v>0</v>
      </c>
      <c r="AL42" s="121">
        <v>0</v>
      </c>
      <c r="AM42" s="121">
        <v>0</v>
      </c>
      <c r="AN42" s="121">
        <v>0</v>
      </c>
      <c r="AO42" s="121">
        <v>0</v>
      </c>
      <c r="AP42" s="121">
        <v>0</v>
      </c>
      <c r="AQ42" s="121"/>
      <c r="AR42" s="121">
        <v>0</v>
      </c>
      <c r="AS42" s="121">
        <v>0</v>
      </c>
      <c r="AT42" s="121">
        <v>0</v>
      </c>
      <c r="AU42" s="121">
        <v>0</v>
      </c>
      <c r="AV42" s="121">
        <v>0</v>
      </c>
      <c r="AW42" s="121">
        <v>0</v>
      </c>
      <c r="AX42" s="121">
        <v>0</v>
      </c>
      <c r="AY42" s="121"/>
    </row>
    <row r="43" spans="1:51" x14ac:dyDescent="0.2">
      <c r="A43" s="124"/>
      <c r="B43" s="144">
        <v>11</v>
      </c>
      <c r="C43" s="124" t="s">
        <v>293</v>
      </c>
      <c r="D43" s="121">
        <v>0</v>
      </c>
      <c r="E43" s="121">
        <v>0</v>
      </c>
      <c r="F43" s="121">
        <v>0</v>
      </c>
      <c r="G43" s="121">
        <v>0</v>
      </c>
      <c r="H43" s="121">
        <v>0</v>
      </c>
      <c r="I43" s="121">
        <v>0</v>
      </c>
      <c r="J43" s="121">
        <v>0</v>
      </c>
      <c r="K43" s="121">
        <v>0</v>
      </c>
      <c r="L43" s="121">
        <v>0</v>
      </c>
      <c r="M43" s="121">
        <v>0</v>
      </c>
      <c r="N43" s="121">
        <v>0</v>
      </c>
      <c r="O43" s="121">
        <v>402.38565288552149</v>
      </c>
      <c r="P43" s="121">
        <v>244.85549161281574</v>
      </c>
      <c r="Q43" s="121">
        <v>33.28661480198798</v>
      </c>
      <c r="R43" s="121">
        <v>0</v>
      </c>
      <c r="S43" s="121">
        <v>0</v>
      </c>
      <c r="T43" s="121">
        <v>0</v>
      </c>
      <c r="U43" s="121">
        <v>0</v>
      </c>
      <c r="V43" s="121">
        <v>0</v>
      </c>
      <c r="W43" s="121">
        <v>0</v>
      </c>
      <c r="X43" s="121">
        <v>0</v>
      </c>
      <c r="Y43" s="121">
        <v>0</v>
      </c>
      <c r="Z43" s="121">
        <v>0</v>
      </c>
      <c r="AA43" s="121">
        <v>0</v>
      </c>
      <c r="AB43" s="121">
        <v>0</v>
      </c>
      <c r="AC43" s="121">
        <v>0</v>
      </c>
      <c r="AD43" s="121">
        <v>0</v>
      </c>
      <c r="AE43" s="121">
        <v>0</v>
      </c>
      <c r="AF43" s="121">
        <v>0</v>
      </c>
      <c r="AG43" s="121">
        <v>0</v>
      </c>
      <c r="AH43" s="121">
        <v>0</v>
      </c>
      <c r="AI43" s="121">
        <v>0</v>
      </c>
      <c r="AJ43" s="121">
        <v>0</v>
      </c>
      <c r="AK43" s="121">
        <v>0</v>
      </c>
      <c r="AL43" s="121">
        <v>0</v>
      </c>
      <c r="AM43" s="121">
        <v>0</v>
      </c>
      <c r="AN43" s="121">
        <v>0</v>
      </c>
      <c r="AO43" s="121">
        <v>0</v>
      </c>
      <c r="AP43" s="121">
        <v>0</v>
      </c>
      <c r="AQ43" s="121">
        <v>0</v>
      </c>
      <c r="AR43" s="121">
        <v>0</v>
      </c>
      <c r="AS43" s="121">
        <v>0</v>
      </c>
      <c r="AT43" s="121">
        <v>0</v>
      </c>
      <c r="AU43" s="121">
        <v>0</v>
      </c>
      <c r="AV43" s="121">
        <v>0</v>
      </c>
      <c r="AW43" s="121">
        <v>0</v>
      </c>
      <c r="AX43" s="121">
        <v>0</v>
      </c>
      <c r="AY43" s="121">
        <v>0</v>
      </c>
    </row>
    <row r="44" spans="1:51" x14ac:dyDescent="0.2">
      <c r="A44" s="124"/>
      <c r="B44" s="144">
        <v>12</v>
      </c>
      <c r="C44" s="142" t="s">
        <v>293</v>
      </c>
      <c r="D44" s="121">
        <v>0</v>
      </c>
      <c r="E44" s="121">
        <v>0</v>
      </c>
      <c r="F44" s="121">
        <v>0</v>
      </c>
      <c r="G44" s="121">
        <v>0</v>
      </c>
      <c r="H44" s="121">
        <v>0</v>
      </c>
      <c r="I44" s="121">
        <v>0</v>
      </c>
      <c r="J44" s="121">
        <v>0</v>
      </c>
      <c r="K44" s="121">
        <v>0</v>
      </c>
      <c r="L44" s="121">
        <v>0</v>
      </c>
      <c r="M44" s="121">
        <v>0</v>
      </c>
      <c r="N44" s="121">
        <v>0</v>
      </c>
      <c r="O44" s="121">
        <v>0</v>
      </c>
      <c r="P44" s="121">
        <v>0</v>
      </c>
      <c r="Q44" s="121">
        <v>0</v>
      </c>
      <c r="R44" s="121">
        <v>0</v>
      </c>
      <c r="S44" s="121">
        <v>0</v>
      </c>
      <c r="T44" s="121">
        <v>0</v>
      </c>
      <c r="U44" s="121">
        <v>0</v>
      </c>
      <c r="V44" s="121">
        <v>0</v>
      </c>
      <c r="W44" s="121">
        <v>0</v>
      </c>
      <c r="X44" s="121">
        <v>0</v>
      </c>
      <c r="Y44" s="121">
        <v>0</v>
      </c>
      <c r="Z44" s="121">
        <v>0</v>
      </c>
      <c r="AA44" s="121">
        <v>0</v>
      </c>
      <c r="AB44" s="121">
        <v>0</v>
      </c>
      <c r="AC44" s="121">
        <v>0</v>
      </c>
      <c r="AD44" s="121">
        <v>0</v>
      </c>
      <c r="AE44" s="121">
        <v>0</v>
      </c>
      <c r="AF44" s="121">
        <v>0</v>
      </c>
      <c r="AG44" s="121">
        <v>0</v>
      </c>
      <c r="AH44" s="121">
        <v>0</v>
      </c>
      <c r="AI44" s="121">
        <v>0</v>
      </c>
      <c r="AJ44" s="121">
        <v>0</v>
      </c>
      <c r="AK44" s="121">
        <v>0</v>
      </c>
      <c r="AL44" s="121">
        <v>0</v>
      </c>
      <c r="AM44" s="121">
        <v>0</v>
      </c>
      <c r="AN44" s="121">
        <v>0</v>
      </c>
      <c r="AO44" s="121">
        <v>0</v>
      </c>
      <c r="AP44" s="121">
        <v>0</v>
      </c>
      <c r="AQ44" s="121">
        <v>0</v>
      </c>
      <c r="AR44" s="121">
        <v>0</v>
      </c>
      <c r="AS44" s="121">
        <v>0</v>
      </c>
      <c r="AT44" s="121">
        <v>0</v>
      </c>
      <c r="AU44" s="121">
        <v>0</v>
      </c>
      <c r="AV44" s="121">
        <v>0</v>
      </c>
      <c r="AW44" s="121">
        <v>0</v>
      </c>
      <c r="AX44" s="121">
        <v>0</v>
      </c>
      <c r="AY44" s="121">
        <v>0</v>
      </c>
    </row>
    <row r="45" spans="1:51" x14ac:dyDescent="0.2">
      <c r="A45" s="140" t="s">
        <v>123</v>
      </c>
      <c r="B45" s="137">
        <v>1</v>
      </c>
      <c r="C45" s="124" t="s">
        <v>293</v>
      </c>
      <c r="D45" s="138"/>
      <c r="E45" s="138"/>
      <c r="F45" s="138"/>
      <c r="G45" s="138"/>
      <c r="H45" s="138"/>
      <c r="I45" s="138"/>
      <c r="J45" s="138"/>
      <c r="K45" s="138"/>
      <c r="L45" s="138"/>
      <c r="M45" s="138"/>
      <c r="N45" s="138"/>
      <c r="O45" s="138"/>
      <c r="P45" s="138"/>
      <c r="Q45" s="138"/>
      <c r="R45" s="138"/>
      <c r="S45" s="138"/>
      <c r="T45" s="138"/>
      <c r="U45" s="138"/>
      <c r="V45" s="138"/>
      <c r="W45" s="138"/>
      <c r="X45" s="138"/>
      <c r="Y45" s="138"/>
      <c r="Z45" s="138"/>
      <c r="AA45" s="138"/>
      <c r="AB45" s="138"/>
      <c r="AC45" s="138"/>
      <c r="AD45" s="138"/>
      <c r="AE45" s="138"/>
      <c r="AF45" s="138"/>
      <c r="AG45" s="138"/>
      <c r="AH45" s="138"/>
      <c r="AI45" s="138"/>
      <c r="AJ45" s="138"/>
      <c r="AK45" s="138"/>
      <c r="AL45" s="138"/>
      <c r="AM45" s="138"/>
      <c r="AN45" s="138"/>
      <c r="AO45" s="138"/>
      <c r="AP45" s="138"/>
      <c r="AQ45" s="138"/>
      <c r="AR45" s="138"/>
      <c r="AS45" s="138"/>
      <c r="AT45" s="138"/>
      <c r="AU45" s="138"/>
      <c r="AV45" s="138"/>
      <c r="AW45" s="138"/>
      <c r="AX45" s="138"/>
      <c r="AY45" s="138"/>
    </row>
    <row r="46" spans="1:51" x14ac:dyDescent="0.2">
      <c r="A46" s="124"/>
      <c r="B46" s="133">
        <v>2</v>
      </c>
      <c r="C46" s="124" t="s">
        <v>293</v>
      </c>
      <c r="D46" s="125"/>
      <c r="E46" s="125"/>
      <c r="F46" s="125"/>
      <c r="G46" s="125"/>
      <c r="H46" s="125"/>
      <c r="I46" s="125"/>
      <c r="J46" s="125"/>
      <c r="K46" s="125"/>
      <c r="L46" s="125"/>
      <c r="M46" s="125"/>
      <c r="N46" s="125"/>
      <c r="O46" s="125"/>
      <c r="P46" s="125"/>
      <c r="Q46" s="125"/>
      <c r="R46" s="125"/>
      <c r="S46" s="125"/>
      <c r="T46" s="125"/>
      <c r="U46" s="125"/>
      <c r="V46" s="125"/>
      <c r="W46" s="125"/>
      <c r="X46" s="125"/>
      <c r="Y46" s="125"/>
      <c r="Z46" s="125"/>
      <c r="AA46" s="125"/>
      <c r="AB46" s="125"/>
      <c r="AC46" s="125"/>
      <c r="AD46" s="125"/>
      <c r="AE46" s="125"/>
      <c r="AF46" s="125"/>
      <c r="AG46" s="125"/>
      <c r="AH46" s="125"/>
      <c r="AI46" s="125"/>
      <c r="AJ46" s="125"/>
      <c r="AK46" s="125"/>
      <c r="AL46" s="125"/>
      <c r="AM46" s="125"/>
      <c r="AN46" s="125"/>
      <c r="AO46" s="125"/>
      <c r="AP46" s="125"/>
      <c r="AQ46" s="125"/>
      <c r="AR46" s="125"/>
      <c r="AS46" s="125"/>
      <c r="AT46" s="125"/>
      <c r="AU46" s="125"/>
      <c r="AV46" s="125"/>
      <c r="AW46" s="125"/>
      <c r="AX46" s="125"/>
      <c r="AY46" s="125"/>
    </row>
    <row r="47" spans="1:51" x14ac:dyDescent="0.2">
      <c r="A47" s="124"/>
      <c r="B47" s="133">
        <v>3</v>
      </c>
      <c r="C47" s="124" t="s">
        <v>293</v>
      </c>
      <c r="D47" s="125"/>
      <c r="E47" s="125"/>
      <c r="F47" s="125"/>
      <c r="G47" s="125"/>
      <c r="H47" s="125"/>
      <c r="I47" s="125"/>
      <c r="J47" s="125"/>
      <c r="K47" s="125"/>
      <c r="L47" s="125"/>
      <c r="M47" s="125"/>
      <c r="N47" s="125"/>
      <c r="O47" s="125"/>
      <c r="P47" s="125"/>
      <c r="Q47" s="125"/>
      <c r="R47" s="125"/>
      <c r="S47" s="125"/>
      <c r="T47" s="125"/>
      <c r="U47" s="125"/>
      <c r="V47" s="125"/>
      <c r="W47" s="125"/>
      <c r="X47" s="125"/>
      <c r="Y47" s="125"/>
      <c r="Z47" s="125"/>
      <c r="AA47" s="125"/>
      <c r="AB47" s="125"/>
      <c r="AC47" s="125"/>
      <c r="AD47" s="125"/>
      <c r="AE47" s="125"/>
      <c r="AF47" s="125"/>
      <c r="AG47" s="125"/>
      <c r="AH47" s="125"/>
      <c r="AI47" s="125"/>
      <c r="AJ47" s="125"/>
      <c r="AK47" s="125"/>
      <c r="AL47" s="125"/>
      <c r="AM47" s="125"/>
      <c r="AN47" s="125"/>
      <c r="AO47" s="125"/>
      <c r="AP47" s="125"/>
      <c r="AQ47" s="125"/>
      <c r="AR47" s="125"/>
      <c r="AS47" s="125"/>
      <c r="AT47" s="125"/>
      <c r="AU47" s="125"/>
      <c r="AV47" s="125"/>
      <c r="AW47" s="125"/>
      <c r="AX47" s="125"/>
      <c r="AY47" s="125"/>
    </row>
    <row r="48" spans="1:51" x14ac:dyDescent="0.2">
      <c r="A48" s="124"/>
      <c r="B48" s="133">
        <v>4</v>
      </c>
      <c r="C48" s="124" t="s">
        <v>293</v>
      </c>
      <c r="D48" s="125"/>
      <c r="E48" s="125"/>
      <c r="F48" s="125"/>
      <c r="G48" s="125"/>
      <c r="H48" s="125"/>
      <c r="I48" s="125"/>
      <c r="J48" s="125"/>
      <c r="K48" s="125"/>
      <c r="L48" s="125"/>
      <c r="M48" s="125"/>
      <c r="N48" s="125"/>
      <c r="O48" s="125"/>
      <c r="P48" s="125"/>
      <c r="Q48" s="125"/>
      <c r="R48" s="125"/>
      <c r="S48" s="125"/>
      <c r="T48" s="125"/>
      <c r="U48" s="125"/>
      <c r="V48" s="125"/>
      <c r="W48" s="125"/>
      <c r="X48" s="125"/>
      <c r="Y48" s="125"/>
      <c r="Z48" s="125"/>
      <c r="AA48" s="125"/>
      <c r="AB48" s="125"/>
      <c r="AC48" s="125"/>
      <c r="AD48" s="125"/>
      <c r="AE48" s="125"/>
      <c r="AF48" s="125"/>
      <c r="AG48" s="125"/>
      <c r="AH48" s="125"/>
      <c r="AI48" s="125"/>
      <c r="AJ48" s="125"/>
      <c r="AK48" s="125"/>
      <c r="AL48" s="125"/>
      <c r="AM48" s="125"/>
      <c r="AN48" s="125"/>
      <c r="AO48" s="125"/>
      <c r="AP48" s="125"/>
      <c r="AQ48" s="125"/>
      <c r="AR48" s="125"/>
      <c r="AS48" s="125"/>
      <c r="AT48" s="125"/>
      <c r="AU48" s="125"/>
      <c r="AV48" s="125"/>
      <c r="AW48" s="125"/>
      <c r="AX48" s="125"/>
      <c r="AY48" s="125"/>
    </row>
    <row r="49" spans="1:51" x14ac:dyDescent="0.2">
      <c r="A49" s="124"/>
      <c r="B49" s="133">
        <v>5</v>
      </c>
      <c r="C49" s="124" t="s">
        <v>293</v>
      </c>
      <c r="D49" s="125"/>
      <c r="E49" s="125"/>
      <c r="F49" s="125"/>
      <c r="G49" s="125"/>
      <c r="H49" s="125"/>
      <c r="I49" s="125"/>
      <c r="J49" s="125"/>
      <c r="K49" s="125"/>
      <c r="L49" s="125"/>
      <c r="M49" s="125"/>
      <c r="N49" s="125"/>
      <c r="O49" s="125"/>
      <c r="P49" s="125"/>
      <c r="Q49" s="125"/>
      <c r="R49" s="125"/>
      <c r="S49" s="125"/>
      <c r="T49" s="125"/>
      <c r="U49" s="125"/>
      <c r="V49" s="125"/>
      <c r="W49" s="125"/>
      <c r="X49" s="125"/>
      <c r="Y49" s="125"/>
      <c r="Z49" s="125"/>
      <c r="AA49" s="125"/>
      <c r="AB49" s="125"/>
      <c r="AC49" s="125"/>
      <c r="AD49" s="125"/>
      <c r="AE49" s="125"/>
      <c r="AF49" s="125"/>
      <c r="AG49" s="125"/>
      <c r="AH49" s="125"/>
      <c r="AI49" s="125"/>
      <c r="AJ49" s="125"/>
      <c r="AK49" s="125"/>
      <c r="AL49" s="125"/>
      <c r="AM49" s="125"/>
      <c r="AN49" s="125"/>
      <c r="AO49" s="125"/>
      <c r="AP49" s="125"/>
      <c r="AQ49" s="125"/>
      <c r="AR49" s="125"/>
      <c r="AS49" s="125"/>
      <c r="AT49" s="125"/>
      <c r="AU49" s="125"/>
      <c r="AV49" s="125"/>
      <c r="AW49" s="125"/>
      <c r="AX49" s="125"/>
      <c r="AY49" s="125"/>
    </row>
    <row r="50" spans="1:51" x14ac:dyDescent="0.2">
      <c r="A50" s="124"/>
      <c r="B50" s="133">
        <v>6</v>
      </c>
      <c r="C50" s="124" t="s">
        <v>293</v>
      </c>
      <c r="D50" s="125"/>
      <c r="E50" s="125"/>
      <c r="F50" s="125"/>
      <c r="G50" s="125"/>
      <c r="H50" s="125"/>
      <c r="I50" s="125"/>
      <c r="J50" s="125"/>
      <c r="K50" s="125"/>
      <c r="L50" s="125"/>
      <c r="M50" s="125"/>
      <c r="N50" s="125"/>
      <c r="O50" s="125"/>
      <c r="P50" s="125"/>
      <c r="Q50" s="125"/>
      <c r="R50" s="125"/>
      <c r="S50" s="125"/>
      <c r="T50" s="125"/>
      <c r="U50" s="125"/>
      <c r="V50" s="125"/>
      <c r="W50" s="125"/>
      <c r="X50" s="125"/>
      <c r="Y50" s="125"/>
      <c r="Z50" s="125"/>
      <c r="AA50" s="125"/>
      <c r="AB50" s="125"/>
      <c r="AC50" s="125"/>
      <c r="AD50" s="125"/>
      <c r="AE50" s="125"/>
      <c r="AF50" s="125"/>
      <c r="AG50" s="125"/>
      <c r="AH50" s="125"/>
      <c r="AI50" s="125"/>
      <c r="AJ50" s="125"/>
      <c r="AK50" s="125"/>
      <c r="AL50" s="125"/>
      <c r="AM50" s="125"/>
      <c r="AN50" s="125"/>
      <c r="AO50" s="125"/>
      <c r="AP50" s="125"/>
      <c r="AQ50" s="125"/>
      <c r="AR50" s="125"/>
      <c r="AS50" s="125"/>
      <c r="AT50" s="125"/>
      <c r="AU50" s="125"/>
      <c r="AV50" s="125"/>
      <c r="AW50" s="125"/>
      <c r="AX50" s="125"/>
      <c r="AY50" s="125"/>
    </row>
    <row r="51" spans="1:51" x14ac:dyDescent="0.2">
      <c r="A51" s="124"/>
      <c r="B51" s="133">
        <v>7</v>
      </c>
      <c r="C51" s="124" t="s">
        <v>293</v>
      </c>
      <c r="D51" s="125"/>
      <c r="E51" s="125"/>
      <c r="F51" s="125"/>
      <c r="G51" s="125"/>
      <c r="H51" s="125"/>
      <c r="I51" s="125"/>
      <c r="J51" s="125"/>
      <c r="K51" s="125"/>
      <c r="L51" s="125"/>
      <c r="M51" s="125"/>
      <c r="N51" s="125"/>
      <c r="O51" s="125"/>
      <c r="P51" s="125"/>
      <c r="Q51" s="125"/>
      <c r="R51" s="125"/>
      <c r="S51" s="125"/>
      <c r="T51" s="125"/>
      <c r="U51" s="125"/>
      <c r="V51" s="125"/>
      <c r="W51" s="125"/>
      <c r="X51" s="125"/>
      <c r="Y51" s="125"/>
      <c r="Z51" s="125"/>
      <c r="AA51" s="125"/>
      <c r="AB51" s="125"/>
      <c r="AC51" s="125"/>
      <c r="AD51" s="125"/>
      <c r="AE51" s="125"/>
      <c r="AF51" s="125"/>
      <c r="AG51" s="125"/>
      <c r="AH51" s="125"/>
      <c r="AI51" s="125"/>
      <c r="AJ51" s="125"/>
      <c r="AK51" s="125"/>
      <c r="AL51" s="125"/>
      <c r="AM51" s="125"/>
      <c r="AN51" s="125"/>
      <c r="AO51" s="125"/>
      <c r="AP51" s="125"/>
      <c r="AQ51" s="125"/>
      <c r="AR51" s="125"/>
      <c r="AS51" s="125"/>
      <c r="AT51" s="125"/>
      <c r="AU51" s="125"/>
      <c r="AV51" s="125"/>
      <c r="AW51" s="125"/>
      <c r="AX51" s="125"/>
      <c r="AY51" s="125"/>
    </row>
    <row r="52" spans="1:51" x14ac:dyDescent="0.2">
      <c r="A52" s="124"/>
      <c r="B52" s="133">
        <v>8</v>
      </c>
      <c r="C52" s="124" t="s">
        <v>293</v>
      </c>
      <c r="D52" s="125"/>
      <c r="E52" s="125"/>
      <c r="F52" s="125"/>
      <c r="G52" s="125"/>
      <c r="H52" s="125"/>
      <c r="I52" s="125"/>
      <c r="J52" s="125"/>
      <c r="K52" s="125"/>
      <c r="L52" s="125"/>
      <c r="M52" s="125"/>
      <c r="N52" s="125"/>
      <c r="O52" s="125"/>
      <c r="P52" s="125"/>
      <c r="Q52" s="125"/>
      <c r="R52" s="125"/>
      <c r="S52" s="125"/>
      <c r="T52" s="125"/>
      <c r="U52" s="125"/>
      <c r="V52" s="125"/>
      <c r="W52" s="125"/>
      <c r="X52" s="125"/>
      <c r="Y52" s="125"/>
      <c r="Z52" s="125"/>
      <c r="AA52" s="125"/>
      <c r="AB52" s="125"/>
      <c r="AC52" s="125"/>
      <c r="AD52" s="125"/>
      <c r="AE52" s="125"/>
      <c r="AF52" s="125"/>
      <c r="AG52" s="125"/>
      <c r="AH52" s="125"/>
      <c r="AI52" s="125"/>
      <c r="AJ52" s="125"/>
      <c r="AK52" s="125"/>
      <c r="AL52" s="125"/>
      <c r="AM52" s="125"/>
      <c r="AN52" s="125"/>
      <c r="AO52" s="125"/>
      <c r="AP52" s="125"/>
      <c r="AQ52" s="125"/>
      <c r="AR52" s="125"/>
      <c r="AS52" s="125"/>
      <c r="AT52" s="125"/>
      <c r="AU52" s="125"/>
      <c r="AV52" s="125"/>
      <c r="AW52" s="125"/>
      <c r="AX52" s="125"/>
      <c r="AY52" s="125"/>
    </row>
    <row r="53" spans="1:51" x14ac:dyDescent="0.2">
      <c r="A53" s="124"/>
      <c r="B53" s="133">
        <v>9</v>
      </c>
      <c r="C53" s="124" t="s">
        <v>293</v>
      </c>
      <c r="D53" s="125"/>
      <c r="E53" s="125"/>
      <c r="F53" s="125"/>
      <c r="G53" s="125"/>
      <c r="H53" s="125"/>
      <c r="I53" s="125"/>
      <c r="J53" s="125"/>
      <c r="K53" s="125"/>
      <c r="L53" s="125"/>
      <c r="M53" s="125"/>
      <c r="N53" s="125"/>
      <c r="O53" s="125"/>
      <c r="P53" s="125"/>
      <c r="Q53" s="125"/>
      <c r="R53" s="125"/>
      <c r="S53" s="125"/>
      <c r="T53" s="125"/>
      <c r="U53" s="125"/>
      <c r="V53" s="125"/>
      <c r="W53" s="125"/>
      <c r="X53" s="125"/>
      <c r="Y53" s="125"/>
      <c r="Z53" s="125"/>
      <c r="AA53" s="125"/>
      <c r="AB53" s="125"/>
      <c r="AC53" s="125"/>
      <c r="AD53" s="125"/>
      <c r="AE53" s="125"/>
      <c r="AF53" s="125"/>
      <c r="AG53" s="125"/>
      <c r="AH53" s="125"/>
      <c r="AI53" s="125"/>
      <c r="AJ53" s="125"/>
      <c r="AK53" s="125"/>
      <c r="AL53" s="125"/>
      <c r="AM53" s="125"/>
      <c r="AN53" s="125"/>
      <c r="AO53" s="125"/>
      <c r="AP53" s="125"/>
      <c r="AQ53" s="125"/>
      <c r="AR53" s="125"/>
      <c r="AS53" s="125"/>
      <c r="AT53" s="125"/>
      <c r="AU53" s="125"/>
      <c r="AV53" s="125"/>
      <c r="AW53" s="125"/>
      <c r="AX53" s="125"/>
      <c r="AY53" s="125"/>
    </row>
    <row r="54" spans="1:51" x14ac:dyDescent="0.2">
      <c r="A54" s="124"/>
      <c r="B54" s="133">
        <v>10</v>
      </c>
      <c r="C54" s="124" t="s">
        <v>293</v>
      </c>
      <c r="D54" s="125"/>
      <c r="E54" s="125"/>
      <c r="F54" s="125"/>
      <c r="G54" s="125"/>
      <c r="H54" s="125"/>
      <c r="I54" s="125"/>
      <c r="J54" s="125"/>
      <c r="K54" s="125"/>
      <c r="L54" s="125"/>
      <c r="M54" s="125"/>
      <c r="N54" s="125"/>
      <c r="O54" s="125"/>
      <c r="P54" s="125"/>
      <c r="Q54" s="125"/>
      <c r="R54" s="125"/>
      <c r="S54" s="125"/>
      <c r="T54" s="125"/>
      <c r="U54" s="125"/>
      <c r="V54" s="125"/>
      <c r="W54" s="125"/>
      <c r="X54" s="125"/>
      <c r="Y54" s="125"/>
      <c r="Z54" s="125"/>
      <c r="AA54" s="125"/>
      <c r="AB54" s="125"/>
      <c r="AC54" s="125"/>
      <c r="AD54" s="125"/>
      <c r="AE54" s="125"/>
      <c r="AF54" s="125"/>
      <c r="AG54" s="125"/>
      <c r="AH54" s="125"/>
      <c r="AI54" s="125"/>
      <c r="AJ54" s="125"/>
      <c r="AK54" s="125"/>
      <c r="AL54" s="125"/>
      <c r="AM54" s="125"/>
      <c r="AN54" s="125"/>
      <c r="AO54" s="125"/>
      <c r="AP54" s="125"/>
      <c r="AQ54" s="125"/>
      <c r="AR54" s="125"/>
      <c r="AS54" s="125"/>
      <c r="AT54" s="125"/>
      <c r="AU54" s="125"/>
      <c r="AV54" s="125"/>
      <c r="AW54" s="125"/>
      <c r="AX54" s="125"/>
      <c r="AY54" s="125"/>
    </row>
    <row r="55" spans="1:51" x14ac:dyDescent="0.2">
      <c r="A55" s="124"/>
      <c r="B55" s="133">
        <v>11</v>
      </c>
      <c r="C55" s="124" t="s">
        <v>293</v>
      </c>
      <c r="D55" s="125"/>
      <c r="E55" s="125"/>
      <c r="F55" s="125"/>
      <c r="G55" s="125"/>
      <c r="H55" s="125"/>
      <c r="I55" s="125"/>
      <c r="J55" s="125"/>
      <c r="K55" s="125"/>
      <c r="L55" s="125"/>
      <c r="M55" s="125"/>
      <c r="N55" s="125"/>
      <c r="O55" s="125"/>
      <c r="P55" s="125"/>
      <c r="Q55" s="125"/>
      <c r="R55" s="125"/>
      <c r="S55" s="125"/>
      <c r="T55" s="125"/>
      <c r="U55" s="125"/>
      <c r="V55" s="125"/>
      <c r="W55" s="125"/>
      <c r="X55" s="125"/>
      <c r="Y55" s="125"/>
      <c r="Z55" s="125"/>
      <c r="AA55" s="125"/>
      <c r="AB55" s="125"/>
      <c r="AC55" s="125"/>
      <c r="AD55" s="125"/>
      <c r="AE55" s="125"/>
      <c r="AF55" s="125"/>
      <c r="AG55" s="125"/>
      <c r="AH55" s="125"/>
      <c r="AI55" s="125"/>
      <c r="AJ55" s="125"/>
      <c r="AK55" s="125"/>
      <c r="AL55" s="125"/>
      <c r="AM55" s="125"/>
      <c r="AN55" s="125"/>
      <c r="AO55" s="125"/>
      <c r="AP55" s="125"/>
      <c r="AQ55" s="125"/>
      <c r="AR55" s="125"/>
      <c r="AS55" s="125"/>
      <c r="AT55" s="125"/>
      <c r="AU55" s="125"/>
      <c r="AV55" s="125"/>
      <c r="AW55" s="125"/>
      <c r="AX55" s="125"/>
      <c r="AY55" s="125"/>
    </row>
    <row r="56" spans="1:51" x14ac:dyDescent="0.2">
      <c r="A56" s="124"/>
      <c r="B56" s="133">
        <v>12</v>
      </c>
      <c r="C56" s="124" t="s">
        <v>293</v>
      </c>
      <c r="D56" s="125"/>
      <c r="E56" s="125"/>
      <c r="F56" s="125"/>
      <c r="G56" s="125"/>
      <c r="H56" s="125"/>
      <c r="I56" s="125"/>
      <c r="J56" s="125"/>
      <c r="K56" s="125"/>
      <c r="L56" s="125"/>
      <c r="M56" s="125"/>
      <c r="N56" s="125"/>
      <c r="O56" s="125"/>
      <c r="P56" s="125"/>
      <c r="Q56" s="125"/>
      <c r="R56" s="125"/>
      <c r="S56" s="125"/>
      <c r="T56" s="125"/>
      <c r="U56" s="125"/>
      <c r="V56" s="125"/>
      <c r="W56" s="125"/>
      <c r="X56" s="125"/>
      <c r="Y56" s="125"/>
      <c r="Z56" s="125"/>
      <c r="AA56" s="125"/>
      <c r="AB56" s="125"/>
      <c r="AC56" s="125"/>
      <c r="AD56" s="125"/>
      <c r="AE56" s="125"/>
      <c r="AF56" s="125"/>
      <c r="AG56" s="125"/>
      <c r="AH56" s="125"/>
      <c r="AI56" s="125"/>
      <c r="AJ56" s="125"/>
      <c r="AK56" s="125"/>
      <c r="AL56" s="125"/>
      <c r="AM56" s="125"/>
      <c r="AN56" s="125"/>
      <c r="AO56" s="125"/>
      <c r="AP56" s="125"/>
      <c r="AQ56" s="125"/>
      <c r="AR56" s="125"/>
      <c r="AS56" s="125"/>
      <c r="AT56" s="125"/>
      <c r="AU56" s="125"/>
      <c r="AV56" s="125"/>
      <c r="AW56" s="125"/>
      <c r="AX56" s="125"/>
      <c r="AY56" s="125"/>
    </row>
    <row r="57" spans="1:51" x14ac:dyDescent="0.2">
      <c r="A57" s="124"/>
      <c r="B57" s="134">
        <v>13</v>
      </c>
      <c r="C57" s="124" t="s">
        <v>293</v>
      </c>
      <c r="D57" s="125"/>
      <c r="E57" s="125"/>
      <c r="F57" s="125"/>
      <c r="G57" s="125"/>
      <c r="H57" s="125"/>
      <c r="I57" s="125"/>
      <c r="J57" s="125"/>
      <c r="K57" s="125"/>
      <c r="L57" s="125"/>
      <c r="M57" s="125"/>
      <c r="N57" s="125"/>
      <c r="O57" s="125"/>
      <c r="P57" s="125"/>
      <c r="Q57" s="125"/>
      <c r="R57" s="125"/>
      <c r="S57" s="125"/>
      <c r="T57" s="125"/>
      <c r="U57" s="125"/>
      <c r="V57" s="125"/>
      <c r="W57" s="125"/>
      <c r="X57" s="125"/>
      <c r="Y57" s="125"/>
      <c r="Z57" s="125"/>
      <c r="AA57" s="125"/>
      <c r="AB57" s="125"/>
      <c r="AC57" s="125"/>
      <c r="AD57" s="125"/>
      <c r="AE57" s="125"/>
      <c r="AF57" s="125"/>
      <c r="AG57" s="125"/>
      <c r="AH57" s="125"/>
      <c r="AI57" s="125"/>
      <c r="AJ57" s="125"/>
      <c r="AK57" s="125"/>
      <c r="AL57" s="125"/>
      <c r="AM57" s="125"/>
      <c r="AN57" s="125"/>
      <c r="AO57" s="125"/>
      <c r="AP57" s="125"/>
      <c r="AQ57" s="125"/>
      <c r="AR57" s="125"/>
      <c r="AS57" s="125"/>
      <c r="AT57" s="125"/>
      <c r="AU57" s="125"/>
      <c r="AV57" s="125"/>
      <c r="AW57" s="125"/>
      <c r="AX57" s="125"/>
      <c r="AY57" s="125"/>
    </row>
    <row r="58" spans="1:51" x14ac:dyDescent="0.2">
      <c r="A58" s="124"/>
      <c r="B58" s="134">
        <v>14</v>
      </c>
      <c r="C58" s="124" t="s">
        <v>293</v>
      </c>
      <c r="D58" s="125"/>
      <c r="E58" s="125"/>
      <c r="F58" s="125"/>
      <c r="G58" s="125"/>
      <c r="H58" s="125"/>
      <c r="I58" s="125"/>
      <c r="J58" s="125"/>
      <c r="K58" s="125"/>
      <c r="L58" s="125"/>
      <c r="M58" s="125"/>
      <c r="N58" s="125"/>
      <c r="O58" s="125"/>
      <c r="P58" s="125"/>
      <c r="Q58" s="125"/>
      <c r="R58" s="125"/>
      <c r="S58" s="125"/>
      <c r="T58" s="125"/>
      <c r="U58" s="125"/>
      <c r="V58" s="125"/>
      <c r="W58" s="125"/>
      <c r="X58" s="125"/>
      <c r="Y58" s="125"/>
      <c r="Z58" s="125"/>
      <c r="AA58" s="125"/>
      <c r="AB58" s="125"/>
      <c r="AC58" s="125"/>
      <c r="AD58" s="125"/>
      <c r="AE58" s="125"/>
      <c r="AF58" s="125"/>
      <c r="AG58" s="125"/>
      <c r="AH58" s="125"/>
      <c r="AI58" s="125"/>
      <c r="AJ58" s="125"/>
      <c r="AK58" s="125"/>
      <c r="AL58" s="125"/>
      <c r="AM58" s="125"/>
      <c r="AN58" s="125"/>
      <c r="AO58" s="125"/>
      <c r="AP58" s="125"/>
      <c r="AQ58" s="125"/>
      <c r="AR58" s="125"/>
      <c r="AS58" s="125"/>
      <c r="AT58" s="125"/>
      <c r="AU58" s="125"/>
      <c r="AV58" s="125"/>
      <c r="AW58" s="125"/>
      <c r="AX58" s="125"/>
      <c r="AY58" s="125"/>
    </row>
    <row r="59" spans="1:51" x14ac:dyDescent="0.2">
      <c r="A59" s="124"/>
      <c r="B59" s="134">
        <v>15</v>
      </c>
      <c r="C59" s="124" t="s">
        <v>293</v>
      </c>
      <c r="D59" s="125"/>
      <c r="E59" s="125"/>
      <c r="F59" s="125"/>
      <c r="G59" s="125"/>
      <c r="H59" s="125"/>
      <c r="I59" s="125"/>
      <c r="J59" s="125"/>
      <c r="K59" s="125"/>
      <c r="L59" s="125"/>
      <c r="M59" s="125"/>
      <c r="N59" s="125"/>
      <c r="O59" s="125"/>
      <c r="P59" s="125"/>
      <c r="Q59" s="125"/>
      <c r="R59" s="125"/>
      <c r="S59" s="125"/>
      <c r="T59" s="125"/>
      <c r="U59" s="125"/>
      <c r="V59" s="125"/>
      <c r="W59" s="125"/>
      <c r="X59" s="125"/>
      <c r="Y59" s="125"/>
      <c r="Z59" s="125"/>
      <c r="AA59" s="125"/>
      <c r="AB59" s="125"/>
      <c r="AC59" s="125"/>
      <c r="AD59" s="125"/>
      <c r="AE59" s="125"/>
      <c r="AF59" s="125"/>
      <c r="AG59" s="125"/>
      <c r="AH59" s="125"/>
      <c r="AI59" s="125"/>
      <c r="AJ59" s="125"/>
      <c r="AK59" s="125"/>
      <c r="AL59" s="125"/>
      <c r="AM59" s="125"/>
      <c r="AN59" s="125"/>
      <c r="AO59" s="125"/>
      <c r="AP59" s="125"/>
      <c r="AQ59" s="125"/>
      <c r="AR59" s="125"/>
      <c r="AS59" s="125"/>
      <c r="AT59" s="125"/>
      <c r="AU59" s="125"/>
      <c r="AV59" s="125"/>
      <c r="AW59" s="125"/>
      <c r="AX59" s="125"/>
      <c r="AY59" s="125"/>
    </row>
    <row r="60" spans="1:51" x14ac:dyDescent="0.2">
      <c r="A60" s="124"/>
      <c r="B60" s="134">
        <v>16</v>
      </c>
      <c r="C60" s="124" t="s">
        <v>293</v>
      </c>
      <c r="D60" s="125"/>
      <c r="E60" s="125"/>
      <c r="F60" s="125"/>
      <c r="G60" s="125"/>
      <c r="H60" s="125"/>
      <c r="I60" s="125"/>
      <c r="J60" s="125"/>
      <c r="K60" s="125"/>
      <c r="L60" s="125"/>
      <c r="M60" s="125"/>
      <c r="N60" s="125"/>
      <c r="O60" s="125"/>
      <c r="P60" s="125"/>
      <c r="Q60" s="125"/>
      <c r="R60" s="125"/>
      <c r="S60" s="125"/>
      <c r="T60" s="125"/>
      <c r="U60" s="125"/>
      <c r="V60" s="125"/>
      <c r="W60" s="125"/>
      <c r="X60" s="125"/>
      <c r="Y60" s="125"/>
      <c r="Z60" s="125"/>
      <c r="AA60" s="125"/>
      <c r="AB60" s="125"/>
      <c r="AC60" s="125"/>
      <c r="AD60" s="125"/>
      <c r="AE60" s="125"/>
      <c r="AF60" s="125"/>
      <c r="AG60" s="125"/>
      <c r="AH60" s="125"/>
      <c r="AI60" s="125"/>
      <c r="AJ60" s="125"/>
      <c r="AK60" s="125"/>
      <c r="AL60" s="125"/>
      <c r="AM60" s="125"/>
      <c r="AN60" s="125"/>
      <c r="AO60" s="125"/>
      <c r="AP60" s="125"/>
      <c r="AQ60" s="125"/>
      <c r="AR60" s="125"/>
      <c r="AS60" s="125"/>
      <c r="AT60" s="125"/>
      <c r="AU60" s="125"/>
      <c r="AV60" s="125"/>
      <c r="AW60" s="125"/>
      <c r="AX60" s="125"/>
      <c r="AY60" s="125"/>
    </row>
    <row r="61" spans="1:51" x14ac:dyDescent="0.2">
      <c r="A61" s="124"/>
      <c r="B61" s="134">
        <v>17</v>
      </c>
      <c r="C61" s="124" t="s">
        <v>293</v>
      </c>
      <c r="D61" s="125"/>
      <c r="E61" s="125"/>
      <c r="F61" s="125"/>
      <c r="G61" s="125"/>
      <c r="H61" s="125"/>
      <c r="I61" s="125"/>
      <c r="J61" s="125"/>
      <c r="K61" s="125"/>
      <c r="L61" s="125"/>
      <c r="M61" s="125"/>
      <c r="N61" s="125"/>
      <c r="O61" s="125"/>
      <c r="P61" s="125"/>
      <c r="Q61" s="125"/>
      <c r="R61" s="125"/>
      <c r="S61" s="125"/>
      <c r="T61" s="125"/>
      <c r="U61" s="125"/>
      <c r="V61" s="125"/>
      <c r="W61" s="125"/>
      <c r="X61" s="125"/>
      <c r="Y61" s="125"/>
      <c r="Z61" s="125"/>
      <c r="AA61" s="125"/>
      <c r="AB61" s="125"/>
      <c r="AC61" s="125"/>
      <c r="AD61" s="125"/>
      <c r="AE61" s="125"/>
      <c r="AF61" s="125"/>
      <c r="AG61" s="125"/>
      <c r="AH61" s="125"/>
      <c r="AI61" s="125"/>
      <c r="AJ61" s="125"/>
      <c r="AK61" s="125"/>
      <c r="AL61" s="125"/>
      <c r="AM61" s="125"/>
      <c r="AN61" s="125"/>
      <c r="AO61" s="125"/>
      <c r="AP61" s="125"/>
      <c r="AQ61" s="125"/>
      <c r="AR61" s="125"/>
      <c r="AS61" s="125"/>
      <c r="AT61" s="125"/>
      <c r="AU61" s="125"/>
      <c r="AV61" s="125"/>
      <c r="AW61" s="125"/>
      <c r="AX61" s="125"/>
      <c r="AY61" s="125"/>
    </row>
    <row r="62" spans="1:51" x14ac:dyDescent="0.2">
      <c r="A62" s="124"/>
      <c r="B62" s="134">
        <v>18</v>
      </c>
      <c r="C62" s="124" t="s">
        <v>293</v>
      </c>
      <c r="D62" s="125"/>
      <c r="E62" s="125"/>
      <c r="F62" s="125"/>
      <c r="G62" s="125"/>
      <c r="H62" s="125"/>
      <c r="I62" s="125"/>
      <c r="J62" s="125"/>
      <c r="K62" s="125"/>
      <c r="L62" s="125"/>
      <c r="M62" s="125"/>
      <c r="N62" s="125"/>
      <c r="O62" s="125"/>
      <c r="P62" s="125"/>
      <c r="Q62" s="125"/>
      <c r="R62" s="125"/>
      <c r="S62" s="125"/>
      <c r="T62" s="125"/>
      <c r="U62" s="125"/>
      <c r="V62" s="125"/>
      <c r="W62" s="125"/>
      <c r="X62" s="125"/>
      <c r="Y62" s="125"/>
      <c r="Z62" s="125"/>
      <c r="AA62" s="125"/>
      <c r="AB62" s="125"/>
      <c r="AC62" s="125"/>
      <c r="AD62" s="125"/>
      <c r="AE62" s="125"/>
      <c r="AF62" s="125"/>
      <c r="AG62" s="125"/>
      <c r="AH62" s="125"/>
      <c r="AI62" s="125"/>
      <c r="AJ62" s="125"/>
      <c r="AK62" s="125"/>
      <c r="AL62" s="125"/>
      <c r="AM62" s="125"/>
      <c r="AN62" s="125"/>
      <c r="AO62" s="125"/>
      <c r="AP62" s="125"/>
      <c r="AQ62" s="125"/>
      <c r="AR62" s="125"/>
      <c r="AS62" s="125"/>
      <c r="AT62" s="125"/>
      <c r="AU62" s="125"/>
      <c r="AV62" s="125"/>
      <c r="AW62" s="125"/>
      <c r="AX62" s="125"/>
      <c r="AY62" s="125"/>
    </row>
    <row r="63" spans="1:51" x14ac:dyDescent="0.2">
      <c r="A63" s="124"/>
      <c r="B63" s="134">
        <v>19</v>
      </c>
      <c r="C63" s="124" t="s">
        <v>293</v>
      </c>
      <c r="D63" s="125"/>
      <c r="E63" s="125"/>
      <c r="F63" s="125"/>
      <c r="G63" s="125"/>
      <c r="H63" s="125"/>
      <c r="I63" s="125"/>
      <c r="J63" s="125"/>
      <c r="K63" s="125"/>
      <c r="L63" s="125"/>
      <c r="M63" s="125"/>
      <c r="N63" s="125"/>
      <c r="O63" s="125"/>
      <c r="P63" s="125"/>
      <c r="Q63" s="125"/>
      <c r="R63" s="125"/>
      <c r="S63" s="125"/>
      <c r="T63" s="125"/>
      <c r="U63" s="125"/>
      <c r="V63" s="125"/>
      <c r="W63" s="125"/>
      <c r="X63" s="125"/>
      <c r="Y63" s="125"/>
      <c r="Z63" s="125"/>
      <c r="AA63" s="125"/>
      <c r="AB63" s="125"/>
      <c r="AC63" s="125"/>
      <c r="AD63" s="125"/>
      <c r="AE63" s="125"/>
      <c r="AF63" s="125"/>
      <c r="AG63" s="125"/>
      <c r="AH63" s="125"/>
      <c r="AI63" s="125"/>
      <c r="AJ63" s="125"/>
      <c r="AK63" s="125"/>
      <c r="AL63" s="125"/>
      <c r="AM63" s="125"/>
      <c r="AN63" s="125"/>
      <c r="AO63" s="125"/>
      <c r="AP63" s="125"/>
      <c r="AQ63" s="125"/>
      <c r="AR63" s="125"/>
      <c r="AS63" s="125"/>
      <c r="AT63" s="125"/>
      <c r="AU63" s="125"/>
      <c r="AV63" s="125"/>
      <c r="AW63" s="125"/>
      <c r="AX63" s="125"/>
      <c r="AY63" s="125"/>
    </row>
    <row r="64" spans="1:51" x14ac:dyDescent="0.2">
      <c r="A64" s="124"/>
      <c r="B64" s="134">
        <v>20</v>
      </c>
      <c r="C64" s="124" t="s">
        <v>293</v>
      </c>
      <c r="D64" s="125"/>
      <c r="E64" s="125"/>
      <c r="F64" s="125"/>
      <c r="G64" s="125"/>
      <c r="H64" s="125"/>
      <c r="I64" s="125"/>
      <c r="J64" s="125"/>
      <c r="K64" s="125"/>
      <c r="L64" s="125"/>
      <c r="M64" s="125"/>
      <c r="N64" s="125"/>
      <c r="O64" s="125"/>
      <c r="P64" s="125"/>
      <c r="Q64" s="125"/>
      <c r="R64" s="125"/>
      <c r="S64" s="125"/>
      <c r="T64" s="125"/>
      <c r="U64" s="125"/>
      <c r="V64" s="125"/>
      <c r="W64" s="125"/>
      <c r="X64" s="125"/>
      <c r="Y64" s="125"/>
      <c r="Z64" s="125"/>
      <c r="AA64" s="125"/>
      <c r="AB64" s="125"/>
      <c r="AC64" s="125"/>
      <c r="AD64" s="125"/>
      <c r="AE64" s="125"/>
      <c r="AF64" s="125"/>
      <c r="AG64" s="125"/>
      <c r="AH64" s="125"/>
      <c r="AI64" s="125"/>
      <c r="AJ64" s="125"/>
      <c r="AK64" s="125"/>
      <c r="AL64" s="125"/>
      <c r="AM64" s="125"/>
      <c r="AN64" s="125"/>
      <c r="AO64" s="125"/>
      <c r="AP64" s="125"/>
      <c r="AQ64" s="125"/>
      <c r="AR64" s="125"/>
      <c r="AS64" s="125"/>
      <c r="AT64" s="125"/>
      <c r="AU64" s="125"/>
      <c r="AV64" s="125"/>
      <c r="AW64" s="125"/>
      <c r="AX64" s="125"/>
      <c r="AY64" s="125"/>
    </row>
    <row r="65" spans="1:51" x14ac:dyDescent="0.2">
      <c r="A65" s="124"/>
      <c r="B65" s="134">
        <v>21</v>
      </c>
      <c r="C65" s="124" t="s">
        <v>293</v>
      </c>
      <c r="D65" s="125"/>
      <c r="E65" s="125"/>
      <c r="F65" s="125"/>
      <c r="G65" s="125"/>
      <c r="H65" s="125"/>
      <c r="I65" s="125"/>
      <c r="J65" s="125"/>
      <c r="K65" s="125"/>
      <c r="L65" s="125"/>
      <c r="M65" s="125"/>
      <c r="N65" s="125"/>
      <c r="O65" s="125"/>
      <c r="P65" s="125"/>
      <c r="Q65" s="125"/>
      <c r="R65" s="125"/>
      <c r="S65" s="125"/>
      <c r="T65" s="125"/>
      <c r="U65" s="125"/>
      <c r="V65" s="125"/>
      <c r="W65" s="125"/>
      <c r="X65" s="125"/>
      <c r="Y65" s="125"/>
      <c r="Z65" s="125"/>
      <c r="AA65" s="125"/>
      <c r="AB65" s="125"/>
      <c r="AC65" s="125"/>
      <c r="AD65" s="125"/>
      <c r="AE65" s="125"/>
      <c r="AF65" s="125"/>
      <c r="AG65" s="125"/>
      <c r="AH65" s="125"/>
      <c r="AI65" s="125"/>
      <c r="AJ65" s="125"/>
      <c r="AK65" s="125"/>
      <c r="AL65" s="125"/>
      <c r="AM65" s="125"/>
      <c r="AN65" s="125"/>
      <c r="AO65" s="125"/>
      <c r="AP65" s="125"/>
      <c r="AQ65" s="125"/>
      <c r="AR65" s="125"/>
      <c r="AS65" s="125"/>
      <c r="AT65" s="125"/>
      <c r="AU65" s="125"/>
      <c r="AV65" s="125"/>
      <c r="AW65" s="125"/>
      <c r="AX65" s="125"/>
      <c r="AY65" s="125"/>
    </row>
    <row r="66" spans="1:51" x14ac:dyDescent="0.2">
      <c r="A66" s="124"/>
      <c r="B66" s="134">
        <v>22</v>
      </c>
      <c r="C66" s="124" t="s">
        <v>293</v>
      </c>
      <c r="D66" s="125"/>
      <c r="E66" s="125"/>
      <c r="F66" s="125"/>
      <c r="G66" s="125"/>
      <c r="H66" s="125"/>
      <c r="I66" s="125"/>
      <c r="J66" s="125"/>
      <c r="K66" s="125"/>
      <c r="L66" s="125"/>
      <c r="M66" s="125"/>
      <c r="N66" s="125"/>
      <c r="O66" s="125"/>
      <c r="P66" s="125"/>
      <c r="Q66" s="125"/>
      <c r="R66" s="125"/>
      <c r="S66" s="125"/>
      <c r="T66" s="125"/>
      <c r="U66" s="125"/>
      <c r="V66" s="125"/>
      <c r="W66" s="125"/>
      <c r="X66" s="125"/>
      <c r="Y66" s="125"/>
      <c r="Z66" s="125"/>
      <c r="AA66" s="125"/>
      <c r="AB66" s="125"/>
      <c r="AC66" s="125"/>
      <c r="AD66" s="125"/>
      <c r="AE66" s="125"/>
      <c r="AF66" s="125"/>
      <c r="AG66" s="125"/>
      <c r="AH66" s="125"/>
      <c r="AI66" s="125"/>
      <c r="AJ66" s="125"/>
      <c r="AK66" s="125"/>
      <c r="AL66" s="125"/>
      <c r="AM66" s="125"/>
      <c r="AN66" s="125"/>
      <c r="AO66" s="125"/>
      <c r="AP66" s="125"/>
      <c r="AQ66" s="125"/>
      <c r="AR66" s="125"/>
      <c r="AS66" s="125"/>
      <c r="AT66" s="125"/>
      <c r="AU66" s="125"/>
      <c r="AV66" s="125"/>
      <c r="AW66" s="125"/>
      <c r="AX66" s="125"/>
      <c r="AY66" s="125"/>
    </row>
    <row r="67" spans="1:51" x14ac:dyDescent="0.2">
      <c r="A67" s="124"/>
      <c r="B67" s="134">
        <v>23</v>
      </c>
      <c r="C67" s="124" t="s">
        <v>293</v>
      </c>
      <c r="D67" s="125"/>
      <c r="E67" s="125"/>
      <c r="F67" s="125"/>
      <c r="G67" s="125"/>
      <c r="H67" s="125"/>
      <c r="I67" s="125"/>
      <c r="J67" s="125"/>
      <c r="K67" s="125"/>
      <c r="L67" s="125"/>
      <c r="M67" s="125"/>
      <c r="N67" s="125"/>
      <c r="O67" s="125"/>
      <c r="P67" s="125"/>
      <c r="Q67" s="125"/>
      <c r="R67" s="125"/>
      <c r="S67" s="125"/>
      <c r="T67" s="125"/>
      <c r="U67" s="125"/>
      <c r="V67" s="125"/>
      <c r="W67" s="125"/>
      <c r="X67" s="125"/>
      <c r="Y67" s="125"/>
      <c r="Z67" s="125"/>
      <c r="AA67" s="125"/>
      <c r="AB67" s="125"/>
      <c r="AC67" s="125"/>
      <c r="AD67" s="125"/>
      <c r="AE67" s="125"/>
      <c r="AF67" s="125"/>
      <c r="AG67" s="125"/>
      <c r="AH67" s="125"/>
      <c r="AI67" s="125"/>
      <c r="AJ67" s="125"/>
      <c r="AK67" s="125"/>
      <c r="AL67" s="125"/>
      <c r="AM67" s="125"/>
      <c r="AN67" s="125"/>
      <c r="AO67" s="125"/>
      <c r="AP67" s="125"/>
      <c r="AQ67" s="125"/>
      <c r="AR67" s="125"/>
      <c r="AS67" s="125"/>
      <c r="AT67" s="125"/>
      <c r="AU67" s="125"/>
      <c r="AV67" s="125"/>
      <c r="AW67" s="125"/>
      <c r="AX67" s="125"/>
      <c r="AY67" s="125"/>
    </row>
    <row r="68" spans="1:51" x14ac:dyDescent="0.2">
      <c r="A68" s="124"/>
      <c r="B68" s="134">
        <v>24</v>
      </c>
      <c r="C68" s="124" t="s">
        <v>293</v>
      </c>
      <c r="D68" s="125"/>
      <c r="E68" s="125"/>
      <c r="F68" s="125"/>
      <c r="G68" s="125"/>
      <c r="H68" s="125"/>
      <c r="I68" s="125"/>
      <c r="J68" s="125"/>
      <c r="K68" s="125"/>
      <c r="L68" s="125"/>
      <c r="M68" s="125"/>
      <c r="N68" s="125"/>
      <c r="O68" s="125"/>
      <c r="P68" s="125"/>
      <c r="Q68" s="125"/>
      <c r="R68" s="125"/>
      <c r="S68" s="125"/>
      <c r="T68" s="125"/>
      <c r="U68" s="125"/>
      <c r="V68" s="125"/>
      <c r="W68" s="125"/>
      <c r="X68" s="125"/>
      <c r="Y68" s="125"/>
      <c r="Z68" s="125"/>
      <c r="AA68" s="125"/>
      <c r="AB68" s="125"/>
      <c r="AC68" s="125"/>
      <c r="AD68" s="125"/>
      <c r="AE68" s="125"/>
      <c r="AF68" s="125"/>
      <c r="AG68" s="125"/>
      <c r="AH68" s="125"/>
      <c r="AI68" s="125"/>
      <c r="AJ68" s="125"/>
      <c r="AK68" s="125"/>
      <c r="AL68" s="125"/>
      <c r="AM68" s="125"/>
      <c r="AN68" s="125"/>
      <c r="AO68" s="125"/>
      <c r="AP68" s="125"/>
      <c r="AQ68" s="125"/>
      <c r="AR68" s="125"/>
      <c r="AS68" s="125"/>
      <c r="AT68" s="125"/>
      <c r="AU68" s="125"/>
      <c r="AV68" s="125"/>
      <c r="AW68" s="125"/>
      <c r="AX68" s="125"/>
      <c r="AY68" s="125"/>
    </row>
    <row r="69" spans="1:51" x14ac:dyDescent="0.2">
      <c r="A69" s="124"/>
      <c r="B69" s="141">
        <v>25</v>
      </c>
      <c r="C69" s="124" t="s">
        <v>293</v>
      </c>
      <c r="D69" s="125"/>
      <c r="E69" s="125"/>
      <c r="F69" s="125"/>
      <c r="G69" s="125"/>
      <c r="H69" s="125"/>
      <c r="I69" s="125"/>
      <c r="J69" s="125"/>
      <c r="K69" s="125"/>
      <c r="L69" s="125"/>
      <c r="M69" s="125"/>
      <c r="N69" s="125"/>
      <c r="O69" s="125"/>
      <c r="P69" s="125"/>
      <c r="Q69" s="125"/>
      <c r="R69" s="125"/>
      <c r="S69" s="125"/>
      <c r="T69" s="125"/>
      <c r="U69" s="125"/>
      <c r="V69" s="125"/>
      <c r="W69" s="125"/>
      <c r="X69" s="125"/>
      <c r="Y69" s="125"/>
      <c r="Z69" s="125"/>
      <c r="AA69" s="125"/>
      <c r="AB69" s="125"/>
      <c r="AC69" s="125"/>
      <c r="AD69" s="125"/>
      <c r="AE69" s="125"/>
      <c r="AF69" s="125"/>
      <c r="AG69" s="125"/>
      <c r="AH69" s="125"/>
      <c r="AI69" s="125"/>
      <c r="AJ69" s="125"/>
      <c r="AK69" s="125"/>
      <c r="AL69" s="125"/>
      <c r="AM69" s="125"/>
      <c r="AN69" s="125"/>
      <c r="AO69" s="125"/>
      <c r="AP69" s="125"/>
      <c r="AQ69" s="125"/>
      <c r="AR69" s="125"/>
      <c r="AS69" s="125"/>
      <c r="AT69" s="125"/>
      <c r="AU69" s="125"/>
      <c r="AV69" s="125"/>
      <c r="AW69" s="125"/>
      <c r="AX69" s="125"/>
      <c r="AY69" s="125"/>
    </row>
    <row r="70" spans="1:51" x14ac:dyDescent="0.2">
      <c r="A70" s="124"/>
      <c r="B70" s="141">
        <v>26</v>
      </c>
      <c r="C70" s="124" t="s">
        <v>293</v>
      </c>
      <c r="D70" s="125"/>
      <c r="E70" s="125"/>
      <c r="F70" s="125"/>
      <c r="G70" s="125"/>
      <c r="H70" s="125"/>
      <c r="I70" s="125"/>
      <c r="J70" s="125"/>
      <c r="K70" s="125"/>
      <c r="L70" s="125"/>
      <c r="M70" s="125"/>
      <c r="N70" s="125"/>
      <c r="O70" s="125"/>
      <c r="P70" s="125"/>
      <c r="Q70" s="125"/>
      <c r="R70" s="125"/>
      <c r="S70" s="125"/>
      <c r="T70" s="125"/>
      <c r="U70" s="125"/>
      <c r="V70" s="125"/>
      <c r="W70" s="125"/>
      <c r="X70" s="125"/>
      <c r="Y70" s="125"/>
      <c r="Z70" s="125"/>
      <c r="AA70" s="125"/>
      <c r="AB70" s="125"/>
      <c r="AC70" s="125"/>
      <c r="AD70" s="125"/>
      <c r="AE70" s="125"/>
      <c r="AF70" s="125"/>
      <c r="AG70" s="125"/>
      <c r="AH70" s="125"/>
      <c r="AI70" s="125"/>
      <c r="AJ70" s="125"/>
      <c r="AK70" s="125"/>
      <c r="AL70" s="125"/>
      <c r="AM70" s="125"/>
      <c r="AN70" s="125"/>
      <c r="AO70" s="125"/>
      <c r="AP70" s="125"/>
      <c r="AQ70" s="125"/>
      <c r="AR70" s="125"/>
      <c r="AS70" s="125"/>
      <c r="AT70" s="125"/>
      <c r="AU70" s="125"/>
      <c r="AV70" s="125"/>
      <c r="AW70" s="125"/>
      <c r="AX70" s="125"/>
      <c r="AY70" s="125"/>
    </row>
    <row r="71" spans="1:51" x14ac:dyDescent="0.2">
      <c r="A71" s="124"/>
      <c r="B71" s="141">
        <v>27</v>
      </c>
      <c r="C71" s="124" t="s">
        <v>293</v>
      </c>
      <c r="D71" s="125"/>
      <c r="E71" s="125"/>
      <c r="F71" s="125"/>
      <c r="G71" s="125"/>
      <c r="H71" s="125"/>
      <c r="I71" s="125"/>
      <c r="J71" s="125"/>
      <c r="K71" s="125"/>
      <c r="L71" s="125"/>
      <c r="M71" s="125"/>
      <c r="N71" s="125"/>
      <c r="O71" s="125"/>
      <c r="P71" s="125"/>
      <c r="Q71" s="125"/>
      <c r="R71" s="125"/>
      <c r="S71" s="125"/>
      <c r="T71" s="125"/>
      <c r="U71" s="125"/>
      <c r="V71" s="125"/>
      <c r="W71" s="125"/>
      <c r="X71" s="125"/>
      <c r="Y71" s="125"/>
      <c r="Z71" s="125"/>
      <c r="AA71" s="125"/>
      <c r="AB71" s="125"/>
      <c r="AC71" s="125"/>
      <c r="AD71" s="125"/>
      <c r="AE71" s="125"/>
      <c r="AF71" s="125"/>
      <c r="AG71" s="125"/>
      <c r="AH71" s="125"/>
      <c r="AI71" s="125"/>
      <c r="AJ71" s="125"/>
      <c r="AK71" s="125"/>
      <c r="AL71" s="125"/>
      <c r="AM71" s="125"/>
      <c r="AN71" s="125"/>
      <c r="AO71" s="125"/>
      <c r="AP71" s="125"/>
      <c r="AQ71" s="125"/>
      <c r="AR71" s="125"/>
      <c r="AS71" s="125"/>
      <c r="AT71" s="125"/>
      <c r="AU71" s="125"/>
      <c r="AV71" s="125"/>
      <c r="AW71" s="125"/>
      <c r="AX71" s="125"/>
      <c r="AY71" s="125"/>
    </row>
    <row r="72" spans="1:51" x14ac:dyDescent="0.2">
      <c r="A72" s="124"/>
      <c r="B72" s="141">
        <v>28</v>
      </c>
      <c r="C72" s="124" t="s">
        <v>293</v>
      </c>
      <c r="D72" s="125"/>
      <c r="E72" s="125"/>
      <c r="F72" s="125"/>
      <c r="G72" s="125"/>
      <c r="H72" s="125"/>
      <c r="I72" s="125"/>
      <c r="J72" s="125"/>
      <c r="K72" s="125"/>
      <c r="L72" s="125"/>
      <c r="M72" s="125"/>
      <c r="N72" s="125"/>
      <c r="O72" s="125"/>
      <c r="P72" s="125"/>
      <c r="Q72" s="125"/>
      <c r="R72" s="125"/>
      <c r="S72" s="125"/>
      <c r="T72" s="125"/>
      <c r="U72" s="125"/>
      <c r="V72" s="125"/>
      <c r="W72" s="125"/>
      <c r="X72" s="125"/>
      <c r="Y72" s="125"/>
      <c r="Z72" s="125"/>
      <c r="AA72" s="125"/>
      <c r="AB72" s="125"/>
      <c r="AC72" s="125"/>
      <c r="AD72" s="125"/>
      <c r="AE72" s="125"/>
      <c r="AF72" s="125"/>
      <c r="AG72" s="125"/>
      <c r="AH72" s="125"/>
      <c r="AI72" s="125"/>
      <c r="AJ72" s="125"/>
      <c r="AK72" s="125"/>
      <c r="AL72" s="125"/>
      <c r="AM72" s="125"/>
      <c r="AN72" s="125"/>
      <c r="AO72" s="125"/>
      <c r="AP72" s="125"/>
      <c r="AQ72" s="125"/>
      <c r="AR72" s="125"/>
      <c r="AS72" s="125"/>
      <c r="AT72" s="125"/>
      <c r="AU72" s="125"/>
      <c r="AV72" s="125"/>
      <c r="AW72" s="125"/>
      <c r="AX72" s="125"/>
      <c r="AY72" s="125"/>
    </row>
    <row r="73" spans="1:51" x14ac:dyDescent="0.2">
      <c r="A73" s="124"/>
      <c r="B73" s="141">
        <v>29</v>
      </c>
      <c r="C73" s="124" t="s">
        <v>293</v>
      </c>
      <c r="D73" s="125"/>
      <c r="E73" s="125"/>
      <c r="F73" s="125"/>
      <c r="G73" s="125"/>
      <c r="H73" s="125"/>
      <c r="I73" s="125"/>
      <c r="J73" s="125"/>
      <c r="K73" s="125"/>
      <c r="L73" s="125"/>
      <c r="M73" s="125"/>
      <c r="N73" s="125"/>
      <c r="O73" s="125"/>
      <c r="P73" s="125"/>
      <c r="Q73" s="125"/>
      <c r="R73" s="125"/>
      <c r="S73" s="125"/>
      <c r="T73" s="125"/>
      <c r="U73" s="125"/>
      <c r="V73" s="125"/>
      <c r="W73" s="125"/>
      <c r="X73" s="125"/>
      <c r="Y73" s="125"/>
      <c r="Z73" s="125"/>
      <c r="AA73" s="125"/>
      <c r="AB73" s="125"/>
      <c r="AC73" s="125"/>
      <c r="AD73" s="125"/>
      <c r="AE73" s="125"/>
      <c r="AF73" s="125"/>
      <c r="AG73" s="125"/>
      <c r="AH73" s="125"/>
      <c r="AI73" s="125"/>
      <c r="AJ73" s="125"/>
      <c r="AK73" s="125"/>
      <c r="AL73" s="125"/>
      <c r="AM73" s="125"/>
      <c r="AN73" s="125"/>
      <c r="AO73" s="125"/>
      <c r="AP73" s="125"/>
      <c r="AQ73" s="125"/>
      <c r="AR73" s="125"/>
      <c r="AS73" s="125"/>
      <c r="AT73" s="125"/>
      <c r="AU73" s="125"/>
      <c r="AV73" s="125"/>
      <c r="AW73" s="125"/>
      <c r="AX73" s="125"/>
      <c r="AY73" s="125"/>
    </row>
    <row r="74" spans="1:51" x14ac:dyDescent="0.2">
      <c r="A74" s="124"/>
      <c r="B74" s="141">
        <v>30</v>
      </c>
      <c r="C74" s="124" t="s">
        <v>293</v>
      </c>
      <c r="D74" s="125"/>
      <c r="E74" s="125"/>
      <c r="F74" s="125"/>
      <c r="G74" s="125"/>
      <c r="H74" s="125"/>
      <c r="I74" s="125"/>
      <c r="J74" s="125"/>
      <c r="K74" s="125"/>
      <c r="L74" s="125"/>
      <c r="M74" s="125"/>
      <c r="N74" s="125"/>
      <c r="O74" s="125"/>
      <c r="P74" s="125"/>
      <c r="Q74" s="125"/>
      <c r="R74" s="125"/>
      <c r="S74" s="125"/>
      <c r="T74" s="125"/>
      <c r="U74" s="125"/>
      <c r="V74" s="125"/>
      <c r="W74" s="125"/>
      <c r="X74" s="125"/>
      <c r="Y74" s="125"/>
      <c r="Z74" s="125"/>
      <c r="AA74" s="125"/>
      <c r="AB74" s="125"/>
      <c r="AC74" s="125"/>
      <c r="AD74" s="125"/>
      <c r="AE74" s="125"/>
      <c r="AF74" s="125"/>
      <c r="AG74" s="125"/>
      <c r="AH74" s="125"/>
      <c r="AI74" s="125"/>
      <c r="AJ74" s="125"/>
      <c r="AK74" s="125"/>
      <c r="AL74" s="125"/>
      <c r="AM74" s="125"/>
      <c r="AN74" s="125"/>
      <c r="AO74" s="125"/>
      <c r="AP74" s="125"/>
      <c r="AQ74" s="125"/>
      <c r="AR74" s="125"/>
      <c r="AS74" s="125"/>
      <c r="AT74" s="125"/>
      <c r="AU74" s="125"/>
      <c r="AV74" s="125"/>
      <c r="AW74" s="125"/>
      <c r="AX74" s="125"/>
      <c r="AY74" s="125"/>
    </row>
    <row r="75" spans="1:51" x14ac:dyDescent="0.2">
      <c r="A75" s="124"/>
      <c r="B75" s="141">
        <v>31</v>
      </c>
      <c r="C75" s="124" t="s">
        <v>293</v>
      </c>
      <c r="D75" s="125"/>
      <c r="E75" s="125"/>
      <c r="F75" s="125"/>
      <c r="G75" s="125"/>
      <c r="H75" s="125"/>
      <c r="I75" s="125"/>
      <c r="J75" s="125"/>
      <c r="K75" s="125"/>
      <c r="L75" s="125"/>
      <c r="M75" s="125"/>
      <c r="N75" s="125"/>
      <c r="O75" s="125"/>
      <c r="P75" s="125"/>
      <c r="Q75" s="125"/>
      <c r="R75" s="125"/>
      <c r="S75" s="125"/>
      <c r="T75" s="125"/>
      <c r="U75" s="125"/>
      <c r="V75" s="125"/>
      <c r="W75" s="125"/>
      <c r="X75" s="125"/>
      <c r="Y75" s="125"/>
      <c r="Z75" s="125"/>
      <c r="AA75" s="125"/>
      <c r="AB75" s="125"/>
      <c r="AC75" s="125"/>
      <c r="AD75" s="125"/>
      <c r="AE75" s="125"/>
      <c r="AF75" s="125"/>
      <c r="AG75" s="125"/>
      <c r="AH75" s="125"/>
      <c r="AI75" s="125"/>
      <c r="AJ75" s="125"/>
      <c r="AK75" s="125"/>
      <c r="AL75" s="125"/>
      <c r="AM75" s="125"/>
      <c r="AN75" s="125"/>
      <c r="AO75" s="125"/>
      <c r="AP75" s="125"/>
      <c r="AQ75" s="125"/>
      <c r="AR75" s="125"/>
      <c r="AS75" s="125"/>
      <c r="AT75" s="125"/>
      <c r="AU75" s="125"/>
      <c r="AV75" s="125"/>
      <c r="AW75" s="125"/>
      <c r="AX75" s="125"/>
      <c r="AY75" s="125"/>
    </row>
    <row r="76" spans="1:51" x14ac:dyDescent="0.2">
      <c r="A76" s="124"/>
      <c r="B76" s="141">
        <v>32</v>
      </c>
      <c r="C76" s="124" t="s">
        <v>293</v>
      </c>
      <c r="D76" s="125"/>
      <c r="E76" s="125"/>
      <c r="F76" s="125"/>
      <c r="G76" s="125"/>
      <c r="H76" s="125"/>
      <c r="I76" s="125"/>
      <c r="J76" s="125"/>
      <c r="K76" s="125"/>
      <c r="L76" s="125"/>
      <c r="M76" s="125"/>
      <c r="N76" s="125"/>
      <c r="O76" s="125"/>
      <c r="P76" s="125"/>
      <c r="Q76" s="125"/>
      <c r="R76" s="125"/>
      <c r="S76" s="125"/>
      <c r="T76" s="125"/>
      <c r="U76" s="125"/>
      <c r="V76" s="125"/>
      <c r="W76" s="125"/>
      <c r="X76" s="125"/>
      <c r="Y76" s="125"/>
      <c r="Z76" s="125"/>
      <c r="AA76" s="125"/>
      <c r="AB76" s="125"/>
      <c r="AC76" s="125"/>
      <c r="AD76" s="125"/>
      <c r="AE76" s="125"/>
      <c r="AF76" s="125"/>
      <c r="AG76" s="125"/>
      <c r="AH76" s="125"/>
      <c r="AI76" s="125"/>
      <c r="AJ76" s="125"/>
      <c r="AK76" s="125"/>
      <c r="AL76" s="125"/>
      <c r="AM76" s="125"/>
      <c r="AN76" s="125"/>
      <c r="AO76" s="125"/>
      <c r="AP76" s="125"/>
      <c r="AQ76" s="125"/>
      <c r="AR76" s="125"/>
      <c r="AS76" s="125"/>
      <c r="AT76" s="125"/>
      <c r="AU76" s="125"/>
      <c r="AV76" s="125"/>
      <c r="AW76" s="125"/>
      <c r="AX76" s="125"/>
      <c r="AY76" s="125"/>
    </row>
    <row r="77" spans="1:51" x14ac:dyDescent="0.2">
      <c r="A77" s="124"/>
      <c r="B77" s="141">
        <v>33</v>
      </c>
      <c r="C77" s="124" t="s">
        <v>293</v>
      </c>
      <c r="D77" s="125"/>
      <c r="E77" s="125"/>
      <c r="F77" s="125"/>
      <c r="G77" s="125"/>
      <c r="H77" s="125"/>
      <c r="I77" s="125"/>
      <c r="J77" s="125"/>
      <c r="K77" s="125"/>
      <c r="L77" s="125"/>
      <c r="M77" s="125"/>
      <c r="N77" s="125"/>
      <c r="O77" s="125"/>
      <c r="P77" s="125"/>
      <c r="Q77" s="125"/>
      <c r="R77" s="125"/>
      <c r="S77" s="125"/>
      <c r="T77" s="125"/>
      <c r="U77" s="125"/>
      <c r="V77" s="125"/>
      <c r="W77" s="125"/>
      <c r="X77" s="125"/>
      <c r="Y77" s="125"/>
      <c r="Z77" s="125"/>
      <c r="AA77" s="125"/>
      <c r="AB77" s="125"/>
      <c r="AC77" s="125"/>
      <c r="AD77" s="125"/>
      <c r="AE77" s="125"/>
      <c r="AF77" s="125"/>
      <c r="AG77" s="125"/>
      <c r="AH77" s="125"/>
      <c r="AI77" s="125"/>
      <c r="AJ77" s="125"/>
      <c r="AK77" s="125"/>
      <c r="AL77" s="125"/>
      <c r="AM77" s="125"/>
      <c r="AN77" s="125"/>
      <c r="AO77" s="125"/>
      <c r="AP77" s="125"/>
      <c r="AQ77" s="125"/>
      <c r="AR77" s="125"/>
      <c r="AS77" s="125"/>
      <c r="AT77" s="125"/>
      <c r="AU77" s="125"/>
      <c r="AV77" s="125"/>
      <c r="AW77" s="125"/>
      <c r="AX77" s="125"/>
      <c r="AY77" s="125"/>
    </row>
    <row r="78" spans="1:51" x14ac:dyDescent="0.2">
      <c r="A78" s="124"/>
      <c r="B78" s="141">
        <v>34</v>
      </c>
      <c r="C78" s="124" t="s">
        <v>293</v>
      </c>
      <c r="D78" s="125"/>
      <c r="E78" s="125"/>
      <c r="F78" s="125"/>
      <c r="G78" s="125"/>
      <c r="H78" s="125"/>
      <c r="I78" s="125"/>
      <c r="J78" s="125"/>
      <c r="K78" s="125"/>
      <c r="L78" s="125"/>
      <c r="M78" s="125"/>
      <c r="N78" s="125"/>
      <c r="O78" s="125"/>
      <c r="P78" s="125"/>
      <c r="Q78" s="125"/>
      <c r="R78" s="125"/>
      <c r="S78" s="125"/>
      <c r="T78" s="125"/>
      <c r="U78" s="125"/>
      <c r="V78" s="125"/>
      <c r="W78" s="125"/>
      <c r="X78" s="125"/>
      <c r="Y78" s="125"/>
      <c r="Z78" s="125"/>
      <c r="AA78" s="125"/>
      <c r="AB78" s="125"/>
      <c r="AC78" s="125"/>
      <c r="AD78" s="125"/>
      <c r="AE78" s="125"/>
      <c r="AF78" s="125"/>
      <c r="AG78" s="125"/>
      <c r="AH78" s="125"/>
      <c r="AI78" s="125"/>
      <c r="AJ78" s="125"/>
      <c r="AK78" s="125"/>
      <c r="AL78" s="125"/>
      <c r="AM78" s="125"/>
      <c r="AN78" s="125"/>
      <c r="AO78" s="125"/>
      <c r="AP78" s="125"/>
      <c r="AQ78" s="125"/>
      <c r="AR78" s="125"/>
      <c r="AS78" s="125"/>
      <c r="AT78" s="125"/>
      <c r="AU78" s="125"/>
      <c r="AV78" s="125"/>
      <c r="AW78" s="125"/>
      <c r="AX78" s="125"/>
      <c r="AY78" s="125"/>
    </row>
    <row r="79" spans="1:51" x14ac:dyDescent="0.2">
      <c r="A79" s="124"/>
      <c r="B79" s="141">
        <v>35</v>
      </c>
      <c r="C79" s="124" t="s">
        <v>293</v>
      </c>
      <c r="D79" s="125"/>
      <c r="E79" s="125"/>
      <c r="F79" s="125"/>
      <c r="G79" s="125"/>
      <c r="H79" s="125"/>
      <c r="I79" s="125"/>
      <c r="J79" s="125"/>
      <c r="K79" s="125"/>
      <c r="L79" s="125"/>
      <c r="M79" s="125"/>
      <c r="N79" s="125"/>
      <c r="O79" s="125"/>
      <c r="P79" s="125"/>
      <c r="Q79" s="125"/>
      <c r="R79" s="125"/>
      <c r="S79" s="125"/>
      <c r="T79" s="125"/>
      <c r="U79" s="125"/>
      <c r="V79" s="125"/>
      <c r="W79" s="125"/>
      <c r="X79" s="125"/>
      <c r="Y79" s="125"/>
      <c r="Z79" s="125"/>
      <c r="AA79" s="125"/>
      <c r="AB79" s="125"/>
      <c r="AC79" s="125"/>
      <c r="AD79" s="125"/>
      <c r="AE79" s="125"/>
      <c r="AF79" s="125"/>
      <c r="AG79" s="125"/>
      <c r="AH79" s="125"/>
      <c r="AI79" s="125"/>
      <c r="AJ79" s="125"/>
      <c r="AK79" s="125"/>
      <c r="AL79" s="125"/>
      <c r="AM79" s="125"/>
      <c r="AN79" s="125"/>
      <c r="AO79" s="125"/>
      <c r="AP79" s="125"/>
      <c r="AQ79" s="125"/>
      <c r="AR79" s="125"/>
      <c r="AS79" s="125"/>
      <c r="AT79" s="125"/>
      <c r="AU79" s="125"/>
      <c r="AV79" s="125"/>
      <c r="AW79" s="125"/>
      <c r="AX79" s="125"/>
      <c r="AY79" s="125"/>
    </row>
    <row r="80" spans="1:51" x14ac:dyDescent="0.2">
      <c r="A80" s="124"/>
      <c r="B80" s="141">
        <v>36</v>
      </c>
      <c r="C80" s="124" t="s">
        <v>293</v>
      </c>
      <c r="D80" s="125"/>
      <c r="E80" s="125"/>
      <c r="F80" s="125"/>
      <c r="G80" s="125"/>
      <c r="H80" s="125"/>
      <c r="I80" s="125"/>
      <c r="J80" s="125"/>
      <c r="K80" s="125"/>
      <c r="L80" s="125"/>
      <c r="M80" s="125"/>
      <c r="N80" s="125"/>
      <c r="O80" s="125"/>
      <c r="P80" s="125"/>
      <c r="Q80" s="125"/>
      <c r="R80" s="125"/>
      <c r="S80" s="125"/>
      <c r="T80" s="125"/>
      <c r="U80" s="125"/>
      <c r="V80" s="125"/>
      <c r="W80" s="125"/>
      <c r="X80" s="125"/>
      <c r="Y80" s="125"/>
      <c r="Z80" s="125"/>
      <c r="AA80" s="125"/>
      <c r="AB80" s="125"/>
      <c r="AC80" s="125"/>
      <c r="AD80" s="125"/>
      <c r="AE80" s="125"/>
      <c r="AF80" s="125"/>
      <c r="AG80" s="125"/>
      <c r="AH80" s="125"/>
      <c r="AI80" s="125"/>
      <c r="AJ80" s="125"/>
      <c r="AK80" s="125"/>
      <c r="AL80" s="125"/>
      <c r="AM80" s="125"/>
      <c r="AN80" s="125"/>
      <c r="AO80" s="125"/>
      <c r="AP80" s="125"/>
      <c r="AQ80" s="125"/>
      <c r="AR80" s="125"/>
      <c r="AS80" s="125"/>
      <c r="AT80" s="125"/>
      <c r="AU80" s="125"/>
      <c r="AV80" s="125"/>
      <c r="AW80" s="125"/>
      <c r="AX80" s="125"/>
      <c r="AY80" s="125"/>
    </row>
    <row r="81" spans="1:52" x14ac:dyDescent="0.2">
      <c r="A81" s="124"/>
      <c r="B81" s="144">
        <v>37</v>
      </c>
      <c r="C81" s="124" t="s">
        <v>293</v>
      </c>
      <c r="D81" s="125"/>
      <c r="E81" s="125"/>
      <c r="F81" s="125"/>
      <c r="G81" s="125"/>
      <c r="H81" s="125"/>
      <c r="I81" s="125"/>
      <c r="J81" s="125"/>
      <c r="K81" s="125"/>
      <c r="L81" s="125"/>
      <c r="M81" s="125"/>
      <c r="N81" s="125"/>
      <c r="O81" s="125"/>
      <c r="P81" s="125"/>
      <c r="Q81" s="125"/>
      <c r="R81" s="125"/>
      <c r="S81" s="125"/>
      <c r="T81" s="125"/>
      <c r="U81" s="125"/>
      <c r="V81" s="125"/>
      <c r="W81" s="125"/>
      <c r="X81" s="125"/>
      <c r="Y81" s="125"/>
      <c r="Z81" s="125"/>
      <c r="AA81" s="125"/>
      <c r="AB81" s="125"/>
      <c r="AC81" s="125"/>
      <c r="AD81" s="125"/>
      <c r="AE81" s="125"/>
      <c r="AF81" s="125"/>
      <c r="AG81" s="125"/>
      <c r="AH81" s="125"/>
      <c r="AI81" s="125"/>
      <c r="AJ81" s="125"/>
      <c r="AK81" s="125"/>
      <c r="AL81" s="125"/>
      <c r="AM81" s="125"/>
      <c r="AN81" s="125"/>
      <c r="AO81" s="125"/>
      <c r="AP81" s="125"/>
      <c r="AQ81" s="125"/>
      <c r="AR81" s="125"/>
      <c r="AS81" s="125"/>
      <c r="AT81" s="125"/>
      <c r="AU81" s="125"/>
      <c r="AV81" s="125"/>
      <c r="AW81" s="125"/>
      <c r="AX81" s="125"/>
      <c r="AY81" s="125"/>
    </row>
    <row r="82" spans="1:52" x14ac:dyDescent="0.2">
      <c r="A82" s="124"/>
      <c r="B82" s="144">
        <v>38</v>
      </c>
      <c r="C82" s="124" t="s">
        <v>293</v>
      </c>
      <c r="D82" s="125"/>
      <c r="E82" s="125"/>
      <c r="F82" s="125"/>
      <c r="G82" s="125"/>
      <c r="H82" s="125"/>
      <c r="I82" s="125"/>
      <c r="J82" s="125"/>
      <c r="K82" s="125"/>
      <c r="L82" s="125"/>
      <c r="M82" s="125"/>
      <c r="N82" s="125"/>
      <c r="O82" s="125"/>
      <c r="P82" s="125"/>
      <c r="Q82" s="125"/>
      <c r="R82" s="125"/>
      <c r="S82" s="125"/>
      <c r="T82" s="125"/>
      <c r="U82" s="125"/>
      <c r="V82" s="125"/>
      <c r="W82" s="125"/>
      <c r="X82" s="125"/>
      <c r="Y82" s="125"/>
      <c r="Z82" s="125"/>
      <c r="AA82" s="125"/>
      <c r="AB82" s="125"/>
      <c r="AC82" s="125"/>
      <c r="AD82" s="125"/>
      <c r="AE82" s="125"/>
      <c r="AF82" s="125"/>
      <c r="AG82" s="125"/>
      <c r="AH82" s="125"/>
      <c r="AI82" s="125"/>
      <c r="AJ82" s="125"/>
      <c r="AK82" s="125"/>
      <c r="AL82" s="125"/>
      <c r="AM82" s="125"/>
      <c r="AN82" s="125"/>
      <c r="AO82" s="125"/>
      <c r="AP82" s="125"/>
      <c r="AQ82" s="125"/>
      <c r="AR82" s="125"/>
      <c r="AS82" s="125"/>
      <c r="AT82" s="125"/>
      <c r="AU82" s="125"/>
      <c r="AV82" s="125"/>
      <c r="AW82" s="125"/>
      <c r="AX82" s="125"/>
      <c r="AY82" s="125"/>
    </row>
    <row r="83" spans="1:52" x14ac:dyDescent="0.2">
      <c r="A83" s="124"/>
      <c r="B83" s="144">
        <v>39</v>
      </c>
      <c r="C83" s="124" t="s">
        <v>293</v>
      </c>
      <c r="D83" s="125"/>
      <c r="E83" s="125"/>
      <c r="F83" s="125"/>
      <c r="G83" s="125"/>
      <c r="H83" s="125"/>
      <c r="I83" s="125"/>
      <c r="J83" s="125"/>
      <c r="K83" s="125"/>
      <c r="L83" s="125"/>
      <c r="M83" s="125"/>
      <c r="N83" s="125"/>
      <c r="O83" s="125"/>
      <c r="P83" s="125"/>
      <c r="Q83" s="125"/>
      <c r="R83" s="125"/>
      <c r="S83" s="125"/>
      <c r="T83" s="125"/>
      <c r="U83" s="125"/>
      <c r="V83" s="125"/>
      <c r="W83" s="125"/>
      <c r="X83" s="125"/>
      <c r="Y83" s="125"/>
      <c r="Z83" s="125"/>
      <c r="AA83" s="125"/>
      <c r="AB83" s="125"/>
      <c r="AC83" s="125"/>
      <c r="AD83" s="125"/>
      <c r="AE83" s="125"/>
      <c r="AF83" s="125"/>
      <c r="AG83" s="125"/>
      <c r="AH83" s="125"/>
      <c r="AI83" s="125"/>
      <c r="AJ83" s="125"/>
      <c r="AK83" s="125"/>
      <c r="AL83" s="125"/>
      <c r="AM83" s="125"/>
      <c r="AN83" s="125"/>
      <c r="AO83" s="125"/>
      <c r="AP83" s="125"/>
      <c r="AQ83" s="125"/>
      <c r="AR83" s="125"/>
      <c r="AS83" s="125"/>
      <c r="AT83" s="125"/>
      <c r="AU83" s="125"/>
      <c r="AV83" s="125"/>
      <c r="AW83" s="125"/>
      <c r="AX83" s="125"/>
      <c r="AY83" s="125"/>
    </row>
    <row r="84" spans="1:52" x14ac:dyDescent="0.2">
      <c r="A84" s="124"/>
      <c r="B84" s="144">
        <v>40</v>
      </c>
      <c r="C84" s="124" t="s">
        <v>293</v>
      </c>
      <c r="D84" s="125"/>
      <c r="E84" s="125"/>
      <c r="F84" s="125"/>
      <c r="G84" s="125"/>
      <c r="H84" s="125"/>
      <c r="I84" s="125"/>
      <c r="J84" s="125"/>
      <c r="K84" s="125"/>
      <c r="L84" s="125"/>
      <c r="M84" s="125"/>
      <c r="N84" s="125"/>
      <c r="O84" s="125"/>
      <c r="P84" s="125"/>
      <c r="Q84" s="125"/>
      <c r="R84" s="125"/>
      <c r="S84" s="125"/>
      <c r="T84" s="125"/>
      <c r="U84" s="125"/>
      <c r="V84" s="125"/>
      <c r="W84" s="125"/>
      <c r="X84" s="125"/>
      <c r="Y84" s="125"/>
      <c r="Z84" s="125"/>
      <c r="AA84" s="125"/>
      <c r="AB84" s="125"/>
      <c r="AC84" s="125"/>
      <c r="AD84" s="125"/>
      <c r="AE84" s="125"/>
      <c r="AF84" s="125"/>
      <c r="AG84" s="125"/>
      <c r="AH84" s="125"/>
      <c r="AI84" s="125"/>
      <c r="AJ84" s="125"/>
      <c r="AK84" s="125"/>
      <c r="AL84" s="125"/>
      <c r="AM84" s="125"/>
      <c r="AN84" s="125"/>
      <c r="AO84" s="125"/>
      <c r="AP84" s="125"/>
      <c r="AQ84" s="125"/>
      <c r="AR84" s="125"/>
      <c r="AS84" s="125"/>
      <c r="AT84" s="125"/>
      <c r="AU84" s="125"/>
      <c r="AV84" s="125"/>
      <c r="AW84" s="125"/>
      <c r="AX84" s="125"/>
      <c r="AY84" s="125"/>
    </row>
    <row r="85" spans="1:52" x14ac:dyDescent="0.2">
      <c r="A85" s="124"/>
      <c r="B85" s="144">
        <v>41</v>
      </c>
      <c r="C85" s="124" t="s">
        <v>293</v>
      </c>
      <c r="D85" s="125"/>
      <c r="E85" s="125"/>
      <c r="F85" s="125"/>
      <c r="G85" s="125"/>
      <c r="H85" s="125"/>
      <c r="I85" s="125"/>
      <c r="J85" s="125"/>
      <c r="K85" s="125"/>
      <c r="L85" s="125"/>
      <c r="M85" s="125"/>
      <c r="N85" s="125"/>
      <c r="O85" s="125"/>
      <c r="P85" s="125"/>
      <c r="Q85" s="125"/>
      <c r="R85" s="125"/>
      <c r="S85" s="125"/>
      <c r="T85" s="125"/>
      <c r="U85" s="125"/>
      <c r="V85" s="125"/>
      <c r="W85" s="125"/>
      <c r="X85" s="125"/>
      <c r="Y85" s="125"/>
      <c r="Z85" s="125"/>
      <c r="AA85" s="125"/>
      <c r="AB85" s="125"/>
      <c r="AC85" s="125"/>
      <c r="AD85" s="125"/>
      <c r="AE85" s="125"/>
      <c r="AF85" s="125"/>
      <c r="AG85" s="125"/>
      <c r="AH85" s="125"/>
      <c r="AI85" s="125"/>
      <c r="AJ85" s="125"/>
      <c r="AK85" s="125"/>
      <c r="AL85" s="125"/>
      <c r="AM85" s="125"/>
      <c r="AN85" s="125"/>
      <c r="AO85" s="125"/>
      <c r="AP85" s="125"/>
      <c r="AQ85" s="125"/>
      <c r="AR85" s="125"/>
      <c r="AS85" s="125"/>
      <c r="AT85" s="125"/>
      <c r="AU85" s="125"/>
      <c r="AV85" s="125"/>
      <c r="AW85" s="125"/>
      <c r="AX85" s="125"/>
      <c r="AY85" s="125"/>
    </row>
    <row r="86" spans="1:52" x14ac:dyDescent="0.2">
      <c r="A86" s="124"/>
      <c r="B86" s="144">
        <v>42</v>
      </c>
      <c r="C86" s="124" t="s">
        <v>293</v>
      </c>
      <c r="D86" s="125"/>
      <c r="E86" s="125"/>
      <c r="F86" s="125"/>
      <c r="G86" s="125"/>
      <c r="H86" s="125"/>
      <c r="I86" s="125"/>
      <c r="J86" s="125"/>
      <c r="K86" s="125"/>
      <c r="L86" s="125"/>
      <c r="M86" s="125"/>
      <c r="N86" s="125"/>
      <c r="O86" s="125"/>
      <c r="P86" s="125"/>
      <c r="Q86" s="125"/>
      <c r="R86" s="125"/>
      <c r="S86" s="125"/>
      <c r="T86" s="125"/>
      <c r="U86" s="125"/>
      <c r="V86" s="125"/>
      <c r="W86" s="125"/>
      <c r="X86" s="125"/>
      <c r="Y86" s="125"/>
      <c r="Z86" s="125"/>
      <c r="AA86" s="125"/>
      <c r="AB86" s="125"/>
      <c r="AC86" s="125"/>
      <c r="AD86" s="125"/>
      <c r="AE86" s="125"/>
      <c r="AF86" s="125"/>
      <c r="AG86" s="125"/>
      <c r="AH86" s="125"/>
      <c r="AI86" s="125"/>
      <c r="AJ86" s="125"/>
      <c r="AK86" s="125"/>
      <c r="AL86" s="125"/>
      <c r="AM86" s="125"/>
      <c r="AN86" s="125"/>
      <c r="AO86" s="125"/>
      <c r="AP86" s="125"/>
      <c r="AQ86" s="125"/>
      <c r="AR86" s="125"/>
      <c r="AS86" s="125"/>
      <c r="AT86" s="125"/>
      <c r="AU86" s="125"/>
      <c r="AV86" s="125"/>
      <c r="AW86" s="125"/>
      <c r="AX86" s="125"/>
      <c r="AY86" s="125"/>
    </row>
    <row r="87" spans="1:52" x14ac:dyDescent="0.2">
      <c r="A87" s="124"/>
      <c r="B87" s="144">
        <v>43</v>
      </c>
      <c r="C87" s="124" t="s">
        <v>293</v>
      </c>
      <c r="D87" s="125">
        <v>0</v>
      </c>
      <c r="E87" s="125"/>
      <c r="F87" s="125"/>
      <c r="G87" s="125"/>
      <c r="H87" s="125"/>
      <c r="I87" s="125"/>
      <c r="J87" s="125"/>
      <c r="K87" s="125"/>
      <c r="L87" s="125"/>
      <c r="M87" s="125"/>
      <c r="N87" s="125"/>
      <c r="O87" s="125"/>
      <c r="P87" s="125"/>
      <c r="Q87" s="125"/>
      <c r="R87" s="125"/>
      <c r="S87" s="125"/>
      <c r="T87" s="125"/>
      <c r="U87" s="125"/>
      <c r="V87" s="125"/>
      <c r="W87" s="125"/>
      <c r="X87" s="125"/>
      <c r="Y87" s="125"/>
      <c r="Z87" s="125"/>
      <c r="AA87" s="125"/>
      <c r="AB87" s="125"/>
      <c r="AC87" s="125"/>
      <c r="AD87" s="125"/>
      <c r="AE87" s="125"/>
      <c r="AF87" s="125"/>
      <c r="AG87" s="125"/>
      <c r="AH87" s="125"/>
      <c r="AI87" s="125"/>
      <c r="AJ87" s="125"/>
      <c r="AK87" s="125"/>
      <c r="AL87" s="125"/>
      <c r="AM87" s="125"/>
      <c r="AN87" s="125"/>
      <c r="AO87" s="125"/>
      <c r="AP87" s="125"/>
      <c r="AQ87" s="125"/>
      <c r="AR87" s="125"/>
      <c r="AS87" s="125"/>
      <c r="AT87" s="125"/>
      <c r="AU87" s="125"/>
      <c r="AV87" s="125"/>
      <c r="AW87" s="125"/>
      <c r="AX87" s="125"/>
      <c r="AY87" s="125"/>
    </row>
    <row r="88" spans="1:52" x14ac:dyDescent="0.2">
      <c r="A88" s="124"/>
      <c r="B88" s="144">
        <v>44</v>
      </c>
      <c r="C88" s="124" t="s">
        <v>293</v>
      </c>
      <c r="D88" s="125">
        <v>0</v>
      </c>
      <c r="E88" s="125"/>
      <c r="F88" s="125"/>
      <c r="G88" s="125"/>
      <c r="H88" s="125"/>
      <c r="I88" s="125"/>
      <c r="J88" s="125"/>
      <c r="K88" s="125"/>
      <c r="L88" s="125"/>
      <c r="M88" s="125"/>
      <c r="N88" s="125"/>
      <c r="O88" s="125"/>
      <c r="P88" s="125"/>
      <c r="Q88" s="125"/>
      <c r="R88" s="125"/>
      <c r="S88" s="125"/>
      <c r="T88" s="125"/>
      <c r="U88" s="125"/>
      <c r="V88" s="125"/>
      <c r="W88" s="125"/>
      <c r="X88" s="125"/>
      <c r="Y88" s="125"/>
      <c r="Z88" s="125"/>
      <c r="AA88" s="125"/>
      <c r="AB88" s="125"/>
      <c r="AC88" s="125"/>
      <c r="AD88" s="125"/>
      <c r="AE88" s="125"/>
      <c r="AF88" s="125"/>
      <c r="AG88" s="125"/>
      <c r="AH88" s="125"/>
      <c r="AI88" s="125"/>
      <c r="AJ88" s="125"/>
      <c r="AK88" s="125"/>
      <c r="AL88" s="125"/>
      <c r="AM88" s="125"/>
      <c r="AN88" s="125"/>
      <c r="AO88" s="125"/>
      <c r="AP88" s="125"/>
      <c r="AQ88" s="125"/>
      <c r="AR88" s="125"/>
      <c r="AS88" s="125"/>
      <c r="AT88" s="125"/>
      <c r="AU88" s="125"/>
      <c r="AV88" s="125"/>
      <c r="AW88" s="125"/>
      <c r="AX88" s="125"/>
      <c r="AY88" s="125"/>
    </row>
    <row r="89" spans="1:52" x14ac:dyDescent="0.2">
      <c r="A89" s="124"/>
      <c r="B89" s="144">
        <v>45</v>
      </c>
      <c r="C89" s="124" t="s">
        <v>293</v>
      </c>
      <c r="D89" s="125">
        <v>0</v>
      </c>
      <c r="E89" s="125">
        <v>0</v>
      </c>
      <c r="F89" s="125">
        <v>0</v>
      </c>
      <c r="G89" s="125">
        <v>0</v>
      </c>
      <c r="H89" s="125">
        <v>0</v>
      </c>
      <c r="I89" s="125">
        <v>0</v>
      </c>
      <c r="J89" s="125">
        <v>0</v>
      </c>
      <c r="K89" s="125">
        <v>0</v>
      </c>
      <c r="L89" s="125"/>
      <c r="M89" s="125"/>
      <c r="N89" s="125"/>
      <c r="O89" s="125"/>
      <c r="P89" s="125"/>
      <c r="Q89" s="125"/>
      <c r="R89" s="125"/>
      <c r="S89" s="125"/>
      <c r="T89" s="125"/>
      <c r="U89" s="125"/>
      <c r="V89" s="125"/>
      <c r="W89" s="125"/>
      <c r="X89" s="125"/>
      <c r="Y89" s="125"/>
      <c r="Z89" s="125"/>
      <c r="AA89" s="125"/>
      <c r="AB89" s="125"/>
      <c r="AC89" s="125"/>
      <c r="AD89" s="125"/>
      <c r="AE89" s="125"/>
      <c r="AF89" s="125"/>
      <c r="AG89" s="125"/>
      <c r="AH89" s="125"/>
      <c r="AI89" s="125"/>
      <c r="AJ89" s="125"/>
      <c r="AK89" s="125"/>
      <c r="AL89" s="125"/>
      <c r="AM89" s="125"/>
      <c r="AN89" s="125"/>
      <c r="AO89" s="125"/>
      <c r="AP89" s="125"/>
      <c r="AQ89" s="125"/>
      <c r="AR89" s="125"/>
      <c r="AS89" s="125"/>
      <c r="AT89" s="125"/>
      <c r="AU89" s="125"/>
      <c r="AV89" s="125"/>
      <c r="AW89" s="125"/>
      <c r="AX89" s="125"/>
      <c r="AY89" s="125"/>
    </row>
    <row r="90" spans="1:52" x14ac:dyDescent="0.2">
      <c r="A90" s="124"/>
      <c r="B90" s="144">
        <v>46</v>
      </c>
      <c r="C90" s="124" t="s">
        <v>293</v>
      </c>
      <c r="D90" s="125">
        <v>0</v>
      </c>
      <c r="E90" s="125">
        <v>0</v>
      </c>
      <c r="F90" s="125">
        <v>0</v>
      </c>
      <c r="G90" s="125">
        <v>0</v>
      </c>
      <c r="H90" s="125">
        <v>0</v>
      </c>
      <c r="I90" s="125">
        <v>0</v>
      </c>
      <c r="J90" s="125">
        <v>0</v>
      </c>
      <c r="K90" s="125">
        <v>0</v>
      </c>
      <c r="L90" s="125">
        <v>0</v>
      </c>
      <c r="M90" s="125">
        <v>0</v>
      </c>
      <c r="N90" s="125">
        <v>0</v>
      </c>
      <c r="O90" s="125">
        <v>0</v>
      </c>
      <c r="P90" s="125">
        <v>0</v>
      </c>
      <c r="Q90" s="125">
        <v>0</v>
      </c>
      <c r="R90" s="125">
        <v>0</v>
      </c>
      <c r="S90" s="125">
        <v>0</v>
      </c>
      <c r="T90" s="125">
        <v>0</v>
      </c>
      <c r="U90" s="125">
        <v>0</v>
      </c>
      <c r="V90" s="125">
        <v>0</v>
      </c>
      <c r="W90" s="125">
        <v>0</v>
      </c>
      <c r="X90" s="125">
        <v>0</v>
      </c>
      <c r="Y90" s="125">
        <v>0</v>
      </c>
      <c r="Z90" s="125">
        <v>0</v>
      </c>
      <c r="AA90" s="125">
        <v>0</v>
      </c>
      <c r="AB90" s="125">
        <v>0</v>
      </c>
      <c r="AC90" s="125">
        <v>0</v>
      </c>
      <c r="AD90" s="125">
        <v>0</v>
      </c>
      <c r="AE90" s="125">
        <v>0</v>
      </c>
      <c r="AF90" s="125">
        <v>0</v>
      </c>
      <c r="AG90" s="125">
        <v>0</v>
      </c>
      <c r="AH90" s="125">
        <v>0</v>
      </c>
      <c r="AI90" s="125">
        <v>0</v>
      </c>
      <c r="AJ90" s="125">
        <v>0</v>
      </c>
      <c r="AK90" s="125">
        <v>0</v>
      </c>
      <c r="AL90" s="125">
        <v>0</v>
      </c>
      <c r="AM90" s="125">
        <v>0</v>
      </c>
      <c r="AN90" s="125">
        <v>0</v>
      </c>
      <c r="AO90" s="125">
        <v>0</v>
      </c>
      <c r="AP90" s="125">
        <v>0</v>
      </c>
      <c r="AQ90" s="125"/>
      <c r="AR90" s="125">
        <v>0</v>
      </c>
      <c r="AS90" s="125">
        <v>0</v>
      </c>
      <c r="AT90" s="125">
        <v>0</v>
      </c>
      <c r="AU90" s="125">
        <v>0</v>
      </c>
      <c r="AV90" s="125">
        <v>0</v>
      </c>
      <c r="AW90" s="125">
        <v>0</v>
      </c>
      <c r="AX90" s="125">
        <v>0</v>
      </c>
      <c r="AY90" s="125"/>
    </row>
    <row r="91" spans="1:52" x14ac:dyDescent="0.2">
      <c r="A91" s="124"/>
      <c r="B91" s="144">
        <v>47</v>
      </c>
      <c r="C91" s="124" t="s">
        <v>293</v>
      </c>
      <c r="D91" s="125">
        <v>0</v>
      </c>
      <c r="E91" s="125">
        <v>0</v>
      </c>
      <c r="F91" s="125">
        <v>0</v>
      </c>
      <c r="G91" s="125">
        <v>0</v>
      </c>
      <c r="H91" s="125">
        <v>0</v>
      </c>
      <c r="I91" s="125">
        <v>0</v>
      </c>
      <c r="J91" s="125">
        <v>0</v>
      </c>
      <c r="K91" s="125">
        <v>0</v>
      </c>
      <c r="L91" s="125">
        <v>0</v>
      </c>
      <c r="M91" s="125">
        <v>0</v>
      </c>
      <c r="N91" s="125">
        <v>0</v>
      </c>
      <c r="O91" s="125">
        <v>0</v>
      </c>
      <c r="P91" s="125">
        <v>0</v>
      </c>
      <c r="Q91" s="125">
        <v>0</v>
      </c>
      <c r="R91" s="125">
        <v>0</v>
      </c>
      <c r="S91" s="125">
        <v>0</v>
      </c>
      <c r="T91" s="125">
        <v>0</v>
      </c>
      <c r="U91" s="125">
        <v>0</v>
      </c>
      <c r="V91" s="125">
        <v>0</v>
      </c>
      <c r="W91" s="125">
        <v>0</v>
      </c>
      <c r="X91" s="125">
        <v>0</v>
      </c>
      <c r="Y91" s="125">
        <v>0</v>
      </c>
      <c r="Z91" s="125">
        <v>0</v>
      </c>
      <c r="AA91" s="125">
        <v>0</v>
      </c>
      <c r="AB91" s="125">
        <v>0</v>
      </c>
      <c r="AC91" s="125">
        <v>0</v>
      </c>
      <c r="AD91" s="125">
        <v>0</v>
      </c>
      <c r="AE91" s="125">
        <v>0</v>
      </c>
      <c r="AF91" s="125">
        <v>0</v>
      </c>
      <c r="AG91" s="125">
        <v>0</v>
      </c>
      <c r="AH91" s="125">
        <v>0</v>
      </c>
      <c r="AI91" s="125">
        <v>0</v>
      </c>
      <c r="AJ91" s="125">
        <v>0</v>
      </c>
      <c r="AK91" s="125">
        <v>0</v>
      </c>
      <c r="AL91" s="125">
        <v>0</v>
      </c>
      <c r="AM91" s="125">
        <v>0</v>
      </c>
      <c r="AN91" s="125">
        <v>0</v>
      </c>
      <c r="AO91" s="125">
        <v>0</v>
      </c>
      <c r="AP91" s="125">
        <v>0</v>
      </c>
      <c r="AQ91" s="125">
        <v>0</v>
      </c>
      <c r="AR91" s="125">
        <v>0</v>
      </c>
      <c r="AS91" s="125">
        <v>0</v>
      </c>
      <c r="AT91" s="125">
        <v>0</v>
      </c>
      <c r="AU91" s="125">
        <v>0</v>
      </c>
      <c r="AV91" s="125">
        <v>0</v>
      </c>
      <c r="AW91" s="125">
        <v>0</v>
      </c>
      <c r="AX91" s="125">
        <v>0</v>
      </c>
      <c r="AY91" s="125">
        <v>0</v>
      </c>
    </row>
    <row r="92" spans="1:52" x14ac:dyDescent="0.2">
      <c r="A92" s="142"/>
      <c r="B92" s="143">
        <v>48</v>
      </c>
      <c r="C92" s="142" t="s">
        <v>293</v>
      </c>
      <c r="D92" s="139">
        <v>0</v>
      </c>
      <c r="E92" s="139">
        <v>0</v>
      </c>
      <c r="F92" s="139">
        <v>0</v>
      </c>
      <c r="G92" s="139">
        <v>0</v>
      </c>
      <c r="H92" s="139">
        <v>0</v>
      </c>
      <c r="I92" s="139">
        <v>0</v>
      </c>
      <c r="J92" s="139">
        <v>0</v>
      </c>
      <c r="K92" s="139">
        <v>0</v>
      </c>
      <c r="L92" s="139">
        <v>0</v>
      </c>
      <c r="M92" s="139">
        <v>0</v>
      </c>
      <c r="N92" s="139">
        <v>0</v>
      </c>
      <c r="O92" s="139">
        <v>0</v>
      </c>
      <c r="P92" s="139">
        <v>0</v>
      </c>
      <c r="Q92" s="139">
        <v>0</v>
      </c>
      <c r="R92" s="139">
        <v>0</v>
      </c>
      <c r="S92" s="139">
        <v>0</v>
      </c>
      <c r="T92" s="139">
        <v>0</v>
      </c>
      <c r="U92" s="139">
        <v>0</v>
      </c>
      <c r="V92" s="139">
        <v>0</v>
      </c>
      <c r="W92" s="139">
        <v>0</v>
      </c>
      <c r="X92" s="139">
        <v>0</v>
      </c>
      <c r="Y92" s="139">
        <v>0</v>
      </c>
      <c r="Z92" s="139">
        <v>0</v>
      </c>
      <c r="AA92" s="139">
        <v>0</v>
      </c>
      <c r="AB92" s="139">
        <v>0</v>
      </c>
      <c r="AC92" s="139">
        <v>0</v>
      </c>
      <c r="AD92" s="139">
        <v>0</v>
      </c>
      <c r="AE92" s="139">
        <v>0</v>
      </c>
      <c r="AF92" s="139">
        <v>0</v>
      </c>
      <c r="AG92" s="139">
        <v>0</v>
      </c>
      <c r="AH92" s="139">
        <v>0</v>
      </c>
      <c r="AI92" s="139">
        <v>0</v>
      </c>
      <c r="AJ92" s="139">
        <v>0</v>
      </c>
      <c r="AK92" s="139">
        <v>0</v>
      </c>
      <c r="AL92" s="139">
        <v>0</v>
      </c>
      <c r="AM92" s="139">
        <v>0</v>
      </c>
      <c r="AN92" s="139">
        <v>0</v>
      </c>
      <c r="AO92" s="139">
        <v>0</v>
      </c>
      <c r="AP92" s="139">
        <v>0</v>
      </c>
      <c r="AQ92" s="139">
        <v>0</v>
      </c>
      <c r="AR92" s="139">
        <v>0</v>
      </c>
      <c r="AS92" s="139">
        <v>0</v>
      </c>
      <c r="AT92" s="139">
        <v>0</v>
      </c>
      <c r="AU92" s="139">
        <v>0</v>
      </c>
      <c r="AV92" s="139">
        <v>0</v>
      </c>
      <c r="AW92" s="139">
        <v>0</v>
      </c>
      <c r="AX92" s="139">
        <v>0</v>
      </c>
      <c r="AY92" s="139">
        <v>0</v>
      </c>
      <c r="AZ92" s="122">
        <f>SUM(D21:AY92)</f>
        <v>354504.35362855601</v>
      </c>
    </row>
    <row r="94" spans="1:52" x14ac:dyDescent="0.2">
      <c r="A94" s="1" t="s">
        <v>295</v>
      </c>
      <c r="B94" s="121"/>
      <c r="C94" s="121"/>
      <c r="D94" s="128"/>
      <c r="E94" s="128"/>
      <c r="F94" s="128"/>
      <c r="G94" s="128"/>
      <c r="H94" s="128"/>
      <c r="I94" s="128"/>
      <c r="J94" s="128"/>
      <c r="K94" s="128"/>
      <c r="L94" s="128"/>
      <c r="M94" s="128"/>
      <c r="N94" s="128"/>
      <c r="O94" s="128"/>
      <c r="P94" s="128"/>
      <c r="Q94" s="128"/>
      <c r="R94" s="128"/>
      <c r="S94" s="128"/>
      <c r="T94" s="128"/>
      <c r="U94" s="128"/>
      <c r="V94" s="128"/>
      <c r="W94" s="128"/>
      <c r="X94" s="128"/>
      <c r="Y94" s="128"/>
      <c r="Z94" s="128"/>
      <c r="AA94" s="128"/>
      <c r="AB94" s="128"/>
      <c r="AC94" s="128"/>
      <c r="AD94" s="128"/>
      <c r="AE94" s="128"/>
      <c r="AF94" s="128"/>
      <c r="AG94" s="128"/>
      <c r="AH94" s="128"/>
      <c r="AI94" s="128"/>
      <c r="AJ94" s="128"/>
      <c r="AK94" s="128"/>
      <c r="AL94" s="128"/>
      <c r="AM94" s="128"/>
      <c r="AN94" s="128"/>
      <c r="AO94" s="128"/>
      <c r="AP94" s="128"/>
      <c r="AQ94" s="128"/>
      <c r="AR94" s="128"/>
      <c r="AS94" s="128"/>
      <c r="AT94" s="128"/>
      <c r="AU94" s="128"/>
      <c r="AV94" s="128"/>
      <c r="AW94" s="128"/>
      <c r="AX94" s="128"/>
      <c r="AY94" s="128"/>
    </row>
    <row r="95" spans="1:52" x14ac:dyDescent="0.2">
      <c r="A95" s="140" t="s">
        <v>125</v>
      </c>
      <c r="B95" s="137">
        <v>1</v>
      </c>
      <c r="C95" s="138">
        <v>0</v>
      </c>
      <c r="D95" s="125">
        <v>0</v>
      </c>
      <c r="E95" s="125">
        <v>1580.6264113050311</v>
      </c>
      <c r="F95" s="125">
        <v>1047.2532714476702</v>
      </c>
      <c r="G95" s="125">
        <v>2826.5046572887641</v>
      </c>
      <c r="H95" s="125">
        <v>2733.0717066859097</v>
      </c>
      <c r="I95" s="125">
        <v>3351.2564446830152</v>
      </c>
      <c r="J95" s="125">
        <v>4589.7148485906873</v>
      </c>
      <c r="K95" s="125">
        <v>6230.9545460425816</v>
      </c>
      <c r="L95" s="125">
        <v>7608.5840784748398</v>
      </c>
      <c r="M95" s="125">
        <v>7608.5840784748398</v>
      </c>
      <c r="N95" s="125">
        <v>7608.5840784748398</v>
      </c>
      <c r="O95" s="125">
        <v>7608.5840784748398</v>
      </c>
      <c r="P95" s="125">
        <v>7402.4948360173948</v>
      </c>
      <c r="Q95" s="125">
        <v>7402.4948360173948</v>
      </c>
      <c r="R95" s="125">
        <v>7402.4948360173948</v>
      </c>
      <c r="S95" s="125">
        <v>7402.4948360173948</v>
      </c>
      <c r="T95" s="125">
        <v>7608.5840784748398</v>
      </c>
      <c r="U95" s="125">
        <v>7608.5840784748398</v>
      </c>
      <c r="V95" s="125">
        <v>7608.5840784748398</v>
      </c>
      <c r="W95" s="125">
        <v>7608.5840784748398</v>
      </c>
      <c r="X95" s="125">
        <v>7608.5840784748398</v>
      </c>
      <c r="Y95" s="125">
        <v>7608.5840784748398</v>
      </c>
      <c r="Z95" s="125">
        <v>7608.5840784748398</v>
      </c>
      <c r="AA95" s="125">
        <v>7608.5840784748398</v>
      </c>
      <c r="AB95" s="125">
        <v>7402.4948360173948</v>
      </c>
      <c r="AC95" s="125">
        <v>7221.4273316417293</v>
      </c>
      <c r="AD95" s="125">
        <v>7221.7636265383544</v>
      </c>
      <c r="AE95" s="125">
        <v>7222.0985430745795</v>
      </c>
      <c r="AF95" s="125">
        <v>7608.5840784748398</v>
      </c>
      <c r="AG95" s="125">
        <v>7608.5840784748398</v>
      </c>
      <c r="AH95" s="125">
        <v>7608.5840784748398</v>
      </c>
      <c r="AI95" s="125">
        <v>7608.5840784748398</v>
      </c>
      <c r="AJ95" s="125">
        <v>7608.5840784748398</v>
      </c>
      <c r="AK95" s="125">
        <v>7608.5840784748398</v>
      </c>
      <c r="AL95" s="125">
        <v>7608.5840784748398</v>
      </c>
      <c r="AM95" s="125">
        <v>7608.5840784748398</v>
      </c>
      <c r="AN95" s="125">
        <v>7725.4804736179112</v>
      </c>
      <c r="AO95" s="125">
        <v>7725.4804736179112</v>
      </c>
      <c r="AP95" s="125">
        <v>7725.4804736179112</v>
      </c>
      <c r="AQ95" s="125">
        <v>7725.4804736179112</v>
      </c>
      <c r="AR95" s="125">
        <v>7519.3912311604654</v>
      </c>
      <c r="AS95" s="125">
        <v>7519.3912311604654</v>
      </c>
      <c r="AT95" s="125">
        <v>7519.3912311604654</v>
      </c>
      <c r="AU95" s="125">
        <v>7519.3912311604654</v>
      </c>
      <c r="AV95" s="125">
        <v>7456.083976861295</v>
      </c>
      <c r="AW95" s="125">
        <v>7456.083976861295</v>
      </c>
      <c r="AX95" s="125">
        <v>7456.083976861295</v>
      </c>
      <c r="AY95" s="125">
        <v>7456.083976861295</v>
      </c>
    </row>
    <row r="96" spans="1:52" x14ac:dyDescent="0.2">
      <c r="A96" s="124"/>
      <c r="B96" s="134">
        <v>2</v>
      </c>
      <c r="C96" s="125">
        <v>0</v>
      </c>
      <c r="D96" s="125">
        <v>0</v>
      </c>
      <c r="E96" s="125">
        <v>0</v>
      </c>
      <c r="F96" s="125">
        <v>0</v>
      </c>
      <c r="G96" s="125">
        <v>0</v>
      </c>
      <c r="H96" s="125">
        <v>0</v>
      </c>
      <c r="I96" s="125">
        <v>0</v>
      </c>
      <c r="J96" s="125">
        <v>0</v>
      </c>
      <c r="K96" s="125">
        <v>0</v>
      </c>
      <c r="L96" s="125">
        <v>226.28631707344266</v>
      </c>
      <c r="M96" s="125">
        <v>1805.8652970694848</v>
      </c>
      <c r="N96" s="125">
        <v>3533.5051810142186</v>
      </c>
      <c r="O96" s="125">
        <v>3943.2282944633957</v>
      </c>
      <c r="P96" s="125">
        <v>5197.6541115971822</v>
      </c>
      <c r="Q96" s="125">
        <v>4800.8642655433687</v>
      </c>
      <c r="R96" s="125">
        <v>5418.0869897628581</v>
      </c>
      <c r="S96" s="125">
        <v>4798.48273369464</v>
      </c>
      <c r="T96" s="125">
        <v>5510.8795465507274</v>
      </c>
      <c r="U96" s="125">
        <v>6730.0744627740478</v>
      </c>
      <c r="V96" s="125">
        <v>5604.1157934490884</v>
      </c>
      <c r="W96" s="125">
        <v>6861.8939410027542</v>
      </c>
      <c r="X96" s="125">
        <v>5863.6342642326945</v>
      </c>
      <c r="Y96" s="125">
        <v>5173.1163403067758</v>
      </c>
      <c r="Z96" s="125">
        <v>6042.4118573035139</v>
      </c>
      <c r="AA96" s="125">
        <v>7308.8145273717073</v>
      </c>
      <c r="AB96" s="125">
        <v>6142.3555158965382</v>
      </c>
      <c r="AC96" s="125">
        <v>6147.5378873139216</v>
      </c>
      <c r="AD96" s="125">
        <v>6134.703538961613</v>
      </c>
      <c r="AE96" s="125">
        <v>5455.0410814040524</v>
      </c>
      <c r="AF96" s="125">
        <v>5027.0376365355496</v>
      </c>
      <c r="AG96" s="125">
        <v>7298.5997309400864</v>
      </c>
      <c r="AH96" s="125">
        <v>5264.6649970648123</v>
      </c>
      <c r="AI96" s="125">
        <v>5520.4567300167946</v>
      </c>
      <c r="AJ96" s="125">
        <v>6241.9979155402034</v>
      </c>
      <c r="AK96" s="125">
        <v>6432.5195311908665</v>
      </c>
      <c r="AL96" s="125">
        <v>6268.0003988837443</v>
      </c>
      <c r="AM96" s="125">
        <v>7553.7689279314473</v>
      </c>
      <c r="AN96" s="125">
        <v>6346.4367378774105</v>
      </c>
      <c r="AO96" s="125">
        <v>5704.7119652750634</v>
      </c>
      <c r="AP96" s="125">
        <v>5496.9861297508432</v>
      </c>
      <c r="AQ96" s="125">
        <v>7725.4804736179112</v>
      </c>
      <c r="AR96" s="125">
        <v>6082.1452456090537</v>
      </c>
      <c r="AS96" s="125">
        <v>6362.3028766542084</v>
      </c>
      <c r="AT96" s="125">
        <v>7046.4042403779858</v>
      </c>
      <c r="AU96" s="125">
        <v>6378.9253083674084</v>
      </c>
      <c r="AV96" s="125">
        <v>7232.6673086619649</v>
      </c>
      <c r="AW96" s="125">
        <v>7435.2896025165255</v>
      </c>
      <c r="AX96" s="125">
        <v>6943.0778637531148</v>
      </c>
      <c r="AY96" s="125">
        <v>7456.083976861295</v>
      </c>
    </row>
    <row r="97" spans="1:52" x14ac:dyDescent="0.2">
      <c r="A97" s="124"/>
      <c r="B97" s="141">
        <v>3</v>
      </c>
      <c r="C97" s="125">
        <v>0</v>
      </c>
      <c r="D97" s="125">
        <v>0</v>
      </c>
      <c r="E97" s="125">
        <v>0</v>
      </c>
      <c r="F97" s="125">
        <v>0</v>
      </c>
      <c r="G97" s="125">
        <v>0</v>
      </c>
      <c r="H97" s="125">
        <v>0</v>
      </c>
      <c r="I97" s="125">
        <v>0</v>
      </c>
      <c r="J97" s="125">
        <v>0</v>
      </c>
      <c r="K97" s="125">
        <v>0</v>
      </c>
      <c r="L97" s="125">
        <v>0</v>
      </c>
      <c r="M97" s="125">
        <v>0</v>
      </c>
      <c r="N97" s="125">
        <v>0</v>
      </c>
      <c r="O97" s="125">
        <v>0</v>
      </c>
      <c r="P97" s="125">
        <v>0</v>
      </c>
      <c r="Q97" s="125">
        <v>0</v>
      </c>
      <c r="R97" s="125">
        <v>0</v>
      </c>
      <c r="S97" s="125">
        <v>0</v>
      </c>
      <c r="T97" s="125">
        <v>0</v>
      </c>
      <c r="U97" s="125">
        <v>0</v>
      </c>
      <c r="V97" s="125">
        <v>0</v>
      </c>
      <c r="W97" s="125">
        <v>0</v>
      </c>
      <c r="X97" s="125">
        <v>0</v>
      </c>
      <c r="Y97" s="125">
        <v>0</v>
      </c>
      <c r="Z97" s="125">
        <v>0</v>
      </c>
      <c r="AA97" s="125">
        <v>0</v>
      </c>
      <c r="AB97" s="125">
        <v>0</v>
      </c>
      <c r="AC97" s="125">
        <v>0</v>
      </c>
      <c r="AD97" s="125">
        <v>0</v>
      </c>
      <c r="AE97" s="125">
        <v>0</v>
      </c>
      <c r="AF97" s="125">
        <v>0</v>
      </c>
      <c r="AG97" s="125">
        <v>0</v>
      </c>
      <c r="AH97" s="125">
        <v>0</v>
      </c>
      <c r="AI97" s="125">
        <v>0</v>
      </c>
      <c r="AJ97" s="125">
        <v>0</v>
      </c>
      <c r="AK97" s="125">
        <v>0</v>
      </c>
      <c r="AL97" s="125">
        <v>0</v>
      </c>
      <c r="AM97" s="125">
        <v>0</v>
      </c>
      <c r="AN97" s="125">
        <v>0</v>
      </c>
      <c r="AO97" s="125">
        <v>0</v>
      </c>
      <c r="AP97" s="125">
        <v>0</v>
      </c>
      <c r="AQ97" s="125">
        <v>63.419065587568184</v>
      </c>
      <c r="AR97" s="125">
        <v>0</v>
      </c>
      <c r="AS97" s="125">
        <v>0</v>
      </c>
      <c r="AT97" s="125">
        <v>0</v>
      </c>
      <c r="AU97" s="125">
        <v>0</v>
      </c>
      <c r="AV97" s="125">
        <v>0</v>
      </c>
      <c r="AW97" s="125">
        <v>0</v>
      </c>
      <c r="AX97" s="125">
        <v>0</v>
      </c>
      <c r="AY97" s="125">
        <v>2038.8821370197356</v>
      </c>
    </row>
    <row r="98" spans="1:52" x14ac:dyDescent="0.2">
      <c r="A98" s="124"/>
      <c r="B98" s="144">
        <v>4</v>
      </c>
      <c r="C98" s="121">
        <v>0</v>
      </c>
      <c r="D98" s="125">
        <v>0</v>
      </c>
      <c r="E98" s="125">
        <v>0</v>
      </c>
      <c r="F98" s="125">
        <v>0</v>
      </c>
      <c r="G98" s="125">
        <v>0</v>
      </c>
      <c r="H98" s="125">
        <v>0</v>
      </c>
      <c r="I98" s="125">
        <v>0</v>
      </c>
      <c r="J98" s="125">
        <v>0</v>
      </c>
      <c r="K98" s="125">
        <v>0</v>
      </c>
      <c r="L98" s="125">
        <v>0</v>
      </c>
      <c r="M98" s="125">
        <v>0</v>
      </c>
      <c r="N98" s="125">
        <v>0</v>
      </c>
      <c r="O98" s="125">
        <v>0</v>
      </c>
      <c r="P98" s="125">
        <v>0</v>
      </c>
      <c r="Q98" s="125">
        <v>0</v>
      </c>
      <c r="R98" s="125">
        <v>0</v>
      </c>
      <c r="S98" s="125">
        <v>0</v>
      </c>
      <c r="T98" s="125">
        <v>0</v>
      </c>
      <c r="U98" s="125">
        <v>0</v>
      </c>
      <c r="V98" s="125">
        <v>0</v>
      </c>
      <c r="W98" s="125">
        <v>0</v>
      </c>
      <c r="X98" s="125">
        <v>0</v>
      </c>
      <c r="Y98" s="125">
        <v>0</v>
      </c>
      <c r="Z98" s="125">
        <v>0</v>
      </c>
      <c r="AA98" s="125">
        <v>0</v>
      </c>
      <c r="AB98" s="125">
        <v>0</v>
      </c>
      <c r="AC98" s="125">
        <v>0</v>
      </c>
      <c r="AD98" s="125">
        <v>0</v>
      </c>
      <c r="AE98" s="125">
        <v>0</v>
      </c>
      <c r="AF98" s="125">
        <v>0</v>
      </c>
      <c r="AG98" s="125">
        <v>0</v>
      </c>
      <c r="AH98" s="125">
        <v>0</v>
      </c>
      <c r="AI98" s="125">
        <v>0</v>
      </c>
      <c r="AJ98" s="125">
        <v>0</v>
      </c>
      <c r="AK98" s="125">
        <v>0</v>
      </c>
      <c r="AL98" s="125">
        <v>0</v>
      </c>
      <c r="AM98" s="125">
        <v>0</v>
      </c>
      <c r="AN98" s="125">
        <v>0</v>
      </c>
      <c r="AO98" s="125">
        <v>0</v>
      </c>
      <c r="AP98" s="125">
        <v>0</v>
      </c>
      <c r="AQ98" s="125">
        <v>0</v>
      </c>
      <c r="AR98" s="125">
        <v>0</v>
      </c>
      <c r="AS98" s="125">
        <v>0</v>
      </c>
      <c r="AT98" s="125">
        <v>0</v>
      </c>
      <c r="AU98" s="125">
        <v>0</v>
      </c>
      <c r="AV98" s="125">
        <v>0</v>
      </c>
      <c r="AW98" s="125">
        <v>0</v>
      </c>
      <c r="AX98" s="125">
        <v>0</v>
      </c>
      <c r="AY98" s="125">
        <v>0</v>
      </c>
    </row>
    <row r="99" spans="1:52" x14ac:dyDescent="0.2">
      <c r="A99" s="142"/>
      <c r="B99" s="146" t="s">
        <v>296</v>
      </c>
      <c r="C99" s="139">
        <v>0</v>
      </c>
      <c r="D99" s="139">
        <v>0</v>
      </c>
      <c r="E99" s="139">
        <v>0</v>
      </c>
      <c r="F99" s="139">
        <v>0</v>
      </c>
      <c r="G99" s="139">
        <v>0</v>
      </c>
      <c r="H99" s="139">
        <v>0</v>
      </c>
      <c r="I99" s="139">
        <v>0</v>
      </c>
      <c r="J99" s="139">
        <v>0</v>
      </c>
      <c r="K99" s="139">
        <v>0</v>
      </c>
      <c r="L99" s="139">
        <v>0</v>
      </c>
      <c r="M99" s="139">
        <v>0</v>
      </c>
      <c r="N99" s="139">
        <v>0</v>
      </c>
      <c r="O99" s="139">
        <v>0</v>
      </c>
      <c r="P99" s="139">
        <v>0</v>
      </c>
      <c r="Q99" s="139">
        <v>0</v>
      </c>
      <c r="R99" s="139">
        <v>0</v>
      </c>
      <c r="S99" s="139">
        <v>0</v>
      </c>
      <c r="T99" s="139">
        <v>0</v>
      </c>
      <c r="U99" s="139">
        <v>0</v>
      </c>
      <c r="V99" s="139">
        <v>0</v>
      </c>
      <c r="W99" s="139">
        <v>0</v>
      </c>
      <c r="X99" s="139">
        <v>0</v>
      </c>
      <c r="Y99" s="139">
        <v>0</v>
      </c>
      <c r="Z99" s="139">
        <v>0</v>
      </c>
      <c r="AA99" s="139">
        <v>0</v>
      </c>
      <c r="AB99" s="139">
        <v>0</v>
      </c>
      <c r="AC99" s="139">
        <v>0</v>
      </c>
      <c r="AD99" s="139">
        <v>0</v>
      </c>
      <c r="AE99" s="139">
        <v>0</v>
      </c>
      <c r="AF99" s="139">
        <v>0</v>
      </c>
      <c r="AG99" s="139">
        <v>0</v>
      </c>
      <c r="AH99" s="139">
        <v>0</v>
      </c>
      <c r="AI99" s="139">
        <v>0</v>
      </c>
      <c r="AJ99" s="139">
        <v>0</v>
      </c>
      <c r="AK99" s="139">
        <v>0</v>
      </c>
      <c r="AL99" s="139">
        <v>0</v>
      </c>
      <c r="AM99" s="139">
        <v>0</v>
      </c>
      <c r="AN99" s="139">
        <v>0</v>
      </c>
      <c r="AO99" s="139">
        <v>0</v>
      </c>
      <c r="AP99" s="139">
        <v>0</v>
      </c>
      <c r="AQ99" s="139">
        <v>0</v>
      </c>
      <c r="AR99" s="139">
        <v>0</v>
      </c>
      <c r="AS99" s="139">
        <v>0</v>
      </c>
      <c r="AT99" s="139">
        <v>0</v>
      </c>
      <c r="AU99" s="139">
        <v>0</v>
      </c>
      <c r="AV99" s="139">
        <v>0</v>
      </c>
      <c r="AW99" s="139">
        <v>0</v>
      </c>
      <c r="AX99" s="139">
        <v>0</v>
      </c>
      <c r="AY99" s="139">
        <v>0</v>
      </c>
      <c r="AZ99" s="122">
        <f>SUM($D99:$AY99)</f>
        <v>0</v>
      </c>
    </row>
    <row r="100" spans="1:52" x14ac:dyDescent="0.2">
      <c r="A100" s="145" t="s">
        <v>133</v>
      </c>
      <c r="B100" s="133">
        <v>1</v>
      </c>
      <c r="C100" s="121">
        <v>82.318414053736518</v>
      </c>
      <c r="D100" s="121">
        <v>1402.9553092401027</v>
      </c>
      <c r="E100" s="121">
        <v>120</v>
      </c>
      <c r="F100" s="121">
        <v>2999.3507586071873</v>
      </c>
      <c r="G100" s="121">
        <v>150</v>
      </c>
      <c r="H100" s="121">
        <v>1910</v>
      </c>
      <c r="I100" s="121">
        <v>2829.3507586071873</v>
      </c>
      <c r="J100" s="121">
        <v>2935.8396286779675</v>
      </c>
      <c r="K100" s="121">
        <v>2765.8396286779675</v>
      </c>
      <c r="L100" s="121">
        <v>2935.8396286779675</v>
      </c>
      <c r="M100" s="121">
        <v>2765.8396286779675</v>
      </c>
      <c r="N100" s="121">
        <v>1910</v>
      </c>
      <c r="O100" s="121">
        <v>2829.3507586071873</v>
      </c>
      <c r="P100" s="121">
        <v>1910</v>
      </c>
      <c r="Q100" s="121">
        <v>2829.3507586071873</v>
      </c>
      <c r="R100" s="121">
        <v>1910</v>
      </c>
      <c r="S100" s="121">
        <v>2829.3507586071873</v>
      </c>
      <c r="T100" s="121">
        <v>1910</v>
      </c>
      <c r="U100" s="121">
        <v>150</v>
      </c>
      <c r="V100" s="121">
        <v>1910</v>
      </c>
      <c r="W100" s="121">
        <v>150</v>
      </c>
      <c r="X100" s="121">
        <v>1910</v>
      </c>
      <c r="Y100" s="121">
        <v>2829.3507586071873</v>
      </c>
      <c r="Z100" s="121">
        <v>1910</v>
      </c>
      <c r="AA100" s="121">
        <v>150</v>
      </c>
      <c r="AB100" s="121">
        <v>1910</v>
      </c>
      <c r="AC100" s="121">
        <v>2829.3507586071873</v>
      </c>
      <c r="AD100" s="121">
        <v>1910</v>
      </c>
      <c r="AE100" s="121">
        <v>2829.3507586071873</v>
      </c>
      <c r="AF100" s="121">
        <v>2999.3507586071873</v>
      </c>
      <c r="AG100" s="121">
        <v>150</v>
      </c>
      <c r="AH100" s="121">
        <v>2999.3507586071873</v>
      </c>
      <c r="AI100" s="121">
        <v>2829.3507586071873</v>
      </c>
      <c r="AJ100" s="121">
        <v>1910</v>
      </c>
      <c r="AK100" s="121">
        <v>2829.3507586071873</v>
      </c>
      <c r="AL100" s="121">
        <v>1910</v>
      </c>
      <c r="AM100" s="121">
        <v>150</v>
      </c>
      <c r="AN100" s="121">
        <v>1910</v>
      </c>
      <c r="AO100" s="121">
        <v>2829.3507586071873</v>
      </c>
      <c r="AP100" s="121">
        <v>2999.3507586071873</v>
      </c>
      <c r="AQ100" s="121">
        <v>150</v>
      </c>
      <c r="AR100" s="121">
        <v>2999.3507586071873</v>
      </c>
      <c r="AS100" s="121">
        <v>2829.3507586071873</v>
      </c>
      <c r="AT100" s="121">
        <v>1910</v>
      </c>
      <c r="AU100" s="121">
        <v>2829.3507586071873</v>
      </c>
      <c r="AV100" s="121">
        <v>1910</v>
      </c>
      <c r="AW100" s="121">
        <v>2829.3507586071873</v>
      </c>
      <c r="AX100" s="121">
        <v>2935.8396286779675</v>
      </c>
      <c r="AY100" s="121">
        <v>150</v>
      </c>
    </row>
    <row r="101" spans="1:52" x14ac:dyDescent="0.2">
      <c r="A101" s="124"/>
      <c r="B101" s="133">
        <v>2</v>
      </c>
      <c r="C101" s="121">
        <v>1537.0458230613617</v>
      </c>
      <c r="D101" s="121">
        <v>1396.2898684275378</v>
      </c>
      <c r="E101" s="121">
        <v>1349.2451776676405</v>
      </c>
      <c r="F101" s="121">
        <v>120</v>
      </c>
      <c r="G101" s="121">
        <v>1507.3170468651394</v>
      </c>
      <c r="H101" s="121">
        <v>2999.3507586071873</v>
      </c>
      <c r="I101" s="121">
        <v>2999.3507586071873</v>
      </c>
      <c r="J101" s="121">
        <v>2999.3507586071873</v>
      </c>
      <c r="K101" s="121">
        <v>2935.8396286779675</v>
      </c>
      <c r="L101" s="121">
        <v>2765.8396286779675</v>
      </c>
      <c r="M101" s="121">
        <v>2935.8396286779675</v>
      </c>
      <c r="N101" s="121">
        <v>2935.8396286779675</v>
      </c>
      <c r="O101" s="121">
        <v>2999.3507586071873</v>
      </c>
      <c r="P101" s="121">
        <v>2999.3507586071873</v>
      </c>
      <c r="Q101" s="121">
        <v>2999.3507586071873</v>
      </c>
      <c r="R101" s="121">
        <v>2999.3507586071873</v>
      </c>
      <c r="S101" s="121">
        <v>2999.3507586071873</v>
      </c>
      <c r="T101" s="121">
        <v>2999.3507586071873</v>
      </c>
      <c r="U101" s="121">
        <v>2999.3507586071873</v>
      </c>
      <c r="V101" s="121">
        <v>2999.3507586071873</v>
      </c>
      <c r="W101" s="121">
        <v>2999.3507586071873</v>
      </c>
      <c r="X101" s="121">
        <v>2829.3507586071873</v>
      </c>
      <c r="Y101" s="121">
        <v>2999.3507586071873</v>
      </c>
      <c r="Z101" s="121">
        <v>2829.3507586071873</v>
      </c>
      <c r="AA101" s="121">
        <v>2999.3507586071873</v>
      </c>
      <c r="AB101" s="121">
        <v>2829.3507586071873</v>
      </c>
      <c r="AC101" s="121">
        <v>1910</v>
      </c>
      <c r="AD101" s="121">
        <v>2999.3507586071873</v>
      </c>
      <c r="AE101" s="121">
        <v>2999.3507586071873</v>
      </c>
      <c r="AF101" s="121">
        <v>2829.3507586071873</v>
      </c>
      <c r="AG101" s="121">
        <v>2999.3507586071873</v>
      </c>
      <c r="AH101" s="121">
        <v>2829.3507586071873</v>
      </c>
      <c r="AI101" s="121">
        <v>2999.3507586071873</v>
      </c>
      <c r="AJ101" s="121">
        <v>2999.3507586071873</v>
      </c>
      <c r="AK101" s="121">
        <v>1910</v>
      </c>
      <c r="AL101" s="121">
        <v>2999.3507586071873</v>
      </c>
      <c r="AM101" s="121">
        <v>2999.3507586071873</v>
      </c>
      <c r="AN101" s="121">
        <v>2829.3507586071873</v>
      </c>
      <c r="AO101" s="121">
        <v>2999.3507586071873</v>
      </c>
      <c r="AP101" s="121">
        <v>2999.3507586071873</v>
      </c>
      <c r="AQ101" s="121">
        <v>2999.3507586071873</v>
      </c>
      <c r="AR101" s="121">
        <v>2829.3507586071873</v>
      </c>
      <c r="AS101" s="121">
        <v>2999.3507586071873</v>
      </c>
      <c r="AT101" s="121">
        <v>2999.3507586071873</v>
      </c>
      <c r="AU101" s="121">
        <v>2999.3507586071873</v>
      </c>
      <c r="AV101" s="121">
        <v>2999.3507586071873</v>
      </c>
      <c r="AW101" s="121">
        <v>1910</v>
      </c>
      <c r="AX101" s="121">
        <v>2829.3507586071873</v>
      </c>
      <c r="AY101" s="121">
        <v>2935.8396286779675</v>
      </c>
    </row>
    <row r="102" spans="1:52" x14ac:dyDescent="0.2">
      <c r="A102" s="124"/>
      <c r="B102" s="134">
        <v>3</v>
      </c>
      <c r="C102" s="121">
        <v>5.2045207221283452</v>
      </c>
      <c r="D102" s="121">
        <v>0</v>
      </c>
      <c r="E102" s="121">
        <v>0</v>
      </c>
      <c r="F102" s="121">
        <v>262.9662882579521</v>
      </c>
      <c r="G102" s="121">
        <v>2144.2758722718731</v>
      </c>
      <c r="H102" s="121">
        <v>1507.3170468651394</v>
      </c>
      <c r="I102" s="121">
        <v>2999.3507586071873</v>
      </c>
      <c r="J102" s="121">
        <v>2999.3507586071873</v>
      </c>
      <c r="K102" s="121">
        <v>2999.3507586071873</v>
      </c>
      <c r="L102" s="121">
        <v>2935.8396286779675</v>
      </c>
      <c r="M102" s="121">
        <v>2935.8396286779675</v>
      </c>
      <c r="N102" s="121">
        <v>2935.8396286779675</v>
      </c>
      <c r="O102" s="121">
        <v>2935.8396286779675</v>
      </c>
      <c r="P102" s="121">
        <v>2999.3507586071873</v>
      </c>
      <c r="Q102" s="121">
        <v>2999.3507586071873</v>
      </c>
      <c r="R102" s="121">
        <v>2999.3507586071873</v>
      </c>
      <c r="S102" s="121">
        <v>2999.3507586071873</v>
      </c>
      <c r="T102" s="121">
        <v>2999.3507586071873</v>
      </c>
      <c r="U102" s="121">
        <v>2999.3507586071873</v>
      </c>
      <c r="V102" s="121">
        <v>2999.3507586071873</v>
      </c>
      <c r="W102" s="121">
        <v>2999.3507586071873</v>
      </c>
      <c r="X102" s="121">
        <v>2999.3507586071873</v>
      </c>
      <c r="Y102" s="121">
        <v>2999.3507586071873</v>
      </c>
      <c r="Z102" s="121">
        <v>2999.3507586071873</v>
      </c>
      <c r="AA102" s="121">
        <v>2829.3507586071873</v>
      </c>
      <c r="AB102" s="121">
        <v>2999.3507586071873</v>
      </c>
      <c r="AC102" s="121">
        <v>2999.3507586071873</v>
      </c>
      <c r="AD102" s="121">
        <v>2999.3507586071873</v>
      </c>
      <c r="AE102" s="121">
        <v>2999.3507586071873</v>
      </c>
      <c r="AF102" s="121">
        <v>2999.3507586071873</v>
      </c>
      <c r="AG102" s="121">
        <v>2829.3507586071873</v>
      </c>
      <c r="AH102" s="121">
        <v>2999.3507586071873</v>
      </c>
      <c r="AI102" s="121">
        <v>2829.3507586071873</v>
      </c>
      <c r="AJ102" s="121">
        <v>2999.3507586071873</v>
      </c>
      <c r="AK102" s="121">
        <v>2999.3507586071873</v>
      </c>
      <c r="AL102" s="121">
        <v>2999.3507586071873</v>
      </c>
      <c r="AM102" s="121">
        <v>2999.3507586071873</v>
      </c>
      <c r="AN102" s="121">
        <v>2999.3507586071873</v>
      </c>
      <c r="AO102" s="121">
        <v>2999.3507586071873</v>
      </c>
      <c r="AP102" s="121">
        <v>2999.3507586071873</v>
      </c>
      <c r="AQ102" s="121">
        <v>2999.3507586071873</v>
      </c>
      <c r="AR102" s="121">
        <v>2999.3507586071873</v>
      </c>
      <c r="AS102" s="121">
        <v>2829.3507586071873</v>
      </c>
      <c r="AT102" s="121">
        <v>2999.3507586071873</v>
      </c>
      <c r="AU102" s="121">
        <v>2999.3507586071873</v>
      </c>
      <c r="AV102" s="121">
        <v>2999.3507586071873</v>
      </c>
      <c r="AW102" s="121">
        <v>2999.3507586071873</v>
      </c>
      <c r="AX102" s="121">
        <v>2999.3507586071873</v>
      </c>
      <c r="AY102" s="121">
        <v>2999.3507586071873</v>
      </c>
    </row>
    <row r="103" spans="1:52" x14ac:dyDescent="0.2">
      <c r="A103" s="124"/>
      <c r="B103" s="134">
        <v>4</v>
      </c>
      <c r="C103" s="121">
        <v>0</v>
      </c>
      <c r="D103" s="121">
        <v>0</v>
      </c>
      <c r="E103" s="121">
        <v>0</v>
      </c>
      <c r="F103" s="121">
        <v>0</v>
      </c>
      <c r="G103" s="121">
        <v>0</v>
      </c>
      <c r="H103" s="121">
        <v>381.27587227187314</v>
      </c>
      <c r="I103" s="121">
        <v>257.59291913701259</v>
      </c>
      <c r="J103" s="121">
        <v>1518.9436777441999</v>
      </c>
      <c r="K103" s="121">
        <v>2687.294436351387</v>
      </c>
      <c r="L103" s="121">
        <v>2999.3507586071873</v>
      </c>
      <c r="M103" s="121">
        <v>2935.8396286779675</v>
      </c>
      <c r="N103" s="121">
        <v>2935.8396286779675</v>
      </c>
      <c r="O103" s="121">
        <v>2935.8396286779675</v>
      </c>
      <c r="P103" s="121">
        <v>2935.8396286779675</v>
      </c>
      <c r="Q103" s="121">
        <v>2999.3507586071873</v>
      </c>
      <c r="R103" s="121">
        <v>2999.3507586071873</v>
      </c>
      <c r="S103" s="121">
        <v>2999.3507586071873</v>
      </c>
      <c r="T103" s="121">
        <v>2999.3507586071873</v>
      </c>
      <c r="U103" s="121">
        <v>2999.3507586071873</v>
      </c>
      <c r="V103" s="121">
        <v>2999.3507586071873</v>
      </c>
      <c r="W103" s="121">
        <v>2999.3507586071873</v>
      </c>
      <c r="X103" s="121">
        <v>2999.3507586071873</v>
      </c>
      <c r="Y103" s="121">
        <v>2999.3507586071873</v>
      </c>
      <c r="Z103" s="121">
        <v>2999.3507586071873</v>
      </c>
      <c r="AA103" s="121">
        <v>2999.3507586071873</v>
      </c>
      <c r="AB103" s="121">
        <v>2999.3507586071873</v>
      </c>
      <c r="AC103" s="121">
        <v>2999.3507586071873</v>
      </c>
      <c r="AD103" s="121">
        <v>2999.3507586071873</v>
      </c>
      <c r="AE103" s="121">
        <v>2999.3507586071873</v>
      </c>
      <c r="AF103" s="121">
        <v>2999.3507586071873</v>
      </c>
      <c r="AG103" s="121">
        <v>2999.3507586071873</v>
      </c>
      <c r="AH103" s="121">
        <v>2999.3507586071873</v>
      </c>
      <c r="AI103" s="121">
        <v>2999.3507586071873</v>
      </c>
      <c r="AJ103" s="121">
        <v>2999.3507586071873</v>
      </c>
      <c r="AK103" s="121">
        <v>2999.3507586071873</v>
      </c>
      <c r="AL103" s="121">
        <v>2999.3507586071873</v>
      </c>
      <c r="AM103" s="121">
        <v>2999.3507586071873</v>
      </c>
      <c r="AN103" s="121">
        <v>2999.3507586071873</v>
      </c>
      <c r="AO103" s="121">
        <v>2999.3507586071873</v>
      </c>
      <c r="AP103" s="121">
        <v>2999.3507586071873</v>
      </c>
      <c r="AQ103" s="121">
        <v>2999.3507586071873</v>
      </c>
      <c r="AR103" s="121">
        <v>2999.3507586071873</v>
      </c>
      <c r="AS103" s="121">
        <v>2999.3507586071873</v>
      </c>
      <c r="AT103" s="121">
        <v>2999.3507586071873</v>
      </c>
      <c r="AU103" s="121">
        <v>2999.3507586071873</v>
      </c>
      <c r="AV103" s="121">
        <v>2999.3507586071873</v>
      </c>
      <c r="AW103" s="121">
        <v>2999.3507586071873</v>
      </c>
      <c r="AX103" s="121">
        <v>2999.3507586071873</v>
      </c>
      <c r="AY103" s="121">
        <v>2999.3507586071873</v>
      </c>
    </row>
    <row r="104" spans="1:52" x14ac:dyDescent="0.2">
      <c r="A104" s="124"/>
      <c r="B104" s="141">
        <v>5</v>
      </c>
      <c r="C104" s="121">
        <v>0</v>
      </c>
      <c r="D104" s="121">
        <v>0</v>
      </c>
      <c r="E104" s="121">
        <v>0</v>
      </c>
      <c r="F104" s="121">
        <v>0</v>
      </c>
      <c r="G104" s="121">
        <v>0</v>
      </c>
      <c r="H104" s="121">
        <v>0</v>
      </c>
      <c r="I104" s="121">
        <v>0</v>
      </c>
      <c r="J104" s="121">
        <v>0</v>
      </c>
      <c r="K104" s="121">
        <v>0</v>
      </c>
      <c r="L104" s="121">
        <v>811.29443635138705</v>
      </c>
      <c r="M104" s="121">
        <v>1896.6451949585744</v>
      </c>
      <c r="N104" s="121">
        <v>2935.8396286779675</v>
      </c>
      <c r="O104" s="121">
        <v>2935.8396286779675</v>
      </c>
      <c r="P104" s="121">
        <v>2935.8396286779675</v>
      </c>
      <c r="Q104" s="121">
        <v>2935.8396286779675</v>
      </c>
      <c r="R104" s="121">
        <v>2999.3507586071873</v>
      </c>
      <c r="S104" s="121">
        <v>2999.3507586071873</v>
      </c>
      <c r="T104" s="121">
        <v>2999.3507586071873</v>
      </c>
      <c r="U104" s="121">
        <v>2999.3507586071873</v>
      </c>
      <c r="V104" s="121">
        <v>2999.3507586071873</v>
      </c>
      <c r="W104" s="121">
        <v>2999.3507586071873</v>
      </c>
      <c r="X104" s="121">
        <v>2999.3507586071873</v>
      </c>
      <c r="Y104" s="121">
        <v>2999.3507586071873</v>
      </c>
      <c r="Z104" s="121">
        <v>2999.3507586071873</v>
      </c>
      <c r="AA104" s="121">
        <v>2999.3507586071873</v>
      </c>
      <c r="AB104" s="121">
        <v>2999.3507586071873</v>
      </c>
      <c r="AC104" s="121">
        <v>2999.3507586071873</v>
      </c>
      <c r="AD104" s="121">
        <v>2999.3507586071873</v>
      </c>
      <c r="AE104" s="121">
        <v>2999.3507586071873</v>
      </c>
      <c r="AF104" s="121">
        <v>2999.3507586071873</v>
      </c>
      <c r="AG104" s="121">
        <v>2999.3507586071873</v>
      </c>
      <c r="AH104" s="121">
        <v>2999.3507586071873</v>
      </c>
      <c r="AI104" s="121">
        <v>2999.3507586071873</v>
      </c>
      <c r="AJ104" s="121">
        <v>2999.3507586071873</v>
      </c>
      <c r="AK104" s="121">
        <v>2999.3507586071873</v>
      </c>
      <c r="AL104" s="121">
        <v>2999.3507586071873</v>
      </c>
      <c r="AM104" s="121">
        <v>2999.3507586071873</v>
      </c>
      <c r="AN104" s="121">
        <v>2999.3507586071873</v>
      </c>
      <c r="AO104" s="121">
        <v>2999.3507586071873</v>
      </c>
      <c r="AP104" s="121">
        <v>2999.3507586071873</v>
      </c>
      <c r="AQ104" s="121">
        <v>2999.3507586071873</v>
      </c>
      <c r="AR104" s="121">
        <v>2999.3507586071873</v>
      </c>
      <c r="AS104" s="121">
        <v>2999.3507586071873</v>
      </c>
      <c r="AT104" s="121">
        <v>2999.3507586071873</v>
      </c>
      <c r="AU104" s="121">
        <v>2999.3507586071873</v>
      </c>
      <c r="AV104" s="121">
        <v>2999.3507586071873</v>
      </c>
      <c r="AW104" s="121">
        <v>2999.3507586071873</v>
      </c>
      <c r="AX104" s="121">
        <v>2999.3507586071873</v>
      </c>
      <c r="AY104" s="121">
        <v>2999.3507586071873</v>
      </c>
    </row>
    <row r="105" spans="1:52" x14ac:dyDescent="0.2">
      <c r="A105" s="124"/>
      <c r="B105" s="141">
        <v>6</v>
      </c>
      <c r="C105" s="121">
        <v>0</v>
      </c>
      <c r="D105" s="121">
        <v>0</v>
      </c>
      <c r="E105" s="121">
        <v>0</v>
      </c>
      <c r="F105" s="121">
        <v>0</v>
      </c>
      <c r="G105" s="121">
        <v>0</v>
      </c>
      <c r="H105" s="121">
        <v>0</v>
      </c>
      <c r="I105" s="121">
        <v>0</v>
      </c>
      <c r="J105" s="121">
        <v>0</v>
      </c>
      <c r="K105" s="121">
        <v>0</v>
      </c>
      <c r="L105" s="121">
        <v>0</v>
      </c>
      <c r="M105" s="121">
        <v>0</v>
      </c>
      <c r="N105" s="121">
        <v>92.252884154288338</v>
      </c>
      <c r="O105" s="121">
        <v>621.96049932097435</v>
      </c>
      <c r="P105" s="121">
        <v>1209.0040429497158</v>
      </c>
      <c r="Q105" s="121">
        <v>1337.2020951762838</v>
      </c>
      <c r="R105" s="121">
        <v>1954.2760443074922</v>
      </c>
      <c r="S105" s="121">
        <v>1944.2543556320406</v>
      </c>
      <c r="T105" s="121">
        <v>2232.9040566318763</v>
      </c>
      <c r="U105" s="121">
        <v>2653.0368511680435</v>
      </c>
      <c r="V105" s="121">
        <v>2209.1770010082337</v>
      </c>
      <c r="W105" s="121">
        <v>2705.0009022906447</v>
      </c>
      <c r="X105" s="121">
        <v>2311.4807823937208</v>
      </c>
      <c r="Y105" s="121">
        <v>2039.2743590174778</v>
      </c>
      <c r="Z105" s="121">
        <v>2381.9560119329358</v>
      </c>
      <c r="AA105" s="121">
        <v>2881.1797531697675</v>
      </c>
      <c r="AB105" s="121">
        <v>2421.3544184074099</v>
      </c>
      <c r="AC105" s="121">
        <v>2490.8659626707113</v>
      </c>
      <c r="AD105" s="121">
        <v>2547.9904274314149</v>
      </c>
      <c r="AE105" s="121">
        <v>2265.5936211505859</v>
      </c>
      <c r="AF105" s="121">
        <v>2087.7379419238532</v>
      </c>
      <c r="AG105" s="121">
        <v>2877.1530174315276</v>
      </c>
      <c r="AH105" s="121">
        <v>2075.36340400464</v>
      </c>
      <c r="AI105" s="121">
        <v>2176.1980823576673</v>
      </c>
      <c r="AJ105" s="121">
        <v>2460.6340667464701</v>
      </c>
      <c r="AK105" s="121">
        <v>2535.7388624008322</v>
      </c>
      <c r="AL105" s="121">
        <v>2470.8844060129786</v>
      </c>
      <c r="AM105" s="121">
        <v>2977.7422882702931</v>
      </c>
      <c r="AN105" s="121">
        <v>2501.8044944862841</v>
      </c>
      <c r="AO105" s="121">
        <v>2214.8049197864702</v>
      </c>
      <c r="AP105" s="121">
        <v>2134.1571666157083</v>
      </c>
      <c r="AQ105" s="121">
        <v>2999.3507586071873</v>
      </c>
      <c r="AR105" s="121">
        <v>2361.3401158249899</v>
      </c>
      <c r="AS105" s="121">
        <v>2537.8088960848563</v>
      </c>
      <c r="AT105" s="121">
        <v>2810.6847022732863</v>
      </c>
      <c r="AU105" s="121">
        <v>2544.4392869816988</v>
      </c>
      <c r="AV105" s="121">
        <v>2884.9817108985226</v>
      </c>
      <c r="AW105" s="121">
        <v>2990.9858283489848</v>
      </c>
      <c r="AX105" s="121">
        <v>2792.98434973945</v>
      </c>
      <c r="AY105" s="121">
        <v>2999.3507586071873</v>
      </c>
    </row>
    <row r="106" spans="1:52" x14ac:dyDescent="0.2">
      <c r="A106" s="124"/>
      <c r="B106" s="144">
        <v>7</v>
      </c>
      <c r="C106" s="121">
        <v>0</v>
      </c>
      <c r="D106" s="121">
        <v>0</v>
      </c>
      <c r="E106" s="121">
        <v>0</v>
      </c>
      <c r="F106" s="121">
        <v>0</v>
      </c>
      <c r="G106" s="121">
        <v>0</v>
      </c>
      <c r="H106" s="121">
        <v>0</v>
      </c>
      <c r="I106" s="121">
        <v>0</v>
      </c>
      <c r="J106" s="121">
        <v>0</v>
      </c>
      <c r="K106" s="121">
        <v>0</v>
      </c>
      <c r="L106" s="121">
        <v>0</v>
      </c>
      <c r="M106" s="121">
        <v>0</v>
      </c>
      <c r="N106" s="121">
        <v>0</v>
      </c>
      <c r="O106" s="121">
        <v>0</v>
      </c>
      <c r="P106" s="121">
        <v>0</v>
      </c>
      <c r="Q106" s="121">
        <v>0</v>
      </c>
      <c r="R106" s="121">
        <v>0</v>
      </c>
      <c r="S106" s="121">
        <v>0</v>
      </c>
      <c r="T106" s="121">
        <v>0</v>
      </c>
      <c r="U106" s="121">
        <v>0</v>
      </c>
      <c r="V106" s="121">
        <v>0</v>
      </c>
      <c r="W106" s="121">
        <v>0</v>
      </c>
      <c r="X106" s="121">
        <v>0</v>
      </c>
      <c r="Y106" s="121">
        <v>0</v>
      </c>
      <c r="Z106" s="121">
        <v>0</v>
      </c>
      <c r="AA106" s="121">
        <v>0</v>
      </c>
      <c r="AB106" s="121">
        <v>0</v>
      </c>
      <c r="AC106" s="121">
        <v>0</v>
      </c>
      <c r="AD106" s="121">
        <v>0</v>
      </c>
      <c r="AE106" s="121">
        <v>0</v>
      </c>
      <c r="AF106" s="121">
        <v>0</v>
      </c>
      <c r="AG106" s="121">
        <v>0</v>
      </c>
      <c r="AH106" s="121">
        <v>0</v>
      </c>
      <c r="AI106" s="121">
        <v>0</v>
      </c>
      <c r="AJ106" s="121">
        <v>0</v>
      </c>
      <c r="AK106" s="121">
        <v>0</v>
      </c>
      <c r="AL106" s="121">
        <v>0</v>
      </c>
      <c r="AM106" s="121">
        <v>0</v>
      </c>
      <c r="AN106" s="121">
        <v>0</v>
      </c>
      <c r="AO106" s="121">
        <v>0</v>
      </c>
      <c r="AP106" s="121">
        <v>0</v>
      </c>
      <c r="AQ106" s="121">
        <v>6.8701684660893534</v>
      </c>
      <c r="AR106" s="121">
        <v>0</v>
      </c>
      <c r="AS106" s="121">
        <v>0</v>
      </c>
      <c r="AT106" s="121">
        <v>0</v>
      </c>
      <c r="AU106" s="121">
        <v>0</v>
      </c>
      <c r="AV106" s="121">
        <v>0</v>
      </c>
      <c r="AW106" s="121">
        <v>0</v>
      </c>
      <c r="AX106" s="121">
        <v>0</v>
      </c>
      <c r="AY106" s="121">
        <v>296.72251091655608</v>
      </c>
    </row>
    <row r="107" spans="1:52" x14ac:dyDescent="0.2">
      <c r="A107" s="124"/>
      <c r="B107" s="144">
        <v>8</v>
      </c>
      <c r="C107" s="121">
        <v>0</v>
      </c>
      <c r="D107" s="121">
        <v>0</v>
      </c>
      <c r="E107" s="121">
        <v>0</v>
      </c>
      <c r="F107" s="121">
        <v>0</v>
      </c>
      <c r="G107" s="121">
        <v>0</v>
      </c>
      <c r="H107" s="121">
        <v>0</v>
      </c>
      <c r="I107" s="121">
        <v>0</v>
      </c>
      <c r="J107" s="121">
        <v>0</v>
      </c>
      <c r="K107" s="121">
        <v>0</v>
      </c>
      <c r="L107" s="121">
        <v>0</v>
      </c>
      <c r="M107" s="121">
        <v>0</v>
      </c>
      <c r="N107" s="121">
        <v>0</v>
      </c>
      <c r="O107" s="121">
        <v>0</v>
      </c>
      <c r="P107" s="121">
        <v>0</v>
      </c>
      <c r="Q107" s="121">
        <v>0</v>
      </c>
      <c r="R107" s="121">
        <v>0</v>
      </c>
      <c r="S107" s="121">
        <v>0</v>
      </c>
      <c r="T107" s="121">
        <v>0</v>
      </c>
      <c r="U107" s="121">
        <v>0</v>
      </c>
      <c r="V107" s="121">
        <v>0</v>
      </c>
      <c r="W107" s="121">
        <v>0</v>
      </c>
      <c r="X107" s="121">
        <v>0</v>
      </c>
      <c r="Y107" s="121">
        <v>0</v>
      </c>
      <c r="Z107" s="121">
        <v>0</v>
      </c>
      <c r="AA107" s="121">
        <v>0</v>
      </c>
      <c r="AB107" s="121">
        <v>0</v>
      </c>
      <c r="AC107" s="121">
        <v>0</v>
      </c>
      <c r="AD107" s="121">
        <v>0</v>
      </c>
      <c r="AE107" s="121">
        <v>0</v>
      </c>
      <c r="AF107" s="121">
        <v>0</v>
      </c>
      <c r="AG107" s="121">
        <v>0</v>
      </c>
      <c r="AH107" s="121">
        <v>0</v>
      </c>
      <c r="AI107" s="121">
        <v>0</v>
      </c>
      <c r="AJ107" s="121">
        <v>0</v>
      </c>
      <c r="AK107" s="121">
        <v>0</v>
      </c>
      <c r="AL107" s="121">
        <v>0</v>
      </c>
      <c r="AM107" s="121">
        <v>0</v>
      </c>
      <c r="AN107" s="121">
        <v>0</v>
      </c>
      <c r="AO107" s="121">
        <v>0</v>
      </c>
      <c r="AP107" s="121">
        <v>0</v>
      </c>
      <c r="AQ107" s="121">
        <v>0</v>
      </c>
      <c r="AR107" s="121">
        <v>0</v>
      </c>
      <c r="AS107" s="121">
        <v>0</v>
      </c>
      <c r="AT107" s="121">
        <v>0</v>
      </c>
      <c r="AU107" s="121">
        <v>0</v>
      </c>
      <c r="AV107" s="121">
        <v>0</v>
      </c>
      <c r="AW107" s="121">
        <v>0</v>
      </c>
      <c r="AX107" s="121">
        <v>0</v>
      </c>
      <c r="AY107" s="121">
        <v>0</v>
      </c>
    </row>
    <row r="108" spans="1:52" x14ac:dyDescent="0.2">
      <c r="A108" s="142"/>
      <c r="B108" s="146" t="s">
        <v>296</v>
      </c>
      <c r="C108" s="128">
        <v>0</v>
      </c>
      <c r="D108" s="139">
        <v>0</v>
      </c>
      <c r="E108" s="139">
        <v>0</v>
      </c>
      <c r="F108" s="139">
        <v>0</v>
      </c>
      <c r="G108" s="139">
        <v>0</v>
      </c>
      <c r="H108" s="139">
        <v>0</v>
      </c>
      <c r="I108" s="139">
        <v>0</v>
      </c>
      <c r="J108" s="139">
        <v>0</v>
      </c>
      <c r="K108" s="139">
        <v>0</v>
      </c>
      <c r="L108" s="139">
        <v>0</v>
      </c>
      <c r="M108" s="139">
        <v>0</v>
      </c>
      <c r="N108" s="139">
        <v>0</v>
      </c>
      <c r="O108" s="139">
        <v>0</v>
      </c>
      <c r="P108" s="139">
        <v>0</v>
      </c>
      <c r="Q108" s="139">
        <v>0</v>
      </c>
      <c r="R108" s="139">
        <v>0</v>
      </c>
      <c r="S108" s="139">
        <v>0</v>
      </c>
      <c r="T108" s="139">
        <v>0</v>
      </c>
      <c r="U108" s="139">
        <v>0</v>
      </c>
      <c r="V108" s="139">
        <v>0</v>
      </c>
      <c r="W108" s="139">
        <v>0</v>
      </c>
      <c r="X108" s="139">
        <v>0</v>
      </c>
      <c r="Y108" s="139">
        <v>0</v>
      </c>
      <c r="Z108" s="139">
        <v>0</v>
      </c>
      <c r="AA108" s="139">
        <v>0</v>
      </c>
      <c r="AB108" s="139">
        <v>0</v>
      </c>
      <c r="AC108" s="139">
        <v>0</v>
      </c>
      <c r="AD108" s="139">
        <v>0</v>
      </c>
      <c r="AE108" s="139">
        <v>0</v>
      </c>
      <c r="AF108" s="139">
        <v>0</v>
      </c>
      <c r="AG108" s="139">
        <v>0</v>
      </c>
      <c r="AH108" s="139">
        <v>0</v>
      </c>
      <c r="AI108" s="139">
        <v>0</v>
      </c>
      <c r="AJ108" s="139">
        <v>0</v>
      </c>
      <c r="AK108" s="139">
        <v>0</v>
      </c>
      <c r="AL108" s="139">
        <v>0</v>
      </c>
      <c r="AM108" s="139">
        <v>0</v>
      </c>
      <c r="AN108" s="139">
        <v>0</v>
      </c>
      <c r="AO108" s="139">
        <v>0</v>
      </c>
      <c r="AP108" s="139">
        <v>0</v>
      </c>
      <c r="AQ108" s="139">
        <v>0</v>
      </c>
      <c r="AR108" s="139">
        <v>0</v>
      </c>
      <c r="AS108" s="139">
        <v>0</v>
      </c>
      <c r="AT108" s="139">
        <v>0</v>
      </c>
      <c r="AU108" s="139">
        <v>0</v>
      </c>
      <c r="AV108" s="139">
        <v>0</v>
      </c>
      <c r="AW108" s="139">
        <v>0</v>
      </c>
      <c r="AX108" s="139">
        <v>0</v>
      </c>
      <c r="AY108" s="139">
        <v>0</v>
      </c>
      <c r="AZ108" s="122">
        <f>SUM($D108:$AY108)</f>
        <v>0</v>
      </c>
    </row>
    <row r="109" spans="1:52" x14ac:dyDescent="0.2">
      <c r="A109" s="145" t="s">
        <v>134</v>
      </c>
      <c r="B109" s="133">
        <v>1</v>
      </c>
      <c r="C109" s="121">
        <v>4704.2428239320889</v>
      </c>
      <c r="D109" s="121">
        <v>4456.9518533497421</v>
      </c>
      <c r="E109" s="121">
        <v>3993.9493982513395</v>
      </c>
      <c r="F109" s="121">
        <v>2699.1360445745463</v>
      </c>
      <c r="G109" s="121">
        <v>2048.3452015112607</v>
      </c>
      <c r="H109" s="121">
        <v>1676.9147420123061</v>
      </c>
      <c r="I109" s="121">
        <v>1405.6504175438968</v>
      </c>
      <c r="J109" s="121">
        <v>1278.957546010455</v>
      </c>
      <c r="K109" s="121">
        <v>1257.5954385030009</v>
      </c>
      <c r="L109" s="121">
        <v>1155.6906773004332</v>
      </c>
      <c r="M109" s="121">
        <v>1195.8996223475838</v>
      </c>
      <c r="N109" s="121">
        <v>1144.2983122228272</v>
      </c>
      <c r="O109" s="121">
        <v>1173.2228801365281</v>
      </c>
      <c r="P109" s="121">
        <v>1125.6004827235402</v>
      </c>
      <c r="Q109" s="121">
        <v>1191.0722591610834</v>
      </c>
      <c r="R109" s="121">
        <v>1229.2719326015726</v>
      </c>
      <c r="S109" s="121">
        <v>1179.7927523164074</v>
      </c>
      <c r="T109" s="121">
        <v>1258.0163806945779</v>
      </c>
      <c r="U109" s="121">
        <v>1233.8758600734504</v>
      </c>
      <c r="V109" s="121">
        <v>1207.9654895261795</v>
      </c>
      <c r="W109" s="121">
        <v>1175.1354344953888</v>
      </c>
      <c r="X109" s="121">
        <v>1230.2733086591209</v>
      </c>
      <c r="Y109" s="121">
        <v>1196.3849519453756</v>
      </c>
      <c r="Z109" s="121">
        <v>1169.7825538275747</v>
      </c>
      <c r="AA109" s="121">
        <v>1154.0035591963358</v>
      </c>
      <c r="AB109" s="121">
        <v>1216.0804906140202</v>
      </c>
      <c r="AC109" s="121">
        <v>1288.6693038827873</v>
      </c>
      <c r="AD109" s="121">
        <v>1255.5164991583772</v>
      </c>
      <c r="AE109" s="121">
        <v>1214.6380391351065</v>
      </c>
      <c r="AF109" s="121">
        <v>1192.963876402536</v>
      </c>
      <c r="AG109" s="121">
        <v>1182.6045986072843</v>
      </c>
      <c r="AH109" s="121">
        <v>1175.1615087823234</v>
      </c>
      <c r="AI109" s="121">
        <v>1150.9544364555995</v>
      </c>
      <c r="AJ109" s="121">
        <v>1159.4009475080866</v>
      </c>
      <c r="AK109" s="121">
        <v>1184.1512999886077</v>
      </c>
      <c r="AL109" s="121">
        <v>1178.7503690813769</v>
      </c>
      <c r="AM109" s="121">
        <v>1182.7047378182065</v>
      </c>
      <c r="AN109" s="121">
        <v>1131.6513685135631</v>
      </c>
      <c r="AO109" s="121">
        <v>1114.0982430439155</v>
      </c>
      <c r="AP109" s="121">
        <v>1215.5689637586747</v>
      </c>
      <c r="AQ109" s="121">
        <v>1208.6007872783366</v>
      </c>
      <c r="AR109" s="121">
        <v>1183.7337018540397</v>
      </c>
      <c r="AS109" s="121">
        <v>1141.3799221323459</v>
      </c>
      <c r="AT109" s="121">
        <v>1065.2540336039983</v>
      </c>
      <c r="AU109" s="121">
        <v>1084.1103181949243</v>
      </c>
      <c r="AV109" s="121">
        <v>1109.9110895850308</v>
      </c>
      <c r="AW109" s="121">
        <v>1163.3175533108354</v>
      </c>
      <c r="AX109" s="121">
        <v>1118.861746770013</v>
      </c>
      <c r="AY109" s="121">
        <v>1071.4049550772042</v>
      </c>
    </row>
    <row r="110" spans="1:52" x14ac:dyDescent="0.2">
      <c r="A110" s="124"/>
      <c r="B110" s="133">
        <v>2</v>
      </c>
      <c r="C110" s="121">
        <v>4660.2464048934116</v>
      </c>
      <c r="D110" s="121">
        <v>4704.2428239320889</v>
      </c>
      <c r="E110" s="121">
        <v>4456.9518533497421</v>
      </c>
      <c r="F110" s="121">
        <v>3993.9493982513395</v>
      </c>
      <c r="G110" s="121">
        <v>2699.1360445745463</v>
      </c>
      <c r="H110" s="121">
        <v>2048.3452015112607</v>
      </c>
      <c r="I110" s="121">
        <v>1676.9147420123061</v>
      </c>
      <c r="J110" s="121">
        <v>1405.6504175438968</v>
      </c>
      <c r="K110" s="121">
        <v>1278.957546010455</v>
      </c>
      <c r="L110" s="121">
        <v>1257.5954385030009</v>
      </c>
      <c r="M110" s="121">
        <v>1155.6906773004332</v>
      </c>
      <c r="N110" s="121">
        <v>1195.8996223475838</v>
      </c>
      <c r="O110" s="121">
        <v>1144.2983122228272</v>
      </c>
      <c r="P110" s="121">
        <v>1173.2228801365281</v>
      </c>
      <c r="Q110" s="121">
        <v>1125.6004827235402</v>
      </c>
      <c r="R110" s="121">
        <v>1191.0722591610834</v>
      </c>
      <c r="S110" s="121">
        <v>1229.2719326015726</v>
      </c>
      <c r="T110" s="121">
        <v>1179.7927523164074</v>
      </c>
      <c r="U110" s="121">
        <v>1258.0163806945779</v>
      </c>
      <c r="V110" s="121">
        <v>1233.8758600734504</v>
      </c>
      <c r="W110" s="121">
        <v>1207.9654895261795</v>
      </c>
      <c r="X110" s="121">
        <v>1175.1354344953888</v>
      </c>
      <c r="Y110" s="121">
        <v>1230.2733086591209</v>
      </c>
      <c r="Z110" s="121">
        <v>1196.3849519453756</v>
      </c>
      <c r="AA110" s="121">
        <v>1169.7825538275747</v>
      </c>
      <c r="AB110" s="121">
        <v>1154.0035591963358</v>
      </c>
      <c r="AC110" s="121">
        <v>1216.0804906140202</v>
      </c>
      <c r="AD110" s="121">
        <v>1288.6693038827873</v>
      </c>
      <c r="AE110" s="121">
        <v>1255.5164991583772</v>
      </c>
      <c r="AF110" s="121">
        <v>1214.6380391351065</v>
      </c>
      <c r="AG110" s="121">
        <v>1192.963876402536</v>
      </c>
      <c r="AH110" s="121">
        <v>1182.6045986072843</v>
      </c>
      <c r="AI110" s="121">
        <v>1175.1615087823234</v>
      </c>
      <c r="AJ110" s="121">
        <v>1150.9544364555995</v>
      </c>
      <c r="AK110" s="121">
        <v>1159.4009475080866</v>
      </c>
      <c r="AL110" s="121">
        <v>1184.1512999886077</v>
      </c>
      <c r="AM110" s="121">
        <v>1178.7503690813769</v>
      </c>
      <c r="AN110" s="121">
        <v>1182.7047378182065</v>
      </c>
      <c r="AO110" s="121">
        <v>1131.6513685135631</v>
      </c>
      <c r="AP110" s="121">
        <v>1114.0982430439155</v>
      </c>
      <c r="AQ110" s="121">
        <v>1215.5689637586747</v>
      </c>
      <c r="AR110" s="121">
        <v>1208.6007872783366</v>
      </c>
      <c r="AS110" s="121">
        <v>1183.7337018540397</v>
      </c>
      <c r="AT110" s="121">
        <v>1141.3799221323459</v>
      </c>
      <c r="AU110" s="121">
        <v>1065.2540336039983</v>
      </c>
      <c r="AV110" s="121">
        <v>1084.1103181949243</v>
      </c>
      <c r="AW110" s="121">
        <v>1109.9110895850308</v>
      </c>
      <c r="AX110" s="121">
        <v>1163.3175533108354</v>
      </c>
      <c r="AY110" s="121">
        <v>1118.861746770013</v>
      </c>
    </row>
    <row r="111" spans="1:52" x14ac:dyDescent="0.2">
      <c r="A111" s="124"/>
      <c r="B111" s="133">
        <v>3</v>
      </c>
      <c r="C111" s="121">
        <v>4605.0755954543592</v>
      </c>
      <c r="D111" s="121">
        <v>4660.2464048934116</v>
      </c>
      <c r="E111" s="121">
        <v>4704.2428239320889</v>
      </c>
      <c r="F111" s="121">
        <v>4456.9518533497421</v>
      </c>
      <c r="G111" s="121">
        <v>3993.9493982513395</v>
      </c>
      <c r="H111" s="121">
        <v>2699.1360445745463</v>
      </c>
      <c r="I111" s="121">
        <v>2048.3452015112607</v>
      </c>
      <c r="J111" s="121">
        <v>1676.9147420123061</v>
      </c>
      <c r="K111" s="121">
        <v>1405.6504175438968</v>
      </c>
      <c r="L111" s="121">
        <v>1278.957546010455</v>
      </c>
      <c r="M111" s="121">
        <v>1257.5954385030009</v>
      </c>
      <c r="N111" s="121">
        <v>1155.6906773004332</v>
      </c>
      <c r="O111" s="121">
        <v>1195.8996223475838</v>
      </c>
      <c r="P111" s="121">
        <v>1144.2983122228272</v>
      </c>
      <c r="Q111" s="121">
        <v>1173.2228801365281</v>
      </c>
      <c r="R111" s="121">
        <v>1125.6004827235402</v>
      </c>
      <c r="S111" s="121">
        <v>1191.0722591610834</v>
      </c>
      <c r="T111" s="121">
        <v>1229.2719326015726</v>
      </c>
      <c r="U111" s="121">
        <v>1179.7927523164074</v>
      </c>
      <c r="V111" s="121">
        <v>1258.0163806945779</v>
      </c>
      <c r="W111" s="121">
        <v>1233.8758600734504</v>
      </c>
      <c r="X111" s="121">
        <v>1207.9654895261795</v>
      </c>
      <c r="Y111" s="121">
        <v>1175.1354344953888</v>
      </c>
      <c r="Z111" s="121">
        <v>1230.2733086591209</v>
      </c>
      <c r="AA111" s="121">
        <v>1196.3849519453756</v>
      </c>
      <c r="AB111" s="121">
        <v>1169.7825538275747</v>
      </c>
      <c r="AC111" s="121">
        <v>1154.0035591963358</v>
      </c>
      <c r="AD111" s="121">
        <v>1216.0804906140202</v>
      </c>
      <c r="AE111" s="121">
        <v>1288.6693038827873</v>
      </c>
      <c r="AF111" s="121">
        <v>1255.5164991583772</v>
      </c>
      <c r="AG111" s="121">
        <v>1214.6380391351065</v>
      </c>
      <c r="AH111" s="121">
        <v>1192.963876402536</v>
      </c>
      <c r="AI111" s="121">
        <v>1182.6045986072843</v>
      </c>
      <c r="AJ111" s="121">
        <v>1175.1615087823234</v>
      </c>
      <c r="AK111" s="121">
        <v>1150.9544364555995</v>
      </c>
      <c r="AL111" s="121">
        <v>1159.4009475080866</v>
      </c>
      <c r="AM111" s="121">
        <v>1184.1512999886077</v>
      </c>
      <c r="AN111" s="121">
        <v>1178.7503690813769</v>
      </c>
      <c r="AO111" s="121">
        <v>1182.7047378182065</v>
      </c>
      <c r="AP111" s="121">
        <v>1131.6513685135631</v>
      </c>
      <c r="AQ111" s="121">
        <v>1114.0982430439155</v>
      </c>
      <c r="AR111" s="121">
        <v>1215.5689637586747</v>
      </c>
      <c r="AS111" s="121">
        <v>1208.6007872783366</v>
      </c>
      <c r="AT111" s="121">
        <v>1183.7337018540397</v>
      </c>
      <c r="AU111" s="121">
        <v>1141.3799221323459</v>
      </c>
      <c r="AV111" s="121">
        <v>1065.2540336039983</v>
      </c>
      <c r="AW111" s="121">
        <v>1084.1103181949243</v>
      </c>
      <c r="AX111" s="121">
        <v>1109.9110895850308</v>
      </c>
      <c r="AY111" s="121">
        <v>1163.3175533108354</v>
      </c>
    </row>
    <row r="112" spans="1:52" x14ac:dyDescent="0.2">
      <c r="A112" s="124"/>
      <c r="B112" s="134">
        <v>4</v>
      </c>
      <c r="C112" s="121">
        <v>4345.5676666275103</v>
      </c>
      <c r="D112" s="121">
        <v>4605.0755954543592</v>
      </c>
      <c r="E112" s="121">
        <v>4660.2464048934116</v>
      </c>
      <c r="F112" s="121">
        <v>4704.2428239320889</v>
      </c>
      <c r="G112" s="121">
        <v>4456.9518533497421</v>
      </c>
      <c r="H112" s="121">
        <v>3993.9493982513395</v>
      </c>
      <c r="I112" s="121">
        <v>2699.1360445745463</v>
      </c>
      <c r="J112" s="121">
        <v>2048.3452015112607</v>
      </c>
      <c r="K112" s="121">
        <v>1676.9147420123061</v>
      </c>
      <c r="L112" s="121">
        <v>1405.6504175438968</v>
      </c>
      <c r="M112" s="121">
        <v>1278.957546010455</v>
      </c>
      <c r="N112" s="121">
        <v>1257.5954385030009</v>
      </c>
      <c r="O112" s="121">
        <v>1155.6906773004332</v>
      </c>
      <c r="P112" s="121">
        <v>1195.8996223475838</v>
      </c>
      <c r="Q112" s="121">
        <v>1144.2983122228272</v>
      </c>
      <c r="R112" s="121">
        <v>1173.2228801365281</v>
      </c>
      <c r="S112" s="121">
        <v>1125.6004827235402</v>
      </c>
      <c r="T112" s="121">
        <v>1191.0722591610834</v>
      </c>
      <c r="U112" s="121">
        <v>1229.2719326015726</v>
      </c>
      <c r="V112" s="121">
        <v>1179.7927523164074</v>
      </c>
      <c r="W112" s="121">
        <v>1258.0163806945779</v>
      </c>
      <c r="X112" s="121">
        <v>1233.8758600734504</v>
      </c>
      <c r="Y112" s="121">
        <v>1207.9654895261795</v>
      </c>
      <c r="Z112" s="121">
        <v>1175.1354344953888</v>
      </c>
      <c r="AA112" s="121">
        <v>1230.2733086591209</v>
      </c>
      <c r="AB112" s="121">
        <v>1196.3849519453756</v>
      </c>
      <c r="AC112" s="121">
        <v>1169.7825538275747</v>
      </c>
      <c r="AD112" s="121">
        <v>1154.0035591963358</v>
      </c>
      <c r="AE112" s="121">
        <v>1216.0804906140202</v>
      </c>
      <c r="AF112" s="121">
        <v>1288.6693038827873</v>
      </c>
      <c r="AG112" s="121">
        <v>1255.5164991583772</v>
      </c>
      <c r="AH112" s="121">
        <v>1214.6380391351065</v>
      </c>
      <c r="AI112" s="121">
        <v>1192.963876402536</v>
      </c>
      <c r="AJ112" s="121">
        <v>1182.6045986072843</v>
      </c>
      <c r="AK112" s="121">
        <v>1175.1615087823234</v>
      </c>
      <c r="AL112" s="121">
        <v>1150.9544364555995</v>
      </c>
      <c r="AM112" s="121">
        <v>1159.4009475080866</v>
      </c>
      <c r="AN112" s="121">
        <v>1184.1512999886077</v>
      </c>
      <c r="AO112" s="121">
        <v>1178.7503690813769</v>
      </c>
      <c r="AP112" s="121">
        <v>1182.7047378182065</v>
      </c>
      <c r="AQ112" s="121">
        <v>1131.6513685135631</v>
      </c>
      <c r="AR112" s="121">
        <v>1114.0982430439155</v>
      </c>
      <c r="AS112" s="121">
        <v>1215.5689637586747</v>
      </c>
      <c r="AT112" s="121">
        <v>1208.6007872783366</v>
      </c>
      <c r="AU112" s="121">
        <v>1183.7337018540397</v>
      </c>
      <c r="AV112" s="121">
        <v>1141.3799221323459</v>
      </c>
      <c r="AW112" s="121">
        <v>1065.2540336039983</v>
      </c>
      <c r="AX112" s="121">
        <v>1084.1103181949243</v>
      </c>
      <c r="AY112" s="121">
        <v>1109.9110895850308</v>
      </c>
    </row>
    <row r="113" spans="1:52" x14ac:dyDescent="0.2">
      <c r="A113" s="124"/>
      <c r="B113" s="134">
        <v>5</v>
      </c>
      <c r="C113" s="121">
        <v>4424.1680185405849</v>
      </c>
      <c r="D113" s="121">
        <v>4345.5676666275103</v>
      </c>
      <c r="E113" s="121">
        <v>4605.0755954543592</v>
      </c>
      <c r="F113" s="121">
        <v>4660.2464048934116</v>
      </c>
      <c r="G113" s="121">
        <v>4704.2428239320889</v>
      </c>
      <c r="H113" s="121">
        <v>4456.9518533497421</v>
      </c>
      <c r="I113" s="121">
        <v>3993.9493982513395</v>
      </c>
      <c r="J113" s="121">
        <v>2699.1360445745463</v>
      </c>
      <c r="K113" s="121">
        <v>2048.3452015112607</v>
      </c>
      <c r="L113" s="121">
        <v>1676.9147420123061</v>
      </c>
      <c r="M113" s="121">
        <v>1405.6504175438968</v>
      </c>
      <c r="N113" s="121">
        <v>1278.957546010455</v>
      </c>
      <c r="O113" s="121">
        <v>1257.5954385030009</v>
      </c>
      <c r="P113" s="121">
        <v>1155.6906773004332</v>
      </c>
      <c r="Q113" s="121">
        <v>1195.8996223475838</v>
      </c>
      <c r="R113" s="121">
        <v>1144.2983122228272</v>
      </c>
      <c r="S113" s="121">
        <v>1173.2228801365281</v>
      </c>
      <c r="T113" s="121">
        <v>1125.6004827235402</v>
      </c>
      <c r="U113" s="121">
        <v>1191.0722591610834</v>
      </c>
      <c r="V113" s="121">
        <v>1229.2719326015726</v>
      </c>
      <c r="W113" s="121">
        <v>1179.7927523164074</v>
      </c>
      <c r="X113" s="121">
        <v>1258.0163806945779</v>
      </c>
      <c r="Y113" s="121">
        <v>1233.8758600734504</v>
      </c>
      <c r="Z113" s="121">
        <v>1207.9654895261795</v>
      </c>
      <c r="AA113" s="121">
        <v>1175.1354344953888</v>
      </c>
      <c r="AB113" s="121">
        <v>1230.2733086591209</v>
      </c>
      <c r="AC113" s="121">
        <v>1196.3849519453756</v>
      </c>
      <c r="AD113" s="121">
        <v>1169.7825538275747</v>
      </c>
      <c r="AE113" s="121">
        <v>1154.0035591963358</v>
      </c>
      <c r="AF113" s="121">
        <v>1216.0804906140202</v>
      </c>
      <c r="AG113" s="121">
        <v>1288.6693038827873</v>
      </c>
      <c r="AH113" s="121">
        <v>1255.5164991583772</v>
      </c>
      <c r="AI113" s="121">
        <v>1214.6380391351065</v>
      </c>
      <c r="AJ113" s="121">
        <v>1192.963876402536</v>
      </c>
      <c r="AK113" s="121">
        <v>1182.6045986072843</v>
      </c>
      <c r="AL113" s="121">
        <v>1175.1615087823234</v>
      </c>
      <c r="AM113" s="121">
        <v>1150.9544364555995</v>
      </c>
      <c r="AN113" s="121">
        <v>1159.4009475080866</v>
      </c>
      <c r="AO113" s="121">
        <v>1184.1512999886077</v>
      </c>
      <c r="AP113" s="121">
        <v>1178.7503690813769</v>
      </c>
      <c r="AQ113" s="121">
        <v>1182.7047378182065</v>
      </c>
      <c r="AR113" s="121">
        <v>1131.6513685135631</v>
      </c>
      <c r="AS113" s="121">
        <v>1114.0982430439155</v>
      </c>
      <c r="AT113" s="121">
        <v>1215.5689637586747</v>
      </c>
      <c r="AU113" s="121">
        <v>1208.6007872783366</v>
      </c>
      <c r="AV113" s="121">
        <v>1183.7337018540397</v>
      </c>
      <c r="AW113" s="121">
        <v>1141.3799221323459</v>
      </c>
      <c r="AX113" s="121">
        <v>1065.2540336039983</v>
      </c>
      <c r="AY113" s="121">
        <v>1084.1103181949243</v>
      </c>
    </row>
    <row r="114" spans="1:52" x14ac:dyDescent="0.2">
      <c r="A114" s="124"/>
      <c r="B114" s="134">
        <v>6</v>
      </c>
      <c r="C114" s="121">
        <v>4569.5723700125318</v>
      </c>
      <c r="D114" s="121">
        <v>4424.1680185405849</v>
      </c>
      <c r="E114" s="121">
        <v>4345.5676666275103</v>
      </c>
      <c r="F114" s="121">
        <v>4605.0755954543592</v>
      </c>
      <c r="G114" s="121">
        <v>4660.2464048934116</v>
      </c>
      <c r="H114" s="121">
        <v>4704.2428239320889</v>
      </c>
      <c r="I114" s="121">
        <v>4456.9518533497421</v>
      </c>
      <c r="J114" s="121">
        <v>3993.9493982513395</v>
      </c>
      <c r="K114" s="121">
        <v>2699.1360445745463</v>
      </c>
      <c r="L114" s="121">
        <v>2048.3452015112607</v>
      </c>
      <c r="M114" s="121">
        <v>1676.9147420123061</v>
      </c>
      <c r="N114" s="121">
        <v>1405.6504175438968</v>
      </c>
      <c r="O114" s="121">
        <v>1278.957546010455</v>
      </c>
      <c r="P114" s="121">
        <v>1257.5954385030009</v>
      </c>
      <c r="Q114" s="121">
        <v>1155.6906773004332</v>
      </c>
      <c r="R114" s="121">
        <v>1195.8996223475838</v>
      </c>
      <c r="S114" s="121">
        <v>1144.2983122228272</v>
      </c>
      <c r="T114" s="121">
        <v>1173.2228801365281</v>
      </c>
      <c r="U114" s="121">
        <v>1125.6004827235402</v>
      </c>
      <c r="V114" s="121">
        <v>1191.0722591610834</v>
      </c>
      <c r="W114" s="121">
        <v>1229.2719326015726</v>
      </c>
      <c r="X114" s="121">
        <v>1179.7927523164074</v>
      </c>
      <c r="Y114" s="121">
        <v>1258.0163806945779</v>
      </c>
      <c r="Z114" s="121">
        <v>1233.8758600734504</v>
      </c>
      <c r="AA114" s="121">
        <v>1207.9654895261795</v>
      </c>
      <c r="AB114" s="121">
        <v>1175.1354344953888</v>
      </c>
      <c r="AC114" s="121">
        <v>1230.2733086591209</v>
      </c>
      <c r="AD114" s="121">
        <v>1196.3849519453756</v>
      </c>
      <c r="AE114" s="121">
        <v>1169.7825538275747</v>
      </c>
      <c r="AF114" s="121">
        <v>1154.0035591963358</v>
      </c>
      <c r="AG114" s="121">
        <v>1216.0804906140202</v>
      </c>
      <c r="AH114" s="121">
        <v>1288.6693038827873</v>
      </c>
      <c r="AI114" s="121">
        <v>1255.5164991583772</v>
      </c>
      <c r="AJ114" s="121">
        <v>1214.6380391351065</v>
      </c>
      <c r="AK114" s="121">
        <v>1192.963876402536</v>
      </c>
      <c r="AL114" s="121">
        <v>1182.6045986072843</v>
      </c>
      <c r="AM114" s="121">
        <v>1175.1615087823234</v>
      </c>
      <c r="AN114" s="121">
        <v>1150.9544364555995</v>
      </c>
      <c r="AO114" s="121">
        <v>1159.4009475080866</v>
      </c>
      <c r="AP114" s="121">
        <v>1184.1512999886077</v>
      </c>
      <c r="AQ114" s="121">
        <v>1178.7503690813769</v>
      </c>
      <c r="AR114" s="121">
        <v>1182.7047378182065</v>
      </c>
      <c r="AS114" s="121">
        <v>1131.6513685135631</v>
      </c>
      <c r="AT114" s="121">
        <v>1114.0982430439155</v>
      </c>
      <c r="AU114" s="121">
        <v>1215.5689637586747</v>
      </c>
      <c r="AV114" s="121">
        <v>1208.6007872783366</v>
      </c>
      <c r="AW114" s="121">
        <v>1183.7337018540397</v>
      </c>
      <c r="AX114" s="121">
        <v>1141.3799221323459</v>
      </c>
      <c r="AY114" s="121">
        <v>1065.2540336039983</v>
      </c>
    </row>
    <row r="115" spans="1:52" x14ac:dyDescent="0.2">
      <c r="A115" s="124"/>
      <c r="B115" s="141">
        <v>7</v>
      </c>
      <c r="C115" s="121">
        <v>3093.042421349825</v>
      </c>
      <c r="D115" s="121">
        <v>4294.9700211553973</v>
      </c>
      <c r="E115" s="121">
        <v>4424.1680185405849</v>
      </c>
      <c r="F115" s="121">
        <v>4345.5676666275103</v>
      </c>
      <c r="G115" s="121">
        <v>4605.0755954543592</v>
      </c>
      <c r="H115" s="121">
        <v>4660.2464048934116</v>
      </c>
      <c r="I115" s="121">
        <v>4704.2428239320889</v>
      </c>
      <c r="J115" s="121">
        <v>4456.9518533497421</v>
      </c>
      <c r="K115" s="121">
        <v>3993.9493982513395</v>
      </c>
      <c r="L115" s="121">
        <v>2699.1360445745463</v>
      </c>
      <c r="M115" s="121">
        <v>2048.3452015112607</v>
      </c>
      <c r="N115" s="121">
        <v>1676.9147420123061</v>
      </c>
      <c r="O115" s="121">
        <v>1405.6504175438968</v>
      </c>
      <c r="P115" s="121">
        <v>1278.957546010455</v>
      </c>
      <c r="Q115" s="121">
        <v>1257.5954385030009</v>
      </c>
      <c r="R115" s="121">
        <v>1155.6906773004332</v>
      </c>
      <c r="S115" s="121">
        <v>1195.8996223475838</v>
      </c>
      <c r="T115" s="121">
        <v>1144.2983122228272</v>
      </c>
      <c r="U115" s="121">
        <v>1173.2228801365281</v>
      </c>
      <c r="V115" s="121">
        <v>1125.6004827235402</v>
      </c>
      <c r="W115" s="121">
        <v>1191.0722591610834</v>
      </c>
      <c r="X115" s="121">
        <v>1229.2719326015726</v>
      </c>
      <c r="Y115" s="121">
        <v>1179.7927523164074</v>
      </c>
      <c r="Z115" s="121">
        <v>1258.0163806945779</v>
      </c>
      <c r="AA115" s="121">
        <v>1233.8758600734504</v>
      </c>
      <c r="AB115" s="121">
        <v>1207.9654895261795</v>
      </c>
      <c r="AC115" s="121">
        <v>1175.1354344953888</v>
      </c>
      <c r="AD115" s="121">
        <v>1230.2733086591209</v>
      </c>
      <c r="AE115" s="121">
        <v>1196.3849519453756</v>
      </c>
      <c r="AF115" s="121">
        <v>1169.7825538275747</v>
      </c>
      <c r="AG115" s="121">
        <v>1154.0035591963358</v>
      </c>
      <c r="AH115" s="121">
        <v>1216.0804906140202</v>
      </c>
      <c r="AI115" s="121">
        <v>1288.6693038827873</v>
      </c>
      <c r="AJ115" s="121">
        <v>1255.5164991583772</v>
      </c>
      <c r="AK115" s="121">
        <v>1214.6380391351065</v>
      </c>
      <c r="AL115" s="121">
        <v>1192.963876402536</v>
      </c>
      <c r="AM115" s="121">
        <v>1182.6045986072843</v>
      </c>
      <c r="AN115" s="121">
        <v>1175.1615087823234</v>
      </c>
      <c r="AO115" s="121">
        <v>1150.9544364555995</v>
      </c>
      <c r="AP115" s="121">
        <v>1159.4009475080866</v>
      </c>
      <c r="AQ115" s="121">
        <v>1184.1512999886077</v>
      </c>
      <c r="AR115" s="121">
        <v>1178.7503690813769</v>
      </c>
      <c r="AS115" s="121">
        <v>1182.7047378182065</v>
      </c>
      <c r="AT115" s="121">
        <v>1131.6513685135631</v>
      </c>
      <c r="AU115" s="121">
        <v>1114.0982430439155</v>
      </c>
      <c r="AV115" s="121">
        <v>1215.5689637586747</v>
      </c>
      <c r="AW115" s="121">
        <v>1208.6007872783366</v>
      </c>
      <c r="AX115" s="121">
        <v>1183.7337018540397</v>
      </c>
      <c r="AY115" s="121">
        <v>1141.3799221323459</v>
      </c>
    </row>
    <row r="116" spans="1:52" x14ac:dyDescent="0.2">
      <c r="A116" s="124"/>
      <c r="B116" s="141">
        <v>8</v>
      </c>
      <c r="C116" s="121">
        <v>0</v>
      </c>
      <c r="D116" s="121">
        <v>0</v>
      </c>
      <c r="E116" s="121">
        <v>2873.9700211553973</v>
      </c>
      <c r="F116" s="121">
        <v>4424.1680185405849</v>
      </c>
      <c r="G116" s="121">
        <v>4345.5676666275103</v>
      </c>
      <c r="H116" s="121">
        <v>4605.0755954543592</v>
      </c>
      <c r="I116" s="121">
        <v>4660.2464048934116</v>
      </c>
      <c r="J116" s="121">
        <v>4704.2428239320889</v>
      </c>
      <c r="K116" s="121">
        <v>4456.9518533497421</v>
      </c>
      <c r="L116" s="121">
        <v>3993.9493982513395</v>
      </c>
      <c r="M116" s="121">
        <v>2699.1360445745463</v>
      </c>
      <c r="N116" s="121">
        <v>2048.3452015112607</v>
      </c>
      <c r="O116" s="121">
        <v>1676.9147420123061</v>
      </c>
      <c r="P116" s="121">
        <v>1405.6504175438968</v>
      </c>
      <c r="Q116" s="121">
        <v>1278.957546010455</v>
      </c>
      <c r="R116" s="121">
        <v>1257.5954385030009</v>
      </c>
      <c r="S116" s="121">
        <v>1155.6906773004332</v>
      </c>
      <c r="T116" s="121">
        <v>1195.8996223475838</v>
      </c>
      <c r="U116" s="121">
        <v>1144.2983122228272</v>
      </c>
      <c r="V116" s="121">
        <v>1173.2228801365281</v>
      </c>
      <c r="W116" s="121">
        <v>1125.6004827235402</v>
      </c>
      <c r="X116" s="121">
        <v>1191.0722591610834</v>
      </c>
      <c r="Y116" s="121">
        <v>1229.2719326015726</v>
      </c>
      <c r="Z116" s="121">
        <v>1179.7927523164074</v>
      </c>
      <c r="AA116" s="121">
        <v>1258.0163806945779</v>
      </c>
      <c r="AB116" s="121">
        <v>1233.8758600734504</v>
      </c>
      <c r="AC116" s="121">
        <v>1207.9654895261795</v>
      </c>
      <c r="AD116" s="121">
        <v>1175.1354344953888</v>
      </c>
      <c r="AE116" s="121">
        <v>1230.2733086591209</v>
      </c>
      <c r="AF116" s="121">
        <v>1196.3849519453756</v>
      </c>
      <c r="AG116" s="121">
        <v>1169.7825538275747</v>
      </c>
      <c r="AH116" s="121">
        <v>1154.0035591963358</v>
      </c>
      <c r="AI116" s="121">
        <v>1216.0804906140202</v>
      </c>
      <c r="AJ116" s="121">
        <v>1288.6693038827873</v>
      </c>
      <c r="AK116" s="121">
        <v>1255.5164991583772</v>
      </c>
      <c r="AL116" s="121">
        <v>1214.6380391351065</v>
      </c>
      <c r="AM116" s="121">
        <v>1192.963876402536</v>
      </c>
      <c r="AN116" s="121">
        <v>1182.6045986072843</v>
      </c>
      <c r="AO116" s="121">
        <v>1175.1615087823234</v>
      </c>
      <c r="AP116" s="121">
        <v>1150.9544364555995</v>
      </c>
      <c r="AQ116" s="121">
        <v>1159.4009475080866</v>
      </c>
      <c r="AR116" s="121">
        <v>1184.1512999886077</v>
      </c>
      <c r="AS116" s="121">
        <v>1178.7503690813769</v>
      </c>
      <c r="AT116" s="121">
        <v>1182.7047378182065</v>
      </c>
      <c r="AU116" s="121">
        <v>1131.6513685135631</v>
      </c>
      <c r="AV116" s="121">
        <v>973.47983113620103</v>
      </c>
      <c r="AW116" s="121">
        <v>984.04879489487575</v>
      </c>
      <c r="AX116" s="121">
        <v>841.64958217321237</v>
      </c>
      <c r="AY116" s="121">
        <v>533.3832840272521</v>
      </c>
    </row>
    <row r="117" spans="1:52" x14ac:dyDescent="0.2">
      <c r="A117" s="124"/>
      <c r="B117" s="141">
        <v>9</v>
      </c>
      <c r="C117" s="121">
        <v>0</v>
      </c>
      <c r="D117" s="121">
        <v>0</v>
      </c>
      <c r="E117" s="121">
        <v>0</v>
      </c>
      <c r="F117" s="121">
        <v>214.30294143871561</v>
      </c>
      <c r="G117" s="121">
        <v>1201.5701131713506</v>
      </c>
      <c r="H117" s="121">
        <v>1558.8463830995543</v>
      </c>
      <c r="I117" s="121">
        <v>2128.6621346474535</v>
      </c>
      <c r="J117" s="121">
        <v>2950.2369182602506</v>
      </c>
      <c r="K117" s="121">
        <v>4043.0268273674951</v>
      </c>
      <c r="L117" s="121">
        <v>4456.9518533497421</v>
      </c>
      <c r="M117" s="121">
        <v>3993.9493982513395</v>
      </c>
      <c r="N117" s="121">
        <v>2699.1360445745463</v>
      </c>
      <c r="O117" s="121">
        <v>2048.3452015112607</v>
      </c>
      <c r="P117" s="121">
        <v>1676.9147420123061</v>
      </c>
      <c r="Q117" s="121">
        <v>1405.6504175438968</v>
      </c>
      <c r="R117" s="121">
        <v>1278.957546010455</v>
      </c>
      <c r="S117" s="121">
        <v>1257.5954385030009</v>
      </c>
      <c r="T117" s="121">
        <v>1155.6906773004332</v>
      </c>
      <c r="U117" s="121">
        <v>1195.8996223475838</v>
      </c>
      <c r="V117" s="121">
        <v>1144.2983122228272</v>
      </c>
      <c r="W117" s="121">
        <v>1173.2228801365281</v>
      </c>
      <c r="X117" s="121">
        <v>1125.6004827235402</v>
      </c>
      <c r="Y117" s="121">
        <v>1090.6318888084268</v>
      </c>
      <c r="Z117" s="121">
        <v>1061.9038214099994</v>
      </c>
      <c r="AA117" s="121">
        <v>946.69657372640677</v>
      </c>
      <c r="AB117" s="121">
        <v>902.71295442098472</v>
      </c>
      <c r="AC117" s="121">
        <v>1026.5888144944352</v>
      </c>
      <c r="AD117" s="121">
        <v>853.55430402061461</v>
      </c>
      <c r="AE117" s="121">
        <v>903.68973851600344</v>
      </c>
      <c r="AF117" s="121">
        <v>1182.9630471751243</v>
      </c>
      <c r="AG117" s="121">
        <v>1001.3479991204999</v>
      </c>
      <c r="AH117" s="121">
        <v>1035.1305529480746</v>
      </c>
      <c r="AI117" s="121">
        <v>833.13411214441044</v>
      </c>
      <c r="AJ117" s="121">
        <v>579.2146027584306</v>
      </c>
      <c r="AK117" s="121">
        <v>599.88390664121789</v>
      </c>
      <c r="AL117" s="121">
        <v>727.40040579959509</v>
      </c>
      <c r="AM117" s="121">
        <v>838.0384449347016</v>
      </c>
      <c r="AN117" s="121">
        <v>914.00232133723762</v>
      </c>
      <c r="AO117" s="121">
        <v>600.60691994452191</v>
      </c>
      <c r="AP117" s="121">
        <v>693.76842872684529</v>
      </c>
      <c r="AQ117" s="121">
        <v>375.72286518244482</v>
      </c>
      <c r="AR117" s="121">
        <v>322.12381269053139</v>
      </c>
      <c r="AS117" s="121">
        <v>244.27511267913906</v>
      </c>
      <c r="AT117" s="121">
        <v>109.02548176051596</v>
      </c>
      <c r="AU117" s="121">
        <v>165.73021957872243</v>
      </c>
      <c r="AV117" s="121">
        <v>0</v>
      </c>
      <c r="AW117" s="121">
        <v>0</v>
      </c>
      <c r="AX117" s="121">
        <v>0</v>
      </c>
      <c r="AY117" s="121">
        <v>0</v>
      </c>
    </row>
    <row r="118" spans="1:52" x14ac:dyDescent="0.2">
      <c r="A118" s="124"/>
      <c r="B118" s="144">
        <v>10</v>
      </c>
      <c r="C118" s="121">
        <v>0</v>
      </c>
      <c r="D118" s="121">
        <v>0</v>
      </c>
      <c r="E118" s="121">
        <v>0</v>
      </c>
      <c r="F118" s="121">
        <v>0</v>
      </c>
      <c r="G118" s="121">
        <v>0</v>
      </c>
      <c r="H118" s="121">
        <v>0</v>
      </c>
      <c r="I118" s="121">
        <v>0</v>
      </c>
      <c r="J118" s="121">
        <v>0</v>
      </c>
      <c r="K118" s="121">
        <v>0</v>
      </c>
      <c r="L118" s="121">
        <v>135.89776048885005</v>
      </c>
      <c r="M118" s="121">
        <v>908.05741646960587</v>
      </c>
      <c r="N118" s="121">
        <v>1691.3856528855215</v>
      </c>
      <c r="O118" s="121">
        <v>1398.8554916128157</v>
      </c>
      <c r="P118" s="121">
        <v>1399.286614801988</v>
      </c>
      <c r="Q118" s="121">
        <v>1087.5576734101542</v>
      </c>
      <c r="R118" s="121">
        <v>993.37745758634787</v>
      </c>
      <c r="S118" s="121">
        <v>632.23660103830707</v>
      </c>
      <c r="T118" s="121">
        <v>396.67345314014381</v>
      </c>
      <c r="U118" s="121">
        <v>495.66283098611405</v>
      </c>
      <c r="V118" s="121">
        <v>365.00738412349216</v>
      </c>
      <c r="W118" s="121">
        <v>220.33005881526725</v>
      </c>
      <c r="X118" s="121">
        <v>38.959146923803168</v>
      </c>
      <c r="Y118" s="121">
        <v>0</v>
      </c>
      <c r="Z118" s="121">
        <v>0</v>
      </c>
      <c r="AA118" s="121">
        <v>0</v>
      </c>
      <c r="AB118" s="121">
        <v>0</v>
      </c>
      <c r="AC118" s="121">
        <v>0</v>
      </c>
      <c r="AD118" s="121">
        <v>0</v>
      </c>
      <c r="AE118" s="121">
        <v>0</v>
      </c>
      <c r="AF118" s="121">
        <v>0</v>
      </c>
      <c r="AG118" s="121">
        <v>0</v>
      </c>
      <c r="AH118" s="121">
        <v>0</v>
      </c>
      <c r="AI118" s="121">
        <v>0</v>
      </c>
      <c r="AJ118" s="121">
        <v>0</v>
      </c>
      <c r="AK118" s="121">
        <v>0</v>
      </c>
      <c r="AL118" s="121">
        <v>0</v>
      </c>
      <c r="AM118" s="121">
        <v>0</v>
      </c>
      <c r="AN118" s="121">
        <v>0</v>
      </c>
      <c r="AO118" s="121">
        <v>0</v>
      </c>
      <c r="AP118" s="121">
        <v>0</v>
      </c>
      <c r="AQ118" s="121">
        <v>0</v>
      </c>
      <c r="AR118" s="121">
        <v>0</v>
      </c>
      <c r="AS118" s="121">
        <v>0</v>
      </c>
      <c r="AT118" s="121">
        <v>0</v>
      </c>
      <c r="AU118" s="121">
        <v>0</v>
      </c>
      <c r="AV118" s="121">
        <v>0</v>
      </c>
      <c r="AW118" s="121">
        <v>0</v>
      </c>
      <c r="AX118" s="121">
        <v>0</v>
      </c>
      <c r="AY118" s="121">
        <v>0</v>
      </c>
    </row>
    <row r="119" spans="1:52" x14ac:dyDescent="0.2">
      <c r="A119" s="124"/>
      <c r="B119" s="144">
        <v>11</v>
      </c>
      <c r="C119" s="121">
        <v>0</v>
      </c>
      <c r="D119" s="121">
        <v>0</v>
      </c>
      <c r="E119" s="121">
        <v>0</v>
      </c>
      <c r="F119" s="121">
        <v>0</v>
      </c>
      <c r="G119" s="121">
        <v>0</v>
      </c>
      <c r="H119" s="121">
        <v>0</v>
      </c>
      <c r="I119" s="121">
        <v>0</v>
      </c>
      <c r="J119" s="121">
        <v>0</v>
      </c>
      <c r="K119" s="121">
        <v>0</v>
      </c>
      <c r="L119" s="121">
        <v>0</v>
      </c>
      <c r="M119" s="121">
        <v>0</v>
      </c>
      <c r="N119" s="121">
        <v>0</v>
      </c>
      <c r="O119" s="121">
        <v>0</v>
      </c>
      <c r="P119" s="121">
        <v>0</v>
      </c>
      <c r="Q119" s="121">
        <v>0</v>
      </c>
      <c r="R119" s="121">
        <v>0</v>
      </c>
      <c r="S119" s="121">
        <v>0</v>
      </c>
      <c r="T119" s="121">
        <v>0</v>
      </c>
      <c r="U119" s="121">
        <v>0</v>
      </c>
      <c r="V119" s="121">
        <v>0</v>
      </c>
      <c r="W119" s="121">
        <v>0</v>
      </c>
      <c r="X119" s="121">
        <v>0</v>
      </c>
      <c r="Y119" s="121">
        <v>0</v>
      </c>
      <c r="Z119" s="121">
        <v>0</v>
      </c>
      <c r="AA119" s="121">
        <v>0</v>
      </c>
      <c r="AB119" s="121">
        <v>0</v>
      </c>
      <c r="AC119" s="121">
        <v>0</v>
      </c>
      <c r="AD119" s="121">
        <v>0</v>
      </c>
      <c r="AE119" s="121">
        <v>0</v>
      </c>
      <c r="AF119" s="121">
        <v>0</v>
      </c>
      <c r="AG119" s="121">
        <v>0</v>
      </c>
      <c r="AH119" s="121">
        <v>0</v>
      </c>
      <c r="AI119" s="121">
        <v>0</v>
      </c>
      <c r="AJ119" s="121">
        <v>0</v>
      </c>
      <c r="AK119" s="121">
        <v>0</v>
      </c>
      <c r="AL119" s="121">
        <v>0</v>
      </c>
      <c r="AM119" s="121">
        <v>0</v>
      </c>
      <c r="AN119" s="121">
        <v>0</v>
      </c>
      <c r="AO119" s="121">
        <v>0</v>
      </c>
      <c r="AP119" s="121">
        <v>0</v>
      </c>
      <c r="AQ119" s="121">
        <v>0</v>
      </c>
      <c r="AR119" s="121">
        <v>0</v>
      </c>
      <c r="AS119" s="121">
        <v>0</v>
      </c>
      <c r="AT119" s="121">
        <v>0</v>
      </c>
      <c r="AU119" s="121">
        <v>0</v>
      </c>
      <c r="AV119" s="121">
        <v>0</v>
      </c>
      <c r="AW119" s="121">
        <v>0</v>
      </c>
      <c r="AX119" s="121">
        <v>0</v>
      </c>
      <c r="AY119" s="121">
        <v>0</v>
      </c>
    </row>
    <row r="120" spans="1:52" x14ac:dyDescent="0.2">
      <c r="A120" s="124"/>
      <c r="B120" s="144">
        <v>12</v>
      </c>
      <c r="C120" s="121">
        <v>0</v>
      </c>
      <c r="D120" s="121">
        <v>0</v>
      </c>
      <c r="E120" s="121">
        <v>0</v>
      </c>
      <c r="F120" s="121">
        <v>0</v>
      </c>
      <c r="G120" s="121">
        <v>0</v>
      </c>
      <c r="H120" s="121">
        <v>0</v>
      </c>
      <c r="I120" s="121">
        <v>0</v>
      </c>
      <c r="J120" s="121">
        <v>0</v>
      </c>
      <c r="K120" s="121">
        <v>0</v>
      </c>
      <c r="L120" s="121">
        <v>0</v>
      </c>
      <c r="M120" s="121">
        <v>0</v>
      </c>
      <c r="N120" s="121">
        <v>0</v>
      </c>
      <c r="O120" s="121">
        <v>0</v>
      </c>
      <c r="P120" s="121">
        <v>0</v>
      </c>
      <c r="Q120" s="121">
        <v>0</v>
      </c>
      <c r="R120" s="121">
        <v>0</v>
      </c>
      <c r="S120" s="121">
        <v>0</v>
      </c>
      <c r="T120" s="121">
        <v>0</v>
      </c>
      <c r="U120" s="121">
        <v>0</v>
      </c>
      <c r="V120" s="121">
        <v>0</v>
      </c>
      <c r="W120" s="121">
        <v>0</v>
      </c>
      <c r="X120" s="121">
        <v>0</v>
      </c>
      <c r="Y120" s="121">
        <v>0</v>
      </c>
      <c r="Z120" s="121">
        <v>0</v>
      </c>
      <c r="AA120" s="121">
        <v>0</v>
      </c>
      <c r="AB120" s="121">
        <v>0</v>
      </c>
      <c r="AC120" s="121">
        <v>0</v>
      </c>
      <c r="AD120" s="121">
        <v>0</v>
      </c>
      <c r="AE120" s="121">
        <v>0</v>
      </c>
      <c r="AF120" s="121">
        <v>0</v>
      </c>
      <c r="AG120" s="121">
        <v>0</v>
      </c>
      <c r="AH120" s="121">
        <v>0</v>
      </c>
      <c r="AI120" s="121">
        <v>0</v>
      </c>
      <c r="AJ120" s="121">
        <v>0</v>
      </c>
      <c r="AK120" s="121">
        <v>0</v>
      </c>
      <c r="AL120" s="121">
        <v>0</v>
      </c>
      <c r="AM120" s="121">
        <v>0</v>
      </c>
      <c r="AN120" s="121">
        <v>0</v>
      </c>
      <c r="AO120" s="121">
        <v>0</v>
      </c>
      <c r="AP120" s="121">
        <v>0</v>
      </c>
      <c r="AQ120" s="121">
        <v>0</v>
      </c>
      <c r="AR120" s="121">
        <v>0</v>
      </c>
      <c r="AS120" s="121">
        <v>0</v>
      </c>
      <c r="AT120" s="121">
        <v>0</v>
      </c>
      <c r="AU120" s="121">
        <v>0</v>
      </c>
      <c r="AV120" s="121">
        <v>0</v>
      </c>
      <c r="AW120" s="121">
        <v>0</v>
      </c>
      <c r="AX120" s="121">
        <v>0</v>
      </c>
      <c r="AY120" s="121">
        <v>0</v>
      </c>
    </row>
    <row r="121" spans="1:52" x14ac:dyDescent="0.2">
      <c r="A121" s="142"/>
      <c r="B121" s="146" t="s">
        <v>296</v>
      </c>
      <c r="C121" s="128">
        <v>0</v>
      </c>
      <c r="D121" s="139">
        <v>0</v>
      </c>
      <c r="E121" s="139">
        <v>0</v>
      </c>
      <c r="F121" s="139">
        <v>0</v>
      </c>
      <c r="G121" s="139">
        <v>0</v>
      </c>
      <c r="H121" s="139">
        <v>0</v>
      </c>
      <c r="I121" s="139">
        <v>0</v>
      </c>
      <c r="J121" s="139">
        <v>0</v>
      </c>
      <c r="K121" s="139">
        <v>0</v>
      </c>
      <c r="L121" s="139">
        <v>0</v>
      </c>
      <c r="M121" s="139">
        <v>0</v>
      </c>
      <c r="N121" s="139">
        <v>0</v>
      </c>
      <c r="O121" s="139">
        <v>0</v>
      </c>
      <c r="P121" s="139">
        <v>0</v>
      </c>
      <c r="Q121" s="139">
        <v>0</v>
      </c>
      <c r="R121" s="139">
        <v>0</v>
      </c>
      <c r="S121" s="139">
        <v>0</v>
      </c>
      <c r="T121" s="139">
        <v>0</v>
      </c>
      <c r="U121" s="139">
        <v>0</v>
      </c>
      <c r="V121" s="139">
        <v>0</v>
      </c>
      <c r="W121" s="139">
        <v>0</v>
      </c>
      <c r="X121" s="139">
        <v>0</v>
      </c>
      <c r="Y121" s="139">
        <v>0</v>
      </c>
      <c r="Z121" s="139">
        <v>0</v>
      </c>
      <c r="AA121" s="139">
        <v>0</v>
      </c>
      <c r="AB121" s="139">
        <v>0</v>
      </c>
      <c r="AC121" s="139">
        <v>0</v>
      </c>
      <c r="AD121" s="139">
        <v>0</v>
      </c>
      <c r="AE121" s="139">
        <v>0</v>
      </c>
      <c r="AF121" s="139">
        <v>0</v>
      </c>
      <c r="AG121" s="139">
        <v>0</v>
      </c>
      <c r="AH121" s="139">
        <v>0</v>
      </c>
      <c r="AI121" s="139">
        <v>0</v>
      </c>
      <c r="AJ121" s="139">
        <v>0</v>
      </c>
      <c r="AK121" s="139">
        <v>0</v>
      </c>
      <c r="AL121" s="139">
        <v>0</v>
      </c>
      <c r="AM121" s="139">
        <v>0</v>
      </c>
      <c r="AN121" s="139">
        <v>0</v>
      </c>
      <c r="AO121" s="139">
        <v>0</v>
      </c>
      <c r="AP121" s="139">
        <v>0</v>
      </c>
      <c r="AQ121" s="139">
        <v>0</v>
      </c>
      <c r="AR121" s="139">
        <v>0</v>
      </c>
      <c r="AS121" s="139">
        <v>0</v>
      </c>
      <c r="AT121" s="139">
        <v>0</v>
      </c>
      <c r="AU121" s="139">
        <v>0</v>
      </c>
      <c r="AV121" s="139">
        <v>0</v>
      </c>
      <c r="AW121" s="139">
        <v>0</v>
      </c>
      <c r="AX121" s="139">
        <v>0</v>
      </c>
      <c r="AY121" s="139">
        <v>0</v>
      </c>
      <c r="AZ121" s="122">
        <f>SUM($D121:$AY121)</f>
        <v>0</v>
      </c>
    </row>
    <row r="122" spans="1:52" x14ac:dyDescent="0.2">
      <c r="A122" s="145" t="s">
        <v>123</v>
      </c>
      <c r="B122" s="133">
        <v>1</v>
      </c>
      <c r="C122" s="121">
        <v>5217.2983353412346</v>
      </c>
      <c r="D122" s="121">
        <v>2826.373588694978</v>
      </c>
      <c r="E122" s="121">
        <v>1876.3735886949778</v>
      </c>
      <c r="F122" s="121">
        <v>1876.3735886949778</v>
      </c>
      <c r="G122" s="121">
        <v>1876.3735886949778</v>
      </c>
      <c r="H122" s="121">
        <v>1876.3735886949778</v>
      </c>
      <c r="I122" s="121">
        <v>1876.3735886949778</v>
      </c>
      <c r="J122" s="121">
        <v>1876.3735886949778</v>
      </c>
      <c r="K122" s="121">
        <v>1876.3735886949778</v>
      </c>
      <c r="L122" s="121">
        <v>1876.3735886949778</v>
      </c>
      <c r="M122" s="121">
        <v>1876.3735886949778</v>
      </c>
      <c r="N122" s="121">
        <v>1876.3735886949778</v>
      </c>
      <c r="O122" s="121">
        <v>1876.3735886949778</v>
      </c>
      <c r="P122" s="121">
        <v>1876.3735886949778</v>
      </c>
      <c r="Q122" s="121">
        <v>1876.3735886949778</v>
      </c>
      <c r="R122" s="121">
        <v>1876.3735886949778</v>
      </c>
      <c r="S122" s="121">
        <v>1876.3735886949778</v>
      </c>
      <c r="T122" s="121">
        <v>1876.3735886949778</v>
      </c>
      <c r="U122" s="121">
        <v>1876.3735886949778</v>
      </c>
      <c r="V122" s="121">
        <v>1876.3735886949778</v>
      </c>
      <c r="W122" s="121">
        <v>1876.3735886949778</v>
      </c>
      <c r="X122" s="121">
        <v>1876.3735886949778</v>
      </c>
      <c r="Y122" s="121">
        <v>1876.3735886949778</v>
      </c>
      <c r="Z122" s="121">
        <v>1876.3735886949778</v>
      </c>
      <c r="AA122" s="121">
        <v>1876.3735886949778</v>
      </c>
      <c r="AB122" s="121">
        <v>1876.3735886949778</v>
      </c>
      <c r="AC122" s="121">
        <v>1876.3735886949778</v>
      </c>
      <c r="AD122" s="121">
        <v>1876.3735886949778</v>
      </c>
      <c r="AE122" s="121">
        <v>1876.3735886949778</v>
      </c>
      <c r="AF122" s="121">
        <v>1876.3735886949778</v>
      </c>
      <c r="AG122" s="121">
        <v>1876.3735886949778</v>
      </c>
      <c r="AH122" s="121">
        <v>1876.3735886949778</v>
      </c>
      <c r="AI122" s="121">
        <v>1876.3735886949778</v>
      </c>
      <c r="AJ122" s="121">
        <v>1876.3735886949778</v>
      </c>
      <c r="AK122" s="121">
        <v>1876.3735886949778</v>
      </c>
      <c r="AL122" s="121">
        <v>1876.3735886949778</v>
      </c>
      <c r="AM122" s="121">
        <v>1876.3735886949778</v>
      </c>
      <c r="AN122" s="121">
        <v>1876.3735886949778</v>
      </c>
      <c r="AO122" s="121">
        <v>1876.3735886949778</v>
      </c>
      <c r="AP122" s="121">
        <v>1876.3735886949778</v>
      </c>
      <c r="AQ122" s="121">
        <v>1876.3735886949778</v>
      </c>
      <c r="AR122" s="121">
        <v>1876.3735886949778</v>
      </c>
      <c r="AS122" s="121">
        <v>1876.3735886949778</v>
      </c>
      <c r="AT122" s="121">
        <v>1876.3735886949778</v>
      </c>
      <c r="AU122" s="121">
        <v>1876.3735886949778</v>
      </c>
      <c r="AV122" s="121">
        <v>1876.3735886949778</v>
      </c>
      <c r="AW122" s="121">
        <v>1876.3735886949778</v>
      </c>
      <c r="AX122" s="121">
        <v>1876.3735886949778</v>
      </c>
      <c r="AY122" s="121">
        <v>1876.3735886949778</v>
      </c>
    </row>
    <row r="123" spans="1:52" x14ac:dyDescent="0.2">
      <c r="A123" s="124"/>
      <c r="B123" s="133">
        <v>2</v>
      </c>
      <c r="C123" s="121">
        <v>3573.3153167388505</v>
      </c>
      <c r="D123" s="121">
        <v>3678.8596341423727</v>
      </c>
      <c r="E123" s="121">
        <v>1530.2772513004966</v>
      </c>
      <c r="F123" s="121">
        <v>1015.9208355208265</v>
      </c>
      <c r="G123" s="121">
        <v>1015.9208355208265</v>
      </c>
      <c r="H123" s="121">
        <v>1015.9208355208265</v>
      </c>
      <c r="I123" s="121">
        <v>912.62575094738327</v>
      </c>
      <c r="J123" s="121">
        <v>866.0417936319061</v>
      </c>
      <c r="K123" s="121">
        <v>643.81994382388302</v>
      </c>
      <c r="L123" s="121">
        <v>731.50285521842738</v>
      </c>
      <c r="M123" s="121">
        <v>618.9768215658213</v>
      </c>
      <c r="N123" s="121">
        <v>682.05209803797175</v>
      </c>
      <c r="O123" s="121">
        <v>578.2028065964214</v>
      </c>
      <c r="P123" s="121">
        <v>720.97591256785904</v>
      </c>
      <c r="Q123" s="121">
        <v>804.27724210175347</v>
      </c>
      <c r="R123" s="121">
        <v>696.37889819515885</v>
      </c>
      <c r="S123" s="121">
        <v>866.95973457372907</v>
      </c>
      <c r="T123" s="121">
        <v>814.3169425741288</v>
      </c>
      <c r="U123" s="121">
        <v>757.81467119565605</v>
      </c>
      <c r="V123" s="121">
        <v>686.2227703644545</v>
      </c>
      <c r="W123" s="121">
        <v>806.46092456404358</v>
      </c>
      <c r="X123" s="121">
        <v>732.56120459990029</v>
      </c>
      <c r="Y123" s="121">
        <v>674.54984134950234</v>
      </c>
      <c r="Z123" s="121">
        <v>640.14087621690533</v>
      </c>
      <c r="AA123" s="121">
        <v>775.51090571554721</v>
      </c>
      <c r="AB123" s="121">
        <v>933.80400379650473</v>
      </c>
      <c r="AC123" s="121">
        <v>861.50828860869524</v>
      </c>
      <c r="AD123" s="121">
        <v>772.36537814529584</v>
      </c>
      <c r="AE123" s="121">
        <v>725.10092770516724</v>
      </c>
      <c r="AF123" s="121">
        <v>702.51063999760891</v>
      </c>
      <c r="AG123" s="121">
        <v>686.27963008530241</v>
      </c>
      <c r="AH123" s="121">
        <v>633.49170999795683</v>
      </c>
      <c r="AI123" s="121">
        <v>651.91086223733498</v>
      </c>
      <c r="AJ123" s="121">
        <v>705.88350342422621</v>
      </c>
      <c r="AK123" s="121">
        <v>694.10579213059623</v>
      </c>
      <c r="AL123" s="121">
        <v>702.72901174419701</v>
      </c>
      <c r="AM123" s="121">
        <v>591.39786262096823</v>
      </c>
      <c r="AN123" s="121">
        <v>553.12008280238308</v>
      </c>
      <c r="AO123" s="121">
        <v>774.39542845344545</v>
      </c>
      <c r="AP123" s="121">
        <v>759.20005338974852</v>
      </c>
      <c r="AQ123" s="121">
        <v>704.97285480638971</v>
      </c>
      <c r="AR123" s="121">
        <v>612.61274164732777</v>
      </c>
      <c r="AS123" s="121">
        <v>446.60640820995957</v>
      </c>
      <c r="AT123" s="121">
        <v>487.72596330093904</v>
      </c>
      <c r="AU123" s="121">
        <v>543.98923380099257</v>
      </c>
      <c r="AV123" s="121">
        <v>660.45173291093943</v>
      </c>
      <c r="AW123" s="121">
        <v>563.50776829508186</v>
      </c>
      <c r="AX123" s="121">
        <v>460.0196102200465</v>
      </c>
      <c r="AY123" s="121">
        <v>504.98824383782005</v>
      </c>
    </row>
    <row r="124" spans="1:52" x14ac:dyDescent="0.2">
      <c r="A124" s="124"/>
      <c r="B124" s="133">
        <v>3</v>
      </c>
      <c r="C124" s="121">
        <v>2095.4243336044624</v>
      </c>
      <c r="D124" s="121">
        <v>2121.9942990578588</v>
      </c>
      <c r="E124" s="121">
        <v>1991.8369006041876</v>
      </c>
      <c r="F124" s="121">
        <v>905.12941655323425</v>
      </c>
      <c r="G124" s="121">
        <v>550.04778913092605</v>
      </c>
      <c r="H124" s="121">
        <v>172.98174427547593</v>
      </c>
      <c r="I124" s="121">
        <v>0</v>
      </c>
      <c r="J124" s="121">
        <v>0</v>
      </c>
      <c r="K124" s="121">
        <v>0</v>
      </c>
      <c r="L124" s="121">
        <v>0</v>
      </c>
      <c r="M124" s="121">
        <v>0</v>
      </c>
      <c r="N124" s="121">
        <v>0</v>
      </c>
      <c r="O124" s="121">
        <v>0</v>
      </c>
      <c r="P124" s="121">
        <v>0</v>
      </c>
      <c r="Q124" s="121">
        <v>0</v>
      </c>
      <c r="R124" s="121">
        <v>0</v>
      </c>
      <c r="S124" s="121">
        <v>0</v>
      </c>
      <c r="T124" s="121">
        <v>0</v>
      </c>
      <c r="U124" s="121">
        <v>0</v>
      </c>
      <c r="V124" s="121">
        <v>0</v>
      </c>
      <c r="W124" s="121">
        <v>0</v>
      </c>
      <c r="X124" s="121">
        <v>0</v>
      </c>
      <c r="Y124" s="121">
        <v>0</v>
      </c>
      <c r="Z124" s="121">
        <v>0</v>
      </c>
      <c r="AA124" s="121">
        <v>0</v>
      </c>
      <c r="AB124" s="121">
        <v>0</v>
      </c>
      <c r="AC124" s="121">
        <v>0</v>
      </c>
      <c r="AD124" s="121">
        <v>0</v>
      </c>
      <c r="AE124" s="121">
        <v>0</v>
      </c>
      <c r="AF124" s="121">
        <v>0</v>
      </c>
      <c r="AG124" s="121">
        <v>0</v>
      </c>
      <c r="AH124" s="121">
        <v>0</v>
      </c>
      <c r="AI124" s="121">
        <v>0</v>
      </c>
      <c r="AJ124" s="121">
        <v>0</v>
      </c>
      <c r="AK124" s="121">
        <v>0</v>
      </c>
      <c r="AL124" s="121">
        <v>0</v>
      </c>
      <c r="AM124" s="121">
        <v>0</v>
      </c>
      <c r="AN124" s="121">
        <v>0</v>
      </c>
      <c r="AO124" s="121">
        <v>0</v>
      </c>
      <c r="AP124" s="121">
        <v>0</v>
      </c>
      <c r="AQ124" s="121">
        <v>0</v>
      </c>
      <c r="AR124" s="121">
        <v>0</v>
      </c>
      <c r="AS124" s="121">
        <v>0</v>
      </c>
      <c r="AT124" s="121">
        <v>0</v>
      </c>
      <c r="AU124" s="121">
        <v>0</v>
      </c>
      <c r="AV124" s="121">
        <v>0</v>
      </c>
      <c r="AW124" s="121">
        <v>0</v>
      </c>
      <c r="AX124" s="121">
        <v>0</v>
      </c>
      <c r="AY124" s="121">
        <v>0</v>
      </c>
    </row>
    <row r="125" spans="1:52" x14ac:dyDescent="0.2">
      <c r="A125" s="124"/>
      <c r="B125" s="133">
        <v>4</v>
      </c>
      <c r="C125" s="121">
        <v>87.477955667915921</v>
      </c>
      <c r="D125" s="121">
        <v>82.304916484050864</v>
      </c>
      <c r="E125" s="121">
        <v>487.46888822323638</v>
      </c>
      <c r="F125" s="121">
        <v>669.36509385585339</v>
      </c>
      <c r="G125" s="121">
        <v>214.47510846187828</v>
      </c>
      <c r="H125" s="121">
        <v>0</v>
      </c>
      <c r="I125" s="121">
        <v>0</v>
      </c>
      <c r="J125" s="121">
        <v>0</v>
      </c>
      <c r="K125" s="121">
        <v>0</v>
      </c>
      <c r="L125" s="121">
        <v>0</v>
      </c>
      <c r="M125" s="121">
        <v>0</v>
      </c>
      <c r="N125" s="121">
        <v>0</v>
      </c>
      <c r="O125" s="121">
        <v>0</v>
      </c>
      <c r="P125" s="121">
        <v>0</v>
      </c>
      <c r="Q125" s="121">
        <v>0</v>
      </c>
      <c r="R125" s="121">
        <v>0</v>
      </c>
      <c r="S125" s="121">
        <v>0</v>
      </c>
      <c r="T125" s="121">
        <v>0</v>
      </c>
      <c r="U125" s="121">
        <v>0</v>
      </c>
      <c r="V125" s="121">
        <v>0</v>
      </c>
      <c r="W125" s="121">
        <v>0</v>
      </c>
      <c r="X125" s="121">
        <v>0</v>
      </c>
      <c r="Y125" s="121">
        <v>0</v>
      </c>
      <c r="Z125" s="121">
        <v>0</v>
      </c>
      <c r="AA125" s="121">
        <v>0</v>
      </c>
      <c r="AB125" s="121">
        <v>0</v>
      </c>
      <c r="AC125" s="121">
        <v>0</v>
      </c>
      <c r="AD125" s="121">
        <v>0</v>
      </c>
      <c r="AE125" s="121">
        <v>0</v>
      </c>
      <c r="AF125" s="121">
        <v>0</v>
      </c>
      <c r="AG125" s="121">
        <v>0</v>
      </c>
      <c r="AH125" s="121">
        <v>0</v>
      </c>
      <c r="AI125" s="121">
        <v>0</v>
      </c>
      <c r="AJ125" s="121">
        <v>0</v>
      </c>
      <c r="AK125" s="121">
        <v>0</v>
      </c>
      <c r="AL125" s="121">
        <v>0</v>
      </c>
      <c r="AM125" s="121">
        <v>0</v>
      </c>
      <c r="AN125" s="121">
        <v>0</v>
      </c>
      <c r="AO125" s="121">
        <v>0</v>
      </c>
      <c r="AP125" s="121">
        <v>0</v>
      </c>
      <c r="AQ125" s="121">
        <v>0</v>
      </c>
      <c r="AR125" s="121">
        <v>0</v>
      </c>
      <c r="AS125" s="121">
        <v>0</v>
      </c>
      <c r="AT125" s="121">
        <v>0</v>
      </c>
      <c r="AU125" s="121">
        <v>0</v>
      </c>
      <c r="AV125" s="121">
        <v>0</v>
      </c>
      <c r="AW125" s="121">
        <v>0</v>
      </c>
      <c r="AX125" s="121">
        <v>0</v>
      </c>
      <c r="AY125" s="121">
        <v>0</v>
      </c>
    </row>
    <row r="126" spans="1:52" x14ac:dyDescent="0.2">
      <c r="A126" s="124"/>
      <c r="B126" s="133">
        <v>5</v>
      </c>
      <c r="C126" s="121">
        <v>0</v>
      </c>
      <c r="D126" s="121">
        <v>0</v>
      </c>
      <c r="E126" s="121">
        <v>0</v>
      </c>
      <c r="F126" s="121">
        <v>0</v>
      </c>
      <c r="G126" s="121">
        <v>0</v>
      </c>
      <c r="H126" s="121">
        <v>0</v>
      </c>
      <c r="I126" s="121">
        <v>0</v>
      </c>
      <c r="J126" s="121">
        <v>0</v>
      </c>
      <c r="K126" s="121">
        <v>0</v>
      </c>
      <c r="L126" s="121">
        <v>0</v>
      </c>
      <c r="M126" s="121">
        <v>0</v>
      </c>
      <c r="N126" s="121">
        <v>0</v>
      </c>
      <c r="O126" s="121">
        <v>0</v>
      </c>
      <c r="P126" s="121">
        <v>0</v>
      </c>
      <c r="Q126" s="121">
        <v>0</v>
      </c>
      <c r="R126" s="121">
        <v>0</v>
      </c>
      <c r="S126" s="121">
        <v>0</v>
      </c>
      <c r="T126" s="121">
        <v>0</v>
      </c>
      <c r="U126" s="121">
        <v>0</v>
      </c>
      <c r="V126" s="121">
        <v>0</v>
      </c>
      <c r="W126" s="121">
        <v>0</v>
      </c>
      <c r="X126" s="121">
        <v>0</v>
      </c>
      <c r="Y126" s="121">
        <v>0</v>
      </c>
      <c r="Z126" s="121">
        <v>0</v>
      </c>
      <c r="AA126" s="121">
        <v>0</v>
      </c>
      <c r="AB126" s="121">
        <v>0</v>
      </c>
      <c r="AC126" s="121">
        <v>0</v>
      </c>
      <c r="AD126" s="121">
        <v>0</v>
      </c>
      <c r="AE126" s="121">
        <v>0</v>
      </c>
      <c r="AF126" s="121">
        <v>0</v>
      </c>
      <c r="AG126" s="121">
        <v>0</v>
      </c>
      <c r="AH126" s="121">
        <v>0</v>
      </c>
      <c r="AI126" s="121">
        <v>0</v>
      </c>
      <c r="AJ126" s="121">
        <v>0</v>
      </c>
      <c r="AK126" s="121">
        <v>0</v>
      </c>
      <c r="AL126" s="121">
        <v>0</v>
      </c>
      <c r="AM126" s="121">
        <v>0</v>
      </c>
      <c r="AN126" s="121">
        <v>0</v>
      </c>
      <c r="AO126" s="121">
        <v>0</v>
      </c>
      <c r="AP126" s="121">
        <v>0</v>
      </c>
      <c r="AQ126" s="121">
        <v>0</v>
      </c>
      <c r="AR126" s="121">
        <v>0</v>
      </c>
      <c r="AS126" s="121">
        <v>0</v>
      </c>
      <c r="AT126" s="121">
        <v>0</v>
      </c>
      <c r="AU126" s="121">
        <v>0</v>
      </c>
      <c r="AV126" s="121">
        <v>0</v>
      </c>
      <c r="AW126" s="121">
        <v>0</v>
      </c>
      <c r="AX126" s="121">
        <v>0</v>
      </c>
      <c r="AY126" s="121">
        <v>0</v>
      </c>
    </row>
    <row r="127" spans="1:52" x14ac:dyDescent="0.2">
      <c r="A127" s="124"/>
      <c r="B127" s="133">
        <v>6</v>
      </c>
      <c r="C127" s="121">
        <v>0</v>
      </c>
      <c r="D127" s="121">
        <v>0</v>
      </c>
      <c r="E127" s="121">
        <v>0</v>
      </c>
      <c r="F127" s="121">
        <v>0</v>
      </c>
      <c r="G127" s="121">
        <v>0</v>
      </c>
      <c r="H127" s="121">
        <v>0</v>
      </c>
      <c r="I127" s="121">
        <v>0</v>
      </c>
      <c r="J127" s="121">
        <v>0</v>
      </c>
      <c r="K127" s="121">
        <v>0</v>
      </c>
      <c r="L127" s="121">
        <v>0</v>
      </c>
      <c r="M127" s="121">
        <v>0</v>
      </c>
      <c r="N127" s="121">
        <v>0</v>
      </c>
      <c r="O127" s="121">
        <v>0</v>
      </c>
      <c r="P127" s="121">
        <v>0</v>
      </c>
      <c r="Q127" s="121">
        <v>0</v>
      </c>
      <c r="R127" s="121">
        <v>0</v>
      </c>
      <c r="S127" s="121">
        <v>0</v>
      </c>
      <c r="T127" s="121">
        <v>0</v>
      </c>
      <c r="U127" s="121">
        <v>0</v>
      </c>
      <c r="V127" s="121">
        <v>0</v>
      </c>
      <c r="W127" s="121">
        <v>0</v>
      </c>
      <c r="X127" s="121">
        <v>0</v>
      </c>
      <c r="Y127" s="121">
        <v>0</v>
      </c>
      <c r="Z127" s="121">
        <v>0</v>
      </c>
      <c r="AA127" s="121">
        <v>0</v>
      </c>
      <c r="AB127" s="121">
        <v>0</v>
      </c>
      <c r="AC127" s="121">
        <v>0</v>
      </c>
      <c r="AD127" s="121">
        <v>0</v>
      </c>
      <c r="AE127" s="121">
        <v>0</v>
      </c>
      <c r="AF127" s="121">
        <v>0</v>
      </c>
      <c r="AG127" s="121">
        <v>0</v>
      </c>
      <c r="AH127" s="121">
        <v>0</v>
      </c>
      <c r="AI127" s="121">
        <v>0</v>
      </c>
      <c r="AJ127" s="121">
        <v>0</v>
      </c>
      <c r="AK127" s="121">
        <v>0</v>
      </c>
      <c r="AL127" s="121">
        <v>0</v>
      </c>
      <c r="AM127" s="121">
        <v>0</v>
      </c>
      <c r="AN127" s="121">
        <v>0</v>
      </c>
      <c r="AO127" s="121">
        <v>0</v>
      </c>
      <c r="AP127" s="121">
        <v>0</v>
      </c>
      <c r="AQ127" s="121">
        <v>0</v>
      </c>
      <c r="AR127" s="121">
        <v>0</v>
      </c>
      <c r="AS127" s="121">
        <v>0</v>
      </c>
      <c r="AT127" s="121">
        <v>0</v>
      </c>
      <c r="AU127" s="121">
        <v>0</v>
      </c>
      <c r="AV127" s="121">
        <v>0</v>
      </c>
      <c r="AW127" s="121">
        <v>0</v>
      </c>
      <c r="AX127" s="121">
        <v>0</v>
      </c>
      <c r="AY127" s="121">
        <v>0</v>
      </c>
    </row>
    <row r="128" spans="1:52" x14ac:dyDescent="0.2">
      <c r="A128" s="124"/>
      <c r="B128" s="133">
        <v>7</v>
      </c>
      <c r="C128" s="121">
        <v>0</v>
      </c>
      <c r="D128" s="121">
        <v>0</v>
      </c>
      <c r="E128" s="121">
        <v>0</v>
      </c>
      <c r="F128" s="121">
        <v>0</v>
      </c>
      <c r="G128" s="121">
        <v>0</v>
      </c>
      <c r="H128" s="121">
        <v>0</v>
      </c>
      <c r="I128" s="121">
        <v>0</v>
      </c>
      <c r="J128" s="121">
        <v>0</v>
      </c>
      <c r="K128" s="121">
        <v>0</v>
      </c>
      <c r="L128" s="121">
        <v>0</v>
      </c>
      <c r="M128" s="121">
        <v>0</v>
      </c>
      <c r="N128" s="121">
        <v>0</v>
      </c>
      <c r="O128" s="121">
        <v>0</v>
      </c>
      <c r="P128" s="121">
        <v>0</v>
      </c>
      <c r="Q128" s="121">
        <v>0</v>
      </c>
      <c r="R128" s="121">
        <v>0</v>
      </c>
      <c r="S128" s="121">
        <v>0</v>
      </c>
      <c r="T128" s="121">
        <v>0</v>
      </c>
      <c r="U128" s="121">
        <v>0</v>
      </c>
      <c r="V128" s="121">
        <v>0</v>
      </c>
      <c r="W128" s="121">
        <v>0</v>
      </c>
      <c r="X128" s="121">
        <v>0</v>
      </c>
      <c r="Y128" s="121">
        <v>0</v>
      </c>
      <c r="Z128" s="121">
        <v>0</v>
      </c>
      <c r="AA128" s="121">
        <v>0</v>
      </c>
      <c r="AB128" s="121">
        <v>0</v>
      </c>
      <c r="AC128" s="121">
        <v>0</v>
      </c>
      <c r="AD128" s="121">
        <v>0</v>
      </c>
      <c r="AE128" s="121">
        <v>0</v>
      </c>
      <c r="AF128" s="121">
        <v>0</v>
      </c>
      <c r="AG128" s="121">
        <v>0</v>
      </c>
      <c r="AH128" s="121">
        <v>0</v>
      </c>
      <c r="AI128" s="121">
        <v>0</v>
      </c>
      <c r="AJ128" s="121">
        <v>0</v>
      </c>
      <c r="AK128" s="121">
        <v>0</v>
      </c>
      <c r="AL128" s="121">
        <v>0</v>
      </c>
      <c r="AM128" s="121">
        <v>0</v>
      </c>
      <c r="AN128" s="121">
        <v>0</v>
      </c>
      <c r="AO128" s="121">
        <v>0</v>
      </c>
      <c r="AP128" s="121">
        <v>0</v>
      </c>
      <c r="AQ128" s="121">
        <v>0</v>
      </c>
      <c r="AR128" s="121">
        <v>0</v>
      </c>
      <c r="AS128" s="121">
        <v>0</v>
      </c>
      <c r="AT128" s="121">
        <v>0</v>
      </c>
      <c r="AU128" s="121">
        <v>0</v>
      </c>
      <c r="AV128" s="121">
        <v>0</v>
      </c>
      <c r="AW128" s="121">
        <v>0</v>
      </c>
      <c r="AX128" s="121">
        <v>0</v>
      </c>
      <c r="AY128" s="121">
        <v>0</v>
      </c>
    </row>
    <row r="129" spans="1:51" x14ac:dyDescent="0.2">
      <c r="A129" s="124"/>
      <c r="B129" s="133">
        <v>8</v>
      </c>
      <c r="C129" s="121">
        <v>0</v>
      </c>
      <c r="D129" s="121">
        <v>0</v>
      </c>
      <c r="E129" s="121">
        <v>0</v>
      </c>
      <c r="F129" s="121">
        <v>0</v>
      </c>
      <c r="G129" s="121">
        <v>0</v>
      </c>
      <c r="H129" s="121">
        <v>0</v>
      </c>
      <c r="I129" s="121">
        <v>0</v>
      </c>
      <c r="J129" s="121">
        <v>0</v>
      </c>
      <c r="K129" s="121">
        <v>0</v>
      </c>
      <c r="L129" s="121">
        <v>0</v>
      </c>
      <c r="M129" s="121">
        <v>0</v>
      </c>
      <c r="N129" s="121">
        <v>0</v>
      </c>
      <c r="O129" s="121">
        <v>0</v>
      </c>
      <c r="P129" s="121">
        <v>0</v>
      </c>
      <c r="Q129" s="121">
        <v>0</v>
      </c>
      <c r="R129" s="121">
        <v>0</v>
      </c>
      <c r="S129" s="121">
        <v>0</v>
      </c>
      <c r="T129" s="121">
        <v>0</v>
      </c>
      <c r="U129" s="121">
        <v>0</v>
      </c>
      <c r="V129" s="121">
        <v>0</v>
      </c>
      <c r="W129" s="121">
        <v>0</v>
      </c>
      <c r="X129" s="121">
        <v>0</v>
      </c>
      <c r="Y129" s="121">
        <v>0</v>
      </c>
      <c r="Z129" s="121">
        <v>0</v>
      </c>
      <c r="AA129" s="121">
        <v>0</v>
      </c>
      <c r="AB129" s="121">
        <v>0</v>
      </c>
      <c r="AC129" s="121">
        <v>0</v>
      </c>
      <c r="AD129" s="121">
        <v>0</v>
      </c>
      <c r="AE129" s="121">
        <v>0</v>
      </c>
      <c r="AF129" s="121">
        <v>0</v>
      </c>
      <c r="AG129" s="121">
        <v>0</v>
      </c>
      <c r="AH129" s="121">
        <v>0</v>
      </c>
      <c r="AI129" s="121">
        <v>0</v>
      </c>
      <c r="AJ129" s="121">
        <v>0</v>
      </c>
      <c r="AK129" s="121">
        <v>0</v>
      </c>
      <c r="AL129" s="121">
        <v>0</v>
      </c>
      <c r="AM129" s="121">
        <v>0</v>
      </c>
      <c r="AN129" s="121">
        <v>0</v>
      </c>
      <c r="AO129" s="121">
        <v>0</v>
      </c>
      <c r="AP129" s="121">
        <v>0</v>
      </c>
      <c r="AQ129" s="121">
        <v>0</v>
      </c>
      <c r="AR129" s="121">
        <v>0</v>
      </c>
      <c r="AS129" s="121">
        <v>0</v>
      </c>
      <c r="AT129" s="121">
        <v>0</v>
      </c>
      <c r="AU129" s="121">
        <v>0</v>
      </c>
      <c r="AV129" s="121">
        <v>0</v>
      </c>
      <c r="AW129" s="121">
        <v>0</v>
      </c>
      <c r="AX129" s="121">
        <v>0</v>
      </c>
      <c r="AY129" s="121">
        <v>0</v>
      </c>
    </row>
    <row r="130" spans="1:51" x14ac:dyDescent="0.2">
      <c r="A130" s="124"/>
      <c r="B130" s="133">
        <v>9</v>
      </c>
      <c r="C130" s="121">
        <v>0</v>
      </c>
      <c r="D130" s="121">
        <v>0</v>
      </c>
      <c r="E130" s="121">
        <v>0</v>
      </c>
      <c r="F130" s="121">
        <v>0</v>
      </c>
      <c r="G130" s="121">
        <v>0</v>
      </c>
      <c r="H130" s="121">
        <v>0</v>
      </c>
      <c r="I130" s="121">
        <v>0</v>
      </c>
      <c r="J130" s="121">
        <v>0</v>
      </c>
      <c r="K130" s="121">
        <v>0</v>
      </c>
      <c r="L130" s="121">
        <v>0</v>
      </c>
      <c r="M130" s="121">
        <v>0</v>
      </c>
      <c r="N130" s="121">
        <v>0</v>
      </c>
      <c r="O130" s="121">
        <v>0</v>
      </c>
      <c r="P130" s="121">
        <v>0</v>
      </c>
      <c r="Q130" s="121">
        <v>0</v>
      </c>
      <c r="R130" s="121">
        <v>0</v>
      </c>
      <c r="S130" s="121">
        <v>0</v>
      </c>
      <c r="T130" s="121">
        <v>0</v>
      </c>
      <c r="U130" s="121">
        <v>0</v>
      </c>
      <c r="V130" s="121">
        <v>0</v>
      </c>
      <c r="W130" s="121">
        <v>0</v>
      </c>
      <c r="X130" s="121">
        <v>0</v>
      </c>
      <c r="Y130" s="121">
        <v>0</v>
      </c>
      <c r="Z130" s="121">
        <v>0</v>
      </c>
      <c r="AA130" s="121">
        <v>0</v>
      </c>
      <c r="AB130" s="121">
        <v>0</v>
      </c>
      <c r="AC130" s="121">
        <v>0</v>
      </c>
      <c r="AD130" s="121">
        <v>0</v>
      </c>
      <c r="AE130" s="121">
        <v>0</v>
      </c>
      <c r="AF130" s="121">
        <v>0</v>
      </c>
      <c r="AG130" s="121">
        <v>0</v>
      </c>
      <c r="AH130" s="121">
        <v>0</v>
      </c>
      <c r="AI130" s="121">
        <v>0</v>
      </c>
      <c r="AJ130" s="121">
        <v>0</v>
      </c>
      <c r="AK130" s="121">
        <v>0</v>
      </c>
      <c r="AL130" s="121">
        <v>0</v>
      </c>
      <c r="AM130" s="121">
        <v>0</v>
      </c>
      <c r="AN130" s="121">
        <v>0</v>
      </c>
      <c r="AO130" s="121">
        <v>0</v>
      </c>
      <c r="AP130" s="121">
        <v>0</v>
      </c>
      <c r="AQ130" s="121">
        <v>0</v>
      </c>
      <c r="AR130" s="121">
        <v>0</v>
      </c>
      <c r="AS130" s="121">
        <v>0</v>
      </c>
      <c r="AT130" s="121">
        <v>0</v>
      </c>
      <c r="AU130" s="121">
        <v>0</v>
      </c>
      <c r="AV130" s="121">
        <v>0</v>
      </c>
      <c r="AW130" s="121">
        <v>0</v>
      </c>
      <c r="AX130" s="121">
        <v>0</v>
      </c>
      <c r="AY130" s="121">
        <v>0</v>
      </c>
    </row>
    <row r="131" spans="1:51" x14ac:dyDescent="0.2">
      <c r="A131" s="124"/>
      <c r="B131" s="133">
        <v>10</v>
      </c>
      <c r="C131" s="121">
        <v>0</v>
      </c>
      <c r="D131" s="121">
        <v>0</v>
      </c>
      <c r="E131" s="121">
        <v>0</v>
      </c>
      <c r="F131" s="121">
        <v>0</v>
      </c>
      <c r="G131" s="121">
        <v>0</v>
      </c>
      <c r="H131" s="121">
        <v>0</v>
      </c>
      <c r="I131" s="121">
        <v>0</v>
      </c>
      <c r="J131" s="121">
        <v>0</v>
      </c>
      <c r="K131" s="121">
        <v>0</v>
      </c>
      <c r="L131" s="121">
        <v>0</v>
      </c>
      <c r="M131" s="121">
        <v>0</v>
      </c>
      <c r="N131" s="121">
        <v>0</v>
      </c>
      <c r="O131" s="121">
        <v>0</v>
      </c>
      <c r="P131" s="121">
        <v>0</v>
      </c>
      <c r="Q131" s="121">
        <v>0</v>
      </c>
      <c r="R131" s="121">
        <v>0</v>
      </c>
      <c r="S131" s="121">
        <v>0</v>
      </c>
      <c r="T131" s="121">
        <v>0</v>
      </c>
      <c r="U131" s="121">
        <v>0</v>
      </c>
      <c r="V131" s="121">
        <v>0</v>
      </c>
      <c r="W131" s="121">
        <v>0</v>
      </c>
      <c r="X131" s="121">
        <v>0</v>
      </c>
      <c r="Y131" s="121">
        <v>0</v>
      </c>
      <c r="Z131" s="121">
        <v>0</v>
      </c>
      <c r="AA131" s="121">
        <v>0</v>
      </c>
      <c r="AB131" s="121">
        <v>0</v>
      </c>
      <c r="AC131" s="121">
        <v>0</v>
      </c>
      <c r="AD131" s="121">
        <v>0</v>
      </c>
      <c r="AE131" s="121">
        <v>0</v>
      </c>
      <c r="AF131" s="121">
        <v>0</v>
      </c>
      <c r="AG131" s="121">
        <v>0</v>
      </c>
      <c r="AH131" s="121">
        <v>0</v>
      </c>
      <c r="AI131" s="121">
        <v>0</v>
      </c>
      <c r="AJ131" s="121">
        <v>0</v>
      </c>
      <c r="AK131" s="121">
        <v>0</v>
      </c>
      <c r="AL131" s="121">
        <v>0</v>
      </c>
      <c r="AM131" s="121">
        <v>0</v>
      </c>
      <c r="AN131" s="121">
        <v>0</v>
      </c>
      <c r="AO131" s="121">
        <v>0</v>
      </c>
      <c r="AP131" s="121">
        <v>0</v>
      </c>
      <c r="AQ131" s="121">
        <v>0</v>
      </c>
      <c r="AR131" s="121">
        <v>0</v>
      </c>
      <c r="AS131" s="121">
        <v>0</v>
      </c>
      <c r="AT131" s="121">
        <v>0</v>
      </c>
      <c r="AU131" s="121">
        <v>0</v>
      </c>
      <c r="AV131" s="121">
        <v>0</v>
      </c>
      <c r="AW131" s="121">
        <v>0</v>
      </c>
      <c r="AX131" s="121">
        <v>0</v>
      </c>
      <c r="AY131" s="121">
        <v>0</v>
      </c>
    </row>
    <row r="132" spans="1:51" x14ac:dyDescent="0.2">
      <c r="A132" s="124"/>
      <c r="B132" s="133">
        <v>11</v>
      </c>
      <c r="C132" s="121">
        <v>0</v>
      </c>
      <c r="D132" s="121">
        <v>0</v>
      </c>
      <c r="E132" s="121">
        <v>0</v>
      </c>
      <c r="F132" s="121">
        <v>0</v>
      </c>
      <c r="G132" s="121">
        <v>0</v>
      </c>
      <c r="H132" s="121">
        <v>0</v>
      </c>
      <c r="I132" s="121">
        <v>0</v>
      </c>
      <c r="J132" s="121">
        <v>0</v>
      </c>
      <c r="K132" s="121">
        <v>0</v>
      </c>
      <c r="L132" s="121">
        <v>0</v>
      </c>
      <c r="M132" s="121">
        <v>0</v>
      </c>
      <c r="N132" s="121">
        <v>0</v>
      </c>
      <c r="O132" s="121">
        <v>0</v>
      </c>
      <c r="P132" s="121">
        <v>0</v>
      </c>
      <c r="Q132" s="121">
        <v>0</v>
      </c>
      <c r="R132" s="121">
        <v>0</v>
      </c>
      <c r="S132" s="121">
        <v>0</v>
      </c>
      <c r="T132" s="121">
        <v>0</v>
      </c>
      <c r="U132" s="121">
        <v>0</v>
      </c>
      <c r="V132" s="121">
        <v>0</v>
      </c>
      <c r="W132" s="121">
        <v>0</v>
      </c>
      <c r="X132" s="121">
        <v>0</v>
      </c>
      <c r="Y132" s="121">
        <v>0</v>
      </c>
      <c r="Z132" s="121">
        <v>0</v>
      </c>
      <c r="AA132" s="121">
        <v>0</v>
      </c>
      <c r="AB132" s="121">
        <v>0</v>
      </c>
      <c r="AC132" s="121">
        <v>0</v>
      </c>
      <c r="AD132" s="121">
        <v>0</v>
      </c>
      <c r="AE132" s="121">
        <v>0</v>
      </c>
      <c r="AF132" s="121">
        <v>0</v>
      </c>
      <c r="AG132" s="121">
        <v>0</v>
      </c>
      <c r="AH132" s="121">
        <v>0</v>
      </c>
      <c r="AI132" s="121">
        <v>0</v>
      </c>
      <c r="AJ132" s="121">
        <v>0</v>
      </c>
      <c r="AK132" s="121">
        <v>0</v>
      </c>
      <c r="AL132" s="121">
        <v>0</v>
      </c>
      <c r="AM132" s="121">
        <v>0</v>
      </c>
      <c r="AN132" s="121">
        <v>0</v>
      </c>
      <c r="AO132" s="121">
        <v>0</v>
      </c>
      <c r="AP132" s="121">
        <v>0</v>
      </c>
      <c r="AQ132" s="121">
        <v>0</v>
      </c>
      <c r="AR132" s="121">
        <v>0</v>
      </c>
      <c r="AS132" s="121">
        <v>0</v>
      </c>
      <c r="AT132" s="121">
        <v>0</v>
      </c>
      <c r="AU132" s="121">
        <v>0</v>
      </c>
      <c r="AV132" s="121">
        <v>0</v>
      </c>
      <c r="AW132" s="121">
        <v>0</v>
      </c>
      <c r="AX132" s="121">
        <v>0</v>
      </c>
      <c r="AY132" s="121">
        <v>0</v>
      </c>
    </row>
    <row r="133" spans="1:51" x14ac:dyDescent="0.2">
      <c r="A133" s="124"/>
      <c r="B133" s="133">
        <v>12</v>
      </c>
      <c r="C133" s="121">
        <v>0</v>
      </c>
      <c r="D133" s="121">
        <v>0</v>
      </c>
      <c r="E133" s="121">
        <v>0</v>
      </c>
      <c r="F133" s="121">
        <v>0</v>
      </c>
      <c r="G133" s="121">
        <v>0</v>
      </c>
      <c r="H133" s="121">
        <v>0</v>
      </c>
      <c r="I133" s="121">
        <v>0</v>
      </c>
      <c r="J133" s="121">
        <v>0</v>
      </c>
      <c r="K133" s="121">
        <v>0</v>
      </c>
      <c r="L133" s="121">
        <v>0</v>
      </c>
      <c r="M133" s="121">
        <v>0</v>
      </c>
      <c r="N133" s="121">
        <v>0</v>
      </c>
      <c r="O133" s="121">
        <v>0</v>
      </c>
      <c r="P133" s="121">
        <v>0</v>
      </c>
      <c r="Q133" s="121">
        <v>0</v>
      </c>
      <c r="R133" s="121">
        <v>0</v>
      </c>
      <c r="S133" s="121">
        <v>0</v>
      </c>
      <c r="T133" s="121">
        <v>0</v>
      </c>
      <c r="U133" s="121">
        <v>0</v>
      </c>
      <c r="V133" s="121">
        <v>0</v>
      </c>
      <c r="W133" s="121">
        <v>0</v>
      </c>
      <c r="X133" s="121">
        <v>0</v>
      </c>
      <c r="Y133" s="121">
        <v>0</v>
      </c>
      <c r="Z133" s="121">
        <v>0</v>
      </c>
      <c r="AA133" s="121">
        <v>0</v>
      </c>
      <c r="AB133" s="121">
        <v>0</v>
      </c>
      <c r="AC133" s="121">
        <v>0</v>
      </c>
      <c r="AD133" s="121">
        <v>0</v>
      </c>
      <c r="AE133" s="121">
        <v>0</v>
      </c>
      <c r="AF133" s="121">
        <v>0</v>
      </c>
      <c r="AG133" s="121">
        <v>0</v>
      </c>
      <c r="AH133" s="121">
        <v>0</v>
      </c>
      <c r="AI133" s="121">
        <v>0</v>
      </c>
      <c r="AJ133" s="121">
        <v>0</v>
      </c>
      <c r="AK133" s="121">
        <v>0</v>
      </c>
      <c r="AL133" s="121">
        <v>0</v>
      </c>
      <c r="AM133" s="121">
        <v>0</v>
      </c>
      <c r="AN133" s="121">
        <v>0</v>
      </c>
      <c r="AO133" s="121">
        <v>0</v>
      </c>
      <c r="AP133" s="121">
        <v>0</v>
      </c>
      <c r="AQ133" s="121">
        <v>0</v>
      </c>
      <c r="AR133" s="121">
        <v>0</v>
      </c>
      <c r="AS133" s="121">
        <v>0</v>
      </c>
      <c r="AT133" s="121">
        <v>0</v>
      </c>
      <c r="AU133" s="121">
        <v>0</v>
      </c>
      <c r="AV133" s="121">
        <v>0</v>
      </c>
      <c r="AW133" s="121">
        <v>0</v>
      </c>
      <c r="AX133" s="121">
        <v>0</v>
      </c>
      <c r="AY133" s="121">
        <v>0</v>
      </c>
    </row>
    <row r="134" spans="1:51" x14ac:dyDescent="0.2">
      <c r="A134" s="124"/>
      <c r="B134" s="134">
        <v>13</v>
      </c>
      <c r="C134" s="121">
        <v>0</v>
      </c>
      <c r="D134" s="121">
        <v>0</v>
      </c>
      <c r="E134" s="121">
        <v>0</v>
      </c>
      <c r="F134" s="121">
        <v>0</v>
      </c>
      <c r="G134" s="121">
        <v>0</v>
      </c>
      <c r="H134" s="121">
        <v>0</v>
      </c>
      <c r="I134" s="121">
        <v>0</v>
      </c>
      <c r="J134" s="121">
        <v>0</v>
      </c>
      <c r="K134" s="121">
        <v>0</v>
      </c>
      <c r="L134" s="121">
        <v>0</v>
      </c>
      <c r="M134" s="121">
        <v>0</v>
      </c>
      <c r="N134" s="121">
        <v>0</v>
      </c>
      <c r="O134" s="121">
        <v>0</v>
      </c>
      <c r="P134" s="121">
        <v>0</v>
      </c>
      <c r="Q134" s="121">
        <v>0</v>
      </c>
      <c r="R134" s="121">
        <v>0</v>
      </c>
      <c r="S134" s="121">
        <v>0</v>
      </c>
      <c r="T134" s="121">
        <v>0</v>
      </c>
      <c r="U134" s="121">
        <v>0</v>
      </c>
      <c r="V134" s="121">
        <v>0</v>
      </c>
      <c r="W134" s="121">
        <v>0</v>
      </c>
      <c r="X134" s="121">
        <v>0</v>
      </c>
      <c r="Y134" s="121">
        <v>0</v>
      </c>
      <c r="Z134" s="121">
        <v>0</v>
      </c>
      <c r="AA134" s="121">
        <v>0</v>
      </c>
      <c r="AB134" s="121">
        <v>0</v>
      </c>
      <c r="AC134" s="121">
        <v>0</v>
      </c>
      <c r="AD134" s="121">
        <v>0</v>
      </c>
      <c r="AE134" s="121">
        <v>0</v>
      </c>
      <c r="AF134" s="121">
        <v>0</v>
      </c>
      <c r="AG134" s="121">
        <v>0</v>
      </c>
      <c r="AH134" s="121">
        <v>0</v>
      </c>
      <c r="AI134" s="121">
        <v>0</v>
      </c>
      <c r="AJ134" s="121">
        <v>0</v>
      </c>
      <c r="AK134" s="121">
        <v>0</v>
      </c>
      <c r="AL134" s="121">
        <v>0</v>
      </c>
      <c r="AM134" s="121">
        <v>0</v>
      </c>
      <c r="AN134" s="121">
        <v>0</v>
      </c>
      <c r="AO134" s="121">
        <v>0</v>
      </c>
      <c r="AP134" s="121">
        <v>0</v>
      </c>
      <c r="AQ134" s="121">
        <v>0</v>
      </c>
      <c r="AR134" s="121">
        <v>0</v>
      </c>
      <c r="AS134" s="121">
        <v>0</v>
      </c>
      <c r="AT134" s="121">
        <v>0</v>
      </c>
      <c r="AU134" s="121">
        <v>0</v>
      </c>
      <c r="AV134" s="121">
        <v>0</v>
      </c>
      <c r="AW134" s="121">
        <v>0</v>
      </c>
      <c r="AX134" s="121">
        <v>0</v>
      </c>
      <c r="AY134" s="121">
        <v>0</v>
      </c>
    </row>
    <row r="135" spans="1:51" x14ac:dyDescent="0.2">
      <c r="A135" s="124"/>
      <c r="B135" s="134">
        <v>14</v>
      </c>
      <c r="C135" s="121">
        <v>0</v>
      </c>
      <c r="D135" s="121">
        <v>0</v>
      </c>
      <c r="E135" s="121">
        <v>0</v>
      </c>
      <c r="F135" s="121">
        <v>0</v>
      </c>
      <c r="G135" s="121">
        <v>0</v>
      </c>
      <c r="H135" s="121">
        <v>0</v>
      </c>
      <c r="I135" s="121">
        <v>0</v>
      </c>
      <c r="J135" s="121">
        <v>0</v>
      </c>
      <c r="K135" s="121">
        <v>0</v>
      </c>
      <c r="L135" s="121">
        <v>0</v>
      </c>
      <c r="M135" s="121">
        <v>0</v>
      </c>
      <c r="N135" s="121">
        <v>0</v>
      </c>
      <c r="O135" s="121">
        <v>0</v>
      </c>
      <c r="P135" s="121">
        <v>0</v>
      </c>
      <c r="Q135" s="121">
        <v>0</v>
      </c>
      <c r="R135" s="121">
        <v>0</v>
      </c>
      <c r="S135" s="121">
        <v>0</v>
      </c>
      <c r="T135" s="121">
        <v>0</v>
      </c>
      <c r="U135" s="121">
        <v>0</v>
      </c>
      <c r="V135" s="121">
        <v>0</v>
      </c>
      <c r="W135" s="121">
        <v>0</v>
      </c>
      <c r="X135" s="121">
        <v>0</v>
      </c>
      <c r="Y135" s="121">
        <v>0</v>
      </c>
      <c r="Z135" s="121">
        <v>0</v>
      </c>
      <c r="AA135" s="121">
        <v>0</v>
      </c>
      <c r="AB135" s="121">
        <v>0</v>
      </c>
      <c r="AC135" s="121">
        <v>0</v>
      </c>
      <c r="AD135" s="121">
        <v>0</v>
      </c>
      <c r="AE135" s="121">
        <v>0</v>
      </c>
      <c r="AF135" s="121">
        <v>0</v>
      </c>
      <c r="AG135" s="121">
        <v>0</v>
      </c>
      <c r="AH135" s="121">
        <v>0</v>
      </c>
      <c r="AI135" s="121">
        <v>0</v>
      </c>
      <c r="AJ135" s="121">
        <v>0</v>
      </c>
      <c r="AK135" s="121">
        <v>0</v>
      </c>
      <c r="AL135" s="121">
        <v>0</v>
      </c>
      <c r="AM135" s="121">
        <v>0</v>
      </c>
      <c r="AN135" s="121">
        <v>0</v>
      </c>
      <c r="AO135" s="121">
        <v>0</v>
      </c>
      <c r="AP135" s="121">
        <v>0</v>
      </c>
      <c r="AQ135" s="121">
        <v>0</v>
      </c>
      <c r="AR135" s="121">
        <v>0</v>
      </c>
      <c r="AS135" s="121">
        <v>0</v>
      </c>
      <c r="AT135" s="121">
        <v>0</v>
      </c>
      <c r="AU135" s="121">
        <v>0</v>
      </c>
      <c r="AV135" s="121">
        <v>0</v>
      </c>
      <c r="AW135" s="121">
        <v>0</v>
      </c>
      <c r="AX135" s="121">
        <v>0</v>
      </c>
      <c r="AY135" s="121">
        <v>0</v>
      </c>
    </row>
    <row r="136" spans="1:51" x14ac:dyDescent="0.2">
      <c r="A136" s="124"/>
      <c r="B136" s="134">
        <v>15</v>
      </c>
      <c r="C136" s="121">
        <v>0</v>
      </c>
      <c r="D136" s="121">
        <v>0</v>
      </c>
      <c r="E136" s="121">
        <v>0</v>
      </c>
      <c r="F136" s="121">
        <v>0</v>
      </c>
      <c r="G136" s="121">
        <v>0</v>
      </c>
      <c r="H136" s="121">
        <v>0</v>
      </c>
      <c r="I136" s="121">
        <v>0</v>
      </c>
      <c r="J136" s="121">
        <v>0</v>
      </c>
      <c r="K136" s="121">
        <v>0</v>
      </c>
      <c r="L136" s="121">
        <v>0</v>
      </c>
      <c r="M136" s="121">
        <v>0</v>
      </c>
      <c r="N136" s="121">
        <v>0</v>
      </c>
      <c r="O136" s="121">
        <v>0</v>
      </c>
      <c r="P136" s="121">
        <v>0</v>
      </c>
      <c r="Q136" s="121">
        <v>0</v>
      </c>
      <c r="R136" s="121">
        <v>0</v>
      </c>
      <c r="S136" s="121">
        <v>0</v>
      </c>
      <c r="T136" s="121">
        <v>0</v>
      </c>
      <c r="U136" s="121">
        <v>0</v>
      </c>
      <c r="V136" s="121">
        <v>0</v>
      </c>
      <c r="W136" s="121">
        <v>0</v>
      </c>
      <c r="X136" s="121">
        <v>0</v>
      </c>
      <c r="Y136" s="121">
        <v>0</v>
      </c>
      <c r="Z136" s="121">
        <v>0</v>
      </c>
      <c r="AA136" s="121">
        <v>0</v>
      </c>
      <c r="AB136" s="121">
        <v>0</v>
      </c>
      <c r="AC136" s="121">
        <v>0</v>
      </c>
      <c r="AD136" s="121">
        <v>0</v>
      </c>
      <c r="AE136" s="121">
        <v>0</v>
      </c>
      <c r="AF136" s="121">
        <v>0</v>
      </c>
      <c r="AG136" s="121">
        <v>0</v>
      </c>
      <c r="AH136" s="121">
        <v>0</v>
      </c>
      <c r="AI136" s="121">
        <v>0</v>
      </c>
      <c r="AJ136" s="121">
        <v>0</v>
      </c>
      <c r="AK136" s="121">
        <v>0</v>
      </c>
      <c r="AL136" s="121">
        <v>0</v>
      </c>
      <c r="AM136" s="121">
        <v>0</v>
      </c>
      <c r="AN136" s="121">
        <v>0</v>
      </c>
      <c r="AO136" s="121">
        <v>0</v>
      </c>
      <c r="AP136" s="121">
        <v>0</v>
      </c>
      <c r="AQ136" s="121">
        <v>0</v>
      </c>
      <c r="AR136" s="121">
        <v>0</v>
      </c>
      <c r="AS136" s="121">
        <v>0</v>
      </c>
      <c r="AT136" s="121">
        <v>0</v>
      </c>
      <c r="AU136" s="121">
        <v>0</v>
      </c>
      <c r="AV136" s="121">
        <v>0</v>
      </c>
      <c r="AW136" s="121">
        <v>0</v>
      </c>
      <c r="AX136" s="121">
        <v>0</v>
      </c>
      <c r="AY136" s="121">
        <v>0</v>
      </c>
    </row>
    <row r="137" spans="1:51" x14ac:dyDescent="0.2">
      <c r="A137" s="124"/>
      <c r="B137" s="134">
        <v>16</v>
      </c>
      <c r="C137" s="121">
        <v>0</v>
      </c>
      <c r="D137" s="121">
        <v>0</v>
      </c>
      <c r="E137" s="121">
        <v>0</v>
      </c>
      <c r="F137" s="121">
        <v>0</v>
      </c>
      <c r="G137" s="121">
        <v>0</v>
      </c>
      <c r="H137" s="121">
        <v>0</v>
      </c>
      <c r="I137" s="121">
        <v>0</v>
      </c>
      <c r="J137" s="121">
        <v>0</v>
      </c>
      <c r="K137" s="121">
        <v>0</v>
      </c>
      <c r="L137" s="121">
        <v>0</v>
      </c>
      <c r="M137" s="121">
        <v>0</v>
      </c>
      <c r="N137" s="121">
        <v>0</v>
      </c>
      <c r="O137" s="121">
        <v>0</v>
      </c>
      <c r="P137" s="121">
        <v>0</v>
      </c>
      <c r="Q137" s="121">
        <v>0</v>
      </c>
      <c r="R137" s="121">
        <v>0</v>
      </c>
      <c r="S137" s="121">
        <v>0</v>
      </c>
      <c r="T137" s="121">
        <v>0</v>
      </c>
      <c r="U137" s="121">
        <v>0</v>
      </c>
      <c r="V137" s="121">
        <v>0</v>
      </c>
      <c r="W137" s="121">
        <v>0</v>
      </c>
      <c r="X137" s="121">
        <v>0</v>
      </c>
      <c r="Y137" s="121">
        <v>0</v>
      </c>
      <c r="Z137" s="121">
        <v>0</v>
      </c>
      <c r="AA137" s="121">
        <v>0</v>
      </c>
      <c r="AB137" s="121">
        <v>0</v>
      </c>
      <c r="AC137" s="121">
        <v>0</v>
      </c>
      <c r="AD137" s="121">
        <v>0</v>
      </c>
      <c r="AE137" s="121">
        <v>0</v>
      </c>
      <c r="AF137" s="121">
        <v>0</v>
      </c>
      <c r="AG137" s="121">
        <v>0</v>
      </c>
      <c r="AH137" s="121">
        <v>0</v>
      </c>
      <c r="AI137" s="121">
        <v>0</v>
      </c>
      <c r="AJ137" s="121">
        <v>0</v>
      </c>
      <c r="AK137" s="121">
        <v>0</v>
      </c>
      <c r="AL137" s="121">
        <v>0</v>
      </c>
      <c r="AM137" s="121">
        <v>0</v>
      </c>
      <c r="AN137" s="121">
        <v>0</v>
      </c>
      <c r="AO137" s="121">
        <v>0</v>
      </c>
      <c r="AP137" s="121">
        <v>0</v>
      </c>
      <c r="AQ137" s="121">
        <v>0</v>
      </c>
      <c r="AR137" s="121">
        <v>0</v>
      </c>
      <c r="AS137" s="121">
        <v>0</v>
      </c>
      <c r="AT137" s="121">
        <v>0</v>
      </c>
      <c r="AU137" s="121">
        <v>0</v>
      </c>
      <c r="AV137" s="121">
        <v>0</v>
      </c>
      <c r="AW137" s="121">
        <v>0</v>
      </c>
      <c r="AX137" s="121">
        <v>0</v>
      </c>
      <c r="AY137" s="121">
        <v>0</v>
      </c>
    </row>
    <row r="138" spans="1:51" x14ac:dyDescent="0.2">
      <c r="A138" s="124"/>
      <c r="B138" s="134">
        <v>17</v>
      </c>
      <c r="C138" s="121">
        <v>0</v>
      </c>
      <c r="D138" s="121">
        <v>0</v>
      </c>
      <c r="E138" s="121">
        <v>0</v>
      </c>
      <c r="F138" s="121">
        <v>0</v>
      </c>
      <c r="G138" s="121">
        <v>0</v>
      </c>
      <c r="H138" s="121">
        <v>0</v>
      </c>
      <c r="I138" s="121">
        <v>0</v>
      </c>
      <c r="J138" s="121">
        <v>0</v>
      </c>
      <c r="K138" s="121">
        <v>0</v>
      </c>
      <c r="L138" s="121">
        <v>0</v>
      </c>
      <c r="M138" s="121">
        <v>0</v>
      </c>
      <c r="N138" s="121">
        <v>0</v>
      </c>
      <c r="O138" s="121">
        <v>0</v>
      </c>
      <c r="P138" s="121">
        <v>0</v>
      </c>
      <c r="Q138" s="121">
        <v>0</v>
      </c>
      <c r="R138" s="121">
        <v>0</v>
      </c>
      <c r="S138" s="121">
        <v>0</v>
      </c>
      <c r="T138" s="121">
        <v>0</v>
      </c>
      <c r="U138" s="121">
        <v>0</v>
      </c>
      <c r="V138" s="121">
        <v>0</v>
      </c>
      <c r="W138" s="121">
        <v>0</v>
      </c>
      <c r="X138" s="121">
        <v>0</v>
      </c>
      <c r="Y138" s="121">
        <v>0</v>
      </c>
      <c r="Z138" s="121">
        <v>0</v>
      </c>
      <c r="AA138" s="121">
        <v>0</v>
      </c>
      <c r="AB138" s="121">
        <v>0</v>
      </c>
      <c r="AC138" s="121">
        <v>0</v>
      </c>
      <c r="AD138" s="121">
        <v>0</v>
      </c>
      <c r="AE138" s="121">
        <v>0</v>
      </c>
      <c r="AF138" s="121">
        <v>0</v>
      </c>
      <c r="AG138" s="121">
        <v>0</v>
      </c>
      <c r="AH138" s="121">
        <v>0</v>
      </c>
      <c r="AI138" s="121">
        <v>0</v>
      </c>
      <c r="AJ138" s="121">
        <v>0</v>
      </c>
      <c r="AK138" s="121">
        <v>0</v>
      </c>
      <c r="AL138" s="121">
        <v>0</v>
      </c>
      <c r="AM138" s="121">
        <v>0</v>
      </c>
      <c r="AN138" s="121">
        <v>0</v>
      </c>
      <c r="AO138" s="121">
        <v>0</v>
      </c>
      <c r="AP138" s="121">
        <v>0</v>
      </c>
      <c r="AQ138" s="121">
        <v>0</v>
      </c>
      <c r="AR138" s="121">
        <v>0</v>
      </c>
      <c r="AS138" s="121">
        <v>0</v>
      </c>
      <c r="AT138" s="121">
        <v>0</v>
      </c>
      <c r="AU138" s="121">
        <v>0</v>
      </c>
      <c r="AV138" s="121">
        <v>0</v>
      </c>
      <c r="AW138" s="121">
        <v>0</v>
      </c>
      <c r="AX138" s="121">
        <v>0</v>
      </c>
      <c r="AY138" s="121">
        <v>0</v>
      </c>
    </row>
    <row r="139" spans="1:51" x14ac:dyDescent="0.2">
      <c r="A139" s="124"/>
      <c r="B139" s="134">
        <v>18</v>
      </c>
      <c r="C139" s="121">
        <v>0</v>
      </c>
      <c r="D139" s="121">
        <v>0</v>
      </c>
      <c r="E139" s="121">
        <v>0</v>
      </c>
      <c r="F139" s="121">
        <v>0</v>
      </c>
      <c r="G139" s="121">
        <v>0</v>
      </c>
      <c r="H139" s="121">
        <v>0</v>
      </c>
      <c r="I139" s="121">
        <v>0</v>
      </c>
      <c r="J139" s="121">
        <v>0</v>
      </c>
      <c r="K139" s="121">
        <v>0</v>
      </c>
      <c r="L139" s="121">
        <v>0</v>
      </c>
      <c r="M139" s="121">
        <v>0</v>
      </c>
      <c r="N139" s="121">
        <v>0</v>
      </c>
      <c r="O139" s="121">
        <v>0</v>
      </c>
      <c r="P139" s="121">
        <v>0</v>
      </c>
      <c r="Q139" s="121">
        <v>0</v>
      </c>
      <c r="R139" s="121">
        <v>0</v>
      </c>
      <c r="S139" s="121">
        <v>0</v>
      </c>
      <c r="T139" s="121">
        <v>0</v>
      </c>
      <c r="U139" s="121">
        <v>0</v>
      </c>
      <c r="V139" s="121">
        <v>0</v>
      </c>
      <c r="W139" s="121">
        <v>0</v>
      </c>
      <c r="X139" s="121">
        <v>0</v>
      </c>
      <c r="Y139" s="121">
        <v>0</v>
      </c>
      <c r="Z139" s="121">
        <v>0</v>
      </c>
      <c r="AA139" s="121">
        <v>0</v>
      </c>
      <c r="AB139" s="121">
        <v>0</v>
      </c>
      <c r="AC139" s="121">
        <v>0</v>
      </c>
      <c r="AD139" s="121">
        <v>0</v>
      </c>
      <c r="AE139" s="121">
        <v>0</v>
      </c>
      <c r="AF139" s="121">
        <v>0</v>
      </c>
      <c r="AG139" s="121">
        <v>0</v>
      </c>
      <c r="AH139" s="121">
        <v>0</v>
      </c>
      <c r="AI139" s="121">
        <v>0</v>
      </c>
      <c r="AJ139" s="121">
        <v>0</v>
      </c>
      <c r="AK139" s="121">
        <v>0</v>
      </c>
      <c r="AL139" s="121">
        <v>0</v>
      </c>
      <c r="AM139" s="121">
        <v>0</v>
      </c>
      <c r="AN139" s="121">
        <v>0</v>
      </c>
      <c r="AO139" s="121">
        <v>0</v>
      </c>
      <c r="AP139" s="121">
        <v>0</v>
      </c>
      <c r="AQ139" s="121">
        <v>0</v>
      </c>
      <c r="AR139" s="121">
        <v>0</v>
      </c>
      <c r="AS139" s="121">
        <v>0</v>
      </c>
      <c r="AT139" s="121">
        <v>0</v>
      </c>
      <c r="AU139" s="121">
        <v>0</v>
      </c>
      <c r="AV139" s="121">
        <v>0</v>
      </c>
      <c r="AW139" s="121">
        <v>0</v>
      </c>
      <c r="AX139" s="121">
        <v>0</v>
      </c>
      <c r="AY139" s="121">
        <v>0</v>
      </c>
    </row>
    <row r="140" spans="1:51" x14ac:dyDescent="0.2">
      <c r="A140" s="124"/>
      <c r="B140" s="134">
        <v>19</v>
      </c>
      <c r="C140" s="121">
        <v>0</v>
      </c>
      <c r="D140" s="121">
        <v>0</v>
      </c>
      <c r="E140" s="121">
        <v>0</v>
      </c>
      <c r="F140" s="121">
        <v>0</v>
      </c>
      <c r="G140" s="121">
        <v>0</v>
      </c>
      <c r="H140" s="121">
        <v>0</v>
      </c>
      <c r="I140" s="121">
        <v>0</v>
      </c>
      <c r="J140" s="121">
        <v>0</v>
      </c>
      <c r="K140" s="121">
        <v>0</v>
      </c>
      <c r="L140" s="121">
        <v>0</v>
      </c>
      <c r="M140" s="121">
        <v>0</v>
      </c>
      <c r="N140" s="121">
        <v>0</v>
      </c>
      <c r="O140" s="121">
        <v>0</v>
      </c>
      <c r="P140" s="121">
        <v>0</v>
      </c>
      <c r="Q140" s="121">
        <v>0</v>
      </c>
      <c r="R140" s="121">
        <v>0</v>
      </c>
      <c r="S140" s="121">
        <v>0</v>
      </c>
      <c r="T140" s="121">
        <v>0</v>
      </c>
      <c r="U140" s="121">
        <v>0</v>
      </c>
      <c r="V140" s="121">
        <v>0</v>
      </c>
      <c r="W140" s="121">
        <v>0</v>
      </c>
      <c r="X140" s="121">
        <v>0</v>
      </c>
      <c r="Y140" s="121">
        <v>0</v>
      </c>
      <c r="Z140" s="121">
        <v>0</v>
      </c>
      <c r="AA140" s="121">
        <v>0</v>
      </c>
      <c r="AB140" s="121">
        <v>0</v>
      </c>
      <c r="AC140" s="121">
        <v>0</v>
      </c>
      <c r="AD140" s="121">
        <v>0</v>
      </c>
      <c r="AE140" s="121">
        <v>0</v>
      </c>
      <c r="AF140" s="121">
        <v>0</v>
      </c>
      <c r="AG140" s="121">
        <v>0</v>
      </c>
      <c r="AH140" s="121">
        <v>0</v>
      </c>
      <c r="AI140" s="121">
        <v>0</v>
      </c>
      <c r="AJ140" s="121">
        <v>0</v>
      </c>
      <c r="AK140" s="121">
        <v>0</v>
      </c>
      <c r="AL140" s="121">
        <v>0</v>
      </c>
      <c r="AM140" s="121">
        <v>0</v>
      </c>
      <c r="AN140" s="121">
        <v>0</v>
      </c>
      <c r="AO140" s="121">
        <v>0</v>
      </c>
      <c r="AP140" s="121">
        <v>0</v>
      </c>
      <c r="AQ140" s="121">
        <v>0</v>
      </c>
      <c r="AR140" s="121">
        <v>0</v>
      </c>
      <c r="AS140" s="121">
        <v>0</v>
      </c>
      <c r="AT140" s="121">
        <v>0</v>
      </c>
      <c r="AU140" s="121">
        <v>0</v>
      </c>
      <c r="AV140" s="121">
        <v>0</v>
      </c>
      <c r="AW140" s="121">
        <v>0</v>
      </c>
      <c r="AX140" s="121">
        <v>0</v>
      </c>
      <c r="AY140" s="121">
        <v>0</v>
      </c>
    </row>
    <row r="141" spans="1:51" x14ac:dyDescent="0.2">
      <c r="A141" s="124"/>
      <c r="B141" s="134">
        <v>20</v>
      </c>
      <c r="C141" s="121">
        <v>0</v>
      </c>
      <c r="D141" s="121">
        <v>0</v>
      </c>
      <c r="E141" s="121">
        <v>0</v>
      </c>
      <c r="F141" s="121">
        <v>0</v>
      </c>
      <c r="G141" s="121">
        <v>0</v>
      </c>
      <c r="H141" s="121">
        <v>0</v>
      </c>
      <c r="I141" s="121">
        <v>0</v>
      </c>
      <c r="J141" s="121">
        <v>0</v>
      </c>
      <c r="K141" s="121">
        <v>0</v>
      </c>
      <c r="L141" s="121">
        <v>0</v>
      </c>
      <c r="M141" s="121">
        <v>0</v>
      </c>
      <c r="N141" s="121">
        <v>0</v>
      </c>
      <c r="O141" s="121">
        <v>0</v>
      </c>
      <c r="P141" s="121">
        <v>0</v>
      </c>
      <c r="Q141" s="121">
        <v>0</v>
      </c>
      <c r="R141" s="121">
        <v>0</v>
      </c>
      <c r="S141" s="121">
        <v>0</v>
      </c>
      <c r="T141" s="121">
        <v>0</v>
      </c>
      <c r="U141" s="121">
        <v>0</v>
      </c>
      <c r="V141" s="121">
        <v>0</v>
      </c>
      <c r="W141" s="121">
        <v>0</v>
      </c>
      <c r="X141" s="121">
        <v>0</v>
      </c>
      <c r="Y141" s="121">
        <v>0</v>
      </c>
      <c r="Z141" s="121">
        <v>0</v>
      </c>
      <c r="AA141" s="121">
        <v>0</v>
      </c>
      <c r="AB141" s="121">
        <v>0</v>
      </c>
      <c r="AC141" s="121">
        <v>0</v>
      </c>
      <c r="AD141" s="121">
        <v>0</v>
      </c>
      <c r="AE141" s="121">
        <v>0</v>
      </c>
      <c r="AF141" s="121">
        <v>0</v>
      </c>
      <c r="AG141" s="121">
        <v>0</v>
      </c>
      <c r="AH141" s="121">
        <v>0</v>
      </c>
      <c r="AI141" s="121">
        <v>0</v>
      </c>
      <c r="AJ141" s="121">
        <v>0</v>
      </c>
      <c r="AK141" s="121">
        <v>0</v>
      </c>
      <c r="AL141" s="121">
        <v>0</v>
      </c>
      <c r="AM141" s="121">
        <v>0</v>
      </c>
      <c r="AN141" s="121">
        <v>0</v>
      </c>
      <c r="AO141" s="121">
        <v>0</v>
      </c>
      <c r="AP141" s="121">
        <v>0</v>
      </c>
      <c r="AQ141" s="121">
        <v>0</v>
      </c>
      <c r="AR141" s="121">
        <v>0</v>
      </c>
      <c r="AS141" s="121">
        <v>0</v>
      </c>
      <c r="AT141" s="121">
        <v>0</v>
      </c>
      <c r="AU141" s="121">
        <v>0</v>
      </c>
      <c r="AV141" s="121">
        <v>0</v>
      </c>
      <c r="AW141" s="121">
        <v>0</v>
      </c>
      <c r="AX141" s="121">
        <v>0</v>
      </c>
      <c r="AY141" s="121">
        <v>0</v>
      </c>
    </row>
    <row r="142" spans="1:51" x14ac:dyDescent="0.2">
      <c r="A142" s="124"/>
      <c r="B142" s="134">
        <v>21</v>
      </c>
      <c r="C142" s="121">
        <v>0</v>
      </c>
      <c r="D142" s="121">
        <v>0</v>
      </c>
      <c r="E142" s="121">
        <v>0</v>
      </c>
      <c r="F142" s="121">
        <v>0</v>
      </c>
      <c r="G142" s="121">
        <v>0</v>
      </c>
      <c r="H142" s="121">
        <v>0</v>
      </c>
      <c r="I142" s="121">
        <v>0</v>
      </c>
      <c r="J142" s="121">
        <v>0</v>
      </c>
      <c r="K142" s="121">
        <v>0</v>
      </c>
      <c r="L142" s="121">
        <v>0</v>
      </c>
      <c r="M142" s="121">
        <v>0</v>
      </c>
      <c r="N142" s="121">
        <v>0</v>
      </c>
      <c r="O142" s="121">
        <v>0</v>
      </c>
      <c r="P142" s="121">
        <v>0</v>
      </c>
      <c r="Q142" s="121">
        <v>0</v>
      </c>
      <c r="R142" s="121">
        <v>0</v>
      </c>
      <c r="S142" s="121">
        <v>0</v>
      </c>
      <c r="T142" s="121">
        <v>0</v>
      </c>
      <c r="U142" s="121">
        <v>0</v>
      </c>
      <c r="V142" s="121">
        <v>0</v>
      </c>
      <c r="W142" s="121">
        <v>0</v>
      </c>
      <c r="X142" s="121">
        <v>0</v>
      </c>
      <c r="Y142" s="121">
        <v>0</v>
      </c>
      <c r="Z142" s="121">
        <v>0</v>
      </c>
      <c r="AA142" s="121">
        <v>0</v>
      </c>
      <c r="AB142" s="121">
        <v>0</v>
      </c>
      <c r="AC142" s="121">
        <v>0</v>
      </c>
      <c r="AD142" s="121">
        <v>0</v>
      </c>
      <c r="AE142" s="121">
        <v>0</v>
      </c>
      <c r="AF142" s="121">
        <v>0</v>
      </c>
      <c r="AG142" s="121">
        <v>0</v>
      </c>
      <c r="AH142" s="121">
        <v>0</v>
      </c>
      <c r="AI142" s="121">
        <v>0</v>
      </c>
      <c r="AJ142" s="121">
        <v>0</v>
      </c>
      <c r="AK142" s="121">
        <v>0</v>
      </c>
      <c r="AL142" s="121">
        <v>0</v>
      </c>
      <c r="AM142" s="121">
        <v>0</v>
      </c>
      <c r="AN142" s="121">
        <v>0</v>
      </c>
      <c r="AO142" s="121">
        <v>0</v>
      </c>
      <c r="AP142" s="121">
        <v>0</v>
      </c>
      <c r="AQ142" s="121">
        <v>0</v>
      </c>
      <c r="AR142" s="121">
        <v>0</v>
      </c>
      <c r="AS142" s="121">
        <v>0</v>
      </c>
      <c r="AT142" s="121">
        <v>0</v>
      </c>
      <c r="AU142" s="121">
        <v>0</v>
      </c>
      <c r="AV142" s="121">
        <v>0</v>
      </c>
      <c r="AW142" s="121">
        <v>0</v>
      </c>
      <c r="AX142" s="121">
        <v>0</v>
      </c>
      <c r="AY142" s="121">
        <v>0</v>
      </c>
    </row>
    <row r="143" spans="1:51" x14ac:dyDescent="0.2">
      <c r="A143" s="124"/>
      <c r="B143" s="134">
        <v>22</v>
      </c>
      <c r="C143" s="121">
        <v>0</v>
      </c>
      <c r="D143" s="121">
        <v>0</v>
      </c>
      <c r="E143" s="121">
        <v>0</v>
      </c>
      <c r="F143" s="121">
        <v>0</v>
      </c>
      <c r="G143" s="121">
        <v>0</v>
      </c>
      <c r="H143" s="121">
        <v>0</v>
      </c>
      <c r="I143" s="121">
        <v>0</v>
      </c>
      <c r="J143" s="121">
        <v>0</v>
      </c>
      <c r="K143" s="121">
        <v>0</v>
      </c>
      <c r="L143" s="121">
        <v>0</v>
      </c>
      <c r="M143" s="121">
        <v>0</v>
      </c>
      <c r="N143" s="121">
        <v>0</v>
      </c>
      <c r="O143" s="121">
        <v>0</v>
      </c>
      <c r="P143" s="121">
        <v>0</v>
      </c>
      <c r="Q143" s="121">
        <v>0</v>
      </c>
      <c r="R143" s="121">
        <v>0</v>
      </c>
      <c r="S143" s="121">
        <v>0</v>
      </c>
      <c r="T143" s="121">
        <v>0</v>
      </c>
      <c r="U143" s="121">
        <v>0</v>
      </c>
      <c r="V143" s="121">
        <v>0</v>
      </c>
      <c r="W143" s="121">
        <v>0</v>
      </c>
      <c r="X143" s="121">
        <v>0</v>
      </c>
      <c r="Y143" s="121">
        <v>0</v>
      </c>
      <c r="Z143" s="121">
        <v>0</v>
      </c>
      <c r="AA143" s="121">
        <v>0</v>
      </c>
      <c r="AB143" s="121">
        <v>0</v>
      </c>
      <c r="AC143" s="121">
        <v>0</v>
      </c>
      <c r="AD143" s="121">
        <v>0</v>
      </c>
      <c r="AE143" s="121">
        <v>0</v>
      </c>
      <c r="AF143" s="121">
        <v>0</v>
      </c>
      <c r="AG143" s="121">
        <v>0</v>
      </c>
      <c r="AH143" s="121">
        <v>0</v>
      </c>
      <c r="AI143" s="121">
        <v>0</v>
      </c>
      <c r="AJ143" s="121">
        <v>0</v>
      </c>
      <c r="AK143" s="121">
        <v>0</v>
      </c>
      <c r="AL143" s="121">
        <v>0</v>
      </c>
      <c r="AM143" s="121">
        <v>0</v>
      </c>
      <c r="AN143" s="121">
        <v>0</v>
      </c>
      <c r="AO143" s="121">
        <v>0</v>
      </c>
      <c r="AP143" s="121">
        <v>0</v>
      </c>
      <c r="AQ143" s="121">
        <v>0</v>
      </c>
      <c r="AR143" s="121">
        <v>0</v>
      </c>
      <c r="AS143" s="121">
        <v>0</v>
      </c>
      <c r="AT143" s="121">
        <v>0</v>
      </c>
      <c r="AU143" s="121">
        <v>0</v>
      </c>
      <c r="AV143" s="121">
        <v>0</v>
      </c>
      <c r="AW143" s="121">
        <v>0</v>
      </c>
      <c r="AX143" s="121">
        <v>0</v>
      </c>
      <c r="AY143" s="121">
        <v>0</v>
      </c>
    </row>
    <row r="144" spans="1:51" x14ac:dyDescent="0.2">
      <c r="A144" s="124"/>
      <c r="B144" s="134">
        <v>23</v>
      </c>
      <c r="C144" s="121">
        <v>0</v>
      </c>
      <c r="D144" s="121">
        <v>0</v>
      </c>
      <c r="E144" s="121">
        <v>0</v>
      </c>
      <c r="F144" s="121">
        <v>0</v>
      </c>
      <c r="G144" s="121">
        <v>0</v>
      </c>
      <c r="H144" s="121">
        <v>0</v>
      </c>
      <c r="I144" s="121">
        <v>0</v>
      </c>
      <c r="J144" s="121">
        <v>0</v>
      </c>
      <c r="K144" s="121">
        <v>0</v>
      </c>
      <c r="L144" s="121">
        <v>0</v>
      </c>
      <c r="M144" s="121">
        <v>0</v>
      </c>
      <c r="N144" s="121">
        <v>0</v>
      </c>
      <c r="O144" s="121">
        <v>0</v>
      </c>
      <c r="P144" s="121">
        <v>0</v>
      </c>
      <c r="Q144" s="121">
        <v>0</v>
      </c>
      <c r="R144" s="121">
        <v>0</v>
      </c>
      <c r="S144" s="121">
        <v>0</v>
      </c>
      <c r="T144" s="121">
        <v>0</v>
      </c>
      <c r="U144" s="121">
        <v>0</v>
      </c>
      <c r="V144" s="121">
        <v>0</v>
      </c>
      <c r="W144" s="121">
        <v>0</v>
      </c>
      <c r="X144" s="121">
        <v>0</v>
      </c>
      <c r="Y144" s="121">
        <v>0</v>
      </c>
      <c r="Z144" s="121">
        <v>0</v>
      </c>
      <c r="AA144" s="121">
        <v>0</v>
      </c>
      <c r="AB144" s="121">
        <v>0</v>
      </c>
      <c r="AC144" s="121">
        <v>0</v>
      </c>
      <c r="AD144" s="121">
        <v>0</v>
      </c>
      <c r="AE144" s="121">
        <v>0</v>
      </c>
      <c r="AF144" s="121">
        <v>0</v>
      </c>
      <c r="AG144" s="121">
        <v>0</v>
      </c>
      <c r="AH144" s="121">
        <v>0</v>
      </c>
      <c r="AI144" s="121">
        <v>0</v>
      </c>
      <c r="AJ144" s="121">
        <v>0</v>
      </c>
      <c r="AK144" s="121">
        <v>0</v>
      </c>
      <c r="AL144" s="121">
        <v>0</v>
      </c>
      <c r="AM144" s="121">
        <v>0</v>
      </c>
      <c r="AN144" s="121">
        <v>0</v>
      </c>
      <c r="AO144" s="121">
        <v>0</v>
      </c>
      <c r="AP144" s="121">
        <v>0</v>
      </c>
      <c r="AQ144" s="121">
        <v>0</v>
      </c>
      <c r="AR144" s="121">
        <v>0</v>
      </c>
      <c r="AS144" s="121">
        <v>0</v>
      </c>
      <c r="AT144" s="121">
        <v>0</v>
      </c>
      <c r="AU144" s="121">
        <v>0</v>
      </c>
      <c r="AV144" s="121">
        <v>0</v>
      </c>
      <c r="AW144" s="121">
        <v>0</v>
      </c>
      <c r="AX144" s="121">
        <v>0</v>
      </c>
      <c r="AY144" s="121">
        <v>0</v>
      </c>
    </row>
    <row r="145" spans="1:51" x14ac:dyDescent="0.2">
      <c r="A145" s="124"/>
      <c r="B145" s="134">
        <v>24</v>
      </c>
      <c r="C145" s="121">
        <v>0</v>
      </c>
      <c r="D145" s="121">
        <v>0</v>
      </c>
      <c r="E145" s="121">
        <v>0</v>
      </c>
      <c r="F145" s="121">
        <v>0</v>
      </c>
      <c r="G145" s="121">
        <v>0</v>
      </c>
      <c r="H145" s="121">
        <v>0</v>
      </c>
      <c r="I145" s="121">
        <v>0</v>
      </c>
      <c r="J145" s="121">
        <v>0</v>
      </c>
      <c r="K145" s="121">
        <v>0</v>
      </c>
      <c r="L145" s="121">
        <v>0</v>
      </c>
      <c r="M145" s="121">
        <v>0</v>
      </c>
      <c r="N145" s="121">
        <v>0</v>
      </c>
      <c r="O145" s="121">
        <v>0</v>
      </c>
      <c r="P145" s="121">
        <v>0</v>
      </c>
      <c r="Q145" s="121">
        <v>0</v>
      </c>
      <c r="R145" s="121">
        <v>0</v>
      </c>
      <c r="S145" s="121">
        <v>0</v>
      </c>
      <c r="T145" s="121">
        <v>0</v>
      </c>
      <c r="U145" s="121">
        <v>0</v>
      </c>
      <c r="V145" s="121">
        <v>0</v>
      </c>
      <c r="W145" s="121">
        <v>0</v>
      </c>
      <c r="X145" s="121">
        <v>0</v>
      </c>
      <c r="Y145" s="121">
        <v>0</v>
      </c>
      <c r="Z145" s="121">
        <v>0</v>
      </c>
      <c r="AA145" s="121">
        <v>0</v>
      </c>
      <c r="AB145" s="121">
        <v>0</v>
      </c>
      <c r="AC145" s="121">
        <v>0</v>
      </c>
      <c r="AD145" s="121">
        <v>0</v>
      </c>
      <c r="AE145" s="121">
        <v>0</v>
      </c>
      <c r="AF145" s="121">
        <v>0</v>
      </c>
      <c r="AG145" s="121">
        <v>0</v>
      </c>
      <c r="AH145" s="121">
        <v>0</v>
      </c>
      <c r="AI145" s="121">
        <v>0</v>
      </c>
      <c r="AJ145" s="121">
        <v>0</v>
      </c>
      <c r="AK145" s="121">
        <v>0</v>
      </c>
      <c r="AL145" s="121">
        <v>0</v>
      </c>
      <c r="AM145" s="121">
        <v>0</v>
      </c>
      <c r="AN145" s="121">
        <v>0</v>
      </c>
      <c r="AO145" s="121">
        <v>0</v>
      </c>
      <c r="AP145" s="121">
        <v>0</v>
      </c>
      <c r="AQ145" s="121">
        <v>0</v>
      </c>
      <c r="AR145" s="121">
        <v>0</v>
      </c>
      <c r="AS145" s="121">
        <v>0</v>
      </c>
      <c r="AT145" s="121">
        <v>0</v>
      </c>
      <c r="AU145" s="121">
        <v>0</v>
      </c>
      <c r="AV145" s="121">
        <v>0</v>
      </c>
      <c r="AW145" s="121">
        <v>0</v>
      </c>
      <c r="AX145" s="121">
        <v>0</v>
      </c>
      <c r="AY145" s="121">
        <v>0</v>
      </c>
    </row>
    <row r="146" spans="1:51" x14ac:dyDescent="0.2">
      <c r="A146" s="124"/>
      <c r="B146" s="141">
        <v>25</v>
      </c>
      <c r="C146" s="121">
        <v>0</v>
      </c>
      <c r="D146" s="121">
        <v>0</v>
      </c>
      <c r="E146" s="121">
        <v>0</v>
      </c>
      <c r="F146" s="121">
        <v>0</v>
      </c>
      <c r="G146" s="121">
        <v>0</v>
      </c>
      <c r="H146" s="121">
        <v>0</v>
      </c>
      <c r="I146" s="121">
        <v>0</v>
      </c>
      <c r="J146" s="121">
        <v>0</v>
      </c>
      <c r="K146" s="121">
        <v>0</v>
      </c>
      <c r="L146" s="121">
        <v>0</v>
      </c>
      <c r="M146" s="121">
        <v>0</v>
      </c>
      <c r="N146" s="121">
        <v>0</v>
      </c>
      <c r="O146" s="121">
        <v>0</v>
      </c>
      <c r="P146" s="121">
        <v>0</v>
      </c>
      <c r="Q146" s="121">
        <v>0</v>
      </c>
      <c r="R146" s="121">
        <v>0</v>
      </c>
      <c r="S146" s="121">
        <v>0</v>
      </c>
      <c r="T146" s="121">
        <v>0</v>
      </c>
      <c r="U146" s="121">
        <v>0</v>
      </c>
      <c r="V146" s="121">
        <v>0</v>
      </c>
      <c r="W146" s="121">
        <v>0</v>
      </c>
      <c r="X146" s="121">
        <v>0</v>
      </c>
      <c r="Y146" s="121">
        <v>0</v>
      </c>
      <c r="Z146" s="121">
        <v>0</v>
      </c>
      <c r="AA146" s="121">
        <v>0</v>
      </c>
      <c r="AB146" s="121">
        <v>0</v>
      </c>
      <c r="AC146" s="121">
        <v>0</v>
      </c>
      <c r="AD146" s="121">
        <v>0</v>
      </c>
      <c r="AE146" s="121">
        <v>0</v>
      </c>
      <c r="AF146" s="121">
        <v>0</v>
      </c>
      <c r="AG146" s="121">
        <v>0</v>
      </c>
      <c r="AH146" s="121">
        <v>0</v>
      </c>
      <c r="AI146" s="121">
        <v>0</v>
      </c>
      <c r="AJ146" s="121">
        <v>0</v>
      </c>
      <c r="AK146" s="121">
        <v>0</v>
      </c>
      <c r="AL146" s="121">
        <v>0</v>
      </c>
      <c r="AM146" s="121">
        <v>0</v>
      </c>
      <c r="AN146" s="121">
        <v>0</v>
      </c>
      <c r="AO146" s="121">
        <v>0</v>
      </c>
      <c r="AP146" s="121">
        <v>0</v>
      </c>
      <c r="AQ146" s="121">
        <v>0</v>
      </c>
      <c r="AR146" s="121">
        <v>0</v>
      </c>
      <c r="AS146" s="121">
        <v>0</v>
      </c>
      <c r="AT146" s="121">
        <v>0</v>
      </c>
      <c r="AU146" s="121">
        <v>0</v>
      </c>
      <c r="AV146" s="121">
        <v>0</v>
      </c>
      <c r="AW146" s="121">
        <v>0</v>
      </c>
      <c r="AX146" s="121">
        <v>0</v>
      </c>
      <c r="AY146" s="121">
        <v>0</v>
      </c>
    </row>
    <row r="147" spans="1:51" x14ac:dyDescent="0.2">
      <c r="A147" s="124"/>
      <c r="B147" s="141">
        <v>26</v>
      </c>
      <c r="C147" s="121">
        <v>0</v>
      </c>
      <c r="D147" s="121">
        <v>0</v>
      </c>
      <c r="E147" s="121">
        <v>0</v>
      </c>
      <c r="F147" s="121">
        <v>0</v>
      </c>
      <c r="G147" s="121">
        <v>0</v>
      </c>
      <c r="H147" s="121">
        <v>0</v>
      </c>
      <c r="I147" s="121">
        <v>0</v>
      </c>
      <c r="J147" s="121">
        <v>0</v>
      </c>
      <c r="K147" s="121">
        <v>0</v>
      </c>
      <c r="L147" s="121">
        <v>0</v>
      </c>
      <c r="M147" s="121">
        <v>0</v>
      </c>
      <c r="N147" s="121">
        <v>0</v>
      </c>
      <c r="O147" s="121">
        <v>0</v>
      </c>
      <c r="P147" s="121">
        <v>0</v>
      </c>
      <c r="Q147" s="121">
        <v>0</v>
      </c>
      <c r="R147" s="121">
        <v>0</v>
      </c>
      <c r="S147" s="121">
        <v>0</v>
      </c>
      <c r="T147" s="121">
        <v>0</v>
      </c>
      <c r="U147" s="121">
        <v>0</v>
      </c>
      <c r="V147" s="121">
        <v>0</v>
      </c>
      <c r="W147" s="121">
        <v>0</v>
      </c>
      <c r="X147" s="121">
        <v>0</v>
      </c>
      <c r="Y147" s="121">
        <v>0</v>
      </c>
      <c r="Z147" s="121">
        <v>0</v>
      </c>
      <c r="AA147" s="121">
        <v>0</v>
      </c>
      <c r="AB147" s="121">
        <v>0</v>
      </c>
      <c r="AC147" s="121">
        <v>0</v>
      </c>
      <c r="AD147" s="121">
        <v>0</v>
      </c>
      <c r="AE147" s="121">
        <v>0</v>
      </c>
      <c r="AF147" s="121">
        <v>0</v>
      </c>
      <c r="AG147" s="121">
        <v>0</v>
      </c>
      <c r="AH147" s="121">
        <v>0</v>
      </c>
      <c r="AI147" s="121">
        <v>0</v>
      </c>
      <c r="AJ147" s="121">
        <v>0</v>
      </c>
      <c r="AK147" s="121">
        <v>0</v>
      </c>
      <c r="AL147" s="121">
        <v>0</v>
      </c>
      <c r="AM147" s="121">
        <v>0</v>
      </c>
      <c r="AN147" s="121">
        <v>0</v>
      </c>
      <c r="AO147" s="121">
        <v>0</v>
      </c>
      <c r="AP147" s="121">
        <v>0</v>
      </c>
      <c r="AQ147" s="121">
        <v>0</v>
      </c>
      <c r="AR147" s="121">
        <v>0</v>
      </c>
      <c r="AS147" s="121">
        <v>0</v>
      </c>
      <c r="AT147" s="121">
        <v>0</v>
      </c>
      <c r="AU147" s="121">
        <v>0</v>
      </c>
      <c r="AV147" s="121">
        <v>0</v>
      </c>
      <c r="AW147" s="121">
        <v>0</v>
      </c>
      <c r="AX147" s="121">
        <v>0</v>
      </c>
      <c r="AY147" s="121">
        <v>0</v>
      </c>
    </row>
    <row r="148" spans="1:51" x14ac:dyDescent="0.2">
      <c r="A148" s="124"/>
      <c r="B148" s="141">
        <v>27</v>
      </c>
      <c r="C148" s="121">
        <v>0</v>
      </c>
      <c r="D148" s="121">
        <v>0</v>
      </c>
      <c r="E148" s="121">
        <v>0</v>
      </c>
      <c r="F148" s="121">
        <v>0</v>
      </c>
      <c r="G148" s="121">
        <v>0</v>
      </c>
      <c r="H148" s="121">
        <v>0</v>
      </c>
      <c r="I148" s="121">
        <v>0</v>
      </c>
      <c r="J148" s="121">
        <v>0</v>
      </c>
      <c r="K148" s="121">
        <v>0</v>
      </c>
      <c r="L148" s="121">
        <v>0</v>
      </c>
      <c r="M148" s="121">
        <v>0</v>
      </c>
      <c r="N148" s="121">
        <v>0</v>
      </c>
      <c r="O148" s="121">
        <v>0</v>
      </c>
      <c r="P148" s="121">
        <v>0</v>
      </c>
      <c r="Q148" s="121">
        <v>0</v>
      </c>
      <c r="R148" s="121">
        <v>0</v>
      </c>
      <c r="S148" s="121">
        <v>0</v>
      </c>
      <c r="T148" s="121">
        <v>0</v>
      </c>
      <c r="U148" s="121">
        <v>0</v>
      </c>
      <c r="V148" s="121">
        <v>0</v>
      </c>
      <c r="W148" s="121">
        <v>0</v>
      </c>
      <c r="X148" s="121">
        <v>0</v>
      </c>
      <c r="Y148" s="121">
        <v>0</v>
      </c>
      <c r="Z148" s="121">
        <v>0</v>
      </c>
      <c r="AA148" s="121">
        <v>0</v>
      </c>
      <c r="AB148" s="121">
        <v>0</v>
      </c>
      <c r="AC148" s="121">
        <v>0</v>
      </c>
      <c r="AD148" s="121">
        <v>0</v>
      </c>
      <c r="AE148" s="121">
        <v>0</v>
      </c>
      <c r="AF148" s="121">
        <v>0</v>
      </c>
      <c r="AG148" s="121">
        <v>0</v>
      </c>
      <c r="AH148" s="121">
        <v>0</v>
      </c>
      <c r="AI148" s="121">
        <v>0</v>
      </c>
      <c r="AJ148" s="121">
        <v>0</v>
      </c>
      <c r="AK148" s="121">
        <v>0</v>
      </c>
      <c r="AL148" s="121">
        <v>0</v>
      </c>
      <c r="AM148" s="121">
        <v>0</v>
      </c>
      <c r="AN148" s="121">
        <v>0</v>
      </c>
      <c r="AO148" s="121">
        <v>0</v>
      </c>
      <c r="AP148" s="121">
        <v>0</v>
      </c>
      <c r="AQ148" s="121">
        <v>0</v>
      </c>
      <c r="AR148" s="121">
        <v>0</v>
      </c>
      <c r="AS148" s="121">
        <v>0</v>
      </c>
      <c r="AT148" s="121">
        <v>0</v>
      </c>
      <c r="AU148" s="121">
        <v>0</v>
      </c>
      <c r="AV148" s="121">
        <v>0</v>
      </c>
      <c r="AW148" s="121">
        <v>0</v>
      </c>
      <c r="AX148" s="121">
        <v>0</v>
      </c>
      <c r="AY148" s="121">
        <v>0</v>
      </c>
    </row>
    <row r="149" spans="1:51" x14ac:dyDescent="0.2">
      <c r="A149" s="124"/>
      <c r="B149" s="141">
        <v>28</v>
      </c>
      <c r="C149" s="121">
        <v>0</v>
      </c>
      <c r="D149" s="121">
        <v>0</v>
      </c>
      <c r="E149" s="121">
        <v>0</v>
      </c>
      <c r="F149" s="121">
        <v>0</v>
      </c>
      <c r="G149" s="121">
        <v>0</v>
      </c>
      <c r="H149" s="121">
        <v>0</v>
      </c>
      <c r="I149" s="121">
        <v>0</v>
      </c>
      <c r="J149" s="121">
        <v>0</v>
      </c>
      <c r="K149" s="121">
        <v>0</v>
      </c>
      <c r="L149" s="121">
        <v>0</v>
      </c>
      <c r="M149" s="121">
        <v>0</v>
      </c>
      <c r="N149" s="121">
        <v>0</v>
      </c>
      <c r="O149" s="121">
        <v>0</v>
      </c>
      <c r="P149" s="121">
        <v>0</v>
      </c>
      <c r="Q149" s="121">
        <v>0</v>
      </c>
      <c r="R149" s="121">
        <v>0</v>
      </c>
      <c r="S149" s="121">
        <v>0</v>
      </c>
      <c r="T149" s="121">
        <v>0</v>
      </c>
      <c r="U149" s="121">
        <v>0</v>
      </c>
      <c r="V149" s="121">
        <v>0</v>
      </c>
      <c r="W149" s="121">
        <v>0</v>
      </c>
      <c r="X149" s="121">
        <v>0</v>
      </c>
      <c r="Y149" s="121">
        <v>0</v>
      </c>
      <c r="Z149" s="121">
        <v>0</v>
      </c>
      <c r="AA149" s="121">
        <v>0</v>
      </c>
      <c r="AB149" s="121">
        <v>0</v>
      </c>
      <c r="AC149" s="121">
        <v>0</v>
      </c>
      <c r="AD149" s="121">
        <v>0</v>
      </c>
      <c r="AE149" s="121">
        <v>0</v>
      </c>
      <c r="AF149" s="121">
        <v>0</v>
      </c>
      <c r="AG149" s="121">
        <v>0</v>
      </c>
      <c r="AH149" s="121">
        <v>0</v>
      </c>
      <c r="AI149" s="121">
        <v>0</v>
      </c>
      <c r="AJ149" s="121">
        <v>0</v>
      </c>
      <c r="AK149" s="121">
        <v>0</v>
      </c>
      <c r="AL149" s="121">
        <v>0</v>
      </c>
      <c r="AM149" s="121">
        <v>0</v>
      </c>
      <c r="AN149" s="121">
        <v>0</v>
      </c>
      <c r="AO149" s="121">
        <v>0</v>
      </c>
      <c r="AP149" s="121">
        <v>0</v>
      </c>
      <c r="AQ149" s="121">
        <v>0</v>
      </c>
      <c r="AR149" s="121">
        <v>0</v>
      </c>
      <c r="AS149" s="121">
        <v>0</v>
      </c>
      <c r="AT149" s="121">
        <v>0</v>
      </c>
      <c r="AU149" s="121">
        <v>0</v>
      </c>
      <c r="AV149" s="121">
        <v>0</v>
      </c>
      <c r="AW149" s="121">
        <v>0</v>
      </c>
      <c r="AX149" s="121">
        <v>0</v>
      </c>
      <c r="AY149" s="121">
        <v>0</v>
      </c>
    </row>
    <row r="150" spans="1:51" x14ac:dyDescent="0.2">
      <c r="A150" s="124"/>
      <c r="B150" s="141">
        <v>29</v>
      </c>
      <c r="C150" s="121">
        <v>0</v>
      </c>
      <c r="D150" s="121">
        <v>0</v>
      </c>
      <c r="E150" s="121">
        <v>0</v>
      </c>
      <c r="F150" s="121">
        <v>0</v>
      </c>
      <c r="G150" s="121">
        <v>0</v>
      </c>
      <c r="H150" s="121">
        <v>0</v>
      </c>
      <c r="I150" s="121">
        <v>0</v>
      </c>
      <c r="J150" s="121">
        <v>0</v>
      </c>
      <c r="K150" s="121">
        <v>0</v>
      </c>
      <c r="L150" s="121">
        <v>0</v>
      </c>
      <c r="M150" s="121">
        <v>0</v>
      </c>
      <c r="N150" s="121">
        <v>0</v>
      </c>
      <c r="O150" s="121">
        <v>0</v>
      </c>
      <c r="P150" s="121">
        <v>0</v>
      </c>
      <c r="Q150" s="121">
        <v>0</v>
      </c>
      <c r="R150" s="121">
        <v>0</v>
      </c>
      <c r="S150" s="121">
        <v>0</v>
      </c>
      <c r="T150" s="121">
        <v>0</v>
      </c>
      <c r="U150" s="121">
        <v>0</v>
      </c>
      <c r="V150" s="121">
        <v>0</v>
      </c>
      <c r="W150" s="121">
        <v>0</v>
      </c>
      <c r="X150" s="121">
        <v>0</v>
      </c>
      <c r="Y150" s="121">
        <v>0</v>
      </c>
      <c r="Z150" s="121">
        <v>0</v>
      </c>
      <c r="AA150" s="121">
        <v>0</v>
      </c>
      <c r="AB150" s="121">
        <v>0</v>
      </c>
      <c r="AC150" s="121">
        <v>0</v>
      </c>
      <c r="AD150" s="121">
        <v>0</v>
      </c>
      <c r="AE150" s="121">
        <v>0</v>
      </c>
      <c r="AF150" s="121">
        <v>0</v>
      </c>
      <c r="AG150" s="121">
        <v>0</v>
      </c>
      <c r="AH150" s="121">
        <v>0</v>
      </c>
      <c r="AI150" s="121">
        <v>0</v>
      </c>
      <c r="AJ150" s="121">
        <v>0</v>
      </c>
      <c r="AK150" s="121">
        <v>0</v>
      </c>
      <c r="AL150" s="121">
        <v>0</v>
      </c>
      <c r="AM150" s="121">
        <v>0</v>
      </c>
      <c r="AN150" s="121">
        <v>0</v>
      </c>
      <c r="AO150" s="121">
        <v>0</v>
      </c>
      <c r="AP150" s="121">
        <v>0</v>
      </c>
      <c r="AQ150" s="121">
        <v>0</v>
      </c>
      <c r="AR150" s="121">
        <v>0</v>
      </c>
      <c r="AS150" s="121">
        <v>0</v>
      </c>
      <c r="AT150" s="121">
        <v>0</v>
      </c>
      <c r="AU150" s="121">
        <v>0</v>
      </c>
      <c r="AV150" s="121">
        <v>0</v>
      </c>
      <c r="AW150" s="121">
        <v>0</v>
      </c>
      <c r="AX150" s="121">
        <v>0</v>
      </c>
      <c r="AY150" s="121">
        <v>0</v>
      </c>
    </row>
    <row r="151" spans="1:51" x14ac:dyDescent="0.2">
      <c r="A151" s="124"/>
      <c r="B151" s="141">
        <v>30</v>
      </c>
      <c r="C151" s="121">
        <v>0</v>
      </c>
      <c r="D151" s="121">
        <v>0</v>
      </c>
      <c r="E151" s="121">
        <v>0</v>
      </c>
      <c r="F151" s="121">
        <v>0</v>
      </c>
      <c r="G151" s="121">
        <v>0</v>
      </c>
      <c r="H151" s="121">
        <v>0</v>
      </c>
      <c r="I151" s="121">
        <v>0</v>
      </c>
      <c r="J151" s="121">
        <v>0</v>
      </c>
      <c r="K151" s="121">
        <v>0</v>
      </c>
      <c r="L151" s="121">
        <v>0</v>
      </c>
      <c r="M151" s="121">
        <v>0</v>
      </c>
      <c r="N151" s="121">
        <v>0</v>
      </c>
      <c r="O151" s="121">
        <v>0</v>
      </c>
      <c r="P151" s="121">
        <v>0</v>
      </c>
      <c r="Q151" s="121">
        <v>0</v>
      </c>
      <c r="R151" s="121">
        <v>0</v>
      </c>
      <c r="S151" s="121">
        <v>0</v>
      </c>
      <c r="T151" s="121">
        <v>0</v>
      </c>
      <c r="U151" s="121">
        <v>0</v>
      </c>
      <c r="V151" s="121">
        <v>0</v>
      </c>
      <c r="W151" s="121">
        <v>0</v>
      </c>
      <c r="X151" s="121">
        <v>0</v>
      </c>
      <c r="Y151" s="121">
        <v>0</v>
      </c>
      <c r="Z151" s="121">
        <v>0</v>
      </c>
      <c r="AA151" s="121">
        <v>0</v>
      </c>
      <c r="AB151" s="121">
        <v>0</v>
      </c>
      <c r="AC151" s="121">
        <v>0</v>
      </c>
      <c r="AD151" s="121">
        <v>0</v>
      </c>
      <c r="AE151" s="121">
        <v>0</v>
      </c>
      <c r="AF151" s="121">
        <v>0</v>
      </c>
      <c r="AG151" s="121">
        <v>0</v>
      </c>
      <c r="AH151" s="121">
        <v>0</v>
      </c>
      <c r="AI151" s="121">
        <v>0</v>
      </c>
      <c r="AJ151" s="121">
        <v>0</v>
      </c>
      <c r="AK151" s="121">
        <v>0</v>
      </c>
      <c r="AL151" s="121">
        <v>0</v>
      </c>
      <c r="AM151" s="121">
        <v>0</v>
      </c>
      <c r="AN151" s="121">
        <v>0</v>
      </c>
      <c r="AO151" s="121">
        <v>0</v>
      </c>
      <c r="AP151" s="121">
        <v>0</v>
      </c>
      <c r="AQ151" s="121">
        <v>0</v>
      </c>
      <c r="AR151" s="121">
        <v>0</v>
      </c>
      <c r="AS151" s="121">
        <v>0</v>
      </c>
      <c r="AT151" s="121">
        <v>0</v>
      </c>
      <c r="AU151" s="121">
        <v>0</v>
      </c>
      <c r="AV151" s="121">
        <v>0</v>
      </c>
      <c r="AW151" s="121">
        <v>0</v>
      </c>
      <c r="AX151" s="121">
        <v>0</v>
      </c>
      <c r="AY151" s="121">
        <v>0</v>
      </c>
    </row>
    <row r="152" spans="1:51" x14ac:dyDescent="0.2">
      <c r="A152" s="124"/>
      <c r="B152" s="141">
        <v>31</v>
      </c>
      <c r="C152" s="121">
        <v>0</v>
      </c>
      <c r="D152" s="121">
        <v>0</v>
      </c>
      <c r="E152" s="121">
        <v>0</v>
      </c>
      <c r="F152" s="121">
        <v>0</v>
      </c>
      <c r="G152" s="121">
        <v>0</v>
      </c>
      <c r="H152" s="121">
        <v>0</v>
      </c>
      <c r="I152" s="121">
        <v>0</v>
      </c>
      <c r="J152" s="121">
        <v>0</v>
      </c>
      <c r="K152" s="121">
        <v>0</v>
      </c>
      <c r="L152" s="121">
        <v>0</v>
      </c>
      <c r="M152" s="121">
        <v>0</v>
      </c>
      <c r="N152" s="121">
        <v>0</v>
      </c>
      <c r="O152" s="121">
        <v>0</v>
      </c>
      <c r="P152" s="121">
        <v>0</v>
      </c>
      <c r="Q152" s="121">
        <v>0</v>
      </c>
      <c r="R152" s="121">
        <v>0</v>
      </c>
      <c r="S152" s="121">
        <v>0</v>
      </c>
      <c r="T152" s="121">
        <v>0</v>
      </c>
      <c r="U152" s="121">
        <v>0</v>
      </c>
      <c r="V152" s="121">
        <v>0</v>
      </c>
      <c r="W152" s="121">
        <v>0</v>
      </c>
      <c r="X152" s="121">
        <v>0</v>
      </c>
      <c r="Y152" s="121">
        <v>0</v>
      </c>
      <c r="Z152" s="121">
        <v>0</v>
      </c>
      <c r="AA152" s="121">
        <v>0</v>
      </c>
      <c r="AB152" s="121">
        <v>0</v>
      </c>
      <c r="AC152" s="121">
        <v>0</v>
      </c>
      <c r="AD152" s="121">
        <v>0</v>
      </c>
      <c r="AE152" s="121">
        <v>0</v>
      </c>
      <c r="AF152" s="121">
        <v>0</v>
      </c>
      <c r="AG152" s="121">
        <v>0</v>
      </c>
      <c r="AH152" s="121">
        <v>0</v>
      </c>
      <c r="AI152" s="121">
        <v>0</v>
      </c>
      <c r="AJ152" s="121">
        <v>0</v>
      </c>
      <c r="AK152" s="121">
        <v>0</v>
      </c>
      <c r="AL152" s="121">
        <v>0</v>
      </c>
      <c r="AM152" s="121">
        <v>0</v>
      </c>
      <c r="AN152" s="121">
        <v>0</v>
      </c>
      <c r="AO152" s="121">
        <v>0</v>
      </c>
      <c r="AP152" s="121">
        <v>0</v>
      </c>
      <c r="AQ152" s="121">
        <v>0</v>
      </c>
      <c r="AR152" s="121">
        <v>0</v>
      </c>
      <c r="AS152" s="121">
        <v>0</v>
      </c>
      <c r="AT152" s="121">
        <v>0</v>
      </c>
      <c r="AU152" s="121">
        <v>0</v>
      </c>
      <c r="AV152" s="121">
        <v>0</v>
      </c>
      <c r="AW152" s="121">
        <v>0</v>
      </c>
      <c r="AX152" s="121">
        <v>0</v>
      </c>
      <c r="AY152" s="121">
        <v>0</v>
      </c>
    </row>
    <row r="153" spans="1:51" x14ac:dyDescent="0.2">
      <c r="A153" s="124"/>
      <c r="B153" s="141">
        <v>32</v>
      </c>
      <c r="C153" s="121">
        <v>0</v>
      </c>
      <c r="D153" s="121">
        <v>0</v>
      </c>
      <c r="E153" s="121">
        <v>0</v>
      </c>
      <c r="F153" s="121">
        <v>0</v>
      </c>
      <c r="G153" s="121">
        <v>0</v>
      </c>
      <c r="H153" s="121">
        <v>0</v>
      </c>
      <c r="I153" s="121">
        <v>0</v>
      </c>
      <c r="J153" s="121">
        <v>0</v>
      </c>
      <c r="K153" s="121">
        <v>0</v>
      </c>
      <c r="L153" s="121">
        <v>0</v>
      </c>
      <c r="M153" s="121">
        <v>0</v>
      </c>
      <c r="N153" s="121">
        <v>0</v>
      </c>
      <c r="O153" s="121">
        <v>0</v>
      </c>
      <c r="P153" s="121">
        <v>0</v>
      </c>
      <c r="Q153" s="121">
        <v>0</v>
      </c>
      <c r="R153" s="121">
        <v>0</v>
      </c>
      <c r="S153" s="121">
        <v>0</v>
      </c>
      <c r="T153" s="121">
        <v>0</v>
      </c>
      <c r="U153" s="121">
        <v>0</v>
      </c>
      <c r="V153" s="121">
        <v>0</v>
      </c>
      <c r="W153" s="121">
        <v>0</v>
      </c>
      <c r="X153" s="121">
        <v>0</v>
      </c>
      <c r="Y153" s="121">
        <v>0</v>
      </c>
      <c r="Z153" s="121">
        <v>0</v>
      </c>
      <c r="AA153" s="121">
        <v>0</v>
      </c>
      <c r="AB153" s="121">
        <v>0</v>
      </c>
      <c r="AC153" s="121">
        <v>0</v>
      </c>
      <c r="AD153" s="121">
        <v>0</v>
      </c>
      <c r="AE153" s="121">
        <v>0</v>
      </c>
      <c r="AF153" s="121">
        <v>0</v>
      </c>
      <c r="AG153" s="121">
        <v>0</v>
      </c>
      <c r="AH153" s="121">
        <v>0</v>
      </c>
      <c r="AI153" s="121">
        <v>0</v>
      </c>
      <c r="AJ153" s="121">
        <v>0</v>
      </c>
      <c r="AK153" s="121">
        <v>0</v>
      </c>
      <c r="AL153" s="121">
        <v>0</v>
      </c>
      <c r="AM153" s="121">
        <v>0</v>
      </c>
      <c r="AN153" s="121">
        <v>0</v>
      </c>
      <c r="AO153" s="121">
        <v>0</v>
      </c>
      <c r="AP153" s="121">
        <v>0</v>
      </c>
      <c r="AQ153" s="121">
        <v>0</v>
      </c>
      <c r="AR153" s="121">
        <v>0</v>
      </c>
      <c r="AS153" s="121">
        <v>0</v>
      </c>
      <c r="AT153" s="121">
        <v>0</v>
      </c>
      <c r="AU153" s="121">
        <v>0</v>
      </c>
      <c r="AV153" s="121">
        <v>0</v>
      </c>
      <c r="AW153" s="121">
        <v>0</v>
      </c>
      <c r="AX153" s="121">
        <v>0</v>
      </c>
      <c r="AY153" s="121">
        <v>0</v>
      </c>
    </row>
    <row r="154" spans="1:51" x14ac:dyDescent="0.2">
      <c r="A154" s="124"/>
      <c r="B154" s="141">
        <v>33</v>
      </c>
      <c r="C154" s="121">
        <v>0</v>
      </c>
      <c r="D154" s="121">
        <v>0</v>
      </c>
      <c r="E154" s="121">
        <v>0</v>
      </c>
      <c r="F154" s="121">
        <v>0</v>
      </c>
      <c r="G154" s="121">
        <v>0</v>
      </c>
      <c r="H154" s="121">
        <v>0</v>
      </c>
      <c r="I154" s="121">
        <v>0</v>
      </c>
      <c r="J154" s="121">
        <v>0</v>
      </c>
      <c r="K154" s="121">
        <v>0</v>
      </c>
      <c r="L154" s="121">
        <v>0</v>
      </c>
      <c r="M154" s="121">
        <v>0</v>
      </c>
      <c r="N154" s="121">
        <v>0</v>
      </c>
      <c r="O154" s="121">
        <v>0</v>
      </c>
      <c r="P154" s="121">
        <v>0</v>
      </c>
      <c r="Q154" s="121">
        <v>0</v>
      </c>
      <c r="R154" s="121">
        <v>0</v>
      </c>
      <c r="S154" s="121">
        <v>0</v>
      </c>
      <c r="T154" s="121">
        <v>0</v>
      </c>
      <c r="U154" s="121">
        <v>0</v>
      </c>
      <c r="V154" s="121">
        <v>0</v>
      </c>
      <c r="W154" s="121">
        <v>0</v>
      </c>
      <c r="X154" s="121">
        <v>0</v>
      </c>
      <c r="Y154" s="121">
        <v>0</v>
      </c>
      <c r="Z154" s="121">
        <v>0</v>
      </c>
      <c r="AA154" s="121">
        <v>0</v>
      </c>
      <c r="AB154" s="121">
        <v>0</v>
      </c>
      <c r="AC154" s="121">
        <v>0</v>
      </c>
      <c r="AD154" s="121">
        <v>0</v>
      </c>
      <c r="AE154" s="121">
        <v>0</v>
      </c>
      <c r="AF154" s="121">
        <v>0</v>
      </c>
      <c r="AG154" s="121">
        <v>0</v>
      </c>
      <c r="AH154" s="121">
        <v>0</v>
      </c>
      <c r="AI154" s="121">
        <v>0</v>
      </c>
      <c r="AJ154" s="121">
        <v>0</v>
      </c>
      <c r="AK154" s="121">
        <v>0</v>
      </c>
      <c r="AL154" s="121">
        <v>0</v>
      </c>
      <c r="AM154" s="121">
        <v>0</v>
      </c>
      <c r="AN154" s="121">
        <v>0</v>
      </c>
      <c r="AO154" s="121">
        <v>0</v>
      </c>
      <c r="AP154" s="121">
        <v>0</v>
      </c>
      <c r="AQ154" s="121">
        <v>0</v>
      </c>
      <c r="AR154" s="121">
        <v>0</v>
      </c>
      <c r="AS154" s="121">
        <v>0</v>
      </c>
      <c r="AT154" s="121">
        <v>0</v>
      </c>
      <c r="AU154" s="121">
        <v>0</v>
      </c>
      <c r="AV154" s="121">
        <v>0</v>
      </c>
      <c r="AW154" s="121">
        <v>0</v>
      </c>
      <c r="AX154" s="121">
        <v>0</v>
      </c>
      <c r="AY154" s="121">
        <v>0</v>
      </c>
    </row>
    <row r="155" spans="1:51" x14ac:dyDescent="0.2">
      <c r="A155" s="124"/>
      <c r="B155" s="141">
        <v>34</v>
      </c>
      <c r="C155" s="121">
        <v>0</v>
      </c>
      <c r="D155" s="121">
        <v>0</v>
      </c>
      <c r="E155" s="121">
        <v>0</v>
      </c>
      <c r="F155" s="121">
        <v>0</v>
      </c>
      <c r="G155" s="121">
        <v>0</v>
      </c>
      <c r="H155" s="121">
        <v>0</v>
      </c>
      <c r="I155" s="121">
        <v>0</v>
      </c>
      <c r="J155" s="121">
        <v>0</v>
      </c>
      <c r="K155" s="121">
        <v>0</v>
      </c>
      <c r="L155" s="121">
        <v>0</v>
      </c>
      <c r="M155" s="121">
        <v>0</v>
      </c>
      <c r="N155" s="121">
        <v>0</v>
      </c>
      <c r="O155" s="121">
        <v>0</v>
      </c>
      <c r="P155" s="121">
        <v>0</v>
      </c>
      <c r="Q155" s="121">
        <v>0</v>
      </c>
      <c r="R155" s="121">
        <v>0</v>
      </c>
      <c r="S155" s="121">
        <v>0</v>
      </c>
      <c r="T155" s="121">
        <v>0</v>
      </c>
      <c r="U155" s="121">
        <v>0</v>
      </c>
      <c r="V155" s="121">
        <v>0</v>
      </c>
      <c r="W155" s="121">
        <v>0</v>
      </c>
      <c r="X155" s="121">
        <v>0</v>
      </c>
      <c r="Y155" s="121">
        <v>0</v>
      </c>
      <c r="Z155" s="121">
        <v>0</v>
      </c>
      <c r="AA155" s="121">
        <v>0</v>
      </c>
      <c r="AB155" s="121">
        <v>0</v>
      </c>
      <c r="AC155" s="121">
        <v>0</v>
      </c>
      <c r="AD155" s="121">
        <v>0</v>
      </c>
      <c r="AE155" s="121">
        <v>0</v>
      </c>
      <c r="AF155" s="121">
        <v>0</v>
      </c>
      <c r="AG155" s="121">
        <v>0</v>
      </c>
      <c r="AH155" s="121">
        <v>0</v>
      </c>
      <c r="AI155" s="121">
        <v>0</v>
      </c>
      <c r="AJ155" s="121">
        <v>0</v>
      </c>
      <c r="AK155" s="121">
        <v>0</v>
      </c>
      <c r="AL155" s="121">
        <v>0</v>
      </c>
      <c r="AM155" s="121">
        <v>0</v>
      </c>
      <c r="AN155" s="121">
        <v>0</v>
      </c>
      <c r="AO155" s="121">
        <v>0</v>
      </c>
      <c r="AP155" s="121">
        <v>0</v>
      </c>
      <c r="AQ155" s="121">
        <v>0</v>
      </c>
      <c r="AR155" s="121">
        <v>0</v>
      </c>
      <c r="AS155" s="121">
        <v>0</v>
      </c>
      <c r="AT155" s="121">
        <v>0</v>
      </c>
      <c r="AU155" s="121">
        <v>0</v>
      </c>
      <c r="AV155" s="121">
        <v>0</v>
      </c>
      <c r="AW155" s="121">
        <v>0</v>
      </c>
      <c r="AX155" s="121">
        <v>0</v>
      </c>
      <c r="AY155" s="121">
        <v>0</v>
      </c>
    </row>
    <row r="156" spans="1:51" x14ac:dyDescent="0.2">
      <c r="A156" s="124"/>
      <c r="B156" s="141">
        <v>35</v>
      </c>
      <c r="C156" s="121">
        <v>0</v>
      </c>
      <c r="D156" s="121">
        <v>0</v>
      </c>
      <c r="E156" s="121">
        <v>0</v>
      </c>
      <c r="F156" s="121">
        <v>0</v>
      </c>
      <c r="G156" s="121">
        <v>0</v>
      </c>
      <c r="H156" s="121">
        <v>0</v>
      </c>
      <c r="I156" s="121">
        <v>0</v>
      </c>
      <c r="J156" s="121">
        <v>0</v>
      </c>
      <c r="K156" s="121">
        <v>0</v>
      </c>
      <c r="L156" s="121">
        <v>0</v>
      </c>
      <c r="M156" s="121">
        <v>0</v>
      </c>
      <c r="N156" s="121">
        <v>0</v>
      </c>
      <c r="O156" s="121">
        <v>0</v>
      </c>
      <c r="P156" s="121">
        <v>0</v>
      </c>
      <c r="Q156" s="121">
        <v>0</v>
      </c>
      <c r="R156" s="121">
        <v>0</v>
      </c>
      <c r="S156" s="121">
        <v>0</v>
      </c>
      <c r="T156" s="121">
        <v>0</v>
      </c>
      <c r="U156" s="121">
        <v>0</v>
      </c>
      <c r="V156" s="121">
        <v>0</v>
      </c>
      <c r="W156" s="121">
        <v>0</v>
      </c>
      <c r="X156" s="121">
        <v>0</v>
      </c>
      <c r="Y156" s="121">
        <v>0</v>
      </c>
      <c r="Z156" s="121">
        <v>0</v>
      </c>
      <c r="AA156" s="121">
        <v>0</v>
      </c>
      <c r="AB156" s="121">
        <v>0</v>
      </c>
      <c r="AC156" s="121">
        <v>0</v>
      </c>
      <c r="AD156" s="121">
        <v>0</v>
      </c>
      <c r="AE156" s="121">
        <v>0</v>
      </c>
      <c r="AF156" s="121">
        <v>0</v>
      </c>
      <c r="AG156" s="121">
        <v>0</v>
      </c>
      <c r="AH156" s="121">
        <v>0</v>
      </c>
      <c r="AI156" s="121">
        <v>0</v>
      </c>
      <c r="AJ156" s="121">
        <v>0</v>
      </c>
      <c r="AK156" s="121">
        <v>0</v>
      </c>
      <c r="AL156" s="121">
        <v>0</v>
      </c>
      <c r="AM156" s="121">
        <v>0</v>
      </c>
      <c r="AN156" s="121">
        <v>0</v>
      </c>
      <c r="AO156" s="121">
        <v>0</v>
      </c>
      <c r="AP156" s="121">
        <v>0</v>
      </c>
      <c r="AQ156" s="121">
        <v>0</v>
      </c>
      <c r="AR156" s="121">
        <v>0</v>
      </c>
      <c r="AS156" s="121">
        <v>0</v>
      </c>
      <c r="AT156" s="121">
        <v>0</v>
      </c>
      <c r="AU156" s="121">
        <v>0</v>
      </c>
      <c r="AV156" s="121">
        <v>0</v>
      </c>
      <c r="AW156" s="121">
        <v>0</v>
      </c>
      <c r="AX156" s="121">
        <v>0</v>
      </c>
      <c r="AY156" s="121">
        <v>0</v>
      </c>
    </row>
    <row r="157" spans="1:51" x14ac:dyDescent="0.2">
      <c r="A157" s="124"/>
      <c r="B157" s="141">
        <v>36</v>
      </c>
      <c r="C157" s="121">
        <v>0</v>
      </c>
      <c r="D157" s="121">
        <v>0</v>
      </c>
      <c r="E157" s="121">
        <v>0</v>
      </c>
      <c r="F157" s="121">
        <v>0</v>
      </c>
      <c r="G157" s="121">
        <v>0</v>
      </c>
      <c r="H157" s="121">
        <v>0</v>
      </c>
      <c r="I157" s="121">
        <v>0</v>
      </c>
      <c r="J157" s="121">
        <v>0</v>
      </c>
      <c r="K157" s="121">
        <v>0</v>
      </c>
      <c r="L157" s="121">
        <v>0</v>
      </c>
      <c r="M157" s="121">
        <v>0</v>
      </c>
      <c r="N157" s="121">
        <v>0</v>
      </c>
      <c r="O157" s="121">
        <v>0</v>
      </c>
      <c r="P157" s="121">
        <v>0</v>
      </c>
      <c r="Q157" s="121">
        <v>0</v>
      </c>
      <c r="R157" s="121">
        <v>0</v>
      </c>
      <c r="S157" s="121">
        <v>0</v>
      </c>
      <c r="T157" s="121">
        <v>0</v>
      </c>
      <c r="U157" s="121">
        <v>0</v>
      </c>
      <c r="V157" s="121">
        <v>0</v>
      </c>
      <c r="W157" s="121">
        <v>0</v>
      </c>
      <c r="X157" s="121">
        <v>0</v>
      </c>
      <c r="Y157" s="121">
        <v>0</v>
      </c>
      <c r="Z157" s="121">
        <v>0</v>
      </c>
      <c r="AA157" s="121">
        <v>0</v>
      </c>
      <c r="AB157" s="121">
        <v>0</v>
      </c>
      <c r="AC157" s="121">
        <v>0</v>
      </c>
      <c r="AD157" s="121">
        <v>0</v>
      </c>
      <c r="AE157" s="121">
        <v>0</v>
      </c>
      <c r="AF157" s="121">
        <v>0</v>
      </c>
      <c r="AG157" s="121">
        <v>0</v>
      </c>
      <c r="AH157" s="121">
        <v>0</v>
      </c>
      <c r="AI157" s="121">
        <v>0</v>
      </c>
      <c r="AJ157" s="121">
        <v>0</v>
      </c>
      <c r="AK157" s="121">
        <v>0</v>
      </c>
      <c r="AL157" s="121">
        <v>0</v>
      </c>
      <c r="AM157" s="121">
        <v>0</v>
      </c>
      <c r="AN157" s="121">
        <v>0</v>
      </c>
      <c r="AO157" s="121">
        <v>0</v>
      </c>
      <c r="AP157" s="121">
        <v>0</v>
      </c>
      <c r="AQ157" s="121">
        <v>0</v>
      </c>
      <c r="AR157" s="121">
        <v>0</v>
      </c>
      <c r="AS157" s="121">
        <v>0</v>
      </c>
      <c r="AT157" s="121">
        <v>0</v>
      </c>
      <c r="AU157" s="121">
        <v>0</v>
      </c>
      <c r="AV157" s="121">
        <v>0</v>
      </c>
      <c r="AW157" s="121">
        <v>0</v>
      </c>
      <c r="AX157" s="121">
        <v>0</v>
      </c>
      <c r="AY157" s="121">
        <v>0</v>
      </c>
    </row>
    <row r="158" spans="1:51" x14ac:dyDescent="0.2">
      <c r="A158" s="124"/>
      <c r="B158" s="144">
        <v>37</v>
      </c>
      <c r="C158" s="121">
        <v>0</v>
      </c>
      <c r="D158" s="121">
        <v>0</v>
      </c>
      <c r="E158" s="121">
        <v>0</v>
      </c>
      <c r="F158" s="121">
        <v>0</v>
      </c>
      <c r="G158" s="121">
        <v>0</v>
      </c>
      <c r="H158" s="121">
        <v>0</v>
      </c>
      <c r="I158" s="121">
        <v>0</v>
      </c>
      <c r="J158" s="121">
        <v>0</v>
      </c>
      <c r="K158" s="121">
        <v>0</v>
      </c>
      <c r="L158" s="121">
        <v>0</v>
      </c>
      <c r="M158" s="121">
        <v>0</v>
      </c>
      <c r="N158" s="121">
        <v>0</v>
      </c>
      <c r="O158" s="121">
        <v>0</v>
      </c>
      <c r="P158" s="121">
        <v>0</v>
      </c>
      <c r="Q158" s="121">
        <v>0</v>
      </c>
      <c r="R158" s="121">
        <v>0</v>
      </c>
      <c r="S158" s="121">
        <v>0</v>
      </c>
      <c r="T158" s="121">
        <v>0</v>
      </c>
      <c r="U158" s="121">
        <v>0</v>
      </c>
      <c r="V158" s="121">
        <v>0</v>
      </c>
      <c r="W158" s="121">
        <v>0</v>
      </c>
      <c r="X158" s="121">
        <v>0</v>
      </c>
      <c r="Y158" s="121">
        <v>0</v>
      </c>
      <c r="Z158" s="121">
        <v>0</v>
      </c>
      <c r="AA158" s="121">
        <v>0</v>
      </c>
      <c r="AB158" s="121">
        <v>0</v>
      </c>
      <c r="AC158" s="121">
        <v>0</v>
      </c>
      <c r="AD158" s="121">
        <v>0</v>
      </c>
      <c r="AE158" s="121">
        <v>0</v>
      </c>
      <c r="AF158" s="121">
        <v>0</v>
      </c>
      <c r="AG158" s="121">
        <v>0</v>
      </c>
      <c r="AH158" s="121">
        <v>0</v>
      </c>
      <c r="AI158" s="121">
        <v>0</v>
      </c>
      <c r="AJ158" s="121">
        <v>0</v>
      </c>
      <c r="AK158" s="121">
        <v>0</v>
      </c>
      <c r="AL158" s="121">
        <v>0</v>
      </c>
      <c r="AM158" s="121">
        <v>0</v>
      </c>
      <c r="AN158" s="121">
        <v>0</v>
      </c>
      <c r="AO158" s="121">
        <v>0</v>
      </c>
      <c r="AP158" s="121">
        <v>0</v>
      </c>
      <c r="AQ158" s="121">
        <v>0</v>
      </c>
      <c r="AR158" s="121">
        <v>0</v>
      </c>
      <c r="AS158" s="121">
        <v>0</v>
      </c>
      <c r="AT158" s="121">
        <v>0</v>
      </c>
      <c r="AU158" s="121">
        <v>0</v>
      </c>
      <c r="AV158" s="121">
        <v>0</v>
      </c>
      <c r="AW158" s="121">
        <v>0</v>
      </c>
      <c r="AX158" s="121">
        <v>0</v>
      </c>
      <c r="AY158" s="121">
        <v>0</v>
      </c>
    </row>
    <row r="159" spans="1:51" x14ac:dyDescent="0.2">
      <c r="A159" s="124"/>
      <c r="B159" s="144">
        <v>38</v>
      </c>
      <c r="C159" s="121">
        <v>0</v>
      </c>
      <c r="D159" s="121">
        <v>0</v>
      </c>
      <c r="E159" s="121">
        <v>0</v>
      </c>
      <c r="F159" s="121">
        <v>0</v>
      </c>
      <c r="G159" s="121">
        <v>0</v>
      </c>
      <c r="H159" s="121">
        <v>0</v>
      </c>
      <c r="I159" s="121">
        <v>0</v>
      </c>
      <c r="J159" s="121">
        <v>0</v>
      </c>
      <c r="K159" s="121">
        <v>0</v>
      </c>
      <c r="L159" s="121">
        <v>0</v>
      </c>
      <c r="M159" s="121">
        <v>0</v>
      </c>
      <c r="N159" s="121">
        <v>0</v>
      </c>
      <c r="O159" s="121">
        <v>0</v>
      </c>
      <c r="P159" s="121">
        <v>0</v>
      </c>
      <c r="Q159" s="121">
        <v>0</v>
      </c>
      <c r="R159" s="121">
        <v>0</v>
      </c>
      <c r="S159" s="121">
        <v>0</v>
      </c>
      <c r="T159" s="121">
        <v>0</v>
      </c>
      <c r="U159" s="121">
        <v>0</v>
      </c>
      <c r="V159" s="121">
        <v>0</v>
      </c>
      <c r="W159" s="121">
        <v>0</v>
      </c>
      <c r="X159" s="121">
        <v>0</v>
      </c>
      <c r="Y159" s="121">
        <v>0</v>
      </c>
      <c r="Z159" s="121">
        <v>0</v>
      </c>
      <c r="AA159" s="121">
        <v>0</v>
      </c>
      <c r="AB159" s="121">
        <v>0</v>
      </c>
      <c r="AC159" s="121">
        <v>0</v>
      </c>
      <c r="AD159" s="121">
        <v>0</v>
      </c>
      <c r="AE159" s="121">
        <v>0</v>
      </c>
      <c r="AF159" s="121">
        <v>0</v>
      </c>
      <c r="AG159" s="121">
        <v>0</v>
      </c>
      <c r="AH159" s="121">
        <v>0</v>
      </c>
      <c r="AI159" s="121">
        <v>0</v>
      </c>
      <c r="AJ159" s="121">
        <v>0</v>
      </c>
      <c r="AK159" s="121">
        <v>0</v>
      </c>
      <c r="AL159" s="121">
        <v>0</v>
      </c>
      <c r="AM159" s="121">
        <v>0</v>
      </c>
      <c r="AN159" s="121">
        <v>0</v>
      </c>
      <c r="AO159" s="121">
        <v>0</v>
      </c>
      <c r="AP159" s="121">
        <v>0</v>
      </c>
      <c r="AQ159" s="121">
        <v>0</v>
      </c>
      <c r="AR159" s="121">
        <v>0</v>
      </c>
      <c r="AS159" s="121">
        <v>0</v>
      </c>
      <c r="AT159" s="121">
        <v>0</v>
      </c>
      <c r="AU159" s="121">
        <v>0</v>
      </c>
      <c r="AV159" s="121">
        <v>0</v>
      </c>
      <c r="AW159" s="121">
        <v>0</v>
      </c>
      <c r="AX159" s="121">
        <v>0</v>
      </c>
      <c r="AY159" s="121">
        <v>0</v>
      </c>
    </row>
    <row r="160" spans="1:51" x14ac:dyDescent="0.2">
      <c r="A160" s="124"/>
      <c r="B160" s="144">
        <v>39</v>
      </c>
      <c r="C160" s="121">
        <v>0</v>
      </c>
      <c r="D160" s="121">
        <v>0</v>
      </c>
      <c r="E160" s="121">
        <v>0</v>
      </c>
      <c r="F160" s="121">
        <v>0</v>
      </c>
      <c r="G160" s="121">
        <v>0</v>
      </c>
      <c r="H160" s="121">
        <v>0</v>
      </c>
      <c r="I160" s="121">
        <v>0</v>
      </c>
      <c r="J160" s="121">
        <v>0</v>
      </c>
      <c r="K160" s="121">
        <v>0</v>
      </c>
      <c r="L160" s="121">
        <v>0</v>
      </c>
      <c r="M160" s="121">
        <v>0</v>
      </c>
      <c r="N160" s="121">
        <v>0</v>
      </c>
      <c r="O160" s="121">
        <v>0</v>
      </c>
      <c r="P160" s="121">
        <v>0</v>
      </c>
      <c r="Q160" s="121">
        <v>0</v>
      </c>
      <c r="R160" s="121">
        <v>0</v>
      </c>
      <c r="S160" s="121">
        <v>0</v>
      </c>
      <c r="T160" s="121">
        <v>0</v>
      </c>
      <c r="U160" s="121">
        <v>0</v>
      </c>
      <c r="V160" s="121">
        <v>0</v>
      </c>
      <c r="W160" s="121">
        <v>0</v>
      </c>
      <c r="X160" s="121">
        <v>0</v>
      </c>
      <c r="Y160" s="121">
        <v>0</v>
      </c>
      <c r="Z160" s="121">
        <v>0</v>
      </c>
      <c r="AA160" s="121">
        <v>0</v>
      </c>
      <c r="AB160" s="121">
        <v>0</v>
      </c>
      <c r="AC160" s="121">
        <v>0</v>
      </c>
      <c r="AD160" s="121">
        <v>0</v>
      </c>
      <c r="AE160" s="121">
        <v>0</v>
      </c>
      <c r="AF160" s="121">
        <v>0</v>
      </c>
      <c r="AG160" s="121">
        <v>0</v>
      </c>
      <c r="AH160" s="121">
        <v>0</v>
      </c>
      <c r="AI160" s="121">
        <v>0</v>
      </c>
      <c r="AJ160" s="121">
        <v>0</v>
      </c>
      <c r="AK160" s="121">
        <v>0</v>
      </c>
      <c r="AL160" s="121">
        <v>0</v>
      </c>
      <c r="AM160" s="121">
        <v>0</v>
      </c>
      <c r="AN160" s="121">
        <v>0</v>
      </c>
      <c r="AO160" s="121">
        <v>0</v>
      </c>
      <c r="AP160" s="121">
        <v>0</v>
      </c>
      <c r="AQ160" s="121">
        <v>0</v>
      </c>
      <c r="AR160" s="121">
        <v>0</v>
      </c>
      <c r="AS160" s="121">
        <v>0</v>
      </c>
      <c r="AT160" s="121">
        <v>0</v>
      </c>
      <c r="AU160" s="121">
        <v>0</v>
      </c>
      <c r="AV160" s="121">
        <v>0</v>
      </c>
      <c r="AW160" s="121">
        <v>0</v>
      </c>
      <c r="AX160" s="121">
        <v>0</v>
      </c>
      <c r="AY160" s="121">
        <v>0</v>
      </c>
    </row>
    <row r="161" spans="1:52" x14ac:dyDescent="0.2">
      <c r="A161" s="124"/>
      <c r="B161" s="144">
        <v>40</v>
      </c>
      <c r="C161" s="121">
        <v>0</v>
      </c>
      <c r="D161" s="121">
        <v>0</v>
      </c>
      <c r="E161" s="121">
        <v>0</v>
      </c>
      <c r="F161" s="121">
        <v>0</v>
      </c>
      <c r="G161" s="121">
        <v>0</v>
      </c>
      <c r="H161" s="121">
        <v>0</v>
      </c>
      <c r="I161" s="121">
        <v>0</v>
      </c>
      <c r="J161" s="121">
        <v>0</v>
      </c>
      <c r="K161" s="121">
        <v>0</v>
      </c>
      <c r="L161" s="121">
        <v>0</v>
      </c>
      <c r="M161" s="121">
        <v>0</v>
      </c>
      <c r="N161" s="121">
        <v>0</v>
      </c>
      <c r="O161" s="121">
        <v>0</v>
      </c>
      <c r="P161" s="121">
        <v>0</v>
      </c>
      <c r="Q161" s="121">
        <v>0</v>
      </c>
      <c r="R161" s="121">
        <v>0</v>
      </c>
      <c r="S161" s="121">
        <v>0</v>
      </c>
      <c r="T161" s="121">
        <v>0</v>
      </c>
      <c r="U161" s="121">
        <v>0</v>
      </c>
      <c r="V161" s="121">
        <v>0</v>
      </c>
      <c r="W161" s="121">
        <v>0</v>
      </c>
      <c r="X161" s="121">
        <v>0</v>
      </c>
      <c r="Y161" s="121">
        <v>0</v>
      </c>
      <c r="Z161" s="121">
        <v>0</v>
      </c>
      <c r="AA161" s="121">
        <v>0</v>
      </c>
      <c r="AB161" s="121">
        <v>0</v>
      </c>
      <c r="AC161" s="121">
        <v>0</v>
      </c>
      <c r="AD161" s="121">
        <v>0</v>
      </c>
      <c r="AE161" s="121">
        <v>0</v>
      </c>
      <c r="AF161" s="121">
        <v>0</v>
      </c>
      <c r="AG161" s="121">
        <v>0</v>
      </c>
      <c r="AH161" s="121">
        <v>0</v>
      </c>
      <c r="AI161" s="121">
        <v>0</v>
      </c>
      <c r="AJ161" s="121">
        <v>0</v>
      </c>
      <c r="AK161" s="121">
        <v>0</v>
      </c>
      <c r="AL161" s="121">
        <v>0</v>
      </c>
      <c r="AM161" s="121">
        <v>0</v>
      </c>
      <c r="AN161" s="121">
        <v>0</v>
      </c>
      <c r="AO161" s="121">
        <v>0</v>
      </c>
      <c r="AP161" s="121">
        <v>0</v>
      </c>
      <c r="AQ161" s="121">
        <v>0</v>
      </c>
      <c r="AR161" s="121">
        <v>0</v>
      </c>
      <c r="AS161" s="121">
        <v>0</v>
      </c>
      <c r="AT161" s="121">
        <v>0</v>
      </c>
      <c r="AU161" s="121">
        <v>0</v>
      </c>
      <c r="AV161" s="121">
        <v>0</v>
      </c>
      <c r="AW161" s="121">
        <v>0</v>
      </c>
      <c r="AX161" s="121">
        <v>0</v>
      </c>
      <c r="AY161" s="121">
        <v>0</v>
      </c>
    </row>
    <row r="162" spans="1:52" x14ac:dyDescent="0.2">
      <c r="A162" s="124"/>
      <c r="B162" s="144">
        <v>41</v>
      </c>
      <c r="C162" s="121">
        <v>0</v>
      </c>
      <c r="D162" s="121">
        <v>0</v>
      </c>
      <c r="E162" s="121">
        <v>0</v>
      </c>
      <c r="F162" s="121">
        <v>0</v>
      </c>
      <c r="G162" s="121">
        <v>0</v>
      </c>
      <c r="H162" s="121">
        <v>0</v>
      </c>
      <c r="I162" s="121">
        <v>0</v>
      </c>
      <c r="J162" s="121">
        <v>0</v>
      </c>
      <c r="K162" s="121">
        <v>0</v>
      </c>
      <c r="L162" s="121">
        <v>0</v>
      </c>
      <c r="M162" s="121">
        <v>0</v>
      </c>
      <c r="N162" s="121">
        <v>0</v>
      </c>
      <c r="O162" s="121">
        <v>0</v>
      </c>
      <c r="P162" s="121">
        <v>0</v>
      </c>
      <c r="Q162" s="121">
        <v>0</v>
      </c>
      <c r="R162" s="121">
        <v>0</v>
      </c>
      <c r="S162" s="121">
        <v>0</v>
      </c>
      <c r="T162" s="121">
        <v>0</v>
      </c>
      <c r="U162" s="121">
        <v>0</v>
      </c>
      <c r="V162" s="121">
        <v>0</v>
      </c>
      <c r="W162" s="121">
        <v>0</v>
      </c>
      <c r="X162" s="121">
        <v>0</v>
      </c>
      <c r="Y162" s="121">
        <v>0</v>
      </c>
      <c r="Z162" s="121">
        <v>0</v>
      </c>
      <c r="AA162" s="121">
        <v>0</v>
      </c>
      <c r="AB162" s="121">
        <v>0</v>
      </c>
      <c r="AC162" s="121">
        <v>0</v>
      </c>
      <c r="AD162" s="121">
        <v>0</v>
      </c>
      <c r="AE162" s="121">
        <v>0</v>
      </c>
      <c r="AF162" s="121">
        <v>0</v>
      </c>
      <c r="AG162" s="121">
        <v>0</v>
      </c>
      <c r="AH162" s="121">
        <v>0</v>
      </c>
      <c r="AI162" s="121">
        <v>0</v>
      </c>
      <c r="AJ162" s="121">
        <v>0</v>
      </c>
      <c r="AK162" s="121">
        <v>0</v>
      </c>
      <c r="AL162" s="121">
        <v>0</v>
      </c>
      <c r="AM162" s="121">
        <v>0</v>
      </c>
      <c r="AN162" s="121">
        <v>0</v>
      </c>
      <c r="AO162" s="121">
        <v>0</v>
      </c>
      <c r="AP162" s="121">
        <v>0</v>
      </c>
      <c r="AQ162" s="121">
        <v>0</v>
      </c>
      <c r="AR162" s="121">
        <v>0</v>
      </c>
      <c r="AS162" s="121">
        <v>0</v>
      </c>
      <c r="AT162" s="121">
        <v>0</v>
      </c>
      <c r="AU162" s="121">
        <v>0</v>
      </c>
      <c r="AV162" s="121">
        <v>0</v>
      </c>
      <c r="AW162" s="121">
        <v>0</v>
      </c>
      <c r="AX162" s="121">
        <v>0</v>
      </c>
      <c r="AY162" s="121">
        <v>0</v>
      </c>
    </row>
    <row r="163" spans="1:52" x14ac:dyDescent="0.2">
      <c r="A163" s="124"/>
      <c r="B163" s="144">
        <v>42</v>
      </c>
      <c r="C163" s="121">
        <v>0</v>
      </c>
      <c r="D163" s="121">
        <v>0</v>
      </c>
      <c r="E163" s="121">
        <v>0</v>
      </c>
      <c r="F163" s="121">
        <v>0</v>
      </c>
      <c r="G163" s="121">
        <v>0</v>
      </c>
      <c r="H163" s="121">
        <v>0</v>
      </c>
      <c r="I163" s="121">
        <v>0</v>
      </c>
      <c r="J163" s="121">
        <v>0</v>
      </c>
      <c r="K163" s="121">
        <v>0</v>
      </c>
      <c r="L163" s="121">
        <v>0</v>
      </c>
      <c r="M163" s="121">
        <v>0</v>
      </c>
      <c r="N163" s="121">
        <v>0</v>
      </c>
      <c r="O163" s="121">
        <v>0</v>
      </c>
      <c r="P163" s="121">
        <v>0</v>
      </c>
      <c r="Q163" s="121">
        <v>0</v>
      </c>
      <c r="R163" s="121">
        <v>0</v>
      </c>
      <c r="S163" s="121">
        <v>0</v>
      </c>
      <c r="T163" s="121">
        <v>0</v>
      </c>
      <c r="U163" s="121">
        <v>0</v>
      </c>
      <c r="V163" s="121">
        <v>0</v>
      </c>
      <c r="W163" s="121">
        <v>0</v>
      </c>
      <c r="X163" s="121">
        <v>0</v>
      </c>
      <c r="Y163" s="121">
        <v>0</v>
      </c>
      <c r="Z163" s="121">
        <v>0</v>
      </c>
      <c r="AA163" s="121">
        <v>0</v>
      </c>
      <c r="AB163" s="121">
        <v>0</v>
      </c>
      <c r="AC163" s="121">
        <v>0</v>
      </c>
      <c r="AD163" s="121">
        <v>0</v>
      </c>
      <c r="AE163" s="121">
        <v>0</v>
      </c>
      <c r="AF163" s="121">
        <v>0</v>
      </c>
      <c r="AG163" s="121">
        <v>0</v>
      </c>
      <c r="AH163" s="121">
        <v>0</v>
      </c>
      <c r="AI163" s="121">
        <v>0</v>
      </c>
      <c r="AJ163" s="121">
        <v>0</v>
      </c>
      <c r="AK163" s="121">
        <v>0</v>
      </c>
      <c r="AL163" s="121">
        <v>0</v>
      </c>
      <c r="AM163" s="121">
        <v>0</v>
      </c>
      <c r="AN163" s="121">
        <v>0</v>
      </c>
      <c r="AO163" s="121">
        <v>0</v>
      </c>
      <c r="AP163" s="121">
        <v>0</v>
      </c>
      <c r="AQ163" s="121">
        <v>0</v>
      </c>
      <c r="AR163" s="121">
        <v>0</v>
      </c>
      <c r="AS163" s="121">
        <v>0</v>
      </c>
      <c r="AT163" s="121">
        <v>0</v>
      </c>
      <c r="AU163" s="121">
        <v>0</v>
      </c>
      <c r="AV163" s="121">
        <v>0</v>
      </c>
      <c r="AW163" s="121">
        <v>0</v>
      </c>
      <c r="AX163" s="121">
        <v>0</v>
      </c>
      <c r="AY163" s="121">
        <v>0</v>
      </c>
    </row>
    <row r="164" spans="1:52" x14ac:dyDescent="0.2">
      <c r="A164" s="124"/>
      <c r="B164" s="144">
        <v>43</v>
      </c>
      <c r="C164" s="121">
        <v>0</v>
      </c>
      <c r="D164" s="121">
        <v>0</v>
      </c>
      <c r="E164" s="121">
        <v>0</v>
      </c>
      <c r="F164" s="121">
        <v>0</v>
      </c>
      <c r="G164" s="121">
        <v>0</v>
      </c>
      <c r="H164" s="121">
        <v>0</v>
      </c>
      <c r="I164" s="121">
        <v>0</v>
      </c>
      <c r="J164" s="121">
        <v>0</v>
      </c>
      <c r="K164" s="121">
        <v>0</v>
      </c>
      <c r="L164" s="121">
        <v>0</v>
      </c>
      <c r="M164" s="121">
        <v>0</v>
      </c>
      <c r="N164" s="121">
        <v>0</v>
      </c>
      <c r="O164" s="121">
        <v>0</v>
      </c>
      <c r="P164" s="121">
        <v>0</v>
      </c>
      <c r="Q164" s="121">
        <v>0</v>
      </c>
      <c r="R164" s="121">
        <v>0</v>
      </c>
      <c r="S164" s="121">
        <v>0</v>
      </c>
      <c r="T164" s="121">
        <v>0</v>
      </c>
      <c r="U164" s="121">
        <v>0</v>
      </c>
      <c r="V164" s="121">
        <v>0</v>
      </c>
      <c r="W164" s="121">
        <v>0</v>
      </c>
      <c r="X164" s="121">
        <v>0</v>
      </c>
      <c r="Y164" s="121">
        <v>0</v>
      </c>
      <c r="Z164" s="121">
        <v>0</v>
      </c>
      <c r="AA164" s="121">
        <v>0</v>
      </c>
      <c r="AB164" s="121">
        <v>0</v>
      </c>
      <c r="AC164" s="121">
        <v>0</v>
      </c>
      <c r="AD164" s="121">
        <v>0</v>
      </c>
      <c r="AE164" s="121">
        <v>0</v>
      </c>
      <c r="AF164" s="121">
        <v>0</v>
      </c>
      <c r="AG164" s="121">
        <v>0</v>
      </c>
      <c r="AH164" s="121">
        <v>0</v>
      </c>
      <c r="AI164" s="121">
        <v>0</v>
      </c>
      <c r="AJ164" s="121">
        <v>0</v>
      </c>
      <c r="AK164" s="121">
        <v>0</v>
      </c>
      <c r="AL164" s="121">
        <v>0</v>
      </c>
      <c r="AM164" s="121">
        <v>0</v>
      </c>
      <c r="AN164" s="121">
        <v>0</v>
      </c>
      <c r="AO164" s="121">
        <v>0</v>
      </c>
      <c r="AP164" s="121">
        <v>0</v>
      </c>
      <c r="AQ164" s="121">
        <v>0</v>
      </c>
      <c r="AR164" s="121">
        <v>0</v>
      </c>
      <c r="AS164" s="121">
        <v>0</v>
      </c>
      <c r="AT164" s="121">
        <v>0</v>
      </c>
      <c r="AU164" s="121">
        <v>0</v>
      </c>
      <c r="AV164" s="121">
        <v>0</v>
      </c>
      <c r="AW164" s="121">
        <v>0</v>
      </c>
      <c r="AX164" s="121">
        <v>0</v>
      </c>
      <c r="AY164" s="121">
        <v>0</v>
      </c>
    </row>
    <row r="165" spans="1:52" x14ac:dyDescent="0.2">
      <c r="A165" s="124"/>
      <c r="B165" s="144">
        <v>44</v>
      </c>
      <c r="C165" s="121">
        <v>0</v>
      </c>
      <c r="D165" s="121">
        <v>0</v>
      </c>
      <c r="E165" s="121">
        <v>0</v>
      </c>
      <c r="F165" s="121">
        <v>0</v>
      </c>
      <c r="G165" s="121">
        <v>0</v>
      </c>
      <c r="H165" s="121">
        <v>0</v>
      </c>
      <c r="I165" s="121">
        <v>0</v>
      </c>
      <c r="J165" s="121">
        <v>0</v>
      </c>
      <c r="K165" s="121">
        <v>0</v>
      </c>
      <c r="L165" s="121">
        <v>0</v>
      </c>
      <c r="M165" s="121">
        <v>0</v>
      </c>
      <c r="N165" s="121">
        <v>0</v>
      </c>
      <c r="O165" s="121">
        <v>0</v>
      </c>
      <c r="P165" s="121">
        <v>0</v>
      </c>
      <c r="Q165" s="121">
        <v>0</v>
      </c>
      <c r="R165" s="121">
        <v>0</v>
      </c>
      <c r="S165" s="121">
        <v>0</v>
      </c>
      <c r="T165" s="121">
        <v>0</v>
      </c>
      <c r="U165" s="121">
        <v>0</v>
      </c>
      <c r="V165" s="121">
        <v>0</v>
      </c>
      <c r="W165" s="121">
        <v>0</v>
      </c>
      <c r="X165" s="121">
        <v>0</v>
      </c>
      <c r="Y165" s="121">
        <v>0</v>
      </c>
      <c r="Z165" s="121">
        <v>0</v>
      </c>
      <c r="AA165" s="121">
        <v>0</v>
      </c>
      <c r="AB165" s="121">
        <v>0</v>
      </c>
      <c r="AC165" s="121">
        <v>0</v>
      </c>
      <c r="AD165" s="121">
        <v>0</v>
      </c>
      <c r="AE165" s="121">
        <v>0</v>
      </c>
      <c r="AF165" s="121">
        <v>0</v>
      </c>
      <c r="AG165" s="121">
        <v>0</v>
      </c>
      <c r="AH165" s="121">
        <v>0</v>
      </c>
      <c r="AI165" s="121">
        <v>0</v>
      </c>
      <c r="AJ165" s="121">
        <v>0</v>
      </c>
      <c r="AK165" s="121">
        <v>0</v>
      </c>
      <c r="AL165" s="121">
        <v>0</v>
      </c>
      <c r="AM165" s="121">
        <v>0</v>
      </c>
      <c r="AN165" s="121">
        <v>0</v>
      </c>
      <c r="AO165" s="121">
        <v>0</v>
      </c>
      <c r="AP165" s="121">
        <v>0</v>
      </c>
      <c r="AQ165" s="121">
        <v>0</v>
      </c>
      <c r="AR165" s="121">
        <v>0</v>
      </c>
      <c r="AS165" s="121">
        <v>0</v>
      </c>
      <c r="AT165" s="121">
        <v>0</v>
      </c>
      <c r="AU165" s="121">
        <v>0</v>
      </c>
      <c r="AV165" s="121">
        <v>0</v>
      </c>
      <c r="AW165" s="121">
        <v>0</v>
      </c>
      <c r="AX165" s="121">
        <v>0</v>
      </c>
      <c r="AY165" s="121">
        <v>0</v>
      </c>
    </row>
    <row r="166" spans="1:52" x14ac:dyDescent="0.2">
      <c r="A166" s="124"/>
      <c r="B166" s="144">
        <v>45</v>
      </c>
      <c r="C166" s="121">
        <v>0</v>
      </c>
      <c r="D166" s="121">
        <v>0</v>
      </c>
      <c r="E166" s="121">
        <v>0</v>
      </c>
      <c r="F166" s="121">
        <v>0</v>
      </c>
      <c r="G166" s="121">
        <v>0</v>
      </c>
      <c r="H166" s="121">
        <v>0</v>
      </c>
      <c r="I166" s="121">
        <v>0</v>
      </c>
      <c r="J166" s="121">
        <v>0</v>
      </c>
      <c r="K166" s="121">
        <v>0</v>
      </c>
      <c r="L166" s="121">
        <v>0</v>
      </c>
      <c r="M166" s="121">
        <v>0</v>
      </c>
      <c r="N166" s="121">
        <v>0</v>
      </c>
      <c r="O166" s="121">
        <v>0</v>
      </c>
      <c r="P166" s="121">
        <v>0</v>
      </c>
      <c r="Q166" s="121">
        <v>0</v>
      </c>
      <c r="R166" s="121">
        <v>0</v>
      </c>
      <c r="S166" s="121">
        <v>0</v>
      </c>
      <c r="T166" s="121">
        <v>0</v>
      </c>
      <c r="U166" s="121">
        <v>0</v>
      </c>
      <c r="V166" s="121">
        <v>0</v>
      </c>
      <c r="W166" s="121">
        <v>0</v>
      </c>
      <c r="X166" s="121">
        <v>0</v>
      </c>
      <c r="Y166" s="121">
        <v>0</v>
      </c>
      <c r="Z166" s="121">
        <v>0</v>
      </c>
      <c r="AA166" s="121">
        <v>0</v>
      </c>
      <c r="AB166" s="121">
        <v>0</v>
      </c>
      <c r="AC166" s="121">
        <v>0</v>
      </c>
      <c r="AD166" s="121">
        <v>0</v>
      </c>
      <c r="AE166" s="121">
        <v>0</v>
      </c>
      <c r="AF166" s="121">
        <v>0</v>
      </c>
      <c r="AG166" s="121">
        <v>0</v>
      </c>
      <c r="AH166" s="121">
        <v>0</v>
      </c>
      <c r="AI166" s="121">
        <v>0</v>
      </c>
      <c r="AJ166" s="121">
        <v>0</v>
      </c>
      <c r="AK166" s="121">
        <v>0</v>
      </c>
      <c r="AL166" s="121">
        <v>0</v>
      </c>
      <c r="AM166" s="121">
        <v>0</v>
      </c>
      <c r="AN166" s="121">
        <v>0</v>
      </c>
      <c r="AO166" s="121">
        <v>0</v>
      </c>
      <c r="AP166" s="121">
        <v>0</v>
      </c>
      <c r="AQ166" s="121">
        <v>0</v>
      </c>
      <c r="AR166" s="121">
        <v>0</v>
      </c>
      <c r="AS166" s="121">
        <v>0</v>
      </c>
      <c r="AT166" s="121">
        <v>0</v>
      </c>
      <c r="AU166" s="121">
        <v>0</v>
      </c>
      <c r="AV166" s="121">
        <v>0</v>
      </c>
      <c r="AW166" s="121">
        <v>0</v>
      </c>
      <c r="AX166" s="121">
        <v>0</v>
      </c>
      <c r="AY166" s="121">
        <v>0</v>
      </c>
    </row>
    <row r="167" spans="1:52" x14ac:dyDescent="0.2">
      <c r="A167" s="124"/>
      <c r="B167" s="144">
        <v>46</v>
      </c>
      <c r="C167" s="121">
        <v>0</v>
      </c>
      <c r="D167" s="121">
        <v>0</v>
      </c>
      <c r="E167" s="121">
        <v>0</v>
      </c>
      <c r="F167" s="121">
        <v>0</v>
      </c>
      <c r="G167" s="121">
        <v>0</v>
      </c>
      <c r="H167" s="121">
        <v>0</v>
      </c>
      <c r="I167" s="121">
        <v>0</v>
      </c>
      <c r="J167" s="121">
        <v>0</v>
      </c>
      <c r="K167" s="121">
        <v>0</v>
      </c>
      <c r="L167" s="121">
        <v>0</v>
      </c>
      <c r="M167" s="121">
        <v>0</v>
      </c>
      <c r="N167" s="121">
        <v>0</v>
      </c>
      <c r="O167" s="121">
        <v>0</v>
      </c>
      <c r="P167" s="121">
        <v>0</v>
      </c>
      <c r="Q167" s="121">
        <v>0</v>
      </c>
      <c r="R167" s="121">
        <v>0</v>
      </c>
      <c r="S167" s="121">
        <v>0</v>
      </c>
      <c r="T167" s="121">
        <v>0</v>
      </c>
      <c r="U167" s="121">
        <v>0</v>
      </c>
      <c r="V167" s="121">
        <v>0</v>
      </c>
      <c r="W167" s="121">
        <v>0</v>
      </c>
      <c r="X167" s="121">
        <v>0</v>
      </c>
      <c r="Y167" s="121">
        <v>0</v>
      </c>
      <c r="Z167" s="121">
        <v>0</v>
      </c>
      <c r="AA167" s="121">
        <v>0</v>
      </c>
      <c r="AB167" s="121">
        <v>0</v>
      </c>
      <c r="AC167" s="121">
        <v>0</v>
      </c>
      <c r="AD167" s="121">
        <v>0</v>
      </c>
      <c r="AE167" s="121">
        <v>0</v>
      </c>
      <c r="AF167" s="121">
        <v>0</v>
      </c>
      <c r="AG167" s="121">
        <v>0</v>
      </c>
      <c r="AH167" s="121">
        <v>0</v>
      </c>
      <c r="AI167" s="121">
        <v>0</v>
      </c>
      <c r="AJ167" s="121">
        <v>0</v>
      </c>
      <c r="AK167" s="121">
        <v>0</v>
      </c>
      <c r="AL167" s="121">
        <v>0</v>
      </c>
      <c r="AM167" s="121">
        <v>0</v>
      </c>
      <c r="AN167" s="121">
        <v>0</v>
      </c>
      <c r="AO167" s="121">
        <v>0</v>
      </c>
      <c r="AP167" s="121">
        <v>0</v>
      </c>
      <c r="AQ167" s="121">
        <v>0</v>
      </c>
      <c r="AR167" s="121">
        <v>0</v>
      </c>
      <c r="AS167" s="121">
        <v>0</v>
      </c>
      <c r="AT167" s="121">
        <v>0</v>
      </c>
      <c r="AU167" s="121">
        <v>0</v>
      </c>
      <c r="AV167" s="121">
        <v>0</v>
      </c>
      <c r="AW167" s="121">
        <v>0</v>
      </c>
      <c r="AX167" s="121">
        <v>0</v>
      </c>
      <c r="AY167" s="121">
        <v>0</v>
      </c>
    </row>
    <row r="168" spans="1:52" x14ac:dyDescent="0.2">
      <c r="A168" s="124"/>
      <c r="B168" s="144">
        <v>47</v>
      </c>
      <c r="C168" s="121">
        <v>0</v>
      </c>
      <c r="D168" s="121">
        <v>0</v>
      </c>
      <c r="E168" s="121">
        <v>0</v>
      </c>
      <c r="F168" s="121">
        <v>0</v>
      </c>
      <c r="G168" s="121">
        <v>0</v>
      </c>
      <c r="H168" s="121">
        <v>0</v>
      </c>
      <c r="I168" s="121">
        <v>0</v>
      </c>
      <c r="J168" s="121">
        <v>0</v>
      </c>
      <c r="K168" s="121">
        <v>0</v>
      </c>
      <c r="L168" s="121">
        <v>0</v>
      </c>
      <c r="M168" s="121">
        <v>0</v>
      </c>
      <c r="N168" s="121">
        <v>0</v>
      </c>
      <c r="O168" s="121">
        <v>0</v>
      </c>
      <c r="P168" s="121">
        <v>0</v>
      </c>
      <c r="Q168" s="121">
        <v>0</v>
      </c>
      <c r="R168" s="121">
        <v>0</v>
      </c>
      <c r="S168" s="121">
        <v>0</v>
      </c>
      <c r="T168" s="121">
        <v>0</v>
      </c>
      <c r="U168" s="121">
        <v>0</v>
      </c>
      <c r="V168" s="121">
        <v>0</v>
      </c>
      <c r="W168" s="121">
        <v>0</v>
      </c>
      <c r="X168" s="121">
        <v>0</v>
      </c>
      <c r="Y168" s="121">
        <v>0</v>
      </c>
      <c r="Z168" s="121">
        <v>0</v>
      </c>
      <c r="AA168" s="121">
        <v>0</v>
      </c>
      <c r="AB168" s="121">
        <v>0</v>
      </c>
      <c r="AC168" s="121">
        <v>0</v>
      </c>
      <c r="AD168" s="121">
        <v>0</v>
      </c>
      <c r="AE168" s="121">
        <v>0</v>
      </c>
      <c r="AF168" s="121">
        <v>0</v>
      </c>
      <c r="AG168" s="121">
        <v>0</v>
      </c>
      <c r="AH168" s="121">
        <v>0</v>
      </c>
      <c r="AI168" s="121">
        <v>0</v>
      </c>
      <c r="AJ168" s="121">
        <v>0</v>
      </c>
      <c r="AK168" s="121">
        <v>0</v>
      </c>
      <c r="AL168" s="121">
        <v>0</v>
      </c>
      <c r="AM168" s="121">
        <v>0</v>
      </c>
      <c r="AN168" s="121">
        <v>0</v>
      </c>
      <c r="AO168" s="121">
        <v>0</v>
      </c>
      <c r="AP168" s="121">
        <v>0</v>
      </c>
      <c r="AQ168" s="121">
        <v>0</v>
      </c>
      <c r="AR168" s="121">
        <v>0</v>
      </c>
      <c r="AS168" s="121">
        <v>0</v>
      </c>
      <c r="AT168" s="121">
        <v>0</v>
      </c>
      <c r="AU168" s="121">
        <v>0</v>
      </c>
      <c r="AV168" s="121">
        <v>0</v>
      </c>
      <c r="AW168" s="121">
        <v>0</v>
      </c>
      <c r="AX168" s="121">
        <v>0</v>
      </c>
      <c r="AY168" s="121">
        <v>0</v>
      </c>
    </row>
    <row r="169" spans="1:52" x14ac:dyDescent="0.2">
      <c r="A169" s="124"/>
      <c r="B169" s="144">
        <v>48</v>
      </c>
      <c r="C169" s="121">
        <v>0</v>
      </c>
      <c r="D169" s="121">
        <v>0</v>
      </c>
      <c r="E169" s="121">
        <v>0</v>
      </c>
      <c r="F169" s="121">
        <v>0</v>
      </c>
      <c r="G169" s="121">
        <v>0</v>
      </c>
      <c r="H169" s="121">
        <v>0</v>
      </c>
      <c r="I169" s="121">
        <v>0</v>
      </c>
      <c r="J169" s="121">
        <v>0</v>
      </c>
      <c r="K169" s="121">
        <v>0</v>
      </c>
      <c r="L169" s="121">
        <v>0</v>
      </c>
      <c r="M169" s="121">
        <v>0</v>
      </c>
      <c r="N169" s="121">
        <v>0</v>
      </c>
      <c r="O169" s="121">
        <v>0</v>
      </c>
      <c r="P169" s="121">
        <v>0</v>
      </c>
      <c r="Q169" s="121">
        <v>0</v>
      </c>
      <c r="R169" s="121">
        <v>0</v>
      </c>
      <c r="S169" s="121">
        <v>0</v>
      </c>
      <c r="T169" s="121">
        <v>0</v>
      </c>
      <c r="U169" s="121">
        <v>0</v>
      </c>
      <c r="V169" s="121">
        <v>0</v>
      </c>
      <c r="W169" s="121">
        <v>0</v>
      </c>
      <c r="X169" s="121">
        <v>0</v>
      </c>
      <c r="Y169" s="121">
        <v>0</v>
      </c>
      <c r="Z169" s="121">
        <v>0</v>
      </c>
      <c r="AA169" s="121">
        <v>0</v>
      </c>
      <c r="AB169" s="121">
        <v>0</v>
      </c>
      <c r="AC169" s="121">
        <v>0</v>
      </c>
      <c r="AD169" s="121">
        <v>0</v>
      </c>
      <c r="AE169" s="121">
        <v>0</v>
      </c>
      <c r="AF169" s="121">
        <v>0</v>
      </c>
      <c r="AG169" s="121">
        <v>0</v>
      </c>
      <c r="AH169" s="121">
        <v>0</v>
      </c>
      <c r="AI169" s="121">
        <v>0</v>
      </c>
      <c r="AJ169" s="121">
        <v>0</v>
      </c>
      <c r="AK169" s="121">
        <v>0</v>
      </c>
      <c r="AL169" s="121">
        <v>0</v>
      </c>
      <c r="AM169" s="121">
        <v>0</v>
      </c>
      <c r="AN169" s="121">
        <v>0</v>
      </c>
      <c r="AO169" s="121">
        <v>0</v>
      </c>
      <c r="AP169" s="121">
        <v>0</v>
      </c>
      <c r="AQ169" s="121">
        <v>0</v>
      </c>
      <c r="AR169" s="121">
        <v>0</v>
      </c>
      <c r="AS169" s="121">
        <v>0</v>
      </c>
      <c r="AT169" s="121">
        <v>0</v>
      </c>
      <c r="AU169" s="121">
        <v>0</v>
      </c>
      <c r="AV169" s="121">
        <v>0</v>
      </c>
      <c r="AW169" s="121">
        <v>0</v>
      </c>
      <c r="AX169" s="121">
        <v>0</v>
      </c>
      <c r="AY169" s="121">
        <v>0</v>
      </c>
    </row>
    <row r="170" spans="1:52" x14ac:dyDescent="0.2">
      <c r="A170" s="142"/>
      <c r="B170" s="146" t="s">
        <v>296</v>
      </c>
      <c r="C170" s="128">
        <v>0</v>
      </c>
      <c r="D170" s="139">
        <v>0</v>
      </c>
      <c r="E170" s="139">
        <v>0</v>
      </c>
      <c r="F170" s="139">
        <v>0</v>
      </c>
      <c r="G170" s="139">
        <v>0</v>
      </c>
      <c r="H170" s="139">
        <v>0</v>
      </c>
      <c r="I170" s="139">
        <v>0</v>
      </c>
      <c r="J170" s="139">
        <v>0</v>
      </c>
      <c r="K170" s="139">
        <v>0</v>
      </c>
      <c r="L170" s="139">
        <v>0</v>
      </c>
      <c r="M170" s="139">
        <v>0</v>
      </c>
      <c r="N170" s="139">
        <v>0</v>
      </c>
      <c r="O170" s="139">
        <v>0</v>
      </c>
      <c r="P170" s="139">
        <v>0</v>
      </c>
      <c r="Q170" s="139">
        <v>0</v>
      </c>
      <c r="R170" s="139">
        <v>0</v>
      </c>
      <c r="S170" s="139">
        <v>0</v>
      </c>
      <c r="T170" s="139">
        <v>0</v>
      </c>
      <c r="U170" s="139">
        <v>0</v>
      </c>
      <c r="V170" s="139">
        <v>0</v>
      </c>
      <c r="W170" s="139">
        <v>0</v>
      </c>
      <c r="X170" s="139">
        <v>0</v>
      </c>
      <c r="Y170" s="139">
        <v>0</v>
      </c>
      <c r="Z170" s="139">
        <v>0</v>
      </c>
      <c r="AA170" s="139">
        <v>0</v>
      </c>
      <c r="AB170" s="139">
        <v>0</v>
      </c>
      <c r="AC170" s="139">
        <v>0</v>
      </c>
      <c r="AD170" s="139">
        <v>0</v>
      </c>
      <c r="AE170" s="139">
        <v>0</v>
      </c>
      <c r="AF170" s="139">
        <v>0</v>
      </c>
      <c r="AG170" s="139">
        <v>0</v>
      </c>
      <c r="AH170" s="139">
        <v>0</v>
      </c>
      <c r="AI170" s="139">
        <v>0</v>
      </c>
      <c r="AJ170" s="139">
        <v>0</v>
      </c>
      <c r="AK170" s="139">
        <v>0</v>
      </c>
      <c r="AL170" s="139">
        <v>0</v>
      </c>
      <c r="AM170" s="139">
        <v>0</v>
      </c>
      <c r="AN170" s="139">
        <v>0</v>
      </c>
      <c r="AO170" s="139">
        <v>0</v>
      </c>
      <c r="AP170" s="139">
        <v>0</v>
      </c>
      <c r="AQ170" s="139">
        <v>0</v>
      </c>
      <c r="AR170" s="139">
        <v>0</v>
      </c>
      <c r="AS170" s="139">
        <v>0</v>
      </c>
      <c r="AT170" s="139">
        <v>0</v>
      </c>
      <c r="AU170" s="139">
        <v>0</v>
      </c>
      <c r="AV170" s="139">
        <v>0</v>
      </c>
      <c r="AW170" s="139">
        <v>0</v>
      </c>
      <c r="AX170" s="139">
        <v>0</v>
      </c>
      <c r="AY170" s="139">
        <v>0</v>
      </c>
      <c r="AZ170" s="122">
        <f>SUM($D170:$AY170)</f>
        <v>0</v>
      </c>
    </row>
    <row r="172" spans="1:52" x14ac:dyDescent="0.2">
      <c r="A172" s="1" t="s">
        <v>124</v>
      </c>
      <c r="B172" s="147" t="s">
        <v>297</v>
      </c>
      <c r="C172" s="148">
        <v>0.40615531769122598</v>
      </c>
      <c r="D172" s="148">
        <v>0.45857219391613702</v>
      </c>
      <c r="E172" s="148">
        <v>0.45857219391613702</v>
      </c>
      <c r="F172" s="148">
        <v>0.45857219391613702</v>
      </c>
      <c r="G172" s="148">
        <v>0.45857219391613702</v>
      </c>
      <c r="H172" s="148">
        <v>0.45857219391613702</v>
      </c>
      <c r="I172" s="148">
        <v>0.45857219391613702</v>
      </c>
      <c r="J172" s="148">
        <v>0.45857219391613702</v>
      </c>
      <c r="K172" s="148">
        <v>0.45857219391613702</v>
      </c>
      <c r="L172" s="148">
        <v>0.45857219391613702</v>
      </c>
      <c r="M172" s="148">
        <v>0.45857219391613702</v>
      </c>
      <c r="N172" s="148">
        <v>0.45857219391613702</v>
      </c>
      <c r="O172" s="148">
        <v>0.45857219391613702</v>
      </c>
      <c r="P172" s="148">
        <v>0.45857219391613702</v>
      </c>
      <c r="Q172" s="148">
        <v>0.45857219391613702</v>
      </c>
      <c r="R172" s="148">
        <v>0.45857219391613702</v>
      </c>
      <c r="S172" s="148">
        <v>0.45857219391613702</v>
      </c>
      <c r="T172" s="148">
        <v>0.45857219391613702</v>
      </c>
      <c r="U172" s="148">
        <v>0.45857219391613702</v>
      </c>
      <c r="V172" s="148">
        <v>0.45857219391613702</v>
      </c>
      <c r="W172" s="148">
        <v>0.45857219391613702</v>
      </c>
      <c r="X172" s="148">
        <v>0.45857219391613702</v>
      </c>
      <c r="Y172" s="148">
        <v>0.45857219391613702</v>
      </c>
      <c r="Z172" s="148">
        <v>0.45857219391613702</v>
      </c>
      <c r="AA172" s="148">
        <v>0.45857219391613702</v>
      </c>
      <c r="AB172" s="148">
        <v>0.45857219391613702</v>
      </c>
      <c r="AC172" s="148">
        <v>0.45857219391613702</v>
      </c>
      <c r="AD172" s="148">
        <v>0.45857219391613702</v>
      </c>
      <c r="AE172" s="148">
        <v>0.45857219391613702</v>
      </c>
      <c r="AF172" s="148">
        <v>0.45857219391613702</v>
      </c>
      <c r="AG172" s="148">
        <v>0.45857219391613702</v>
      </c>
      <c r="AH172" s="148">
        <v>0.45857219391613702</v>
      </c>
      <c r="AI172" s="148">
        <v>0.45857219391613702</v>
      </c>
      <c r="AJ172" s="148">
        <v>0.45857219391613702</v>
      </c>
      <c r="AK172" s="148">
        <v>0.45857219391613702</v>
      </c>
      <c r="AL172" s="148">
        <v>0.45857219391613702</v>
      </c>
      <c r="AM172" s="148">
        <v>0.45857219391613702</v>
      </c>
      <c r="AN172" s="148">
        <v>0.45857219391613702</v>
      </c>
      <c r="AO172" s="148">
        <v>0.45857219391613702</v>
      </c>
      <c r="AP172" s="148">
        <v>0.45857219391613702</v>
      </c>
      <c r="AQ172" s="148">
        <v>0.45857219391613702</v>
      </c>
      <c r="AR172" s="148">
        <v>0.45857219391613702</v>
      </c>
      <c r="AS172" s="148">
        <v>0.45857219391613702</v>
      </c>
      <c r="AT172" s="148">
        <v>0.45857219391613702</v>
      </c>
      <c r="AU172" s="148">
        <v>0.45857219391613702</v>
      </c>
      <c r="AV172" s="148">
        <v>0.45857219391613702</v>
      </c>
      <c r="AW172" s="148">
        <v>0.45857219391613702</v>
      </c>
      <c r="AX172" s="148">
        <v>0.45857219391613702</v>
      </c>
      <c r="AY172" s="148">
        <v>0.45857219391613702</v>
      </c>
    </row>
    <row r="174" spans="1:52" x14ac:dyDescent="0.2">
      <c r="A174" s="1" t="s">
        <v>272</v>
      </c>
    </row>
    <row r="175" spans="1:52" x14ac:dyDescent="0.2">
      <c r="A175" s="149" t="s">
        <v>125</v>
      </c>
      <c r="B175" s="149" t="s">
        <v>298</v>
      </c>
      <c r="C175" s="138" t="s">
        <v>293</v>
      </c>
      <c r="D175" s="138">
        <f t="shared" ref="D175:AY175" si="1">SUM(D95:D98)</f>
        <v>0</v>
      </c>
      <c r="E175" s="138">
        <f t="shared" si="1"/>
        <v>1580.6264113050311</v>
      </c>
      <c r="F175" s="138">
        <f t="shared" si="1"/>
        <v>1047.2532714476702</v>
      </c>
      <c r="G175" s="138">
        <f t="shared" si="1"/>
        <v>2826.5046572887641</v>
      </c>
      <c r="H175" s="138">
        <f t="shared" si="1"/>
        <v>2733.0717066859097</v>
      </c>
      <c r="I175" s="138">
        <f t="shared" si="1"/>
        <v>3351.2564446830152</v>
      </c>
      <c r="J175" s="138">
        <f t="shared" si="1"/>
        <v>4589.7148485906873</v>
      </c>
      <c r="K175" s="138">
        <f t="shared" si="1"/>
        <v>6230.9545460425816</v>
      </c>
      <c r="L175" s="138">
        <f t="shared" si="1"/>
        <v>7834.8703955482824</v>
      </c>
      <c r="M175" s="138">
        <f t="shared" si="1"/>
        <v>9414.4493755443254</v>
      </c>
      <c r="N175" s="138">
        <f t="shared" si="1"/>
        <v>11142.089259489057</v>
      </c>
      <c r="O175" s="138">
        <f t="shared" si="1"/>
        <v>11551.812372938235</v>
      </c>
      <c r="P175" s="138">
        <f t="shared" si="1"/>
        <v>12600.148947614576</v>
      </c>
      <c r="Q175" s="138">
        <f t="shared" si="1"/>
        <v>12203.359101560764</v>
      </c>
      <c r="R175" s="138">
        <f t="shared" si="1"/>
        <v>12820.581825780253</v>
      </c>
      <c r="S175" s="138">
        <f t="shared" si="1"/>
        <v>12200.977569712035</v>
      </c>
      <c r="T175" s="138">
        <f t="shared" si="1"/>
        <v>13119.463625025568</v>
      </c>
      <c r="U175" s="138">
        <f t="shared" si="1"/>
        <v>14338.658541248888</v>
      </c>
      <c r="V175" s="138">
        <f t="shared" si="1"/>
        <v>13212.699871923927</v>
      </c>
      <c r="W175" s="138">
        <f t="shared" si="1"/>
        <v>14470.478019477594</v>
      </c>
      <c r="X175" s="138">
        <f t="shared" si="1"/>
        <v>13472.218342707534</v>
      </c>
      <c r="Y175" s="138">
        <f t="shared" si="1"/>
        <v>12781.700418781616</v>
      </c>
      <c r="Z175" s="138">
        <f t="shared" si="1"/>
        <v>13650.995935778354</v>
      </c>
      <c r="AA175" s="138">
        <f t="shared" si="1"/>
        <v>14917.398605846547</v>
      </c>
      <c r="AB175" s="138">
        <f t="shared" si="1"/>
        <v>13544.850351913934</v>
      </c>
      <c r="AC175" s="138">
        <f t="shared" si="1"/>
        <v>13368.965218955651</v>
      </c>
      <c r="AD175" s="138">
        <f t="shared" si="1"/>
        <v>13356.467165499967</v>
      </c>
      <c r="AE175" s="138">
        <f t="shared" si="1"/>
        <v>12677.139624478632</v>
      </c>
      <c r="AF175" s="138">
        <f t="shared" si="1"/>
        <v>12635.621715010389</v>
      </c>
      <c r="AG175" s="138">
        <f t="shared" si="1"/>
        <v>14907.183809414926</v>
      </c>
      <c r="AH175" s="138">
        <f t="shared" si="1"/>
        <v>12873.249075539652</v>
      </c>
      <c r="AI175" s="138">
        <f t="shared" si="1"/>
        <v>13129.040808491634</v>
      </c>
      <c r="AJ175" s="138">
        <f t="shared" si="1"/>
        <v>13850.581994015043</v>
      </c>
      <c r="AK175" s="138">
        <f t="shared" si="1"/>
        <v>14041.103609665706</v>
      </c>
      <c r="AL175" s="138">
        <f t="shared" si="1"/>
        <v>13876.584477358585</v>
      </c>
      <c r="AM175" s="138">
        <f t="shared" si="1"/>
        <v>15162.353006406287</v>
      </c>
      <c r="AN175" s="138">
        <f t="shared" si="1"/>
        <v>14071.917211495322</v>
      </c>
      <c r="AO175" s="138">
        <f t="shared" si="1"/>
        <v>13430.192438892975</v>
      </c>
      <c r="AP175" s="138">
        <f t="shared" si="1"/>
        <v>13222.466603368754</v>
      </c>
      <c r="AQ175" s="138">
        <f t="shared" si="1"/>
        <v>15514.380012823391</v>
      </c>
      <c r="AR175" s="138">
        <f t="shared" si="1"/>
        <v>13601.536476769519</v>
      </c>
      <c r="AS175" s="138">
        <f t="shared" si="1"/>
        <v>13881.694107814674</v>
      </c>
      <c r="AT175" s="138">
        <f t="shared" si="1"/>
        <v>14565.795471538451</v>
      </c>
      <c r="AU175" s="138">
        <f t="shared" si="1"/>
        <v>13898.316539527874</v>
      </c>
      <c r="AV175" s="138">
        <f t="shared" si="1"/>
        <v>14688.75128552326</v>
      </c>
      <c r="AW175" s="138">
        <f t="shared" si="1"/>
        <v>14891.373579377821</v>
      </c>
      <c r="AX175" s="138">
        <f t="shared" si="1"/>
        <v>14399.16184061441</v>
      </c>
      <c r="AY175" s="138">
        <f t="shared" si="1"/>
        <v>16951.050090742327</v>
      </c>
    </row>
    <row r="176" spans="1:52" x14ac:dyDescent="0.2">
      <c r="A176" s="139"/>
      <c r="B176" s="150" t="s">
        <v>299</v>
      </c>
      <c r="C176" s="139" t="s">
        <v>293</v>
      </c>
      <c r="D176" s="139">
        <v>0</v>
      </c>
      <c r="E176" s="139">
        <v>1091</v>
      </c>
      <c r="F176" s="139">
        <v>1047.2532714476702</v>
      </c>
      <c r="G176" s="139">
        <v>1237</v>
      </c>
      <c r="H176" s="139">
        <v>1203</v>
      </c>
      <c r="I176" s="139">
        <v>1129</v>
      </c>
      <c r="J176" s="139">
        <v>1236</v>
      </c>
      <c r="K176" s="139">
        <v>1104</v>
      </c>
      <c r="L176" s="139">
        <v>1346</v>
      </c>
      <c r="M176" s="139">
        <v>1355</v>
      </c>
      <c r="N176" s="139">
        <v>1207</v>
      </c>
      <c r="O176" s="139">
        <v>1088</v>
      </c>
      <c r="P176" s="139">
        <v>1156</v>
      </c>
      <c r="Q176" s="139">
        <v>1153</v>
      </c>
      <c r="R176" s="139">
        <v>1205</v>
      </c>
      <c r="S176" s="139">
        <v>1374</v>
      </c>
      <c r="T176" s="139">
        <v>1172</v>
      </c>
      <c r="U176" s="139">
        <v>1269</v>
      </c>
      <c r="V176" s="139">
        <v>1087</v>
      </c>
      <c r="W176" s="139">
        <v>1289</v>
      </c>
      <c r="X176" s="139">
        <v>1268</v>
      </c>
      <c r="Y176" s="139">
        <v>993</v>
      </c>
      <c r="Z176" s="139">
        <v>1340</v>
      </c>
      <c r="AA176" s="139">
        <v>1235</v>
      </c>
      <c r="AB176" s="139">
        <v>1249</v>
      </c>
      <c r="AC176" s="139">
        <v>975</v>
      </c>
      <c r="AD176" s="139">
        <v>1376</v>
      </c>
      <c r="AE176" s="139">
        <v>1284</v>
      </c>
      <c r="AF176" s="139">
        <v>1290</v>
      </c>
      <c r="AG176" s="139">
        <v>1427</v>
      </c>
      <c r="AH176" s="139">
        <v>1311</v>
      </c>
      <c r="AI176" s="139">
        <v>1256</v>
      </c>
      <c r="AJ176" s="139">
        <v>1246</v>
      </c>
      <c r="AK176" s="139">
        <v>1310</v>
      </c>
      <c r="AL176" s="139">
        <v>1185</v>
      </c>
      <c r="AM176" s="139">
        <v>1288</v>
      </c>
      <c r="AN176" s="139">
        <v>1077</v>
      </c>
      <c r="AO176" s="139">
        <v>1289</v>
      </c>
      <c r="AP176" s="139">
        <v>1000</v>
      </c>
      <c r="AQ176" s="139">
        <v>1432</v>
      </c>
      <c r="AR176" s="139">
        <v>1402</v>
      </c>
      <c r="AS176" s="139">
        <v>1074</v>
      </c>
      <c r="AT176" s="139">
        <v>1141</v>
      </c>
      <c r="AU176" s="139">
        <v>1269</v>
      </c>
      <c r="AV176" s="139">
        <v>1457</v>
      </c>
      <c r="AW176" s="139">
        <v>1405</v>
      </c>
      <c r="AX176" s="139">
        <v>1185</v>
      </c>
      <c r="AY176" s="139">
        <v>1342</v>
      </c>
    </row>
    <row r="177" spans="1:51" x14ac:dyDescent="0.2">
      <c r="A177" s="149" t="s">
        <v>133</v>
      </c>
      <c r="B177" s="149" t="s">
        <v>298</v>
      </c>
      <c r="C177" s="138" t="s">
        <v>293</v>
      </c>
      <c r="D177" s="138">
        <f t="shared" ref="D177:AY177" si="2">SUM(D100:D107)</f>
        <v>2799.2451776676407</v>
      </c>
      <c r="E177" s="138">
        <f t="shared" si="2"/>
        <v>1469.2451776676405</v>
      </c>
      <c r="F177" s="138">
        <f t="shared" si="2"/>
        <v>3382.3170468651397</v>
      </c>
      <c r="G177" s="138">
        <f t="shared" si="2"/>
        <v>3801.5929191370124</v>
      </c>
      <c r="H177" s="138">
        <f t="shared" si="2"/>
        <v>6797.9436777442006</v>
      </c>
      <c r="I177" s="138">
        <f t="shared" si="2"/>
        <v>9085.6451949585753</v>
      </c>
      <c r="J177" s="138">
        <f t="shared" si="2"/>
        <v>10453.484823636541</v>
      </c>
      <c r="K177" s="138">
        <f t="shared" si="2"/>
        <v>11388.324452314509</v>
      </c>
      <c r="L177" s="138">
        <f t="shared" si="2"/>
        <v>12448.164080992477</v>
      </c>
      <c r="M177" s="138">
        <f t="shared" si="2"/>
        <v>13470.003709670444</v>
      </c>
      <c r="N177" s="138">
        <f t="shared" si="2"/>
        <v>13745.61139886616</v>
      </c>
      <c r="O177" s="138">
        <f t="shared" si="2"/>
        <v>15258.180902569253</v>
      </c>
      <c r="P177" s="138">
        <f t="shared" si="2"/>
        <v>14989.384817520026</v>
      </c>
      <c r="Q177" s="138">
        <f t="shared" si="2"/>
        <v>16100.444758283002</v>
      </c>
      <c r="R177" s="138">
        <f t="shared" si="2"/>
        <v>15861.679078736241</v>
      </c>
      <c r="S177" s="138">
        <f t="shared" si="2"/>
        <v>16771.008148667977</v>
      </c>
      <c r="T177" s="138">
        <f t="shared" si="2"/>
        <v>16140.307091060626</v>
      </c>
      <c r="U177" s="138">
        <f t="shared" si="2"/>
        <v>14800.439885596792</v>
      </c>
      <c r="V177" s="138">
        <f t="shared" si="2"/>
        <v>16116.580035436982</v>
      </c>
      <c r="W177" s="138">
        <f t="shared" si="2"/>
        <v>14852.403936719395</v>
      </c>
      <c r="X177" s="138">
        <f t="shared" si="2"/>
        <v>16048.88381682247</v>
      </c>
      <c r="Y177" s="138">
        <f t="shared" si="2"/>
        <v>16866.028152053412</v>
      </c>
      <c r="Z177" s="138">
        <f t="shared" si="2"/>
        <v>16119.359046361686</v>
      </c>
      <c r="AA177" s="138">
        <f t="shared" si="2"/>
        <v>14858.582787598516</v>
      </c>
      <c r="AB177" s="138">
        <f t="shared" si="2"/>
        <v>16158.757452836158</v>
      </c>
      <c r="AC177" s="138">
        <f t="shared" si="2"/>
        <v>16228.268997099462</v>
      </c>
      <c r="AD177" s="138">
        <f t="shared" si="2"/>
        <v>16455.393461860163</v>
      </c>
      <c r="AE177" s="138">
        <f t="shared" si="2"/>
        <v>17092.347414186523</v>
      </c>
      <c r="AF177" s="138">
        <f t="shared" si="2"/>
        <v>16914.491734959789</v>
      </c>
      <c r="AG177" s="138">
        <f t="shared" si="2"/>
        <v>14854.556051860276</v>
      </c>
      <c r="AH177" s="138">
        <f t="shared" si="2"/>
        <v>16902.117197040578</v>
      </c>
      <c r="AI177" s="138">
        <f t="shared" si="2"/>
        <v>16832.951875393603</v>
      </c>
      <c r="AJ177" s="138">
        <f t="shared" si="2"/>
        <v>16368.03710117522</v>
      </c>
      <c r="AK177" s="138">
        <f t="shared" si="2"/>
        <v>16273.141896829582</v>
      </c>
      <c r="AL177" s="138">
        <f t="shared" si="2"/>
        <v>16378.287440441727</v>
      </c>
      <c r="AM177" s="138">
        <f t="shared" si="2"/>
        <v>15125.145322699042</v>
      </c>
      <c r="AN177" s="138">
        <f t="shared" si="2"/>
        <v>16239.207528915034</v>
      </c>
      <c r="AO177" s="138">
        <f t="shared" si="2"/>
        <v>17041.558712822407</v>
      </c>
      <c r="AP177" s="138">
        <f t="shared" si="2"/>
        <v>17130.910959651643</v>
      </c>
      <c r="AQ177" s="138">
        <f t="shared" si="2"/>
        <v>15153.623961502026</v>
      </c>
      <c r="AR177" s="138">
        <f t="shared" si="2"/>
        <v>17188.093908860927</v>
      </c>
      <c r="AS177" s="138">
        <f t="shared" si="2"/>
        <v>17194.562689120794</v>
      </c>
      <c r="AT177" s="138">
        <f t="shared" si="2"/>
        <v>16718.087736702037</v>
      </c>
      <c r="AU177" s="138">
        <f t="shared" si="2"/>
        <v>17371.193080017634</v>
      </c>
      <c r="AV177" s="138">
        <f t="shared" si="2"/>
        <v>16792.384745327272</v>
      </c>
      <c r="AW177" s="138">
        <f t="shared" si="2"/>
        <v>16728.388862777734</v>
      </c>
      <c r="AX177" s="138">
        <f t="shared" si="2"/>
        <v>17556.227012846164</v>
      </c>
      <c r="AY177" s="138">
        <f t="shared" si="2"/>
        <v>15379.965174023269</v>
      </c>
    </row>
    <row r="178" spans="1:51" x14ac:dyDescent="0.2">
      <c r="A178" s="139"/>
      <c r="B178" s="150" t="s">
        <v>299</v>
      </c>
      <c r="C178" s="139" t="s">
        <v>293</v>
      </c>
      <c r="D178" s="139">
        <v>1450</v>
      </c>
      <c r="E178" s="139">
        <v>1265</v>
      </c>
      <c r="F178" s="139">
        <v>1875</v>
      </c>
      <c r="G178" s="139">
        <v>1763</v>
      </c>
      <c r="H178" s="139">
        <v>1631</v>
      </c>
      <c r="I178" s="139">
        <v>1738</v>
      </c>
      <c r="J178" s="139">
        <v>1831</v>
      </c>
      <c r="K178" s="139">
        <v>1876</v>
      </c>
      <c r="L178" s="139">
        <v>1914</v>
      </c>
      <c r="M178" s="139">
        <v>1698</v>
      </c>
      <c r="N178" s="139">
        <v>1828</v>
      </c>
      <c r="O178" s="139">
        <v>1788</v>
      </c>
      <c r="P178" s="139">
        <v>2083</v>
      </c>
      <c r="Q178" s="139">
        <v>1603</v>
      </c>
      <c r="R178" s="139">
        <v>1646</v>
      </c>
      <c r="S178" s="139">
        <v>1456</v>
      </c>
      <c r="T178" s="139">
        <v>1818</v>
      </c>
      <c r="U178" s="139">
        <v>1742</v>
      </c>
      <c r="V178" s="139">
        <v>2023</v>
      </c>
      <c r="W178" s="139">
        <v>1974</v>
      </c>
      <c r="X178" s="139">
        <v>1634</v>
      </c>
      <c r="Y178" s="139">
        <v>1910</v>
      </c>
      <c r="Z178" s="139">
        <v>1780</v>
      </c>
      <c r="AA178" s="139">
        <v>1703</v>
      </c>
      <c r="AB178" s="139">
        <v>1847</v>
      </c>
      <c r="AC178" s="139">
        <v>1792</v>
      </c>
      <c r="AD178" s="139">
        <v>1714</v>
      </c>
      <c r="AE178" s="139">
        <v>1992</v>
      </c>
      <c r="AF178" s="139">
        <v>1880</v>
      </c>
      <c r="AG178" s="139">
        <v>1591</v>
      </c>
      <c r="AH178" s="139">
        <v>1868</v>
      </c>
      <c r="AI178" s="139">
        <v>2063</v>
      </c>
      <c r="AJ178" s="139">
        <v>2211</v>
      </c>
      <c r="AK178" s="139">
        <v>2079</v>
      </c>
      <c r="AL178" s="139">
        <v>1807</v>
      </c>
      <c r="AM178" s="139">
        <v>2278</v>
      </c>
      <c r="AN178" s="139">
        <v>1585</v>
      </c>
      <c r="AO178" s="139">
        <v>1984</v>
      </c>
      <c r="AP178" s="139">
        <v>1647</v>
      </c>
      <c r="AQ178" s="139">
        <v>1882</v>
      </c>
      <c r="AR178" s="139">
        <v>2044</v>
      </c>
      <c r="AS178" s="139">
        <v>1764</v>
      </c>
      <c r="AT178" s="139">
        <v>1999</v>
      </c>
      <c r="AU178" s="139">
        <v>1929</v>
      </c>
      <c r="AV178" s="139">
        <v>1921</v>
      </c>
      <c r="AW178" s="139">
        <v>1932</v>
      </c>
      <c r="AX178" s="139">
        <v>1955</v>
      </c>
      <c r="AY178" s="139">
        <v>2024</v>
      </c>
    </row>
    <row r="179" spans="1:51" x14ac:dyDescent="0.2">
      <c r="A179" s="149" t="s">
        <v>134</v>
      </c>
      <c r="B179" s="149" t="s">
        <v>298</v>
      </c>
      <c r="C179" s="138" t="s">
        <v>293</v>
      </c>
      <c r="D179" s="138">
        <f t="shared" ref="D179:AY179" si="3">SUM(D109:D120)</f>
        <v>31491.222383953096</v>
      </c>
      <c r="E179" s="138">
        <f t="shared" si="3"/>
        <v>34064.17178220443</v>
      </c>
      <c r="F179" s="138">
        <f t="shared" si="3"/>
        <v>34103.640747062294</v>
      </c>
      <c r="G179" s="138">
        <f t="shared" si="3"/>
        <v>32715.085101765613</v>
      </c>
      <c r="H179" s="138">
        <f t="shared" si="3"/>
        <v>30403.70844707861</v>
      </c>
      <c r="I179" s="138">
        <f t="shared" si="3"/>
        <v>27774.099020716047</v>
      </c>
      <c r="J179" s="138">
        <f t="shared" si="3"/>
        <v>25214.384945445883</v>
      </c>
      <c r="K179" s="138">
        <f t="shared" si="3"/>
        <v>22860.527469124045</v>
      </c>
      <c r="L179" s="138">
        <f t="shared" si="3"/>
        <v>20109.089079545833</v>
      </c>
      <c r="M179" s="138">
        <f t="shared" si="3"/>
        <v>17620.196504524429</v>
      </c>
      <c r="N179" s="138">
        <f t="shared" si="3"/>
        <v>15553.873654911831</v>
      </c>
      <c r="O179" s="138">
        <f t="shared" si="3"/>
        <v>13735.43032920111</v>
      </c>
      <c r="P179" s="138">
        <f t="shared" si="3"/>
        <v>12813.116733602559</v>
      </c>
      <c r="Q179" s="138">
        <f t="shared" si="3"/>
        <v>12015.545309359502</v>
      </c>
      <c r="R179" s="138">
        <f t="shared" si="3"/>
        <v>11744.986608593372</v>
      </c>
      <c r="S179" s="138">
        <f t="shared" si="3"/>
        <v>11284.680958351282</v>
      </c>
      <c r="T179" s="138">
        <f t="shared" si="3"/>
        <v>11049.538752644699</v>
      </c>
      <c r="U179" s="138">
        <f t="shared" si="3"/>
        <v>11226.713313263685</v>
      </c>
      <c r="V179" s="138">
        <f t="shared" si="3"/>
        <v>11108.123733579656</v>
      </c>
      <c r="W179" s="138">
        <f t="shared" si="3"/>
        <v>10994.283530543995</v>
      </c>
      <c r="X179" s="138">
        <f t="shared" si="3"/>
        <v>10869.963047175122</v>
      </c>
      <c r="Y179" s="138">
        <f t="shared" si="3"/>
        <v>10801.347999120499</v>
      </c>
      <c r="Z179" s="138">
        <f t="shared" si="3"/>
        <v>10713.130552948076</v>
      </c>
      <c r="AA179" s="138">
        <f t="shared" si="3"/>
        <v>10572.134112144411</v>
      </c>
      <c r="AB179" s="138">
        <f t="shared" si="3"/>
        <v>10486.214602758431</v>
      </c>
      <c r="AC179" s="138">
        <f t="shared" si="3"/>
        <v>10664.883906641218</v>
      </c>
      <c r="AD179" s="138">
        <f t="shared" si="3"/>
        <v>10539.400405799595</v>
      </c>
      <c r="AE179" s="138">
        <f t="shared" si="3"/>
        <v>10629.038444934702</v>
      </c>
      <c r="AF179" s="138">
        <f t="shared" si="3"/>
        <v>10871.002321337239</v>
      </c>
      <c r="AG179" s="138">
        <f t="shared" si="3"/>
        <v>10675.606919944521</v>
      </c>
      <c r="AH179" s="138">
        <f t="shared" si="3"/>
        <v>10714.768428726844</v>
      </c>
      <c r="AI179" s="138">
        <f t="shared" si="3"/>
        <v>10509.722865182446</v>
      </c>
      <c r="AJ179" s="138">
        <f t="shared" si="3"/>
        <v>10199.123812690532</v>
      </c>
      <c r="AK179" s="138">
        <f t="shared" si="3"/>
        <v>10115.275112679139</v>
      </c>
      <c r="AL179" s="138">
        <f t="shared" si="3"/>
        <v>10166.025481760516</v>
      </c>
      <c r="AM179" s="138">
        <f t="shared" si="3"/>
        <v>10244.730219578723</v>
      </c>
      <c r="AN179" s="138">
        <f t="shared" si="3"/>
        <v>10259.381588092285</v>
      </c>
      <c r="AO179" s="138">
        <f t="shared" si="3"/>
        <v>9877.4798311361992</v>
      </c>
      <c r="AP179" s="138">
        <f t="shared" si="3"/>
        <v>10011.048794894876</v>
      </c>
      <c r="AQ179" s="138">
        <f t="shared" si="3"/>
        <v>9750.6495821732133</v>
      </c>
      <c r="AR179" s="138">
        <f t="shared" si="3"/>
        <v>9721.3832840272535</v>
      </c>
      <c r="AS179" s="138">
        <f t="shared" si="3"/>
        <v>9600.7632061595978</v>
      </c>
      <c r="AT179" s="138">
        <f t="shared" si="3"/>
        <v>9352.0172397635961</v>
      </c>
      <c r="AU179" s="138">
        <f t="shared" si="3"/>
        <v>9310.1275579585199</v>
      </c>
      <c r="AV179" s="138">
        <f t="shared" si="3"/>
        <v>8982.0386475435516</v>
      </c>
      <c r="AW179" s="138">
        <f t="shared" si="3"/>
        <v>8940.3562008543886</v>
      </c>
      <c r="AX179" s="138">
        <f t="shared" si="3"/>
        <v>8708.2179476244019</v>
      </c>
      <c r="AY179" s="138">
        <f t="shared" si="3"/>
        <v>8287.6229027016034</v>
      </c>
    </row>
    <row r="180" spans="1:51" x14ac:dyDescent="0.2">
      <c r="A180" s="139"/>
      <c r="B180" s="150" t="s">
        <v>299</v>
      </c>
      <c r="C180" s="139" t="s">
        <v>293</v>
      </c>
      <c r="D180" s="139">
        <v>1421</v>
      </c>
      <c r="E180" s="139">
        <v>1317</v>
      </c>
      <c r="F180" s="139">
        <v>1404</v>
      </c>
      <c r="G180" s="139">
        <v>1412</v>
      </c>
      <c r="H180" s="139">
        <v>1278</v>
      </c>
      <c r="I180" s="139">
        <v>1081</v>
      </c>
      <c r="J180" s="139">
        <v>1223</v>
      </c>
      <c r="K180" s="139">
        <v>964</v>
      </c>
      <c r="L180" s="139">
        <v>1330</v>
      </c>
      <c r="M180" s="139">
        <v>1260</v>
      </c>
      <c r="N180" s="139">
        <v>1289</v>
      </c>
      <c r="O180" s="139">
        <v>1154</v>
      </c>
      <c r="P180" s="139">
        <v>1366</v>
      </c>
      <c r="Q180" s="139">
        <v>1136</v>
      </c>
      <c r="R180" s="139">
        <v>1297</v>
      </c>
      <c r="S180" s="139">
        <v>1357</v>
      </c>
      <c r="T180" s="139">
        <v>992</v>
      </c>
      <c r="U180" s="139">
        <v>1196</v>
      </c>
      <c r="V180" s="139">
        <v>1265</v>
      </c>
      <c r="W180" s="139">
        <v>1343</v>
      </c>
      <c r="X180" s="139">
        <v>1265</v>
      </c>
      <c r="Y180" s="139">
        <v>1258</v>
      </c>
      <c r="Z180" s="139">
        <v>1295</v>
      </c>
      <c r="AA180" s="139">
        <v>1302</v>
      </c>
      <c r="AB180" s="139">
        <v>1110</v>
      </c>
      <c r="AC180" s="139">
        <v>1381</v>
      </c>
      <c r="AD180" s="139">
        <v>1125</v>
      </c>
      <c r="AE180" s="139">
        <v>951</v>
      </c>
      <c r="AF180" s="139">
        <v>1378</v>
      </c>
      <c r="AG180" s="139">
        <v>1136</v>
      </c>
      <c r="AH180" s="139">
        <v>1356</v>
      </c>
      <c r="AI180" s="139">
        <v>1470</v>
      </c>
      <c r="AJ180" s="139">
        <v>1268</v>
      </c>
      <c r="AK180" s="139">
        <v>1128</v>
      </c>
      <c r="AL180" s="139">
        <v>1104</v>
      </c>
      <c r="AM180" s="139">
        <v>1117</v>
      </c>
      <c r="AN180" s="139">
        <v>1496</v>
      </c>
      <c r="AO180" s="139">
        <v>1082</v>
      </c>
      <c r="AP180" s="139">
        <v>1469</v>
      </c>
      <c r="AQ180" s="139">
        <v>1213</v>
      </c>
      <c r="AR180" s="139">
        <v>1262</v>
      </c>
      <c r="AS180" s="139">
        <v>1314</v>
      </c>
      <c r="AT180" s="139">
        <v>1126</v>
      </c>
      <c r="AU180" s="139">
        <v>1438</v>
      </c>
      <c r="AV180" s="139">
        <v>1205</v>
      </c>
      <c r="AW180" s="139">
        <v>1351</v>
      </c>
      <c r="AX180" s="139">
        <v>1492</v>
      </c>
      <c r="AY180" s="139">
        <v>1182</v>
      </c>
    </row>
    <row r="181" spans="1:51" x14ac:dyDescent="0.2">
      <c r="A181" s="149" t="s">
        <v>123</v>
      </c>
      <c r="B181" s="149" t="s">
        <v>298</v>
      </c>
      <c r="C181" s="138" t="s">
        <v>293</v>
      </c>
      <c r="D181" s="138">
        <f t="shared" ref="D181:AY181" si="4">(1-D172)*SUM(D122:D169)</f>
        <v>4715.58304012792</v>
      </c>
      <c r="E181" s="138">
        <f t="shared" si="4"/>
        <v>3186.8205842483526</v>
      </c>
      <c r="F181" s="138">
        <f t="shared" si="4"/>
        <v>2418.4437331136305</v>
      </c>
      <c r="G181" s="138">
        <f t="shared" si="4"/>
        <v>1979.9025797963025</v>
      </c>
      <c r="H181" s="138">
        <f t="shared" si="4"/>
        <v>1659.6257509473835</v>
      </c>
      <c r="I181" s="138">
        <f t="shared" si="4"/>
        <v>1510.0417936319061</v>
      </c>
      <c r="J181" s="138">
        <f t="shared" si="4"/>
        <v>1484.819943823883</v>
      </c>
      <c r="K181" s="138">
        <f t="shared" si="4"/>
        <v>1364.5028552184274</v>
      </c>
      <c r="L181" s="138">
        <f t="shared" si="4"/>
        <v>1411.9768215658214</v>
      </c>
      <c r="M181" s="138">
        <f t="shared" si="4"/>
        <v>1351.0520980379717</v>
      </c>
      <c r="N181" s="138">
        <f t="shared" si="4"/>
        <v>1385.2028065964214</v>
      </c>
      <c r="O181" s="138">
        <f t="shared" si="4"/>
        <v>1328.9759125678593</v>
      </c>
      <c r="P181" s="138">
        <f t="shared" si="4"/>
        <v>1406.2772421017535</v>
      </c>
      <c r="Q181" s="138">
        <f t="shared" si="4"/>
        <v>1451.3788981951589</v>
      </c>
      <c r="R181" s="138">
        <f t="shared" si="4"/>
        <v>1392.9597345737291</v>
      </c>
      <c r="S181" s="138">
        <f t="shared" si="4"/>
        <v>1485.3169425741289</v>
      </c>
      <c r="T181" s="138">
        <f t="shared" si="4"/>
        <v>1456.814671195656</v>
      </c>
      <c r="U181" s="138">
        <f t="shared" si="4"/>
        <v>1426.2227703644546</v>
      </c>
      <c r="V181" s="138">
        <f t="shared" si="4"/>
        <v>1387.4609245640436</v>
      </c>
      <c r="W181" s="138">
        <f t="shared" si="4"/>
        <v>1452.5612045999003</v>
      </c>
      <c r="X181" s="138">
        <f t="shared" si="4"/>
        <v>1412.5498413495025</v>
      </c>
      <c r="Y181" s="138">
        <f t="shared" si="4"/>
        <v>1381.1408762169053</v>
      </c>
      <c r="Z181" s="138">
        <f t="shared" si="4"/>
        <v>1362.5109057155471</v>
      </c>
      <c r="AA181" s="138">
        <f t="shared" si="4"/>
        <v>1435.8040037965047</v>
      </c>
      <c r="AB181" s="138">
        <f t="shared" si="4"/>
        <v>1521.5082886086955</v>
      </c>
      <c r="AC181" s="138">
        <f t="shared" si="4"/>
        <v>1482.3653781452956</v>
      </c>
      <c r="AD181" s="138">
        <f t="shared" si="4"/>
        <v>1434.1009277051674</v>
      </c>
      <c r="AE181" s="138">
        <f t="shared" si="4"/>
        <v>1408.5106399976091</v>
      </c>
      <c r="AF181" s="138">
        <f t="shared" si="4"/>
        <v>1396.2796300853022</v>
      </c>
      <c r="AG181" s="138">
        <f t="shared" si="4"/>
        <v>1387.4917099979571</v>
      </c>
      <c r="AH181" s="138">
        <f t="shared" si="4"/>
        <v>1358.9108622373351</v>
      </c>
      <c r="AI181" s="138">
        <f t="shared" si="4"/>
        <v>1368.8835034242261</v>
      </c>
      <c r="AJ181" s="138">
        <f t="shared" si="4"/>
        <v>1398.1057921305965</v>
      </c>
      <c r="AK181" s="138">
        <f t="shared" si="4"/>
        <v>1391.7290117441971</v>
      </c>
      <c r="AL181" s="138">
        <f t="shared" si="4"/>
        <v>1396.3978626209682</v>
      </c>
      <c r="AM181" s="138">
        <f t="shared" si="4"/>
        <v>1336.1200828023832</v>
      </c>
      <c r="AN181" s="138">
        <f t="shared" si="4"/>
        <v>1315.3954284534454</v>
      </c>
      <c r="AO181" s="138">
        <f t="shared" si="4"/>
        <v>1435.2000533897485</v>
      </c>
      <c r="AP181" s="138">
        <f t="shared" si="4"/>
        <v>1426.9728548063895</v>
      </c>
      <c r="AQ181" s="138">
        <f t="shared" si="4"/>
        <v>1397.6127416473278</v>
      </c>
      <c r="AR181" s="138">
        <f t="shared" si="4"/>
        <v>1347.6064082099595</v>
      </c>
      <c r="AS181" s="138">
        <f t="shared" si="4"/>
        <v>1257.7259633009389</v>
      </c>
      <c r="AT181" s="138">
        <f t="shared" si="4"/>
        <v>1279.9892338009927</v>
      </c>
      <c r="AU181" s="138">
        <f t="shared" si="4"/>
        <v>1310.4517329109394</v>
      </c>
      <c r="AV181" s="138">
        <f t="shared" si="4"/>
        <v>1373.5077682950821</v>
      </c>
      <c r="AW181" s="138">
        <f t="shared" si="4"/>
        <v>1321.0196102200464</v>
      </c>
      <c r="AX181" s="138">
        <f t="shared" si="4"/>
        <v>1264.9882438378199</v>
      </c>
      <c r="AY181" s="138">
        <f t="shared" si="4"/>
        <v>1289.3355124800803</v>
      </c>
    </row>
    <row r="182" spans="1:51" x14ac:dyDescent="0.2">
      <c r="A182" s="139"/>
      <c r="B182" s="150" t="s">
        <v>299</v>
      </c>
      <c r="C182" s="139" t="s">
        <v>293</v>
      </c>
      <c r="D182" s="139">
        <v>706</v>
      </c>
      <c r="E182" s="139">
        <v>673</v>
      </c>
      <c r="F182" s="139">
        <v>638</v>
      </c>
      <c r="G182" s="139">
        <v>791</v>
      </c>
      <c r="H182" s="139">
        <v>747</v>
      </c>
      <c r="I182" s="139">
        <v>644</v>
      </c>
      <c r="J182" s="139">
        <v>841</v>
      </c>
      <c r="K182" s="139">
        <v>633</v>
      </c>
      <c r="L182" s="139">
        <v>793</v>
      </c>
      <c r="M182" s="139">
        <v>669</v>
      </c>
      <c r="N182" s="139">
        <v>807</v>
      </c>
      <c r="O182" s="139">
        <v>608</v>
      </c>
      <c r="P182" s="139">
        <v>602</v>
      </c>
      <c r="Q182" s="139">
        <v>755</v>
      </c>
      <c r="R182" s="139">
        <v>526</v>
      </c>
      <c r="S182" s="139">
        <v>671</v>
      </c>
      <c r="T182" s="139">
        <v>699</v>
      </c>
      <c r="U182" s="139">
        <v>740</v>
      </c>
      <c r="V182" s="139">
        <v>581</v>
      </c>
      <c r="W182" s="139">
        <v>720</v>
      </c>
      <c r="X182" s="139">
        <v>738</v>
      </c>
      <c r="Y182" s="139">
        <v>741</v>
      </c>
      <c r="Z182" s="139">
        <v>587</v>
      </c>
      <c r="AA182" s="139">
        <v>502</v>
      </c>
      <c r="AB182" s="139">
        <v>660</v>
      </c>
      <c r="AC182" s="139">
        <v>710</v>
      </c>
      <c r="AD182" s="139">
        <v>709</v>
      </c>
      <c r="AE182" s="139">
        <v>706</v>
      </c>
      <c r="AF182" s="139">
        <v>710</v>
      </c>
      <c r="AG182" s="139">
        <v>754</v>
      </c>
      <c r="AH182" s="139">
        <v>707</v>
      </c>
      <c r="AI182" s="139">
        <v>663</v>
      </c>
      <c r="AJ182" s="139">
        <v>704</v>
      </c>
      <c r="AK182" s="139">
        <v>689</v>
      </c>
      <c r="AL182" s="139">
        <v>805</v>
      </c>
      <c r="AM182" s="139">
        <v>783</v>
      </c>
      <c r="AN182" s="139">
        <v>541</v>
      </c>
      <c r="AO182" s="139">
        <v>676</v>
      </c>
      <c r="AP182" s="139">
        <v>722</v>
      </c>
      <c r="AQ182" s="139">
        <v>785</v>
      </c>
      <c r="AR182" s="139">
        <v>901</v>
      </c>
      <c r="AS182" s="139">
        <v>770</v>
      </c>
      <c r="AT182" s="139">
        <v>736</v>
      </c>
      <c r="AU182" s="139">
        <v>650</v>
      </c>
      <c r="AV182" s="139">
        <v>810</v>
      </c>
      <c r="AW182" s="139">
        <v>861</v>
      </c>
      <c r="AX182" s="139">
        <v>760</v>
      </c>
      <c r="AY182" s="139">
        <v>590</v>
      </c>
    </row>
    <row r="184" spans="1:51" x14ac:dyDescent="0.2">
      <c r="A184" s="1" t="s">
        <v>300</v>
      </c>
    </row>
    <row r="185" spans="1:51" x14ac:dyDescent="0.2">
      <c r="A185" s="140" t="s">
        <v>125</v>
      </c>
      <c r="B185" s="137">
        <v>1</v>
      </c>
      <c r="C185" s="138">
        <v>0</v>
      </c>
      <c r="D185" s="138">
        <v>0</v>
      </c>
      <c r="E185" s="138">
        <v>1091</v>
      </c>
      <c r="F185" s="138">
        <v>1047.2532714476702</v>
      </c>
      <c r="G185" s="138">
        <v>1237</v>
      </c>
      <c r="H185" s="138">
        <v>1203</v>
      </c>
      <c r="I185" s="138">
        <v>1129</v>
      </c>
      <c r="J185" s="138">
        <v>1236</v>
      </c>
      <c r="K185" s="138">
        <v>1104</v>
      </c>
      <c r="L185" s="138">
        <v>1119.7136829265573</v>
      </c>
      <c r="M185" s="138">
        <v>0</v>
      </c>
      <c r="N185" s="138">
        <v>0</v>
      </c>
      <c r="O185" s="138">
        <v>0</v>
      </c>
      <c r="P185" s="138">
        <v>0</v>
      </c>
      <c r="Q185" s="138">
        <v>0</v>
      </c>
      <c r="R185" s="138">
        <v>0</v>
      </c>
      <c r="S185" s="138">
        <v>0</v>
      </c>
      <c r="T185" s="138">
        <v>0</v>
      </c>
      <c r="U185" s="138">
        <v>0</v>
      </c>
      <c r="V185" s="138">
        <v>0</v>
      </c>
      <c r="W185" s="138">
        <v>0</v>
      </c>
      <c r="X185" s="138">
        <v>0</v>
      </c>
      <c r="Y185" s="138">
        <v>0</v>
      </c>
      <c r="Z185" s="138">
        <v>0</v>
      </c>
      <c r="AA185" s="138">
        <v>0</v>
      </c>
      <c r="AB185" s="138">
        <v>0</v>
      </c>
      <c r="AC185" s="138">
        <v>0</v>
      </c>
      <c r="AD185" s="138">
        <v>0</v>
      </c>
      <c r="AE185" s="138">
        <v>0</v>
      </c>
      <c r="AF185" s="138">
        <v>0</v>
      </c>
      <c r="AG185" s="138">
        <v>0</v>
      </c>
      <c r="AH185" s="138">
        <v>0</v>
      </c>
      <c r="AI185" s="138">
        <v>0</v>
      </c>
      <c r="AJ185" s="138">
        <v>0</v>
      </c>
      <c r="AK185" s="138">
        <v>0</v>
      </c>
      <c r="AL185" s="138">
        <v>0</v>
      </c>
      <c r="AM185" s="138">
        <v>0</v>
      </c>
      <c r="AN185" s="138">
        <v>0</v>
      </c>
      <c r="AO185" s="138">
        <v>0</v>
      </c>
      <c r="AP185" s="138">
        <v>0</v>
      </c>
      <c r="AQ185" s="138">
        <v>0</v>
      </c>
      <c r="AR185" s="138">
        <v>0</v>
      </c>
      <c r="AS185" s="138">
        <v>0</v>
      </c>
      <c r="AT185" s="138">
        <v>0</v>
      </c>
      <c r="AU185" s="138">
        <v>0</v>
      </c>
      <c r="AV185" s="138">
        <v>0</v>
      </c>
      <c r="AW185" s="138">
        <v>0</v>
      </c>
      <c r="AX185" s="138">
        <v>0</v>
      </c>
      <c r="AY185" s="138">
        <v>0</v>
      </c>
    </row>
    <row r="186" spans="1:51" x14ac:dyDescent="0.2">
      <c r="A186" s="124"/>
      <c r="B186" s="134">
        <v>2</v>
      </c>
      <c r="C186" s="121">
        <v>0</v>
      </c>
      <c r="D186" s="121">
        <v>0</v>
      </c>
      <c r="E186" s="121">
        <v>0</v>
      </c>
      <c r="F186" s="121">
        <v>0</v>
      </c>
      <c r="G186" s="121">
        <v>0</v>
      </c>
      <c r="H186" s="121">
        <v>0</v>
      </c>
      <c r="I186" s="121">
        <v>0</v>
      </c>
      <c r="J186" s="121">
        <v>0</v>
      </c>
      <c r="K186" s="121">
        <v>0</v>
      </c>
      <c r="L186" s="121">
        <v>226.28631707344266</v>
      </c>
      <c r="M186" s="121">
        <v>1355</v>
      </c>
      <c r="N186" s="121">
        <v>1207</v>
      </c>
      <c r="O186" s="121">
        <v>1088</v>
      </c>
      <c r="P186" s="121">
        <v>1156</v>
      </c>
      <c r="Q186" s="121">
        <v>1153</v>
      </c>
      <c r="R186" s="121">
        <v>1205</v>
      </c>
      <c r="S186" s="121">
        <v>1374</v>
      </c>
      <c r="T186" s="121">
        <v>1172</v>
      </c>
      <c r="U186" s="121">
        <v>1269</v>
      </c>
      <c r="V186" s="121">
        <v>1087</v>
      </c>
      <c r="W186" s="121">
        <v>1289</v>
      </c>
      <c r="X186" s="121">
        <v>1268</v>
      </c>
      <c r="Y186" s="121">
        <v>993</v>
      </c>
      <c r="Z186" s="121">
        <v>1340</v>
      </c>
      <c r="AA186" s="121">
        <v>1235</v>
      </c>
      <c r="AB186" s="121">
        <v>1249</v>
      </c>
      <c r="AC186" s="121">
        <v>975</v>
      </c>
      <c r="AD186" s="121">
        <v>1376</v>
      </c>
      <c r="AE186" s="121">
        <v>1284</v>
      </c>
      <c r="AF186" s="121">
        <v>1290</v>
      </c>
      <c r="AG186" s="121">
        <v>1427</v>
      </c>
      <c r="AH186" s="121">
        <v>1311</v>
      </c>
      <c r="AI186" s="121">
        <v>1256</v>
      </c>
      <c r="AJ186" s="121">
        <v>1246</v>
      </c>
      <c r="AK186" s="121">
        <v>1310</v>
      </c>
      <c r="AL186" s="121">
        <v>1185</v>
      </c>
      <c r="AM186" s="121">
        <v>1288</v>
      </c>
      <c r="AN186" s="121">
        <v>1077</v>
      </c>
      <c r="AO186" s="121">
        <v>1289</v>
      </c>
      <c r="AP186" s="121">
        <v>1000</v>
      </c>
      <c r="AQ186" s="121">
        <v>1368.5809344124318</v>
      </c>
      <c r="AR186" s="121">
        <v>1402</v>
      </c>
      <c r="AS186" s="121">
        <v>1074</v>
      </c>
      <c r="AT186" s="121">
        <v>1141</v>
      </c>
      <c r="AU186" s="121">
        <v>1269</v>
      </c>
      <c r="AV186" s="121">
        <v>1457</v>
      </c>
      <c r="AW186" s="121">
        <v>1405</v>
      </c>
      <c r="AX186" s="121">
        <v>1185</v>
      </c>
      <c r="AY186" s="121">
        <v>0</v>
      </c>
    </row>
    <row r="187" spans="1:51" x14ac:dyDescent="0.2">
      <c r="A187" s="124"/>
      <c r="B187" s="141">
        <v>3</v>
      </c>
      <c r="C187" s="121">
        <v>0</v>
      </c>
      <c r="D187" s="121">
        <v>0</v>
      </c>
      <c r="E187" s="121">
        <v>0</v>
      </c>
      <c r="F187" s="121">
        <v>0</v>
      </c>
      <c r="G187" s="121">
        <v>0</v>
      </c>
      <c r="H187" s="121">
        <v>0</v>
      </c>
      <c r="I187" s="121">
        <v>0</v>
      </c>
      <c r="J187" s="121">
        <v>0</v>
      </c>
      <c r="K187" s="121">
        <v>0</v>
      </c>
      <c r="L187" s="121">
        <v>0</v>
      </c>
      <c r="M187" s="121">
        <v>0</v>
      </c>
      <c r="N187" s="121">
        <v>0</v>
      </c>
      <c r="O187" s="121">
        <v>0</v>
      </c>
      <c r="P187" s="121">
        <v>0</v>
      </c>
      <c r="Q187" s="121">
        <v>0</v>
      </c>
      <c r="R187" s="121">
        <v>0</v>
      </c>
      <c r="S187" s="121">
        <v>0</v>
      </c>
      <c r="T187" s="121">
        <v>0</v>
      </c>
      <c r="U187" s="121">
        <v>0</v>
      </c>
      <c r="V187" s="121">
        <v>0</v>
      </c>
      <c r="W187" s="121">
        <v>0</v>
      </c>
      <c r="X187" s="121">
        <v>0</v>
      </c>
      <c r="Y187" s="121">
        <v>0</v>
      </c>
      <c r="Z187" s="121">
        <v>0</v>
      </c>
      <c r="AA187" s="121">
        <v>0</v>
      </c>
      <c r="AB187" s="121">
        <v>0</v>
      </c>
      <c r="AC187" s="121">
        <v>0</v>
      </c>
      <c r="AD187" s="121">
        <v>0</v>
      </c>
      <c r="AE187" s="121">
        <v>0</v>
      </c>
      <c r="AF187" s="121">
        <v>0</v>
      </c>
      <c r="AG187" s="121">
        <v>0</v>
      </c>
      <c r="AH187" s="121">
        <v>0</v>
      </c>
      <c r="AI187" s="121">
        <v>0</v>
      </c>
      <c r="AJ187" s="121">
        <v>0</v>
      </c>
      <c r="AK187" s="121">
        <v>0</v>
      </c>
      <c r="AL187" s="121">
        <v>0</v>
      </c>
      <c r="AM187" s="121">
        <v>0</v>
      </c>
      <c r="AN187" s="121">
        <v>0</v>
      </c>
      <c r="AO187" s="121">
        <v>0</v>
      </c>
      <c r="AP187" s="121">
        <v>0</v>
      </c>
      <c r="AQ187" s="121">
        <v>63.419065587568184</v>
      </c>
      <c r="AR187" s="121">
        <v>0</v>
      </c>
      <c r="AS187" s="121">
        <v>0</v>
      </c>
      <c r="AT187" s="121">
        <v>0</v>
      </c>
      <c r="AU187" s="121">
        <v>0</v>
      </c>
      <c r="AV187" s="121">
        <v>0</v>
      </c>
      <c r="AW187" s="121">
        <v>0</v>
      </c>
      <c r="AX187" s="121">
        <v>0</v>
      </c>
      <c r="AY187" s="121">
        <v>1342</v>
      </c>
    </row>
    <row r="188" spans="1:51" x14ac:dyDescent="0.2">
      <c r="A188" s="142"/>
      <c r="B188" s="143">
        <v>4</v>
      </c>
      <c r="C188" s="121">
        <v>0</v>
      </c>
      <c r="D188" s="121">
        <v>0</v>
      </c>
      <c r="E188" s="121">
        <v>0</v>
      </c>
      <c r="F188" s="121">
        <v>0</v>
      </c>
      <c r="G188" s="121">
        <v>0</v>
      </c>
      <c r="H188" s="121">
        <v>0</v>
      </c>
      <c r="I188" s="121">
        <v>0</v>
      </c>
      <c r="J188" s="121">
        <v>0</v>
      </c>
      <c r="K188" s="121">
        <v>0</v>
      </c>
      <c r="L188" s="121">
        <v>0</v>
      </c>
      <c r="M188" s="121">
        <v>0</v>
      </c>
      <c r="N188" s="121">
        <v>0</v>
      </c>
      <c r="O188" s="121">
        <v>0</v>
      </c>
      <c r="P188" s="121">
        <v>0</v>
      </c>
      <c r="Q188" s="121">
        <v>0</v>
      </c>
      <c r="R188" s="121">
        <v>0</v>
      </c>
      <c r="S188" s="121">
        <v>0</v>
      </c>
      <c r="T188" s="121">
        <v>0</v>
      </c>
      <c r="U188" s="121">
        <v>0</v>
      </c>
      <c r="V188" s="121">
        <v>0</v>
      </c>
      <c r="W188" s="121">
        <v>0</v>
      </c>
      <c r="X188" s="121">
        <v>0</v>
      </c>
      <c r="Y188" s="121">
        <v>0</v>
      </c>
      <c r="Z188" s="121">
        <v>0</v>
      </c>
      <c r="AA188" s="121">
        <v>0</v>
      </c>
      <c r="AB188" s="121">
        <v>0</v>
      </c>
      <c r="AC188" s="121">
        <v>0</v>
      </c>
      <c r="AD188" s="121">
        <v>0</v>
      </c>
      <c r="AE188" s="121">
        <v>0</v>
      </c>
      <c r="AF188" s="121">
        <v>0</v>
      </c>
      <c r="AG188" s="121">
        <v>0</v>
      </c>
      <c r="AH188" s="121">
        <v>0</v>
      </c>
      <c r="AI188" s="121">
        <v>0</v>
      </c>
      <c r="AJ188" s="121">
        <v>0</v>
      </c>
      <c r="AK188" s="121">
        <v>0</v>
      </c>
      <c r="AL188" s="121">
        <v>0</v>
      </c>
      <c r="AM188" s="121">
        <v>0</v>
      </c>
      <c r="AN188" s="121">
        <v>0</v>
      </c>
      <c r="AO188" s="121">
        <v>0</v>
      </c>
      <c r="AP188" s="121">
        <v>0</v>
      </c>
      <c r="AQ188" s="121">
        <v>0</v>
      </c>
      <c r="AR188" s="121">
        <v>0</v>
      </c>
      <c r="AS188" s="121">
        <v>0</v>
      </c>
      <c r="AT188" s="121">
        <v>0</v>
      </c>
      <c r="AU188" s="121">
        <v>0</v>
      </c>
      <c r="AV188" s="121">
        <v>0</v>
      </c>
      <c r="AW188" s="121">
        <v>0</v>
      </c>
      <c r="AX188" s="121">
        <v>0</v>
      </c>
      <c r="AY188" s="121">
        <v>0</v>
      </c>
    </row>
    <row r="189" spans="1:51" x14ac:dyDescent="0.2">
      <c r="A189" s="140" t="s">
        <v>133</v>
      </c>
      <c r="B189" s="137">
        <v>1</v>
      </c>
      <c r="C189" s="138">
        <v>40.749656216509948</v>
      </c>
      <c r="D189" s="138">
        <v>53.71013157246216</v>
      </c>
      <c r="E189" s="138">
        <v>0</v>
      </c>
      <c r="F189" s="138">
        <v>1492.0337117420479</v>
      </c>
      <c r="G189" s="138">
        <v>0</v>
      </c>
      <c r="H189" s="138">
        <v>0</v>
      </c>
      <c r="I189" s="138">
        <v>0</v>
      </c>
      <c r="J189" s="138">
        <v>0</v>
      </c>
      <c r="K189" s="138">
        <v>0</v>
      </c>
      <c r="L189" s="138">
        <v>0</v>
      </c>
      <c r="M189" s="138">
        <v>0</v>
      </c>
      <c r="N189" s="138">
        <v>0</v>
      </c>
      <c r="O189" s="138">
        <v>0</v>
      </c>
      <c r="P189" s="138">
        <v>0</v>
      </c>
      <c r="Q189" s="138">
        <v>0</v>
      </c>
      <c r="R189" s="138">
        <v>0</v>
      </c>
      <c r="S189" s="138">
        <v>0</v>
      </c>
      <c r="T189" s="138">
        <v>0</v>
      </c>
      <c r="U189" s="138">
        <v>0</v>
      </c>
      <c r="V189" s="138">
        <v>0</v>
      </c>
      <c r="W189" s="138">
        <v>0</v>
      </c>
      <c r="X189" s="138">
        <v>0</v>
      </c>
      <c r="Y189" s="138">
        <v>0</v>
      </c>
      <c r="Z189" s="138">
        <v>0</v>
      </c>
      <c r="AA189" s="138">
        <v>0</v>
      </c>
      <c r="AB189" s="138">
        <v>0</v>
      </c>
      <c r="AC189" s="138">
        <v>0</v>
      </c>
      <c r="AD189" s="138">
        <v>0</v>
      </c>
      <c r="AE189" s="138">
        <v>0</v>
      </c>
      <c r="AF189" s="138">
        <v>0</v>
      </c>
      <c r="AG189" s="138">
        <v>0</v>
      </c>
      <c r="AH189" s="138">
        <v>0</v>
      </c>
      <c r="AI189" s="138">
        <v>0</v>
      </c>
      <c r="AJ189" s="138">
        <v>0</v>
      </c>
      <c r="AK189" s="138">
        <v>0</v>
      </c>
      <c r="AL189" s="138">
        <v>0</v>
      </c>
      <c r="AM189" s="138">
        <v>0</v>
      </c>
      <c r="AN189" s="138">
        <v>0</v>
      </c>
      <c r="AO189" s="138">
        <v>0</v>
      </c>
      <c r="AP189" s="138">
        <v>0</v>
      </c>
      <c r="AQ189" s="138">
        <v>0</v>
      </c>
      <c r="AR189" s="138">
        <v>0</v>
      </c>
      <c r="AS189" s="138">
        <v>0</v>
      </c>
      <c r="AT189" s="138">
        <v>0</v>
      </c>
      <c r="AU189" s="138">
        <v>0</v>
      </c>
      <c r="AV189" s="138">
        <v>0</v>
      </c>
      <c r="AW189" s="138">
        <v>0</v>
      </c>
      <c r="AX189" s="138">
        <v>0</v>
      </c>
      <c r="AY189" s="138">
        <v>0</v>
      </c>
    </row>
    <row r="190" spans="1:51" x14ac:dyDescent="0.2">
      <c r="A190" s="124"/>
      <c r="B190" s="133">
        <v>2</v>
      </c>
      <c r="C190" s="121">
        <v>1537.0458230613617</v>
      </c>
      <c r="D190" s="121">
        <v>1396.2898684275378</v>
      </c>
      <c r="E190" s="121">
        <v>1265</v>
      </c>
      <c r="F190" s="121">
        <v>120</v>
      </c>
      <c r="G190" s="121">
        <v>0</v>
      </c>
      <c r="H190" s="121">
        <v>0</v>
      </c>
      <c r="I190" s="121">
        <v>0</v>
      </c>
      <c r="J190" s="121">
        <v>0</v>
      </c>
      <c r="K190" s="121">
        <v>0</v>
      </c>
      <c r="L190" s="121">
        <v>0</v>
      </c>
      <c r="M190" s="121">
        <v>0</v>
      </c>
      <c r="N190" s="121">
        <v>0</v>
      </c>
      <c r="O190" s="121">
        <v>0</v>
      </c>
      <c r="P190" s="121">
        <v>0</v>
      </c>
      <c r="Q190" s="121">
        <v>0</v>
      </c>
      <c r="R190" s="121">
        <v>0</v>
      </c>
      <c r="S190" s="121">
        <v>0</v>
      </c>
      <c r="T190" s="121">
        <v>0</v>
      </c>
      <c r="U190" s="121">
        <v>0</v>
      </c>
      <c r="V190" s="121">
        <v>0</v>
      </c>
      <c r="W190" s="121">
        <v>0</v>
      </c>
      <c r="X190" s="121">
        <v>0</v>
      </c>
      <c r="Y190" s="121">
        <v>0</v>
      </c>
      <c r="Z190" s="121">
        <v>0</v>
      </c>
      <c r="AA190" s="121">
        <v>0</v>
      </c>
      <c r="AB190" s="121">
        <v>0</v>
      </c>
      <c r="AC190" s="121">
        <v>0</v>
      </c>
      <c r="AD190" s="121">
        <v>0</v>
      </c>
      <c r="AE190" s="121">
        <v>0</v>
      </c>
      <c r="AF190" s="121">
        <v>0</v>
      </c>
      <c r="AG190" s="121">
        <v>0</v>
      </c>
      <c r="AH190" s="121">
        <v>0</v>
      </c>
      <c r="AI190" s="121">
        <v>0</v>
      </c>
      <c r="AJ190" s="121">
        <v>0</v>
      </c>
      <c r="AK190" s="121">
        <v>0</v>
      </c>
      <c r="AL190" s="121">
        <v>0</v>
      </c>
      <c r="AM190" s="121">
        <v>0</v>
      </c>
      <c r="AN190" s="121">
        <v>0</v>
      </c>
      <c r="AO190" s="121">
        <v>0</v>
      </c>
      <c r="AP190" s="121">
        <v>0</v>
      </c>
      <c r="AQ190" s="121">
        <v>0</v>
      </c>
      <c r="AR190" s="121">
        <v>0</v>
      </c>
      <c r="AS190" s="121">
        <v>0</v>
      </c>
      <c r="AT190" s="121">
        <v>0</v>
      </c>
      <c r="AU190" s="121">
        <v>0</v>
      </c>
      <c r="AV190" s="121">
        <v>0</v>
      </c>
      <c r="AW190" s="121">
        <v>0</v>
      </c>
      <c r="AX190" s="121">
        <v>0</v>
      </c>
      <c r="AY190" s="121">
        <v>0</v>
      </c>
    </row>
    <row r="191" spans="1:51" x14ac:dyDescent="0.2">
      <c r="A191" s="124"/>
      <c r="B191" s="134">
        <v>3</v>
      </c>
      <c r="C191" s="121">
        <v>5.2045207221283452</v>
      </c>
      <c r="D191" s="121">
        <v>0</v>
      </c>
      <c r="E191" s="121">
        <v>0</v>
      </c>
      <c r="F191" s="121">
        <v>262.9662882579521</v>
      </c>
      <c r="G191" s="121">
        <v>1763</v>
      </c>
      <c r="H191" s="121">
        <v>1249.7241277281269</v>
      </c>
      <c r="I191" s="121">
        <v>1480.4070808629874</v>
      </c>
      <c r="J191" s="121">
        <v>312.05632225580007</v>
      </c>
      <c r="K191" s="121">
        <v>0</v>
      </c>
      <c r="L191" s="121">
        <v>0</v>
      </c>
      <c r="M191" s="121">
        <v>0</v>
      </c>
      <c r="N191" s="121">
        <v>0</v>
      </c>
      <c r="O191" s="121">
        <v>0</v>
      </c>
      <c r="P191" s="121">
        <v>0</v>
      </c>
      <c r="Q191" s="121">
        <v>0</v>
      </c>
      <c r="R191" s="121">
        <v>0</v>
      </c>
      <c r="S191" s="121">
        <v>0</v>
      </c>
      <c r="T191" s="121">
        <v>0</v>
      </c>
      <c r="U191" s="121">
        <v>0</v>
      </c>
      <c r="V191" s="121">
        <v>0</v>
      </c>
      <c r="W191" s="121">
        <v>0</v>
      </c>
      <c r="X191" s="121">
        <v>0</v>
      </c>
      <c r="Y191" s="121">
        <v>0</v>
      </c>
      <c r="Z191" s="121">
        <v>0</v>
      </c>
      <c r="AA191" s="121">
        <v>0</v>
      </c>
      <c r="AB191" s="121">
        <v>0</v>
      </c>
      <c r="AC191" s="121">
        <v>0</v>
      </c>
      <c r="AD191" s="121">
        <v>0</v>
      </c>
      <c r="AE191" s="121">
        <v>0</v>
      </c>
      <c r="AF191" s="121">
        <v>0</v>
      </c>
      <c r="AG191" s="121">
        <v>0</v>
      </c>
      <c r="AH191" s="121">
        <v>0</v>
      </c>
      <c r="AI191" s="121">
        <v>0</v>
      </c>
      <c r="AJ191" s="121">
        <v>0</v>
      </c>
      <c r="AK191" s="121">
        <v>0</v>
      </c>
      <c r="AL191" s="121">
        <v>0</v>
      </c>
      <c r="AM191" s="121">
        <v>0</v>
      </c>
      <c r="AN191" s="121">
        <v>0</v>
      </c>
      <c r="AO191" s="121">
        <v>0</v>
      </c>
      <c r="AP191" s="121">
        <v>0</v>
      </c>
      <c r="AQ191" s="121">
        <v>0</v>
      </c>
      <c r="AR191" s="121">
        <v>0</v>
      </c>
      <c r="AS191" s="121">
        <v>0</v>
      </c>
      <c r="AT191" s="121">
        <v>0</v>
      </c>
      <c r="AU191" s="121">
        <v>0</v>
      </c>
      <c r="AV191" s="121">
        <v>0</v>
      </c>
      <c r="AW191" s="121">
        <v>0</v>
      </c>
      <c r="AX191" s="121">
        <v>0</v>
      </c>
      <c r="AY191" s="121">
        <v>0</v>
      </c>
    </row>
    <row r="192" spans="1:51" x14ac:dyDescent="0.2">
      <c r="A192" s="124"/>
      <c r="B192" s="134">
        <v>4</v>
      </c>
      <c r="C192" s="121">
        <v>0</v>
      </c>
      <c r="D192" s="121">
        <v>0</v>
      </c>
      <c r="E192" s="121">
        <v>0</v>
      </c>
      <c r="F192" s="121">
        <v>0</v>
      </c>
      <c r="G192" s="121">
        <v>0</v>
      </c>
      <c r="H192" s="121">
        <v>381.27587227187314</v>
      </c>
      <c r="I192" s="121">
        <v>257.59291913701259</v>
      </c>
      <c r="J192" s="121">
        <v>1518.9436777441999</v>
      </c>
      <c r="K192" s="121">
        <v>1876</v>
      </c>
      <c r="L192" s="121">
        <v>1102.705563648613</v>
      </c>
      <c r="M192" s="121">
        <v>0</v>
      </c>
      <c r="N192" s="121">
        <v>0</v>
      </c>
      <c r="O192" s="121">
        <v>0</v>
      </c>
      <c r="P192" s="121">
        <v>0</v>
      </c>
      <c r="Q192" s="121">
        <v>0</v>
      </c>
      <c r="R192" s="121">
        <v>0</v>
      </c>
      <c r="S192" s="121">
        <v>0</v>
      </c>
      <c r="T192" s="121">
        <v>0</v>
      </c>
      <c r="U192" s="121">
        <v>0</v>
      </c>
      <c r="V192" s="121">
        <v>0</v>
      </c>
      <c r="W192" s="121">
        <v>0</v>
      </c>
      <c r="X192" s="121">
        <v>0</v>
      </c>
      <c r="Y192" s="121">
        <v>0</v>
      </c>
      <c r="Z192" s="121">
        <v>0</v>
      </c>
      <c r="AA192" s="121">
        <v>0</v>
      </c>
      <c r="AB192" s="121">
        <v>0</v>
      </c>
      <c r="AC192" s="121">
        <v>0</v>
      </c>
      <c r="AD192" s="121">
        <v>0</v>
      </c>
      <c r="AE192" s="121">
        <v>0</v>
      </c>
      <c r="AF192" s="121">
        <v>0</v>
      </c>
      <c r="AG192" s="121">
        <v>0</v>
      </c>
      <c r="AH192" s="121">
        <v>0</v>
      </c>
      <c r="AI192" s="121">
        <v>0</v>
      </c>
      <c r="AJ192" s="121">
        <v>0</v>
      </c>
      <c r="AK192" s="121">
        <v>0</v>
      </c>
      <c r="AL192" s="121">
        <v>0</v>
      </c>
      <c r="AM192" s="121">
        <v>0</v>
      </c>
      <c r="AN192" s="121">
        <v>0</v>
      </c>
      <c r="AO192" s="121">
        <v>0</v>
      </c>
      <c r="AP192" s="121">
        <v>0</v>
      </c>
      <c r="AQ192" s="121">
        <v>0</v>
      </c>
      <c r="AR192" s="121">
        <v>0</v>
      </c>
      <c r="AS192" s="121">
        <v>0</v>
      </c>
      <c r="AT192" s="121">
        <v>0</v>
      </c>
      <c r="AU192" s="121">
        <v>0</v>
      </c>
      <c r="AV192" s="121">
        <v>0</v>
      </c>
      <c r="AW192" s="121">
        <v>0</v>
      </c>
      <c r="AX192" s="121">
        <v>0</v>
      </c>
      <c r="AY192" s="121">
        <v>0</v>
      </c>
    </row>
    <row r="193" spans="1:51" x14ac:dyDescent="0.2">
      <c r="A193" s="124"/>
      <c r="B193" s="141">
        <v>5</v>
      </c>
      <c r="C193" s="121">
        <v>0</v>
      </c>
      <c r="D193" s="121">
        <v>0</v>
      </c>
      <c r="E193" s="121">
        <v>0</v>
      </c>
      <c r="F193" s="121">
        <v>0</v>
      </c>
      <c r="G193" s="121">
        <v>0</v>
      </c>
      <c r="H193" s="121">
        <v>0</v>
      </c>
      <c r="I193" s="121">
        <v>0</v>
      </c>
      <c r="J193" s="121">
        <v>0</v>
      </c>
      <c r="K193" s="121">
        <v>0</v>
      </c>
      <c r="L193" s="121">
        <v>811.29443635138705</v>
      </c>
      <c r="M193" s="121">
        <v>1698</v>
      </c>
      <c r="N193" s="121">
        <v>1735.7471158457117</v>
      </c>
      <c r="O193" s="121">
        <v>1166.0395006790257</v>
      </c>
      <c r="P193" s="121">
        <v>873.99595705028423</v>
      </c>
      <c r="Q193" s="121">
        <v>265.79790482371618</v>
      </c>
      <c r="R193" s="121">
        <v>0</v>
      </c>
      <c r="S193" s="121">
        <v>0</v>
      </c>
      <c r="T193" s="121">
        <v>0</v>
      </c>
      <c r="U193" s="121">
        <v>0</v>
      </c>
      <c r="V193" s="121">
        <v>0</v>
      </c>
      <c r="W193" s="121">
        <v>0</v>
      </c>
      <c r="X193" s="121">
        <v>0</v>
      </c>
      <c r="Y193" s="121">
        <v>0</v>
      </c>
      <c r="Z193" s="121">
        <v>0</v>
      </c>
      <c r="AA193" s="121">
        <v>0</v>
      </c>
      <c r="AB193" s="121">
        <v>0</v>
      </c>
      <c r="AC193" s="121">
        <v>0</v>
      </c>
      <c r="AD193" s="121">
        <v>0</v>
      </c>
      <c r="AE193" s="121">
        <v>0</v>
      </c>
      <c r="AF193" s="121">
        <v>0</v>
      </c>
      <c r="AG193" s="121">
        <v>0</v>
      </c>
      <c r="AH193" s="121">
        <v>0</v>
      </c>
      <c r="AI193" s="121">
        <v>0</v>
      </c>
      <c r="AJ193" s="121">
        <v>0</v>
      </c>
      <c r="AK193" s="121">
        <v>0</v>
      </c>
      <c r="AL193" s="121">
        <v>0</v>
      </c>
      <c r="AM193" s="121">
        <v>0</v>
      </c>
      <c r="AN193" s="121">
        <v>0</v>
      </c>
      <c r="AO193" s="121">
        <v>0</v>
      </c>
      <c r="AP193" s="121">
        <v>0</v>
      </c>
      <c r="AQ193" s="121">
        <v>0</v>
      </c>
      <c r="AR193" s="121">
        <v>0</v>
      </c>
      <c r="AS193" s="121">
        <v>0</v>
      </c>
      <c r="AT193" s="121">
        <v>0</v>
      </c>
      <c r="AU193" s="121">
        <v>0</v>
      </c>
      <c r="AV193" s="121">
        <v>0</v>
      </c>
      <c r="AW193" s="121">
        <v>0</v>
      </c>
      <c r="AX193" s="121">
        <v>0</v>
      </c>
      <c r="AY193" s="121">
        <v>0</v>
      </c>
    </row>
    <row r="194" spans="1:51" x14ac:dyDescent="0.2">
      <c r="A194" s="124"/>
      <c r="B194" s="141">
        <v>6</v>
      </c>
      <c r="C194" s="121">
        <v>0</v>
      </c>
      <c r="D194" s="121">
        <v>0</v>
      </c>
      <c r="E194" s="121">
        <v>0</v>
      </c>
      <c r="F194" s="121">
        <v>0</v>
      </c>
      <c r="G194" s="121">
        <v>0</v>
      </c>
      <c r="H194" s="121">
        <v>0</v>
      </c>
      <c r="I194" s="121">
        <v>0</v>
      </c>
      <c r="J194" s="121">
        <v>0</v>
      </c>
      <c r="K194" s="121">
        <v>0</v>
      </c>
      <c r="L194" s="121">
        <v>0</v>
      </c>
      <c r="M194" s="121">
        <v>0</v>
      </c>
      <c r="N194" s="121">
        <v>92.252884154288338</v>
      </c>
      <c r="O194" s="121">
        <v>621.96049932097435</v>
      </c>
      <c r="P194" s="121">
        <v>1209.0040429497158</v>
      </c>
      <c r="Q194" s="121">
        <v>1337.2020951762838</v>
      </c>
      <c r="R194" s="121">
        <v>1646</v>
      </c>
      <c r="S194" s="121">
        <v>1456</v>
      </c>
      <c r="T194" s="121">
        <v>1818</v>
      </c>
      <c r="U194" s="121">
        <v>1742</v>
      </c>
      <c r="V194" s="121">
        <v>2023</v>
      </c>
      <c r="W194" s="121">
        <v>1974</v>
      </c>
      <c r="X194" s="121">
        <v>1634</v>
      </c>
      <c r="Y194" s="121">
        <v>1910</v>
      </c>
      <c r="Z194" s="121">
        <v>1780</v>
      </c>
      <c r="AA194" s="121">
        <v>1703</v>
      </c>
      <c r="AB194" s="121">
        <v>1847</v>
      </c>
      <c r="AC194" s="121">
        <v>1792</v>
      </c>
      <c r="AD194" s="121">
        <v>1714</v>
      </c>
      <c r="AE194" s="121">
        <v>1992</v>
      </c>
      <c r="AF194" s="121">
        <v>1880</v>
      </c>
      <c r="AG194" s="121">
        <v>1591</v>
      </c>
      <c r="AH194" s="121">
        <v>1868</v>
      </c>
      <c r="AI194" s="121">
        <v>2063</v>
      </c>
      <c r="AJ194" s="121">
        <v>2211</v>
      </c>
      <c r="AK194" s="121">
        <v>2079</v>
      </c>
      <c r="AL194" s="121">
        <v>1807</v>
      </c>
      <c r="AM194" s="121">
        <v>2278</v>
      </c>
      <c r="AN194" s="121">
        <v>1585</v>
      </c>
      <c r="AO194" s="121">
        <v>1984</v>
      </c>
      <c r="AP194" s="121">
        <v>1647</v>
      </c>
      <c r="AQ194" s="121">
        <v>1875.1298315339106</v>
      </c>
      <c r="AR194" s="121">
        <v>2044</v>
      </c>
      <c r="AS194" s="121">
        <v>1764</v>
      </c>
      <c r="AT194" s="121">
        <v>1999</v>
      </c>
      <c r="AU194" s="121">
        <v>1929</v>
      </c>
      <c r="AV194" s="121">
        <v>1921</v>
      </c>
      <c r="AW194" s="121">
        <v>1932</v>
      </c>
      <c r="AX194" s="121">
        <v>1955</v>
      </c>
      <c r="AY194" s="121">
        <v>1727.2774890834439</v>
      </c>
    </row>
    <row r="195" spans="1:51" x14ac:dyDescent="0.2">
      <c r="A195" s="124"/>
      <c r="B195" s="144">
        <v>7</v>
      </c>
      <c r="C195" s="121">
        <v>0</v>
      </c>
      <c r="D195" s="121">
        <v>0</v>
      </c>
      <c r="E195" s="121">
        <v>0</v>
      </c>
      <c r="F195" s="121">
        <v>0</v>
      </c>
      <c r="G195" s="121">
        <v>0</v>
      </c>
      <c r="H195" s="121">
        <v>0</v>
      </c>
      <c r="I195" s="121">
        <v>0</v>
      </c>
      <c r="J195" s="121">
        <v>0</v>
      </c>
      <c r="K195" s="121">
        <v>0</v>
      </c>
      <c r="L195" s="121">
        <v>0</v>
      </c>
      <c r="M195" s="121">
        <v>0</v>
      </c>
      <c r="N195" s="121">
        <v>0</v>
      </c>
      <c r="O195" s="121">
        <v>0</v>
      </c>
      <c r="P195" s="121">
        <v>0</v>
      </c>
      <c r="Q195" s="121">
        <v>0</v>
      </c>
      <c r="R195" s="121">
        <v>0</v>
      </c>
      <c r="S195" s="121">
        <v>0</v>
      </c>
      <c r="T195" s="121">
        <v>0</v>
      </c>
      <c r="U195" s="121">
        <v>0</v>
      </c>
      <c r="V195" s="121">
        <v>0</v>
      </c>
      <c r="W195" s="121">
        <v>0</v>
      </c>
      <c r="X195" s="121">
        <v>0</v>
      </c>
      <c r="Y195" s="121">
        <v>0</v>
      </c>
      <c r="Z195" s="121">
        <v>0</v>
      </c>
      <c r="AA195" s="121">
        <v>0</v>
      </c>
      <c r="AB195" s="121">
        <v>0</v>
      </c>
      <c r="AC195" s="121">
        <v>0</v>
      </c>
      <c r="AD195" s="121">
        <v>0</v>
      </c>
      <c r="AE195" s="121">
        <v>0</v>
      </c>
      <c r="AF195" s="121">
        <v>0</v>
      </c>
      <c r="AG195" s="121">
        <v>0</v>
      </c>
      <c r="AH195" s="121">
        <v>0</v>
      </c>
      <c r="AI195" s="121">
        <v>0</v>
      </c>
      <c r="AJ195" s="121">
        <v>0</v>
      </c>
      <c r="AK195" s="121">
        <v>0</v>
      </c>
      <c r="AL195" s="121">
        <v>0</v>
      </c>
      <c r="AM195" s="121">
        <v>0</v>
      </c>
      <c r="AN195" s="121">
        <v>0</v>
      </c>
      <c r="AO195" s="121">
        <v>0</v>
      </c>
      <c r="AP195" s="121">
        <v>0</v>
      </c>
      <c r="AQ195" s="121">
        <v>6.8701684660893534</v>
      </c>
      <c r="AR195" s="121">
        <v>0</v>
      </c>
      <c r="AS195" s="121">
        <v>0</v>
      </c>
      <c r="AT195" s="121">
        <v>0</v>
      </c>
      <c r="AU195" s="121">
        <v>0</v>
      </c>
      <c r="AV195" s="121">
        <v>0</v>
      </c>
      <c r="AW195" s="121">
        <v>0</v>
      </c>
      <c r="AX195" s="121">
        <v>0</v>
      </c>
      <c r="AY195" s="121">
        <v>296.72251091655608</v>
      </c>
    </row>
    <row r="196" spans="1:51" x14ac:dyDescent="0.2">
      <c r="A196" s="142"/>
      <c r="B196" s="143">
        <v>8</v>
      </c>
      <c r="C196" s="128">
        <v>0</v>
      </c>
      <c r="D196" s="128">
        <v>0</v>
      </c>
      <c r="E196" s="128">
        <v>0</v>
      </c>
      <c r="F196" s="128">
        <v>0</v>
      </c>
      <c r="G196" s="128">
        <v>0</v>
      </c>
      <c r="H196" s="128">
        <v>0</v>
      </c>
      <c r="I196" s="128">
        <v>0</v>
      </c>
      <c r="J196" s="128">
        <v>0</v>
      </c>
      <c r="K196" s="128">
        <v>0</v>
      </c>
      <c r="L196" s="128">
        <v>0</v>
      </c>
      <c r="M196" s="128">
        <v>0</v>
      </c>
      <c r="N196" s="128">
        <v>0</v>
      </c>
      <c r="O196" s="128">
        <v>0</v>
      </c>
      <c r="P196" s="128">
        <v>0</v>
      </c>
      <c r="Q196" s="128">
        <v>0</v>
      </c>
      <c r="R196" s="128">
        <v>0</v>
      </c>
      <c r="S196" s="128">
        <v>0</v>
      </c>
      <c r="T196" s="128">
        <v>0</v>
      </c>
      <c r="U196" s="128">
        <v>0</v>
      </c>
      <c r="V196" s="128">
        <v>0</v>
      </c>
      <c r="W196" s="128">
        <v>0</v>
      </c>
      <c r="X196" s="128">
        <v>0</v>
      </c>
      <c r="Y196" s="128">
        <v>0</v>
      </c>
      <c r="Z196" s="128">
        <v>0</v>
      </c>
      <c r="AA196" s="128">
        <v>0</v>
      </c>
      <c r="AB196" s="128">
        <v>0</v>
      </c>
      <c r="AC196" s="128">
        <v>0</v>
      </c>
      <c r="AD196" s="128">
        <v>0</v>
      </c>
      <c r="AE196" s="128">
        <v>0</v>
      </c>
      <c r="AF196" s="128">
        <v>0</v>
      </c>
      <c r="AG196" s="128">
        <v>0</v>
      </c>
      <c r="AH196" s="128">
        <v>0</v>
      </c>
      <c r="AI196" s="128">
        <v>0</v>
      </c>
      <c r="AJ196" s="128">
        <v>0</v>
      </c>
      <c r="AK196" s="128">
        <v>0</v>
      </c>
      <c r="AL196" s="128">
        <v>0</v>
      </c>
      <c r="AM196" s="128">
        <v>0</v>
      </c>
      <c r="AN196" s="128">
        <v>0</v>
      </c>
      <c r="AO196" s="128">
        <v>0</v>
      </c>
      <c r="AP196" s="128">
        <v>0</v>
      </c>
      <c r="AQ196" s="128">
        <v>0</v>
      </c>
      <c r="AR196" s="128">
        <v>0</v>
      </c>
      <c r="AS196" s="128">
        <v>0</v>
      </c>
      <c r="AT196" s="128">
        <v>0</v>
      </c>
      <c r="AU196" s="128">
        <v>0</v>
      </c>
      <c r="AV196" s="128">
        <v>0</v>
      </c>
      <c r="AW196" s="128">
        <v>0</v>
      </c>
      <c r="AX196" s="128">
        <v>0</v>
      </c>
      <c r="AY196" s="128">
        <v>0</v>
      </c>
    </row>
    <row r="197" spans="1:51" x14ac:dyDescent="0.2">
      <c r="A197" s="145" t="s">
        <v>134</v>
      </c>
      <c r="B197" s="133">
        <v>1</v>
      </c>
      <c r="C197" s="121">
        <v>0</v>
      </c>
      <c r="D197" s="121">
        <v>0</v>
      </c>
      <c r="E197" s="121">
        <v>0</v>
      </c>
      <c r="F197" s="121">
        <v>0</v>
      </c>
      <c r="G197" s="121">
        <v>0</v>
      </c>
      <c r="H197" s="121">
        <v>0</v>
      </c>
      <c r="I197" s="121">
        <v>0</v>
      </c>
      <c r="J197" s="121">
        <v>0</v>
      </c>
      <c r="K197" s="121">
        <v>0</v>
      </c>
      <c r="L197" s="121">
        <v>0</v>
      </c>
      <c r="M197" s="121">
        <v>0</v>
      </c>
      <c r="N197" s="121">
        <v>0</v>
      </c>
      <c r="O197" s="121">
        <v>0</v>
      </c>
      <c r="P197" s="121">
        <v>0</v>
      </c>
      <c r="Q197" s="121">
        <v>0</v>
      </c>
      <c r="R197" s="121">
        <v>0</v>
      </c>
      <c r="S197" s="121">
        <v>0</v>
      </c>
      <c r="T197" s="121">
        <v>0</v>
      </c>
      <c r="U197" s="121">
        <v>0</v>
      </c>
      <c r="V197" s="121">
        <v>0</v>
      </c>
      <c r="W197" s="121">
        <v>0</v>
      </c>
      <c r="X197" s="121">
        <v>0</v>
      </c>
      <c r="Y197" s="121">
        <v>0</v>
      </c>
      <c r="Z197" s="121">
        <v>0</v>
      </c>
      <c r="AA197" s="121">
        <v>0</v>
      </c>
      <c r="AB197" s="121">
        <v>0</v>
      </c>
      <c r="AC197" s="121">
        <v>0</v>
      </c>
      <c r="AD197" s="121">
        <v>0</v>
      </c>
      <c r="AE197" s="121">
        <v>0</v>
      </c>
      <c r="AF197" s="121">
        <v>0</v>
      </c>
      <c r="AG197" s="121">
        <v>0</v>
      </c>
      <c r="AH197" s="121">
        <v>0</v>
      </c>
      <c r="AI197" s="121">
        <v>0</v>
      </c>
      <c r="AJ197" s="121">
        <v>0</v>
      </c>
      <c r="AK197" s="121">
        <v>0</v>
      </c>
      <c r="AL197" s="121">
        <v>0</v>
      </c>
      <c r="AM197" s="121">
        <v>0</v>
      </c>
      <c r="AN197" s="121">
        <v>0</v>
      </c>
      <c r="AO197" s="121">
        <v>0</v>
      </c>
      <c r="AP197" s="121">
        <v>0</v>
      </c>
      <c r="AQ197" s="121">
        <v>0</v>
      </c>
      <c r="AR197" s="121">
        <v>0</v>
      </c>
      <c r="AS197" s="121">
        <v>0</v>
      </c>
      <c r="AT197" s="121">
        <v>0</v>
      </c>
      <c r="AU197" s="121">
        <v>0</v>
      </c>
      <c r="AV197" s="121">
        <v>0</v>
      </c>
      <c r="AW197" s="121">
        <v>0</v>
      </c>
      <c r="AX197" s="121">
        <v>0</v>
      </c>
      <c r="AY197" s="121">
        <v>0</v>
      </c>
    </row>
    <row r="198" spans="1:51" x14ac:dyDescent="0.2">
      <c r="A198" s="124"/>
      <c r="B198" s="133">
        <v>2</v>
      </c>
      <c r="C198" s="121">
        <v>0</v>
      </c>
      <c r="D198" s="121">
        <v>0</v>
      </c>
      <c r="E198" s="121">
        <v>0</v>
      </c>
      <c r="F198" s="121">
        <v>0</v>
      </c>
      <c r="G198" s="121">
        <v>0</v>
      </c>
      <c r="H198" s="121">
        <v>0</v>
      </c>
      <c r="I198" s="121">
        <v>0</v>
      </c>
      <c r="J198" s="121">
        <v>0</v>
      </c>
      <c r="K198" s="121">
        <v>0</v>
      </c>
      <c r="L198" s="121">
        <v>0</v>
      </c>
      <c r="M198" s="121">
        <v>0</v>
      </c>
      <c r="N198" s="121">
        <v>0</v>
      </c>
      <c r="O198" s="121">
        <v>0</v>
      </c>
      <c r="P198" s="121">
        <v>0</v>
      </c>
      <c r="Q198" s="121">
        <v>0</v>
      </c>
      <c r="R198" s="121">
        <v>0</v>
      </c>
      <c r="S198" s="121">
        <v>0</v>
      </c>
      <c r="T198" s="121">
        <v>0</v>
      </c>
      <c r="U198" s="121">
        <v>0</v>
      </c>
      <c r="V198" s="121">
        <v>0</v>
      </c>
      <c r="W198" s="121">
        <v>0</v>
      </c>
      <c r="X198" s="121">
        <v>0</v>
      </c>
      <c r="Y198" s="121">
        <v>0</v>
      </c>
      <c r="Z198" s="121">
        <v>0</v>
      </c>
      <c r="AA198" s="121">
        <v>0</v>
      </c>
      <c r="AB198" s="121">
        <v>0</v>
      </c>
      <c r="AC198" s="121">
        <v>0</v>
      </c>
      <c r="AD198" s="121">
        <v>0</v>
      </c>
      <c r="AE198" s="121">
        <v>0</v>
      </c>
      <c r="AF198" s="121">
        <v>0</v>
      </c>
      <c r="AG198" s="121">
        <v>0</v>
      </c>
      <c r="AH198" s="121">
        <v>0</v>
      </c>
      <c r="AI198" s="121">
        <v>0</v>
      </c>
      <c r="AJ198" s="121">
        <v>0</v>
      </c>
      <c r="AK198" s="121">
        <v>0</v>
      </c>
      <c r="AL198" s="121">
        <v>0</v>
      </c>
      <c r="AM198" s="121">
        <v>0</v>
      </c>
      <c r="AN198" s="121">
        <v>0</v>
      </c>
      <c r="AO198" s="121">
        <v>0</v>
      </c>
      <c r="AP198" s="121">
        <v>0</v>
      </c>
      <c r="AQ198" s="121">
        <v>0</v>
      </c>
      <c r="AR198" s="121">
        <v>0</v>
      </c>
      <c r="AS198" s="121">
        <v>0</v>
      </c>
      <c r="AT198" s="121">
        <v>0</v>
      </c>
      <c r="AU198" s="121">
        <v>0</v>
      </c>
      <c r="AV198" s="121">
        <v>0</v>
      </c>
      <c r="AW198" s="121">
        <v>0</v>
      </c>
      <c r="AX198" s="121">
        <v>0</v>
      </c>
      <c r="AY198" s="121">
        <v>0</v>
      </c>
    </row>
    <row r="199" spans="1:51" x14ac:dyDescent="0.2">
      <c r="A199" s="124"/>
      <c r="B199" s="133">
        <v>3</v>
      </c>
      <c r="C199" s="121">
        <v>0</v>
      </c>
      <c r="D199" s="121">
        <v>0</v>
      </c>
      <c r="E199" s="121">
        <v>0</v>
      </c>
      <c r="F199" s="121">
        <v>0</v>
      </c>
      <c r="G199" s="121">
        <v>0</v>
      </c>
      <c r="H199" s="121">
        <v>0</v>
      </c>
      <c r="I199" s="121">
        <v>0</v>
      </c>
      <c r="J199" s="121">
        <v>0</v>
      </c>
      <c r="K199" s="121">
        <v>0</v>
      </c>
      <c r="L199" s="121">
        <v>0</v>
      </c>
      <c r="M199" s="121">
        <v>0</v>
      </c>
      <c r="N199" s="121">
        <v>0</v>
      </c>
      <c r="O199" s="121">
        <v>0</v>
      </c>
      <c r="P199" s="121">
        <v>0</v>
      </c>
      <c r="Q199" s="121">
        <v>0</v>
      </c>
      <c r="R199" s="121">
        <v>0</v>
      </c>
      <c r="S199" s="121">
        <v>0</v>
      </c>
      <c r="T199" s="121">
        <v>0</v>
      </c>
      <c r="U199" s="121">
        <v>0</v>
      </c>
      <c r="V199" s="121">
        <v>0</v>
      </c>
      <c r="W199" s="121">
        <v>0</v>
      </c>
      <c r="X199" s="121">
        <v>0</v>
      </c>
      <c r="Y199" s="121">
        <v>0</v>
      </c>
      <c r="Z199" s="121">
        <v>0</v>
      </c>
      <c r="AA199" s="121">
        <v>0</v>
      </c>
      <c r="AB199" s="121">
        <v>0</v>
      </c>
      <c r="AC199" s="121">
        <v>0</v>
      </c>
      <c r="AD199" s="121">
        <v>0</v>
      </c>
      <c r="AE199" s="121">
        <v>0</v>
      </c>
      <c r="AF199" s="121">
        <v>0</v>
      </c>
      <c r="AG199" s="121">
        <v>0</v>
      </c>
      <c r="AH199" s="121">
        <v>0</v>
      </c>
      <c r="AI199" s="121">
        <v>0</v>
      </c>
      <c r="AJ199" s="121">
        <v>0</v>
      </c>
      <c r="AK199" s="121">
        <v>0</v>
      </c>
      <c r="AL199" s="121">
        <v>0</v>
      </c>
      <c r="AM199" s="121">
        <v>0</v>
      </c>
      <c r="AN199" s="121">
        <v>0</v>
      </c>
      <c r="AO199" s="121">
        <v>0</v>
      </c>
      <c r="AP199" s="121">
        <v>0</v>
      </c>
      <c r="AQ199" s="121">
        <v>0</v>
      </c>
      <c r="AR199" s="121">
        <v>0</v>
      </c>
      <c r="AS199" s="121">
        <v>0</v>
      </c>
      <c r="AT199" s="121">
        <v>0</v>
      </c>
      <c r="AU199" s="121">
        <v>0</v>
      </c>
      <c r="AV199" s="121">
        <v>0</v>
      </c>
      <c r="AW199" s="121">
        <v>0</v>
      </c>
      <c r="AX199" s="121">
        <v>0</v>
      </c>
      <c r="AY199" s="121">
        <v>0</v>
      </c>
    </row>
    <row r="200" spans="1:51" x14ac:dyDescent="0.2">
      <c r="A200" s="124"/>
      <c r="B200" s="134">
        <v>4</v>
      </c>
      <c r="C200" s="121">
        <v>0</v>
      </c>
      <c r="D200" s="121">
        <v>0</v>
      </c>
      <c r="E200" s="121">
        <v>0</v>
      </c>
      <c r="F200" s="121">
        <v>0</v>
      </c>
      <c r="G200" s="121">
        <v>0</v>
      </c>
      <c r="H200" s="121">
        <v>0</v>
      </c>
      <c r="I200" s="121">
        <v>0</v>
      </c>
      <c r="J200" s="121">
        <v>0</v>
      </c>
      <c r="K200" s="121">
        <v>0</v>
      </c>
      <c r="L200" s="121">
        <v>0</v>
      </c>
      <c r="M200" s="121">
        <v>0</v>
      </c>
      <c r="N200" s="121">
        <v>0</v>
      </c>
      <c r="O200" s="121">
        <v>0</v>
      </c>
      <c r="P200" s="121">
        <v>0</v>
      </c>
      <c r="Q200" s="121">
        <v>0</v>
      </c>
      <c r="R200" s="121">
        <v>0</v>
      </c>
      <c r="S200" s="121">
        <v>0</v>
      </c>
      <c r="T200" s="121">
        <v>0</v>
      </c>
      <c r="U200" s="121">
        <v>0</v>
      </c>
      <c r="V200" s="121">
        <v>0</v>
      </c>
      <c r="W200" s="121">
        <v>0</v>
      </c>
      <c r="X200" s="121">
        <v>0</v>
      </c>
      <c r="Y200" s="121">
        <v>0</v>
      </c>
      <c r="Z200" s="121">
        <v>0</v>
      </c>
      <c r="AA200" s="121">
        <v>0</v>
      </c>
      <c r="AB200" s="121">
        <v>0</v>
      </c>
      <c r="AC200" s="121">
        <v>0</v>
      </c>
      <c r="AD200" s="121">
        <v>0</v>
      </c>
      <c r="AE200" s="121">
        <v>0</v>
      </c>
      <c r="AF200" s="121">
        <v>0</v>
      </c>
      <c r="AG200" s="121">
        <v>0</v>
      </c>
      <c r="AH200" s="121">
        <v>0</v>
      </c>
      <c r="AI200" s="121">
        <v>0</v>
      </c>
      <c r="AJ200" s="121">
        <v>0</v>
      </c>
      <c r="AK200" s="121">
        <v>0</v>
      </c>
      <c r="AL200" s="121">
        <v>0</v>
      </c>
      <c r="AM200" s="121">
        <v>0</v>
      </c>
      <c r="AN200" s="121">
        <v>0</v>
      </c>
      <c r="AO200" s="121">
        <v>0</v>
      </c>
      <c r="AP200" s="121">
        <v>0</v>
      </c>
      <c r="AQ200" s="121">
        <v>0</v>
      </c>
      <c r="AR200" s="121">
        <v>0</v>
      </c>
      <c r="AS200" s="121">
        <v>0</v>
      </c>
      <c r="AT200" s="121">
        <v>0</v>
      </c>
      <c r="AU200" s="121">
        <v>0</v>
      </c>
      <c r="AV200" s="121">
        <v>0</v>
      </c>
      <c r="AW200" s="121">
        <v>0</v>
      </c>
      <c r="AX200" s="121">
        <v>0</v>
      </c>
      <c r="AY200" s="121">
        <v>0</v>
      </c>
    </row>
    <row r="201" spans="1:51" x14ac:dyDescent="0.2">
      <c r="A201" s="124"/>
      <c r="B201" s="134">
        <v>5</v>
      </c>
      <c r="C201" s="121">
        <v>0</v>
      </c>
      <c r="D201" s="121">
        <v>0</v>
      </c>
      <c r="E201" s="121">
        <v>0</v>
      </c>
      <c r="F201" s="121">
        <v>0</v>
      </c>
      <c r="G201" s="121">
        <v>0</v>
      </c>
      <c r="H201" s="121">
        <v>0</v>
      </c>
      <c r="I201" s="121">
        <v>0</v>
      </c>
      <c r="J201" s="121">
        <v>0</v>
      </c>
      <c r="K201" s="121">
        <v>0</v>
      </c>
      <c r="L201" s="121">
        <v>0</v>
      </c>
      <c r="M201" s="121">
        <v>0</v>
      </c>
      <c r="N201" s="121">
        <v>0</v>
      </c>
      <c r="O201" s="121">
        <v>0</v>
      </c>
      <c r="P201" s="121">
        <v>0</v>
      </c>
      <c r="Q201" s="121">
        <v>0</v>
      </c>
      <c r="R201" s="121">
        <v>0</v>
      </c>
      <c r="S201" s="121">
        <v>0</v>
      </c>
      <c r="T201" s="121">
        <v>0</v>
      </c>
      <c r="U201" s="121">
        <v>0</v>
      </c>
      <c r="V201" s="121">
        <v>0</v>
      </c>
      <c r="W201" s="121">
        <v>0</v>
      </c>
      <c r="X201" s="121">
        <v>0</v>
      </c>
      <c r="Y201" s="121">
        <v>0</v>
      </c>
      <c r="Z201" s="121">
        <v>0</v>
      </c>
      <c r="AA201" s="121">
        <v>0</v>
      </c>
      <c r="AB201" s="121">
        <v>0</v>
      </c>
      <c r="AC201" s="121">
        <v>0</v>
      </c>
      <c r="AD201" s="121">
        <v>0</v>
      </c>
      <c r="AE201" s="121">
        <v>0</v>
      </c>
      <c r="AF201" s="121">
        <v>0</v>
      </c>
      <c r="AG201" s="121">
        <v>0</v>
      </c>
      <c r="AH201" s="121">
        <v>0</v>
      </c>
      <c r="AI201" s="121">
        <v>0</v>
      </c>
      <c r="AJ201" s="121">
        <v>0</v>
      </c>
      <c r="AK201" s="121">
        <v>0</v>
      </c>
      <c r="AL201" s="121">
        <v>0</v>
      </c>
      <c r="AM201" s="121">
        <v>0</v>
      </c>
      <c r="AN201" s="121">
        <v>0</v>
      </c>
      <c r="AO201" s="121">
        <v>0</v>
      </c>
      <c r="AP201" s="121">
        <v>0</v>
      </c>
      <c r="AQ201" s="121">
        <v>0</v>
      </c>
      <c r="AR201" s="121">
        <v>0</v>
      </c>
      <c r="AS201" s="121">
        <v>0</v>
      </c>
      <c r="AT201" s="121">
        <v>0</v>
      </c>
      <c r="AU201" s="121">
        <v>0</v>
      </c>
      <c r="AV201" s="121">
        <v>0</v>
      </c>
      <c r="AW201" s="121">
        <v>0</v>
      </c>
      <c r="AX201" s="121">
        <v>0</v>
      </c>
      <c r="AY201" s="121">
        <v>0</v>
      </c>
    </row>
    <row r="202" spans="1:51" x14ac:dyDescent="0.2">
      <c r="A202" s="124"/>
      <c r="B202" s="134">
        <v>6</v>
      </c>
      <c r="C202" s="121">
        <v>0</v>
      </c>
      <c r="D202" s="121">
        <v>0</v>
      </c>
      <c r="E202" s="121">
        <v>0</v>
      </c>
      <c r="F202" s="121">
        <v>0</v>
      </c>
      <c r="G202" s="121">
        <v>0</v>
      </c>
      <c r="H202" s="121">
        <v>0</v>
      </c>
      <c r="I202" s="121">
        <v>0</v>
      </c>
      <c r="J202" s="121">
        <v>0</v>
      </c>
      <c r="K202" s="121">
        <v>0</v>
      </c>
      <c r="L202" s="121">
        <v>0</v>
      </c>
      <c r="M202" s="121">
        <v>0</v>
      </c>
      <c r="N202" s="121">
        <v>0</v>
      </c>
      <c r="O202" s="121">
        <v>0</v>
      </c>
      <c r="P202" s="121">
        <v>0</v>
      </c>
      <c r="Q202" s="121">
        <v>0</v>
      </c>
      <c r="R202" s="121">
        <v>0</v>
      </c>
      <c r="S202" s="121">
        <v>0</v>
      </c>
      <c r="T202" s="121">
        <v>0</v>
      </c>
      <c r="U202" s="121">
        <v>0</v>
      </c>
      <c r="V202" s="121">
        <v>0</v>
      </c>
      <c r="W202" s="121">
        <v>0</v>
      </c>
      <c r="X202" s="121">
        <v>0</v>
      </c>
      <c r="Y202" s="121">
        <v>0</v>
      </c>
      <c r="Z202" s="121">
        <v>0</v>
      </c>
      <c r="AA202" s="121">
        <v>0</v>
      </c>
      <c r="AB202" s="121">
        <v>0</v>
      </c>
      <c r="AC202" s="121">
        <v>0</v>
      </c>
      <c r="AD202" s="121">
        <v>0</v>
      </c>
      <c r="AE202" s="121">
        <v>0</v>
      </c>
      <c r="AF202" s="121">
        <v>0</v>
      </c>
      <c r="AG202" s="121">
        <v>0</v>
      </c>
      <c r="AH202" s="121">
        <v>0</v>
      </c>
      <c r="AI202" s="121">
        <v>0</v>
      </c>
      <c r="AJ202" s="121">
        <v>0</v>
      </c>
      <c r="AK202" s="121">
        <v>0</v>
      </c>
      <c r="AL202" s="121">
        <v>0</v>
      </c>
      <c r="AM202" s="121">
        <v>0</v>
      </c>
      <c r="AN202" s="121">
        <v>0</v>
      </c>
      <c r="AO202" s="121">
        <v>0</v>
      </c>
      <c r="AP202" s="121">
        <v>0</v>
      </c>
      <c r="AQ202" s="121">
        <v>0</v>
      </c>
      <c r="AR202" s="121">
        <v>0</v>
      </c>
      <c r="AS202" s="121">
        <v>0</v>
      </c>
      <c r="AT202" s="121">
        <v>0</v>
      </c>
      <c r="AU202" s="121">
        <v>0</v>
      </c>
      <c r="AV202" s="121">
        <v>0</v>
      </c>
      <c r="AW202" s="121">
        <v>0</v>
      </c>
      <c r="AX202" s="121">
        <v>0</v>
      </c>
      <c r="AY202" s="121">
        <v>0</v>
      </c>
    </row>
    <row r="203" spans="1:51" x14ac:dyDescent="0.2">
      <c r="A203" s="124"/>
      <c r="B203" s="141">
        <v>7</v>
      </c>
      <c r="C203" s="121">
        <v>757</v>
      </c>
      <c r="D203" s="121">
        <v>1421</v>
      </c>
      <c r="E203" s="121">
        <v>0</v>
      </c>
      <c r="F203" s="121">
        <v>0</v>
      </c>
      <c r="G203" s="121">
        <v>0</v>
      </c>
      <c r="H203" s="121">
        <v>0</v>
      </c>
      <c r="I203" s="121">
        <v>0</v>
      </c>
      <c r="J203" s="121">
        <v>0</v>
      </c>
      <c r="K203" s="121">
        <v>0</v>
      </c>
      <c r="L203" s="121">
        <v>0</v>
      </c>
      <c r="M203" s="121">
        <v>0</v>
      </c>
      <c r="N203" s="121">
        <v>0</v>
      </c>
      <c r="O203" s="121">
        <v>0</v>
      </c>
      <c r="P203" s="121">
        <v>0</v>
      </c>
      <c r="Q203" s="121">
        <v>0</v>
      </c>
      <c r="R203" s="121">
        <v>0</v>
      </c>
      <c r="S203" s="121">
        <v>0</v>
      </c>
      <c r="T203" s="121">
        <v>0</v>
      </c>
      <c r="U203" s="121">
        <v>0</v>
      </c>
      <c r="V203" s="121">
        <v>0</v>
      </c>
      <c r="W203" s="121">
        <v>0</v>
      </c>
      <c r="X203" s="121">
        <v>0</v>
      </c>
      <c r="Y203" s="121">
        <v>0</v>
      </c>
      <c r="Z203" s="121">
        <v>0</v>
      </c>
      <c r="AA203" s="121">
        <v>0</v>
      </c>
      <c r="AB203" s="121">
        <v>0</v>
      </c>
      <c r="AC203" s="121">
        <v>0</v>
      </c>
      <c r="AD203" s="121">
        <v>0</v>
      </c>
      <c r="AE203" s="121">
        <v>0</v>
      </c>
      <c r="AF203" s="121">
        <v>0</v>
      </c>
      <c r="AG203" s="121">
        <v>0</v>
      </c>
      <c r="AH203" s="121">
        <v>0</v>
      </c>
      <c r="AI203" s="121">
        <v>0</v>
      </c>
      <c r="AJ203" s="121">
        <v>0</v>
      </c>
      <c r="AK203" s="121">
        <v>0</v>
      </c>
      <c r="AL203" s="121">
        <v>0</v>
      </c>
      <c r="AM203" s="121">
        <v>0</v>
      </c>
      <c r="AN203" s="121">
        <v>0</v>
      </c>
      <c r="AO203" s="121">
        <v>0</v>
      </c>
      <c r="AP203" s="121">
        <v>0</v>
      </c>
      <c r="AQ203" s="121">
        <v>0</v>
      </c>
      <c r="AR203" s="121">
        <v>0</v>
      </c>
      <c r="AS203" s="121">
        <v>0</v>
      </c>
      <c r="AT203" s="121">
        <v>0</v>
      </c>
      <c r="AU203" s="121">
        <v>140.61841190771452</v>
      </c>
      <c r="AV203" s="121">
        <v>231.52016886379897</v>
      </c>
      <c r="AW203" s="121">
        <v>366.95120510512425</v>
      </c>
      <c r="AX203" s="121">
        <v>650.35041782678763</v>
      </c>
      <c r="AY203" s="121">
        <v>648.6167159727479</v>
      </c>
    </row>
    <row r="204" spans="1:51" x14ac:dyDescent="0.2">
      <c r="A204" s="124"/>
      <c r="B204" s="141">
        <v>8</v>
      </c>
      <c r="C204" s="121">
        <v>0</v>
      </c>
      <c r="D204" s="121">
        <v>0</v>
      </c>
      <c r="E204" s="121">
        <v>1317</v>
      </c>
      <c r="F204" s="121">
        <v>1189.6970585612844</v>
      </c>
      <c r="G204" s="121">
        <v>210.42988682864939</v>
      </c>
      <c r="H204" s="121">
        <v>0</v>
      </c>
      <c r="I204" s="121">
        <v>0</v>
      </c>
      <c r="J204" s="121">
        <v>0</v>
      </c>
      <c r="K204" s="121">
        <v>0</v>
      </c>
      <c r="L204" s="121">
        <v>0</v>
      </c>
      <c r="M204" s="121">
        <v>0</v>
      </c>
      <c r="N204" s="121">
        <v>0</v>
      </c>
      <c r="O204" s="121">
        <v>0</v>
      </c>
      <c r="P204" s="121">
        <v>0</v>
      </c>
      <c r="Q204" s="121">
        <v>0</v>
      </c>
      <c r="R204" s="121">
        <v>0</v>
      </c>
      <c r="S204" s="121">
        <v>0</v>
      </c>
      <c r="T204" s="121">
        <v>0</v>
      </c>
      <c r="U204" s="121">
        <v>0</v>
      </c>
      <c r="V204" s="121">
        <v>0</v>
      </c>
      <c r="W204" s="121">
        <v>0</v>
      </c>
      <c r="X204" s="121">
        <v>100.4403703526566</v>
      </c>
      <c r="Y204" s="121">
        <v>167.36811119157323</v>
      </c>
      <c r="Z204" s="121">
        <v>233.09617859000059</v>
      </c>
      <c r="AA204" s="121">
        <v>355.30342627359323</v>
      </c>
      <c r="AB204" s="121">
        <v>207.28704557901528</v>
      </c>
      <c r="AC204" s="121">
        <v>354.41118550556484</v>
      </c>
      <c r="AD204" s="121">
        <v>271.44569597938539</v>
      </c>
      <c r="AE204" s="121">
        <v>47.310261483996555</v>
      </c>
      <c r="AF204" s="121">
        <v>195.0369528248757</v>
      </c>
      <c r="AG204" s="121">
        <v>134.65200087950006</v>
      </c>
      <c r="AH204" s="121">
        <v>320.86944705192536</v>
      </c>
      <c r="AI204" s="121">
        <v>636.86588785558956</v>
      </c>
      <c r="AJ204" s="121">
        <v>688.7853972415694</v>
      </c>
      <c r="AK204" s="121">
        <v>528.11609335878211</v>
      </c>
      <c r="AL204" s="121">
        <v>376.59959420040491</v>
      </c>
      <c r="AM204" s="121">
        <v>278.9615550652984</v>
      </c>
      <c r="AN204" s="121">
        <v>581.99767866276238</v>
      </c>
      <c r="AO204" s="121">
        <v>481.39308005547809</v>
      </c>
      <c r="AP204" s="121">
        <v>775.23157127315471</v>
      </c>
      <c r="AQ204" s="121">
        <v>837.27713481755518</v>
      </c>
      <c r="AR204" s="121">
        <v>939.87618730946861</v>
      </c>
      <c r="AS204" s="121">
        <v>1069.7248873208609</v>
      </c>
      <c r="AT204" s="121">
        <v>1016.974518239484</v>
      </c>
      <c r="AU204" s="121">
        <v>1131.6513685135631</v>
      </c>
      <c r="AV204" s="121">
        <v>973.47983113620103</v>
      </c>
      <c r="AW204" s="121">
        <v>984.04879489487575</v>
      </c>
      <c r="AX204" s="121">
        <v>841.64958217321237</v>
      </c>
      <c r="AY204" s="121">
        <v>533.3832840272521</v>
      </c>
    </row>
    <row r="205" spans="1:51" x14ac:dyDescent="0.2">
      <c r="A205" s="124"/>
      <c r="B205" s="141">
        <v>9</v>
      </c>
      <c r="C205" s="121">
        <v>0</v>
      </c>
      <c r="D205" s="121">
        <v>0</v>
      </c>
      <c r="E205" s="121">
        <v>0</v>
      </c>
      <c r="F205" s="121">
        <v>214.30294143871561</v>
      </c>
      <c r="G205" s="121">
        <v>1201.5701131713506</v>
      </c>
      <c r="H205" s="121">
        <v>1278</v>
      </c>
      <c r="I205" s="121">
        <v>1081</v>
      </c>
      <c r="J205" s="121">
        <v>1223</v>
      </c>
      <c r="K205" s="121">
        <v>964</v>
      </c>
      <c r="L205" s="121">
        <v>1194.1022395111499</v>
      </c>
      <c r="M205" s="121">
        <v>351.94258353039413</v>
      </c>
      <c r="N205" s="121">
        <v>0</v>
      </c>
      <c r="O205" s="121">
        <v>0</v>
      </c>
      <c r="P205" s="121">
        <v>0</v>
      </c>
      <c r="Q205" s="121">
        <v>48.442326589845834</v>
      </c>
      <c r="R205" s="121">
        <v>303.62254241365213</v>
      </c>
      <c r="S205" s="121">
        <v>724.76339896169293</v>
      </c>
      <c r="T205" s="121">
        <v>595.32654685985619</v>
      </c>
      <c r="U205" s="121">
        <v>700.33716901388595</v>
      </c>
      <c r="V205" s="121">
        <v>899.9926158765079</v>
      </c>
      <c r="W205" s="121">
        <v>1122.6699411847328</v>
      </c>
      <c r="X205" s="121">
        <v>1125.6004827235402</v>
      </c>
      <c r="Y205" s="121">
        <v>1090.6318888084268</v>
      </c>
      <c r="Z205" s="121">
        <v>1061.9038214099994</v>
      </c>
      <c r="AA205" s="121">
        <v>946.69657372640677</v>
      </c>
      <c r="AB205" s="121">
        <v>902.71295442098472</v>
      </c>
      <c r="AC205" s="121">
        <v>1026.5888144944352</v>
      </c>
      <c r="AD205" s="121">
        <v>853.55430402061461</v>
      </c>
      <c r="AE205" s="121">
        <v>903.68973851600344</v>
      </c>
      <c r="AF205" s="121">
        <v>1182.9630471751243</v>
      </c>
      <c r="AG205" s="121">
        <v>1001.3479991204999</v>
      </c>
      <c r="AH205" s="121">
        <v>1035.1305529480746</v>
      </c>
      <c r="AI205" s="121">
        <v>833.13411214441044</v>
      </c>
      <c r="AJ205" s="121">
        <v>579.2146027584306</v>
      </c>
      <c r="AK205" s="121">
        <v>599.88390664121789</v>
      </c>
      <c r="AL205" s="121">
        <v>727.40040579959509</v>
      </c>
      <c r="AM205" s="121">
        <v>838.0384449347016</v>
      </c>
      <c r="AN205" s="121">
        <v>914.00232133723762</v>
      </c>
      <c r="AO205" s="121">
        <v>600.60691994452191</v>
      </c>
      <c r="AP205" s="121">
        <v>693.76842872684529</v>
      </c>
      <c r="AQ205" s="121">
        <v>375.72286518244482</v>
      </c>
      <c r="AR205" s="121">
        <v>322.12381269053139</v>
      </c>
      <c r="AS205" s="121">
        <v>244.27511267913906</v>
      </c>
      <c r="AT205" s="121">
        <v>109.02548176051596</v>
      </c>
      <c r="AU205" s="121">
        <v>165.73021957872243</v>
      </c>
      <c r="AV205" s="121">
        <v>0</v>
      </c>
      <c r="AW205" s="121">
        <v>0</v>
      </c>
      <c r="AX205" s="121">
        <v>0</v>
      </c>
      <c r="AY205" s="121">
        <v>0</v>
      </c>
    </row>
    <row r="206" spans="1:51" x14ac:dyDescent="0.2">
      <c r="A206" s="124"/>
      <c r="B206" s="144">
        <v>10</v>
      </c>
      <c r="C206" s="121">
        <v>0</v>
      </c>
      <c r="D206" s="121">
        <v>0</v>
      </c>
      <c r="E206" s="121">
        <v>0</v>
      </c>
      <c r="F206" s="121">
        <v>0</v>
      </c>
      <c r="G206" s="121">
        <v>0</v>
      </c>
      <c r="H206" s="121">
        <v>0</v>
      </c>
      <c r="I206" s="121">
        <v>0</v>
      </c>
      <c r="J206" s="121">
        <v>0</v>
      </c>
      <c r="K206" s="121">
        <v>0</v>
      </c>
      <c r="L206" s="121">
        <v>135.89776048885005</v>
      </c>
      <c r="M206" s="121">
        <v>908.05741646960587</v>
      </c>
      <c r="N206" s="121">
        <v>1289</v>
      </c>
      <c r="O206" s="121">
        <v>1154</v>
      </c>
      <c r="P206" s="121">
        <v>1366</v>
      </c>
      <c r="Q206" s="121">
        <v>1087.5576734101542</v>
      </c>
      <c r="R206" s="121">
        <v>993.37745758634787</v>
      </c>
      <c r="S206" s="121">
        <v>632.23660103830707</v>
      </c>
      <c r="T206" s="121">
        <v>396.67345314014381</v>
      </c>
      <c r="U206" s="121">
        <v>495.66283098611405</v>
      </c>
      <c r="V206" s="121">
        <v>365.00738412349216</v>
      </c>
      <c r="W206" s="121">
        <v>220.33005881526725</v>
      </c>
      <c r="X206" s="121">
        <v>38.959146923803168</v>
      </c>
      <c r="Y206" s="121">
        <v>0</v>
      </c>
      <c r="Z206" s="121">
        <v>0</v>
      </c>
      <c r="AA206" s="121">
        <v>0</v>
      </c>
      <c r="AB206" s="121">
        <v>0</v>
      </c>
      <c r="AC206" s="121">
        <v>0</v>
      </c>
      <c r="AD206" s="121">
        <v>0</v>
      </c>
      <c r="AE206" s="121">
        <v>0</v>
      </c>
      <c r="AF206" s="121">
        <v>0</v>
      </c>
      <c r="AG206" s="121">
        <v>0</v>
      </c>
      <c r="AH206" s="121">
        <v>0</v>
      </c>
      <c r="AI206" s="121">
        <v>0</v>
      </c>
      <c r="AJ206" s="121">
        <v>0</v>
      </c>
      <c r="AK206" s="121">
        <v>0</v>
      </c>
      <c r="AL206" s="121">
        <v>0</v>
      </c>
      <c r="AM206" s="121">
        <v>0</v>
      </c>
      <c r="AN206" s="121">
        <v>0</v>
      </c>
      <c r="AO206" s="121">
        <v>0</v>
      </c>
      <c r="AP206" s="121">
        <v>0</v>
      </c>
      <c r="AQ206" s="121">
        <v>0</v>
      </c>
      <c r="AR206" s="121">
        <v>0</v>
      </c>
      <c r="AS206" s="121">
        <v>0</v>
      </c>
      <c r="AT206" s="121">
        <v>0</v>
      </c>
      <c r="AU206" s="121">
        <v>0</v>
      </c>
      <c r="AV206" s="121">
        <v>0</v>
      </c>
      <c r="AW206" s="121">
        <v>0</v>
      </c>
      <c r="AX206" s="121">
        <v>0</v>
      </c>
      <c r="AY206" s="121">
        <v>0</v>
      </c>
    </row>
    <row r="207" spans="1:51" x14ac:dyDescent="0.2">
      <c r="A207" s="124"/>
      <c r="B207" s="144">
        <v>11</v>
      </c>
      <c r="C207" s="121">
        <v>0</v>
      </c>
      <c r="D207" s="121">
        <v>0</v>
      </c>
      <c r="E207" s="121">
        <v>0</v>
      </c>
      <c r="F207" s="121">
        <v>0</v>
      </c>
      <c r="G207" s="121">
        <v>0</v>
      </c>
      <c r="H207" s="121">
        <v>0</v>
      </c>
      <c r="I207" s="121">
        <v>0</v>
      </c>
      <c r="J207" s="121">
        <v>0</v>
      </c>
      <c r="K207" s="121">
        <v>0</v>
      </c>
      <c r="L207" s="121">
        <v>0</v>
      </c>
      <c r="M207" s="121">
        <v>0</v>
      </c>
      <c r="N207" s="121">
        <v>0</v>
      </c>
      <c r="O207" s="121">
        <v>0</v>
      </c>
      <c r="P207" s="121">
        <v>0</v>
      </c>
      <c r="Q207" s="121">
        <v>0</v>
      </c>
      <c r="R207" s="121">
        <v>0</v>
      </c>
      <c r="S207" s="121">
        <v>0</v>
      </c>
      <c r="T207" s="121">
        <v>0</v>
      </c>
      <c r="U207" s="121">
        <v>0</v>
      </c>
      <c r="V207" s="121">
        <v>0</v>
      </c>
      <c r="W207" s="121">
        <v>0</v>
      </c>
      <c r="X207" s="121">
        <v>0</v>
      </c>
      <c r="Y207" s="121">
        <v>0</v>
      </c>
      <c r="Z207" s="121">
        <v>0</v>
      </c>
      <c r="AA207" s="121">
        <v>0</v>
      </c>
      <c r="AB207" s="121">
        <v>0</v>
      </c>
      <c r="AC207" s="121">
        <v>0</v>
      </c>
      <c r="AD207" s="121">
        <v>0</v>
      </c>
      <c r="AE207" s="121">
        <v>0</v>
      </c>
      <c r="AF207" s="121">
        <v>0</v>
      </c>
      <c r="AG207" s="121">
        <v>0</v>
      </c>
      <c r="AH207" s="121">
        <v>0</v>
      </c>
      <c r="AI207" s="121">
        <v>0</v>
      </c>
      <c r="AJ207" s="121">
        <v>0</v>
      </c>
      <c r="AK207" s="121">
        <v>0</v>
      </c>
      <c r="AL207" s="121">
        <v>0</v>
      </c>
      <c r="AM207" s="121">
        <v>0</v>
      </c>
      <c r="AN207" s="121">
        <v>0</v>
      </c>
      <c r="AO207" s="121">
        <v>0</v>
      </c>
      <c r="AP207" s="121">
        <v>0</v>
      </c>
      <c r="AQ207" s="121">
        <v>0</v>
      </c>
      <c r="AR207" s="121">
        <v>0</v>
      </c>
      <c r="AS207" s="121">
        <v>0</v>
      </c>
      <c r="AT207" s="121">
        <v>0</v>
      </c>
      <c r="AU207" s="121">
        <v>0</v>
      </c>
      <c r="AV207" s="121">
        <v>0</v>
      </c>
      <c r="AW207" s="121">
        <v>0</v>
      </c>
      <c r="AX207" s="121">
        <v>0</v>
      </c>
      <c r="AY207" s="121">
        <v>0</v>
      </c>
    </row>
    <row r="208" spans="1:51" x14ac:dyDescent="0.2">
      <c r="A208" s="124"/>
      <c r="B208" s="144">
        <v>12</v>
      </c>
      <c r="C208" s="121">
        <v>0</v>
      </c>
      <c r="D208" s="121">
        <v>0</v>
      </c>
      <c r="E208" s="121">
        <v>0</v>
      </c>
      <c r="F208" s="121">
        <v>0</v>
      </c>
      <c r="G208" s="121">
        <v>0</v>
      </c>
      <c r="H208" s="121">
        <v>0</v>
      </c>
      <c r="I208" s="121">
        <v>0</v>
      </c>
      <c r="J208" s="121">
        <v>0</v>
      </c>
      <c r="K208" s="121">
        <v>0</v>
      </c>
      <c r="L208" s="121">
        <v>0</v>
      </c>
      <c r="M208" s="121">
        <v>0</v>
      </c>
      <c r="N208" s="121">
        <v>0</v>
      </c>
      <c r="O208" s="121">
        <v>0</v>
      </c>
      <c r="P208" s="121">
        <v>0</v>
      </c>
      <c r="Q208" s="121">
        <v>0</v>
      </c>
      <c r="R208" s="121">
        <v>0</v>
      </c>
      <c r="S208" s="121">
        <v>0</v>
      </c>
      <c r="T208" s="121">
        <v>0</v>
      </c>
      <c r="U208" s="121">
        <v>0</v>
      </c>
      <c r="V208" s="121">
        <v>0</v>
      </c>
      <c r="W208" s="121">
        <v>0</v>
      </c>
      <c r="X208" s="121">
        <v>0</v>
      </c>
      <c r="Y208" s="121">
        <v>0</v>
      </c>
      <c r="Z208" s="121">
        <v>0</v>
      </c>
      <c r="AA208" s="121">
        <v>0</v>
      </c>
      <c r="AB208" s="121">
        <v>0</v>
      </c>
      <c r="AC208" s="121">
        <v>0</v>
      </c>
      <c r="AD208" s="121">
        <v>0</v>
      </c>
      <c r="AE208" s="121">
        <v>0</v>
      </c>
      <c r="AF208" s="121">
        <v>0</v>
      </c>
      <c r="AG208" s="121">
        <v>0</v>
      </c>
      <c r="AH208" s="121">
        <v>0</v>
      </c>
      <c r="AI208" s="121">
        <v>0</v>
      </c>
      <c r="AJ208" s="121">
        <v>0</v>
      </c>
      <c r="AK208" s="121">
        <v>0</v>
      </c>
      <c r="AL208" s="121">
        <v>0</v>
      </c>
      <c r="AM208" s="121">
        <v>0</v>
      </c>
      <c r="AN208" s="121">
        <v>0</v>
      </c>
      <c r="AO208" s="121">
        <v>0</v>
      </c>
      <c r="AP208" s="121">
        <v>0</v>
      </c>
      <c r="AQ208" s="121">
        <v>0</v>
      </c>
      <c r="AR208" s="121">
        <v>0</v>
      </c>
      <c r="AS208" s="121">
        <v>0</v>
      </c>
      <c r="AT208" s="121">
        <v>0</v>
      </c>
      <c r="AU208" s="121">
        <v>0</v>
      </c>
      <c r="AV208" s="121">
        <v>0</v>
      </c>
      <c r="AW208" s="121">
        <v>0</v>
      </c>
      <c r="AX208" s="121">
        <v>0</v>
      </c>
      <c r="AY208" s="121">
        <v>0</v>
      </c>
    </row>
    <row r="209" spans="1:51" x14ac:dyDescent="0.2">
      <c r="A209" s="140" t="s">
        <v>123</v>
      </c>
      <c r="B209" s="137">
        <v>1</v>
      </c>
      <c r="C209" s="138">
        <v>0</v>
      </c>
      <c r="D209" s="138">
        <v>0</v>
      </c>
      <c r="E209" s="138">
        <v>0</v>
      </c>
      <c r="F209" s="138">
        <v>0</v>
      </c>
      <c r="G209" s="138">
        <v>0</v>
      </c>
      <c r="H209" s="138">
        <v>103.29508457344321</v>
      </c>
      <c r="I209" s="138">
        <v>149.87904188892031</v>
      </c>
      <c r="J209" s="138">
        <v>372.10089169694345</v>
      </c>
      <c r="K209" s="138">
        <v>284.41798030239909</v>
      </c>
      <c r="L209" s="138">
        <v>396.94401395500518</v>
      </c>
      <c r="M209" s="138">
        <v>333.86873748285467</v>
      </c>
      <c r="N209" s="138">
        <v>437.71802892440513</v>
      </c>
      <c r="O209" s="138">
        <v>294.94492295296743</v>
      </c>
      <c r="P209" s="138">
        <v>211.64359341907306</v>
      </c>
      <c r="Q209" s="138">
        <v>319.54193732566767</v>
      </c>
      <c r="R209" s="138">
        <v>148.96110094709735</v>
      </c>
      <c r="S209" s="138">
        <v>201.60389294669767</v>
      </c>
      <c r="T209" s="138">
        <v>258.10616432517043</v>
      </c>
      <c r="U209" s="138">
        <v>329.69806515637197</v>
      </c>
      <c r="V209" s="138">
        <v>209.45991095678289</v>
      </c>
      <c r="W209" s="138">
        <v>283.35963092092618</v>
      </c>
      <c r="X209" s="138">
        <v>341.37099417132413</v>
      </c>
      <c r="Y209" s="138">
        <v>375.77995930392109</v>
      </c>
      <c r="Z209" s="138">
        <v>240.40992980527926</v>
      </c>
      <c r="AA209" s="138">
        <v>82.116831724321742</v>
      </c>
      <c r="AB209" s="138">
        <v>154.41254691213118</v>
      </c>
      <c r="AC209" s="138">
        <v>243.55545737553069</v>
      </c>
      <c r="AD209" s="138">
        <v>290.81990781565923</v>
      </c>
      <c r="AE209" s="138">
        <v>313.41019552321757</v>
      </c>
      <c r="AF209" s="138">
        <v>329.64120543552411</v>
      </c>
      <c r="AG209" s="138">
        <v>382.42912552286964</v>
      </c>
      <c r="AH209" s="138">
        <v>364.00997328349149</v>
      </c>
      <c r="AI209" s="138">
        <v>310.03733209660027</v>
      </c>
      <c r="AJ209" s="138">
        <v>321.81504339023024</v>
      </c>
      <c r="AK209" s="138">
        <v>313.19182377662946</v>
      </c>
      <c r="AL209" s="138">
        <v>424.52297289985825</v>
      </c>
      <c r="AM209" s="138">
        <v>462.80075271844339</v>
      </c>
      <c r="AN209" s="138">
        <v>241.52540706738108</v>
      </c>
      <c r="AO209" s="138">
        <v>256.72078213107795</v>
      </c>
      <c r="AP209" s="138">
        <v>310.94798071443682</v>
      </c>
      <c r="AQ209" s="138">
        <v>403.30809387349876</v>
      </c>
      <c r="AR209" s="138">
        <v>569.3144273108669</v>
      </c>
      <c r="AS209" s="138">
        <v>528.19487221988743</v>
      </c>
      <c r="AT209" s="138">
        <v>471.93160171983391</v>
      </c>
      <c r="AU209" s="138">
        <v>355.46910260988699</v>
      </c>
      <c r="AV209" s="138">
        <v>452.41306722574461</v>
      </c>
      <c r="AW209" s="138">
        <v>555.90122530077997</v>
      </c>
      <c r="AX209" s="138">
        <v>510.93259168300642</v>
      </c>
      <c r="AY209" s="138">
        <v>316.58532304074623</v>
      </c>
    </row>
    <row r="210" spans="1:51" x14ac:dyDescent="0.2">
      <c r="A210" s="124"/>
      <c r="B210" s="133">
        <v>2</v>
      </c>
      <c r="C210" s="121">
        <v>0</v>
      </c>
      <c r="D210" s="125">
        <v>0</v>
      </c>
      <c r="E210" s="125">
        <v>0</v>
      </c>
      <c r="F210" s="125">
        <v>0</v>
      </c>
      <c r="G210" s="125">
        <v>377.06604485545012</v>
      </c>
      <c r="H210" s="125">
        <v>550.04778913092605</v>
      </c>
      <c r="I210" s="125">
        <v>494.12095811107969</v>
      </c>
      <c r="J210" s="125">
        <v>468.89910830305655</v>
      </c>
      <c r="K210" s="125">
        <v>348.58201969760091</v>
      </c>
      <c r="L210" s="125">
        <v>396.05598604499482</v>
      </c>
      <c r="M210" s="125">
        <v>335.13126251714533</v>
      </c>
      <c r="N210" s="125">
        <v>369.28197107559487</v>
      </c>
      <c r="O210" s="125">
        <v>313.05507704703257</v>
      </c>
      <c r="P210" s="125">
        <v>390.35640658092694</v>
      </c>
      <c r="Q210" s="125">
        <v>435.45806267433233</v>
      </c>
      <c r="R210" s="125">
        <v>377.03889905290265</v>
      </c>
      <c r="S210" s="125">
        <v>469.39610705330233</v>
      </c>
      <c r="T210" s="125">
        <v>440.89383567482957</v>
      </c>
      <c r="U210" s="125">
        <v>410.30193484362803</v>
      </c>
      <c r="V210" s="125">
        <v>371.54008904321711</v>
      </c>
      <c r="W210" s="125">
        <v>436.64036907907382</v>
      </c>
      <c r="X210" s="125">
        <v>396.62900582867587</v>
      </c>
      <c r="Y210" s="125">
        <v>365.22004069607891</v>
      </c>
      <c r="Z210" s="125">
        <v>346.59007019472074</v>
      </c>
      <c r="AA210" s="125">
        <v>419.88316827567826</v>
      </c>
      <c r="AB210" s="125">
        <v>505.58745308786882</v>
      </c>
      <c r="AC210" s="125">
        <v>466.44454262446931</v>
      </c>
      <c r="AD210" s="125">
        <v>418.18009218434077</v>
      </c>
      <c r="AE210" s="125">
        <v>392.58980447678243</v>
      </c>
      <c r="AF210" s="125">
        <v>380.35879456447589</v>
      </c>
      <c r="AG210" s="125">
        <v>371.57087447713036</v>
      </c>
      <c r="AH210" s="125">
        <v>342.99002671650851</v>
      </c>
      <c r="AI210" s="125">
        <v>352.96266790339973</v>
      </c>
      <c r="AJ210" s="125">
        <v>382.18495660976976</v>
      </c>
      <c r="AK210" s="125">
        <v>375.80817622337054</v>
      </c>
      <c r="AL210" s="125">
        <v>380.47702710014175</v>
      </c>
      <c r="AM210" s="125">
        <v>320.19924728155661</v>
      </c>
      <c r="AN210" s="125">
        <v>299.47459293261892</v>
      </c>
      <c r="AO210" s="125">
        <v>419.27921786892205</v>
      </c>
      <c r="AP210" s="125">
        <v>411.05201928556318</v>
      </c>
      <c r="AQ210" s="125">
        <v>381.69190612650124</v>
      </c>
      <c r="AR210" s="125">
        <v>331.68557268913304</v>
      </c>
      <c r="AS210" s="125">
        <v>241.80512778011254</v>
      </c>
      <c r="AT210" s="125">
        <v>264.06839828016609</v>
      </c>
      <c r="AU210" s="125">
        <v>294.53089739011301</v>
      </c>
      <c r="AV210" s="125">
        <v>357.58693277425539</v>
      </c>
      <c r="AW210" s="125">
        <v>305.09877469921997</v>
      </c>
      <c r="AX210" s="125">
        <v>249.06740831699358</v>
      </c>
      <c r="AY210" s="125">
        <v>273.41467695925377</v>
      </c>
    </row>
    <row r="211" spans="1:51" x14ac:dyDescent="0.2">
      <c r="A211" s="124"/>
      <c r="B211" s="133">
        <v>3</v>
      </c>
      <c r="C211" s="121">
        <v>1162.0516812073654</v>
      </c>
      <c r="D211" s="125">
        <v>661.43782963812475</v>
      </c>
      <c r="E211" s="125">
        <v>409.07078931515332</v>
      </c>
      <c r="F211" s="125">
        <v>275.58712576450625</v>
      </c>
      <c r="G211" s="125">
        <v>297.81116771043656</v>
      </c>
      <c r="H211" s="125">
        <v>93.657126295630761</v>
      </c>
      <c r="I211" s="125">
        <v>0</v>
      </c>
      <c r="J211" s="125">
        <v>0</v>
      </c>
      <c r="K211" s="125">
        <v>0</v>
      </c>
      <c r="L211" s="125">
        <v>0</v>
      </c>
      <c r="M211" s="125">
        <v>0</v>
      </c>
      <c r="N211" s="125">
        <v>0</v>
      </c>
      <c r="O211" s="125">
        <v>0</v>
      </c>
      <c r="P211" s="125">
        <v>0</v>
      </c>
      <c r="Q211" s="125">
        <v>0</v>
      </c>
      <c r="R211" s="125">
        <v>0</v>
      </c>
      <c r="S211" s="125">
        <v>0</v>
      </c>
      <c r="T211" s="125">
        <v>0</v>
      </c>
      <c r="U211" s="125">
        <v>0</v>
      </c>
      <c r="V211" s="125">
        <v>0</v>
      </c>
      <c r="W211" s="125">
        <v>0</v>
      </c>
      <c r="X211" s="125">
        <v>0</v>
      </c>
      <c r="Y211" s="125">
        <v>0</v>
      </c>
      <c r="Z211" s="125">
        <v>0</v>
      </c>
      <c r="AA211" s="125">
        <v>0</v>
      </c>
      <c r="AB211" s="125">
        <v>0</v>
      </c>
      <c r="AC211" s="125">
        <v>0</v>
      </c>
      <c r="AD211" s="125">
        <v>0</v>
      </c>
      <c r="AE211" s="125">
        <v>0</v>
      </c>
      <c r="AF211" s="125">
        <v>0</v>
      </c>
      <c r="AG211" s="125">
        <v>0</v>
      </c>
      <c r="AH211" s="125">
        <v>0</v>
      </c>
      <c r="AI211" s="125">
        <v>0</v>
      </c>
      <c r="AJ211" s="125">
        <v>0</v>
      </c>
      <c r="AK211" s="125">
        <v>0</v>
      </c>
      <c r="AL211" s="125">
        <v>0</v>
      </c>
      <c r="AM211" s="125">
        <v>0</v>
      </c>
      <c r="AN211" s="125">
        <v>0</v>
      </c>
      <c r="AO211" s="125">
        <v>0</v>
      </c>
      <c r="AP211" s="125">
        <v>0</v>
      </c>
      <c r="AQ211" s="125">
        <v>0</v>
      </c>
      <c r="AR211" s="125">
        <v>0</v>
      </c>
      <c r="AS211" s="125">
        <v>0</v>
      </c>
      <c r="AT211" s="125">
        <v>0</v>
      </c>
      <c r="AU211" s="125">
        <v>0</v>
      </c>
      <c r="AV211" s="125">
        <v>0</v>
      </c>
      <c r="AW211" s="125">
        <v>0</v>
      </c>
      <c r="AX211" s="125">
        <v>0</v>
      </c>
      <c r="AY211" s="125">
        <v>0</v>
      </c>
    </row>
    <row r="212" spans="1:51" x14ac:dyDescent="0.2">
      <c r="A212" s="124"/>
      <c r="B212" s="133">
        <v>4</v>
      </c>
      <c r="C212" s="121">
        <v>51.948318792634545</v>
      </c>
      <c r="D212" s="125">
        <v>44.562170361875232</v>
      </c>
      <c r="E212" s="125">
        <v>263.92921068484668</v>
      </c>
      <c r="F212" s="125">
        <v>362.41287423549375</v>
      </c>
      <c r="G212" s="125">
        <v>116.12278743411332</v>
      </c>
      <c r="H212" s="125">
        <v>0</v>
      </c>
      <c r="I212" s="125">
        <v>0</v>
      </c>
      <c r="J212" s="125">
        <v>0</v>
      </c>
      <c r="K212" s="125">
        <v>0</v>
      </c>
      <c r="L212" s="125">
        <v>0</v>
      </c>
      <c r="M212" s="125">
        <v>0</v>
      </c>
      <c r="N212" s="125">
        <v>0</v>
      </c>
      <c r="O212" s="125">
        <v>0</v>
      </c>
      <c r="P212" s="125">
        <v>0</v>
      </c>
      <c r="Q212" s="125">
        <v>0</v>
      </c>
      <c r="R212" s="125">
        <v>0</v>
      </c>
      <c r="S212" s="125">
        <v>0</v>
      </c>
      <c r="T212" s="125">
        <v>0</v>
      </c>
      <c r="U212" s="125">
        <v>0</v>
      </c>
      <c r="V212" s="125">
        <v>0</v>
      </c>
      <c r="W212" s="125">
        <v>0</v>
      </c>
      <c r="X212" s="125">
        <v>0</v>
      </c>
      <c r="Y212" s="125">
        <v>0</v>
      </c>
      <c r="Z212" s="125">
        <v>0</v>
      </c>
      <c r="AA212" s="125">
        <v>0</v>
      </c>
      <c r="AB212" s="125">
        <v>0</v>
      </c>
      <c r="AC212" s="125">
        <v>0</v>
      </c>
      <c r="AD212" s="125">
        <v>0</v>
      </c>
      <c r="AE212" s="125">
        <v>0</v>
      </c>
      <c r="AF212" s="125">
        <v>0</v>
      </c>
      <c r="AG212" s="125">
        <v>0</v>
      </c>
      <c r="AH212" s="125">
        <v>0</v>
      </c>
      <c r="AI212" s="125">
        <v>0</v>
      </c>
      <c r="AJ212" s="125">
        <v>0</v>
      </c>
      <c r="AK212" s="125">
        <v>0</v>
      </c>
      <c r="AL212" s="125">
        <v>0</v>
      </c>
      <c r="AM212" s="125">
        <v>0</v>
      </c>
      <c r="AN212" s="125">
        <v>0</v>
      </c>
      <c r="AO212" s="125">
        <v>0</v>
      </c>
      <c r="AP212" s="125">
        <v>0</v>
      </c>
      <c r="AQ212" s="125">
        <v>0</v>
      </c>
      <c r="AR212" s="125">
        <v>0</v>
      </c>
      <c r="AS212" s="125">
        <v>0</v>
      </c>
      <c r="AT212" s="125">
        <v>0</v>
      </c>
      <c r="AU212" s="125">
        <v>0</v>
      </c>
      <c r="AV212" s="125">
        <v>0</v>
      </c>
      <c r="AW212" s="125">
        <v>0</v>
      </c>
      <c r="AX212" s="125">
        <v>0</v>
      </c>
      <c r="AY212" s="125">
        <v>0</v>
      </c>
    </row>
    <row r="213" spans="1:51" x14ac:dyDescent="0.2">
      <c r="A213" s="124"/>
      <c r="B213" s="133">
        <v>5</v>
      </c>
      <c r="C213" s="121">
        <v>0</v>
      </c>
      <c r="D213" s="125">
        <v>0</v>
      </c>
      <c r="E213" s="125">
        <v>0</v>
      </c>
      <c r="F213" s="125">
        <v>0</v>
      </c>
      <c r="G213" s="125">
        <v>0</v>
      </c>
      <c r="H213" s="125">
        <v>0</v>
      </c>
      <c r="I213" s="125">
        <v>0</v>
      </c>
      <c r="J213" s="125">
        <v>0</v>
      </c>
      <c r="K213" s="125">
        <v>0</v>
      </c>
      <c r="L213" s="125">
        <v>0</v>
      </c>
      <c r="M213" s="125">
        <v>0</v>
      </c>
      <c r="N213" s="125">
        <v>0</v>
      </c>
      <c r="O213" s="125">
        <v>0</v>
      </c>
      <c r="P213" s="125">
        <v>0</v>
      </c>
      <c r="Q213" s="125">
        <v>0</v>
      </c>
      <c r="R213" s="125">
        <v>0</v>
      </c>
      <c r="S213" s="125">
        <v>0</v>
      </c>
      <c r="T213" s="125">
        <v>0</v>
      </c>
      <c r="U213" s="125">
        <v>0</v>
      </c>
      <c r="V213" s="125">
        <v>0</v>
      </c>
      <c r="W213" s="125">
        <v>0</v>
      </c>
      <c r="X213" s="125">
        <v>0</v>
      </c>
      <c r="Y213" s="125">
        <v>0</v>
      </c>
      <c r="Z213" s="125">
        <v>0</v>
      </c>
      <c r="AA213" s="125">
        <v>0</v>
      </c>
      <c r="AB213" s="125">
        <v>0</v>
      </c>
      <c r="AC213" s="125">
        <v>0</v>
      </c>
      <c r="AD213" s="125">
        <v>0</v>
      </c>
      <c r="AE213" s="125">
        <v>0</v>
      </c>
      <c r="AF213" s="125">
        <v>0</v>
      </c>
      <c r="AG213" s="125">
        <v>0</v>
      </c>
      <c r="AH213" s="125">
        <v>0</v>
      </c>
      <c r="AI213" s="125">
        <v>0</v>
      </c>
      <c r="AJ213" s="125">
        <v>0</v>
      </c>
      <c r="AK213" s="125">
        <v>0</v>
      </c>
      <c r="AL213" s="125">
        <v>0</v>
      </c>
      <c r="AM213" s="125">
        <v>0</v>
      </c>
      <c r="AN213" s="125">
        <v>0</v>
      </c>
      <c r="AO213" s="125">
        <v>0</v>
      </c>
      <c r="AP213" s="125">
        <v>0</v>
      </c>
      <c r="AQ213" s="125">
        <v>0</v>
      </c>
      <c r="AR213" s="125">
        <v>0</v>
      </c>
      <c r="AS213" s="125">
        <v>0</v>
      </c>
      <c r="AT213" s="125">
        <v>0</v>
      </c>
      <c r="AU213" s="125">
        <v>0</v>
      </c>
      <c r="AV213" s="125">
        <v>0</v>
      </c>
      <c r="AW213" s="125">
        <v>0</v>
      </c>
      <c r="AX213" s="125">
        <v>0</v>
      </c>
      <c r="AY213" s="125">
        <v>0</v>
      </c>
    </row>
    <row r="214" spans="1:51" x14ac:dyDescent="0.2">
      <c r="A214" s="124"/>
      <c r="B214" s="133">
        <v>6</v>
      </c>
      <c r="C214" s="121">
        <v>0</v>
      </c>
      <c r="D214" s="125">
        <v>0</v>
      </c>
      <c r="E214" s="125">
        <v>0</v>
      </c>
      <c r="F214" s="125">
        <v>0</v>
      </c>
      <c r="G214" s="125">
        <v>0</v>
      </c>
      <c r="H214" s="125">
        <v>0</v>
      </c>
      <c r="I214" s="125">
        <v>0</v>
      </c>
      <c r="J214" s="125">
        <v>0</v>
      </c>
      <c r="K214" s="125">
        <v>0</v>
      </c>
      <c r="L214" s="125">
        <v>0</v>
      </c>
      <c r="M214" s="125">
        <v>0</v>
      </c>
      <c r="N214" s="125">
        <v>0</v>
      </c>
      <c r="O214" s="125">
        <v>0</v>
      </c>
      <c r="P214" s="125">
        <v>0</v>
      </c>
      <c r="Q214" s="125">
        <v>0</v>
      </c>
      <c r="R214" s="125">
        <v>0</v>
      </c>
      <c r="S214" s="125">
        <v>0</v>
      </c>
      <c r="T214" s="125">
        <v>0</v>
      </c>
      <c r="U214" s="125">
        <v>0</v>
      </c>
      <c r="V214" s="125">
        <v>0</v>
      </c>
      <c r="W214" s="125">
        <v>0</v>
      </c>
      <c r="X214" s="125">
        <v>0</v>
      </c>
      <c r="Y214" s="125">
        <v>0</v>
      </c>
      <c r="Z214" s="125">
        <v>0</v>
      </c>
      <c r="AA214" s="125">
        <v>0</v>
      </c>
      <c r="AB214" s="125">
        <v>0</v>
      </c>
      <c r="AC214" s="125">
        <v>0</v>
      </c>
      <c r="AD214" s="125">
        <v>0</v>
      </c>
      <c r="AE214" s="125">
        <v>0</v>
      </c>
      <c r="AF214" s="125">
        <v>0</v>
      </c>
      <c r="AG214" s="125">
        <v>0</v>
      </c>
      <c r="AH214" s="125">
        <v>0</v>
      </c>
      <c r="AI214" s="125">
        <v>0</v>
      </c>
      <c r="AJ214" s="125">
        <v>0</v>
      </c>
      <c r="AK214" s="125">
        <v>0</v>
      </c>
      <c r="AL214" s="125">
        <v>0</v>
      </c>
      <c r="AM214" s="125">
        <v>0</v>
      </c>
      <c r="AN214" s="125">
        <v>0</v>
      </c>
      <c r="AO214" s="125">
        <v>0</v>
      </c>
      <c r="AP214" s="125">
        <v>0</v>
      </c>
      <c r="AQ214" s="125">
        <v>0</v>
      </c>
      <c r="AR214" s="125">
        <v>0</v>
      </c>
      <c r="AS214" s="125">
        <v>0</v>
      </c>
      <c r="AT214" s="125">
        <v>0</v>
      </c>
      <c r="AU214" s="125">
        <v>0</v>
      </c>
      <c r="AV214" s="125">
        <v>0</v>
      </c>
      <c r="AW214" s="125">
        <v>0</v>
      </c>
      <c r="AX214" s="125">
        <v>0</v>
      </c>
      <c r="AY214" s="125">
        <v>0</v>
      </c>
    </row>
    <row r="215" spans="1:51" x14ac:dyDescent="0.2">
      <c r="A215" s="124"/>
      <c r="B215" s="133">
        <v>7</v>
      </c>
      <c r="C215" s="121">
        <v>0</v>
      </c>
      <c r="D215" s="125">
        <v>0</v>
      </c>
      <c r="E215" s="125">
        <v>0</v>
      </c>
      <c r="F215" s="125">
        <v>0</v>
      </c>
      <c r="G215" s="125">
        <v>0</v>
      </c>
      <c r="H215" s="125">
        <v>0</v>
      </c>
      <c r="I215" s="125">
        <v>0</v>
      </c>
      <c r="J215" s="125">
        <v>0</v>
      </c>
      <c r="K215" s="125">
        <v>0</v>
      </c>
      <c r="L215" s="125">
        <v>0</v>
      </c>
      <c r="M215" s="125">
        <v>0</v>
      </c>
      <c r="N215" s="125">
        <v>0</v>
      </c>
      <c r="O215" s="125">
        <v>0</v>
      </c>
      <c r="P215" s="125">
        <v>0</v>
      </c>
      <c r="Q215" s="125">
        <v>0</v>
      </c>
      <c r="R215" s="125">
        <v>0</v>
      </c>
      <c r="S215" s="125">
        <v>0</v>
      </c>
      <c r="T215" s="125">
        <v>0</v>
      </c>
      <c r="U215" s="125">
        <v>0</v>
      </c>
      <c r="V215" s="125">
        <v>0</v>
      </c>
      <c r="W215" s="125">
        <v>0</v>
      </c>
      <c r="X215" s="125">
        <v>0</v>
      </c>
      <c r="Y215" s="125">
        <v>0</v>
      </c>
      <c r="Z215" s="125">
        <v>0</v>
      </c>
      <c r="AA215" s="125">
        <v>0</v>
      </c>
      <c r="AB215" s="125">
        <v>0</v>
      </c>
      <c r="AC215" s="125">
        <v>0</v>
      </c>
      <c r="AD215" s="125">
        <v>0</v>
      </c>
      <c r="AE215" s="125">
        <v>0</v>
      </c>
      <c r="AF215" s="125">
        <v>0</v>
      </c>
      <c r="AG215" s="125">
        <v>0</v>
      </c>
      <c r="AH215" s="125">
        <v>0</v>
      </c>
      <c r="AI215" s="125">
        <v>0</v>
      </c>
      <c r="AJ215" s="125">
        <v>0</v>
      </c>
      <c r="AK215" s="125">
        <v>0</v>
      </c>
      <c r="AL215" s="125">
        <v>0</v>
      </c>
      <c r="AM215" s="125">
        <v>0</v>
      </c>
      <c r="AN215" s="125">
        <v>0</v>
      </c>
      <c r="AO215" s="125">
        <v>0</v>
      </c>
      <c r="AP215" s="125">
        <v>0</v>
      </c>
      <c r="AQ215" s="125">
        <v>0</v>
      </c>
      <c r="AR215" s="125">
        <v>0</v>
      </c>
      <c r="AS215" s="125">
        <v>0</v>
      </c>
      <c r="AT215" s="125">
        <v>0</v>
      </c>
      <c r="AU215" s="125">
        <v>0</v>
      </c>
      <c r="AV215" s="125">
        <v>0</v>
      </c>
      <c r="AW215" s="125">
        <v>0</v>
      </c>
      <c r="AX215" s="125">
        <v>0</v>
      </c>
      <c r="AY215" s="125">
        <v>0</v>
      </c>
    </row>
    <row r="216" spans="1:51" x14ac:dyDescent="0.2">
      <c r="A216" s="124"/>
      <c r="B216" s="133">
        <v>8</v>
      </c>
      <c r="C216" s="121">
        <v>0</v>
      </c>
      <c r="D216" s="125">
        <v>0</v>
      </c>
      <c r="E216" s="125">
        <v>0</v>
      </c>
      <c r="F216" s="125">
        <v>0</v>
      </c>
      <c r="G216" s="125">
        <v>0</v>
      </c>
      <c r="H216" s="125">
        <v>0</v>
      </c>
      <c r="I216" s="125">
        <v>0</v>
      </c>
      <c r="J216" s="125">
        <v>0</v>
      </c>
      <c r="K216" s="125">
        <v>0</v>
      </c>
      <c r="L216" s="125">
        <v>0</v>
      </c>
      <c r="M216" s="125">
        <v>0</v>
      </c>
      <c r="N216" s="125">
        <v>0</v>
      </c>
      <c r="O216" s="125">
        <v>0</v>
      </c>
      <c r="P216" s="125">
        <v>0</v>
      </c>
      <c r="Q216" s="125">
        <v>0</v>
      </c>
      <c r="R216" s="125">
        <v>0</v>
      </c>
      <c r="S216" s="125">
        <v>0</v>
      </c>
      <c r="T216" s="125">
        <v>0</v>
      </c>
      <c r="U216" s="125">
        <v>0</v>
      </c>
      <c r="V216" s="125">
        <v>0</v>
      </c>
      <c r="W216" s="125">
        <v>0</v>
      </c>
      <c r="X216" s="125">
        <v>0</v>
      </c>
      <c r="Y216" s="125">
        <v>0</v>
      </c>
      <c r="Z216" s="125">
        <v>0</v>
      </c>
      <c r="AA216" s="125">
        <v>0</v>
      </c>
      <c r="AB216" s="125">
        <v>0</v>
      </c>
      <c r="AC216" s="125">
        <v>0</v>
      </c>
      <c r="AD216" s="125">
        <v>0</v>
      </c>
      <c r="AE216" s="125">
        <v>0</v>
      </c>
      <c r="AF216" s="125">
        <v>0</v>
      </c>
      <c r="AG216" s="125">
        <v>0</v>
      </c>
      <c r="AH216" s="125">
        <v>0</v>
      </c>
      <c r="AI216" s="125">
        <v>0</v>
      </c>
      <c r="AJ216" s="125">
        <v>0</v>
      </c>
      <c r="AK216" s="125">
        <v>0</v>
      </c>
      <c r="AL216" s="125">
        <v>0</v>
      </c>
      <c r="AM216" s="125">
        <v>0</v>
      </c>
      <c r="AN216" s="125">
        <v>0</v>
      </c>
      <c r="AO216" s="125">
        <v>0</v>
      </c>
      <c r="AP216" s="125">
        <v>0</v>
      </c>
      <c r="AQ216" s="125">
        <v>0</v>
      </c>
      <c r="AR216" s="125">
        <v>0</v>
      </c>
      <c r="AS216" s="125">
        <v>0</v>
      </c>
      <c r="AT216" s="125">
        <v>0</v>
      </c>
      <c r="AU216" s="125">
        <v>0</v>
      </c>
      <c r="AV216" s="125">
        <v>0</v>
      </c>
      <c r="AW216" s="125">
        <v>0</v>
      </c>
      <c r="AX216" s="125">
        <v>0</v>
      </c>
      <c r="AY216" s="125">
        <v>0</v>
      </c>
    </row>
    <row r="217" spans="1:51" x14ac:dyDescent="0.2">
      <c r="A217" s="124"/>
      <c r="B217" s="133">
        <v>9</v>
      </c>
      <c r="C217" s="121">
        <v>0</v>
      </c>
      <c r="D217" s="125">
        <v>0</v>
      </c>
      <c r="E217" s="125">
        <v>0</v>
      </c>
      <c r="F217" s="125">
        <v>0</v>
      </c>
      <c r="G217" s="125">
        <v>0</v>
      </c>
      <c r="H217" s="125">
        <v>0</v>
      </c>
      <c r="I217" s="125">
        <v>0</v>
      </c>
      <c r="J217" s="125">
        <v>0</v>
      </c>
      <c r="K217" s="125">
        <v>0</v>
      </c>
      <c r="L217" s="125">
        <v>0</v>
      </c>
      <c r="M217" s="125">
        <v>0</v>
      </c>
      <c r="N217" s="125">
        <v>0</v>
      </c>
      <c r="O217" s="125">
        <v>0</v>
      </c>
      <c r="P217" s="125">
        <v>0</v>
      </c>
      <c r="Q217" s="125">
        <v>0</v>
      </c>
      <c r="R217" s="125">
        <v>0</v>
      </c>
      <c r="S217" s="125">
        <v>0</v>
      </c>
      <c r="T217" s="125">
        <v>0</v>
      </c>
      <c r="U217" s="125">
        <v>0</v>
      </c>
      <c r="V217" s="125">
        <v>0</v>
      </c>
      <c r="W217" s="125">
        <v>0</v>
      </c>
      <c r="X217" s="125">
        <v>0</v>
      </c>
      <c r="Y217" s="125">
        <v>0</v>
      </c>
      <c r="Z217" s="125">
        <v>0</v>
      </c>
      <c r="AA217" s="125">
        <v>0</v>
      </c>
      <c r="AB217" s="125">
        <v>0</v>
      </c>
      <c r="AC217" s="125">
        <v>0</v>
      </c>
      <c r="AD217" s="125">
        <v>0</v>
      </c>
      <c r="AE217" s="125">
        <v>0</v>
      </c>
      <c r="AF217" s="125">
        <v>0</v>
      </c>
      <c r="AG217" s="125">
        <v>0</v>
      </c>
      <c r="AH217" s="125">
        <v>0</v>
      </c>
      <c r="AI217" s="125">
        <v>0</v>
      </c>
      <c r="AJ217" s="125">
        <v>0</v>
      </c>
      <c r="AK217" s="125">
        <v>0</v>
      </c>
      <c r="AL217" s="125">
        <v>0</v>
      </c>
      <c r="AM217" s="125">
        <v>0</v>
      </c>
      <c r="AN217" s="125">
        <v>0</v>
      </c>
      <c r="AO217" s="125">
        <v>0</v>
      </c>
      <c r="AP217" s="125">
        <v>0</v>
      </c>
      <c r="AQ217" s="125">
        <v>0</v>
      </c>
      <c r="AR217" s="125">
        <v>0</v>
      </c>
      <c r="AS217" s="125">
        <v>0</v>
      </c>
      <c r="AT217" s="125">
        <v>0</v>
      </c>
      <c r="AU217" s="125">
        <v>0</v>
      </c>
      <c r="AV217" s="125">
        <v>0</v>
      </c>
      <c r="AW217" s="125">
        <v>0</v>
      </c>
      <c r="AX217" s="125">
        <v>0</v>
      </c>
      <c r="AY217" s="125">
        <v>0</v>
      </c>
    </row>
    <row r="218" spans="1:51" x14ac:dyDescent="0.2">
      <c r="A218" s="124"/>
      <c r="B218" s="133">
        <v>10</v>
      </c>
      <c r="C218" s="121">
        <v>0</v>
      </c>
      <c r="D218" s="125">
        <v>0</v>
      </c>
      <c r="E218" s="125">
        <v>0</v>
      </c>
      <c r="F218" s="125">
        <v>0</v>
      </c>
      <c r="G218" s="125">
        <v>0</v>
      </c>
      <c r="H218" s="125">
        <v>0</v>
      </c>
      <c r="I218" s="125">
        <v>0</v>
      </c>
      <c r="J218" s="125">
        <v>0</v>
      </c>
      <c r="K218" s="125">
        <v>0</v>
      </c>
      <c r="L218" s="125">
        <v>0</v>
      </c>
      <c r="M218" s="125">
        <v>0</v>
      </c>
      <c r="N218" s="125">
        <v>0</v>
      </c>
      <c r="O218" s="125">
        <v>0</v>
      </c>
      <c r="P218" s="125">
        <v>0</v>
      </c>
      <c r="Q218" s="125">
        <v>0</v>
      </c>
      <c r="R218" s="125">
        <v>0</v>
      </c>
      <c r="S218" s="125">
        <v>0</v>
      </c>
      <c r="T218" s="125">
        <v>0</v>
      </c>
      <c r="U218" s="125">
        <v>0</v>
      </c>
      <c r="V218" s="125">
        <v>0</v>
      </c>
      <c r="W218" s="125">
        <v>0</v>
      </c>
      <c r="X218" s="125">
        <v>0</v>
      </c>
      <c r="Y218" s="125">
        <v>0</v>
      </c>
      <c r="Z218" s="125">
        <v>0</v>
      </c>
      <c r="AA218" s="125">
        <v>0</v>
      </c>
      <c r="AB218" s="125">
        <v>0</v>
      </c>
      <c r="AC218" s="125">
        <v>0</v>
      </c>
      <c r="AD218" s="125">
        <v>0</v>
      </c>
      <c r="AE218" s="125">
        <v>0</v>
      </c>
      <c r="AF218" s="125">
        <v>0</v>
      </c>
      <c r="AG218" s="125">
        <v>0</v>
      </c>
      <c r="AH218" s="125">
        <v>0</v>
      </c>
      <c r="AI218" s="125">
        <v>0</v>
      </c>
      <c r="AJ218" s="125">
        <v>0</v>
      </c>
      <c r="AK218" s="125">
        <v>0</v>
      </c>
      <c r="AL218" s="125">
        <v>0</v>
      </c>
      <c r="AM218" s="125">
        <v>0</v>
      </c>
      <c r="AN218" s="125">
        <v>0</v>
      </c>
      <c r="AO218" s="125">
        <v>0</v>
      </c>
      <c r="AP218" s="125">
        <v>0</v>
      </c>
      <c r="AQ218" s="125">
        <v>0</v>
      </c>
      <c r="AR218" s="125">
        <v>0</v>
      </c>
      <c r="AS218" s="125">
        <v>0</v>
      </c>
      <c r="AT218" s="125">
        <v>0</v>
      </c>
      <c r="AU218" s="125">
        <v>0</v>
      </c>
      <c r="AV218" s="125">
        <v>0</v>
      </c>
      <c r="AW218" s="125">
        <v>0</v>
      </c>
      <c r="AX218" s="125">
        <v>0</v>
      </c>
      <c r="AY218" s="125">
        <v>0</v>
      </c>
    </row>
    <row r="219" spans="1:51" x14ac:dyDescent="0.2">
      <c r="A219" s="124"/>
      <c r="B219" s="133">
        <v>11</v>
      </c>
      <c r="C219" s="121">
        <v>0</v>
      </c>
      <c r="D219" s="125">
        <v>0</v>
      </c>
      <c r="E219" s="125">
        <v>0</v>
      </c>
      <c r="F219" s="125">
        <v>0</v>
      </c>
      <c r="G219" s="125">
        <v>0</v>
      </c>
      <c r="H219" s="125">
        <v>0</v>
      </c>
      <c r="I219" s="125">
        <v>0</v>
      </c>
      <c r="J219" s="125">
        <v>0</v>
      </c>
      <c r="K219" s="125">
        <v>0</v>
      </c>
      <c r="L219" s="125">
        <v>0</v>
      </c>
      <c r="M219" s="125">
        <v>0</v>
      </c>
      <c r="N219" s="125">
        <v>0</v>
      </c>
      <c r="O219" s="125">
        <v>0</v>
      </c>
      <c r="P219" s="125">
        <v>0</v>
      </c>
      <c r="Q219" s="125">
        <v>0</v>
      </c>
      <c r="R219" s="125">
        <v>0</v>
      </c>
      <c r="S219" s="125">
        <v>0</v>
      </c>
      <c r="T219" s="125">
        <v>0</v>
      </c>
      <c r="U219" s="125">
        <v>0</v>
      </c>
      <c r="V219" s="125">
        <v>0</v>
      </c>
      <c r="W219" s="125">
        <v>0</v>
      </c>
      <c r="X219" s="125">
        <v>0</v>
      </c>
      <c r="Y219" s="125">
        <v>0</v>
      </c>
      <c r="Z219" s="125">
        <v>0</v>
      </c>
      <c r="AA219" s="125">
        <v>0</v>
      </c>
      <c r="AB219" s="125">
        <v>0</v>
      </c>
      <c r="AC219" s="125">
        <v>0</v>
      </c>
      <c r="AD219" s="125">
        <v>0</v>
      </c>
      <c r="AE219" s="125">
        <v>0</v>
      </c>
      <c r="AF219" s="125">
        <v>0</v>
      </c>
      <c r="AG219" s="125">
        <v>0</v>
      </c>
      <c r="AH219" s="125">
        <v>0</v>
      </c>
      <c r="AI219" s="125">
        <v>0</v>
      </c>
      <c r="AJ219" s="125">
        <v>0</v>
      </c>
      <c r="AK219" s="125">
        <v>0</v>
      </c>
      <c r="AL219" s="125">
        <v>0</v>
      </c>
      <c r="AM219" s="125">
        <v>0</v>
      </c>
      <c r="AN219" s="125">
        <v>0</v>
      </c>
      <c r="AO219" s="125">
        <v>0</v>
      </c>
      <c r="AP219" s="125">
        <v>0</v>
      </c>
      <c r="AQ219" s="125">
        <v>0</v>
      </c>
      <c r="AR219" s="125">
        <v>0</v>
      </c>
      <c r="AS219" s="125">
        <v>0</v>
      </c>
      <c r="AT219" s="125">
        <v>0</v>
      </c>
      <c r="AU219" s="125">
        <v>0</v>
      </c>
      <c r="AV219" s="125">
        <v>0</v>
      </c>
      <c r="AW219" s="125">
        <v>0</v>
      </c>
      <c r="AX219" s="125">
        <v>0</v>
      </c>
      <c r="AY219" s="125">
        <v>0</v>
      </c>
    </row>
    <row r="220" spans="1:51" x14ac:dyDescent="0.2">
      <c r="A220" s="124"/>
      <c r="B220" s="133">
        <v>12</v>
      </c>
      <c r="C220" s="121">
        <v>0</v>
      </c>
      <c r="D220" s="125">
        <v>0</v>
      </c>
      <c r="E220" s="125">
        <v>0</v>
      </c>
      <c r="F220" s="125">
        <v>0</v>
      </c>
      <c r="G220" s="125">
        <v>0</v>
      </c>
      <c r="H220" s="125">
        <v>0</v>
      </c>
      <c r="I220" s="125">
        <v>0</v>
      </c>
      <c r="J220" s="125">
        <v>0</v>
      </c>
      <c r="K220" s="125">
        <v>0</v>
      </c>
      <c r="L220" s="125">
        <v>0</v>
      </c>
      <c r="M220" s="125">
        <v>0</v>
      </c>
      <c r="N220" s="125">
        <v>0</v>
      </c>
      <c r="O220" s="125">
        <v>0</v>
      </c>
      <c r="P220" s="125">
        <v>0</v>
      </c>
      <c r="Q220" s="125">
        <v>0</v>
      </c>
      <c r="R220" s="125">
        <v>0</v>
      </c>
      <c r="S220" s="125">
        <v>0</v>
      </c>
      <c r="T220" s="125">
        <v>0</v>
      </c>
      <c r="U220" s="125">
        <v>0</v>
      </c>
      <c r="V220" s="125">
        <v>0</v>
      </c>
      <c r="W220" s="125">
        <v>0</v>
      </c>
      <c r="X220" s="125">
        <v>0</v>
      </c>
      <c r="Y220" s="125">
        <v>0</v>
      </c>
      <c r="Z220" s="125">
        <v>0</v>
      </c>
      <c r="AA220" s="125">
        <v>0</v>
      </c>
      <c r="AB220" s="125">
        <v>0</v>
      </c>
      <c r="AC220" s="125">
        <v>0</v>
      </c>
      <c r="AD220" s="125">
        <v>0</v>
      </c>
      <c r="AE220" s="125">
        <v>0</v>
      </c>
      <c r="AF220" s="125">
        <v>0</v>
      </c>
      <c r="AG220" s="125">
        <v>0</v>
      </c>
      <c r="AH220" s="125">
        <v>0</v>
      </c>
      <c r="AI220" s="125">
        <v>0</v>
      </c>
      <c r="AJ220" s="125">
        <v>0</v>
      </c>
      <c r="AK220" s="125">
        <v>0</v>
      </c>
      <c r="AL220" s="125">
        <v>0</v>
      </c>
      <c r="AM220" s="125">
        <v>0</v>
      </c>
      <c r="AN220" s="125">
        <v>0</v>
      </c>
      <c r="AO220" s="125">
        <v>0</v>
      </c>
      <c r="AP220" s="125">
        <v>0</v>
      </c>
      <c r="AQ220" s="125">
        <v>0</v>
      </c>
      <c r="AR220" s="125">
        <v>0</v>
      </c>
      <c r="AS220" s="125">
        <v>0</v>
      </c>
      <c r="AT220" s="125">
        <v>0</v>
      </c>
      <c r="AU220" s="125">
        <v>0</v>
      </c>
      <c r="AV220" s="125">
        <v>0</v>
      </c>
      <c r="AW220" s="125">
        <v>0</v>
      </c>
      <c r="AX220" s="125">
        <v>0</v>
      </c>
      <c r="AY220" s="125">
        <v>0</v>
      </c>
    </row>
    <row r="221" spans="1:51" x14ac:dyDescent="0.2">
      <c r="A221" s="124"/>
      <c r="B221" s="134">
        <v>13</v>
      </c>
      <c r="C221" s="121">
        <v>0</v>
      </c>
      <c r="D221" s="125">
        <v>0</v>
      </c>
      <c r="E221" s="125">
        <v>0</v>
      </c>
      <c r="F221" s="125">
        <v>0</v>
      </c>
      <c r="G221" s="125">
        <v>0</v>
      </c>
      <c r="H221" s="125">
        <v>0</v>
      </c>
      <c r="I221" s="125">
        <v>0</v>
      </c>
      <c r="J221" s="125">
        <v>0</v>
      </c>
      <c r="K221" s="125">
        <v>0</v>
      </c>
      <c r="L221" s="125">
        <v>0</v>
      </c>
      <c r="M221" s="125">
        <v>0</v>
      </c>
      <c r="N221" s="125">
        <v>0</v>
      </c>
      <c r="O221" s="125">
        <v>0</v>
      </c>
      <c r="P221" s="125">
        <v>0</v>
      </c>
      <c r="Q221" s="125">
        <v>0</v>
      </c>
      <c r="R221" s="125">
        <v>0</v>
      </c>
      <c r="S221" s="125">
        <v>0</v>
      </c>
      <c r="T221" s="125">
        <v>0</v>
      </c>
      <c r="U221" s="125">
        <v>0</v>
      </c>
      <c r="V221" s="125">
        <v>0</v>
      </c>
      <c r="W221" s="125">
        <v>0</v>
      </c>
      <c r="X221" s="125">
        <v>0</v>
      </c>
      <c r="Y221" s="125">
        <v>0</v>
      </c>
      <c r="Z221" s="125">
        <v>0</v>
      </c>
      <c r="AA221" s="125">
        <v>0</v>
      </c>
      <c r="AB221" s="125">
        <v>0</v>
      </c>
      <c r="AC221" s="125">
        <v>0</v>
      </c>
      <c r="AD221" s="125">
        <v>0</v>
      </c>
      <c r="AE221" s="125">
        <v>0</v>
      </c>
      <c r="AF221" s="125">
        <v>0</v>
      </c>
      <c r="AG221" s="125">
        <v>0</v>
      </c>
      <c r="AH221" s="125">
        <v>0</v>
      </c>
      <c r="AI221" s="125">
        <v>0</v>
      </c>
      <c r="AJ221" s="125">
        <v>0</v>
      </c>
      <c r="AK221" s="125">
        <v>0</v>
      </c>
      <c r="AL221" s="125">
        <v>0</v>
      </c>
      <c r="AM221" s="125">
        <v>0</v>
      </c>
      <c r="AN221" s="125">
        <v>0</v>
      </c>
      <c r="AO221" s="125">
        <v>0</v>
      </c>
      <c r="AP221" s="125">
        <v>0</v>
      </c>
      <c r="AQ221" s="125">
        <v>0</v>
      </c>
      <c r="AR221" s="125">
        <v>0</v>
      </c>
      <c r="AS221" s="125">
        <v>0</v>
      </c>
      <c r="AT221" s="125">
        <v>0</v>
      </c>
      <c r="AU221" s="125">
        <v>0</v>
      </c>
      <c r="AV221" s="125">
        <v>0</v>
      </c>
      <c r="AW221" s="125">
        <v>0</v>
      </c>
      <c r="AX221" s="125">
        <v>0</v>
      </c>
      <c r="AY221" s="125">
        <v>0</v>
      </c>
    </row>
    <row r="222" spans="1:51" x14ac:dyDescent="0.2">
      <c r="A222" s="124"/>
      <c r="B222" s="134">
        <v>14</v>
      </c>
      <c r="C222" s="121">
        <v>0</v>
      </c>
      <c r="D222" s="125">
        <v>0</v>
      </c>
      <c r="E222" s="125">
        <v>0</v>
      </c>
      <c r="F222" s="125">
        <v>0</v>
      </c>
      <c r="G222" s="125">
        <v>0</v>
      </c>
      <c r="H222" s="125">
        <v>0</v>
      </c>
      <c r="I222" s="125">
        <v>0</v>
      </c>
      <c r="J222" s="125">
        <v>0</v>
      </c>
      <c r="K222" s="125">
        <v>0</v>
      </c>
      <c r="L222" s="125">
        <v>0</v>
      </c>
      <c r="M222" s="125">
        <v>0</v>
      </c>
      <c r="N222" s="125">
        <v>0</v>
      </c>
      <c r="O222" s="125">
        <v>0</v>
      </c>
      <c r="P222" s="125">
        <v>0</v>
      </c>
      <c r="Q222" s="125">
        <v>0</v>
      </c>
      <c r="R222" s="125">
        <v>0</v>
      </c>
      <c r="S222" s="125">
        <v>0</v>
      </c>
      <c r="T222" s="125">
        <v>0</v>
      </c>
      <c r="U222" s="125">
        <v>0</v>
      </c>
      <c r="V222" s="125">
        <v>0</v>
      </c>
      <c r="W222" s="125">
        <v>0</v>
      </c>
      <c r="X222" s="125">
        <v>0</v>
      </c>
      <c r="Y222" s="125">
        <v>0</v>
      </c>
      <c r="Z222" s="125">
        <v>0</v>
      </c>
      <c r="AA222" s="125">
        <v>0</v>
      </c>
      <c r="AB222" s="125">
        <v>0</v>
      </c>
      <c r="AC222" s="125">
        <v>0</v>
      </c>
      <c r="AD222" s="125">
        <v>0</v>
      </c>
      <c r="AE222" s="125">
        <v>0</v>
      </c>
      <c r="AF222" s="125">
        <v>0</v>
      </c>
      <c r="AG222" s="125">
        <v>0</v>
      </c>
      <c r="AH222" s="125">
        <v>0</v>
      </c>
      <c r="AI222" s="125">
        <v>0</v>
      </c>
      <c r="AJ222" s="125">
        <v>0</v>
      </c>
      <c r="AK222" s="125">
        <v>0</v>
      </c>
      <c r="AL222" s="125">
        <v>0</v>
      </c>
      <c r="AM222" s="125">
        <v>0</v>
      </c>
      <c r="AN222" s="125">
        <v>0</v>
      </c>
      <c r="AO222" s="125">
        <v>0</v>
      </c>
      <c r="AP222" s="125">
        <v>0</v>
      </c>
      <c r="AQ222" s="125">
        <v>0</v>
      </c>
      <c r="AR222" s="125">
        <v>0</v>
      </c>
      <c r="AS222" s="125">
        <v>0</v>
      </c>
      <c r="AT222" s="125">
        <v>0</v>
      </c>
      <c r="AU222" s="125">
        <v>0</v>
      </c>
      <c r="AV222" s="125">
        <v>0</v>
      </c>
      <c r="AW222" s="125">
        <v>0</v>
      </c>
      <c r="AX222" s="125">
        <v>0</v>
      </c>
      <c r="AY222" s="125">
        <v>0</v>
      </c>
    </row>
    <row r="223" spans="1:51" x14ac:dyDescent="0.2">
      <c r="A223" s="124"/>
      <c r="B223" s="134">
        <v>15</v>
      </c>
      <c r="C223" s="121">
        <v>0</v>
      </c>
      <c r="D223" s="125">
        <v>0</v>
      </c>
      <c r="E223" s="125">
        <v>0</v>
      </c>
      <c r="F223" s="125">
        <v>0</v>
      </c>
      <c r="G223" s="125">
        <v>0</v>
      </c>
      <c r="H223" s="125">
        <v>0</v>
      </c>
      <c r="I223" s="125">
        <v>0</v>
      </c>
      <c r="J223" s="125">
        <v>0</v>
      </c>
      <c r="K223" s="125">
        <v>0</v>
      </c>
      <c r="L223" s="125">
        <v>0</v>
      </c>
      <c r="M223" s="125">
        <v>0</v>
      </c>
      <c r="N223" s="125">
        <v>0</v>
      </c>
      <c r="O223" s="125">
        <v>0</v>
      </c>
      <c r="P223" s="125">
        <v>0</v>
      </c>
      <c r="Q223" s="125">
        <v>0</v>
      </c>
      <c r="R223" s="125">
        <v>0</v>
      </c>
      <c r="S223" s="125">
        <v>0</v>
      </c>
      <c r="T223" s="125">
        <v>0</v>
      </c>
      <c r="U223" s="125">
        <v>0</v>
      </c>
      <c r="V223" s="125">
        <v>0</v>
      </c>
      <c r="W223" s="125">
        <v>0</v>
      </c>
      <c r="X223" s="125">
        <v>0</v>
      </c>
      <c r="Y223" s="125">
        <v>0</v>
      </c>
      <c r="Z223" s="125">
        <v>0</v>
      </c>
      <c r="AA223" s="125">
        <v>0</v>
      </c>
      <c r="AB223" s="125">
        <v>0</v>
      </c>
      <c r="AC223" s="125">
        <v>0</v>
      </c>
      <c r="AD223" s="125">
        <v>0</v>
      </c>
      <c r="AE223" s="125">
        <v>0</v>
      </c>
      <c r="AF223" s="125">
        <v>0</v>
      </c>
      <c r="AG223" s="125">
        <v>0</v>
      </c>
      <c r="AH223" s="125">
        <v>0</v>
      </c>
      <c r="AI223" s="125">
        <v>0</v>
      </c>
      <c r="AJ223" s="125">
        <v>0</v>
      </c>
      <c r="AK223" s="125">
        <v>0</v>
      </c>
      <c r="AL223" s="125">
        <v>0</v>
      </c>
      <c r="AM223" s="125">
        <v>0</v>
      </c>
      <c r="AN223" s="125">
        <v>0</v>
      </c>
      <c r="AO223" s="125">
        <v>0</v>
      </c>
      <c r="AP223" s="125">
        <v>0</v>
      </c>
      <c r="AQ223" s="125">
        <v>0</v>
      </c>
      <c r="AR223" s="125">
        <v>0</v>
      </c>
      <c r="AS223" s="125">
        <v>0</v>
      </c>
      <c r="AT223" s="125">
        <v>0</v>
      </c>
      <c r="AU223" s="125">
        <v>0</v>
      </c>
      <c r="AV223" s="125">
        <v>0</v>
      </c>
      <c r="AW223" s="125">
        <v>0</v>
      </c>
      <c r="AX223" s="125">
        <v>0</v>
      </c>
      <c r="AY223" s="125">
        <v>0</v>
      </c>
    </row>
    <row r="224" spans="1:51" x14ac:dyDescent="0.2">
      <c r="A224" s="124"/>
      <c r="B224" s="134">
        <v>16</v>
      </c>
      <c r="C224" s="121">
        <v>0</v>
      </c>
      <c r="D224" s="125">
        <v>0</v>
      </c>
      <c r="E224" s="125">
        <v>0</v>
      </c>
      <c r="F224" s="125">
        <v>0</v>
      </c>
      <c r="G224" s="125">
        <v>0</v>
      </c>
      <c r="H224" s="125">
        <v>0</v>
      </c>
      <c r="I224" s="125">
        <v>0</v>
      </c>
      <c r="J224" s="125">
        <v>0</v>
      </c>
      <c r="K224" s="125">
        <v>0</v>
      </c>
      <c r="L224" s="125">
        <v>0</v>
      </c>
      <c r="M224" s="125">
        <v>0</v>
      </c>
      <c r="N224" s="125">
        <v>0</v>
      </c>
      <c r="O224" s="125">
        <v>0</v>
      </c>
      <c r="P224" s="125">
        <v>0</v>
      </c>
      <c r="Q224" s="125">
        <v>0</v>
      </c>
      <c r="R224" s="125">
        <v>0</v>
      </c>
      <c r="S224" s="125">
        <v>0</v>
      </c>
      <c r="T224" s="125">
        <v>0</v>
      </c>
      <c r="U224" s="125">
        <v>0</v>
      </c>
      <c r="V224" s="125">
        <v>0</v>
      </c>
      <c r="W224" s="125">
        <v>0</v>
      </c>
      <c r="X224" s="125">
        <v>0</v>
      </c>
      <c r="Y224" s="125">
        <v>0</v>
      </c>
      <c r="Z224" s="125">
        <v>0</v>
      </c>
      <c r="AA224" s="125">
        <v>0</v>
      </c>
      <c r="AB224" s="125">
        <v>0</v>
      </c>
      <c r="AC224" s="125">
        <v>0</v>
      </c>
      <c r="AD224" s="125">
        <v>0</v>
      </c>
      <c r="AE224" s="125">
        <v>0</v>
      </c>
      <c r="AF224" s="125">
        <v>0</v>
      </c>
      <c r="AG224" s="125">
        <v>0</v>
      </c>
      <c r="AH224" s="125">
        <v>0</v>
      </c>
      <c r="AI224" s="125">
        <v>0</v>
      </c>
      <c r="AJ224" s="125">
        <v>0</v>
      </c>
      <c r="AK224" s="125">
        <v>0</v>
      </c>
      <c r="AL224" s="125">
        <v>0</v>
      </c>
      <c r="AM224" s="125">
        <v>0</v>
      </c>
      <c r="AN224" s="125">
        <v>0</v>
      </c>
      <c r="AO224" s="125">
        <v>0</v>
      </c>
      <c r="AP224" s="125">
        <v>0</v>
      </c>
      <c r="AQ224" s="125">
        <v>0</v>
      </c>
      <c r="AR224" s="125">
        <v>0</v>
      </c>
      <c r="AS224" s="125">
        <v>0</v>
      </c>
      <c r="AT224" s="125">
        <v>0</v>
      </c>
      <c r="AU224" s="125">
        <v>0</v>
      </c>
      <c r="AV224" s="125">
        <v>0</v>
      </c>
      <c r="AW224" s="125">
        <v>0</v>
      </c>
      <c r="AX224" s="125">
        <v>0</v>
      </c>
      <c r="AY224" s="125">
        <v>0</v>
      </c>
    </row>
    <row r="225" spans="1:51" x14ac:dyDescent="0.2">
      <c r="A225" s="124"/>
      <c r="B225" s="134">
        <v>17</v>
      </c>
      <c r="C225" s="121">
        <v>0</v>
      </c>
      <c r="D225" s="125">
        <v>0</v>
      </c>
      <c r="E225" s="125">
        <v>0</v>
      </c>
      <c r="F225" s="125">
        <v>0</v>
      </c>
      <c r="G225" s="125">
        <v>0</v>
      </c>
      <c r="H225" s="125">
        <v>0</v>
      </c>
      <c r="I225" s="125">
        <v>0</v>
      </c>
      <c r="J225" s="125">
        <v>0</v>
      </c>
      <c r="K225" s="125">
        <v>0</v>
      </c>
      <c r="L225" s="125">
        <v>0</v>
      </c>
      <c r="M225" s="125">
        <v>0</v>
      </c>
      <c r="N225" s="125">
        <v>0</v>
      </c>
      <c r="O225" s="125">
        <v>0</v>
      </c>
      <c r="P225" s="125">
        <v>0</v>
      </c>
      <c r="Q225" s="125">
        <v>0</v>
      </c>
      <c r="R225" s="125">
        <v>0</v>
      </c>
      <c r="S225" s="125">
        <v>0</v>
      </c>
      <c r="T225" s="125">
        <v>0</v>
      </c>
      <c r="U225" s="125">
        <v>0</v>
      </c>
      <c r="V225" s="125">
        <v>0</v>
      </c>
      <c r="W225" s="125">
        <v>0</v>
      </c>
      <c r="X225" s="125">
        <v>0</v>
      </c>
      <c r="Y225" s="125">
        <v>0</v>
      </c>
      <c r="Z225" s="125">
        <v>0</v>
      </c>
      <c r="AA225" s="125">
        <v>0</v>
      </c>
      <c r="AB225" s="125">
        <v>0</v>
      </c>
      <c r="AC225" s="125">
        <v>0</v>
      </c>
      <c r="AD225" s="125">
        <v>0</v>
      </c>
      <c r="AE225" s="125">
        <v>0</v>
      </c>
      <c r="AF225" s="125">
        <v>0</v>
      </c>
      <c r="AG225" s="125">
        <v>0</v>
      </c>
      <c r="AH225" s="125">
        <v>0</v>
      </c>
      <c r="AI225" s="125">
        <v>0</v>
      </c>
      <c r="AJ225" s="125">
        <v>0</v>
      </c>
      <c r="AK225" s="125">
        <v>0</v>
      </c>
      <c r="AL225" s="125">
        <v>0</v>
      </c>
      <c r="AM225" s="125">
        <v>0</v>
      </c>
      <c r="AN225" s="125">
        <v>0</v>
      </c>
      <c r="AO225" s="125">
        <v>0</v>
      </c>
      <c r="AP225" s="125">
        <v>0</v>
      </c>
      <c r="AQ225" s="125">
        <v>0</v>
      </c>
      <c r="AR225" s="125">
        <v>0</v>
      </c>
      <c r="AS225" s="125">
        <v>0</v>
      </c>
      <c r="AT225" s="125">
        <v>0</v>
      </c>
      <c r="AU225" s="125">
        <v>0</v>
      </c>
      <c r="AV225" s="125">
        <v>0</v>
      </c>
      <c r="AW225" s="125">
        <v>0</v>
      </c>
      <c r="AX225" s="125">
        <v>0</v>
      </c>
      <c r="AY225" s="125">
        <v>0</v>
      </c>
    </row>
    <row r="226" spans="1:51" x14ac:dyDescent="0.2">
      <c r="A226" s="124"/>
      <c r="B226" s="134">
        <v>18</v>
      </c>
      <c r="C226" s="121">
        <v>0</v>
      </c>
      <c r="D226" s="125">
        <v>0</v>
      </c>
      <c r="E226" s="125">
        <v>0</v>
      </c>
      <c r="F226" s="125">
        <v>0</v>
      </c>
      <c r="G226" s="125">
        <v>0</v>
      </c>
      <c r="H226" s="125">
        <v>0</v>
      </c>
      <c r="I226" s="125">
        <v>0</v>
      </c>
      <c r="J226" s="125">
        <v>0</v>
      </c>
      <c r="K226" s="125">
        <v>0</v>
      </c>
      <c r="L226" s="125">
        <v>0</v>
      </c>
      <c r="M226" s="125">
        <v>0</v>
      </c>
      <c r="N226" s="125">
        <v>0</v>
      </c>
      <c r="O226" s="125">
        <v>0</v>
      </c>
      <c r="P226" s="125">
        <v>0</v>
      </c>
      <c r="Q226" s="125">
        <v>0</v>
      </c>
      <c r="R226" s="125">
        <v>0</v>
      </c>
      <c r="S226" s="125">
        <v>0</v>
      </c>
      <c r="T226" s="125">
        <v>0</v>
      </c>
      <c r="U226" s="125">
        <v>0</v>
      </c>
      <c r="V226" s="125">
        <v>0</v>
      </c>
      <c r="W226" s="125">
        <v>0</v>
      </c>
      <c r="X226" s="125">
        <v>0</v>
      </c>
      <c r="Y226" s="125">
        <v>0</v>
      </c>
      <c r="Z226" s="125">
        <v>0</v>
      </c>
      <c r="AA226" s="125">
        <v>0</v>
      </c>
      <c r="AB226" s="125">
        <v>0</v>
      </c>
      <c r="AC226" s="125">
        <v>0</v>
      </c>
      <c r="AD226" s="125">
        <v>0</v>
      </c>
      <c r="AE226" s="125">
        <v>0</v>
      </c>
      <c r="AF226" s="125">
        <v>0</v>
      </c>
      <c r="AG226" s="125">
        <v>0</v>
      </c>
      <c r="AH226" s="125">
        <v>0</v>
      </c>
      <c r="AI226" s="125">
        <v>0</v>
      </c>
      <c r="AJ226" s="125">
        <v>0</v>
      </c>
      <c r="AK226" s="125">
        <v>0</v>
      </c>
      <c r="AL226" s="125">
        <v>0</v>
      </c>
      <c r="AM226" s="125">
        <v>0</v>
      </c>
      <c r="AN226" s="125">
        <v>0</v>
      </c>
      <c r="AO226" s="125">
        <v>0</v>
      </c>
      <c r="AP226" s="125">
        <v>0</v>
      </c>
      <c r="AQ226" s="125">
        <v>0</v>
      </c>
      <c r="AR226" s="125">
        <v>0</v>
      </c>
      <c r="AS226" s="125">
        <v>0</v>
      </c>
      <c r="AT226" s="125">
        <v>0</v>
      </c>
      <c r="AU226" s="125">
        <v>0</v>
      </c>
      <c r="AV226" s="125">
        <v>0</v>
      </c>
      <c r="AW226" s="125">
        <v>0</v>
      </c>
      <c r="AX226" s="125">
        <v>0</v>
      </c>
      <c r="AY226" s="125">
        <v>0</v>
      </c>
    </row>
    <row r="227" spans="1:51" x14ac:dyDescent="0.2">
      <c r="A227" s="124"/>
      <c r="B227" s="134">
        <v>19</v>
      </c>
      <c r="C227" s="121">
        <v>0</v>
      </c>
      <c r="D227" s="125">
        <v>0</v>
      </c>
      <c r="E227" s="125">
        <v>0</v>
      </c>
      <c r="F227" s="125">
        <v>0</v>
      </c>
      <c r="G227" s="125">
        <v>0</v>
      </c>
      <c r="H227" s="125">
        <v>0</v>
      </c>
      <c r="I227" s="125">
        <v>0</v>
      </c>
      <c r="J227" s="125">
        <v>0</v>
      </c>
      <c r="K227" s="125">
        <v>0</v>
      </c>
      <c r="L227" s="125">
        <v>0</v>
      </c>
      <c r="M227" s="125">
        <v>0</v>
      </c>
      <c r="N227" s="125">
        <v>0</v>
      </c>
      <c r="O227" s="125">
        <v>0</v>
      </c>
      <c r="P227" s="125">
        <v>0</v>
      </c>
      <c r="Q227" s="125">
        <v>0</v>
      </c>
      <c r="R227" s="125">
        <v>0</v>
      </c>
      <c r="S227" s="125">
        <v>0</v>
      </c>
      <c r="T227" s="125">
        <v>0</v>
      </c>
      <c r="U227" s="125">
        <v>0</v>
      </c>
      <c r="V227" s="125">
        <v>0</v>
      </c>
      <c r="W227" s="125">
        <v>0</v>
      </c>
      <c r="X227" s="125">
        <v>0</v>
      </c>
      <c r="Y227" s="125">
        <v>0</v>
      </c>
      <c r="Z227" s="125">
        <v>0</v>
      </c>
      <c r="AA227" s="125">
        <v>0</v>
      </c>
      <c r="AB227" s="125">
        <v>0</v>
      </c>
      <c r="AC227" s="125">
        <v>0</v>
      </c>
      <c r="AD227" s="125">
        <v>0</v>
      </c>
      <c r="AE227" s="125">
        <v>0</v>
      </c>
      <c r="AF227" s="125">
        <v>0</v>
      </c>
      <c r="AG227" s="125">
        <v>0</v>
      </c>
      <c r="AH227" s="125">
        <v>0</v>
      </c>
      <c r="AI227" s="125">
        <v>0</v>
      </c>
      <c r="AJ227" s="125">
        <v>0</v>
      </c>
      <c r="AK227" s="125">
        <v>0</v>
      </c>
      <c r="AL227" s="125">
        <v>0</v>
      </c>
      <c r="AM227" s="125">
        <v>0</v>
      </c>
      <c r="AN227" s="125">
        <v>0</v>
      </c>
      <c r="AO227" s="125">
        <v>0</v>
      </c>
      <c r="AP227" s="125">
        <v>0</v>
      </c>
      <c r="AQ227" s="125">
        <v>0</v>
      </c>
      <c r="AR227" s="125">
        <v>0</v>
      </c>
      <c r="AS227" s="125">
        <v>0</v>
      </c>
      <c r="AT227" s="125">
        <v>0</v>
      </c>
      <c r="AU227" s="125">
        <v>0</v>
      </c>
      <c r="AV227" s="125">
        <v>0</v>
      </c>
      <c r="AW227" s="125">
        <v>0</v>
      </c>
      <c r="AX227" s="125">
        <v>0</v>
      </c>
      <c r="AY227" s="125">
        <v>0</v>
      </c>
    </row>
    <row r="228" spans="1:51" x14ac:dyDescent="0.2">
      <c r="A228" s="124"/>
      <c r="B228" s="134">
        <v>20</v>
      </c>
      <c r="C228" s="121">
        <v>0</v>
      </c>
      <c r="D228" s="125">
        <v>0</v>
      </c>
      <c r="E228" s="125">
        <v>0</v>
      </c>
      <c r="F228" s="125">
        <v>0</v>
      </c>
      <c r="G228" s="125">
        <v>0</v>
      </c>
      <c r="H228" s="125">
        <v>0</v>
      </c>
      <c r="I228" s="125">
        <v>0</v>
      </c>
      <c r="J228" s="125">
        <v>0</v>
      </c>
      <c r="K228" s="125">
        <v>0</v>
      </c>
      <c r="L228" s="125">
        <v>0</v>
      </c>
      <c r="M228" s="125">
        <v>0</v>
      </c>
      <c r="N228" s="125">
        <v>0</v>
      </c>
      <c r="O228" s="125">
        <v>0</v>
      </c>
      <c r="P228" s="125">
        <v>0</v>
      </c>
      <c r="Q228" s="125">
        <v>0</v>
      </c>
      <c r="R228" s="125">
        <v>0</v>
      </c>
      <c r="S228" s="125">
        <v>0</v>
      </c>
      <c r="T228" s="125">
        <v>0</v>
      </c>
      <c r="U228" s="125">
        <v>0</v>
      </c>
      <c r="V228" s="125">
        <v>0</v>
      </c>
      <c r="W228" s="125">
        <v>0</v>
      </c>
      <c r="X228" s="125">
        <v>0</v>
      </c>
      <c r="Y228" s="125">
        <v>0</v>
      </c>
      <c r="Z228" s="125">
        <v>0</v>
      </c>
      <c r="AA228" s="125">
        <v>0</v>
      </c>
      <c r="AB228" s="125">
        <v>0</v>
      </c>
      <c r="AC228" s="125">
        <v>0</v>
      </c>
      <c r="AD228" s="125">
        <v>0</v>
      </c>
      <c r="AE228" s="125">
        <v>0</v>
      </c>
      <c r="AF228" s="125">
        <v>0</v>
      </c>
      <c r="AG228" s="125">
        <v>0</v>
      </c>
      <c r="AH228" s="125">
        <v>0</v>
      </c>
      <c r="AI228" s="125">
        <v>0</v>
      </c>
      <c r="AJ228" s="125">
        <v>0</v>
      </c>
      <c r="AK228" s="125">
        <v>0</v>
      </c>
      <c r="AL228" s="125">
        <v>0</v>
      </c>
      <c r="AM228" s="125">
        <v>0</v>
      </c>
      <c r="AN228" s="125">
        <v>0</v>
      </c>
      <c r="AO228" s="125">
        <v>0</v>
      </c>
      <c r="AP228" s="125">
        <v>0</v>
      </c>
      <c r="AQ228" s="125">
        <v>0</v>
      </c>
      <c r="AR228" s="125">
        <v>0</v>
      </c>
      <c r="AS228" s="125">
        <v>0</v>
      </c>
      <c r="AT228" s="125">
        <v>0</v>
      </c>
      <c r="AU228" s="125">
        <v>0</v>
      </c>
      <c r="AV228" s="125">
        <v>0</v>
      </c>
      <c r="AW228" s="125">
        <v>0</v>
      </c>
      <c r="AX228" s="125">
        <v>0</v>
      </c>
      <c r="AY228" s="125">
        <v>0</v>
      </c>
    </row>
    <row r="229" spans="1:51" x14ac:dyDescent="0.2">
      <c r="A229" s="124"/>
      <c r="B229" s="134">
        <v>21</v>
      </c>
      <c r="C229" s="121">
        <v>0</v>
      </c>
      <c r="D229" s="125">
        <v>0</v>
      </c>
      <c r="E229" s="125">
        <v>0</v>
      </c>
      <c r="F229" s="125">
        <v>0</v>
      </c>
      <c r="G229" s="125">
        <v>0</v>
      </c>
      <c r="H229" s="125">
        <v>0</v>
      </c>
      <c r="I229" s="125">
        <v>0</v>
      </c>
      <c r="J229" s="125">
        <v>0</v>
      </c>
      <c r="K229" s="125">
        <v>0</v>
      </c>
      <c r="L229" s="125">
        <v>0</v>
      </c>
      <c r="M229" s="125">
        <v>0</v>
      </c>
      <c r="N229" s="125">
        <v>0</v>
      </c>
      <c r="O229" s="125">
        <v>0</v>
      </c>
      <c r="P229" s="125">
        <v>0</v>
      </c>
      <c r="Q229" s="125">
        <v>0</v>
      </c>
      <c r="R229" s="125">
        <v>0</v>
      </c>
      <c r="S229" s="125">
        <v>0</v>
      </c>
      <c r="T229" s="125">
        <v>0</v>
      </c>
      <c r="U229" s="125">
        <v>0</v>
      </c>
      <c r="V229" s="125">
        <v>0</v>
      </c>
      <c r="W229" s="125">
        <v>0</v>
      </c>
      <c r="X229" s="125">
        <v>0</v>
      </c>
      <c r="Y229" s="125">
        <v>0</v>
      </c>
      <c r="Z229" s="125">
        <v>0</v>
      </c>
      <c r="AA229" s="125">
        <v>0</v>
      </c>
      <c r="AB229" s="125">
        <v>0</v>
      </c>
      <c r="AC229" s="125">
        <v>0</v>
      </c>
      <c r="AD229" s="125">
        <v>0</v>
      </c>
      <c r="AE229" s="125">
        <v>0</v>
      </c>
      <c r="AF229" s="125">
        <v>0</v>
      </c>
      <c r="AG229" s="125">
        <v>0</v>
      </c>
      <c r="AH229" s="125">
        <v>0</v>
      </c>
      <c r="AI229" s="125">
        <v>0</v>
      </c>
      <c r="AJ229" s="125">
        <v>0</v>
      </c>
      <c r="AK229" s="125">
        <v>0</v>
      </c>
      <c r="AL229" s="125">
        <v>0</v>
      </c>
      <c r="AM229" s="125">
        <v>0</v>
      </c>
      <c r="AN229" s="125">
        <v>0</v>
      </c>
      <c r="AO229" s="125">
        <v>0</v>
      </c>
      <c r="AP229" s="125">
        <v>0</v>
      </c>
      <c r="AQ229" s="125">
        <v>0</v>
      </c>
      <c r="AR229" s="125">
        <v>0</v>
      </c>
      <c r="AS229" s="125">
        <v>0</v>
      </c>
      <c r="AT229" s="125">
        <v>0</v>
      </c>
      <c r="AU229" s="125">
        <v>0</v>
      </c>
      <c r="AV229" s="125">
        <v>0</v>
      </c>
      <c r="AW229" s="125">
        <v>0</v>
      </c>
      <c r="AX229" s="125">
        <v>0</v>
      </c>
      <c r="AY229" s="125">
        <v>0</v>
      </c>
    </row>
    <row r="230" spans="1:51" x14ac:dyDescent="0.2">
      <c r="A230" s="124"/>
      <c r="B230" s="134">
        <v>22</v>
      </c>
      <c r="C230" s="121">
        <v>0</v>
      </c>
      <c r="D230" s="125">
        <v>0</v>
      </c>
      <c r="E230" s="125">
        <v>0</v>
      </c>
      <c r="F230" s="125">
        <v>0</v>
      </c>
      <c r="G230" s="125">
        <v>0</v>
      </c>
      <c r="H230" s="125">
        <v>0</v>
      </c>
      <c r="I230" s="125">
        <v>0</v>
      </c>
      <c r="J230" s="125">
        <v>0</v>
      </c>
      <c r="K230" s="125">
        <v>0</v>
      </c>
      <c r="L230" s="125">
        <v>0</v>
      </c>
      <c r="M230" s="125">
        <v>0</v>
      </c>
      <c r="N230" s="125">
        <v>0</v>
      </c>
      <c r="O230" s="125">
        <v>0</v>
      </c>
      <c r="P230" s="125">
        <v>0</v>
      </c>
      <c r="Q230" s="125">
        <v>0</v>
      </c>
      <c r="R230" s="125">
        <v>0</v>
      </c>
      <c r="S230" s="125">
        <v>0</v>
      </c>
      <c r="T230" s="125">
        <v>0</v>
      </c>
      <c r="U230" s="125">
        <v>0</v>
      </c>
      <c r="V230" s="125">
        <v>0</v>
      </c>
      <c r="W230" s="125">
        <v>0</v>
      </c>
      <c r="X230" s="125">
        <v>0</v>
      </c>
      <c r="Y230" s="125">
        <v>0</v>
      </c>
      <c r="Z230" s="125">
        <v>0</v>
      </c>
      <c r="AA230" s="125">
        <v>0</v>
      </c>
      <c r="AB230" s="125">
        <v>0</v>
      </c>
      <c r="AC230" s="125">
        <v>0</v>
      </c>
      <c r="AD230" s="125">
        <v>0</v>
      </c>
      <c r="AE230" s="125">
        <v>0</v>
      </c>
      <c r="AF230" s="125">
        <v>0</v>
      </c>
      <c r="AG230" s="125">
        <v>0</v>
      </c>
      <c r="AH230" s="125">
        <v>0</v>
      </c>
      <c r="AI230" s="125">
        <v>0</v>
      </c>
      <c r="AJ230" s="125">
        <v>0</v>
      </c>
      <c r="AK230" s="125">
        <v>0</v>
      </c>
      <c r="AL230" s="125">
        <v>0</v>
      </c>
      <c r="AM230" s="125">
        <v>0</v>
      </c>
      <c r="AN230" s="125">
        <v>0</v>
      </c>
      <c r="AO230" s="125">
        <v>0</v>
      </c>
      <c r="AP230" s="125">
        <v>0</v>
      </c>
      <c r="AQ230" s="125">
        <v>0</v>
      </c>
      <c r="AR230" s="125">
        <v>0</v>
      </c>
      <c r="AS230" s="125">
        <v>0</v>
      </c>
      <c r="AT230" s="125">
        <v>0</v>
      </c>
      <c r="AU230" s="125">
        <v>0</v>
      </c>
      <c r="AV230" s="125">
        <v>0</v>
      </c>
      <c r="AW230" s="125">
        <v>0</v>
      </c>
      <c r="AX230" s="125">
        <v>0</v>
      </c>
      <c r="AY230" s="125">
        <v>0</v>
      </c>
    </row>
    <row r="231" spans="1:51" x14ac:dyDescent="0.2">
      <c r="A231" s="124"/>
      <c r="B231" s="134">
        <v>23</v>
      </c>
      <c r="C231" s="121">
        <v>0</v>
      </c>
      <c r="D231" s="125">
        <v>0</v>
      </c>
      <c r="E231" s="125">
        <v>0</v>
      </c>
      <c r="F231" s="125">
        <v>0</v>
      </c>
      <c r="G231" s="125">
        <v>0</v>
      </c>
      <c r="H231" s="125">
        <v>0</v>
      </c>
      <c r="I231" s="125">
        <v>0</v>
      </c>
      <c r="J231" s="125">
        <v>0</v>
      </c>
      <c r="K231" s="125">
        <v>0</v>
      </c>
      <c r="L231" s="125">
        <v>0</v>
      </c>
      <c r="M231" s="125">
        <v>0</v>
      </c>
      <c r="N231" s="125">
        <v>0</v>
      </c>
      <c r="O231" s="125">
        <v>0</v>
      </c>
      <c r="P231" s="125">
        <v>0</v>
      </c>
      <c r="Q231" s="125">
        <v>0</v>
      </c>
      <c r="R231" s="125">
        <v>0</v>
      </c>
      <c r="S231" s="125">
        <v>0</v>
      </c>
      <c r="T231" s="125">
        <v>0</v>
      </c>
      <c r="U231" s="125">
        <v>0</v>
      </c>
      <c r="V231" s="125">
        <v>0</v>
      </c>
      <c r="W231" s="125">
        <v>0</v>
      </c>
      <c r="X231" s="125">
        <v>0</v>
      </c>
      <c r="Y231" s="125">
        <v>0</v>
      </c>
      <c r="Z231" s="125">
        <v>0</v>
      </c>
      <c r="AA231" s="125">
        <v>0</v>
      </c>
      <c r="AB231" s="125">
        <v>0</v>
      </c>
      <c r="AC231" s="125">
        <v>0</v>
      </c>
      <c r="AD231" s="125">
        <v>0</v>
      </c>
      <c r="AE231" s="125">
        <v>0</v>
      </c>
      <c r="AF231" s="125">
        <v>0</v>
      </c>
      <c r="AG231" s="125">
        <v>0</v>
      </c>
      <c r="AH231" s="125">
        <v>0</v>
      </c>
      <c r="AI231" s="125">
        <v>0</v>
      </c>
      <c r="AJ231" s="125">
        <v>0</v>
      </c>
      <c r="AK231" s="125">
        <v>0</v>
      </c>
      <c r="AL231" s="125">
        <v>0</v>
      </c>
      <c r="AM231" s="125">
        <v>0</v>
      </c>
      <c r="AN231" s="125">
        <v>0</v>
      </c>
      <c r="AO231" s="125">
        <v>0</v>
      </c>
      <c r="AP231" s="125">
        <v>0</v>
      </c>
      <c r="AQ231" s="125">
        <v>0</v>
      </c>
      <c r="AR231" s="125">
        <v>0</v>
      </c>
      <c r="AS231" s="125">
        <v>0</v>
      </c>
      <c r="AT231" s="125">
        <v>0</v>
      </c>
      <c r="AU231" s="125">
        <v>0</v>
      </c>
      <c r="AV231" s="125">
        <v>0</v>
      </c>
      <c r="AW231" s="125">
        <v>0</v>
      </c>
      <c r="AX231" s="125">
        <v>0</v>
      </c>
      <c r="AY231" s="125">
        <v>0</v>
      </c>
    </row>
    <row r="232" spans="1:51" x14ac:dyDescent="0.2">
      <c r="A232" s="124"/>
      <c r="B232" s="134">
        <v>24</v>
      </c>
      <c r="C232" s="121">
        <v>0</v>
      </c>
      <c r="D232" s="125">
        <v>0</v>
      </c>
      <c r="E232" s="125">
        <v>0</v>
      </c>
      <c r="F232" s="125">
        <v>0</v>
      </c>
      <c r="G232" s="125">
        <v>0</v>
      </c>
      <c r="H232" s="125">
        <v>0</v>
      </c>
      <c r="I232" s="125">
        <v>0</v>
      </c>
      <c r="J232" s="125">
        <v>0</v>
      </c>
      <c r="K232" s="125">
        <v>0</v>
      </c>
      <c r="L232" s="125">
        <v>0</v>
      </c>
      <c r="M232" s="125">
        <v>0</v>
      </c>
      <c r="N232" s="125">
        <v>0</v>
      </c>
      <c r="O232" s="125">
        <v>0</v>
      </c>
      <c r="P232" s="125">
        <v>0</v>
      </c>
      <c r="Q232" s="125">
        <v>0</v>
      </c>
      <c r="R232" s="125">
        <v>0</v>
      </c>
      <c r="S232" s="125">
        <v>0</v>
      </c>
      <c r="T232" s="125">
        <v>0</v>
      </c>
      <c r="U232" s="125">
        <v>0</v>
      </c>
      <c r="V232" s="125">
        <v>0</v>
      </c>
      <c r="W232" s="125">
        <v>0</v>
      </c>
      <c r="X232" s="125">
        <v>0</v>
      </c>
      <c r="Y232" s="125">
        <v>0</v>
      </c>
      <c r="Z232" s="125">
        <v>0</v>
      </c>
      <c r="AA232" s="125">
        <v>0</v>
      </c>
      <c r="AB232" s="125">
        <v>0</v>
      </c>
      <c r="AC232" s="125">
        <v>0</v>
      </c>
      <c r="AD232" s="125">
        <v>0</v>
      </c>
      <c r="AE232" s="125">
        <v>0</v>
      </c>
      <c r="AF232" s="125">
        <v>0</v>
      </c>
      <c r="AG232" s="125">
        <v>0</v>
      </c>
      <c r="AH232" s="125">
        <v>0</v>
      </c>
      <c r="AI232" s="125">
        <v>0</v>
      </c>
      <c r="AJ232" s="125">
        <v>0</v>
      </c>
      <c r="AK232" s="125">
        <v>0</v>
      </c>
      <c r="AL232" s="125">
        <v>0</v>
      </c>
      <c r="AM232" s="125">
        <v>0</v>
      </c>
      <c r="AN232" s="125">
        <v>0</v>
      </c>
      <c r="AO232" s="125">
        <v>0</v>
      </c>
      <c r="AP232" s="125">
        <v>0</v>
      </c>
      <c r="AQ232" s="125">
        <v>0</v>
      </c>
      <c r="AR232" s="125">
        <v>0</v>
      </c>
      <c r="AS232" s="125">
        <v>0</v>
      </c>
      <c r="AT232" s="125">
        <v>0</v>
      </c>
      <c r="AU232" s="125">
        <v>0</v>
      </c>
      <c r="AV232" s="125">
        <v>0</v>
      </c>
      <c r="AW232" s="125">
        <v>0</v>
      </c>
      <c r="AX232" s="125">
        <v>0</v>
      </c>
      <c r="AY232" s="125">
        <v>0</v>
      </c>
    </row>
    <row r="233" spans="1:51" x14ac:dyDescent="0.2">
      <c r="A233" s="124"/>
      <c r="B233" s="141">
        <v>25</v>
      </c>
      <c r="C233" s="121">
        <v>0</v>
      </c>
      <c r="D233" s="125">
        <v>0</v>
      </c>
      <c r="E233" s="125">
        <v>0</v>
      </c>
      <c r="F233" s="125">
        <v>0</v>
      </c>
      <c r="G233" s="125">
        <v>0</v>
      </c>
      <c r="H233" s="125">
        <v>0</v>
      </c>
      <c r="I233" s="125">
        <v>0</v>
      </c>
      <c r="J233" s="125">
        <v>0</v>
      </c>
      <c r="K233" s="125">
        <v>0</v>
      </c>
      <c r="L233" s="125">
        <v>0</v>
      </c>
      <c r="M233" s="125">
        <v>0</v>
      </c>
      <c r="N233" s="125">
        <v>0</v>
      </c>
      <c r="O233" s="125">
        <v>0</v>
      </c>
      <c r="P233" s="125">
        <v>0</v>
      </c>
      <c r="Q233" s="125">
        <v>0</v>
      </c>
      <c r="R233" s="125">
        <v>0</v>
      </c>
      <c r="S233" s="125">
        <v>0</v>
      </c>
      <c r="T233" s="125">
        <v>0</v>
      </c>
      <c r="U233" s="125">
        <v>0</v>
      </c>
      <c r="V233" s="125">
        <v>0</v>
      </c>
      <c r="W233" s="125">
        <v>0</v>
      </c>
      <c r="X233" s="125">
        <v>0</v>
      </c>
      <c r="Y233" s="125">
        <v>0</v>
      </c>
      <c r="Z233" s="125">
        <v>0</v>
      </c>
      <c r="AA233" s="125">
        <v>0</v>
      </c>
      <c r="AB233" s="125">
        <v>0</v>
      </c>
      <c r="AC233" s="125">
        <v>0</v>
      </c>
      <c r="AD233" s="125">
        <v>0</v>
      </c>
      <c r="AE233" s="125">
        <v>0</v>
      </c>
      <c r="AF233" s="125">
        <v>0</v>
      </c>
      <c r="AG233" s="125">
        <v>0</v>
      </c>
      <c r="AH233" s="125">
        <v>0</v>
      </c>
      <c r="AI233" s="125">
        <v>0</v>
      </c>
      <c r="AJ233" s="125">
        <v>0</v>
      </c>
      <c r="AK233" s="125">
        <v>0</v>
      </c>
      <c r="AL233" s="125">
        <v>0</v>
      </c>
      <c r="AM233" s="125">
        <v>0</v>
      </c>
      <c r="AN233" s="125">
        <v>0</v>
      </c>
      <c r="AO233" s="125">
        <v>0</v>
      </c>
      <c r="AP233" s="125">
        <v>0</v>
      </c>
      <c r="AQ233" s="125">
        <v>0</v>
      </c>
      <c r="AR233" s="125">
        <v>0</v>
      </c>
      <c r="AS233" s="125">
        <v>0</v>
      </c>
      <c r="AT233" s="125">
        <v>0</v>
      </c>
      <c r="AU233" s="125">
        <v>0</v>
      </c>
      <c r="AV233" s="125">
        <v>0</v>
      </c>
      <c r="AW233" s="125">
        <v>0</v>
      </c>
      <c r="AX233" s="125">
        <v>0</v>
      </c>
      <c r="AY233" s="125">
        <v>0</v>
      </c>
    </row>
    <row r="234" spans="1:51" x14ac:dyDescent="0.2">
      <c r="A234" s="124"/>
      <c r="B234" s="141">
        <v>26</v>
      </c>
      <c r="C234" s="121">
        <v>0</v>
      </c>
      <c r="D234" s="125">
        <v>0</v>
      </c>
      <c r="E234" s="125">
        <v>0</v>
      </c>
      <c r="F234" s="125">
        <v>0</v>
      </c>
      <c r="G234" s="125">
        <v>0</v>
      </c>
      <c r="H234" s="125">
        <v>0</v>
      </c>
      <c r="I234" s="125">
        <v>0</v>
      </c>
      <c r="J234" s="125">
        <v>0</v>
      </c>
      <c r="K234" s="125">
        <v>0</v>
      </c>
      <c r="L234" s="125">
        <v>0</v>
      </c>
      <c r="M234" s="125">
        <v>0</v>
      </c>
      <c r="N234" s="125">
        <v>0</v>
      </c>
      <c r="O234" s="125">
        <v>0</v>
      </c>
      <c r="P234" s="125">
        <v>0</v>
      </c>
      <c r="Q234" s="125">
        <v>0</v>
      </c>
      <c r="R234" s="125">
        <v>0</v>
      </c>
      <c r="S234" s="125">
        <v>0</v>
      </c>
      <c r="T234" s="125">
        <v>0</v>
      </c>
      <c r="U234" s="125">
        <v>0</v>
      </c>
      <c r="V234" s="125">
        <v>0</v>
      </c>
      <c r="W234" s="125">
        <v>0</v>
      </c>
      <c r="X234" s="125">
        <v>0</v>
      </c>
      <c r="Y234" s="125">
        <v>0</v>
      </c>
      <c r="Z234" s="125">
        <v>0</v>
      </c>
      <c r="AA234" s="125">
        <v>0</v>
      </c>
      <c r="AB234" s="125">
        <v>0</v>
      </c>
      <c r="AC234" s="125">
        <v>0</v>
      </c>
      <c r="AD234" s="125">
        <v>0</v>
      </c>
      <c r="AE234" s="125">
        <v>0</v>
      </c>
      <c r="AF234" s="125">
        <v>0</v>
      </c>
      <c r="AG234" s="125">
        <v>0</v>
      </c>
      <c r="AH234" s="125">
        <v>0</v>
      </c>
      <c r="AI234" s="125">
        <v>0</v>
      </c>
      <c r="AJ234" s="125">
        <v>0</v>
      </c>
      <c r="AK234" s="125">
        <v>0</v>
      </c>
      <c r="AL234" s="125">
        <v>0</v>
      </c>
      <c r="AM234" s="125">
        <v>0</v>
      </c>
      <c r="AN234" s="125">
        <v>0</v>
      </c>
      <c r="AO234" s="125">
        <v>0</v>
      </c>
      <c r="AP234" s="125">
        <v>0</v>
      </c>
      <c r="AQ234" s="125">
        <v>0</v>
      </c>
      <c r="AR234" s="125">
        <v>0</v>
      </c>
      <c r="AS234" s="125">
        <v>0</v>
      </c>
      <c r="AT234" s="125">
        <v>0</v>
      </c>
      <c r="AU234" s="125">
        <v>0</v>
      </c>
      <c r="AV234" s="125">
        <v>0</v>
      </c>
      <c r="AW234" s="125">
        <v>0</v>
      </c>
      <c r="AX234" s="125">
        <v>0</v>
      </c>
      <c r="AY234" s="125">
        <v>0</v>
      </c>
    </row>
    <row r="235" spans="1:51" x14ac:dyDescent="0.2">
      <c r="A235" s="124"/>
      <c r="B235" s="141">
        <v>27</v>
      </c>
      <c r="C235" s="121">
        <v>0</v>
      </c>
      <c r="D235" s="125">
        <v>0</v>
      </c>
      <c r="E235" s="125">
        <v>0</v>
      </c>
      <c r="F235" s="125">
        <v>0</v>
      </c>
      <c r="G235" s="125">
        <v>0</v>
      </c>
      <c r="H235" s="125">
        <v>0</v>
      </c>
      <c r="I235" s="125">
        <v>0</v>
      </c>
      <c r="J235" s="125">
        <v>0</v>
      </c>
      <c r="K235" s="125">
        <v>0</v>
      </c>
      <c r="L235" s="125">
        <v>0</v>
      </c>
      <c r="M235" s="125">
        <v>0</v>
      </c>
      <c r="N235" s="125">
        <v>0</v>
      </c>
      <c r="O235" s="125">
        <v>0</v>
      </c>
      <c r="P235" s="125">
        <v>0</v>
      </c>
      <c r="Q235" s="125">
        <v>0</v>
      </c>
      <c r="R235" s="125">
        <v>0</v>
      </c>
      <c r="S235" s="125">
        <v>0</v>
      </c>
      <c r="T235" s="125">
        <v>0</v>
      </c>
      <c r="U235" s="125">
        <v>0</v>
      </c>
      <c r="V235" s="125">
        <v>0</v>
      </c>
      <c r="W235" s="125">
        <v>0</v>
      </c>
      <c r="X235" s="125">
        <v>0</v>
      </c>
      <c r="Y235" s="125">
        <v>0</v>
      </c>
      <c r="Z235" s="125">
        <v>0</v>
      </c>
      <c r="AA235" s="125">
        <v>0</v>
      </c>
      <c r="AB235" s="125">
        <v>0</v>
      </c>
      <c r="AC235" s="125">
        <v>0</v>
      </c>
      <c r="AD235" s="125">
        <v>0</v>
      </c>
      <c r="AE235" s="125">
        <v>0</v>
      </c>
      <c r="AF235" s="125">
        <v>0</v>
      </c>
      <c r="AG235" s="125">
        <v>0</v>
      </c>
      <c r="AH235" s="125">
        <v>0</v>
      </c>
      <c r="AI235" s="125">
        <v>0</v>
      </c>
      <c r="AJ235" s="125">
        <v>0</v>
      </c>
      <c r="AK235" s="125">
        <v>0</v>
      </c>
      <c r="AL235" s="125">
        <v>0</v>
      </c>
      <c r="AM235" s="125">
        <v>0</v>
      </c>
      <c r="AN235" s="125">
        <v>0</v>
      </c>
      <c r="AO235" s="125">
        <v>0</v>
      </c>
      <c r="AP235" s="125">
        <v>0</v>
      </c>
      <c r="AQ235" s="125">
        <v>0</v>
      </c>
      <c r="AR235" s="125">
        <v>0</v>
      </c>
      <c r="AS235" s="125">
        <v>0</v>
      </c>
      <c r="AT235" s="125">
        <v>0</v>
      </c>
      <c r="AU235" s="125">
        <v>0</v>
      </c>
      <c r="AV235" s="125">
        <v>0</v>
      </c>
      <c r="AW235" s="125">
        <v>0</v>
      </c>
      <c r="AX235" s="125">
        <v>0</v>
      </c>
      <c r="AY235" s="125">
        <v>0</v>
      </c>
    </row>
    <row r="236" spans="1:51" x14ac:dyDescent="0.2">
      <c r="A236" s="124"/>
      <c r="B236" s="141">
        <v>28</v>
      </c>
      <c r="C236" s="121">
        <v>0</v>
      </c>
      <c r="D236" s="125">
        <v>0</v>
      </c>
      <c r="E236" s="125">
        <v>0</v>
      </c>
      <c r="F236" s="125">
        <v>0</v>
      </c>
      <c r="G236" s="125">
        <v>0</v>
      </c>
      <c r="H236" s="125">
        <v>0</v>
      </c>
      <c r="I236" s="125">
        <v>0</v>
      </c>
      <c r="J236" s="125">
        <v>0</v>
      </c>
      <c r="K236" s="125">
        <v>0</v>
      </c>
      <c r="L236" s="125">
        <v>0</v>
      </c>
      <c r="M236" s="125">
        <v>0</v>
      </c>
      <c r="N236" s="125">
        <v>0</v>
      </c>
      <c r="O236" s="125">
        <v>0</v>
      </c>
      <c r="P236" s="125">
        <v>0</v>
      </c>
      <c r="Q236" s="125">
        <v>0</v>
      </c>
      <c r="R236" s="125">
        <v>0</v>
      </c>
      <c r="S236" s="125">
        <v>0</v>
      </c>
      <c r="T236" s="125">
        <v>0</v>
      </c>
      <c r="U236" s="125">
        <v>0</v>
      </c>
      <c r="V236" s="125">
        <v>0</v>
      </c>
      <c r="W236" s="125">
        <v>0</v>
      </c>
      <c r="X236" s="125">
        <v>0</v>
      </c>
      <c r="Y236" s="125">
        <v>0</v>
      </c>
      <c r="Z236" s="125">
        <v>0</v>
      </c>
      <c r="AA236" s="125">
        <v>0</v>
      </c>
      <c r="AB236" s="125">
        <v>0</v>
      </c>
      <c r="AC236" s="125">
        <v>0</v>
      </c>
      <c r="AD236" s="125">
        <v>0</v>
      </c>
      <c r="AE236" s="125">
        <v>0</v>
      </c>
      <c r="AF236" s="125">
        <v>0</v>
      </c>
      <c r="AG236" s="125">
        <v>0</v>
      </c>
      <c r="AH236" s="125">
        <v>0</v>
      </c>
      <c r="AI236" s="125">
        <v>0</v>
      </c>
      <c r="AJ236" s="125">
        <v>0</v>
      </c>
      <c r="AK236" s="125">
        <v>0</v>
      </c>
      <c r="AL236" s="125">
        <v>0</v>
      </c>
      <c r="AM236" s="125">
        <v>0</v>
      </c>
      <c r="AN236" s="125">
        <v>0</v>
      </c>
      <c r="AO236" s="125">
        <v>0</v>
      </c>
      <c r="AP236" s="125">
        <v>0</v>
      </c>
      <c r="AQ236" s="125">
        <v>0</v>
      </c>
      <c r="AR236" s="125">
        <v>0</v>
      </c>
      <c r="AS236" s="125">
        <v>0</v>
      </c>
      <c r="AT236" s="125">
        <v>0</v>
      </c>
      <c r="AU236" s="125">
        <v>0</v>
      </c>
      <c r="AV236" s="125">
        <v>0</v>
      </c>
      <c r="AW236" s="125">
        <v>0</v>
      </c>
      <c r="AX236" s="125">
        <v>0</v>
      </c>
      <c r="AY236" s="125">
        <v>0</v>
      </c>
    </row>
    <row r="237" spans="1:51" x14ac:dyDescent="0.2">
      <c r="A237" s="124"/>
      <c r="B237" s="141">
        <v>29</v>
      </c>
      <c r="C237" s="121">
        <v>0</v>
      </c>
      <c r="D237" s="125">
        <v>0</v>
      </c>
      <c r="E237" s="125">
        <v>0</v>
      </c>
      <c r="F237" s="125">
        <v>0</v>
      </c>
      <c r="G237" s="125">
        <v>0</v>
      </c>
      <c r="H237" s="125">
        <v>0</v>
      </c>
      <c r="I237" s="125">
        <v>0</v>
      </c>
      <c r="J237" s="125">
        <v>0</v>
      </c>
      <c r="K237" s="125">
        <v>0</v>
      </c>
      <c r="L237" s="125">
        <v>0</v>
      </c>
      <c r="M237" s="125">
        <v>0</v>
      </c>
      <c r="N237" s="125">
        <v>0</v>
      </c>
      <c r="O237" s="125">
        <v>0</v>
      </c>
      <c r="P237" s="125">
        <v>0</v>
      </c>
      <c r="Q237" s="125">
        <v>0</v>
      </c>
      <c r="R237" s="125">
        <v>0</v>
      </c>
      <c r="S237" s="125">
        <v>0</v>
      </c>
      <c r="T237" s="125">
        <v>0</v>
      </c>
      <c r="U237" s="125">
        <v>0</v>
      </c>
      <c r="V237" s="125">
        <v>0</v>
      </c>
      <c r="W237" s="125">
        <v>0</v>
      </c>
      <c r="X237" s="125">
        <v>0</v>
      </c>
      <c r="Y237" s="125">
        <v>0</v>
      </c>
      <c r="Z237" s="125">
        <v>0</v>
      </c>
      <c r="AA237" s="125">
        <v>0</v>
      </c>
      <c r="AB237" s="125">
        <v>0</v>
      </c>
      <c r="AC237" s="125">
        <v>0</v>
      </c>
      <c r="AD237" s="125">
        <v>0</v>
      </c>
      <c r="AE237" s="125">
        <v>0</v>
      </c>
      <c r="AF237" s="125">
        <v>0</v>
      </c>
      <c r="AG237" s="125">
        <v>0</v>
      </c>
      <c r="AH237" s="125">
        <v>0</v>
      </c>
      <c r="AI237" s="125">
        <v>0</v>
      </c>
      <c r="AJ237" s="125">
        <v>0</v>
      </c>
      <c r="AK237" s="125">
        <v>0</v>
      </c>
      <c r="AL237" s="125">
        <v>0</v>
      </c>
      <c r="AM237" s="125">
        <v>0</v>
      </c>
      <c r="AN237" s="125">
        <v>0</v>
      </c>
      <c r="AO237" s="125">
        <v>0</v>
      </c>
      <c r="AP237" s="125">
        <v>0</v>
      </c>
      <c r="AQ237" s="125">
        <v>0</v>
      </c>
      <c r="AR237" s="125">
        <v>0</v>
      </c>
      <c r="AS237" s="125">
        <v>0</v>
      </c>
      <c r="AT237" s="125">
        <v>0</v>
      </c>
      <c r="AU237" s="125">
        <v>0</v>
      </c>
      <c r="AV237" s="125">
        <v>0</v>
      </c>
      <c r="AW237" s="125">
        <v>0</v>
      </c>
      <c r="AX237" s="125">
        <v>0</v>
      </c>
      <c r="AY237" s="125">
        <v>0</v>
      </c>
    </row>
    <row r="238" spans="1:51" x14ac:dyDescent="0.2">
      <c r="A238" s="124"/>
      <c r="B238" s="141">
        <v>30</v>
      </c>
      <c r="C238" s="121">
        <v>0</v>
      </c>
      <c r="D238" s="125">
        <v>0</v>
      </c>
      <c r="E238" s="125">
        <v>0</v>
      </c>
      <c r="F238" s="125">
        <v>0</v>
      </c>
      <c r="G238" s="125">
        <v>0</v>
      </c>
      <c r="H238" s="125">
        <v>0</v>
      </c>
      <c r="I238" s="125">
        <v>0</v>
      </c>
      <c r="J238" s="125">
        <v>0</v>
      </c>
      <c r="K238" s="125">
        <v>0</v>
      </c>
      <c r="L238" s="125">
        <v>0</v>
      </c>
      <c r="M238" s="125">
        <v>0</v>
      </c>
      <c r="N238" s="125">
        <v>0</v>
      </c>
      <c r="O238" s="125">
        <v>0</v>
      </c>
      <c r="P238" s="125">
        <v>0</v>
      </c>
      <c r="Q238" s="125">
        <v>0</v>
      </c>
      <c r="R238" s="125">
        <v>0</v>
      </c>
      <c r="S238" s="125">
        <v>0</v>
      </c>
      <c r="T238" s="125">
        <v>0</v>
      </c>
      <c r="U238" s="125">
        <v>0</v>
      </c>
      <c r="V238" s="125">
        <v>0</v>
      </c>
      <c r="W238" s="125">
        <v>0</v>
      </c>
      <c r="X238" s="125">
        <v>0</v>
      </c>
      <c r="Y238" s="125">
        <v>0</v>
      </c>
      <c r="Z238" s="125">
        <v>0</v>
      </c>
      <c r="AA238" s="125">
        <v>0</v>
      </c>
      <c r="AB238" s="125">
        <v>0</v>
      </c>
      <c r="AC238" s="125">
        <v>0</v>
      </c>
      <c r="AD238" s="125">
        <v>0</v>
      </c>
      <c r="AE238" s="125">
        <v>0</v>
      </c>
      <c r="AF238" s="125">
        <v>0</v>
      </c>
      <c r="AG238" s="125">
        <v>0</v>
      </c>
      <c r="AH238" s="125">
        <v>0</v>
      </c>
      <c r="AI238" s="125">
        <v>0</v>
      </c>
      <c r="AJ238" s="125">
        <v>0</v>
      </c>
      <c r="AK238" s="125">
        <v>0</v>
      </c>
      <c r="AL238" s="125">
        <v>0</v>
      </c>
      <c r="AM238" s="125">
        <v>0</v>
      </c>
      <c r="AN238" s="125">
        <v>0</v>
      </c>
      <c r="AO238" s="125">
        <v>0</v>
      </c>
      <c r="AP238" s="125">
        <v>0</v>
      </c>
      <c r="AQ238" s="125">
        <v>0</v>
      </c>
      <c r="AR238" s="125">
        <v>0</v>
      </c>
      <c r="AS238" s="125">
        <v>0</v>
      </c>
      <c r="AT238" s="125">
        <v>0</v>
      </c>
      <c r="AU238" s="125">
        <v>0</v>
      </c>
      <c r="AV238" s="125">
        <v>0</v>
      </c>
      <c r="AW238" s="125">
        <v>0</v>
      </c>
      <c r="AX238" s="125">
        <v>0</v>
      </c>
      <c r="AY238" s="125">
        <v>0</v>
      </c>
    </row>
    <row r="239" spans="1:51" x14ac:dyDescent="0.2">
      <c r="A239" s="124"/>
      <c r="B239" s="141">
        <v>31</v>
      </c>
      <c r="C239" s="121">
        <v>0</v>
      </c>
      <c r="D239" s="125">
        <v>0</v>
      </c>
      <c r="E239" s="125">
        <v>0</v>
      </c>
      <c r="F239" s="125">
        <v>0</v>
      </c>
      <c r="G239" s="125">
        <v>0</v>
      </c>
      <c r="H239" s="125">
        <v>0</v>
      </c>
      <c r="I239" s="125">
        <v>0</v>
      </c>
      <c r="J239" s="125">
        <v>0</v>
      </c>
      <c r="K239" s="125">
        <v>0</v>
      </c>
      <c r="L239" s="125">
        <v>0</v>
      </c>
      <c r="M239" s="125">
        <v>0</v>
      </c>
      <c r="N239" s="125">
        <v>0</v>
      </c>
      <c r="O239" s="125">
        <v>0</v>
      </c>
      <c r="P239" s="125">
        <v>0</v>
      </c>
      <c r="Q239" s="125">
        <v>0</v>
      </c>
      <c r="R239" s="125">
        <v>0</v>
      </c>
      <c r="S239" s="125">
        <v>0</v>
      </c>
      <c r="T239" s="125">
        <v>0</v>
      </c>
      <c r="U239" s="125">
        <v>0</v>
      </c>
      <c r="V239" s="125">
        <v>0</v>
      </c>
      <c r="W239" s="125">
        <v>0</v>
      </c>
      <c r="X239" s="125">
        <v>0</v>
      </c>
      <c r="Y239" s="125">
        <v>0</v>
      </c>
      <c r="Z239" s="125">
        <v>0</v>
      </c>
      <c r="AA239" s="125">
        <v>0</v>
      </c>
      <c r="AB239" s="125">
        <v>0</v>
      </c>
      <c r="AC239" s="125">
        <v>0</v>
      </c>
      <c r="AD239" s="125">
        <v>0</v>
      </c>
      <c r="AE239" s="125">
        <v>0</v>
      </c>
      <c r="AF239" s="125">
        <v>0</v>
      </c>
      <c r="AG239" s="125">
        <v>0</v>
      </c>
      <c r="AH239" s="125">
        <v>0</v>
      </c>
      <c r="AI239" s="125">
        <v>0</v>
      </c>
      <c r="AJ239" s="125">
        <v>0</v>
      </c>
      <c r="AK239" s="125">
        <v>0</v>
      </c>
      <c r="AL239" s="125">
        <v>0</v>
      </c>
      <c r="AM239" s="125">
        <v>0</v>
      </c>
      <c r="AN239" s="125">
        <v>0</v>
      </c>
      <c r="AO239" s="125">
        <v>0</v>
      </c>
      <c r="AP239" s="125">
        <v>0</v>
      </c>
      <c r="AQ239" s="125">
        <v>0</v>
      </c>
      <c r="AR239" s="125">
        <v>0</v>
      </c>
      <c r="AS239" s="125">
        <v>0</v>
      </c>
      <c r="AT239" s="125">
        <v>0</v>
      </c>
      <c r="AU239" s="125">
        <v>0</v>
      </c>
      <c r="AV239" s="125">
        <v>0</v>
      </c>
      <c r="AW239" s="125">
        <v>0</v>
      </c>
      <c r="AX239" s="125">
        <v>0</v>
      </c>
      <c r="AY239" s="125">
        <v>0</v>
      </c>
    </row>
    <row r="240" spans="1:51" x14ac:dyDescent="0.2">
      <c r="A240" s="124"/>
      <c r="B240" s="141">
        <v>32</v>
      </c>
      <c r="C240" s="121">
        <v>0</v>
      </c>
      <c r="D240" s="125">
        <v>0</v>
      </c>
      <c r="E240" s="125">
        <v>0</v>
      </c>
      <c r="F240" s="125">
        <v>0</v>
      </c>
      <c r="G240" s="125">
        <v>0</v>
      </c>
      <c r="H240" s="125">
        <v>0</v>
      </c>
      <c r="I240" s="125">
        <v>0</v>
      </c>
      <c r="J240" s="125">
        <v>0</v>
      </c>
      <c r="K240" s="125">
        <v>0</v>
      </c>
      <c r="L240" s="125">
        <v>0</v>
      </c>
      <c r="M240" s="125">
        <v>0</v>
      </c>
      <c r="N240" s="125">
        <v>0</v>
      </c>
      <c r="O240" s="125">
        <v>0</v>
      </c>
      <c r="P240" s="125">
        <v>0</v>
      </c>
      <c r="Q240" s="125">
        <v>0</v>
      </c>
      <c r="R240" s="125">
        <v>0</v>
      </c>
      <c r="S240" s="125">
        <v>0</v>
      </c>
      <c r="T240" s="125">
        <v>0</v>
      </c>
      <c r="U240" s="125">
        <v>0</v>
      </c>
      <c r="V240" s="125">
        <v>0</v>
      </c>
      <c r="W240" s="125">
        <v>0</v>
      </c>
      <c r="X240" s="125">
        <v>0</v>
      </c>
      <c r="Y240" s="125">
        <v>0</v>
      </c>
      <c r="Z240" s="125">
        <v>0</v>
      </c>
      <c r="AA240" s="125">
        <v>0</v>
      </c>
      <c r="AB240" s="125">
        <v>0</v>
      </c>
      <c r="AC240" s="125">
        <v>0</v>
      </c>
      <c r="AD240" s="125">
        <v>0</v>
      </c>
      <c r="AE240" s="125">
        <v>0</v>
      </c>
      <c r="AF240" s="125">
        <v>0</v>
      </c>
      <c r="AG240" s="125">
        <v>0</v>
      </c>
      <c r="AH240" s="125">
        <v>0</v>
      </c>
      <c r="AI240" s="125">
        <v>0</v>
      </c>
      <c r="AJ240" s="125">
        <v>0</v>
      </c>
      <c r="AK240" s="125">
        <v>0</v>
      </c>
      <c r="AL240" s="125">
        <v>0</v>
      </c>
      <c r="AM240" s="125">
        <v>0</v>
      </c>
      <c r="AN240" s="125">
        <v>0</v>
      </c>
      <c r="AO240" s="125">
        <v>0</v>
      </c>
      <c r="AP240" s="125">
        <v>0</v>
      </c>
      <c r="AQ240" s="125">
        <v>0</v>
      </c>
      <c r="AR240" s="125">
        <v>0</v>
      </c>
      <c r="AS240" s="125">
        <v>0</v>
      </c>
      <c r="AT240" s="125">
        <v>0</v>
      </c>
      <c r="AU240" s="125">
        <v>0</v>
      </c>
      <c r="AV240" s="125">
        <v>0</v>
      </c>
      <c r="AW240" s="125">
        <v>0</v>
      </c>
      <c r="AX240" s="125">
        <v>0</v>
      </c>
      <c r="AY240" s="125">
        <v>0</v>
      </c>
    </row>
    <row r="241" spans="1:51" x14ac:dyDescent="0.2">
      <c r="A241" s="124"/>
      <c r="B241" s="141">
        <v>33</v>
      </c>
      <c r="C241" s="121">
        <v>0</v>
      </c>
      <c r="D241" s="125">
        <v>0</v>
      </c>
      <c r="E241" s="125">
        <v>0</v>
      </c>
      <c r="F241" s="125">
        <v>0</v>
      </c>
      <c r="G241" s="125">
        <v>0</v>
      </c>
      <c r="H241" s="125">
        <v>0</v>
      </c>
      <c r="I241" s="125">
        <v>0</v>
      </c>
      <c r="J241" s="125">
        <v>0</v>
      </c>
      <c r="K241" s="125">
        <v>0</v>
      </c>
      <c r="L241" s="125">
        <v>0</v>
      </c>
      <c r="M241" s="125">
        <v>0</v>
      </c>
      <c r="N241" s="125">
        <v>0</v>
      </c>
      <c r="O241" s="125">
        <v>0</v>
      </c>
      <c r="P241" s="125">
        <v>0</v>
      </c>
      <c r="Q241" s="125">
        <v>0</v>
      </c>
      <c r="R241" s="125">
        <v>0</v>
      </c>
      <c r="S241" s="125">
        <v>0</v>
      </c>
      <c r="T241" s="125">
        <v>0</v>
      </c>
      <c r="U241" s="125">
        <v>0</v>
      </c>
      <c r="V241" s="125">
        <v>0</v>
      </c>
      <c r="W241" s="125">
        <v>0</v>
      </c>
      <c r="X241" s="125">
        <v>0</v>
      </c>
      <c r="Y241" s="125">
        <v>0</v>
      </c>
      <c r="Z241" s="125">
        <v>0</v>
      </c>
      <c r="AA241" s="125">
        <v>0</v>
      </c>
      <c r="AB241" s="125">
        <v>0</v>
      </c>
      <c r="AC241" s="125">
        <v>0</v>
      </c>
      <c r="AD241" s="125">
        <v>0</v>
      </c>
      <c r="AE241" s="125">
        <v>0</v>
      </c>
      <c r="AF241" s="125">
        <v>0</v>
      </c>
      <c r="AG241" s="125">
        <v>0</v>
      </c>
      <c r="AH241" s="125">
        <v>0</v>
      </c>
      <c r="AI241" s="125">
        <v>0</v>
      </c>
      <c r="AJ241" s="125">
        <v>0</v>
      </c>
      <c r="AK241" s="125">
        <v>0</v>
      </c>
      <c r="AL241" s="125">
        <v>0</v>
      </c>
      <c r="AM241" s="125">
        <v>0</v>
      </c>
      <c r="AN241" s="125">
        <v>0</v>
      </c>
      <c r="AO241" s="125">
        <v>0</v>
      </c>
      <c r="AP241" s="125">
        <v>0</v>
      </c>
      <c r="AQ241" s="125">
        <v>0</v>
      </c>
      <c r="AR241" s="125">
        <v>0</v>
      </c>
      <c r="AS241" s="125">
        <v>0</v>
      </c>
      <c r="AT241" s="125">
        <v>0</v>
      </c>
      <c r="AU241" s="125">
        <v>0</v>
      </c>
      <c r="AV241" s="125">
        <v>0</v>
      </c>
      <c r="AW241" s="125">
        <v>0</v>
      </c>
      <c r="AX241" s="125">
        <v>0</v>
      </c>
      <c r="AY241" s="125">
        <v>0</v>
      </c>
    </row>
    <row r="242" spans="1:51" x14ac:dyDescent="0.2">
      <c r="A242" s="124"/>
      <c r="B242" s="141">
        <v>34</v>
      </c>
      <c r="C242" s="121">
        <v>0</v>
      </c>
      <c r="D242" s="125">
        <v>0</v>
      </c>
      <c r="E242" s="125">
        <v>0</v>
      </c>
      <c r="F242" s="125">
        <v>0</v>
      </c>
      <c r="G242" s="125">
        <v>0</v>
      </c>
      <c r="H242" s="125">
        <v>0</v>
      </c>
      <c r="I242" s="125">
        <v>0</v>
      </c>
      <c r="J242" s="125">
        <v>0</v>
      </c>
      <c r="K242" s="125">
        <v>0</v>
      </c>
      <c r="L242" s="125">
        <v>0</v>
      </c>
      <c r="M242" s="125">
        <v>0</v>
      </c>
      <c r="N242" s="125">
        <v>0</v>
      </c>
      <c r="O242" s="125">
        <v>0</v>
      </c>
      <c r="P242" s="125">
        <v>0</v>
      </c>
      <c r="Q242" s="125">
        <v>0</v>
      </c>
      <c r="R242" s="125">
        <v>0</v>
      </c>
      <c r="S242" s="125">
        <v>0</v>
      </c>
      <c r="T242" s="125">
        <v>0</v>
      </c>
      <c r="U242" s="125">
        <v>0</v>
      </c>
      <c r="V242" s="125">
        <v>0</v>
      </c>
      <c r="W242" s="125">
        <v>0</v>
      </c>
      <c r="X242" s="125">
        <v>0</v>
      </c>
      <c r="Y242" s="125">
        <v>0</v>
      </c>
      <c r="Z242" s="125">
        <v>0</v>
      </c>
      <c r="AA242" s="125">
        <v>0</v>
      </c>
      <c r="AB242" s="125">
        <v>0</v>
      </c>
      <c r="AC242" s="125">
        <v>0</v>
      </c>
      <c r="AD242" s="125">
        <v>0</v>
      </c>
      <c r="AE242" s="125">
        <v>0</v>
      </c>
      <c r="AF242" s="125">
        <v>0</v>
      </c>
      <c r="AG242" s="125">
        <v>0</v>
      </c>
      <c r="AH242" s="125">
        <v>0</v>
      </c>
      <c r="AI242" s="125">
        <v>0</v>
      </c>
      <c r="AJ242" s="125">
        <v>0</v>
      </c>
      <c r="AK242" s="125">
        <v>0</v>
      </c>
      <c r="AL242" s="125">
        <v>0</v>
      </c>
      <c r="AM242" s="125">
        <v>0</v>
      </c>
      <c r="AN242" s="125">
        <v>0</v>
      </c>
      <c r="AO242" s="125">
        <v>0</v>
      </c>
      <c r="AP242" s="125">
        <v>0</v>
      </c>
      <c r="AQ242" s="125">
        <v>0</v>
      </c>
      <c r="AR242" s="125">
        <v>0</v>
      </c>
      <c r="AS242" s="125">
        <v>0</v>
      </c>
      <c r="AT242" s="125">
        <v>0</v>
      </c>
      <c r="AU242" s="125">
        <v>0</v>
      </c>
      <c r="AV242" s="125">
        <v>0</v>
      </c>
      <c r="AW242" s="125">
        <v>0</v>
      </c>
      <c r="AX242" s="125">
        <v>0</v>
      </c>
      <c r="AY242" s="125">
        <v>0</v>
      </c>
    </row>
    <row r="243" spans="1:51" x14ac:dyDescent="0.2">
      <c r="A243" s="124"/>
      <c r="B243" s="141">
        <v>35</v>
      </c>
      <c r="C243" s="121">
        <v>0</v>
      </c>
      <c r="D243" s="125">
        <v>0</v>
      </c>
      <c r="E243" s="125">
        <v>0</v>
      </c>
      <c r="F243" s="125">
        <v>0</v>
      </c>
      <c r="G243" s="125">
        <v>0</v>
      </c>
      <c r="H243" s="125">
        <v>0</v>
      </c>
      <c r="I243" s="125">
        <v>0</v>
      </c>
      <c r="J243" s="125">
        <v>0</v>
      </c>
      <c r="K243" s="125">
        <v>0</v>
      </c>
      <c r="L243" s="125">
        <v>0</v>
      </c>
      <c r="M243" s="125">
        <v>0</v>
      </c>
      <c r="N243" s="125">
        <v>0</v>
      </c>
      <c r="O243" s="125">
        <v>0</v>
      </c>
      <c r="P243" s="125">
        <v>0</v>
      </c>
      <c r="Q243" s="125">
        <v>0</v>
      </c>
      <c r="R243" s="125">
        <v>0</v>
      </c>
      <c r="S243" s="125">
        <v>0</v>
      </c>
      <c r="T243" s="125">
        <v>0</v>
      </c>
      <c r="U243" s="125">
        <v>0</v>
      </c>
      <c r="V243" s="125">
        <v>0</v>
      </c>
      <c r="W243" s="125">
        <v>0</v>
      </c>
      <c r="X243" s="125">
        <v>0</v>
      </c>
      <c r="Y243" s="125">
        <v>0</v>
      </c>
      <c r="Z243" s="125">
        <v>0</v>
      </c>
      <c r="AA243" s="125">
        <v>0</v>
      </c>
      <c r="AB243" s="125">
        <v>0</v>
      </c>
      <c r="AC243" s="125">
        <v>0</v>
      </c>
      <c r="AD243" s="125">
        <v>0</v>
      </c>
      <c r="AE243" s="125">
        <v>0</v>
      </c>
      <c r="AF243" s="125">
        <v>0</v>
      </c>
      <c r="AG243" s="125">
        <v>0</v>
      </c>
      <c r="AH243" s="125">
        <v>0</v>
      </c>
      <c r="AI243" s="125">
        <v>0</v>
      </c>
      <c r="AJ243" s="125">
        <v>0</v>
      </c>
      <c r="AK243" s="125">
        <v>0</v>
      </c>
      <c r="AL243" s="125">
        <v>0</v>
      </c>
      <c r="AM243" s="125">
        <v>0</v>
      </c>
      <c r="AN243" s="125">
        <v>0</v>
      </c>
      <c r="AO243" s="125">
        <v>0</v>
      </c>
      <c r="AP243" s="125">
        <v>0</v>
      </c>
      <c r="AQ243" s="125">
        <v>0</v>
      </c>
      <c r="AR243" s="125">
        <v>0</v>
      </c>
      <c r="AS243" s="125">
        <v>0</v>
      </c>
      <c r="AT243" s="125">
        <v>0</v>
      </c>
      <c r="AU243" s="125">
        <v>0</v>
      </c>
      <c r="AV243" s="125">
        <v>0</v>
      </c>
      <c r="AW243" s="125">
        <v>0</v>
      </c>
      <c r="AX243" s="125">
        <v>0</v>
      </c>
      <c r="AY243" s="125">
        <v>0</v>
      </c>
    </row>
    <row r="244" spans="1:51" x14ac:dyDescent="0.2">
      <c r="A244" s="124"/>
      <c r="B244" s="141">
        <v>36</v>
      </c>
      <c r="C244" s="121">
        <v>0</v>
      </c>
      <c r="D244" s="125">
        <v>0</v>
      </c>
      <c r="E244" s="125">
        <v>0</v>
      </c>
      <c r="F244" s="125">
        <v>0</v>
      </c>
      <c r="G244" s="125">
        <v>0</v>
      </c>
      <c r="H244" s="125">
        <v>0</v>
      </c>
      <c r="I244" s="125">
        <v>0</v>
      </c>
      <c r="J244" s="125">
        <v>0</v>
      </c>
      <c r="K244" s="125">
        <v>0</v>
      </c>
      <c r="L244" s="125">
        <v>0</v>
      </c>
      <c r="M244" s="125">
        <v>0</v>
      </c>
      <c r="N244" s="125">
        <v>0</v>
      </c>
      <c r="O244" s="125">
        <v>0</v>
      </c>
      <c r="P244" s="125">
        <v>0</v>
      </c>
      <c r="Q244" s="125">
        <v>0</v>
      </c>
      <c r="R244" s="125">
        <v>0</v>
      </c>
      <c r="S244" s="125">
        <v>0</v>
      </c>
      <c r="T244" s="125">
        <v>0</v>
      </c>
      <c r="U244" s="125">
        <v>0</v>
      </c>
      <c r="V244" s="125">
        <v>0</v>
      </c>
      <c r="W244" s="125">
        <v>0</v>
      </c>
      <c r="X244" s="125">
        <v>0</v>
      </c>
      <c r="Y244" s="125">
        <v>0</v>
      </c>
      <c r="Z244" s="125">
        <v>0</v>
      </c>
      <c r="AA244" s="125">
        <v>0</v>
      </c>
      <c r="AB244" s="125">
        <v>0</v>
      </c>
      <c r="AC244" s="125">
        <v>0</v>
      </c>
      <c r="AD244" s="125">
        <v>0</v>
      </c>
      <c r="AE244" s="125">
        <v>0</v>
      </c>
      <c r="AF244" s="125">
        <v>0</v>
      </c>
      <c r="AG244" s="125">
        <v>0</v>
      </c>
      <c r="AH244" s="125">
        <v>0</v>
      </c>
      <c r="AI244" s="125">
        <v>0</v>
      </c>
      <c r="AJ244" s="125">
        <v>0</v>
      </c>
      <c r="AK244" s="125">
        <v>0</v>
      </c>
      <c r="AL244" s="125">
        <v>0</v>
      </c>
      <c r="AM244" s="125">
        <v>0</v>
      </c>
      <c r="AN244" s="125">
        <v>0</v>
      </c>
      <c r="AO244" s="125">
        <v>0</v>
      </c>
      <c r="AP244" s="125">
        <v>0</v>
      </c>
      <c r="AQ244" s="125">
        <v>0</v>
      </c>
      <c r="AR244" s="125">
        <v>0</v>
      </c>
      <c r="AS244" s="125">
        <v>0</v>
      </c>
      <c r="AT244" s="125">
        <v>0</v>
      </c>
      <c r="AU244" s="125">
        <v>0</v>
      </c>
      <c r="AV244" s="125">
        <v>0</v>
      </c>
      <c r="AW244" s="125">
        <v>0</v>
      </c>
      <c r="AX244" s="125">
        <v>0</v>
      </c>
      <c r="AY244" s="125">
        <v>0</v>
      </c>
    </row>
    <row r="245" spans="1:51" x14ac:dyDescent="0.2">
      <c r="A245" s="124"/>
      <c r="B245" s="144">
        <v>37</v>
      </c>
      <c r="C245" s="121">
        <v>0</v>
      </c>
      <c r="D245" s="125">
        <v>0</v>
      </c>
      <c r="E245" s="125">
        <v>0</v>
      </c>
      <c r="F245" s="125">
        <v>0</v>
      </c>
      <c r="G245" s="125">
        <v>0</v>
      </c>
      <c r="H245" s="125">
        <v>0</v>
      </c>
      <c r="I245" s="125">
        <v>0</v>
      </c>
      <c r="J245" s="125">
        <v>0</v>
      </c>
      <c r="K245" s="125">
        <v>0</v>
      </c>
      <c r="L245" s="125">
        <v>0</v>
      </c>
      <c r="M245" s="125">
        <v>0</v>
      </c>
      <c r="N245" s="125">
        <v>0</v>
      </c>
      <c r="O245" s="125">
        <v>0</v>
      </c>
      <c r="P245" s="125">
        <v>0</v>
      </c>
      <c r="Q245" s="125">
        <v>0</v>
      </c>
      <c r="R245" s="125">
        <v>0</v>
      </c>
      <c r="S245" s="125">
        <v>0</v>
      </c>
      <c r="T245" s="125">
        <v>0</v>
      </c>
      <c r="U245" s="125">
        <v>0</v>
      </c>
      <c r="V245" s="125">
        <v>0</v>
      </c>
      <c r="W245" s="125">
        <v>0</v>
      </c>
      <c r="X245" s="125">
        <v>0</v>
      </c>
      <c r="Y245" s="125">
        <v>0</v>
      </c>
      <c r="Z245" s="125">
        <v>0</v>
      </c>
      <c r="AA245" s="125">
        <v>0</v>
      </c>
      <c r="AB245" s="125">
        <v>0</v>
      </c>
      <c r="AC245" s="125">
        <v>0</v>
      </c>
      <c r="AD245" s="125">
        <v>0</v>
      </c>
      <c r="AE245" s="125">
        <v>0</v>
      </c>
      <c r="AF245" s="125">
        <v>0</v>
      </c>
      <c r="AG245" s="125">
        <v>0</v>
      </c>
      <c r="AH245" s="125">
        <v>0</v>
      </c>
      <c r="AI245" s="125">
        <v>0</v>
      </c>
      <c r="AJ245" s="125">
        <v>0</v>
      </c>
      <c r="AK245" s="125">
        <v>0</v>
      </c>
      <c r="AL245" s="125">
        <v>0</v>
      </c>
      <c r="AM245" s="125">
        <v>0</v>
      </c>
      <c r="AN245" s="125">
        <v>0</v>
      </c>
      <c r="AO245" s="125">
        <v>0</v>
      </c>
      <c r="AP245" s="125">
        <v>0</v>
      </c>
      <c r="AQ245" s="125">
        <v>0</v>
      </c>
      <c r="AR245" s="125">
        <v>0</v>
      </c>
      <c r="AS245" s="125">
        <v>0</v>
      </c>
      <c r="AT245" s="125">
        <v>0</v>
      </c>
      <c r="AU245" s="125">
        <v>0</v>
      </c>
      <c r="AV245" s="125">
        <v>0</v>
      </c>
      <c r="AW245" s="125">
        <v>0</v>
      </c>
      <c r="AX245" s="125">
        <v>0</v>
      </c>
      <c r="AY245" s="125">
        <v>0</v>
      </c>
    </row>
    <row r="246" spans="1:51" x14ac:dyDescent="0.2">
      <c r="A246" s="124"/>
      <c r="B246" s="144">
        <v>38</v>
      </c>
      <c r="C246" s="121">
        <v>0</v>
      </c>
      <c r="D246" s="125">
        <v>0</v>
      </c>
      <c r="E246" s="125">
        <v>0</v>
      </c>
      <c r="F246" s="125">
        <v>0</v>
      </c>
      <c r="G246" s="125">
        <v>0</v>
      </c>
      <c r="H246" s="125">
        <v>0</v>
      </c>
      <c r="I246" s="125">
        <v>0</v>
      </c>
      <c r="J246" s="125">
        <v>0</v>
      </c>
      <c r="K246" s="125">
        <v>0</v>
      </c>
      <c r="L246" s="125">
        <v>0</v>
      </c>
      <c r="M246" s="125">
        <v>0</v>
      </c>
      <c r="N246" s="125">
        <v>0</v>
      </c>
      <c r="O246" s="125">
        <v>0</v>
      </c>
      <c r="P246" s="125">
        <v>0</v>
      </c>
      <c r="Q246" s="125">
        <v>0</v>
      </c>
      <c r="R246" s="125">
        <v>0</v>
      </c>
      <c r="S246" s="125">
        <v>0</v>
      </c>
      <c r="T246" s="125">
        <v>0</v>
      </c>
      <c r="U246" s="125">
        <v>0</v>
      </c>
      <c r="V246" s="125">
        <v>0</v>
      </c>
      <c r="W246" s="125">
        <v>0</v>
      </c>
      <c r="X246" s="125">
        <v>0</v>
      </c>
      <c r="Y246" s="125">
        <v>0</v>
      </c>
      <c r="Z246" s="125">
        <v>0</v>
      </c>
      <c r="AA246" s="125">
        <v>0</v>
      </c>
      <c r="AB246" s="125">
        <v>0</v>
      </c>
      <c r="AC246" s="125">
        <v>0</v>
      </c>
      <c r="AD246" s="125">
        <v>0</v>
      </c>
      <c r="AE246" s="125">
        <v>0</v>
      </c>
      <c r="AF246" s="125">
        <v>0</v>
      </c>
      <c r="AG246" s="125">
        <v>0</v>
      </c>
      <c r="AH246" s="125">
        <v>0</v>
      </c>
      <c r="AI246" s="125">
        <v>0</v>
      </c>
      <c r="AJ246" s="125">
        <v>0</v>
      </c>
      <c r="AK246" s="125">
        <v>0</v>
      </c>
      <c r="AL246" s="125">
        <v>0</v>
      </c>
      <c r="AM246" s="125">
        <v>0</v>
      </c>
      <c r="AN246" s="125">
        <v>0</v>
      </c>
      <c r="AO246" s="125">
        <v>0</v>
      </c>
      <c r="AP246" s="125">
        <v>0</v>
      </c>
      <c r="AQ246" s="125">
        <v>0</v>
      </c>
      <c r="AR246" s="125">
        <v>0</v>
      </c>
      <c r="AS246" s="125">
        <v>0</v>
      </c>
      <c r="AT246" s="125">
        <v>0</v>
      </c>
      <c r="AU246" s="125">
        <v>0</v>
      </c>
      <c r="AV246" s="125">
        <v>0</v>
      </c>
      <c r="AW246" s="125">
        <v>0</v>
      </c>
      <c r="AX246" s="125">
        <v>0</v>
      </c>
      <c r="AY246" s="125">
        <v>0</v>
      </c>
    </row>
    <row r="247" spans="1:51" x14ac:dyDescent="0.2">
      <c r="A247" s="124"/>
      <c r="B247" s="144">
        <v>39</v>
      </c>
      <c r="C247" s="121">
        <v>0</v>
      </c>
      <c r="D247" s="125">
        <v>0</v>
      </c>
      <c r="E247" s="125">
        <v>0</v>
      </c>
      <c r="F247" s="125">
        <v>0</v>
      </c>
      <c r="G247" s="125">
        <v>0</v>
      </c>
      <c r="H247" s="125">
        <v>0</v>
      </c>
      <c r="I247" s="125">
        <v>0</v>
      </c>
      <c r="J247" s="125">
        <v>0</v>
      </c>
      <c r="K247" s="125">
        <v>0</v>
      </c>
      <c r="L247" s="125">
        <v>0</v>
      </c>
      <c r="M247" s="125">
        <v>0</v>
      </c>
      <c r="N247" s="125">
        <v>0</v>
      </c>
      <c r="O247" s="125">
        <v>0</v>
      </c>
      <c r="P247" s="125">
        <v>0</v>
      </c>
      <c r="Q247" s="125">
        <v>0</v>
      </c>
      <c r="R247" s="125">
        <v>0</v>
      </c>
      <c r="S247" s="125">
        <v>0</v>
      </c>
      <c r="T247" s="125">
        <v>0</v>
      </c>
      <c r="U247" s="125">
        <v>0</v>
      </c>
      <c r="V247" s="125">
        <v>0</v>
      </c>
      <c r="W247" s="125">
        <v>0</v>
      </c>
      <c r="X247" s="125">
        <v>0</v>
      </c>
      <c r="Y247" s="125">
        <v>0</v>
      </c>
      <c r="Z247" s="125">
        <v>0</v>
      </c>
      <c r="AA247" s="125">
        <v>0</v>
      </c>
      <c r="AB247" s="125">
        <v>0</v>
      </c>
      <c r="AC247" s="125">
        <v>0</v>
      </c>
      <c r="AD247" s="125">
        <v>0</v>
      </c>
      <c r="AE247" s="125">
        <v>0</v>
      </c>
      <c r="AF247" s="125">
        <v>0</v>
      </c>
      <c r="AG247" s="125">
        <v>0</v>
      </c>
      <c r="AH247" s="125">
        <v>0</v>
      </c>
      <c r="AI247" s="125">
        <v>0</v>
      </c>
      <c r="AJ247" s="125">
        <v>0</v>
      </c>
      <c r="AK247" s="125">
        <v>0</v>
      </c>
      <c r="AL247" s="125">
        <v>0</v>
      </c>
      <c r="AM247" s="125">
        <v>0</v>
      </c>
      <c r="AN247" s="125">
        <v>0</v>
      </c>
      <c r="AO247" s="125">
        <v>0</v>
      </c>
      <c r="AP247" s="125">
        <v>0</v>
      </c>
      <c r="AQ247" s="125">
        <v>0</v>
      </c>
      <c r="AR247" s="125">
        <v>0</v>
      </c>
      <c r="AS247" s="125">
        <v>0</v>
      </c>
      <c r="AT247" s="125">
        <v>0</v>
      </c>
      <c r="AU247" s="125">
        <v>0</v>
      </c>
      <c r="AV247" s="125">
        <v>0</v>
      </c>
      <c r="AW247" s="125">
        <v>0</v>
      </c>
      <c r="AX247" s="125">
        <v>0</v>
      </c>
      <c r="AY247" s="125">
        <v>0</v>
      </c>
    </row>
    <row r="248" spans="1:51" x14ac:dyDescent="0.2">
      <c r="A248" s="124"/>
      <c r="B248" s="144">
        <v>40</v>
      </c>
      <c r="C248" s="121">
        <v>0</v>
      </c>
      <c r="D248" s="125">
        <v>0</v>
      </c>
      <c r="E248" s="125">
        <v>0</v>
      </c>
      <c r="F248" s="125">
        <v>0</v>
      </c>
      <c r="G248" s="125">
        <v>0</v>
      </c>
      <c r="H248" s="125">
        <v>0</v>
      </c>
      <c r="I248" s="125">
        <v>0</v>
      </c>
      <c r="J248" s="125">
        <v>0</v>
      </c>
      <c r="K248" s="125">
        <v>0</v>
      </c>
      <c r="L248" s="125">
        <v>0</v>
      </c>
      <c r="M248" s="125">
        <v>0</v>
      </c>
      <c r="N248" s="125">
        <v>0</v>
      </c>
      <c r="O248" s="125">
        <v>0</v>
      </c>
      <c r="P248" s="125">
        <v>0</v>
      </c>
      <c r="Q248" s="125">
        <v>0</v>
      </c>
      <c r="R248" s="125">
        <v>0</v>
      </c>
      <c r="S248" s="125">
        <v>0</v>
      </c>
      <c r="T248" s="125">
        <v>0</v>
      </c>
      <c r="U248" s="125">
        <v>0</v>
      </c>
      <c r="V248" s="125">
        <v>0</v>
      </c>
      <c r="W248" s="125">
        <v>0</v>
      </c>
      <c r="X248" s="125">
        <v>0</v>
      </c>
      <c r="Y248" s="125">
        <v>0</v>
      </c>
      <c r="Z248" s="125">
        <v>0</v>
      </c>
      <c r="AA248" s="125">
        <v>0</v>
      </c>
      <c r="AB248" s="125">
        <v>0</v>
      </c>
      <c r="AC248" s="125">
        <v>0</v>
      </c>
      <c r="AD248" s="125">
        <v>0</v>
      </c>
      <c r="AE248" s="125">
        <v>0</v>
      </c>
      <c r="AF248" s="125">
        <v>0</v>
      </c>
      <c r="AG248" s="125">
        <v>0</v>
      </c>
      <c r="AH248" s="125">
        <v>0</v>
      </c>
      <c r="AI248" s="125">
        <v>0</v>
      </c>
      <c r="AJ248" s="125">
        <v>0</v>
      </c>
      <c r="AK248" s="125">
        <v>0</v>
      </c>
      <c r="AL248" s="125">
        <v>0</v>
      </c>
      <c r="AM248" s="125">
        <v>0</v>
      </c>
      <c r="AN248" s="125">
        <v>0</v>
      </c>
      <c r="AO248" s="125">
        <v>0</v>
      </c>
      <c r="AP248" s="125">
        <v>0</v>
      </c>
      <c r="AQ248" s="125">
        <v>0</v>
      </c>
      <c r="AR248" s="125">
        <v>0</v>
      </c>
      <c r="AS248" s="125">
        <v>0</v>
      </c>
      <c r="AT248" s="125">
        <v>0</v>
      </c>
      <c r="AU248" s="125">
        <v>0</v>
      </c>
      <c r="AV248" s="125">
        <v>0</v>
      </c>
      <c r="AW248" s="125">
        <v>0</v>
      </c>
      <c r="AX248" s="125">
        <v>0</v>
      </c>
      <c r="AY248" s="125">
        <v>0</v>
      </c>
    </row>
    <row r="249" spans="1:51" x14ac:dyDescent="0.2">
      <c r="A249" s="124"/>
      <c r="B249" s="144">
        <v>41</v>
      </c>
      <c r="C249" s="121">
        <v>0</v>
      </c>
      <c r="D249" s="125">
        <v>0</v>
      </c>
      <c r="E249" s="125">
        <v>0</v>
      </c>
      <c r="F249" s="125">
        <v>0</v>
      </c>
      <c r="G249" s="125">
        <v>0</v>
      </c>
      <c r="H249" s="125">
        <v>0</v>
      </c>
      <c r="I249" s="125">
        <v>0</v>
      </c>
      <c r="J249" s="125">
        <v>0</v>
      </c>
      <c r="K249" s="125">
        <v>0</v>
      </c>
      <c r="L249" s="125">
        <v>0</v>
      </c>
      <c r="M249" s="125">
        <v>0</v>
      </c>
      <c r="N249" s="125">
        <v>0</v>
      </c>
      <c r="O249" s="125">
        <v>0</v>
      </c>
      <c r="P249" s="125">
        <v>0</v>
      </c>
      <c r="Q249" s="125">
        <v>0</v>
      </c>
      <c r="R249" s="125">
        <v>0</v>
      </c>
      <c r="S249" s="125">
        <v>0</v>
      </c>
      <c r="T249" s="125">
        <v>0</v>
      </c>
      <c r="U249" s="125">
        <v>0</v>
      </c>
      <c r="V249" s="125">
        <v>0</v>
      </c>
      <c r="W249" s="125">
        <v>0</v>
      </c>
      <c r="X249" s="125">
        <v>0</v>
      </c>
      <c r="Y249" s="125">
        <v>0</v>
      </c>
      <c r="Z249" s="125">
        <v>0</v>
      </c>
      <c r="AA249" s="125">
        <v>0</v>
      </c>
      <c r="AB249" s="125">
        <v>0</v>
      </c>
      <c r="AC249" s="125">
        <v>0</v>
      </c>
      <c r="AD249" s="125">
        <v>0</v>
      </c>
      <c r="AE249" s="125">
        <v>0</v>
      </c>
      <c r="AF249" s="125">
        <v>0</v>
      </c>
      <c r="AG249" s="125">
        <v>0</v>
      </c>
      <c r="AH249" s="125">
        <v>0</v>
      </c>
      <c r="AI249" s="125">
        <v>0</v>
      </c>
      <c r="AJ249" s="125">
        <v>0</v>
      </c>
      <c r="AK249" s="125">
        <v>0</v>
      </c>
      <c r="AL249" s="125">
        <v>0</v>
      </c>
      <c r="AM249" s="125">
        <v>0</v>
      </c>
      <c r="AN249" s="125">
        <v>0</v>
      </c>
      <c r="AO249" s="125">
        <v>0</v>
      </c>
      <c r="AP249" s="125">
        <v>0</v>
      </c>
      <c r="AQ249" s="125">
        <v>0</v>
      </c>
      <c r="AR249" s="125">
        <v>0</v>
      </c>
      <c r="AS249" s="125">
        <v>0</v>
      </c>
      <c r="AT249" s="125">
        <v>0</v>
      </c>
      <c r="AU249" s="125">
        <v>0</v>
      </c>
      <c r="AV249" s="125">
        <v>0</v>
      </c>
      <c r="AW249" s="125">
        <v>0</v>
      </c>
      <c r="AX249" s="125">
        <v>0</v>
      </c>
      <c r="AY249" s="125">
        <v>0</v>
      </c>
    </row>
    <row r="250" spans="1:51" x14ac:dyDescent="0.2">
      <c r="A250" s="124"/>
      <c r="B250" s="144">
        <v>42</v>
      </c>
      <c r="C250" s="121">
        <v>0</v>
      </c>
      <c r="D250" s="125">
        <v>0</v>
      </c>
      <c r="E250" s="125">
        <v>0</v>
      </c>
      <c r="F250" s="125">
        <v>0</v>
      </c>
      <c r="G250" s="125">
        <v>0</v>
      </c>
      <c r="H250" s="125">
        <v>0</v>
      </c>
      <c r="I250" s="125">
        <v>0</v>
      </c>
      <c r="J250" s="125">
        <v>0</v>
      </c>
      <c r="K250" s="125">
        <v>0</v>
      </c>
      <c r="L250" s="125">
        <v>0</v>
      </c>
      <c r="M250" s="125">
        <v>0</v>
      </c>
      <c r="N250" s="125">
        <v>0</v>
      </c>
      <c r="O250" s="125">
        <v>0</v>
      </c>
      <c r="P250" s="125">
        <v>0</v>
      </c>
      <c r="Q250" s="125">
        <v>0</v>
      </c>
      <c r="R250" s="125">
        <v>0</v>
      </c>
      <c r="S250" s="125">
        <v>0</v>
      </c>
      <c r="T250" s="125">
        <v>0</v>
      </c>
      <c r="U250" s="125">
        <v>0</v>
      </c>
      <c r="V250" s="125">
        <v>0</v>
      </c>
      <c r="W250" s="125">
        <v>0</v>
      </c>
      <c r="X250" s="125">
        <v>0</v>
      </c>
      <c r="Y250" s="125">
        <v>0</v>
      </c>
      <c r="Z250" s="125">
        <v>0</v>
      </c>
      <c r="AA250" s="125">
        <v>0</v>
      </c>
      <c r="AB250" s="125">
        <v>0</v>
      </c>
      <c r="AC250" s="125">
        <v>0</v>
      </c>
      <c r="AD250" s="125">
        <v>0</v>
      </c>
      <c r="AE250" s="125">
        <v>0</v>
      </c>
      <c r="AF250" s="125">
        <v>0</v>
      </c>
      <c r="AG250" s="125">
        <v>0</v>
      </c>
      <c r="AH250" s="125">
        <v>0</v>
      </c>
      <c r="AI250" s="125">
        <v>0</v>
      </c>
      <c r="AJ250" s="125">
        <v>0</v>
      </c>
      <c r="AK250" s="125">
        <v>0</v>
      </c>
      <c r="AL250" s="125">
        <v>0</v>
      </c>
      <c r="AM250" s="125">
        <v>0</v>
      </c>
      <c r="AN250" s="125">
        <v>0</v>
      </c>
      <c r="AO250" s="125">
        <v>0</v>
      </c>
      <c r="AP250" s="125">
        <v>0</v>
      </c>
      <c r="AQ250" s="125">
        <v>0</v>
      </c>
      <c r="AR250" s="125">
        <v>0</v>
      </c>
      <c r="AS250" s="125">
        <v>0</v>
      </c>
      <c r="AT250" s="125">
        <v>0</v>
      </c>
      <c r="AU250" s="125">
        <v>0</v>
      </c>
      <c r="AV250" s="125">
        <v>0</v>
      </c>
      <c r="AW250" s="125">
        <v>0</v>
      </c>
      <c r="AX250" s="125">
        <v>0</v>
      </c>
      <c r="AY250" s="125">
        <v>0</v>
      </c>
    </row>
    <row r="251" spans="1:51" x14ac:dyDescent="0.2">
      <c r="A251" s="124"/>
      <c r="B251" s="144">
        <v>43</v>
      </c>
      <c r="C251" s="121">
        <v>0</v>
      </c>
      <c r="D251" s="125">
        <v>0</v>
      </c>
      <c r="E251" s="125">
        <v>0</v>
      </c>
      <c r="F251" s="125">
        <v>0</v>
      </c>
      <c r="G251" s="125">
        <v>0</v>
      </c>
      <c r="H251" s="125">
        <v>0</v>
      </c>
      <c r="I251" s="125">
        <v>0</v>
      </c>
      <c r="J251" s="125">
        <v>0</v>
      </c>
      <c r="K251" s="125">
        <v>0</v>
      </c>
      <c r="L251" s="125">
        <v>0</v>
      </c>
      <c r="M251" s="125">
        <v>0</v>
      </c>
      <c r="N251" s="125">
        <v>0</v>
      </c>
      <c r="O251" s="125">
        <v>0</v>
      </c>
      <c r="P251" s="125">
        <v>0</v>
      </c>
      <c r="Q251" s="125">
        <v>0</v>
      </c>
      <c r="R251" s="125">
        <v>0</v>
      </c>
      <c r="S251" s="125">
        <v>0</v>
      </c>
      <c r="T251" s="125">
        <v>0</v>
      </c>
      <c r="U251" s="125">
        <v>0</v>
      </c>
      <c r="V251" s="125">
        <v>0</v>
      </c>
      <c r="W251" s="125">
        <v>0</v>
      </c>
      <c r="X251" s="125">
        <v>0</v>
      </c>
      <c r="Y251" s="125">
        <v>0</v>
      </c>
      <c r="Z251" s="125">
        <v>0</v>
      </c>
      <c r="AA251" s="125">
        <v>0</v>
      </c>
      <c r="AB251" s="125">
        <v>0</v>
      </c>
      <c r="AC251" s="125">
        <v>0</v>
      </c>
      <c r="AD251" s="125">
        <v>0</v>
      </c>
      <c r="AE251" s="125">
        <v>0</v>
      </c>
      <c r="AF251" s="125">
        <v>0</v>
      </c>
      <c r="AG251" s="125">
        <v>0</v>
      </c>
      <c r="AH251" s="125">
        <v>0</v>
      </c>
      <c r="AI251" s="125">
        <v>0</v>
      </c>
      <c r="AJ251" s="125">
        <v>0</v>
      </c>
      <c r="AK251" s="125">
        <v>0</v>
      </c>
      <c r="AL251" s="125">
        <v>0</v>
      </c>
      <c r="AM251" s="125">
        <v>0</v>
      </c>
      <c r="AN251" s="125">
        <v>0</v>
      </c>
      <c r="AO251" s="125">
        <v>0</v>
      </c>
      <c r="AP251" s="125">
        <v>0</v>
      </c>
      <c r="AQ251" s="125">
        <v>0</v>
      </c>
      <c r="AR251" s="125">
        <v>0</v>
      </c>
      <c r="AS251" s="125">
        <v>0</v>
      </c>
      <c r="AT251" s="125">
        <v>0</v>
      </c>
      <c r="AU251" s="125">
        <v>0</v>
      </c>
      <c r="AV251" s="125">
        <v>0</v>
      </c>
      <c r="AW251" s="125">
        <v>0</v>
      </c>
      <c r="AX251" s="125">
        <v>0</v>
      </c>
      <c r="AY251" s="125">
        <v>0</v>
      </c>
    </row>
    <row r="252" spans="1:51" x14ac:dyDescent="0.2">
      <c r="A252" s="124"/>
      <c r="B252" s="144">
        <v>44</v>
      </c>
      <c r="C252" s="121">
        <v>0</v>
      </c>
      <c r="D252" s="125">
        <v>0</v>
      </c>
      <c r="E252" s="125">
        <v>0</v>
      </c>
      <c r="F252" s="125">
        <v>0</v>
      </c>
      <c r="G252" s="125">
        <v>0</v>
      </c>
      <c r="H252" s="125">
        <v>0</v>
      </c>
      <c r="I252" s="125">
        <v>0</v>
      </c>
      <c r="J252" s="125">
        <v>0</v>
      </c>
      <c r="K252" s="125">
        <v>0</v>
      </c>
      <c r="L252" s="125">
        <v>0</v>
      </c>
      <c r="M252" s="125">
        <v>0</v>
      </c>
      <c r="N252" s="125">
        <v>0</v>
      </c>
      <c r="O252" s="125">
        <v>0</v>
      </c>
      <c r="P252" s="125">
        <v>0</v>
      </c>
      <c r="Q252" s="125">
        <v>0</v>
      </c>
      <c r="R252" s="125">
        <v>0</v>
      </c>
      <c r="S252" s="125">
        <v>0</v>
      </c>
      <c r="T252" s="125">
        <v>0</v>
      </c>
      <c r="U252" s="125">
        <v>0</v>
      </c>
      <c r="V252" s="125">
        <v>0</v>
      </c>
      <c r="W252" s="125">
        <v>0</v>
      </c>
      <c r="X252" s="125">
        <v>0</v>
      </c>
      <c r="Y252" s="125">
        <v>0</v>
      </c>
      <c r="Z252" s="125">
        <v>0</v>
      </c>
      <c r="AA252" s="125">
        <v>0</v>
      </c>
      <c r="AB252" s="125">
        <v>0</v>
      </c>
      <c r="AC252" s="125">
        <v>0</v>
      </c>
      <c r="AD252" s="125">
        <v>0</v>
      </c>
      <c r="AE252" s="125">
        <v>0</v>
      </c>
      <c r="AF252" s="125">
        <v>0</v>
      </c>
      <c r="AG252" s="125">
        <v>0</v>
      </c>
      <c r="AH252" s="125">
        <v>0</v>
      </c>
      <c r="AI252" s="125">
        <v>0</v>
      </c>
      <c r="AJ252" s="125">
        <v>0</v>
      </c>
      <c r="AK252" s="125">
        <v>0</v>
      </c>
      <c r="AL252" s="125">
        <v>0</v>
      </c>
      <c r="AM252" s="125">
        <v>0</v>
      </c>
      <c r="AN252" s="125">
        <v>0</v>
      </c>
      <c r="AO252" s="125">
        <v>0</v>
      </c>
      <c r="AP252" s="125">
        <v>0</v>
      </c>
      <c r="AQ252" s="125">
        <v>0</v>
      </c>
      <c r="AR252" s="125">
        <v>0</v>
      </c>
      <c r="AS252" s="125">
        <v>0</v>
      </c>
      <c r="AT252" s="125">
        <v>0</v>
      </c>
      <c r="AU252" s="125">
        <v>0</v>
      </c>
      <c r="AV252" s="125">
        <v>0</v>
      </c>
      <c r="AW252" s="125">
        <v>0</v>
      </c>
      <c r="AX252" s="125">
        <v>0</v>
      </c>
      <c r="AY252" s="125">
        <v>0</v>
      </c>
    </row>
    <row r="253" spans="1:51" x14ac:dyDescent="0.2">
      <c r="A253" s="124"/>
      <c r="B253" s="144">
        <v>45</v>
      </c>
      <c r="C253" s="121">
        <v>0</v>
      </c>
      <c r="D253" s="125">
        <v>0</v>
      </c>
      <c r="E253" s="125">
        <v>0</v>
      </c>
      <c r="F253" s="125">
        <v>0</v>
      </c>
      <c r="G253" s="125">
        <v>0</v>
      </c>
      <c r="H253" s="125">
        <v>0</v>
      </c>
      <c r="I253" s="125">
        <v>0</v>
      </c>
      <c r="J253" s="125">
        <v>0</v>
      </c>
      <c r="K253" s="125">
        <v>0</v>
      </c>
      <c r="L253" s="125">
        <v>0</v>
      </c>
      <c r="M253" s="125">
        <v>0</v>
      </c>
      <c r="N253" s="125">
        <v>0</v>
      </c>
      <c r="O253" s="125">
        <v>0</v>
      </c>
      <c r="P253" s="125">
        <v>0</v>
      </c>
      <c r="Q253" s="125">
        <v>0</v>
      </c>
      <c r="R253" s="125">
        <v>0</v>
      </c>
      <c r="S253" s="125">
        <v>0</v>
      </c>
      <c r="T253" s="125">
        <v>0</v>
      </c>
      <c r="U253" s="125">
        <v>0</v>
      </c>
      <c r="V253" s="125">
        <v>0</v>
      </c>
      <c r="W253" s="125">
        <v>0</v>
      </c>
      <c r="X253" s="125">
        <v>0</v>
      </c>
      <c r="Y253" s="125">
        <v>0</v>
      </c>
      <c r="Z253" s="125">
        <v>0</v>
      </c>
      <c r="AA253" s="125">
        <v>0</v>
      </c>
      <c r="AB253" s="125">
        <v>0</v>
      </c>
      <c r="AC253" s="125">
        <v>0</v>
      </c>
      <c r="AD253" s="125">
        <v>0</v>
      </c>
      <c r="AE253" s="125">
        <v>0</v>
      </c>
      <c r="AF253" s="125">
        <v>0</v>
      </c>
      <c r="AG253" s="125">
        <v>0</v>
      </c>
      <c r="AH253" s="125">
        <v>0</v>
      </c>
      <c r="AI253" s="125">
        <v>0</v>
      </c>
      <c r="AJ253" s="125">
        <v>0</v>
      </c>
      <c r="AK253" s="125">
        <v>0</v>
      </c>
      <c r="AL253" s="125">
        <v>0</v>
      </c>
      <c r="AM253" s="125">
        <v>0</v>
      </c>
      <c r="AN253" s="125">
        <v>0</v>
      </c>
      <c r="AO253" s="125">
        <v>0</v>
      </c>
      <c r="AP253" s="125">
        <v>0</v>
      </c>
      <c r="AQ253" s="125">
        <v>0</v>
      </c>
      <c r="AR253" s="125">
        <v>0</v>
      </c>
      <c r="AS253" s="125">
        <v>0</v>
      </c>
      <c r="AT253" s="125">
        <v>0</v>
      </c>
      <c r="AU253" s="125">
        <v>0</v>
      </c>
      <c r="AV253" s="125">
        <v>0</v>
      </c>
      <c r="AW253" s="125">
        <v>0</v>
      </c>
      <c r="AX253" s="125">
        <v>0</v>
      </c>
      <c r="AY253" s="125">
        <v>0</v>
      </c>
    </row>
    <row r="254" spans="1:51" x14ac:dyDescent="0.2">
      <c r="A254" s="124"/>
      <c r="B254" s="144">
        <v>46</v>
      </c>
      <c r="C254" s="121">
        <v>0</v>
      </c>
      <c r="D254" s="125">
        <v>0</v>
      </c>
      <c r="E254" s="125">
        <v>0</v>
      </c>
      <c r="F254" s="125">
        <v>0</v>
      </c>
      <c r="G254" s="125">
        <v>0</v>
      </c>
      <c r="H254" s="125">
        <v>0</v>
      </c>
      <c r="I254" s="125">
        <v>0</v>
      </c>
      <c r="J254" s="125">
        <v>0</v>
      </c>
      <c r="K254" s="125">
        <v>0</v>
      </c>
      <c r="L254" s="125">
        <v>0</v>
      </c>
      <c r="M254" s="125">
        <v>0</v>
      </c>
      <c r="N254" s="125">
        <v>0</v>
      </c>
      <c r="O254" s="125">
        <v>0</v>
      </c>
      <c r="P254" s="125">
        <v>0</v>
      </c>
      <c r="Q254" s="125">
        <v>0</v>
      </c>
      <c r="R254" s="125">
        <v>0</v>
      </c>
      <c r="S254" s="125">
        <v>0</v>
      </c>
      <c r="T254" s="125">
        <v>0</v>
      </c>
      <c r="U254" s="125">
        <v>0</v>
      </c>
      <c r="V254" s="125">
        <v>0</v>
      </c>
      <c r="W254" s="125">
        <v>0</v>
      </c>
      <c r="X254" s="125">
        <v>0</v>
      </c>
      <c r="Y254" s="125">
        <v>0</v>
      </c>
      <c r="Z254" s="125">
        <v>0</v>
      </c>
      <c r="AA254" s="125">
        <v>0</v>
      </c>
      <c r="AB254" s="125">
        <v>0</v>
      </c>
      <c r="AC254" s="125">
        <v>0</v>
      </c>
      <c r="AD254" s="125">
        <v>0</v>
      </c>
      <c r="AE254" s="125">
        <v>0</v>
      </c>
      <c r="AF254" s="125">
        <v>0</v>
      </c>
      <c r="AG254" s="125">
        <v>0</v>
      </c>
      <c r="AH254" s="125">
        <v>0</v>
      </c>
      <c r="AI254" s="125">
        <v>0</v>
      </c>
      <c r="AJ254" s="125">
        <v>0</v>
      </c>
      <c r="AK254" s="125">
        <v>0</v>
      </c>
      <c r="AL254" s="125">
        <v>0</v>
      </c>
      <c r="AM254" s="125">
        <v>0</v>
      </c>
      <c r="AN254" s="125">
        <v>0</v>
      </c>
      <c r="AO254" s="125">
        <v>0</v>
      </c>
      <c r="AP254" s="125">
        <v>0</v>
      </c>
      <c r="AQ254" s="125">
        <v>0</v>
      </c>
      <c r="AR254" s="125">
        <v>0</v>
      </c>
      <c r="AS254" s="125">
        <v>0</v>
      </c>
      <c r="AT254" s="125">
        <v>0</v>
      </c>
      <c r="AU254" s="125">
        <v>0</v>
      </c>
      <c r="AV254" s="125">
        <v>0</v>
      </c>
      <c r="AW254" s="125">
        <v>0</v>
      </c>
      <c r="AX254" s="125">
        <v>0</v>
      </c>
      <c r="AY254" s="125">
        <v>0</v>
      </c>
    </row>
    <row r="255" spans="1:51" x14ac:dyDescent="0.2">
      <c r="A255" s="124"/>
      <c r="B255" s="144">
        <v>47</v>
      </c>
      <c r="C255" s="121">
        <v>0</v>
      </c>
      <c r="D255" s="125">
        <v>0</v>
      </c>
      <c r="E255" s="125">
        <v>0</v>
      </c>
      <c r="F255" s="125">
        <v>0</v>
      </c>
      <c r="G255" s="125">
        <v>0</v>
      </c>
      <c r="H255" s="125">
        <v>0</v>
      </c>
      <c r="I255" s="125">
        <v>0</v>
      </c>
      <c r="J255" s="125">
        <v>0</v>
      </c>
      <c r="K255" s="125">
        <v>0</v>
      </c>
      <c r="L255" s="125">
        <v>0</v>
      </c>
      <c r="M255" s="125">
        <v>0</v>
      </c>
      <c r="N255" s="125">
        <v>0</v>
      </c>
      <c r="O255" s="125">
        <v>0</v>
      </c>
      <c r="P255" s="125">
        <v>0</v>
      </c>
      <c r="Q255" s="125">
        <v>0</v>
      </c>
      <c r="R255" s="125">
        <v>0</v>
      </c>
      <c r="S255" s="125">
        <v>0</v>
      </c>
      <c r="T255" s="125">
        <v>0</v>
      </c>
      <c r="U255" s="125">
        <v>0</v>
      </c>
      <c r="V255" s="125">
        <v>0</v>
      </c>
      <c r="W255" s="125">
        <v>0</v>
      </c>
      <c r="X255" s="125">
        <v>0</v>
      </c>
      <c r="Y255" s="125">
        <v>0</v>
      </c>
      <c r="Z255" s="125">
        <v>0</v>
      </c>
      <c r="AA255" s="125">
        <v>0</v>
      </c>
      <c r="AB255" s="125">
        <v>0</v>
      </c>
      <c r="AC255" s="125">
        <v>0</v>
      </c>
      <c r="AD255" s="125">
        <v>0</v>
      </c>
      <c r="AE255" s="125">
        <v>0</v>
      </c>
      <c r="AF255" s="125">
        <v>0</v>
      </c>
      <c r="AG255" s="125">
        <v>0</v>
      </c>
      <c r="AH255" s="125">
        <v>0</v>
      </c>
      <c r="AI255" s="125">
        <v>0</v>
      </c>
      <c r="AJ255" s="125">
        <v>0</v>
      </c>
      <c r="AK255" s="125">
        <v>0</v>
      </c>
      <c r="AL255" s="125">
        <v>0</v>
      </c>
      <c r="AM255" s="125">
        <v>0</v>
      </c>
      <c r="AN255" s="125">
        <v>0</v>
      </c>
      <c r="AO255" s="125">
        <v>0</v>
      </c>
      <c r="AP255" s="125">
        <v>0</v>
      </c>
      <c r="AQ255" s="125">
        <v>0</v>
      </c>
      <c r="AR255" s="125">
        <v>0</v>
      </c>
      <c r="AS255" s="125">
        <v>0</v>
      </c>
      <c r="AT255" s="125">
        <v>0</v>
      </c>
      <c r="AU255" s="125">
        <v>0</v>
      </c>
      <c r="AV255" s="125">
        <v>0</v>
      </c>
      <c r="AW255" s="125">
        <v>0</v>
      </c>
      <c r="AX255" s="125">
        <v>0</v>
      </c>
      <c r="AY255" s="125">
        <v>0</v>
      </c>
    </row>
    <row r="256" spans="1:51" x14ac:dyDescent="0.2">
      <c r="A256" s="142"/>
      <c r="B256" s="143">
        <v>48</v>
      </c>
      <c r="C256" s="128">
        <v>0</v>
      </c>
      <c r="D256" s="139">
        <v>0</v>
      </c>
      <c r="E256" s="139">
        <v>0</v>
      </c>
      <c r="F256" s="139">
        <v>0</v>
      </c>
      <c r="G256" s="139">
        <v>0</v>
      </c>
      <c r="H256" s="139">
        <v>0</v>
      </c>
      <c r="I256" s="139">
        <v>0</v>
      </c>
      <c r="J256" s="139">
        <v>0</v>
      </c>
      <c r="K256" s="139">
        <v>0</v>
      </c>
      <c r="L256" s="139">
        <v>0</v>
      </c>
      <c r="M256" s="139">
        <v>0</v>
      </c>
      <c r="N256" s="139">
        <v>0</v>
      </c>
      <c r="O256" s="139">
        <v>0</v>
      </c>
      <c r="P256" s="139">
        <v>0</v>
      </c>
      <c r="Q256" s="139">
        <v>0</v>
      </c>
      <c r="R256" s="139">
        <v>0</v>
      </c>
      <c r="S256" s="139">
        <v>0</v>
      </c>
      <c r="T256" s="139">
        <v>0</v>
      </c>
      <c r="U256" s="139">
        <v>0</v>
      </c>
      <c r="V256" s="139">
        <v>0</v>
      </c>
      <c r="W256" s="139">
        <v>0</v>
      </c>
      <c r="X256" s="139">
        <v>0</v>
      </c>
      <c r="Y256" s="139">
        <v>0</v>
      </c>
      <c r="Z256" s="139">
        <v>0</v>
      </c>
      <c r="AA256" s="139">
        <v>0</v>
      </c>
      <c r="AB256" s="139">
        <v>0</v>
      </c>
      <c r="AC256" s="139">
        <v>0</v>
      </c>
      <c r="AD256" s="139">
        <v>0</v>
      </c>
      <c r="AE256" s="139">
        <v>0</v>
      </c>
      <c r="AF256" s="139">
        <v>0</v>
      </c>
      <c r="AG256" s="139">
        <v>0</v>
      </c>
      <c r="AH256" s="139">
        <v>0</v>
      </c>
      <c r="AI256" s="139">
        <v>0</v>
      </c>
      <c r="AJ256" s="139">
        <v>0</v>
      </c>
      <c r="AK256" s="139">
        <v>0</v>
      </c>
      <c r="AL256" s="139">
        <v>0</v>
      </c>
      <c r="AM256" s="139">
        <v>0</v>
      </c>
      <c r="AN256" s="139">
        <v>0</v>
      </c>
      <c r="AO256" s="139">
        <v>0</v>
      </c>
      <c r="AP256" s="139">
        <v>0</v>
      </c>
      <c r="AQ256" s="139">
        <v>0</v>
      </c>
      <c r="AR256" s="139">
        <v>0</v>
      </c>
      <c r="AS256" s="139">
        <v>0</v>
      </c>
      <c r="AT256" s="139">
        <v>0</v>
      </c>
      <c r="AU256" s="139">
        <v>0</v>
      </c>
      <c r="AV256" s="139">
        <v>0</v>
      </c>
      <c r="AW256" s="139">
        <v>0</v>
      </c>
      <c r="AX256" s="139">
        <v>0</v>
      </c>
      <c r="AY256" s="139">
        <v>0</v>
      </c>
    </row>
    <row r="258" spans="1:52" x14ac:dyDescent="0.2">
      <c r="A258" s="1" t="s">
        <v>301</v>
      </c>
    </row>
    <row r="259" spans="1:52" x14ac:dyDescent="0.2">
      <c r="A259" s="151" t="s">
        <v>124</v>
      </c>
      <c r="B259" s="152">
        <v>650</v>
      </c>
      <c r="C259" s="138" t="s">
        <v>293</v>
      </c>
      <c r="D259" s="138">
        <f>E$14*$B$259</f>
        <v>2596067.1088633705</v>
      </c>
      <c r="E259" s="138">
        <f t="shared" ref="E259:AX259" si="5">F$14*$B$259</f>
        <v>1754438.428973455</v>
      </c>
      <c r="F259" s="138">
        <f t="shared" si="5"/>
        <v>1331424.3809823194</v>
      </c>
      <c r="G259" s="138">
        <f t="shared" si="5"/>
        <v>1089994.582307999</v>
      </c>
      <c r="H259" s="138">
        <f t="shared" si="5"/>
        <v>913672.77140353294</v>
      </c>
      <c r="I259" s="138">
        <f t="shared" si="5"/>
        <v>831322.40490679571</v>
      </c>
      <c r="J259" s="138">
        <f t="shared" si="5"/>
        <v>817437.03502695053</v>
      </c>
      <c r="K259" s="138">
        <f t="shared" si="5"/>
        <v>751198.94024528156</v>
      </c>
      <c r="L259" s="138">
        <f t="shared" si="5"/>
        <v>777334.75452592946</v>
      </c>
      <c r="M259" s="138">
        <f t="shared" si="5"/>
        <v>743793.9029448377</v>
      </c>
      <c r="N259" s="138">
        <f t="shared" si="5"/>
        <v>762594.87208874326</v>
      </c>
      <c r="O259" s="138">
        <f t="shared" si="5"/>
        <v>731640.31377030106</v>
      </c>
      <c r="P259" s="138">
        <f t="shared" si="5"/>
        <v>774196.96845470415</v>
      </c>
      <c r="Q259" s="138">
        <f t="shared" si="5"/>
        <v>799026.75619102223</v>
      </c>
      <c r="R259" s="138">
        <f t="shared" si="5"/>
        <v>766865.28900566476</v>
      </c>
      <c r="S259" s="138">
        <f t="shared" si="5"/>
        <v>817710.64745147561</v>
      </c>
      <c r="T259" s="138">
        <f t="shared" si="5"/>
        <v>802019.30904774275</v>
      </c>
      <c r="U259" s="138">
        <f t="shared" si="5"/>
        <v>785177.56819201668</v>
      </c>
      <c r="V259" s="138">
        <f t="shared" si="5"/>
        <v>763838.03242200275</v>
      </c>
      <c r="W259" s="138">
        <f t="shared" si="5"/>
        <v>799677.65062842856</v>
      </c>
      <c r="X259" s="138">
        <f t="shared" si="5"/>
        <v>777650.21876449417</v>
      </c>
      <c r="Y259" s="138">
        <f t="shared" si="5"/>
        <v>760358.65998792357</v>
      </c>
      <c r="Z259" s="138">
        <f t="shared" si="5"/>
        <v>750102.31347761827</v>
      </c>
      <c r="AA259" s="138">
        <f t="shared" si="5"/>
        <v>790452.3188991131</v>
      </c>
      <c r="AB259" s="138">
        <f t="shared" si="5"/>
        <v>837635.04752381169</v>
      </c>
      <c r="AC259" s="138">
        <f t="shared" si="5"/>
        <v>816085.72445294517</v>
      </c>
      <c r="AD259" s="138">
        <f t="shared" si="5"/>
        <v>789514.72543781926</v>
      </c>
      <c r="AE259" s="138">
        <f t="shared" si="5"/>
        <v>775426.51966164843</v>
      </c>
      <c r="AF259" s="138">
        <f t="shared" si="5"/>
        <v>768692.98909473477</v>
      </c>
      <c r="AG259" s="138">
        <f t="shared" si="5"/>
        <v>763854.98070851015</v>
      </c>
      <c r="AH259" s="138">
        <f t="shared" si="5"/>
        <v>748120.38369613967</v>
      </c>
      <c r="AI259" s="138">
        <f t="shared" si="5"/>
        <v>753610.61588025629</v>
      </c>
      <c r="AJ259" s="138">
        <f t="shared" si="5"/>
        <v>769698.34499259503</v>
      </c>
      <c r="AK259" s="138">
        <f t="shared" si="5"/>
        <v>766187.73990289494</v>
      </c>
      <c r="AL259" s="138">
        <f t="shared" si="5"/>
        <v>768758.07958183426</v>
      </c>
      <c r="AM259" s="138">
        <f t="shared" si="5"/>
        <v>735573.38953381602</v>
      </c>
      <c r="AN259" s="138">
        <f t="shared" si="5"/>
        <v>724163.85797854513</v>
      </c>
      <c r="AO259" s="138">
        <f t="shared" si="5"/>
        <v>790119.82644313853</v>
      </c>
      <c r="AP259" s="138">
        <f t="shared" si="5"/>
        <v>785590.51173091878</v>
      </c>
      <c r="AQ259" s="138">
        <f t="shared" si="5"/>
        <v>769426.90620512585</v>
      </c>
      <c r="AR259" s="138">
        <f t="shared" si="5"/>
        <v>741896.94938602485</v>
      </c>
      <c r="AS259" s="138">
        <f t="shared" si="5"/>
        <v>692415.12184259889</v>
      </c>
      <c r="AT259" s="138">
        <f t="shared" si="5"/>
        <v>704671.70682670083</v>
      </c>
      <c r="AU259" s="138">
        <f t="shared" si="5"/>
        <v>721442.20823027007</v>
      </c>
      <c r="AV259" s="138">
        <f t="shared" si="5"/>
        <v>756156.40965204302</v>
      </c>
      <c r="AW259" s="138">
        <f t="shared" si="5"/>
        <v>727260.13540050853</v>
      </c>
      <c r="AX259" s="138">
        <f t="shared" si="5"/>
        <v>696413.22080018278</v>
      </c>
      <c r="AY259" s="138">
        <f>AZ$14*$B$259</f>
        <v>709817.10803426651</v>
      </c>
      <c r="AZ259" s="153">
        <f>SUM($D259:$AY259)</f>
        <v>40600527.731559061</v>
      </c>
    </row>
    <row r="260" spans="1:52" x14ac:dyDescent="0.2">
      <c r="A260" s="154" t="s">
        <v>302</v>
      </c>
      <c r="B260" s="128">
        <v>60</v>
      </c>
      <c r="C260" s="139" t="s">
        <v>293</v>
      </c>
      <c r="D260" s="139">
        <f>(D$175-D$176+D$177-D$178+D$179-D$180+D$181-D$182)*$B$260</f>
        <v>2125743.0361049199</v>
      </c>
      <c r="E260" s="139">
        <f t="shared" ref="E260:AY260" si="6">(E$175-E$176+E$177-E$178+E$179-E$180+E$181-E$182)*$B$260</f>
        <v>2157291.8373255273</v>
      </c>
      <c r="F260" s="139">
        <f t="shared" si="6"/>
        <v>2159244.0916224634</v>
      </c>
      <c r="G260" s="139">
        <f t="shared" si="6"/>
        <v>2167205.1154792616</v>
      </c>
      <c r="H260" s="139">
        <f t="shared" si="6"/>
        <v>2204120.9749473659</v>
      </c>
      <c r="I260" s="139">
        <f t="shared" si="6"/>
        <v>2227742.5472393725</v>
      </c>
      <c r="J260" s="139">
        <f t="shared" si="6"/>
        <v>2196684.2736898195</v>
      </c>
      <c r="K260" s="139">
        <f t="shared" si="6"/>
        <v>2236038.5593619738</v>
      </c>
      <c r="L260" s="139">
        <f t="shared" si="6"/>
        <v>2185266.0226591444</v>
      </c>
      <c r="M260" s="139">
        <f t="shared" si="6"/>
        <v>2212422.1012666305</v>
      </c>
      <c r="N260" s="139">
        <f t="shared" si="6"/>
        <v>2201746.6271918081</v>
      </c>
      <c r="O260" s="139">
        <f t="shared" si="6"/>
        <v>2234183.9710365878</v>
      </c>
      <c r="P260" s="139">
        <f t="shared" si="6"/>
        <v>2196115.6644503344</v>
      </c>
      <c r="Q260" s="139">
        <f t="shared" si="6"/>
        <v>2227423.6840439057</v>
      </c>
      <c r="R260" s="139">
        <f t="shared" si="6"/>
        <v>2228772.4348610155</v>
      </c>
      <c r="S260" s="139">
        <f t="shared" si="6"/>
        <v>2213039.0171583253</v>
      </c>
      <c r="T260" s="139">
        <f t="shared" si="6"/>
        <v>2225107.4483955931</v>
      </c>
      <c r="U260" s="139">
        <f t="shared" si="6"/>
        <v>2210702.0706284288</v>
      </c>
      <c r="V260" s="139">
        <f t="shared" si="6"/>
        <v>2212131.8739302768</v>
      </c>
      <c r="W260" s="139">
        <f t="shared" si="6"/>
        <v>2186623.6014804528</v>
      </c>
      <c r="X260" s="139">
        <f t="shared" si="6"/>
        <v>2213916.9028832777</v>
      </c>
      <c r="Y260" s="139">
        <f t="shared" si="6"/>
        <v>2215693.0467703464</v>
      </c>
      <c r="Z260" s="139">
        <f t="shared" si="6"/>
        <v>2210639.7864482198</v>
      </c>
      <c r="AA260" s="139">
        <f t="shared" si="6"/>
        <v>2222515.170563159</v>
      </c>
      <c r="AB260" s="139">
        <f t="shared" si="6"/>
        <v>2210719.8417670331</v>
      </c>
      <c r="AC260" s="139">
        <f t="shared" si="6"/>
        <v>2213189.0100504975</v>
      </c>
      <c r="AD260" s="139">
        <f t="shared" si="6"/>
        <v>2211681.7176518939</v>
      </c>
      <c r="AE260" s="139">
        <f t="shared" si="6"/>
        <v>2212442.167415848</v>
      </c>
      <c r="AF260" s="139">
        <f t="shared" si="6"/>
        <v>2193563.7240835633</v>
      </c>
      <c r="AG260" s="139">
        <f t="shared" si="6"/>
        <v>2215010.3094730605</v>
      </c>
      <c r="AH260" s="139">
        <f t="shared" si="6"/>
        <v>2196422.7338126646</v>
      </c>
      <c r="AI260" s="139">
        <f t="shared" si="6"/>
        <v>2183315.9431495145</v>
      </c>
      <c r="AJ260" s="139">
        <f t="shared" si="6"/>
        <v>2183210.9220006834</v>
      </c>
      <c r="AK260" s="139">
        <f t="shared" si="6"/>
        <v>2196914.9778551175</v>
      </c>
      <c r="AL260" s="139">
        <f t="shared" si="6"/>
        <v>2214977.7157309079</v>
      </c>
      <c r="AM260" s="139">
        <f t="shared" si="6"/>
        <v>2184140.9178891866</v>
      </c>
      <c r="AN260" s="139">
        <f t="shared" si="6"/>
        <v>2231214.1054173652</v>
      </c>
      <c r="AO260" s="139">
        <f t="shared" si="6"/>
        <v>2205205.8621744802</v>
      </c>
      <c r="AP260" s="139">
        <f t="shared" si="6"/>
        <v>2217203.9527632999</v>
      </c>
      <c r="AQ260" s="139">
        <f t="shared" si="6"/>
        <v>2190255.9778887569</v>
      </c>
      <c r="AR260" s="139">
        <f t="shared" si="6"/>
        <v>2174977.2046720595</v>
      </c>
      <c r="AS260" s="139">
        <f t="shared" si="6"/>
        <v>2220764.75798376</v>
      </c>
      <c r="AT260" s="139">
        <f t="shared" si="6"/>
        <v>2214833.3809083048</v>
      </c>
      <c r="AU260" s="139">
        <f t="shared" si="6"/>
        <v>2196245.3346248982</v>
      </c>
      <c r="AV260" s="139">
        <f t="shared" si="6"/>
        <v>2186620.94680135</v>
      </c>
      <c r="AW260" s="139">
        <f t="shared" si="6"/>
        <v>2179928.2951937998</v>
      </c>
      <c r="AX260" s="139">
        <f t="shared" si="6"/>
        <v>2192195.7026953674</v>
      </c>
      <c r="AY260" s="139">
        <f t="shared" si="6"/>
        <v>2206198.4207968367</v>
      </c>
      <c r="AZ260" s="155">
        <f>SUM($D260:$AY260)</f>
        <v>105701603.78233849</v>
      </c>
    </row>
  </sheetData>
  <pageMargins left="0.75" right="0.75" top="1" bottom="1" header="0.5" footer="0.5"/>
  <pageSetup orientation="portrait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CU138"/>
  <sheetViews>
    <sheetView workbookViewId="0"/>
  </sheetViews>
  <sheetFormatPr defaultRowHeight="12.75" x14ac:dyDescent="0.2"/>
  <sheetData>
    <row r="2" spans="1:99" x14ac:dyDescent="0.2">
      <c r="B2" s="1" t="s">
        <v>272</v>
      </c>
    </row>
    <row r="3" spans="1:99" x14ac:dyDescent="0.2">
      <c r="B3" s="118" t="s">
        <v>283</v>
      </c>
    </row>
    <row r="4" spans="1:99" x14ac:dyDescent="0.2">
      <c r="A4" s="117"/>
      <c r="B4" s="117"/>
      <c r="C4" s="116" t="s">
        <v>274</v>
      </c>
      <c r="D4" s="116" t="s">
        <v>92</v>
      </c>
      <c r="E4" s="117"/>
      <c r="F4" s="117"/>
      <c r="G4" s="117"/>
      <c r="H4" s="117"/>
      <c r="I4" s="117"/>
      <c r="J4" s="117"/>
      <c r="K4" s="117"/>
      <c r="L4" s="116" t="s">
        <v>93</v>
      </c>
      <c r="M4" s="117"/>
      <c r="N4" s="117"/>
      <c r="O4" s="117"/>
      <c r="P4" s="117"/>
      <c r="Q4" s="117"/>
      <c r="R4" s="117"/>
      <c r="S4" s="117"/>
      <c r="T4" s="116" t="s">
        <v>94</v>
      </c>
      <c r="U4" s="117"/>
      <c r="V4" s="117"/>
      <c r="W4" s="117"/>
      <c r="X4" s="117"/>
      <c r="Y4" s="117"/>
      <c r="Z4" s="117"/>
      <c r="AA4" s="117"/>
      <c r="AB4" s="116" t="s">
        <v>95</v>
      </c>
      <c r="AC4" s="117"/>
      <c r="AD4" s="117"/>
      <c r="AE4" s="117"/>
      <c r="AF4" s="117"/>
      <c r="AG4" s="117"/>
      <c r="AH4" s="117"/>
      <c r="AI4" s="117"/>
      <c r="AJ4" s="116" t="s">
        <v>96</v>
      </c>
      <c r="AK4" s="117"/>
      <c r="AL4" s="117"/>
      <c r="AM4" s="117"/>
      <c r="AN4" s="117"/>
      <c r="AO4" s="117"/>
      <c r="AP4" s="117"/>
      <c r="AQ4" s="117"/>
      <c r="AR4" s="116" t="s">
        <v>97</v>
      </c>
      <c r="AS4" s="117"/>
      <c r="AT4" s="117"/>
      <c r="AU4" s="117"/>
      <c r="AV4" s="117"/>
      <c r="AW4" s="117"/>
      <c r="AX4" s="117"/>
      <c r="AY4" s="117"/>
      <c r="AZ4" s="116" t="s">
        <v>98</v>
      </c>
      <c r="BA4" s="117"/>
      <c r="BB4" s="117"/>
      <c r="BC4" s="117"/>
      <c r="BD4" s="117"/>
      <c r="BE4" s="117"/>
      <c r="BF4" s="117"/>
      <c r="BG4" s="117"/>
      <c r="BH4" s="116" t="s">
        <v>99</v>
      </c>
      <c r="BI4" s="117"/>
      <c r="BJ4" s="117"/>
      <c r="BK4" s="117"/>
      <c r="BL4" s="117"/>
      <c r="BM4" s="117"/>
      <c r="BN4" s="117"/>
      <c r="BO4" s="117"/>
      <c r="BP4" s="116" t="s">
        <v>100</v>
      </c>
      <c r="BQ4" s="117"/>
      <c r="BR4" s="117"/>
      <c r="BS4" s="117"/>
      <c r="BT4" s="117"/>
      <c r="BU4" s="117"/>
      <c r="BV4" s="117"/>
      <c r="BW4" s="117"/>
      <c r="BX4" s="116" t="s">
        <v>101</v>
      </c>
      <c r="BY4" s="117"/>
      <c r="BZ4" s="117"/>
      <c r="CA4" s="117"/>
      <c r="CB4" s="117"/>
      <c r="CC4" s="117"/>
      <c r="CD4" s="117"/>
      <c r="CE4" s="117"/>
      <c r="CF4" s="116" t="s">
        <v>102</v>
      </c>
      <c r="CG4" s="117"/>
      <c r="CH4" s="117"/>
      <c r="CI4" s="117"/>
      <c r="CJ4" s="117"/>
      <c r="CK4" s="117"/>
      <c r="CL4" s="117"/>
      <c r="CM4" s="117"/>
      <c r="CN4" s="116" t="s">
        <v>103</v>
      </c>
      <c r="CO4" s="117"/>
      <c r="CP4" s="117"/>
      <c r="CQ4" s="117"/>
      <c r="CR4" s="117"/>
      <c r="CS4" s="117"/>
      <c r="CT4" s="117"/>
      <c r="CU4" s="117"/>
    </row>
    <row r="5" spans="1:99" x14ac:dyDescent="0.2">
      <c r="B5" s="116" t="s">
        <v>167</v>
      </c>
      <c r="C5" s="116" t="s">
        <v>275</v>
      </c>
      <c r="D5" s="116">
        <v>1</v>
      </c>
      <c r="E5" s="116"/>
      <c r="F5" s="116">
        <v>2</v>
      </c>
      <c r="G5" s="116"/>
      <c r="H5" s="116">
        <v>3</v>
      </c>
      <c r="I5" s="116"/>
      <c r="J5" s="116">
        <v>4</v>
      </c>
      <c r="K5" s="116"/>
      <c r="L5" s="116">
        <v>1</v>
      </c>
      <c r="M5" s="116"/>
      <c r="N5" s="116">
        <v>2</v>
      </c>
      <c r="O5" s="116"/>
      <c r="P5" s="116">
        <v>3</v>
      </c>
      <c r="Q5" s="116"/>
      <c r="R5" s="116">
        <v>4</v>
      </c>
      <c r="S5" s="116"/>
      <c r="T5" s="116">
        <v>1</v>
      </c>
      <c r="U5" s="116"/>
      <c r="V5" s="116">
        <v>2</v>
      </c>
      <c r="W5" s="116"/>
      <c r="X5" s="116">
        <v>3</v>
      </c>
      <c r="Y5" s="116"/>
      <c r="Z5" s="116">
        <v>4</v>
      </c>
      <c r="AA5" s="116"/>
      <c r="AB5" s="116">
        <v>1</v>
      </c>
      <c r="AC5" s="116"/>
      <c r="AD5" s="116">
        <v>2</v>
      </c>
      <c r="AE5" s="116"/>
      <c r="AF5" s="116">
        <v>3</v>
      </c>
      <c r="AG5" s="116"/>
      <c r="AH5" s="116">
        <v>4</v>
      </c>
      <c r="AI5" s="116"/>
      <c r="AJ5" s="116">
        <v>1</v>
      </c>
      <c r="AK5" s="116"/>
      <c r="AL5" s="116">
        <v>2</v>
      </c>
      <c r="AM5" s="116"/>
      <c r="AN5" s="116">
        <v>3</v>
      </c>
      <c r="AO5" s="116"/>
      <c r="AP5" s="116">
        <v>4</v>
      </c>
      <c r="AQ5" s="116"/>
      <c r="AR5" s="116">
        <v>1</v>
      </c>
      <c r="AS5" s="116"/>
      <c r="AT5" s="116">
        <v>2</v>
      </c>
      <c r="AU5" s="116"/>
      <c r="AV5" s="116">
        <v>3</v>
      </c>
      <c r="AW5" s="116"/>
      <c r="AX5" s="116">
        <v>4</v>
      </c>
      <c r="AY5" s="116"/>
      <c r="AZ5" s="116">
        <v>1</v>
      </c>
      <c r="BA5" s="116"/>
      <c r="BB5" s="116">
        <v>2</v>
      </c>
      <c r="BC5" s="116"/>
      <c r="BD5" s="116">
        <v>3</v>
      </c>
      <c r="BE5" s="116"/>
      <c r="BF5" s="116">
        <v>4</v>
      </c>
      <c r="BG5" s="116"/>
      <c r="BH5" s="116">
        <v>1</v>
      </c>
      <c r="BI5" s="116"/>
      <c r="BJ5" s="116">
        <v>2</v>
      </c>
      <c r="BK5" s="116"/>
      <c r="BL5" s="116">
        <v>3</v>
      </c>
      <c r="BM5" s="116"/>
      <c r="BN5" s="116">
        <v>4</v>
      </c>
      <c r="BO5" s="116"/>
      <c r="BP5" s="116">
        <v>1</v>
      </c>
      <c r="BQ5" s="116"/>
      <c r="BR5" s="116">
        <v>2</v>
      </c>
      <c r="BS5" s="116"/>
      <c r="BT5" s="116">
        <v>3</v>
      </c>
      <c r="BU5" s="116"/>
      <c r="BV5" s="116">
        <v>4</v>
      </c>
      <c r="BW5" s="116"/>
      <c r="BX5" s="116">
        <v>1</v>
      </c>
      <c r="BY5" s="116"/>
      <c r="BZ5" s="116">
        <v>2</v>
      </c>
      <c r="CA5" s="116"/>
      <c r="CB5" s="116">
        <v>3</v>
      </c>
      <c r="CC5" s="116"/>
      <c r="CD5" s="116">
        <v>4</v>
      </c>
      <c r="CE5" s="116"/>
      <c r="CF5" s="116">
        <v>1</v>
      </c>
      <c r="CG5" s="116"/>
      <c r="CH5" s="116">
        <v>2</v>
      </c>
      <c r="CI5" s="116"/>
      <c r="CJ5" s="116">
        <v>3</v>
      </c>
      <c r="CK5" s="116"/>
      <c r="CL5" s="116">
        <v>4</v>
      </c>
      <c r="CM5" s="116"/>
      <c r="CN5" s="116">
        <v>1</v>
      </c>
      <c r="CO5" s="116"/>
      <c r="CP5" s="116">
        <v>2</v>
      </c>
      <c r="CQ5" s="116"/>
      <c r="CR5" s="116">
        <v>3</v>
      </c>
      <c r="CS5" s="116"/>
      <c r="CT5" s="116">
        <v>4</v>
      </c>
      <c r="CU5" s="116"/>
    </row>
    <row r="6" spans="1:99" x14ac:dyDescent="0.2">
      <c r="B6" s="116" t="s">
        <v>126</v>
      </c>
      <c r="C6" s="116" t="s">
        <v>172</v>
      </c>
      <c r="D6">
        <v>0</v>
      </c>
      <c r="E6">
        <v>0</v>
      </c>
      <c r="F6">
        <v>22</v>
      </c>
      <c r="G6">
        <v>12724.8</v>
      </c>
      <c r="H6">
        <v>13.475685478186932</v>
      </c>
      <c r="I6">
        <v>7794.3364805833216</v>
      </c>
      <c r="J6">
        <v>20</v>
      </c>
      <c r="K6">
        <v>11568</v>
      </c>
      <c r="L6">
        <v>19</v>
      </c>
      <c r="M6">
        <v>10989.6</v>
      </c>
      <c r="N6">
        <v>21</v>
      </c>
      <c r="O6">
        <v>12146.4</v>
      </c>
      <c r="P6">
        <v>16</v>
      </c>
      <c r="Q6">
        <v>9254.4</v>
      </c>
      <c r="R6">
        <v>17</v>
      </c>
      <c r="S6">
        <v>9832.7999999999993</v>
      </c>
      <c r="T6">
        <v>14</v>
      </c>
      <c r="U6">
        <v>8097.5999999999995</v>
      </c>
      <c r="V6">
        <v>20</v>
      </c>
      <c r="W6">
        <v>11568</v>
      </c>
      <c r="X6">
        <v>24</v>
      </c>
      <c r="Y6">
        <v>13881.599999999999</v>
      </c>
      <c r="Z6">
        <v>19</v>
      </c>
      <c r="AA6">
        <v>10989.6</v>
      </c>
      <c r="AB6">
        <v>13</v>
      </c>
      <c r="AC6">
        <v>7519.2</v>
      </c>
      <c r="AD6">
        <v>13</v>
      </c>
      <c r="AE6">
        <v>7519.2</v>
      </c>
      <c r="AF6">
        <v>17</v>
      </c>
      <c r="AG6">
        <v>9832.7999999999993</v>
      </c>
      <c r="AH6">
        <v>14</v>
      </c>
      <c r="AI6">
        <v>8097.5999999999995</v>
      </c>
      <c r="AJ6">
        <v>13</v>
      </c>
      <c r="AK6">
        <v>7519.2</v>
      </c>
      <c r="AL6">
        <v>12</v>
      </c>
      <c r="AM6">
        <v>6940.7999999999993</v>
      </c>
      <c r="AN6">
        <v>14</v>
      </c>
      <c r="AO6">
        <v>8097.5999999999995</v>
      </c>
      <c r="AP6">
        <v>19</v>
      </c>
      <c r="AQ6">
        <v>10989.6</v>
      </c>
      <c r="AR6">
        <v>13</v>
      </c>
      <c r="AS6">
        <v>7519.2</v>
      </c>
      <c r="AT6">
        <v>19</v>
      </c>
      <c r="AU6">
        <v>10989.6</v>
      </c>
      <c r="AV6">
        <v>14</v>
      </c>
      <c r="AW6">
        <v>8097.5999999999995</v>
      </c>
      <c r="AX6">
        <v>23</v>
      </c>
      <c r="AY6">
        <v>13303.199999999999</v>
      </c>
      <c r="AZ6">
        <v>15</v>
      </c>
      <c r="BA6">
        <v>8676</v>
      </c>
      <c r="BB6">
        <v>20</v>
      </c>
      <c r="BC6">
        <v>11568</v>
      </c>
      <c r="BD6">
        <v>25</v>
      </c>
      <c r="BE6">
        <v>14460</v>
      </c>
      <c r="BF6">
        <v>14</v>
      </c>
      <c r="BG6">
        <v>8097.5999999999995</v>
      </c>
      <c r="BH6">
        <v>19</v>
      </c>
      <c r="BI6">
        <v>10989.6</v>
      </c>
      <c r="BJ6">
        <v>23</v>
      </c>
      <c r="BK6">
        <v>13303.199999999999</v>
      </c>
      <c r="BL6">
        <v>21</v>
      </c>
      <c r="BM6">
        <v>12146.4</v>
      </c>
      <c r="BN6">
        <v>14</v>
      </c>
      <c r="BO6">
        <v>8097.5999999999995</v>
      </c>
      <c r="BP6">
        <v>23</v>
      </c>
      <c r="BQ6">
        <v>13303.199999999999</v>
      </c>
      <c r="BR6">
        <v>21</v>
      </c>
      <c r="BS6">
        <v>12146.4</v>
      </c>
      <c r="BT6">
        <v>15</v>
      </c>
      <c r="BU6">
        <v>8676</v>
      </c>
      <c r="BV6">
        <v>28</v>
      </c>
      <c r="BW6">
        <v>16195.199999999999</v>
      </c>
      <c r="BX6">
        <v>14</v>
      </c>
      <c r="BY6">
        <v>8097.5999999999995</v>
      </c>
      <c r="BZ6">
        <v>24</v>
      </c>
      <c r="CA6">
        <v>13881.599999999999</v>
      </c>
      <c r="CB6">
        <v>15</v>
      </c>
      <c r="CC6">
        <v>8676</v>
      </c>
      <c r="CD6">
        <v>21</v>
      </c>
      <c r="CE6">
        <v>12146.4</v>
      </c>
      <c r="CF6">
        <v>16</v>
      </c>
      <c r="CG6">
        <v>9254.4</v>
      </c>
      <c r="CH6">
        <v>19</v>
      </c>
      <c r="CI6">
        <v>10989.6</v>
      </c>
      <c r="CJ6">
        <v>18</v>
      </c>
      <c r="CK6">
        <v>10411.199999999999</v>
      </c>
      <c r="CL6">
        <v>14</v>
      </c>
      <c r="CM6">
        <v>8097.5999999999995</v>
      </c>
      <c r="CN6">
        <v>19</v>
      </c>
      <c r="CO6">
        <v>10989.6</v>
      </c>
      <c r="CP6">
        <v>28</v>
      </c>
      <c r="CQ6">
        <v>16195.199999999999</v>
      </c>
      <c r="CR6">
        <v>17</v>
      </c>
      <c r="CS6">
        <v>9832.7999999999993</v>
      </c>
      <c r="CT6">
        <v>23</v>
      </c>
      <c r="CU6">
        <v>13303.199999999999</v>
      </c>
    </row>
    <row r="7" spans="1:99" x14ac:dyDescent="0.2">
      <c r="C7" s="116" t="s">
        <v>173</v>
      </c>
      <c r="D7">
        <v>0</v>
      </c>
      <c r="E7">
        <v>0</v>
      </c>
      <c r="F7">
        <v>22</v>
      </c>
      <c r="G7">
        <v>17344.8</v>
      </c>
      <c r="H7">
        <v>12.513136515459294</v>
      </c>
      <c r="I7">
        <v>9865.356828788108</v>
      </c>
      <c r="J7">
        <v>22</v>
      </c>
      <c r="K7">
        <v>17344.8</v>
      </c>
      <c r="L7">
        <v>17</v>
      </c>
      <c r="M7">
        <v>13402.8</v>
      </c>
      <c r="N7">
        <v>19</v>
      </c>
      <c r="O7">
        <v>14979.6</v>
      </c>
      <c r="P7">
        <v>16</v>
      </c>
      <c r="Q7">
        <v>12614.4</v>
      </c>
      <c r="R7">
        <v>16</v>
      </c>
      <c r="S7">
        <v>12614.4</v>
      </c>
      <c r="T7">
        <v>13</v>
      </c>
      <c r="U7">
        <v>10249.199999999999</v>
      </c>
      <c r="V7">
        <v>20</v>
      </c>
      <c r="W7">
        <v>15768</v>
      </c>
      <c r="X7">
        <v>23</v>
      </c>
      <c r="Y7">
        <v>18133.2</v>
      </c>
      <c r="Z7">
        <v>18</v>
      </c>
      <c r="AA7">
        <v>14191.199999999999</v>
      </c>
      <c r="AB7">
        <v>13</v>
      </c>
      <c r="AC7">
        <v>10249.199999999999</v>
      </c>
      <c r="AD7">
        <v>13</v>
      </c>
      <c r="AE7">
        <v>10249.199999999999</v>
      </c>
      <c r="AF7">
        <v>18</v>
      </c>
      <c r="AG7">
        <v>14191.199999999999</v>
      </c>
      <c r="AH7">
        <v>15</v>
      </c>
      <c r="AI7">
        <v>11826</v>
      </c>
      <c r="AJ7">
        <v>13</v>
      </c>
      <c r="AK7">
        <v>10249.199999999999</v>
      </c>
      <c r="AL7">
        <v>12</v>
      </c>
      <c r="AM7">
        <v>9460.7999999999993</v>
      </c>
      <c r="AN7">
        <v>14</v>
      </c>
      <c r="AO7">
        <v>11037.6</v>
      </c>
      <c r="AP7">
        <v>22</v>
      </c>
      <c r="AQ7">
        <v>17344.8</v>
      </c>
      <c r="AR7">
        <v>12</v>
      </c>
      <c r="AS7">
        <v>9460.7999999999993</v>
      </c>
      <c r="AT7">
        <v>19</v>
      </c>
      <c r="AU7">
        <v>14979.6</v>
      </c>
      <c r="AV7">
        <v>14</v>
      </c>
      <c r="AW7">
        <v>11037.6</v>
      </c>
      <c r="AX7">
        <v>20</v>
      </c>
      <c r="AY7">
        <v>15768</v>
      </c>
      <c r="AZ7">
        <v>16</v>
      </c>
      <c r="BA7">
        <v>12614.4</v>
      </c>
      <c r="BB7">
        <v>18</v>
      </c>
      <c r="BC7">
        <v>14191.199999999999</v>
      </c>
      <c r="BD7">
        <v>26</v>
      </c>
      <c r="BE7">
        <v>20498.399999999998</v>
      </c>
      <c r="BF7">
        <v>16</v>
      </c>
      <c r="BG7">
        <v>12614.4</v>
      </c>
      <c r="BH7">
        <v>18</v>
      </c>
      <c r="BI7">
        <v>14191.199999999999</v>
      </c>
      <c r="BJ7">
        <v>26</v>
      </c>
      <c r="BK7">
        <v>20498.399999999998</v>
      </c>
      <c r="BL7">
        <v>22</v>
      </c>
      <c r="BM7">
        <v>17344.8</v>
      </c>
      <c r="BN7">
        <v>15</v>
      </c>
      <c r="BO7">
        <v>11826</v>
      </c>
      <c r="BP7">
        <v>24</v>
      </c>
      <c r="BQ7">
        <v>18921.599999999999</v>
      </c>
      <c r="BR7">
        <v>22</v>
      </c>
      <c r="BS7">
        <v>17344.8</v>
      </c>
      <c r="BT7">
        <v>15</v>
      </c>
      <c r="BU7">
        <v>11826</v>
      </c>
      <c r="BV7">
        <v>25</v>
      </c>
      <c r="BW7">
        <v>19710</v>
      </c>
      <c r="BX7">
        <v>13</v>
      </c>
      <c r="BY7">
        <v>10249.199999999999</v>
      </c>
      <c r="BZ7">
        <v>23</v>
      </c>
      <c r="CA7">
        <v>18133.2</v>
      </c>
      <c r="CB7">
        <v>15</v>
      </c>
      <c r="CC7">
        <v>11826</v>
      </c>
      <c r="CD7">
        <v>20</v>
      </c>
      <c r="CE7">
        <v>15768</v>
      </c>
      <c r="CF7">
        <v>14</v>
      </c>
      <c r="CG7">
        <v>11037.6</v>
      </c>
      <c r="CH7">
        <v>17</v>
      </c>
      <c r="CI7">
        <v>13402.8</v>
      </c>
      <c r="CJ7">
        <v>16</v>
      </c>
      <c r="CK7">
        <v>12614.4</v>
      </c>
      <c r="CL7">
        <v>15</v>
      </c>
      <c r="CM7">
        <v>11826</v>
      </c>
      <c r="CN7">
        <v>20</v>
      </c>
      <c r="CO7">
        <v>15768</v>
      </c>
      <c r="CP7">
        <v>29</v>
      </c>
      <c r="CQ7">
        <v>22863.599999999999</v>
      </c>
      <c r="CR7">
        <v>19</v>
      </c>
      <c r="CS7">
        <v>14979.6</v>
      </c>
      <c r="CT7">
        <v>25</v>
      </c>
      <c r="CU7">
        <v>19710</v>
      </c>
    </row>
    <row r="8" spans="1:99" x14ac:dyDescent="0.2">
      <c r="C8" s="116" t="s">
        <v>174</v>
      </c>
      <c r="D8">
        <v>0</v>
      </c>
      <c r="E8">
        <v>0</v>
      </c>
      <c r="F8">
        <v>23</v>
      </c>
      <c r="G8">
        <v>7120.7999999999993</v>
      </c>
      <c r="H8">
        <v>13.475685478186932</v>
      </c>
      <c r="I8">
        <v>4172.0722240466739</v>
      </c>
      <c r="J8">
        <v>21</v>
      </c>
      <c r="K8">
        <v>6501.5999999999995</v>
      </c>
      <c r="L8">
        <v>20</v>
      </c>
      <c r="M8">
        <v>6191.9999999999991</v>
      </c>
      <c r="N8">
        <v>19</v>
      </c>
      <c r="O8">
        <v>5882.4</v>
      </c>
      <c r="P8">
        <v>15</v>
      </c>
      <c r="Q8">
        <v>4643.9999999999991</v>
      </c>
      <c r="R8">
        <v>17</v>
      </c>
      <c r="S8">
        <v>5263.2</v>
      </c>
      <c r="T8">
        <v>13</v>
      </c>
      <c r="U8">
        <v>4024.7999999999997</v>
      </c>
      <c r="V8">
        <v>20</v>
      </c>
      <c r="W8">
        <v>6191.9999999999991</v>
      </c>
      <c r="X8">
        <v>22</v>
      </c>
      <c r="Y8">
        <v>6811.1999999999989</v>
      </c>
      <c r="Z8">
        <v>17</v>
      </c>
      <c r="AA8">
        <v>5263.2</v>
      </c>
      <c r="AB8">
        <v>14</v>
      </c>
      <c r="AC8">
        <v>4334.3999999999996</v>
      </c>
      <c r="AD8">
        <v>14</v>
      </c>
      <c r="AE8">
        <v>4334.3999999999996</v>
      </c>
      <c r="AF8">
        <v>17</v>
      </c>
      <c r="AG8">
        <v>5263.2</v>
      </c>
      <c r="AH8">
        <v>15</v>
      </c>
      <c r="AI8">
        <v>4643.9999999999991</v>
      </c>
      <c r="AJ8">
        <v>13</v>
      </c>
      <c r="AK8">
        <v>4024.7999999999997</v>
      </c>
      <c r="AL8">
        <v>14</v>
      </c>
      <c r="AM8">
        <v>4334.3999999999996</v>
      </c>
      <c r="AN8">
        <v>15</v>
      </c>
      <c r="AO8">
        <v>4643.9999999999991</v>
      </c>
      <c r="AP8">
        <v>21</v>
      </c>
      <c r="AQ8">
        <v>6501.5999999999995</v>
      </c>
      <c r="AR8">
        <v>14</v>
      </c>
      <c r="AS8">
        <v>4334.3999999999996</v>
      </c>
      <c r="AT8">
        <v>20</v>
      </c>
      <c r="AU8">
        <v>6191.9999999999991</v>
      </c>
      <c r="AV8">
        <v>16</v>
      </c>
      <c r="AW8">
        <v>4953.5999999999995</v>
      </c>
      <c r="AX8">
        <v>21</v>
      </c>
      <c r="AY8">
        <v>6501.5999999999995</v>
      </c>
      <c r="AZ8">
        <v>17</v>
      </c>
      <c r="BA8">
        <v>5263.2</v>
      </c>
      <c r="BB8">
        <v>19</v>
      </c>
      <c r="BC8">
        <v>5882.4</v>
      </c>
      <c r="BD8">
        <v>28</v>
      </c>
      <c r="BE8">
        <v>8668.7999999999993</v>
      </c>
      <c r="BF8">
        <v>16</v>
      </c>
      <c r="BG8">
        <v>4953.5999999999995</v>
      </c>
      <c r="BH8">
        <v>21</v>
      </c>
      <c r="BI8">
        <v>6501.5999999999995</v>
      </c>
      <c r="BJ8">
        <v>25</v>
      </c>
      <c r="BK8">
        <v>7739.9999999999991</v>
      </c>
      <c r="BL8">
        <v>22</v>
      </c>
      <c r="BM8">
        <v>6811.1999999999989</v>
      </c>
      <c r="BN8">
        <v>17</v>
      </c>
      <c r="BO8">
        <v>5263.2</v>
      </c>
      <c r="BP8">
        <v>23</v>
      </c>
      <c r="BQ8">
        <v>7120.7999999999993</v>
      </c>
      <c r="BR8">
        <v>26</v>
      </c>
      <c r="BS8">
        <v>8049.5999999999995</v>
      </c>
      <c r="BT8">
        <v>15</v>
      </c>
      <c r="BU8">
        <v>4643.9999999999991</v>
      </c>
      <c r="BV8">
        <v>26</v>
      </c>
      <c r="BW8">
        <v>8049.5999999999995</v>
      </c>
      <c r="BX8">
        <v>15</v>
      </c>
      <c r="BY8">
        <v>4643.9999999999991</v>
      </c>
      <c r="BZ8">
        <v>25</v>
      </c>
      <c r="CA8">
        <v>7739.9999999999991</v>
      </c>
      <c r="CB8">
        <v>15</v>
      </c>
      <c r="CC8">
        <v>4643.9999999999991</v>
      </c>
      <c r="CD8">
        <v>20</v>
      </c>
      <c r="CE8">
        <v>6191.9999999999991</v>
      </c>
      <c r="CF8">
        <v>15</v>
      </c>
      <c r="CG8">
        <v>4643.9999999999991</v>
      </c>
      <c r="CH8">
        <v>21</v>
      </c>
      <c r="CI8">
        <v>6501.5999999999995</v>
      </c>
      <c r="CJ8">
        <v>17</v>
      </c>
      <c r="CK8">
        <v>5263.2</v>
      </c>
      <c r="CL8">
        <v>16</v>
      </c>
      <c r="CM8">
        <v>4953.5999999999995</v>
      </c>
      <c r="CN8">
        <v>18</v>
      </c>
      <c r="CO8">
        <v>5572.7999999999993</v>
      </c>
      <c r="CP8">
        <v>27</v>
      </c>
      <c r="CQ8">
        <v>8359.1999999999989</v>
      </c>
      <c r="CR8">
        <v>18</v>
      </c>
      <c r="CS8">
        <v>5572.7999999999993</v>
      </c>
      <c r="CT8">
        <v>25</v>
      </c>
      <c r="CU8">
        <v>7739.9999999999991</v>
      </c>
    </row>
    <row r="9" spans="1:99" x14ac:dyDescent="0.2">
      <c r="C9" s="116" t="s">
        <v>175</v>
      </c>
      <c r="D9">
        <v>0</v>
      </c>
      <c r="E9">
        <v>0</v>
      </c>
      <c r="F9">
        <v>19</v>
      </c>
      <c r="G9">
        <v>13338</v>
      </c>
      <c r="H9">
        <v>11.550587552731656</v>
      </c>
      <c r="I9">
        <v>8108.512462017623</v>
      </c>
      <c r="J9">
        <v>23</v>
      </c>
      <c r="K9">
        <v>16146</v>
      </c>
      <c r="L9">
        <v>18</v>
      </c>
      <c r="M9">
        <v>12636</v>
      </c>
      <c r="N9">
        <v>21</v>
      </c>
      <c r="O9">
        <v>14742</v>
      </c>
      <c r="P9">
        <v>16</v>
      </c>
      <c r="Q9">
        <v>11232</v>
      </c>
      <c r="R9">
        <v>17</v>
      </c>
      <c r="S9">
        <v>11934</v>
      </c>
      <c r="T9">
        <v>13</v>
      </c>
      <c r="U9">
        <v>9126</v>
      </c>
      <c r="V9">
        <v>20</v>
      </c>
      <c r="W9">
        <v>14040</v>
      </c>
      <c r="X9">
        <v>22</v>
      </c>
      <c r="Y9">
        <v>15444</v>
      </c>
      <c r="Z9">
        <v>17</v>
      </c>
      <c r="AA9">
        <v>11934</v>
      </c>
      <c r="AB9">
        <v>15</v>
      </c>
      <c r="AC9">
        <v>10530</v>
      </c>
      <c r="AD9">
        <v>14</v>
      </c>
      <c r="AE9">
        <v>9828</v>
      </c>
      <c r="AF9">
        <v>17</v>
      </c>
      <c r="AG9">
        <v>11934</v>
      </c>
      <c r="AH9">
        <v>14</v>
      </c>
      <c r="AI9">
        <v>9828</v>
      </c>
      <c r="AJ9">
        <v>13</v>
      </c>
      <c r="AK9">
        <v>9126</v>
      </c>
      <c r="AL9">
        <v>13</v>
      </c>
      <c r="AM9">
        <v>9126</v>
      </c>
      <c r="AN9">
        <v>15</v>
      </c>
      <c r="AO9">
        <v>10530</v>
      </c>
      <c r="AP9">
        <v>19</v>
      </c>
      <c r="AQ9">
        <v>13338</v>
      </c>
      <c r="AR9">
        <v>13</v>
      </c>
      <c r="AS9">
        <v>9126</v>
      </c>
      <c r="AT9">
        <v>22</v>
      </c>
      <c r="AU9">
        <v>15444</v>
      </c>
      <c r="AV9">
        <v>15</v>
      </c>
      <c r="AW9">
        <v>10530</v>
      </c>
      <c r="AX9">
        <v>19</v>
      </c>
      <c r="AY9">
        <v>13338</v>
      </c>
      <c r="AZ9">
        <v>16</v>
      </c>
      <c r="BA9">
        <v>11232</v>
      </c>
      <c r="BB9">
        <v>19</v>
      </c>
      <c r="BC9">
        <v>13338</v>
      </c>
      <c r="BD9">
        <v>25</v>
      </c>
      <c r="BE9">
        <v>17550</v>
      </c>
      <c r="BF9">
        <v>14</v>
      </c>
      <c r="BG9">
        <v>9828</v>
      </c>
      <c r="BH9">
        <v>22</v>
      </c>
      <c r="BI9">
        <v>15444</v>
      </c>
      <c r="BJ9">
        <v>25</v>
      </c>
      <c r="BK9">
        <v>17550</v>
      </c>
      <c r="BL9">
        <v>21</v>
      </c>
      <c r="BM9">
        <v>14742</v>
      </c>
      <c r="BN9">
        <v>16</v>
      </c>
      <c r="BO9">
        <v>11232</v>
      </c>
      <c r="BP9">
        <v>24</v>
      </c>
      <c r="BQ9">
        <v>16848</v>
      </c>
      <c r="BR9">
        <v>22</v>
      </c>
      <c r="BS9">
        <v>15444</v>
      </c>
      <c r="BT9">
        <v>13</v>
      </c>
      <c r="BU9">
        <v>9126</v>
      </c>
      <c r="BV9">
        <v>27</v>
      </c>
      <c r="BW9">
        <v>18954</v>
      </c>
      <c r="BX9">
        <v>15</v>
      </c>
      <c r="BY9">
        <v>10530</v>
      </c>
      <c r="BZ9">
        <v>24</v>
      </c>
      <c r="CA9">
        <v>16848</v>
      </c>
      <c r="CB9">
        <v>14</v>
      </c>
      <c r="CC9">
        <v>9828</v>
      </c>
      <c r="CD9">
        <v>20</v>
      </c>
      <c r="CE9">
        <v>14040</v>
      </c>
      <c r="CF9">
        <v>14</v>
      </c>
      <c r="CG9">
        <v>9828</v>
      </c>
      <c r="CH9">
        <v>19</v>
      </c>
      <c r="CI9">
        <v>13338</v>
      </c>
      <c r="CJ9">
        <v>15</v>
      </c>
      <c r="CK9">
        <v>10530</v>
      </c>
      <c r="CL9">
        <v>15</v>
      </c>
      <c r="CM9">
        <v>10530</v>
      </c>
      <c r="CN9">
        <v>18</v>
      </c>
      <c r="CO9">
        <v>12636</v>
      </c>
      <c r="CP9">
        <v>28</v>
      </c>
      <c r="CQ9">
        <v>19656</v>
      </c>
      <c r="CR9">
        <v>18</v>
      </c>
      <c r="CS9">
        <v>12636</v>
      </c>
      <c r="CT9">
        <v>27</v>
      </c>
      <c r="CU9">
        <v>18954</v>
      </c>
    </row>
    <row r="10" spans="1:99" x14ac:dyDescent="0.2">
      <c r="C10" s="116" t="s">
        <v>176</v>
      </c>
      <c r="D10">
        <v>0</v>
      </c>
      <c r="E10">
        <v>0</v>
      </c>
      <c r="F10">
        <v>20</v>
      </c>
      <c r="G10">
        <v>10896</v>
      </c>
      <c r="H10">
        <v>13.475685478186932</v>
      </c>
      <c r="I10">
        <v>7341.5534485162398</v>
      </c>
      <c r="J10">
        <v>20</v>
      </c>
      <c r="K10">
        <v>10896</v>
      </c>
      <c r="L10">
        <v>18</v>
      </c>
      <c r="M10">
        <v>9806.4</v>
      </c>
      <c r="N10">
        <v>19</v>
      </c>
      <c r="O10">
        <v>10351.199999999999</v>
      </c>
      <c r="P10">
        <v>15</v>
      </c>
      <c r="Q10">
        <v>8171.9999999999991</v>
      </c>
      <c r="R10">
        <v>15</v>
      </c>
      <c r="S10">
        <v>8171.9999999999991</v>
      </c>
      <c r="T10">
        <v>13</v>
      </c>
      <c r="U10">
        <v>7082.4</v>
      </c>
      <c r="V10">
        <v>17</v>
      </c>
      <c r="W10">
        <v>9261.5999999999985</v>
      </c>
      <c r="X10">
        <v>22</v>
      </c>
      <c r="Y10">
        <v>11985.599999999999</v>
      </c>
      <c r="Z10">
        <v>17</v>
      </c>
      <c r="AA10">
        <v>9261.5999999999985</v>
      </c>
      <c r="AB10">
        <v>14</v>
      </c>
      <c r="AC10">
        <v>7627.1999999999989</v>
      </c>
      <c r="AD10">
        <v>13</v>
      </c>
      <c r="AE10">
        <v>7082.4</v>
      </c>
      <c r="AF10">
        <v>17</v>
      </c>
      <c r="AG10">
        <v>9261.5999999999985</v>
      </c>
      <c r="AH10">
        <v>14</v>
      </c>
      <c r="AI10">
        <v>7627.1999999999989</v>
      </c>
      <c r="AJ10">
        <v>13</v>
      </c>
      <c r="AK10">
        <v>7082.4</v>
      </c>
      <c r="AL10">
        <v>12</v>
      </c>
      <c r="AM10">
        <v>6537.5999999999995</v>
      </c>
      <c r="AN10">
        <v>14</v>
      </c>
      <c r="AO10">
        <v>7627.1999999999989</v>
      </c>
      <c r="AP10">
        <v>21</v>
      </c>
      <c r="AQ10">
        <v>11440.8</v>
      </c>
      <c r="AR10">
        <v>12</v>
      </c>
      <c r="AS10">
        <v>6537.5999999999995</v>
      </c>
      <c r="AT10">
        <v>22</v>
      </c>
      <c r="AU10">
        <v>11985.599999999999</v>
      </c>
      <c r="AV10">
        <v>14</v>
      </c>
      <c r="AW10">
        <v>7627.1999999999989</v>
      </c>
      <c r="AX10">
        <v>23</v>
      </c>
      <c r="AY10">
        <v>12530.4</v>
      </c>
      <c r="AZ10">
        <v>16</v>
      </c>
      <c r="BA10">
        <v>8716.7999999999993</v>
      </c>
      <c r="BB10">
        <v>18</v>
      </c>
      <c r="BC10">
        <v>9806.4</v>
      </c>
      <c r="BD10">
        <v>27</v>
      </c>
      <c r="BE10">
        <v>14709.599999999999</v>
      </c>
      <c r="BF10">
        <v>15</v>
      </c>
      <c r="BG10">
        <v>8171.9999999999991</v>
      </c>
      <c r="BH10">
        <v>21</v>
      </c>
      <c r="BI10">
        <v>11440.8</v>
      </c>
      <c r="BJ10">
        <v>26</v>
      </c>
      <c r="BK10">
        <v>14164.8</v>
      </c>
      <c r="BL10">
        <v>22</v>
      </c>
      <c r="BM10">
        <v>11985.599999999999</v>
      </c>
      <c r="BN10">
        <v>15</v>
      </c>
      <c r="BO10">
        <v>8171.9999999999991</v>
      </c>
      <c r="BP10">
        <v>23</v>
      </c>
      <c r="BQ10">
        <v>12530.4</v>
      </c>
      <c r="BR10">
        <v>21</v>
      </c>
      <c r="BS10">
        <v>11440.8</v>
      </c>
      <c r="BT10">
        <v>13</v>
      </c>
      <c r="BU10">
        <v>7082.4</v>
      </c>
      <c r="BV10">
        <v>23</v>
      </c>
      <c r="BW10">
        <v>12530.4</v>
      </c>
      <c r="BX10">
        <v>15</v>
      </c>
      <c r="BY10">
        <v>8171.9999999999991</v>
      </c>
      <c r="BZ10">
        <v>25</v>
      </c>
      <c r="CA10">
        <v>13619.999999999998</v>
      </c>
      <c r="CB10">
        <v>13</v>
      </c>
      <c r="CC10">
        <v>7082.4</v>
      </c>
      <c r="CD10">
        <v>21</v>
      </c>
      <c r="CE10">
        <v>11440.8</v>
      </c>
      <c r="CF10">
        <v>15</v>
      </c>
      <c r="CG10">
        <v>8171.9999999999991</v>
      </c>
      <c r="CH10">
        <v>18</v>
      </c>
      <c r="CI10">
        <v>9806.4</v>
      </c>
      <c r="CJ10">
        <v>15</v>
      </c>
      <c r="CK10">
        <v>8171.9999999999991</v>
      </c>
      <c r="CL10">
        <v>13</v>
      </c>
      <c r="CM10">
        <v>7082.4</v>
      </c>
      <c r="CN10">
        <v>20</v>
      </c>
      <c r="CO10">
        <v>10896</v>
      </c>
      <c r="CP10">
        <v>28</v>
      </c>
      <c r="CQ10">
        <v>15254.399999999998</v>
      </c>
      <c r="CR10">
        <v>18</v>
      </c>
      <c r="CS10">
        <v>9806.4</v>
      </c>
      <c r="CT10">
        <v>25</v>
      </c>
      <c r="CU10">
        <v>13619.999999999998</v>
      </c>
    </row>
    <row r="11" spans="1:99" x14ac:dyDescent="0.2">
      <c r="C11" s="116" t="s">
        <v>177</v>
      </c>
      <c r="D11">
        <v>0</v>
      </c>
      <c r="E11">
        <v>0</v>
      </c>
      <c r="F11">
        <v>20</v>
      </c>
      <c r="G11">
        <v>10656</v>
      </c>
      <c r="H11">
        <v>11.550587552731656</v>
      </c>
      <c r="I11">
        <v>6154.1530480954261</v>
      </c>
      <c r="J11">
        <v>20</v>
      </c>
      <c r="K11">
        <v>10656</v>
      </c>
      <c r="L11">
        <v>19</v>
      </c>
      <c r="M11">
        <v>10123.199999999999</v>
      </c>
      <c r="N11">
        <v>22</v>
      </c>
      <c r="O11">
        <v>11721.599999999999</v>
      </c>
      <c r="P11">
        <v>14</v>
      </c>
      <c r="Q11">
        <v>7459.1999999999989</v>
      </c>
      <c r="R11">
        <v>16</v>
      </c>
      <c r="S11">
        <v>8524.7999999999993</v>
      </c>
      <c r="T11">
        <v>12</v>
      </c>
      <c r="U11">
        <v>6393.5999999999995</v>
      </c>
      <c r="V11">
        <v>20</v>
      </c>
      <c r="W11">
        <v>10656</v>
      </c>
      <c r="X11">
        <v>24</v>
      </c>
      <c r="Y11">
        <v>12787.199999999999</v>
      </c>
      <c r="Z11">
        <v>18</v>
      </c>
      <c r="AA11">
        <v>9590.4</v>
      </c>
      <c r="AB11">
        <v>13</v>
      </c>
      <c r="AC11">
        <v>6926.4</v>
      </c>
      <c r="AD11">
        <v>13</v>
      </c>
      <c r="AE11">
        <v>6926.4</v>
      </c>
      <c r="AF11">
        <v>19</v>
      </c>
      <c r="AG11">
        <v>10123.199999999999</v>
      </c>
      <c r="AH11">
        <v>17</v>
      </c>
      <c r="AI11">
        <v>9057.5999999999985</v>
      </c>
      <c r="AJ11">
        <v>13</v>
      </c>
      <c r="AK11">
        <v>6926.4</v>
      </c>
      <c r="AL11">
        <v>12</v>
      </c>
      <c r="AM11">
        <v>6393.5999999999995</v>
      </c>
      <c r="AN11">
        <v>13</v>
      </c>
      <c r="AO11">
        <v>6926.4</v>
      </c>
      <c r="AP11">
        <v>22</v>
      </c>
      <c r="AQ11">
        <v>11721.599999999999</v>
      </c>
      <c r="AR11">
        <v>12</v>
      </c>
      <c r="AS11">
        <v>6393.5999999999995</v>
      </c>
      <c r="AT11">
        <v>20</v>
      </c>
      <c r="AU11">
        <v>10656</v>
      </c>
      <c r="AV11">
        <v>16</v>
      </c>
      <c r="AW11">
        <v>8524.7999999999993</v>
      </c>
      <c r="AX11">
        <v>20</v>
      </c>
      <c r="AY11">
        <v>10656</v>
      </c>
      <c r="AZ11">
        <v>17</v>
      </c>
      <c r="BA11">
        <v>9057.5999999999985</v>
      </c>
      <c r="BB11">
        <v>18</v>
      </c>
      <c r="BC11">
        <v>9590.4</v>
      </c>
      <c r="BD11">
        <v>24</v>
      </c>
      <c r="BE11">
        <v>12787.199999999999</v>
      </c>
      <c r="BF11">
        <v>14</v>
      </c>
      <c r="BG11">
        <v>7459.1999999999989</v>
      </c>
      <c r="BH11">
        <v>21</v>
      </c>
      <c r="BI11">
        <v>11188.8</v>
      </c>
      <c r="BJ11">
        <v>23</v>
      </c>
      <c r="BK11">
        <v>12254.4</v>
      </c>
      <c r="BL11">
        <v>20</v>
      </c>
      <c r="BM11">
        <v>10656</v>
      </c>
      <c r="BN11">
        <v>15</v>
      </c>
      <c r="BO11">
        <v>7991.9999999999991</v>
      </c>
      <c r="BP11">
        <v>23</v>
      </c>
      <c r="BQ11">
        <v>12254.4</v>
      </c>
      <c r="BR11">
        <v>23</v>
      </c>
      <c r="BS11">
        <v>12254.4</v>
      </c>
      <c r="BT11">
        <v>15</v>
      </c>
      <c r="BU11">
        <v>7991.9999999999991</v>
      </c>
      <c r="BV11">
        <v>26</v>
      </c>
      <c r="BW11">
        <v>13852.8</v>
      </c>
      <c r="BX11">
        <v>15</v>
      </c>
      <c r="BY11">
        <v>7991.9999999999991</v>
      </c>
      <c r="BZ11">
        <v>22</v>
      </c>
      <c r="CA11">
        <v>11721.599999999999</v>
      </c>
      <c r="CB11">
        <v>16</v>
      </c>
      <c r="CC11">
        <v>8524.7999999999993</v>
      </c>
      <c r="CD11">
        <v>21</v>
      </c>
      <c r="CE11">
        <v>11188.8</v>
      </c>
      <c r="CF11">
        <v>16</v>
      </c>
      <c r="CG11">
        <v>8524.7999999999993</v>
      </c>
      <c r="CH11">
        <v>20</v>
      </c>
      <c r="CI11">
        <v>10656</v>
      </c>
      <c r="CJ11">
        <v>17</v>
      </c>
      <c r="CK11">
        <v>9057.5999999999985</v>
      </c>
      <c r="CL11">
        <v>15</v>
      </c>
      <c r="CM11">
        <v>7991.9999999999991</v>
      </c>
      <c r="CN11">
        <v>19</v>
      </c>
      <c r="CO11">
        <v>10123.199999999999</v>
      </c>
      <c r="CP11">
        <v>29</v>
      </c>
      <c r="CQ11">
        <v>15451.199999999999</v>
      </c>
      <c r="CR11">
        <v>19</v>
      </c>
      <c r="CS11">
        <v>10123.199999999999</v>
      </c>
      <c r="CT11">
        <v>24</v>
      </c>
      <c r="CU11">
        <v>12787.199999999999</v>
      </c>
    </row>
    <row r="12" spans="1:99" x14ac:dyDescent="0.2">
      <c r="C12" s="116" t="s">
        <v>178</v>
      </c>
      <c r="D12">
        <v>0</v>
      </c>
      <c r="E12">
        <v>0</v>
      </c>
      <c r="F12">
        <v>19</v>
      </c>
      <c r="G12">
        <v>10693.199999999999</v>
      </c>
      <c r="H12">
        <v>13.475685478186932</v>
      </c>
      <c r="I12">
        <v>7584.1157871236046</v>
      </c>
      <c r="J12">
        <v>23</v>
      </c>
      <c r="K12">
        <v>12944.4</v>
      </c>
      <c r="L12">
        <v>20</v>
      </c>
      <c r="M12">
        <v>11256</v>
      </c>
      <c r="N12">
        <v>21</v>
      </c>
      <c r="O12">
        <v>11818.8</v>
      </c>
      <c r="P12">
        <v>15</v>
      </c>
      <c r="Q12">
        <v>8442</v>
      </c>
      <c r="R12">
        <v>15</v>
      </c>
      <c r="S12">
        <v>8442</v>
      </c>
      <c r="T12">
        <v>14</v>
      </c>
      <c r="U12">
        <v>7879.1999999999989</v>
      </c>
      <c r="V12">
        <v>17</v>
      </c>
      <c r="W12">
        <v>9567.5999999999985</v>
      </c>
      <c r="X12">
        <v>21</v>
      </c>
      <c r="Y12">
        <v>11818.8</v>
      </c>
      <c r="Z12">
        <v>17</v>
      </c>
      <c r="AA12">
        <v>9567.5999999999985</v>
      </c>
      <c r="AB12">
        <v>15</v>
      </c>
      <c r="AC12">
        <v>8442</v>
      </c>
      <c r="AD12">
        <v>12</v>
      </c>
      <c r="AE12">
        <v>6753.5999999999995</v>
      </c>
      <c r="AF12">
        <v>18</v>
      </c>
      <c r="AG12">
        <v>10130.4</v>
      </c>
      <c r="AH12">
        <v>16</v>
      </c>
      <c r="AI12">
        <v>9004.7999999999993</v>
      </c>
      <c r="AJ12">
        <v>14</v>
      </c>
      <c r="AK12">
        <v>7879.1999999999989</v>
      </c>
      <c r="AL12">
        <v>12</v>
      </c>
      <c r="AM12">
        <v>6753.5999999999995</v>
      </c>
      <c r="AN12">
        <v>15</v>
      </c>
      <c r="AO12">
        <v>8442</v>
      </c>
      <c r="AP12">
        <v>23</v>
      </c>
      <c r="AQ12">
        <v>12944.4</v>
      </c>
      <c r="AR12">
        <v>13</v>
      </c>
      <c r="AS12">
        <v>7316.4</v>
      </c>
      <c r="AT12">
        <v>21</v>
      </c>
      <c r="AU12">
        <v>11818.8</v>
      </c>
      <c r="AV12">
        <v>15</v>
      </c>
      <c r="AW12">
        <v>8442</v>
      </c>
      <c r="AX12">
        <v>23</v>
      </c>
      <c r="AY12">
        <v>12944.4</v>
      </c>
      <c r="AZ12">
        <v>16</v>
      </c>
      <c r="BA12">
        <v>9004.7999999999993</v>
      </c>
      <c r="BB12">
        <v>19</v>
      </c>
      <c r="BC12">
        <v>10693.199999999999</v>
      </c>
      <c r="BD12">
        <v>27</v>
      </c>
      <c r="BE12">
        <v>15195.599999999999</v>
      </c>
      <c r="BF12">
        <v>15</v>
      </c>
      <c r="BG12">
        <v>8442</v>
      </c>
      <c r="BH12">
        <v>19</v>
      </c>
      <c r="BI12">
        <v>10693.199999999999</v>
      </c>
      <c r="BJ12">
        <v>23</v>
      </c>
      <c r="BK12">
        <v>12944.4</v>
      </c>
      <c r="BL12">
        <v>21</v>
      </c>
      <c r="BM12">
        <v>11818.8</v>
      </c>
      <c r="BN12">
        <v>15</v>
      </c>
      <c r="BO12">
        <v>8442</v>
      </c>
      <c r="BP12">
        <v>24</v>
      </c>
      <c r="BQ12">
        <v>13507.199999999999</v>
      </c>
      <c r="BR12">
        <v>23</v>
      </c>
      <c r="BS12">
        <v>12944.4</v>
      </c>
      <c r="BT12">
        <v>15</v>
      </c>
      <c r="BU12">
        <v>8442</v>
      </c>
      <c r="BV12">
        <v>24</v>
      </c>
      <c r="BW12">
        <v>13507.199999999999</v>
      </c>
      <c r="BX12">
        <v>15</v>
      </c>
      <c r="BY12">
        <v>8442</v>
      </c>
      <c r="BZ12">
        <v>22</v>
      </c>
      <c r="CA12">
        <v>12381.599999999999</v>
      </c>
      <c r="CB12">
        <v>15</v>
      </c>
      <c r="CC12">
        <v>8442</v>
      </c>
      <c r="CD12">
        <v>21</v>
      </c>
      <c r="CE12">
        <v>11818.8</v>
      </c>
      <c r="CF12">
        <v>16</v>
      </c>
      <c r="CG12">
        <v>9004.7999999999993</v>
      </c>
      <c r="CH12">
        <v>17</v>
      </c>
      <c r="CI12">
        <v>9567.5999999999985</v>
      </c>
      <c r="CJ12">
        <v>16</v>
      </c>
      <c r="CK12">
        <v>9004.7999999999993</v>
      </c>
      <c r="CL12">
        <v>16</v>
      </c>
      <c r="CM12">
        <v>9004.7999999999993</v>
      </c>
      <c r="CN12">
        <v>18</v>
      </c>
      <c r="CO12">
        <v>10130.4</v>
      </c>
      <c r="CP12">
        <v>28</v>
      </c>
      <c r="CQ12">
        <v>15758.399999999998</v>
      </c>
      <c r="CR12">
        <v>19</v>
      </c>
      <c r="CS12">
        <v>10693.199999999999</v>
      </c>
      <c r="CT12">
        <v>23</v>
      </c>
      <c r="CU12">
        <v>12944.4</v>
      </c>
    </row>
    <row r="13" spans="1:99" x14ac:dyDescent="0.2">
      <c r="C13" s="116" t="s">
        <v>179</v>
      </c>
      <c r="D13">
        <v>0</v>
      </c>
      <c r="E13">
        <v>0</v>
      </c>
      <c r="F13">
        <v>20</v>
      </c>
      <c r="G13">
        <v>1704</v>
      </c>
      <c r="H13">
        <v>12.513136515459294</v>
      </c>
      <c r="I13">
        <v>1066.1192311171319</v>
      </c>
      <c r="J13">
        <v>25</v>
      </c>
      <c r="K13">
        <v>2130</v>
      </c>
      <c r="L13">
        <v>20</v>
      </c>
      <c r="M13">
        <v>1704</v>
      </c>
      <c r="N13">
        <v>21</v>
      </c>
      <c r="O13">
        <v>1789.2</v>
      </c>
      <c r="P13">
        <v>17</v>
      </c>
      <c r="Q13">
        <v>1448.4</v>
      </c>
      <c r="R13">
        <v>17</v>
      </c>
      <c r="S13">
        <v>1448.4</v>
      </c>
      <c r="T13">
        <v>15</v>
      </c>
      <c r="U13">
        <v>1278</v>
      </c>
      <c r="V13">
        <v>20</v>
      </c>
      <c r="W13">
        <v>1704</v>
      </c>
      <c r="X13">
        <v>26</v>
      </c>
      <c r="Y13">
        <v>2215.2000000000003</v>
      </c>
      <c r="Z13">
        <v>18</v>
      </c>
      <c r="AA13">
        <v>1533.6000000000001</v>
      </c>
      <c r="AB13">
        <v>16</v>
      </c>
      <c r="AC13">
        <v>1363.2</v>
      </c>
      <c r="AD13">
        <v>13</v>
      </c>
      <c r="AE13">
        <v>1107.6000000000001</v>
      </c>
      <c r="AF13">
        <v>20</v>
      </c>
      <c r="AG13">
        <v>1704</v>
      </c>
      <c r="AH13">
        <v>17</v>
      </c>
      <c r="AI13">
        <v>1448.4</v>
      </c>
      <c r="AJ13">
        <v>15</v>
      </c>
      <c r="AK13">
        <v>1278</v>
      </c>
      <c r="AL13">
        <v>15</v>
      </c>
      <c r="AM13">
        <v>1278</v>
      </c>
      <c r="AN13">
        <v>16</v>
      </c>
      <c r="AO13">
        <v>1363.2</v>
      </c>
      <c r="AP13">
        <v>22</v>
      </c>
      <c r="AQ13">
        <v>1874.4</v>
      </c>
      <c r="AR13">
        <v>13</v>
      </c>
      <c r="AS13">
        <v>1107.6000000000001</v>
      </c>
      <c r="AT13">
        <v>23</v>
      </c>
      <c r="AU13">
        <v>1959.6000000000001</v>
      </c>
      <c r="AV13">
        <v>15</v>
      </c>
      <c r="AW13">
        <v>1278</v>
      </c>
      <c r="AX13">
        <v>22</v>
      </c>
      <c r="AY13">
        <v>1874.4</v>
      </c>
      <c r="AZ13">
        <v>18</v>
      </c>
      <c r="BA13">
        <v>1533.6000000000001</v>
      </c>
      <c r="BB13">
        <v>20</v>
      </c>
      <c r="BC13">
        <v>1704</v>
      </c>
      <c r="BD13">
        <v>27</v>
      </c>
      <c r="BE13">
        <v>2300.4</v>
      </c>
      <c r="BF13">
        <v>15</v>
      </c>
      <c r="BG13">
        <v>1278</v>
      </c>
      <c r="BH13">
        <v>23</v>
      </c>
      <c r="BI13">
        <v>1959.6000000000001</v>
      </c>
      <c r="BJ13">
        <v>28</v>
      </c>
      <c r="BK13">
        <v>2385.6</v>
      </c>
      <c r="BL13">
        <v>24</v>
      </c>
      <c r="BM13">
        <v>2044.8000000000002</v>
      </c>
      <c r="BN13">
        <v>17</v>
      </c>
      <c r="BO13">
        <v>1448.4</v>
      </c>
      <c r="BP13">
        <v>26</v>
      </c>
      <c r="BQ13">
        <v>2215.2000000000003</v>
      </c>
      <c r="BR13">
        <v>27</v>
      </c>
      <c r="BS13">
        <v>2300.4</v>
      </c>
      <c r="BT13">
        <v>17</v>
      </c>
      <c r="BU13">
        <v>1448.4</v>
      </c>
      <c r="BV13">
        <v>25</v>
      </c>
      <c r="BW13">
        <v>2130</v>
      </c>
      <c r="BX13">
        <v>15</v>
      </c>
      <c r="BY13">
        <v>1278</v>
      </c>
      <c r="BZ13">
        <v>26</v>
      </c>
      <c r="CA13">
        <v>2215.2000000000003</v>
      </c>
      <c r="CB13">
        <v>14</v>
      </c>
      <c r="CC13">
        <v>1192.8</v>
      </c>
      <c r="CD13">
        <v>24</v>
      </c>
      <c r="CE13">
        <v>2044.8000000000002</v>
      </c>
      <c r="CF13">
        <v>16</v>
      </c>
      <c r="CG13">
        <v>1363.2</v>
      </c>
      <c r="CH13">
        <v>19</v>
      </c>
      <c r="CI13">
        <v>1618.8</v>
      </c>
      <c r="CJ13">
        <v>18</v>
      </c>
      <c r="CK13">
        <v>1533.6000000000001</v>
      </c>
      <c r="CL13">
        <v>16</v>
      </c>
      <c r="CM13">
        <v>1363.2</v>
      </c>
      <c r="CN13">
        <v>22</v>
      </c>
      <c r="CO13">
        <v>1874.4</v>
      </c>
      <c r="CP13">
        <v>27</v>
      </c>
      <c r="CQ13">
        <v>2300.4</v>
      </c>
      <c r="CR13">
        <v>20</v>
      </c>
      <c r="CS13">
        <v>1704</v>
      </c>
      <c r="CT13">
        <v>25</v>
      </c>
      <c r="CU13">
        <v>2130</v>
      </c>
    </row>
    <row r="14" spans="1:99" x14ac:dyDescent="0.2">
      <c r="C14" s="116" t="s">
        <v>180</v>
      </c>
      <c r="D14">
        <v>0</v>
      </c>
      <c r="E14">
        <v>0</v>
      </c>
      <c r="F14">
        <v>21</v>
      </c>
      <c r="G14">
        <v>10256.4</v>
      </c>
      <c r="H14">
        <v>12.513136515459294</v>
      </c>
      <c r="I14">
        <v>6111.4158741503188</v>
      </c>
      <c r="J14">
        <v>21</v>
      </c>
      <c r="K14">
        <v>10256.4</v>
      </c>
      <c r="L14">
        <v>17</v>
      </c>
      <c r="M14">
        <v>8302.7999999999993</v>
      </c>
      <c r="N14">
        <v>21</v>
      </c>
      <c r="O14">
        <v>10256.4</v>
      </c>
      <c r="P14">
        <v>16</v>
      </c>
      <c r="Q14">
        <v>7814.4</v>
      </c>
      <c r="R14">
        <v>15</v>
      </c>
      <c r="S14">
        <v>7326</v>
      </c>
      <c r="T14">
        <v>15</v>
      </c>
      <c r="U14">
        <v>7326</v>
      </c>
      <c r="V14">
        <v>21</v>
      </c>
      <c r="W14">
        <v>10256.4</v>
      </c>
      <c r="X14">
        <v>21</v>
      </c>
      <c r="Y14">
        <v>10256.4</v>
      </c>
      <c r="Z14">
        <v>18</v>
      </c>
      <c r="AA14">
        <v>8791.1999999999989</v>
      </c>
      <c r="AB14">
        <v>15</v>
      </c>
      <c r="AC14">
        <v>7326</v>
      </c>
      <c r="AD14">
        <v>14</v>
      </c>
      <c r="AE14">
        <v>6837.5999999999995</v>
      </c>
      <c r="AF14">
        <v>18</v>
      </c>
      <c r="AG14">
        <v>8791.1999999999989</v>
      </c>
      <c r="AH14">
        <v>14</v>
      </c>
      <c r="AI14">
        <v>6837.5999999999995</v>
      </c>
      <c r="AJ14">
        <v>12</v>
      </c>
      <c r="AK14">
        <v>5860.7999999999993</v>
      </c>
      <c r="AL14">
        <v>12</v>
      </c>
      <c r="AM14">
        <v>5860.7999999999993</v>
      </c>
      <c r="AN14">
        <v>14</v>
      </c>
      <c r="AO14">
        <v>6837.5999999999995</v>
      </c>
      <c r="AP14">
        <v>23</v>
      </c>
      <c r="AQ14">
        <v>11233.199999999999</v>
      </c>
      <c r="AR14">
        <v>12</v>
      </c>
      <c r="AS14">
        <v>5860.7999999999993</v>
      </c>
      <c r="AT14">
        <v>19</v>
      </c>
      <c r="AU14">
        <v>9279.6</v>
      </c>
      <c r="AV14">
        <v>14</v>
      </c>
      <c r="AW14">
        <v>6837.5999999999995</v>
      </c>
      <c r="AX14">
        <v>23</v>
      </c>
      <c r="AY14">
        <v>11233.199999999999</v>
      </c>
      <c r="AZ14">
        <v>17</v>
      </c>
      <c r="BA14">
        <v>8302.7999999999993</v>
      </c>
      <c r="BB14">
        <v>18</v>
      </c>
      <c r="BC14">
        <v>8791.1999999999989</v>
      </c>
      <c r="BD14">
        <v>24</v>
      </c>
      <c r="BE14">
        <v>11721.599999999999</v>
      </c>
      <c r="BF14">
        <v>16</v>
      </c>
      <c r="BG14">
        <v>7814.4</v>
      </c>
      <c r="BH14">
        <v>22</v>
      </c>
      <c r="BI14">
        <v>10744.8</v>
      </c>
      <c r="BJ14">
        <v>24</v>
      </c>
      <c r="BK14">
        <v>11721.599999999999</v>
      </c>
      <c r="BL14">
        <v>20</v>
      </c>
      <c r="BM14">
        <v>9768</v>
      </c>
      <c r="BN14">
        <v>14</v>
      </c>
      <c r="BO14">
        <v>6837.5999999999995</v>
      </c>
      <c r="BP14">
        <v>22</v>
      </c>
      <c r="BQ14">
        <v>10744.8</v>
      </c>
      <c r="BR14">
        <v>23</v>
      </c>
      <c r="BS14">
        <v>11233.199999999999</v>
      </c>
      <c r="BT14">
        <v>15</v>
      </c>
      <c r="BU14">
        <v>7326</v>
      </c>
      <c r="BV14">
        <v>24</v>
      </c>
      <c r="BW14">
        <v>11721.599999999999</v>
      </c>
      <c r="BX14">
        <v>16</v>
      </c>
      <c r="BY14">
        <v>7814.4</v>
      </c>
      <c r="BZ14">
        <v>23</v>
      </c>
      <c r="CA14">
        <v>11233.199999999999</v>
      </c>
      <c r="CB14">
        <v>14</v>
      </c>
      <c r="CC14">
        <v>6837.5999999999995</v>
      </c>
      <c r="CD14">
        <v>20</v>
      </c>
      <c r="CE14">
        <v>9768</v>
      </c>
      <c r="CF14">
        <v>16</v>
      </c>
      <c r="CG14">
        <v>7814.4</v>
      </c>
      <c r="CH14">
        <v>18</v>
      </c>
      <c r="CI14">
        <v>8791.1999999999989</v>
      </c>
      <c r="CJ14">
        <v>17</v>
      </c>
      <c r="CK14">
        <v>8302.7999999999993</v>
      </c>
      <c r="CL14">
        <v>16</v>
      </c>
      <c r="CM14">
        <v>7814.4</v>
      </c>
      <c r="CN14">
        <v>19</v>
      </c>
      <c r="CO14">
        <v>9279.6</v>
      </c>
      <c r="CP14">
        <v>27</v>
      </c>
      <c r="CQ14">
        <v>13186.8</v>
      </c>
      <c r="CR14">
        <v>17</v>
      </c>
      <c r="CS14">
        <v>8302.7999999999993</v>
      </c>
      <c r="CT14">
        <v>24</v>
      </c>
      <c r="CU14">
        <v>11721.599999999999</v>
      </c>
    </row>
    <row r="15" spans="1:99" x14ac:dyDescent="0.2">
      <c r="C15" s="116" t="s">
        <v>181</v>
      </c>
      <c r="D15">
        <v>0</v>
      </c>
      <c r="E15">
        <v>0</v>
      </c>
      <c r="F15">
        <v>19</v>
      </c>
      <c r="G15">
        <v>14500.8</v>
      </c>
      <c r="H15">
        <v>12.513136515459294</v>
      </c>
      <c r="I15">
        <v>9550.025788598532</v>
      </c>
      <c r="J15">
        <v>23</v>
      </c>
      <c r="K15">
        <v>17553.599999999999</v>
      </c>
      <c r="L15">
        <v>20</v>
      </c>
      <c r="M15">
        <v>15263.999999999998</v>
      </c>
      <c r="N15">
        <v>19</v>
      </c>
      <c r="O15">
        <v>14500.8</v>
      </c>
      <c r="P15">
        <v>16</v>
      </c>
      <c r="Q15">
        <v>12211.199999999999</v>
      </c>
      <c r="R15">
        <v>17</v>
      </c>
      <c r="S15">
        <v>12974.4</v>
      </c>
      <c r="T15">
        <v>13</v>
      </c>
      <c r="U15">
        <v>9921.5999999999985</v>
      </c>
      <c r="V15">
        <v>17</v>
      </c>
      <c r="W15">
        <v>12974.4</v>
      </c>
      <c r="X15">
        <v>22</v>
      </c>
      <c r="Y15">
        <v>16790.399999999998</v>
      </c>
      <c r="Z15">
        <v>18</v>
      </c>
      <c r="AA15">
        <v>13737.599999999999</v>
      </c>
      <c r="AB15">
        <v>14</v>
      </c>
      <c r="AC15">
        <v>10684.8</v>
      </c>
      <c r="AD15">
        <v>14</v>
      </c>
      <c r="AE15">
        <v>10684.8</v>
      </c>
      <c r="AF15">
        <v>17</v>
      </c>
      <c r="AG15">
        <v>12974.4</v>
      </c>
      <c r="AH15">
        <v>15</v>
      </c>
      <c r="AI15">
        <v>11447.999999999998</v>
      </c>
      <c r="AJ15">
        <v>12</v>
      </c>
      <c r="AK15">
        <v>9158.4</v>
      </c>
      <c r="AL15">
        <v>13</v>
      </c>
      <c r="AM15">
        <v>9921.5999999999985</v>
      </c>
      <c r="AN15">
        <v>12</v>
      </c>
      <c r="AO15">
        <v>9158.4</v>
      </c>
      <c r="AP15">
        <v>21</v>
      </c>
      <c r="AQ15">
        <v>16027.199999999999</v>
      </c>
      <c r="AR15">
        <v>11</v>
      </c>
      <c r="AS15">
        <v>8395.1999999999989</v>
      </c>
      <c r="AT15">
        <v>21</v>
      </c>
      <c r="AU15">
        <v>16027.199999999999</v>
      </c>
      <c r="AV15">
        <v>14</v>
      </c>
      <c r="AW15">
        <v>10684.8</v>
      </c>
      <c r="AX15">
        <v>21</v>
      </c>
      <c r="AY15">
        <v>16027.199999999999</v>
      </c>
      <c r="AZ15">
        <v>15</v>
      </c>
      <c r="BA15">
        <v>11447.999999999998</v>
      </c>
      <c r="BB15">
        <v>16</v>
      </c>
      <c r="BC15">
        <v>12211.199999999999</v>
      </c>
      <c r="BD15">
        <v>22</v>
      </c>
      <c r="BE15">
        <v>16790.399999999998</v>
      </c>
      <c r="BF15">
        <v>15</v>
      </c>
      <c r="BG15">
        <v>11447.999999999998</v>
      </c>
      <c r="BH15">
        <v>19</v>
      </c>
      <c r="BI15">
        <v>14500.8</v>
      </c>
      <c r="BJ15">
        <v>23</v>
      </c>
      <c r="BK15">
        <v>17553.599999999999</v>
      </c>
      <c r="BL15">
        <v>21</v>
      </c>
      <c r="BM15">
        <v>16027.199999999999</v>
      </c>
      <c r="BN15">
        <v>15</v>
      </c>
      <c r="BO15">
        <v>11447.999999999998</v>
      </c>
      <c r="BP15">
        <v>21</v>
      </c>
      <c r="BQ15">
        <v>16027.199999999999</v>
      </c>
      <c r="BR15">
        <v>24</v>
      </c>
      <c r="BS15">
        <v>18316.8</v>
      </c>
      <c r="BT15">
        <v>14</v>
      </c>
      <c r="BU15">
        <v>10684.8</v>
      </c>
      <c r="BV15">
        <v>25</v>
      </c>
      <c r="BW15">
        <v>19080</v>
      </c>
      <c r="BX15">
        <v>14</v>
      </c>
      <c r="BY15">
        <v>10684.8</v>
      </c>
      <c r="BZ15">
        <v>20</v>
      </c>
      <c r="CA15">
        <v>15263.999999999998</v>
      </c>
      <c r="CB15">
        <v>14</v>
      </c>
      <c r="CC15">
        <v>10684.8</v>
      </c>
      <c r="CD15">
        <v>19</v>
      </c>
      <c r="CE15">
        <v>14500.8</v>
      </c>
      <c r="CF15">
        <v>15</v>
      </c>
      <c r="CG15">
        <v>11447.999999999998</v>
      </c>
      <c r="CH15">
        <v>18</v>
      </c>
      <c r="CI15">
        <v>13737.599999999999</v>
      </c>
      <c r="CJ15">
        <v>17</v>
      </c>
      <c r="CK15">
        <v>12974.4</v>
      </c>
      <c r="CL15">
        <v>13</v>
      </c>
      <c r="CM15">
        <v>9921.5999999999985</v>
      </c>
      <c r="CN15">
        <v>20</v>
      </c>
      <c r="CO15">
        <v>15263.999999999998</v>
      </c>
      <c r="CP15">
        <v>28</v>
      </c>
      <c r="CQ15">
        <v>21369.599999999999</v>
      </c>
      <c r="CR15">
        <v>19</v>
      </c>
      <c r="CS15">
        <v>14500.8</v>
      </c>
      <c r="CT15">
        <v>24</v>
      </c>
      <c r="CU15">
        <v>18316.8</v>
      </c>
    </row>
    <row r="16" spans="1:99" x14ac:dyDescent="0.2">
      <c r="C16" s="116" t="s">
        <v>182</v>
      </c>
      <c r="D16">
        <v>0</v>
      </c>
      <c r="E16">
        <v>0</v>
      </c>
      <c r="F16">
        <v>21</v>
      </c>
      <c r="G16">
        <v>7156.8</v>
      </c>
      <c r="H16">
        <v>12.513136515459294</v>
      </c>
      <c r="I16">
        <v>4264.4769244685276</v>
      </c>
      <c r="J16">
        <v>24</v>
      </c>
      <c r="K16">
        <v>8179.2000000000007</v>
      </c>
      <c r="L16">
        <v>21</v>
      </c>
      <c r="M16">
        <v>7156.8</v>
      </c>
      <c r="N16">
        <v>23</v>
      </c>
      <c r="O16">
        <v>7838.4000000000005</v>
      </c>
      <c r="P16">
        <v>16</v>
      </c>
      <c r="Q16">
        <v>5452.8</v>
      </c>
      <c r="R16">
        <v>18</v>
      </c>
      <c r="S16">
        <v>6134.4000000000005</v>
      </c>
      <c r="T16">
        <v>15</v>
      </c>
      <c r="U16">
        <v>5112</v>
      </c>
      <c r="V16">
        <v>21</v>
      </c>
      <c r="W16">
        <v>7156.8</v>
      </c>
      <c r="X16">
        <v>22</v>
      </c>
      <c r="Y16">
        <v>7497.6</v>
      </c>
      <c r="Z16">
        <v>16</v>
      </c>
      <c r="AA16">
        <v>5452.8</v>
      </c>
      <c r="AB16">
        <v>14</v>
      </c>
      <c r="AC16">
        <v>4771.2</v>
      </c>
      <c r="AD16">
        <v>14</v>
      </c>
      <c r="AE16">
        <v>4771.2</v>
      </c>
      <c r="AF16">
        <v>18</v>
      </c>
      <c r="AG16">
        <v>6134.4000000000005</v>
      </c>
      <c r="AH16">
        <v>15</v>
      </c>
      <c r="AI16">
        <v>5112</v>
      </c>
      <c r="AJ16">
        <v>13</v>
      </c>
      <c r="AK16">
        <v>4430.4000000000005</v>
      </c>
      <c r="AL16">
        <v>13</v>
      </c>
      <c r="AM16">
        <v>4430.4000000000005</v>
      </c>
      <c r="AN16">
        <v>13</v>
      </c>
      <c r="AO16">
        <v>4430.4000000000005</v>
      </c>
      <c r="AP16">
        <v>22</v>
      </c>
      <c r="AQ16">
        <v>7497.6</v>
      </c>
      <c r="AR16">
        <v>13</v>
      </c>
      <c r="AS16">
        <v>4430.4000000000005</v>
      </c>
      <c r="AT16">
        <v>20</v>
      </c>
      <c r="AU16">
        <v>6816</v>
      </c>
      <c r="AV16">
        <v>14</v>
      </c>
      <c r="AW16">
        <v>4771.2</v>
      </c>
      <c r="AX16">
        <v>20</v>
      </c>
      <c r="AY16">
        <v>6816</v>
      </c>
      <c r="AZ16">
        <v>16</v>
      </c>
      <c r="BA16">
        <v>5452.8</v>
      </c>
      <c r="BB16">
        <v>19</v>
      </c>
      <c r="BC16">
        <v>6475.2</v>
      </c>
      <c r="BD16">
        <v>28</v>
      </c>
      <c r="BE16">
        <v>9542.4</v>
      </c>
      <c r="BF16">
        <v>16</v>
      </c>
      <c r="BG16">
        <v>5452.8</v>
      </c>
      <c r="BH16">
        <v>19</v>
      </c>
      <c r="BI16">
        <v>6475.2</v>
      </c>
      <c r="BJ16">
        <v>26</v>
      </c>
      <c r="BK16">
        <v>8860.8000000000011</v>
      </c>
      <c r="BL16">
        <v>22</v>
      </c>
      <c r="BM16">
        <v>7497.6</v>
      </c>
      <c r="BN16">
        <v>15</v>
      </c>
      <c r="BO16">
        <v>5112</v>
      </c>
      <c r="BP16">
        <v>23</v>
      </c>
      <c r="BQ16">
        <v>7838.4000000000005</v>
      </c>
      <c r="BR16">
        <v>26</v>
      </c>
      <c r="BS16">
        <v>8860.8000000000011</v>
      </c>
      <c r="BT16">
        <v>14</v>
      </c>
      <c r="BU16">
        <v>4771.2</v>
      </c>
      <c r="BV16">
        <v>27</v>
      </c>
      <c r="BW16">
        <v>9201.6</v>
      </c>
      <c r="BX16">
        <v>15</v>
      </c>
      <c r="BY16">
        <v>5112</v>
      </c>
      <c r="BZ16">
        <v>21</v>
      </c>
      <c r="CA16">
        <v>7156.8</v>
      </c>
      <c r="CB16">
        <v>15</v>
      </c>
      <c r="CC16">
        <v>5112</v>
      </c>
      <c r="CD16">
        <v>22</v>
      </c>
      <c r="CE16">
        <v>7497.6</v>
      </c>
      <c r="CF16">
        <v>16</v>
      </c>
      <c r="CG16">
        <v>5452.8</v>
      </c>
      <c r="CH16">
        <v>18</v>
      </c>
      <c r="CI16">
        <v>6134.4000000000005</v>
      </c>
      <c r="CJ16">
        <v>16</v>
      </c>
      <c r="CK16">
        <v>5452.8</v>
      </c>
      <c r="CL16">
        <v>16</v>
      </c>
      <c r="CM16">
        <v>5452.8</v>
      </c>
      <c r="CN16">
        <v>20</v>
      </c>
      <c r="CO16">
        <v>6816</v>
      </c>
      <c r="CP16">
        <v>29</v>
      </c>
      <c r="CQ16">
        <v>9883.2000000000007</v>
      </c>
      <c r="CR16">
        <v>17</v>
      </c>
      <c r="CS16">
        <v>5793.6</v>
      </c>
      <c r="CT16">
        <v>23</v>
      </c>
      <c r="CU16">
        <v>7838.4000000000005</v>
      </c>
    </row>
    <row r="17" spans="2:99" x14ac:dyDescent="0.2">
      <c r="C17" s="116" t="s">
        <v>183</v>
      </c>
      <c r="D17">
        <v>0</v>
      </c>
      <c r="E17">
        <v>0</v>
      </c>
      <c r="F17">
        <v>20</v>
      </c>
      <c r="G17">
        <v>8448</v>
      </c>
      <c r="H17">
        <v>13.475685478186932</v>
      </c>
      <c r="I17">
        <v>5692.1295459861594</v>
      </c>
      <c r="J17">
        <v>24</v>
      </c>
      <c r="K17">
        <v>10137.599999999999</v>
      </c>
      <c r="L17">
        <v>17</v>
      </c>
      <c r="M17">
        <v>7180.7999999999993</v>
      </c>
      <c r="N17">
        <v>22</v>
      </c>
      <c r="O17">
        <v>9292.7999999999993</v>
      </c>
      <c r="P17">
        <v>15</v>
      </c>
      <c r="Q17">
        <v>6336</v>
      </c>
      <c r="R17">
        <v>17</v>
      </c>
      <c r="S17">
        <v>7180.7999999999993</v>
      </c>
      <c r="T17">
        <v>14</v>
      </c>
      <c r="U17">
        <v>5913.5999999999995</v>
      </c>
      <c r="V17">
        <v>21</v>
      </c>
      <c r="W17">
        <v>8870.4</v>
      </c>
      <c r="X17">
        <v>22</v>
      </c>
      <c r="Y17">
        <v>9292.7999999999993</v>
      </c>
      <c r="Z17">
        <v>16</v>
      </c>
      <c r="AA17">
        <v>6758.4</v>
      </c>
      <c r="AB17">
        <v>15</v>
      </c>
      <c r="AC17">
        <v>6336</v>
      </c>
      <c r="AD17">
        <v>15</v>
      </c>
      <c r="AE17">
        <v>6336</v>
      </c>
      <c r="AF17">
        <v>18</v>
      </c>
      <c r="AG17">
        <v>7603.2</v>
      </c>
      <c r="AH17">
        <v>15</v>
      </c>
      <c r="AI17">
        <v>6336</v>
      </c>
      <c r="AJ17">
        <v>14</v>
      </c>
      <c r="AK17">
        <v>5913.5999999999995</v>
      </c>
      <c r="AL17">
        <v>12</v>
      </c>
      <c r="AM17">
        <v>5068.7999999999993</v>
      </c>
      <c r="AN17">
        <v>14</v>
      </c>
      <c r="AO17">
        <v>5913.5999999999995</v>
      </c>
      <c r="AP17">
        <v>21</v>
      </c>
      <c r="AQ17">
        <v>8870.4</v>
      </c>
      <c r="AR17">
        <v>13</v>
      </c>
      <c r="AS17">
        <v>5491.2</v>
      </c>
      <c r="AT17">
        <v>23</v>
      </c>
      <c r="AU17">
        <v>9715.1999999999989</v>
      </c>
      <c r="AV17">
        <v>17</v>
      </c>
      <c r="AW17">
        <v>7180.7999999999993</v>
      </c>
      <c r="AX17">
        <v>22</v>
      </c>
      <c r="AY17">
        <v>9292.7999999999993</v>
      </c>
      <c r="AZ17">
        <v>16</v>
      </c>
      <c r="BA17">
        <v>6758.4</v>
      </c>
      <c r="BB17">
        <v>17</v>
      </c>
      <c r="BC17">
        <v>7180.7999999999993</v>
      </c>
      <c r="BD17">
        <v>27</v>
      </c>
      <c r="BE17">
        <v>11404.8</v>
      </c>
      <c r="BF17">
        <v>15</v>
      </c>
      <c r="BG17">
        <v>6336</v>
      </c>
      <c r="BH17">
        <v>21</v>
      </c>
      <c r="BI17">
        <v>8870.4</v>
      </c>
      <c r="BJ17">
        <v>23</v>
      </c>
      <c r="BK17">
        <v>9715.1999999999989</v>
      </c>
      <c r="BL17">
        <v>23</v>
      </c>
      <c r="BM17">
        <v>9715.1999999999989</v>
      </c>
      <c r="BN17">
        <v>14</v>
      </c>
      <c r="BO17">
        <v>5913.5999999999995</v>
      </c>
      <c r="BP17">
        <v>25</v>
      </c>
      <c r="BQ17">
        <v>10560</v>
      </c>
      <c r="BR17">
        <v>26</v>
      </c>
      <c r="BS17">
        <v>10982.4</v>
      </c>
      <c r="BT17">
        <v>16</v>
      </c>
      <c r="BU17">
        <v>6758.4</v>
      </c>
      <c r="BV17">
        <v>24</v>
      </c>
      <c r="BW17">
        <v>10137.599999999999</v>
      </c>
      <c r="BX17">
        <v>16</v>
      </c>
      <c r="BY17">
        <v>6758.4</v>
      </c>
      <c r="BZ17">
        <v>22</v>
      </c>
      <c r="CA17">
        <v>9292.7999999999993</v>
      </c>
      <c r="CB17">
        <v>14</v>
      </c>
      <c r="CC17">
        <v>5913.5999999999995</v>
      </c>
      <c r="CD17">
        <v>20</v>
      </c>
      <c r="CE17">
        <v>8448</v>
      </c>
      <c r="CF17">
        <v>17</v>
      </c>
      <c r="CG17">
        <v>7180.7999999999993</v>
      </c>
      <c r="CH17">
        <v>19</v>
      </c>
      <c r="CI17">
        <v>8025.5999999999995</v>
      </c>
      <c r="CJ17">
        <v>16</v>
      </c>
      <c r="CK17">
        <v>6758.4</v>
      </c>
      <c r="CL17">
        <v>16</v>
      </c>
      <c r="CM17">
        <v>6758.4</v>
      </c>
      <c r="CN17">
        <v>20</v>
      </c>
      <c r="CO17">
        <v>8448</v>
      </c>
      <c r="CP17">
        <v>27</v>
      </c>
      <c r="CQ17">
        <v>11404.8</v>
      </c>
      <c r="CR17">
        <v>19</v>
      </c>
      <c r="CS17">
        <v>8025.5999999999995</v>
      </c>
      <c r="CT17">
        <v>24</v>
      </c>
      <c r="CU17">
        <v>10137.599999999999</v>
      </c>
    </row>
    <row r="18" spans="2:99" x14ac:dyDescent="0.2">
      <c r="C18" s="116" t="s">
        <v>184</v>
      </c>
      <c r="D18">
        <v>0</v>
      </c>
      <c r="E18">
        <v>0</v>
      </c>
      <c r="F18">
        <v>22</v>
      </c>
      <c r="G18">
        <v>14361.599999999999</v>
      </c>
      <c r="H18">
        <v>11.550587552731656</v>
      </c>
      <c r="I18">
        <v>7540.2235544232244</v>
      </c>
      <c r="J18">
        <v>20</v>
      </c>
      <c r="K18">
        <v>13056</v>
      </c>
      <c r="L18">
        <v>17</v>
      </c>
      <c r="M18">
        <v>11097.599999999999</v>
      </c>
      <c r="N18">
        <v>20</v>
      </c>
      <c r="O18">
        <v>13056</v>
      </c>
      <c r="P18">
        <v>17</v>
      </c>
      <c r="Q18">
        <v>11097.599999999999</v>
      </c>
      <c r="R18">
        <v>16</v>
      </c>
      <c r="S18">
        <v>10444.799999999999</v>
      </c>
      <c r="T18">
        <v>14</v>
      </c>
      <c r="U18">
        <v>9139.1999999999989</v>
      </c>
      <c r="V18">
        <v>20</v>
      </c>
      <c r="W18">
        <v>13056</v>
      </c>
      <c r="X18">
        <v>21</v>
      </c>
      <c r="Y18">
        <v>13708.8</v>
      </c>
      <c r="Z18">
        <v>18</v>
      </c>
      <c r="AA18">
        <v>11750.4</v>
      </c>
      <c r="AB18">
        <v>13</v>
      </c>
      <c r="AC18">
        <v>8486.4</v>
      </c>
      <c r="AD18">
        <v>12</v>
      </c>
      <c r="AE18">
        <v>7833.5999999999995</v>
      </c>
      <c r="AF18">
        <v>17</v>
      </c>
      <c r="AG18">
        <v>11097.599999999999</v>
      </c>
      <c r="AH18">
        <v>15</v>
      </c>
      <c r="AI18">
        <v>9792</v>
      </c>
      <c r="AJ18">
        <v>12</v>
      </c>
      <c r="AK18">
        <v>7833.5999999999995</v>
      </c>
      <c r="AL18">
        <v>11</v>
      </c>
      <c r="AM18">
        <v>7180.7999999999993</v>
      </c>
      <c r="AN18">
        <v>13</v>
      </c>
      <c r="AO18">
        <v>8486.4</v>
      </c>
      <c r="AP18">
        <v>21</v>
      </c>
      <c r="AQ18">
        <v>13708.8</v>
      </c>
      <c r="AR18">
        <v>13</v>
      </c>
      <c r="AS18">
        <v>8486.4</v>
      </c>
      <c r="AT18">
        <v>19</v>
      </c>
      <c r="AU18">
        <v>12403.199999999999</v>
      </c>
      <c r="AV18">
        <v>14</v>
      </c>
      <c r="AW18">
        <v>9139.1999999999989</v>
      </c>
      <c r="AX18">
        <v>19</v>
      </c>
      <c r="AY18">
        <v>12403.199999999999</v>
      </c>
      <c r="AZ18">
        <v>15</v>
      </c>
      <c r="BA18">
        <v>9792</v>
      </c>
      <c r="BB18">
        <v>17</v>
      </c>
      <c r="BC18">
        <v>11097.599999999999</v>
      </c>
      <c r="BD18">
        <v>27</v>
      </c>
      <c r="BE18">
        <v>17625.599999999999</v>
      </c>
      <c r="BF18">
        <v>15</v>
      </c>
      <c r="BG18">
        <v>9792</v>
      </c>
      <c r="BH18">
        <v>19</v>
      </c>
      <c r="BI18">
        <v>12403.199999999999</v>
      </c>
      <c r="BJ18">
        <v>26</v>
      </c>
      <c r="BK18">
        <v>16972.8</v>
      </c>
      <c r="BL18">
        <v>24</v>
      </c>
      <c r="BM18">
        <v>15667.199999999999</v>
      </c>
      <c r="BN18">
        <v>16</v>
      </c>
      <c r="BO18">
        <v>10444.799999999999</v>
      </c>
      <c r="BP18">
        <v>24</v>
      </c>
      <c r="BQ18">
        <v>15667.199999999999</v>
      </c>
      <c r="BR18">
        <v>23</v>
      </c>
      <c r="BS18">
        <v>15014.4</v>
      </c>
      <c r="BT18">
        <v>15</v>
      </c>
      <c r="BU18">
        <v>9792</v>
      </c>
      <c r="BV18">
        <v>23</v>
      </c>
      <c r="BW18">
        <v>15014.4</v>
      </c>
      <c r="BX18">
        <v>15</v>
      </c>
      <c r="BY18">
        <v>9792</v>
      </c>
      <c r="BZ18">
        <v>22</v>
      </c>
      <c r="CA18">
        <v>14361.599999999999</v>
      </c>
      <c r="CB18">
        <v>14</v>
      </c>
      <c r="CC18">
        <v>9139.1999999999989</v>
      </c>
      <c r="CD18">
        <v>21</v>
      </c>
      <c r="CE18">
        <v>13708.8</v>
      </c>
      <c r="CF18">
        <v>15</v>
      </c>
      <c r="CG18">
        <v>9792</v>
      </c>
      <c r="CH18">
        <v>19</v>
      </c>
      <c r="CI18">
        <v>12403.199999999999</v>
      </c>
      <c r="CJ18">
        <v>17</v>
      </c>
      <c r="CK18">
        <v>11097.599999999999</v>
      </c>
      <c r="CL18">
        <v>13</v>
      </c>
      <c r="CM18">
        <v>8486.4</v>
      </c>
      <c r="CN18">
        <v>19</v>
      </c>
      <c r="CO18">
        <v>12403.199999999999</v>
      </c>
      <c r="CP18">
        <v>26</v>
      </c>
      <c r="CQ18">
        <v>16972.8</v>
      </c>
      <c r="CR18">
        <v>17</v>
      </c>
      <c r="CS18">
        <v>11097.599999999999</v>
      </c>
      <c r="CT18">
        <v>24</v>
      </c>
      <c r="CU18">
        <v>15667.199999999999</v>
      </c>
    </row>
    <row r="19" spans="2:99" x14ac:dyDescent="0.2">
      <c r="C19" s="116" t="s">
        <v>185</v>
      </c>
      <c r="D19">
        <v>0</v>
      </c>
      <c r="E19">
        <v>0</v>
      </c>
      <c r="F19">
        <v>22</v>
      </c>
      <c r="G19">
        <v>7260</v>
      </c>
      <c r="H19">
        <v>13.475685478186932</v>
      </c>
      <c r="I19">
        <v>4446.9762078016875</v>
      </c>
      <c r="J19">
        <v>22</v>
      </c>
      <c r="K19">
        <v>7260</v>
      </c>
      <c r="L19">
        <v>19</v>
      </c>
      <c r="M19">
        <v>6270</v>
      </c>
      <c r="N19">
        <v>22</v>
      </c>
      <c r="O19">
        <v>7260</v>
      </c>
      <c r="P19">
        <v>17</v>
      </c>
      <c r="Q19">
        <v>5610</v>
      </c>
      <c r="R19">
        <v>18</v>
      </c>
      <c r="S19">
        <v>5940</v>
      </c>
      <c r="T19">
        <v>14</v>
      </c>
      <c r="U19">
        <v>4620</v>
      </c>
      <c r="V19">
        <v>19</v>
      </c>
      <c r="W19">
        <v>6270</v>
      </c>
      <c r="X19">
        <v>24</v>
      </c>
      <c r="Y19">
        <v>7920</v>
      </c>
      <c r="Z19">
        <v>17</v>
      </c>
      <c r="AA19">
        <v>5610</v>
      </c>
      <c r="AB19">
        <v>15</v>
      </c>
      <c r="AC19">
        <v>4950</v>
      </c>
      <c r="AD19">
        <v>14</v>
      </c>
      <c r="AE19">
        <v>4620</v>
      </c>
      <c r="AF19">
        <v>17</v>
      </c>
      <c r="AG19">
        <v>5610</v>
      </c>
      <c r="AH19">
        <v>16</v>
      </c>
      <c r="AI19">
        <v>5280</v>
      </c>
      <c r="AJ19">
        <v>13</v>
      </c>
      <c r="AK19">
        <v>4290</v>
      </c>
      <c r="AL19">
        <v>12</v>
      </c>
      <c r="AM19">
        <v>3960</v>
      </c>
      <c r="AN19">
        <v>15</v>
      </c>
      <c r="AO19">
        <v>4950</v>
      </c>
      <c r="AP19">
        <v>21</v>
      </c>
      <c r="AQ19">
        <v>6930</v>
      </c>
      <c r="AR19">
        <v>12</v>
      </c>
      <c r="AS19">
        <v>3960</v>
      </c>
      <c r="AT19">
        <v>19</v>
      </c>
      <c r="AU19">
        <v>6270</v>
      </c>
      <c r="AV19">
        <v>17</v>
      </c>
      <c r="AW19">
        <v>5610</v>
      </c>
      <c r="AX19">
        <v>20</v>
      </c>
      <c r="AY19">
        <v>6600</v>
      </c>
      <c r="AZ19">
        <v>18</v>
      </c>
      <c r="BA19">
        <v>5940</v>
      </c>
      <c r="BB19">
        <v>19</v>
      </c>
      <c r="BC19">
        <v>6270</v>
      </c>
      <c r="BD19">
        <v>26</v>
      </c>
      <c r="BE19">
        <v>8580</v>
      </c>
      <c r="BF19">
        <v>17</v>
      </c>
      <c r="BG19">
        <v>5610</v>
      </c>
      <c r="BH19">
        <v>21</v>
      </c>
      <c r="BI19">
        <v>6930</v>
      </c>
      <c r="BJ19">
        <v>26</v>
      </c>
      <c r="BK19">
        <v>8580</v>
      </c>
      <c r="BL19">
        <v>23</v>
      </c>
      <c r="BM19">
        <v>7590</v>
      </c>
      <c r="BN19">
        <v>17</v>
      </c>
      <c r="BO19">
        <v>5610</v>
      </c>
      <c r="BP19">
        <v>25</v>
      </c>
      <c r="BQ19">
        <v>8250</v>
      </c>
      <c r="BR19">
        <v>24</v>
      </c>
      <c r="BS19">
        <v>7920</v>
      </c>
      <c r="BT19">
        <v>14</v>
      </c>
      <c r="BU19">
        <v>4620</v>
      </c>
      <c r="BV19">
        <v>24</v>
      </c>
      <c r="BW19">
        <v>7920</v>
      </c>
      <c r="BX19">
        <v>14</v>
      </c>
      <c r="BY19">
        <v>4620</v>
      </c>
      <c r="BZ19">
        <v>24</v>
      </c>
      <c r="CA19">
        <v>7920</v>
      </c>
      <c r="CB19">
        <v>14</v>
      </c>
      <c r="CC19">
        <v>4620</v>
      </c>
      <c r="CD19">
        <v>21</v>
      </c>
      <c r="CE19">
        <v>6930</v>
      </c>
      <c r="CF19">
        <v>14</v>
      </c>
      <c r="CG19">
        <v>4620</v>
      </c>
      <c r="CH19">
        <v>19</v>
      </c>
      <c r="CI19">
        <v>6270</v>
      </c>
      <c r="CJ19">
        <v>16</v>
      </c>
      <c r="CK19">
        <v>5280</v>
      </c>
      <c r="CL19">
        <v>14</v>
      </c>
      <c r="CM19">
        <v>4620</v>
      </c>
      <c r="CN19">
        <v>20</v>
      </c>
      <c r="CO19">
        <v>6600</v>
      </c>
      <c r="CP19">
        <v>30</v>
      </c>
      <c r="CQ19">
        <v>9900</v>
      </c>
      <c r="CR19">
        <v>19</v>
      </c>
      <c r="CS19">
        <v>6270</v>
      </c>
      <c r="CT19">
        <v>27</v>
      </c>
      <c r="CU19">
        <v>8910</v>
      </c>
    </row>
    <row r="20" spans="2:99" x14ac:dyDescent="0.2">
      <c r="B20" s="116" t="s">
        <v>127</v>
      </c>
      <c r="C20" s="116" t="s">
        <v>186</v>
      </c>
      <c r="D20">
        <v>0</v>
      </c>
      <c r="E20">
        <v>0</v>
      </c>
      <c r="F20">
        <v>18</v>
      </c>
      <c r="G20">
        <v>5162.4000000000005</v>
      </c>
      <c r="H20">
        <v>30.801566807284416</v>
      </c>
      <c r="I20">
        <v>8833.8893603291708</v>
      </c>
      <c r="J20">
        <v>33</v>
      </c>
      <c r="K20">
        <v>9464.4</v>
      </c>
      <c r="L20">
        <v>28</v>
      </c>
      <c r="M20">
        <v>8030.4000000000005</v>
      </c>
      <c r="N20">
        <v>21</v>
      </c>
      <c r="O20">
        <v>6022.8</v>
      </c>
      <c r="P20">
        <v>34</v>
      </c>
      <c r="Q20">
        <v>9751.2000000000007</v>
      </c>
      <c r="R20">
        <v>19</v>
      </c>
      <c r="S20">
        <v>5449.2</v>
      </c>
      <c r="T20">
        <v>33</v>
      </c>
      <c r="U20">
        <v>9464.4</v>
      </c>
      <c r="V20">
        <v>36</v>
      </c>
      <c r="W20">
        <v>10324.800000000001</v>
      </c>
      <c r="X20">
        <v>20</v>
      </c>
      <c r="Y20">
        <v>5736</v>
      </c>
      <c r="Z20">
        <v>24</v>
      </c>
      <c r="AA20">
        <v>6883.2000000000007</v>
      </c>
      <c r="AB20">
        <v>28</v>
      </c>
      <c r="AC20">
        <v>8030.4000000000005</v>
      </c>
      <c r="AD20">
        <v>24</v>
      </c>
      <c r="AE20">
        <v>6883.2000000000007</v>
      </c>
      <c r="AF20">
        <v>30</v>
      </c>
      <c r="AG20">
        <v>8604</v>
      </c>
      <c r="AH20">
        <v>34</v>
      </c>
      <c r="AI20">
        <v>9751.2000000000007</v>
      </c>
      <c r="AJ20">
        <v>34</v>
      </c>
      <c r="AK20">
        <v>9751.2000000000007</v>
      </c>
      <c r="AL20">
        <v>34</v>
      </c>
      <c r="AM20">
        <v>9751.2000000000007</v>
      </c>
      <c r="AN20">
        <v>28</v>
      </c>
      <c r="AO20">
        <v>8030.4000000000005</v>
      </c>
      <c r="AP20">
        <v>28</v>
      </c>
      <c r="AQ20">
        <v>8030.4000000000005</v>
      </c>
      <c r="AR20">
        <v>31</v>
      </c>
      <c r="AS20">
        <v>8890.8000000000011</v>
      </c>
      <c r="AT20">
        <v>21</v>
      </c>
      <c r="AU20">
        <v>6022.8</v>
      </c>
      <c r="AV20">
        <v>36</v>
      </c>
      <c r="AW20">
        <v>10324.800000000001</v>
      </c>
      <c r="AX20">
        <v>24</v>
      </c>
      <c r="AY20">
        <v>6883.2000000000007</v>
      </c>
      <c r="AZ20">
        <v>30</v>
      </c>
      <c r="BA20">
        <v>8604</v>
      </c>
      <c r="BB20">
        <v>19</v>
      </c>
      <c r="BC20">
        <v>5449.2</v>
      </c>
      <c r="BD20">
        <v>24</v>
      </c>
      <c r="BE20">
        <v>6883.2000000000007</v>
      </c>
      <c r="BF20">
        <v>34</v>
      </c>
      <c r="BG20">
        <v>9751.2000000000007</v>
      </c>
      <c r="BH20">
        <v>28</v>
      </c>
      <c r="BI20">
        <v>8030.4000000000005</v>
      </c>
      <c r="BJ20">
        <v>30</v>
      </c>
      <c r="BK20">
        <v>8604</v>
      </c>
      <c r="BL20">
        <v>27</v>
      </c>
      <c r="BM20">
        <v>7743.6</v>
      </c>
      <c r="BN20">
        <v>33</v>
      </c>
      <c r="BO20">
        <v>9464.4</v>
      </c>
      <c r="BP20">
        <v>22</v>
      </c>
      <c r="BQ20">
        <v>6309.6</v>
      </c>
      <c r="BR20">
        <v>26</v>
      </c>
      <c r="BS20">
        <v>7456.8</v>
      </c>
      <c r="BT20">
        <v>19</v>
      </c>
      <c r="BU20">
        <v>5449.2</v>
      </c>
      <c r="BV20">
        <v>20</v>
      </c>
      <c r="BW20">
        <v>5736</v>
      </c>
      <c r="BX20">
        <v>21</v>
      </c>
      <c r="BY20">
        <v>6022.8</v>
      </c>
      <c r="BZ20">
        <v>29</v>
      </c>
      <c r="CA20">
        <v>8317.2000000000007</v>
      </c>
      <c r="CB20">
        <v>25</v>
      </c>
      <c r="CC20">
        <v>7170</v>
      </c>
      <c r="CD20">
        <v>40</v>
      </c>
      <c r="CE20">
        <v>11472</v>
      </c>
      <c r="CF20">
        <v>38</v>
      </c>
      <c r="CG20">
        <v>10898.4</v>
      </c>
      <c r="CH20">
        <v>21</v>
      </c>
      <c r="CI20">
        <v>6022.8</v>
      </c>
      <c r="CJ20">
        <v>25</v>
      </c>
      <c r="CK20">
        <v>7170</v>
      </c>
      <c r="CL20">
        <v>34</v>
      </c>
      <c r="CM20">
        <v>9751.2000000000007</v>
      </c>
      <c r="CN20">
        <v>40</v>
      </c>
      <c r="CO20">
        <v>11472</v>
      </c>
      <c r="CP20">
        <v>32</v>
      </c>
      <c r="CQ20">
        <v>9177.6</v>
      </c>
      <c r="CR20">
        <v>23</v>
      </c>
      <c r="CS20">
        <v>6596.4000000000005</v>
      </c>
      <c r="CT20">
        <v>28</v>
      </c>
      <c r="CU20">
        <v>8030.4000000000005</v>
      </c>
    </row>
    <row r="21" spans="2:99" x14ac:dyDescent="0.2">
      <c r="C21" s="116" t="s">
        <v>187</v>
      </c>
      <c r="D21">
        <v>0</v>
      </c>
      <c r="E21">
        <v>0</v>
      </c>
      <c r="F21">
        <v>19</v>
      </c>
      <c r="G21">
        <v>1185.5999999999999</v>
      </c>
      <c r="H21">
        <v>29.839017844556778</v>
      </c>
      <c r="I21">
        <v>1861.9547135003429</v>
      </c>
      <c r="J21">
        <v>33</v>
      </c>
      <c r="K21">
        <v>2059.1999999999998</v>
      </c>
      <c r="L21">
        <v>29</v>
      </c>
      <c r="M21">
        <v>1809.6</v>
      </c>
      <c r="N21">
        <v>21</v>
      </c>
      <c r="O21">
        <v>1310.3999999999999</v>
      </c>
      <c r="P21">
        <v>36</v>
      </c>
      <c r="Q21">
        <v>2246.4</v>
      </c>
      <c r="R21">
        <v>21</v>
      </c>
      <c r="S21">
        <v>1310.3999999999999</v>
      </c>
      <c r="T21">
        <v>35</v>
      </c>
      <c r="U21">
        <v>2184</v>
      </c>
      <c r="V21">
        <v>39</v>
      </c>
      <c r="W21">
        <v>2433.6</v>
      </c>
      <c r="X21">
        <v>20</v>
      </c>
      <c r="Y21">
        <v>1248</v>
      </c>
      <c r="Z21">
        <v>21</v>
      </c>
      <c r="AA21">
        <v>1310.3999999999999</v>
      </c>
      <c r="AB21">
        <v>27</v>
      </c>
      <c r="AC21">
        <v>1684.8</v>
      </c>
      <c r="AD21">
        <v>27</v>
      </c>
      <c r="AE21">
        <v>1684.8</v>
      </c>
      <c r="AF21">
        <v>31</v>
      </c>
      <c r="AG21">
        <v>1934.3999999999999</v>
      </c>
      <c r="AH21">
        <v>38</v>
      </c>
      <c r="AI21">
        <v>2371.1999999999998</v>
      </c>
      <c r="AJ21">
        <v>38</v>
      </c>
      <c r="AK21">
        <v>2371.1999999999998</v>
      </c>
      <c r="AL21">
        <v>39</v>
      </c>
      <c r="AM21">
        <v>2433.6</v>
      </c>
      <c r="AN21">
        <v>27</v>
      </c>
      <c r="AO21">
        <v>1684.8</v>
      </c>
      <c r="AP21">
        <v>29</v>
      </c>
      <c r="AQ21">
        <v>1809.6</v>
      </c>
      <c r="AR21">
        <v>35</v>
      </c>
      <c r="AS21">
        <v>2184</v>
      </c>
      <c r="AT21">
        <v>22</v>
      </c>
      <c r="AU21">
        <v>1372.8</v>
      </c>
      <c r="AV21">
        <v>31</v>
      </c>
      <c r="AW21">
        <v>1934.3999999999999</v>
      </c>
      <c r="AX21">
        <v>26</v>
      </c>
      <c r="AY21">
        <v>1622.3999999999999</v>
      </c>
      <c r="AZ21">
        <v>30</v>
      </c>
      <c r="BA21">
        <v>1872</v>
      </c>
      <c r="BB21">
        <v>23</v>
      </c>
      <c r="BC21">
        <v>1435.2</v>
      </c>
      <c r="BD21">
        <v>28</v>
      </c>
      <c r="BE21">
        <v>1747.2</v>
      </c>
      <c r="BF21">
        <v>36</v>
      </c>
      <c r="BG21">
        <v>2246.4</v>
      </c>
      <c r="BH21">
        <v>32</v>
      </c>
      <c r="BI21">
        <v>1996.8</v>
      </c>
      <c r="BJ21">
        <v>35</v>
      </c>
      <c r="BK21">
        <v>2184</v>
      </c>
      <c r="BL21">
        <v>30</v>
      </c>
      <c r="BM21">
        <v>1872</v>
      </c>
      <c r="BN21">
        <v>35</v>
      </c>
      <c r="BO21">
        <v>2184</v>
      </c>
      <c r="BP21">
        <v>23</v>
      </c>
      <c r="BQ21">
        <v>1435.2</v>
      </c>
      <c r="BR21">
        <v>27</v>
      </c>
      <c r="BS21">
        <v>1684.8</v>
      </c>
      <c r="BT21">
        <v>23</v>
      </c>
      <c r="BU21">
        <v>1435.2</v>
      </c>
      <c r="BV21">
        <v>25</v>
      </c>
      <c r="BW21">
        <v>1560</v>
      </c>
      <c r="BX21">
        <v>26</v>
      </c>
      <c r="BY21">
        <v>1622.3999999999999</v>
      </c>
      <c r="BZ21">
        <v>32</v>
      </c>
      <c r="CA21">
        <v>1996.8</v>
      </c>
      <c r="CB21">
        <v>25</v>
      </c>
      <c r="CC21">
        <v>1560</v>
      </c>
      <c r="CD21">
        <v>36</v>
      </c>
      <c r="CE21">
        <v>2246.4</v>
      </c>
      <c r="CF21">
        <v>36</v>
      </c>
      <c r="CG21">
        <v>2246.4</v>
      </c>
      <c r="CH21">
        <v>23</v>
      </c>
      <c r="CI21">
        <v>1435.2</v>
      </c>
      <c r="CJ21">
        <v>27</v>
      </c>
      <c r="CK21">
        <v>1684.8</v>
      </c>
      <c r="CL21">
        <v>31</v>
      </c>
      <c r="CM21">
        <v>1934.3999999999999</v>
      </c>
      <c r="CN21">
        <v>39</v>
      </c>
      <c r="CO21">
        <v>2433.6</v>
      </c>
      <c r="CP21">
        <v>33</v>
      </c>
      <c r="CQ21">
        <v>2059.1999999999998</v>
      </c>
      <c r="CR21">
        <v>22</v>
      </c>
      <c r="CS21">
        <v>1372.8</v>
      </c>
      <c r="CT21">
        <v>31</v>
      </c>
      <c r="CU21">
        <v>1934.3999999999999</v>
      </c>
    </row>
    <row r="22" spans="2:99" x14ac:dyDescent="0.2">
      <c r="C22" s="116" t="s">
        <v>188</v>
      </c>
      <c r="D22">
        <v>0</v>
      </c>
      <c r="E22">
        <v>0</v>
      </c>
      <c r="F22">
        <v>18</v>
      </c>
      <c r="G22">
        <v>3369.6</v>
      </c>
      <c r="H22">
        <v>30.801566807284416</v>
      </c>
      <c r="I22">
        <v>5766.0533063236426</v>
      </c>
      <c r="J22">
        <v>37</v>
      </c>
      <c r="K22">
        <v>6926.4</v>
      </c>
      <c r="L22">
        <v>33</v>
      </c>
      <c r="M22">
        <v>6177.5999999999995</v>
      </c>
      <c r="N22">
        <v>22</v>
      </c>
      <c r="O22">
        <v>4118.3999999999996</v>
      </c>
      <c r="P22">
        <v>32</v>
      </c>
      <c r="Q22">
        <v>5990.4</v>
      </c>
      <c r="R22">
        <v>21</v>
      </c>
      <c r="S22">
        <v>3931.2</v>
      </c>
      <c r="T22">
        <v>34</v>
      </c>
      <c r="U22">
        <v>6364.7999999999993</v>
      </c>
      <c r="V22">
        <v>37</v>
      </c>
      <c r="W22">
        <v>6926.4</v>
      </c>
      <c r="X22">
        <v>20</v>
      </c>
      <c r="Y22">
        <v>3744</v>
      </c>
      <c r="Z22">
        <v>23</v>
      </c>
      <c r="AA22">
        <v>4305.5999999999995</v>
      </c>
      <c r="AB22">
        <v>31</v>
      </c>
      <c r="AC22">
        <v>5803.2</v>
      </c>
      <c r="AD22">
        <v>24</v>
      </c>
      <c r="AE22">
        <v>4492.7999999999993</v>
      </c>
      <c r="AF22">
        <v>26</v>
      </c>
      <c r="AG22">
        <v>4867.2</v>
      </c>
      <c r="AH22">
        <v>37</v>
      </c>
      <c r="AI22">
        <v>6926.4</v>
      </c>
      <c r="AJ22">
        <v>34</v>
      </c>
      <c r="AK22">
        <v>6364.7999999999993</v>
      </c>
      <c r="AL22">
        <v>39</v>
      </c>
      <c r="AM22">
        <v>7300.7999999999993</v>
      </c>
      <c r="AN22">
        <v>29</v>
      </c>
      <c r="AO22">
        <v>5428.7999999999993</v>
      </c>
      <c r="AP22">
        <v>27</v>
      </c>
      <c r="AQ22">
        <v>5054.3999999999996</v>
      </c>
      <c r="AR22">
        <v>33</v>
      </c>
      <c r="AS22">
        <v>6177.5999999999995</v>
      </c>
      <c r="AT22">
        <v>21</v>
      </c>
      <c r="AU22">
        <v>3931.2</v>
      </c>
      <c r="AV22">
        <v>32</v>
      </c>
      <c r="AW22">
        <v>5990.4</v>
      </c>
      <c r="AX22">
        <v>25</v>
      </c>
      <c r="AY22">
        <v>4680</v>
      </c>
      <c r="AZ22">
        <v>28</v>
      </c>
      <c r="BA22">
        <v>5241.5999999999995</v>
      </c>
      <c r="BB22">
        <v>20</v>
      </c>
      <c r="BC22">
        <v>3744</v>
      </c>
      <c r="BD22">
        <v>26</v>
      </c>
      <c r="BE22">
        <v>4867.2</v>
      </c>
      <c r="BF22">
        <v>33</v>
      </c>
      <c r="BG22">
        <v>6177.5999999999995</v>
      </c>
      <c r="BH22">
        <v>33</v>
      </c>
      <c r="BI22">
        <v>6177.5999999999995</v>
      </c>
      <c r="BJ22">
        <v>36</v>
      </c>
      <c r="BK22">
        <v>6739.2</v>
      </c>
      <c r="BL22">
        <v>31</v>
      </c>
      <c r="BM22">
        <v>5803.2</v>
      </c>
      <c r="BN22">
        <v>37</v>
      </c>
      <c r="BO22">
        <v>6926.4</v>
      </c>
      <c r="BP22">
        <v>21</v>
      </c>
      <c r="BQ22">
        <v>3931.2</v>
      </c>
      <c r="BR22">
        <v>27</v>
      </c>
      <c r="BS22">
        <v>5054.3999999999996</v>
      </c>
      <c r="BT22">
        <v>20</v>
      </c>
      <c r="BU22">
        <v>3744</v>
      </c>
      <c r="BV22">
        <v>22</v>
      </c>
      <c r="BW22">
        <v>4118.3999999999996</v>
      </c>
      <c r="BX22">
        <v>23</v>
      </c>
      <c r="BY22">
        <v>4305.5999999999995</v>
      </c>
      <c r="BZ22">
        <v>32</v>
      </c>
      <c r="CA22">
        <v>5990.4</v>
      </c>
      <c r="CB22">
        <v>23</v>
      </c>
      <c r="CC22">
        <v>4305.5999999999995</v>
      </c>
      <c r="CD22">
        <v>35</v>
      </c>
      <c r="CE22">
        <v>6552</v>
      </c>
      <c r="CF22">
        <v>39</v>
      </c>
      <c r="CG22">
        <v>7300.7999999999993</v>
      </c>
      <c r="CH22">
        <v>22</v>
      </c>
      <c r="CI22">
        <v>4118.3999999999996</v>
      </c>
      <c r="CJ22">
        <v>27</v>
      </c>
      <c r="CK22">
        <v>5054.3999999999996</v>
      </c>
      <c r="CL22">
        <v>33</v>
      </c>
      <c r="CM22">
        <v>6177.5999999999995</v>
      </c>
      <c r="CN22">
        <v>42</v>
      </c>
      <c r="CO22">
        <v>7862.4</v>
      </c>
      <c r="CP22">
        <v>32</v>
      </c>
      <c r="CQ22">
        <v>5990.4</v>
      </c>
      <c r="CR22">
        <v>23</v>
      </c>
      <c r="CS22">
        <v>4305.5999999999995</v>
      </c>
      <c r="CT22">
        <v>29</v>
      </c>
      <c r="CU22">
        <v>5428.7999999999993</v>
      </c>
    </row>
    <row r="23" spans="2:99" x14ac:dyDescent="0.2">
      <c r="C23" s="116" t="s">
        <v>189</v>
      </c>
      <c r="D23">
        <v>0</v>
      </c>
      <c r="E23">
        <v>0</v>
      </c>
      <c r="F23">
        <v>19</v>
      </c>
      <c r="G23">
        <v>5586</v>
      </c>
      <c r="H23">
        <v>29.839017844556778</v>
      </c>
      <c r="I23">
        <v>8772.6712462996929</v>
      </c>
      <c r="J23">
        <v>30</v>
      </c>
      <c r="K23">
        <v>8820</v>
      </c>
      <c r="L23">
        <v>27</v>
      </c>
      <c r="M23">
        <v>7938</v>
      </c>
      <c r="N23">
        <v>19</v>
      </c>
      <c r="O23">
        <v>5586</v>
      </c>
      <c r="P23">
        <v>37</v>
      </c>
      <c r="Q23">
        <v>10878</v>
      </c>
      <c r="R23">
        <v>19</v>
      </c>
      <c r="S23">
        <v>5586</v>
      </c>
      <c r="T23">
        <v>32</v>
      </c>
      <c r="U23">
        <v>9408</v>
      </c>
      <c r="V23">
        <v>34</v>
      </c>
      <c r="W23">
        <v>9996</v>
      </c>
      <c r="X23">
        <v>21</v>
      </c>
      <c r="Y23">
        <v>6174</v>
      </c>
      <c r="Z23">
        <v>22</v>
      </c>
      <c r="AA23">
        <v>6468</v>
      </c>
      <c r="AB23">
        <v>30</v>
      </c>
      <c r="AC23">
        <v>8820</v>
      </c>
      <c r="AD23">
        <v>26</v>
      </c>
      <c r="AE23">
        <v>7644</v>
      </c>
      <c r="AF23">
        <v>29</v>
      </c>
      <c r="AG23">
        <v>8526</v>
      </c>
      <c r="AH23">
        <v>33</v>
      </c>
      <c r="AI23">
        <v>9702</v>
      </c>
      <c r="AJ23">
        <v>32</v>
      </c>
      <c r="AK23">
        <v>9408</v>
      </c>
      <c r="AL23">
        <v>37</v>
      </c>
      <c r="AM23">
        <v>10878</v>
      </c>
      <c r="AN23">
        <v>27</v>
      </c>
      <c r="AO23">
        <v>7938</v>
      </c>
      <c r="AP23">
        <v>26</v>
      </c>
      <c r="AQ23">
        <v>7644</v>
      </c>
      <c r="AR23">
        <v>36</v>
      </c>
      <c r="AS23">
        <v>10584</v>
      </c>
      <c r="AT23">
        <v>19</v>
      </c>
      <c r="AU23">
        <v>5586</v>
      </c>
      <c r="AV23">
        <v>32</v>
      </c>
      <c r="AW23">
        <v>9408</v>
      </c>
      <c r="AX23">
        <v>28</v>
      </c>
      <c r="AY23">
        <v>8232</v>
      </c>
      <c r="AZ23">
        <v>32</v>
      </c>
      <c r="BA23">
        <v>9408</v>
      </c>
      <c r="BB23">
        <v>20</v>
      </c>
      <c r="BC23">
        <v>5880</v>
      </c>
      <c r="BD23">
        <v>23</v>
      </c>
      <c r="BE23">
        <v>6762</v>
      </c>
      <c r="BF23">
        <v>35</v>
      </c>
      <c r="BG23">
        <v>10290</v>
      </c>
      <c r="BH23">
        <v>33</v>
      </c>
      <c r="BI23">
        <v>9702</v>
      </c>
      <c r="BJ23">
        <v>36</v>
      </c>
      <c r="BK23">
        <v>10584</v>
      </c>
      <c r="BL23">
        <v>32</v>
      </c>
      <c r="BM23">
        <v>9408</v>
      </c>
      <c r="BN23">
        <v>34</v>
      </c>
      <c r="BO23">
        <v>9996</v>
      </c>
      <c r="BP23">
        <v>19</v>
      </c>
      <c r="BQ23">
        <v>5586</v>
      </c>
      <c r="BR23">
        <v>27</v>
      </c>
      <c r="BS23">
        <v>7938</v>
      </c>
      <c r="BT23">
        <v>22</v>
      </c>
      <c r="BU23">
        <v>6468</v>
      </c>
      <c r="BV23">
        <v>24</v>
      </c>
      <c r="BW23">
        <v>7056</v>
      </c>
      <c r="BX23">
        <v>23</v>
      </c>
      <c r="BY23">
        <v>6762</v>
      </c>
      <c r="BZ23">
        <v>31</v>
      </c>
      <c r="CA23">
        <v>9114</v>
      </c>
      <c r="CB23">
        <v>23</v>
      </c>
      <c r="CC23">
        <v>6762</v>
      </c>
      <c r="CD23">
        <v>41</v>
      </c>
      <c r="CE23">
        <v>12054</v>
      </c>
      <c r="CF23">
        <v>39</v>
      </c>
      <c r="CG23">
        <v>11466</v>
      </c>
      <c r="CH23">
        <v>21</v>
      </c>
      <c r="CI23">
        <v>6174</v>
      </c>
      <c r="CJ23">
        <v>27</v>
      </c>
      <c r="CK23">
        <v>7938</v>
      </c>
      <c r="CL23">
        <v>31</v>
      </c>
      <c r="CM23">
        <v>9114</v>
      </c>
      <c r="CN23">
        <v>42</v>
      </c>
      <c r="CO23">
        <v>12348</v>
      </c>
      <c r="CP23">
        <v>32</v>
      </c>
      <c r="CQ23">
        <v>9408</v>
      </c>
      <c r="CR23">
        <v>24</v>
      </c>
      <c r="CS23">
        <v>7056</v>
      </c>
      <c r="CT23">
        <v>30</v>
      </c>
      <c r="CU23">
        <v>8820</v>
      </c>
    </row>
    <row r="24" spans="2:99" x14ac:dyDescent="0.2">
      <c r="C24" s="116" t="s">
        <v>190</v>
      </c>
      <c r="D24">
        <v>0</v>
      </c>
      <c r="E24">
        <v>0</v>
      </c>
      <c r="F24">
        <v>18</v>
      </c>
      <c r="G24">
        <v>6609.5999999999995</v>
      </c>
      <c r="H24">
        <v>27.913919919101502</v>
      </c>
      <c r="I24">
        <v>10249.991394294071</v>
      </c>
      <c r="J24">
        <v>34</v>
      </c>
      <c r="K24">
        <v>12484.8</v>
      </c>
      <c r="L24">
        <v>32</v>
      </c>
      <c r="M24">
        <v>11750.4</v>
      </c>
      <c r="N24">
        <v>20</v>
      </c>
      <c r="O24">
        <v>7344</v>
      </c>
      <c r="P24">
        <v>31</v>
      </c>
      <c r="Q24">
        <v>11383.199999999999</v>
      </c>
      <c r="R24">
        <v>19</v>
      </c>
      <c r="S24">
        <v>6976.8</v>
      </c>
      <c r="T24">
        <v>31</v>
      </c>
      <c r="U24">
        <v>11383.199999999999</v>
      </c>
      <c r="V24">
        <v>34</v>
      </c>
      <c r="W24">
        <v>12484.8</v>
      </c>
      <c r="X24">
        <v>21</v>
      </c>
      <c r="Y24">
        <v>7711.2</v>
      </c>
      <c r="Z24">
        <v>22</v>
      </c>
      <c r="AA24">
        <v>8078.4</v>
      </c>
      <c r="AB24">
        <v>29</v>
      </c>
      <c r="AC24">
        <v>10648.8</v>
      </c>
      <c r="AD24">
        <v>23</v>
      </c>
      <c r="AE24">
        <v>8445.6</v>
      </c>
      <c r="AF24">
        <v>29</v>
      </c>
      <c r="AG24">
        <v>10648.8</v>
      </c>
      <c r="AH24">
        <v>37</v>
      </c>
      <c r="AI24">
        <v>13586.4</v>
      </c>
      <c r="AJ24">
        <v>32</v>
      </c>
      <c r="AK24">
        <v>11750.4</v>
      </c>
      <c r="AL24">
        <v>37</v>
      </c>
      <c r="AM24">
        <v>13586.4</v>
      </c>
      <c r="AN24">
        <v>30</v>
      </c>
      <c r="AO24">
        <v>11016</v>
      </c>
      <c r="AP24">
        <v>26</v>
      </c>
      <c r="AQ24">
        <v>9547.1999999999989</v>
      </c>
      <c r="AR24">
        <v>30</v>
      </c>
      <c r="AS24">
        <v>11016</v>
      </c>
      <c r="AT24">
        <v>20</v>
      </c>
      <c r="AU24">
        <v>7344</v>
      </c>
      <c r="AV24">
        <v>33</v>
      </c>
      <c r="AW24">
        <v>12117.6</v>
      </c>
      <c r="AX24">
        <v>28</v>
      </c>
      <c r="AY24">
        <v>10281.6</v>
      </c>
      <c r="AZ24">
        <v>28</v>
      </c>
      <c r="BA24">
        <v>10281.6</v>
      </c>
      <c r="BB24">
        <v>20</v>
      </c>
      <c r="BC24">
        <v>7344</v>
      </c>
      <c r="BD24">
        <v>25</v>
      </c>
      <c r="BE24">
        <v>9180</v>
      </c>
      <c r="BF24">
        <v>32</v>
      </c>
      <c r="BG24">
        <v>11750.4</v>
      </c>
      <c r="BH24">
        <v>27</v>
      </c>
      <c r="BI24">
        <v>9914.4</v>
      </c>
      <c r="BJ24">
        <v>34</v>
      </c>
      <c r="BK24">
        <v>12484.8</v>
      </c>
      <c r="BL24">
        <v>27</v>
      </c>
      <c r="BM24">
        <v>9914.4</v>
      </c>
      <c r="BN24">
        <v>36</v>
      </c>
      <c r="BO24">
        <v>13219.199999999999</v>
      </c>
      <c r="BP24">
        <v>19</v>
      </c>
      <c r="BQ24">
        <v>6976.8</v>
      </c>
      <c r="BR24">
        <v>29</v>
      </c>
      <c r="BS24">
        <v>10648.8</v>
      </c>
      <c r="BT24">
        <v>21</v>
      </c>
      <c r="BU24">
        <v>7711.2</v>
      </c>
      <c r="BV24">
        <v>22</v>
      </c>
      <c r="BW24">
        <v>8078.4</v>
      </c>
      <c r="BX24">
        <v>25</v>
      </c>
      <c r="BY24">
        <v>9180</v>
      </c>
      <c r="BZ24">
        <v>29</v>
      </c>
      <c r="CA24">
        <v>10648.8</v>
      </c>
      <c r="CB24">
        <v>24</v>
      </c>
      <c r="CC24">
        <v>8812.7999999999993</v>
      </c>
      <c r="CD24">
        <v>38</v>
      </c>
      <c r="CE24">
        <v>13953.6</v>
      </c>
      <c r="CF24">
        <v>36</v>
      </c>
      <c r="CG24">
        <v>13219.199999999999</v>
      </c>
      <c r="CH24">
        <v>20</v>
      </c>
      <c r="CI24">
        <v>7344</v>
      </c>
      <c r="CJ24">
        <v>29</v>
      </c>
      <c r="CK24">
        <v>10648.8</v>
      </c>
      <c r="CL24">
        <v>32</v>
      </c>
      <c r="CM24">
        <v>11750.4</v>
      </c>
      <c r="CN24">
        <v>41</v>
      </c>
      <c r="CO24">
        <v>15055.199999999999</v>
      </c>
      <c r="CP24">
        <v>29</v>
      </c>
      <c r="CQ24">
        <v>10648.8</v>
      </c>
      <c r="CR24">
        <v>21</v>
      </c>
      <c r="CS24">
        <v>7711.2</v>
      </c>
      <c r="CT24">
        <v>30</v>
      </c>
      <c r="CU24">
        <v>11016</v>
      </c>
    </row>
    <row r="25" spans="2:99" x14ac:dyDescent="0.2">
      <c r="C25" s="116" t="s">
        <v>191</v>
      </c>
      <c r="D25">
        <v>0</v>
      </c>
      <c r="E25">
        <v>0</v>
      </c>
      <c r="F25">
        <v>19</v>
      </c>
      <c r="G25">
        <v>10077.6</v>
      </c>
      <c r="H25">
        <v>30.801566807284416</v>
      </c>
      <c r="I25">
        <v>16337.151034583654</v>
      </c>
      <c r="J25">
        <v>36</v>
      </c>
      <c r="K25">
        <v>19094.399999999998</v>
      </c>
      <c r="L25">
        <v>29</v>
      </c>
      <c r="M25">
        <v>15381.599999999999</v>
      </c>
      <c r="N25">
        <v>18</v>
      </c>
      <c r="O25">
        <v>9547.1999999999989</v>
      </c>
      <c r="P25">
        <v>32</v>
      </c>
      <c r="Q25">
        <v>16972.8</v>
      </c>
      <c r="R25">
        <v>19</v>
      </c>
      <c r="S25">
        <v>10077.6</v>
      </c>
      <c r="T25">
        <v>33</v>
      </c>
      <c r="U25">
        <v>17503.2</v>
      </c>
      <c r="V25">
        <v>33</v>
      </c>
      <c r="W25">
        <v>17503.2</v>
      </c>
      <c r="X25">
        <v>23</v>
      </c>
      <c r="Y25">
        <v>12199.199999999999</v>
      </c>
      <c r="Z25">
        <v>19</v>
      </c>
      <c r="AA25">
        <v>10077.6</v>
      </c>
      <c r="AB25">
        <v>30</v>
      </c>
      <c r="AC25">
        <v>15912</v>
      </c>
      <c r="AD25">
        <v>25</v>
      </c>
      <c r="AE25">
        <v>13260</v>
      </c>
      <c r="AF25">
        <v>27</v>
      </c>
      <c r="AG25">
        <v>14320.8</v>
      </c>
      <c r="AH25">
        <v>34</v>
      </c>
      <c r="AI25">
        <v>18033.599999999999</v>
      </c>
      <c r="AJ25">
        <v>30</v>
      </c>
      <c r="AK25">
        <v>15912</v>
      </c>
      <c r="AL25">
        <v>31</v>
      </c>
      <c r="AM25">
        <v>16442.399999999998</v>
      </c>
      <c r="AN25">
        <v>27</v>
      </c>
      <c r="AO25">
        <v>14320.8</v>
      </c>
      <c r="AP25">
        <v>25</v>
      </c>
      <c r="AQ25">
        <v>13260</v>
      </c>
      <c r="AR25">
        <v>32</v>
      </c>
      <c r="AS25">
        <v>16972.8</v>
      </c>
      <c r="AT25">
        <v>21</v>
      </c>
      <c r="AU25">
        <v>11138.4</v>
      </c>
      <c r="AV25">
        <v>33</v>
      </c>
      <c r="AW25">
        <v>17503.2</v>
      </c>
      <c r="AX25">
        <v>23</v>
      </c>
      <c r="AY25">
        <v>12199.199999999999</v>
      </c>
      <c r="AZ25">
        <v>28</v>
      </c>
      <c r="BA25">
        <v>14851.199999999999</v>
      </c>
      <c r="BB25">
        <v>19</v>
      </c>
      <c r="BC25">
        <v>10077.6</v>
      </c>
      <c r="BD25">
        <v>23</v>
      </c>
      <c r="BE25">
        <v>12199.199999999999</v>
      </c>
      <c r="BF25">
        <v>31</v>
      </c>
      <c r="BG25">
        <v>16442.399999999998</v>
      </c>
      <c r="BH25">
        <v>29</v>
      </c>
      <c r="BI25">
        <v>15381.599999999999</v>
      </c>
      <c r="BJ25">
        <v>34</v>
      </c>
      <c r="BK25">
        <v>18033.599999999999</v>
      </c>
      <c r="BL25">
        <v>29</v>
      </c>
      <c r="BM25">
        <v>15381.599999999999</v>
      </c>
      <c r="BN25">
        <v>29</v>
      </c>
      <c r="BO25">
        <v>15381.599999999999</v>
      </c>
      <c r="BP25">
        <v>21</v>
      </c>
      <c r="BQ25">
        <v>11138.4</v>
      </c>
      <c r="BR25">
        <v>29</v>
      </c>
      <c r="BS25">
        <v>15381.599999999999</v>
      </c>
      <c r="BT25">
        <v>18</v>
      </c>
      <c r="BU25">
        <v>9547.1999999999989</v>
      </c>
      <c r="BV25">
        <v>22</v>
      </c>
      <c r="BW25">
        <v>11668.8</v>
      </c>
      <c r="BX25">
        <v>23</v>
      </c>
      <c r="BY25">
        <v>12199.199999999999</v>
      </c>
      <c r="BZ25">
        <v>32</v>
      </c>
      <c r="CA25">
        <v>16972.8</v>
      </c>
      <c r="CB25">
        <v>20</v>
      </c>
      <c r="CC25">
        <v>10608</v>
      </c>
      <c r="CD25">
        <v>35</v>
      </c>
      <c r="CE25">
        <v>18564</v>
      </c>
      <c r="CF25">
        <v>39</v>
      </c>
      <c r="CG25">
        <v>20685.599999999999</v>
      </c>
      <c r="CH25">
        <v>19</v>
      </c>
      <c r="CI25">
        <v>10077.6</v>
      </c>
      <c r="CJ25">
        <v>24</v>
      </c>
      <c r="CK25">
        <v>12729.599999999999</v>
      </c>
      <c r="CL25">
        <v>29</v>
      </c>
      <c r="CM25">
        <v>15381.599999999999</v>
      </c>
      <c r="CN25">
        <v>39</v>
      </c>
      <c r="CO25">
        <v>20685.599999999999</v>
      </c>
      <c r="CP25">
        <v>28</v>
      </c>
      <c r="CQ25">
        <v>14851.199999999999</v>
      </c>
      <c r="CR25">
        <v>20</v>
      </c>
      <c r="CS25">
        <v>10608</v>
      </c>
      <c r="CT25">
        <v>28</v>
      </c>
      <c r="CU25">
        <v>14851.199999999999</v>
      </c>
    </row>
    <row r="26" spans="2:99" x14ac:dyDescent="0.2">
      <c r="C26" s="116" t="s">
        <v>192</v>
      </c>
      <c r="D26">
        <v>0</v>
      </c>
      <c r="E26">
        <v>0</v>
      </c>
      <c r="F26">
        <v>19</v>
      </c>
      <c r="G26">
        <v>9234</v>
      </c>
      <c r="H26">
        <v>25.988821993646226</v>
      </c>
      <c r="I26">
        <v>12630.567488912066</v>
      </c>
      <c r="J26">
        <v>31</v>
      </c>
      <c r="K26">
        <v>15066</v>
      </c>
      <c r="L26">
        <v>31</v>
      </c>
      <c r="M26">
        <v>15066</v>
      </c>
      <c r="N26">
        <v>18</v>
      </c>
      <c r="O26">
        <v>8748</v>
      </c>
      <c r="P26">
        <v>34</v>
      </c>
      <c r="Q26">
        <v>16524</v>
      </c>
      <c r="R26">
        <v>20</v>
      </c>
      <c r="S26">
        <v>9720</v>
      </c>
      <c r="T26">
        <v>35</v>
      </c>
      <c r="U26">
        <v>17010</v>
      </c>
      <c r="V26">
        <v>35</v>
      </c>
      <c r="W26">
        <v>17010</v>
      </c>
      <c r="X26">
        <v>19</v>
      </c>
      <c r="Y26">
        <v>9234</v>
      </c>
      <c r="Z26">
        <v>22</v>
      </c>
      <c r="AA26">
        <v>10692</v>
      </c>
      <c r="AB26">
        <v>29</v>
      </c>
      <c r="AC26">
        <v>14094</v>
      </c>
      <c r="AD26">
        <v>24</v>
      </c>
      <c r="AE26">
        <v>11664</v>
      </c>
      <c r="AF26">
        <v>27</v>
      </c>
      <c r="AG26">
        <v>13122</v>
      </c>
      <c r="AH26">
        <v>37</v>
      </c>
      <c r="AI26">
        <v>17982</v>
      </c>
      <c r="AJ26">
        <v>35</v>
      </c>
      <c r="AK26">
        <v>17010</v>
      </c>
      <c r="AL26">
        <v>31</v>
      </c>
      <c r="AM26">
        <v>15066</v>
      </c>
      <c r="AN26">
        <v>28</v>
      </c>
      <c r="AO26">
        <v>13608</v>
      </c>
      <c r="AP26">
        <v>28</v>
      </c>
      <c r="AQ26">
        <v>13608</v>
      </c>
      <c r="AR26">
        <v>32</v>
      </c>
      <c r="AS26">
        <v>15552</v>
      </c>
      <c r="AT26">
        <v>21</v>
      </c>
      <c r="AU26">
        <v>10206</v>
      </c>
      <c r="AV26">
        <v>32</v>
      </c>
      <c r="AW26">
        <v>15552</v>
      </c>
      <c r="AX26">
        <v>25</v>
      </c>
      <c r="AY26">
        <v>12150</v>
      </c>
      <c r="AZ26">
        <v>29</v>
      </c>
      <c r="BA26">
        <v>14094</v>
      </c>
      <c r="BB26">
        <v>21</v>
      </c>
      <c r="BC26">
        <v>10206</v>
      </c>
      <c r="BD26">
        <v>26</v>
      </c>
      <c r="BE26">
        <v>12636</v>
      </c>
      <c r="BF26">
        <v>35</v>
      </c>
      <c r="BG26">
        <v>17010</v>
      </c>
      <c r="BH26">
        <v>27</v>
      </c>
      <c r="BI26">
        <v>13122</v>
      </c>
      <c r="BJ26">
        <v>31</v>
      </c>
      <c r="BK26">
        <v>15066</v>
      </c>
      <c r="BL26">
        <v>32</v>
      </c>
      <c r="BM26">
        <v>15552</v>
      </c>
      <c r="BN26">
        <v>34</v>
      </c>
      <c r="BO26">
        <v>16524</v>
      </c>
      <c r="BP26">
        <v>20</v>
      </c>
      <c r="BQ26">
        <v>9720</v>
      </c>
      <c r="BR26">
        <v>29</v>
      </c>
      <c r="BS26">
        <v>14094</v>
      </c>
      <c r="BT26">
        <v>21</v>
      </c>
      <c r="BU26">
        <v>10206</v>
      </c>
      <c r="BV26">
        <v>22</v>
      </c>
      <c r="BW26">
        <v>10692</v>
      </c>
      <c r="BX26">
        <v>23</v>
      </c>
      <c r="BY26">
        <v>11178</v>
      </c>
      <c r="BZ26">
        <v>28</v>
      </c>
      <c r="CA26">
        <v>13608</v>
      </c>
      <c r="CB26">
        <v>23</v>
      </c>
      <c r="CC26">
        <v>11178</v>
      </c>
      <c r="CD26">
        <v>36</v>
      </c>
      <c r="CE26">
        <v>17496</v>
      </c>
      <c r="CF26">
        <v>37</v>
      </c>
      <c r="CG26">
        <v>17982</v>
      </c>
      <c r="CH26">
        <v>20</v>
      </c>
      <c r="CI26">
        <v>9720</v>
      </c>
      <c r="CJ26">
        <v>26</v>
      </c>
      <c r="CK26">
        <v>12636</v>
      </c>
      <c r="CL26">
        <v>32</v>
      </c>
      <c r="CM26">
        <v>15552</v>
      </c>
      <c r="CN26">
        <v>39</v>
      </c>
      <c r="CO26">
        <v>18954</v>
      </c>
      <c r="CP26">
        <v>31</v>
      </c>
      <c r="CQ26">
        <v>15066</v>
      </c>
      <c r="CR26">
        <v>21</v>
      </c>
      <c r="CS26">
        <v>10206</v>
      </c>
      <c r="CT26">
        <v>28</v>
      </c>
      <c r="CU26">
        <v>13608</v>
      </c>
    </row>
    <row r="27" spans="2:99" x14ac:dyDescent="0.2">
      <c r="C27" s="116" t="s">
        <v>193</v>
      </c>
      <c r="D27">
        <v>0</v>
      </c>
      <c r="E27">
        <v>0</v>
      </c>
      <c r="F27">
        <v>17</v>
      </c>
      <c r="G27">
        <v>7262.4</v>
      </c>
      <c r="H27">
        <v>30.801566807284416</v>
      </c>
      <c r="I27">
        <v>13158.429340071902</v>
      </c>
      <c r="J27">
        <v>34</v>
      </c>
      <c r="K27">
        <v>14524.8</v>
      </c>
      <c r="L27">
        <v>29</v>
      </c>
      <c r="M27">
        <v>12388.8</v>
      </c>
      <c r="N27">
        <v>19</v>
      </c>
      <c r="O27">
        <v>8116.8</v>
      </c>
      <c r="P27">
        <v>34</v>
      </c>
      <c r="Q27">
        <v>14524.8</v>
      </c>
      <c r="R27">
        <v>21</v>
      </c>
      <c r="S27">
        <v>8971.1999999999989</v>
      </c>
      <c r="T27">
        <v>33</v>
      </c>
      <c r="U27">
        <v>14097.6</v>
      </c>
      <c r="V27">
        <v>35</v>
      </c>
      <c r="W27">
        <v>14952</v>
      </c>
      <c r="X27">
        <v>23</v>
      </c>
      <c r="Y27">
        <v>9825.6</v>
      </c>
      <c r="Z27">
        <v>20</v>
      </c>
      <c r="AA27">
        <v>8544</v>
      </c>
      <c r="AB27">
        <v>30</v>
      </c>
      <c r="AC27">
        <v>12816</v>
      </c>
      <c r="AD27">
        <v>26</v>
      </c>
      <c r="AE27">
        <v>11107.199999999999</v>
      </c>
      <c r="AF27">
        <v>25</v>
      </c>
      <c r="AG27">
        <v>10680</v>
      </c>
      <c r="AH27">
        <v>39</v>
      </c>
      <c r="AI27">
        <v>16660.8</v>
      </c>
      <c r="AJ27">
        <v>37</v>
      </c>
      <c r="AK27">
        <v>15806.4</v>
      </c>
      <c r="AL27">
        <v>34</v>
      </c>
      <c r="AM27">
        <v>14524.8</v>
      </c>
      <c r="AN27">
        <v>27</v>
      </c>
      <c r="AO27">
        <v>11534.4</v>
      </c>
      <c r="AP27">
        <v>29</v>
      </c>
      <c r="AQ27">
        <v>12388.8</v>
      </c>
      <c r="AR27">
        <v>31</v>
      </c>
      <c r="AS27">
        <v>13243.199999999999</v>
      </c>
      <c r="AT27">
        <v>20</v>
      </c>
      <c r="AU27">
        <v>8544</v>
      </c>
      <c r="AV27">
        <v>33</v>
      </c>
      <c r="AW27">
        <v>14097.6</v>
      </c>
      <c r="AX27">
        <v>25</v>
      </c>
      <c r="AY27">
        <v>10680</v>
      </c>
      <c r="AZ27">
        <v>30</v>
      </c>
      <c r="BA27">
        <v>12816</v>
      </c>
      <c r="BB27">
        <v>20</v>
      </c>
      <c r="BC27">
        <v>8544</v>
      </c>
      <c r="BD27">
        <v>26</v>
      </c>
      <c r="BE27">
        <v>11107.199999999999</v>
      </c>
      <c r="BF27">
        <v>34</v>
      </c>
      <c r="BG27">
        <v>14524.8</v>
      </c>
      <c r="BH27">
        <v>27</v>
      </c>
      <c r="BI27">
        <v>11534.4</v>
      </c>
      <c r="BJ27">
        <v>31</v>
      </c>
      <c r="BK27">
        <v>13243.199999999999</v>
      </c>
      <c r="BL27">
        <v>29</v>
      </c>
      <c r="BM27">
        <v>12388.8</v>
      </c>
      <c r="BN27">
        <v>35</v>
      </c>
      <c r="BO27">
        <v>14952</v>
      </c>
      <c r="BP27">
        <v>22</v>
      </c>
      <c r="BQ27">
        <v>9398.4</v>
      </c>
      <c r="BR27">
        <v>25</v>
      </c>
      <c r="BS27">
        <v>10680</v>
      </c>
      <c r="BT27">
        <v>18</v>
      </c>
      <c r="BU27">
        <v>7689.5999999999995</v>
      </c>
      <c r="BV27">
        <v>21</v>
      </c>
      <c r="BW27">
        <v>8971.1999999999989</v>
      </c>
      <c r="BX27">
        <v>22</v>
      </c>
      <c r="BY27">
        <v>9398.4</v>
      </c>
      <c r="BZ27">
        <v>31</v>
      </c>
      <c r="CA27">
        <v>13243.199999999999</v>
      </c>
      <c r="CB27">
        <v>22</v>
      </c>
      <c r="CC27">
        <v>9398.4</v>
      </c>
      <c r="CD27">
        <v>38</v>
      </c>
      <c r="CE27">
        <v>16233.6</v>
      </c>
      <c r="CF27">
        <v>35</v>
      </c>
      <c r="CG27">
        <v>14952</v>
      </c>
      <c r="CH27">
        <v>19</v>
      </c>
      <c r="CI27">
        <v>8116.8</v>
      </c>
      <c r="CJ27">
        <v>25</v>
      </c>
      <c r="CK27">
        <v>10680</v>
      </c>
      <c r="CL27">
        <v>28</v>
      </c>
      <c r="CM27">
        <v>11961.6</v>
      </c>
      <c r="CN27">
        <v>41</v>
      </c>
      <c r="CO27">
        <v>17515.2</v>
      </c>
      <c r="CP27">
        <v>30</v>
      </c>
      <c r="CQ27">
        <v>12816</v>
      </c>
      <c r="CR27">
        <v>20</v>
      </c>
      <c r="CS27">
        <v>8544</v>
      </c>
      <c r="CT27">
        <v>26</v>
      </c>
      <c r="CU27">
        <v>11107.199999999999</v>
      </c>
    </row>
    <row r="28" spans="2:99" x14ac:dyDescent="0.2">
      <c r="C28" s="116" t="s">
        <v>194</v>
      </c>
      <c r="D28">
        <v>0</v>
      </c>
      <c r="E28">
        <v>0</v>
      </c>
      <c r="F28">
        <v>18</v>
      </c>
      <c r="G28">
        <v>13284</v>
      </c>
      <c r="H28">
        <v>27.913919919101502</v>
      </c>
      <c r="I28">
        <v>20600.472900296907</v>
      </c>
      <c r="J28">
        <v>31</v>
      </c>
      <c r="K28">
        <v>22878</v>
      </c>
      <c r="L28">
        <v>26</v>
      </c>
      <c r="M28">
        <v>19188</v>
      </c>
      <c r="N28">
        <v>18</v>
      </c>
      <c r="O28">
        <v>13284</v>
      </c>
      <c r="P28">
        <v>35</v>
      </c>
      <c r="Q28">
        <v>25830</v>
      </c>
      <c r="R28">
        <v>20</v>
      </c>
      <c r="S28">
        <v>14760</v>
      </c>
      <c r="T28">
        <v>35</v>
      </c>
      <c r="U28">
        <v>25830</v>
      </c>
      <c r="V28">
        <v>30</v>
      </c>
      <c r="W28">
        <v>22140</v>
      </c>
      <c r="X28">
        <v>21</v>
      </c>
      <c r="Y28">
        <v>15498</v>
      </c>
      <c r="Z28">
        <v>21</v>
      </c>
      <c r="AA28">
        <v>15498</v>
      </c>
      <c r="AB28">
        <v>29</v>
      </c>
      <c r="AC28">
        <v>21402</v>
      </c>
      <c r="AD28">
        <v>25</v>
      </c>
      <c r="AE28">
        <v>18450</v>
      </c>
      <c r="AF28">
        <v>27</v>
      </c>
      <c r="AG28">
        <v>19926</v>
      </c>
      <c r="AH28">
        <v>35</v>
      </c>
      <c r="AI28">
        <v>25830</v>
      </c>
      <c r="AJ28">
        <v>33</v>
      </c>
      <c r="AK28">
        <v>24354</v>
      </c>
      <c r="AL28">
        <v>34</v>
      </c>
      <c r="AM28">
        <v>25092</v>
      </c>
      <c r="AN28">
        <v>27</v>
      </c>
      <c r="AO28">
        <v>19926</v>
      </c>
      <c r="AP28">
        <v>26</v>
      </c>
      <c r="AQ28">
        <v>19188</v>
      </c>
      <c r="AR28">
        <v>34</v>
      </c>
      <c r="AS28">
        <v>25092</v>
      </c>
      <c r="AT28">
        <v>20</v>
      </c>
      <c r="AU28">
        <v>14760</v>
      </c>
      <c r="AV28">
        <v>31</v>
      </c>
      <c r="AW28">
        <v>22878</v>
      </c>
      <c r="AX28">
        <v>27</v>
      </c>
      <c r="AY28">
        <v>19926</v>
      </c>
      <c r="AZ28">
        <v>29</v>
      </c>
      <c r="BA28">
        <v>21402</v>
      </c>
      <c r="BB28">
        <v>20</v>
      </c>
      <c r="BC28">
        <v>14760</v>
      </c>
      <c r="BD28">
        <v>26</v>
      </c>
      <c r="BE28">
        <v>19188</v>
      </c>
      <c r="BF28">
        <v>30</v>
      </c>
      <c r="BG28">
        <v>22140</v>
      </c>
      <c r="BH28">
        <v>31</v>
      </c>
      <c r="BI28">
        <v>22878</v>
      </c>
      <c r="BJ28">
        <v>30</v>
      </c>
      <c r="BK28">
        <v>22140</v>
      </c>
      <c r="BL28">
        <v>31</v>
      </c>
      <c r="BM28">
        <v>22878</v>
      </c>
      <c r="BN28">
        <v>33</v>
      </c>
      <c r="BO28">
        <v>24354</v>
      </c>
      <c r="BP28">
        <v>18</v>
      </c>
      <c r="BQ28">
        <v>13284</v>
      </c>
      <c r="BR28">
        <v>27</v>
      </c>
      <c r="BS28">
        <v>19926</v>
      </c>
      <c r="BT28">
        <v>18</v>
      </c>
      <c r="BU28">
        <v>13284</v>
      </c>
      <c r="BV28">
        <v>20</v>
      </c>
      <c r="BW28">
        <v>14760</v>
      </c>
      <c r="BX28">
        <v>22</v>
      </c>
      <c r="BY28">
        <v>16236</v>
      </c>
      <c r="BZ28">
        <v>27</v>
      </c>
      <c r="CA28">
        <v>19926</v>
      </c>
      <c r="CB28">
        <v>23</v>
      </c>
      <c r="CC28">
        <v>16974</v>
      </c>
      <c r="CD28">
        <v>35</v>
      </c>
      <c r="CE28">
        <v>25830</v>
      </c>
      <c r="CF28">
        <v>37</v>
      </c>
      <c r="CG28">
        <v>27306</v>
      </c>
      <c r="CH28">
        <v>21</v>
      </c>
      <c r="CI28">
        <v>15498</v>
      </c>
      <c r="CJ28">
        <v>24</v>
      </c>
      <c r="CK28">
        <v>17712</v>
      </c>
      <c r="CL28">
        <v>30</v>
      </c>
      <c r="CM28">
        <v>22140</v>
      </c>
      <c r="CN28">
        <v>37</v>
      </c>
      <c r="CO28">
        <v>27306</v>
      </c>
      <c r="CP28">
        <v>33</v>
      </c>
      <c r="CQ28">
        <v>24354</v>
      </c>
      <c r="CR28">
        <v>21</v>
      </c>
      <c r="CS28">
        <v>15498</v>
      </c>
      <c r="CT28">
        <v>29</v>
      </c>
      <c r="CU28">
        <v>21402</v>
      </c>
    </row>
    <row r="29" spans="2:99" x14ac:dyDescent="0.2">
      <c r="C29" s="116" t="s">
        <v>195</v>
      </c>
      <c r="D29">
        <v>0</v>
      </c>
      <c r="E29">
        <v>0</v>
      </c>
      <c r="F29">
        <v>20</v>
      </c>
      <c r="G29">
        <v>6768</v>
      </c>
      <c r="H29">
        <v>29.839017844556778</v>
      </c>
      <c r="I29">
        <v>10097.523638598013</v>
      </c>
      <c r="J29">
        <v>32</v>
      </c>
      <c r="K29">
        <v>10828.8</v>
      </c>
      <c r="L29">
        <v>32</v>
      </c>
      <c r="M29">
        <v>10828.8</v>
      </c>
      <c r="N29">
        <v>19</v>
      </c>
      <c r="O29">
        <v>6429.5999999999995</v>
      </c>
      <c r="P29">
        <v>33</v>
      </c>
      <c r="Q29">
        <v>11167.199999999999</v>
      </c>
      <c r="R29">
        <v>22</v>
      </c>
      <c r="S29">
        <v>7444.7999999999993</v>
      </c>
      <c r="T29">
        <v>31</v>
      </c>
      <c r="U29">
        <v>10490.4</v>
      </c>
      <c r="V29">
        <v>37</v>
      </c>
      <c r="W29">
        <v>12520.8</v>
      </c>
      <c r="X29">
        <v>19</v>
      </c>
      <c r="Y29">
        <v>6429.5999999999995</v>
      </c>
      <c r="Z29">
        <v>19</v>
      </c>
      <c r="AA29">
        <v>6429.5999999999995</v>
      </c>
      <c r="AB29">
        <v>30</v>
      </c>
      <c r="AC29">
        <v>10152</v>
      </c>
      <c r="AD29">
        <v>24</v>
      </c>
      <c r="AE29">
        <v>8121.5999999999995</v>
      </c>
      <c r="AF29">
        <v>30</v>
      </c>
      <c r="AG29">
        <v>10152</v>
      </c>
      <c r="AH29">
        <v>38</v>
      </c>
      <c r="AI29">
        <v>12859.199999999999</v>
      </c>
      <c r="AJ29">
        <v>32</v>
      </c>
      <c r="AK29">
        <v>10828.8</v>
      </c>
      <c r="AL29">
        <v>35</v>
      </c>
      <c r="AM29">
        <v>11844</v>
      </c>
      <c r="AN29">
        <v>26</v>
      </c>
      <c r="AO29">
        <v>8798.4</v>
      </c>
      <c r="AP29">
        <v>25</v>
      </c>
      <c r="AQ29">
        <v>8460</v>
      </c>
      <c r="AR29">
        <v>33</v>
      </c>
      <c r="AS29">
        <v>11167.199999999999</v>
      </c>
      <c r="AT29">
        <v>18</v>
      </c>
      <c r="AU29">
        <v>6091.2</v>
      </c>
      <c r="AV29">
        <v>36</v>
      </c>
      <c r="AW29">
        <v>12182.4</v>
      </c>
      <c r="AX29">
        <v>25</v>
      </c>
      <c r="AY29">
        <v>8460</v>
      </c>
      <c r="AZ29">
        <v>30</v>
      </c>
      <c r="BA29">
        <v>10152</v>
      </c>
      <c r="BB29">
        <v>20</v>
      </c>
      <c r="BC29">
        <v>6768</v>
      </c>
      <c r="BD29">
        <v>24</v>
      </c>
      <c r="BE29">
        <v>8121.5999999999995</v>
      </c>
      <c r="BF29">
        <v>35</v>
      </c>
      <c r="BG29">
        <v>11844</v>
      </c>
      <c r="BH29">
        <v>31</v>
      </c>
      <c r="BI29">
        <v>10490.4</v>
      </c>
      <c r="BJ29">
        <v>34</v>
      </c>
      <c r="BK29">
        <v>11505.599999999999</v>
      </c>
      <c r="BL29">
        <v>30</v>
      </c>
      <c r="BM29">
        <v>10152</v>
      </c>
      <c r="BN29">
        <v>31</v>
      </c>
      <c r="BO29">
        <v>10490.4</v>
      </c>
      <c r="BP29">
        <v>21</v>
      </c>
      <c r="BQ29">
        <v>7106.4</v>
      </c>
      <c r="BR29">
        <v>28</v>
      </c>
      <c r="BS29">
        <v>9475.1999999999989</v>
      </c>
      <c r="BT29">
        <v>19</v>
      </c>
      <c r="BU29">
        <v>6429.5999999999995</v>
      </c>
      <c r="BV29">
        <v>23</v>
      </c>
      <c r="BW29">
        <v>7783.2</v>
      </c>
      <c r="BX29">
        <v>25</v>
      </c>
      <c r="BY29">
        <v>8460</v>
      </c>
      <c r="BZ29">
        <v>33</v>
      </c>
      <c r="CA29">
        <v>11167.199999999999</v>
      </c>
      <c r="CB29">
        <v>20</v>
      </c>
      <c r="CC29">
        <v>6768</v>
      </c>
      <c r="CD29">
        <v>41</v>
      </c>
      <c r="CE29">
        <v>13874.4</v>
      </c>
      <c r="CF29">
        <v>38</v>
      </c>
      <c r="CG29">
        <v>12859.199999999999</v>
      </c>
      <c r="CH29">
        <v>19</v>
      </c>
      <c r="CI29">
        <v>6429.5999999999995</v>
      </c>
      <c r="CJ29">
        <v>26</v>
      </c>
      <c r="CK29">
        <v>8798.4</v>
      </c>
      <c r="CL29">
        <v>33</v>
      </c>
      <c r="CM29">
        <v>11167.199999999999</v>
      </c>
      <c r="CN29">
        <v>38</v>
      </c>
      <c r="CO29">
        <v>12859.199999999999</v>
      </c>
      <c r="CP29">
        <v>33</v>
      </c>
      <c r="CQ29">
        <v>11167.199999999999</v>
      </c>
      <c r="CR29">
        <v>23</v>
      </c>
      <c r="CS29">
        <v>7783.2</v>
      </c>
      <c r="CT29">
        <v>31</v>
      </c>
      <c r="CU29">
        <v>10490.4</v>
      </c>
    </row>
    <row r="30" spans="2:99" x14ac:dyDescent="0.2">
      <c r="C30" s="116" t="s">
        <v>196</v>
      </c>
      <c r="D30">
        <v>0</v>
      </c>
      <c r="E30">
        <v>0</v>
      </c>
      <c r="F30">
        <v>20</v>
      </c>
      <c r="G30">
        <v>2784</v>
      </c>
      <c r="H30">
        <v>26.951370956373864</v>
      </c>
      <c r="I30">
        <v>3751.6308371272416</v>
      </c>
      <c r="J30">
        <v>33</v>
      </c>
      <c r="K30">
        <v>4593.5999999999995</v>
      </c>
      <c r="L30">
        <v>31</v>
      </c>
      <c r="M30">
        <v>4315.2</v>
      </c>
      <c r="N30">
        <v>20</v>
      </c>
      <c r="O30">
        <v>2784</v>
      </c>
      <c r="P30">
        <v>38</v>
      </c>
      <c r="Q30">
        <v>5289.5999999999995</v>
      </c>
      <c r="R30">
        <v>21</v>
      </c>
      <c r="S30">
        <v>2923.2</v>
      </c>
      <c r="T30">
        <v>32</v>
      </c>
      <c r="U30">
        <v>4454.3999999999996</v>
      </c>
      <c r="V30">
        <v>33</v>
      </c>
      <c r="W30">
        <v>4593.5999999999995</v>
      </c>
      <c r="X30">
        <v>22</v>
      </c>
      <c r="Y30">
        <v>3062.3999999999996</v>
      </c>
      <c r="Z30">
        <v>21</v>
      </c>
      <c r="AA30">
        <v>2923.2</v>
      </c>
      <c r="AB30">
        <v>28</v>
      </c>
      <c r="AC30">
        <v>3897.5999999999995</v>
      </c>
      <c r="AD30">
        <v>28</v>
      </c>
      <c r="AE30">
        <v>3897.5999999999995</v>
      </c>
      <c r="AF30">
        <v>30</v>
      </c>
      <c r="AG30">
        <v>4176</v>
      </c>
      <c r="AH30">
        <v>33</v>
      </c>
      <c r="AI30">
        <v>4593.5999999999995</v>
      </c>
      <c r="AJ30">
        <v>36</v>
      </c>
      <c r="AK30">
        <v>5011.2</v>
      </c>
      <c r="AL30">
        <v>35</v>
      </c>
      <c r="AM30">
        <v>4872</v>
      </c>
      <c r="AN30">
        <v>27</v>
      </c>
      <c r="AO30">
        <v>3758.3999999999996</v>
      </c>
      <c r="AP30">
        <v>30</v>
      </c>
      <c r="AQ30">
        <v>4176</v>
      </c>
      <c r="AR30">
        <v>33</v>
      </c>
      <c r="AS30">
        <v>4593.5999999999995</v>
      </c>
      <c r="AT30">
        <v>21</v>
      </c>
      <c r="AU30">
        <v>2923.2</v>
      </c>
      <c r="AV30">
        <v>35</v>
      </c>
      <c r="AW30">
        <v>4872</v>
      </c>
      <c r="AX30">
        <v>27</v>
      </c>
      <c r="AY30">
        <v>3758.3999999999996</v>
      </c>
      <c r="AZ30">
        <v>30</v>
      </c>
      <c r="BA30">
        <v>4176</v>
      </c>
      <c r="BB30">
        <v>20</v>
      </c>
      <c r="BC30">
        <v>2784</v>
      </c>
      <c r="BD30">
        <v>24</v>
      </c>
      <c r="BE30">
        <v>3340.7999999999997</v>
      </c>
      <c r="BF30">
        <v>33</v>
      </c>
      <c r="BG30">
        <v>4593.5999999999995</v>
      </c>
      <c r="BH30">
        <v>30</v>
      </c>
      <c r="BI30">
        <v>4176</v>
      </c>
      <c r="BJ30">
        <v>33</v>
      </c>
      <c r="BK30">
        <v>4593.5999999999995</v>
      </c>
      <c r="BL30">
        <v>27</v>
      </c>
      <c r="BM30">
        <v>3758.3999999999996</v>
      </c>
      <c r="BN30">
        <v>34</v>
      </c>
      <c r="BO30">
        <v>4732.7999999999993</v>
      </c>
      <c r="BP30">
        <v>23</v>
      </c>
      <c r="BQ30">
        <v>3201.6</v>
      </c>
      <c r="BR30">
        <v>25</v>
      </c>
      <c r="BS30">
        <v>3479.9999999999995</v>
      </c>
      <c r="BT30">
        <v>21</v>
      </c>
      <c r="BU30">
        <v>2923.2</v>
      </c>
      <c r="BV30">
        <v>23</v>
      </c>
      <c r="BW30">
        <v>3201.6</v>
      </c>
      <c r="BX30">
        <v>23</v>
      </c>
      <c r="BY30">
        <v>3201.6</v>
      </c>
      <c r="BZ30">
        <v>33</v>
      </c>
      <c r="CA30">
        <v>4593.5999999999995</v>
      </c>
      <c r="CB30">
        <v>23</v>
      </c>
      <c r="CC30">
        <v>3201.6</v>
      </c>
      <c r="CD30">
        <v>37</v>
      </c>
      <c r="CE30">
        <v>5150.3999999999996</v>
      </c>
      <c r="CF30">
        <v>41</v>
      </c>
      <c r="CG30">
        <v>5707.2</v>
      </c>
      <c r="CH30">
        <v>23</v>
      </c>
      <c r="CI30">
        <v>3201.6</v>
      </c>
      <c r="CJ30">
        <v>25</v>
      </c>
      <c r="CK30">
        <v>3479.9999999999995</v>
      </c>
      <c r="CL30">
        <v>30</v>
      </c>
      <c r="CM30">
        <v>4176</v>
      </c>
      <c r="CN30">
        <v>43</v>
      </c>
      <c r="CO30">
        <v>5985.5999999999995</v>
      </c>
      <c r="CP30">
        <v>34</v>
      </c>
      <c r="CQ30">
        <v>4732.7999999999993</v>
      </c>
      <c r="CR30">
        <v>25</v>
      </c>
      <c r="CS30">
        <v>3479.9999999999995</v>
      </c>
      <c r="CT30">
        <v>32</v>
      </c>
      <c r="CU30">
        <v>4454.3999999999996</v>
      </c>
    </row>
    <row r="31" spans="2:99" x14ac:dyDescent="0.2">
      <c r="C31" s="116" t="s">
        <v>197</v>
      </c>
      <c r="D31">
        <v>0</v>
      </c>
      <c r="E31">
        <v>0</v>
      </c>
      <c r="F31">
        <v>19</v>
      </c>
      <c r="G31">
        <v>6475.2</v>
      </c>
      <c r="H31">
        <v>27.913919919101502</v>
      </c>
      <c r="I31">
        <v>9513.0639084297927</v>
      </c>
      <c r="J31">
        <v>34</v>
      </c>
      <c r="K31">
        <v>11587.2</v>
      </c>
      <c r="L31">
        <v>32</v>
      </c>
      <c r="M31">
        <v>10905.6</v>
      </c>
      <c r="N31">
        <v>21</v>
      </c>
      <c r="O31">
        <v>7156.8</v>
      </c>
      <c r="P31">
        <v>34</v>
      </c>
      <c r="Q31">
        <v>11587.2</v>
      </c>
      <c r="R31">
        <v>20</v>
      </c>
      <c r="S31">
        <v>6816</v>
      </c>
      <c r="T31">
        <v>31</v>
      </c>
      <c r="U31">
        <v>10564.800000000001</v>
      </c>
      <c r="V31">
        <v>35</v>
      </c>
      <c r="W31">
        <v>11928</v>
      </c>
      <c r="X31">
        <v>21</v>
      </c>
      <c r="Y31">
        <v>7156.8</v>
      </c>
      <c r="Z31">
        <v>22</v>
      </c>
      <c r="AA31">
        <v>7497.6</v>
      </c>
      <c r="AB31">
        <v>29</v>
      </c>
      <c r="AC31">
        <v>9883.2000000000007</v>
      </c>
      <c r="AD31">
        <v>26</v>
      </c>
      <c r="AE31">
        <v>8860.8000000000011</v>
      </c>
      <c r="AF31">
        <v>26</v>
      </c>
      <c r="AG31">
        <v>8860.8000000000011</v>
      </c>
      <c r="AH31">
        <v>32</v>
      </c>
      <c r="AI31">
        <v>10905.6</v>
      </c>
      <c r="AJ31">
        <v>35</v>
      </c>
      <c r="AK31">
        <v>11928</v>
      </c>
      <c r="AL31">
        <v>38</v>
      </c>
      <c r="AM31">
        <v>12950.4</v>
      </c>
      <c r="AN31">
        <v>30</v>
      </c>
      <c r="AO31">
        <v>10224</v>
      </c>
      <c r="AP31">
        <v>28</v>
      </c>
      <c r="AQ31">
        <v>9542.4</v>
      </c>
      <c r="AR31">
        <v>35</v>
      </c>
      <c r="AS31">
        <v>11928</v>
      </c>
      <c r="AT31">
        <v>20</v>
      </c>
      <c r="AU31">
        <v>6816</v>
      </c>
      <c r="AV31">
        <v>32</v>
      </c>
      <c r="AW31">
        <v>10905.6</v>
      </c>
      <c r="AX31">
        <v>27</v>
      </c>
      <c r="AY31">
        <v>9201.6</v>
      </c>
      <c r="AZ31">
        <v>26</v>
      </c>
      <c r="BA31">
        <v>8860.8000000000011</v>
      </c>
      <c r="BB31">
        <v>19</v>
      </c>
      <c r="BC31">
        <v>6475.2</v>
      </c>
      <c r="BD31">
        <v>25</v>
      </c>
      <c r="BE31">
        <v>8520</v>
      </c>
      <c r="BF31">
        <v>31</v>
      </c>
      <c r="BG31">
        <v>10564.800000000001</v>
      </c>
      <c r="BH31">
        <v>29</v>
      </c>
      <c r="BI31">
        <v>9883.2000000000007</v>
      </c>
      <c r="BJ31">
        <v>36</v>
      </c>
      <c r="BK31">
        <v>12268.800000000001</v>
      </c>
      <c r="BL31">
        <v>32</v>
      </c>
      <c r="BM31">
        <v>10905.6</v>
      </c>
      <c r="BN31">
        <v>32</v>
      </c>
      <c r="BO31">
        <v>10905.6</v>
      </c>
      <c r="BP31">
        <v>21</v>
      </c>
      <c r="BQ31">
        <v>7156.8</v>
      </c>
      <c r="BR31">
        <v>29</v>
      </c>
      <c r="BS31">
        <v>9883.2000000000007</v>
      </c>
      <c r="BT31">
        <v>22</v>
      </c>
      <c r="BU31">
        <v>7497.6</v>
      </c>
      <c r="BV31">
        <v>22</v>
      </c>
      <c r="BW31">
        <v>7497.6</v>
      </c>
      <c r="BX31">
        <v>24</v>
      </c>
      <c r="BY31">
        <v>8179.2000000000007</v>
      </c>
      <c r="BZ31">
        <v>29</v>
      </c>
      <c r="CA31">
        <v>9883.2000000000007</v>
      </c>
      <c r="CB31">
        <v>23</v>
      </c>
      <c r="CC31">
        <v>7838.4000000000005</v>
      </c>
      <c r="CD31">
        <v>40</v>
      </c>
      <c r="CE31">
        <v>13632</v>
      </c>
      <c r="CF31">
        <v>38</v>
      </c>
      <c r="CG31">
        <v>12950.4</v>
      </c>
      <c r="CH31">
        <v>21</v>
      </c>
      <c r="CI31">
        <v>7156.8</v>
      </c>
      <c r="CJ31">
        <v>27</v>
      </c>
      <c r="CK31">
        <v>9201.6</v>
      </c>
      <c r="CL31">
        <v>31</v>
      </c>
      <c r="CM31">
        <v>10564.800000000001</v>
      </c>
      <c r="CN31">
        <v>38</v>
      </c>
      <c r="CO31">
        <v>12950.4</v>
      </c>
      <c r="CP31">
        <v>33</v>
      </c>
      <c r="CQ31">
        <v>11246.4</v>
      </c>
      <c r="CR31">
        <v>20</v>
      </c>
      <c r="CS31">
        <v>6816</v>
      </c>
      <c r="CT31">
        <v>27</v>
      </c>
      <c r="CU31">
        <v>9201.6</v>
      </c>
    </row>
    <row r="32" spans="2:99" x14ac:dyDescent="0.2">
      <c r="C32" s="116" t="s">
        <v>198</v>
      </c>
      <c r="D32">
        <v>0</v>
      </c>
      <c r="E32">
        <v>0</v>
      </c>
      <c r="F32">
        <v>19</v>
      </c>
      <c r="G32">
        <v>15960</v>
      </c>
      <c r="H32">
        <v>28.87646888182914</v>
      </c>
      <c r="I32">
        <v>24256.233860736476</v>
      </c>
      <c r="J32">
        <v>34</v>
      </c>
      <c r="K32">
        <v>28560</v>
      </c>
      <c r="L32">
        <v>26</v>
      </c>
      <c r="M32">
        <v>21840</v>
      </c>
      <c r="N32">
        <v>18</v>
      </c>
      <c r="O32">
        <v>15120</v>
      </c>
      <c r="P32">
        <v>32</v>
      </c>
      <c r="Q32">
        <v>26880</v>
      </c>
      <c r="R32">
        <v>21</v>
      </c>
      <c r="S32">
        <v>17640</v>
      </c>
      <c r="T32">
        <v>32</v>
      </c>
      <c r="U32">
        <v>26880</v>
      </c>
      <c r="V32">
        <v>32</v>
      </c>
      <c r="W32">
        <v>26880</v>
      </c>
      <c r="X32">
        <v>18</v>
      </c>
      <c r="Y32">
        <v>15120</v>
      </c>
      <c r="Z32">
        <v>21</v>
      </c>
      <c r="AA32">
        <v>17640</v>
      </c>
      <c r="AB32">
        <v>26</v>
      </c>
      <c r="AC32">
        <v>21840</v>
      </c>
      <c r="AD32">
        <v>25</v>
      </c>
      <c r="AE32">
        <v>21000</v>
      </c>
      <c r="AF32">
        <v>27</v>
      </c>
      <c r="AG32">
        <v>22680</v>
      </c>
      <c r="AH32">
        <v>36</v>
      </c>
      <c r="AI32">
        <v>30240</v>
      </c>
      <c r="AJ32">
        <v>34</v>
      </c>
      <c r="AK32">
        <v>28560</v>
      </c>
      <c r="AL32">
        <v>31</v>
      </c>
      <c r="AM32">
        <v>26040</v>
      </c>
      <c r="AN32">
        <v>29</v>
      </c>
      <c r="AO32">
        <v>24360</v>
      </c>
      <c r="AP32">
        <v>26</v>
      </c>
      <c r="AQ32">
        <v>21840</v>
      </c>
      <c r="AR32">
        <v>32</v>
      </c>
      <c r="AS32">
        <v>26880</v>
      </c>
      <c r="AT32">
        <v>17</v>
      </c>
      <c r="AU32">
        <v>14280</v>
      </c>
      <c r="AV32">
        <v>33</v>
      </c>
      <c r="AW32">
        <v>27720</v>
      </c>
      <c r="AX32">
        <v>27</v>
      </c>
      <c r="AY32">
        <v>22680</v>
      </c>
      <c r="AZ32">
        <v>25</v>
      </c>
      <c r="BA32">
        <v>21000</v>
      </c>
      <c r="BB32">
        <v>19</v>
      </c>
      <c r="BC32">
        <v>15960</v>
      </c>
      <c r="BD32">
        <v>26</v>
      </c>
      <c r="BE32">
        <v>21840</v>
      </c>
      <c r="BF32">
        <v>29</v>
      </c>
      <c r="BG32">
        <v>24360</v>
      </c>
      <c r="BH32">
        <v>30</v>
      </c>
      <c r="BI32">
        <v>25200</v>
      </c>
      <c r="BJ32">
        <v>33</v>
      </c>
      <c r="BK32">
        <v>27720</v>
      </c>
      <c r="BL32">
        <v>27</v>
      </c>
      <c r="BM32">
        <v>22680</v>
      </c>
      <c r="BN32">
        <v>33</v>
      </c>
      <c r="BO32">
        <v>27720</v>
      </c>
      <c r="BP32">
        <v>20</v>
      </c>
      <c r="BQ32">
        <v>16800</v>
      </c>
      <c r="BR32">
        <v>27</v>
      </c>
      <c r="BS32">
        <v>22680</v>
      </c>
      <c r="BT32">
        <v>17</v>
      </c>
      <c r="BU32">
        <v>14280</v>
      </c>
      <c r="BV32">
        <v>23</v>
      </c>
      <c r="BW32">
        <v>19320</v>
      </c>
      <c r="BX32">
        <v>23</v>
      </c>
      <c r="BY32">
        <v>19320</v>
      </c>
      <c r="BZ32">
        <v>31</v>
      </c>
      <c r="CA32">
        <v>26040</v>
      </c>
      <c r="CB32">
        <v>22</v>
      </c>
      <c r="CC32">
        <v>18480</v>
      </c>
      <c r="CD32">
        <v>34</v>
      </c>
      <c r="CE32">
        <v>28560</v>
      </c>
      <c r="CF32">
        <v>32</v>
      </c>
      <c r="CG32">
        <v>26880</v>
      </c>
      <c r="CH32">
        <v>20</v>
      </c>
      <c r="CI32">
        <v>16800</v>
      </c>
      <c r="CJ32">
        <v>27</v>
      </c>
      <c r="CK32">
        <v>22680</v>
      </c>
      <c r="CL32">
        <v>29</v>
      </c>
      <c r="CM32">
        <v>24360</v>
      </c>
      <c r="CN32">
        <v>35</v>
      </c>
      <c r="CO32">
        <v>29400</v>
      </c>
      <c r="CP32">
        <v>29</v>
      </c>
      <c r="CQ32">
        <v>24360</v>
      </c>
      <c r="CR32">
        <v>19</v>
      </c>
      <c r="CS32">
        <v>15960</v>
      </c>
      <c r="CT32">
        <v>25</v>
      </c>
      <c r="CU32">
        <v>21000</v>
      </c>
    </row>
    <row r="33" spans="2:99" x14ac:dyDescent="0.2">
      <c r="C33" s="116" t="s">
        <v>199</v>
      </c>
      <c r="D33">
        <v>0</v>
      </c>
      <c r="E33">
        <v>0</v>
      </c>
      <c r="F33">
        <v>17</v>
      </c>
      <c r="G33">
        <v>8058</v>
      </c>
      <c r="H33">
        <v>28.87646888182914</v>
      </c>
      <c r="I33">
        <v>13687.446249987013</v>
      </c>
      <c r="J33">
        <v>36</v>
      </c>
      <c r="K33">
        <v>17064</v>
      </c>
      <c r="L33">
        <v>29</v>
      </c>
      <c r="M33">
        <v>13746</v>
      </c>
      <c r="N33">
        <v>19</v>
      </c>
      <c r="O33">
        <v>9006</v>
      </c>
      <c r="P33">
        <v>31</v>
      </c>
      <c r="Q33">
        <v>14694</v>
      </c>
      <c r="R33">
        <v>20</v>
      </c>
      <c r="S33">
        <v>9480</v>
      </c>
      <c r="T33">
        <v>35</v>
      </c>
      <c r="U33">
        <v>16590</v>
      </c>
      <c r="V33">
        <v>36</v>
      </c>
      <c r="W33">
        <v>17064</v>
      </c>
      <c r="X33">
        <v>23</v>
      </c>
      <c r="Y33">
        <v>10902</v>
      </c>
      <c r="Z33">
        <v>20</v>
      </c>
      <c r="AA33">
        <v>9480</v>
      </c>
      <c r="AB33">
        <v>30</v>
      </c>
      <c r="AC33">
        <v>14220</v>
      </c>
      <c r="AD33">
        <v>25</v>
      </c>
      <c r="AE33">
        <v>11850</v>
      </c>
      <c r="AF33">
        <v>25</v>
      </c>
      <c r="AG33">
        <v>11850</v>
      </c>
      <c r="AH33">
        <v>33</v>
      </c>
      <c r="AI33">
        <v>15642</v>
      </c>
      <c r="AJ33">
        <v>31</v>
      </c>
      <c r="AK33">
        <v>14694</v>
      </c>
      <c r="AL33">
        <v>32</v>
      </c>
      <c r="AM33">
        <v>15168</v>
      </c>
      <c r="AN33">
        <v>29</v>
      </c>
      <c r="AO33">
        <v>13746</v>
      </c>
      <c r="AP33">
        <v>27</v>
      </c>
      <c r="AQ33">
        <v>12798</v>
      </c>
      <c r="AR33">
        <v>32</v>
      </c>
      <c r="AS33">
        <v>15168</v>
      </c>
      <c r="AT33">
        <v>19</v>
      </c>
      <c r="AU33">
        <v>9006</v>
      </c>
      <c r="AV33">
        <v>30</v>
      </c>
      <c r="AW33">
        <v>14220</v>
      </c>
      <c r="AX33">
        <v>28</v>
      </c>
      <c r="AY33">
        <v>13272</v>
      </c>
      <c r="AZ33">
        <v>29</v>
      </c>
      <c r="BA33">
        <v>13746</v>
      </c>
      <c r="BB33">
        <v>18</v>
      </c>
      <c r="BC33">
        <v>8532</v>
      </c>
      <c r="BD33">
        <v>23</v>
      </c>
      <c r="BE33">
        <v>10902</v>
      </c>
      <c r="BF33">
        <v>35</v>
      </c>
      <c r="BG33">
        <v>16590</v>
      </c>
      <c r="BH33">
        <v>27</v>
      </c>
      <c r="BI33">
        <v>12798</v>
      </c>
      <c r="BJ33">
        <v>30</v>
      </c>
      <c r="BK33">
        <v>14220</v>
      </c>
      <c r="BL33">
        <v>32</v>
      </c>
      <c r="BM33">
        <v>15168</v>
      </c>
      <c r="BN33">
        <v>33</v>
      </c>
      <c r="BO33">
        <v>15642</v>
      </c>
      <c r="BP33">
        <v>21</v>
      </c>
      <c r="BQ33">
        <v>9954</v>
      </c>
      <c r="BR33">
        <v>25</v>
      </c>
      <c r="BS33">
        <v>11850</v>
      </c>
      <c r="BT33">
        <v>20</v>
      </c>
      <c r="BU33">
        <v>9480</v>
      </c>
      <c r="BV33">
        <v>21</v>
      </c>
      <c r="BW33">
        <v>9954</v>
      </c>
      <c r="BX33">
        <v>25</v>
      </c>
      <c r="BY33">
        <v>11850</v>
      </c>
      <c r="BZ33">
        <v>30</v>
      </c>
      <c r="CA33">
        <v>14220</v>
      </c>
      <c r="CB33">
        <v>24</v>
      </c>
      <c r="CC33">
        <v>11376</v>
      </c>
      <c r="CD33">
        <v>34</v>
      </c>
      <c r="CE33">
        <v>16116</v>
      </c>
      <c r="CF33">
        <v>39</v>
      </c>
      <c r="CG33">
        <v>18486</v>
      </c>
      <c r="CH33">
        <v>20</v>
      </c>
      <c r="CI33">
        <v>9480</v>
      </c>
      <c r="CJ33">
        <v>25</v>
      </c>
      <c r="CK33">
        <v>11850</v>
      </c>
      <c r="CL33">
        <v>29</v>
      </c>
      <c r="CM33">
        <v>13746</v>
      </c>
      <c r="CN33">
        <v>37</v>
      </c>
      <c r="CO33">
        <v>17538</v>
      </c>
      <c r="CP33">
        <v>31</v>
      </c>
      <c r="CQ33">
        <v>14694</v>
      </c>
      <c r="CR33">
        <v>21</v>
      </c>
      <c r="CS33">
        <v>9954</v>
      </c>
      <c r="CT33">
        <v>26</v>
      </c>
      <c r="CU33">
        <v>12324</v>
      </c>
    </row>
    <row r="34" spans="2:99" x14ac:dyDescent="0.2">
      <c r="C34" s="116" t="s">
        <v>200</v>
      </c>
      <c r="D34">
        <v>0</v>
      </c>
      <c r="E34">
        <v>0</v>
      </c>
      <c r="F34">
        <v>18</v>
      </c>
      <c r="G34">
        <v>9871.1999999999989</v>
      </c>
      <c r="H34">
        <v>29.839017844556778</v>
      </c>
      <c r="I34">
        <v>16363.717385954937</v>
      </c>
      <c r="J34">
        <v>34</v>
      </c>
      <c r="K34">
        <v>18645.599999999999</v>
      </c>
      <c r="L34">
        <v>29</v>
      </c>
      <c r="M34">
        <v>15903.599999999999</v>
      </c>
      <c r="N34">
        <v>21</v>
      </c>
      <c r="O34">
        <v>11516.4</v>
      </c>
      <c r="P34">
        <v>30</v>
      </c>
      <c r="Q34">
        <v>16452</v>
      </c>
      <c r="R34">
        <v>19</v>
      </c>
      <c r="S34">
        <v>10419.6</v>
      </c>
      <c r="T34">
        <v>32</v>
      </c>
      <c r="U34">
        <v>17548.8</v>
      </c>
      <c r="V34">
        <v>33</v>
      </c>
      <c r="W34">
        <v>18097.2</v>
      </c>
      <c r="X34">
        <v>21</v>
      </c>
      <c r="Y34">
        <v>11516.4</v>
      </c>
      <c r="Z34">
        <v>21</v>
      </c>
      <c r="AA34">
        <v>11516.4</v>
      </c>
      <c r="AB34">
        <v>26</v>
      </c>
      <c r="AC34">
        <v>14258.4</v>
      </c>
      <c r="AD34">
        <v>26</v>
      </c>
      <c r="AE34">
        <v>14258.4</v>
      </c>
      <c r="AF34">
        <v>29</v>
      </c>
      <c r="AG34">
        <v>15903.599999999999</v>
      </c>
      <c r="AH34">
        <v>32</v>
      </c>
      <c r="AI34">
        <v>17548.8</v>
      </c>
      <c r="AJ34">
        <v>33</v>
      </c>
      <c r="AK34">
        <v>18097.2</v>
      </c>
      <c r="AL34">
        <v>37</v>
      </c>
      <c r="AM34">
        <v>20290.8</v>
      </c>
      <c r="AN34">
        <v>28</v>
      </c>
      <c r="AO34">
        <v>15355.199999999999</v>
      </c>
      <c r="AP34">
        <v>27</v>
      </c>
      <c r="AQ34">
        <v>14806.8</v>
      </c>
      <c r="AR34">
        <v>33</v>
      </c>
      <c r="AS34">
        <v>18097.2</v>
      </c>
      <c r="AT34">
        <v>21</v>
      </c>
      <c r="AU34">
        <v>11516.4</v>
      </c>
      <c r="AV34">
        <v>33</v>
      </c>
      <c r="AW34">
        <v>18097.2</v>
      </c>
      <c r="AX34">
        <v>27</v>
      </c>
      <c r="AY34">
        <v>14806.8</v>
      </c>
      <c r="AZ34">
        <v>31</v>
      </c>
      <c r="BA34">
        <v>17000.399999999998</v>
      </c>
      <c r="BB34">
        <v>20</v>
      </c>
      <c r="BC34">
        <v>10968</v>
      </c>
      <c r="BD34">
        <v>24</v>
      </c>
      <c r="BE34">
        <v>13161.599999999999</v>
      </c>
      <c r="BF34">
        <v>33</v>
      </c>
      <c r="BG34">
        <v>18097.2</v>
      </c>
      <c r="BH34">
        <v>32</v>
      </c>
      <c r="BI34">
        <v>17548.8</v>
      </c>
      <c r="BJ34">
        <v>35</v>
      </c>
      <c r="BK34">
        <v>19194</v>
      </c>
      <c r="BL34">
        <v>29</v>
      </c>
      <c r="BM34">
        <v>15903.599999999999</v>
      </c>
      <c r="BN34">
        <v>32</v>
      </c>
      <c r="BO34">
        <v>17548.8</v>
      </c>
      <c r="BP34">
        <v>21</v>
      </c>
      <c r="BQ34">
        <v>11516.4</v>
      </c>
      <c r="BR34">
        <v>25</v>
      </c>
      <c r="BS34">
        <v>13710</v>
      </c>
      <c r="BT34">
        <v>20</v>
      </c>
      <c r="BU34">
        <v>10968</v>
      </c>
      <c r="BV34">
        <v>22</v>
      </c>
      <c r="BW34">
        <v>12064.8</v>
      </c>
      <c r="BX34">
        <v>25</v>
      </c>
      <c r="BY34">
        <v>13710</v>
      </c>
      <c r="BZ34">
        <v>31</v>
      </c>
      <c r="CA34">
        <v>17000.399999999998</v>
      </c>
      <c r="CB34">
        <v>20</v>
      </c>
      <c r="CC34">
        <v>10968</v>
      </c>
      <c r="CD34">
        <v>37</v>
      </c>
      <c r="CE34">
        <v>20290.8</v>
      </c>
      <c r="CF34">
        <v>39</v>
      </c>
      <c r="CG34">
        <v>21387.599999999999</v>
      </c>
      <c r="CH34">
        <v>21</v>
      </c>
      <c r="CI34">
        <v>11516.4</v>
      </c>
      <c r="CJ34">
        <v>24</v>
      </c>
      <c r="CK34">
        <v>13161.599999999999</v>
      </c>
      <c r="CL34">
        <v>29</v>
      </c>
      <c r="CM34">
        <v>15903.599999999999</v>
      </c>
      <c r="CN34">
        <v>39</v>
      </c>
      <c r="CO34">
        <v>21387.599999999999</v>
      </c>
      <c r="CP34">
        <v>29</v>
      </c>
      <c r="CQ34">
        <v>15903.599999999999</v>
      </c>
      <c r="CR34">
        <v>20</v>
      </c>
      <c r="CS34">
        <v>10968</v>
      </c>
      <c r="CT34">
        <v>28</v>
      </c>
      <c r="CU34">
        <v>15355.199999999999</v>
      </c>
    </row>
    <row r="35" spans="2:99" x14ac:dyDescent="0.2">
      <c r="C35" s="116" t="s">
        <v>201</v>
      </c>
      <c r="D35">
        <v>0</v>
      </c>
      <c r="E35">
        <v>0</v>
      </c>
      <c r="F35">
        <v>17</v>
      </c>
      <c r="G35">
        <v>8547.5999999999985</v>
      </c>
      <c r="H35">
        <v>30.801566807284416</v>
      </c>
      <c r="I35">
        <v>15487.027790702601</v>
      </c>
      <c r="J35">
        <v>30</v>
      </c>
      <c r="K35">
        <v>15083.999999999996</v>
      </c>
      <c r="L35">
        <v>28</v>
      </c>
      <c r="M35">
        <v>14078.399999999998</v>
      </c>
      <c r="N35">
        <v>21</v>
      </c>
      <c r="O35">
        <v>10558.799999999997</v>
      </c>
      <c r="P35">
        <v>30</v>
      </c>
      <c r="Q35">
        <v>15083.999999999996</v>
      </c>
      <c r="R35">
        <v>22</v>
      </c>
      <c r="S35">
        <v>11061.599999999999</v>
      </c>
      <c r="T35">
        <v>36</v>
      </c>
      <c r="U35">
        <v>18100.799999999996</v>
      </c>
      <c r="V35">
        <v>36</v>
      </c>
      <c r="W35">
        <v>18100.799999999996</v>
      </c>
      <c r="X35">
        <v>19</v>
      </c>
      <c r="Y35">
        <v>9553.1999999999989</v>
      </c>
      <c r="Z35">
        <v>20</v>
      </c>
      <c r="AA35">
        <v>10055.999999999998</v>
      </c>
      <c r="AB35">
        <v>28</v>
      </c>
      <c r="AC35">
        <v>14078.399999999998</v>
      </c>
      <c r="AD35">
        <v>23</v>
      </c>
      <c r="AE35">
        <v>11564.399999999998</v>
      </c>
      <c r="AF35">
        <v>25</v>
      </c>
      <c r="AG35">
        <v>12569.999999999998</v>
      </c>
      <c r="AH35">
        <v>37</v>
      </c>
      <c r="AI35">
        <v>18603.599999999995</v>
      </c>
      <c r="AJ35">
        <v>35</v>
      </c>
      <c r="AK35">
        <v>17597.999999999996</v>
      </c>
      <c r="AL35">
        <v>36</v>
      </c>
      <c r="AM35">
        <v>18100.799999999996</v>
      </c>
      <c r="AN35">
        <v>30</v>
      </c>
      <c r="AO35">
        <v>15083.999999999996</v>
      </c>
      <c r="AP35">
        <v>25</v>
      </c>
      <c r="AQ35">
        <v>12569.999999999998</v>
      </c>
      <c r="AR35">
        <v>29</v>
      </c>
      <c r="AS35">
        <v>14581.199999999997</v>
      </c>
      <c r="AT35">
        <v>19</v>
      </c>
      <c r="AU35">
        <v>9553.1999999999989</v>
      </c>
      <c r="AV35">
        <v>36</v>
      </c>
      <c r="AW35">
        <v>18100.799999999996</v>
      </c>
      <c r="AX35">
        <v>24</v>
      </c>
      <c r="AY35">
        <v>12067.199999999997</v>
      </c>
      <c r="AZ35">
        <v>30</v>
      </c>
      <c r="BA35">
        <v>15083.999999999996</v>
      </c>
      <c r="BB35">
        <v>20</v>
      </c>
      <c r="BC35">
        <v>10055.999999999998</v>
      </c>
      <c r="BD35">
        <v>23</v>
      </c>
      <c r="BE35">
        <v>11564.399999999998</v>
      </c>
      <c r="BF35">
        <v>29</v>
      </c>
      <c r="BG35">
        <v>14581.199999999997</v>
      </c>
      <c r="BH35">
        <v>28</v>
      </c>
      <c r="BI35">
        <v>14078.399999999998</v>
      </c>
      <c r="BJ35">
        <v>31</v>
      </c>
      <c r="BK35">
        <v>15586.799999999997</v>
      </c>
      <c r="BL35">
        <v>30</v>
      </c>
      <c r="BM35">
        <v>15083.999999999996</v>
      </c>
      <c r="BN35">
        <v>35</v>
      </c>
      <c r="BO35">
        <v>17597.999999999996</v>
      </c>
      <c r="BP35">
        <v>18</v>
      </c>
      <c r="BQ35">
        <v>9050.3999999999978</v>
      </c>
      <c r="BR35">
        <v>24</v>
      </c>
      <c r="BS35">
        <v>12067.199999999997</v>
      </c>
      <c r="BT35">
        <v>21</v>
      </c>
      <c r="BU35">
        <v>10558.799999999997</v>
      </c>
      <c r="BV35">
        <v>22</v>
      </c>
      <c r="BW35">
        <v>11061.599999999999</v>
      </c>
      <c r="BX35">
        <v>25</v>
      </c>
      <c r="BY35">
        <v>12569.999999999998</v>
      </c>
      <c r="BZ35">
        <v>32</v>
      </c>
      <c r="CA35">
        <v>16089.599999999997</v>
      </c>
      <c r="CB35">
        <v>21</v>
      </c>
      <c r="CC35">
        <v>10558.799999999997</v>
      </c>
      <c r="CD35">
        <v>39</v>
      </c>
      <c r="CE35">
        <v>19609.199999999997</v>
      </c>
      <c r="CF35">
        <v>37</v>
      </c>
      <c r="CG35">
        <v>18603.599999999995</v>
      </c>
      <c r="CH35">
        <v>21</v>
      </c>
      <c r="CI35">
        <v>10558.799999999997</v>
      </c>
      <c r="CJ35">
        <v>26</v>
      </c>
      <c r="CK35">
        <v>13072.799999999997</v>
      </c>
      <c r="CL35">
        <v>30</v>
      </c>
      <c r="CM35">
        <v>15083.999999999996</v>
      </c>
      <c r="CN35">
        <v>42</v>
      </c>
      <c r="CO35">
        <v>21117.599999999995</v>
      </c>
      <c r="CP35">
        <v>33</v>
      </c>
      <c r="CQ35">
        <v>16592.399999999998</v>
      </c>
      <c r="CR35">
        <v>22</v>
      </c>
      <c r="CS35">
        <v>11061.599999999999</v>
      </c>
      <c r="CT35">
        <v>27</v>
      </c>
      <c r="CU35">
        <v>13575.599999999997</v>
      </c>
    </row>
    <row r="36" spans="2:99" x14ac:dyDescent="0.2">
      <c r="C36" s="116" t="s">
        <v>202</v>
      </c>
      <c r="D36">
        <v>0</v>
      </c>
      <c r="E36">
        <v>0</v>
      </c>
      <c r="F36">
        <v>18</v>
      </c>
      <c r="G36">
        <v>13694.4</v>
      </c>
      <c r="H36">
        <v>26.951370956373864</v>
      </c>
      <c r="I36">
        <v>20504.603023609234</v>
      </c>
      <c r="J36">
        <v>33</v>
      </c>
      <c r="K36">
        <v>25106.399999999998</v>
      </c>
      <c r="L36">
        <v>25</v>
      </c>
      <c r="M36">
        <v>19020</v>
      </c>
      <c r="N36">
        <v>18</v>
      </c>
      <c r="O36">
        <v>13694.4</v>
      </c>
      <c r="P36">
        <v>32</v>
      </c>
      <c r="Q36">
        <v>24345.599999999999</v>
      </c>
      <c r="R36">
        <v>18</v>
      </c>
      <c r="S36">
        <v>13694.4</v>
      </c>
      <c r="T36">
        <v>32</v>
      </c>
      <c r="U36">
        <v>24345.599999999999</v>
      </c>
      <c r="V36">
        <v>32</v>
      </c>
      <c r="W36">
        <v>24345.599999999999</v>
      </c>
      <c r="X36">
        <v>21</v>
      </c>
      <c r="Y36">
        <v>15976.8</v>
      </c>
      <c r="Z36">
        <v>20</v>
      </c>
      <c r="AA36">
        <v>15216</v>
      </c>
      <c r="AB36">
        <v>28</v>
      </c>
      <c r="AC36">
        <v>21302.399999999998</v>
      </c>
      <c r="AD36">
        <v>23</v>
      </c>
      <c r="AE36">
        <v>17498.399999999998</v>
      </c>
      <c r="AF36">
        <v>25</v>
      </c>
      <c r="AG36">
        <v>19020</v>
      </c>
      <c r="AH36">
        <v>32</v>
      </c>
      <c r="AI36">
        <v>24345.599999999999</v>
      </c>
      <c r="AJ36">
        <v>33</v>
      </c>
      <c r="AK36">
        <v>25106.399999999998</v>
      </c>
      <c r="AL36">
        <v>30</v>
      </c>
      <c r="AM36">
        <v>22824</v>
      </c>
      <c r="AN36">
        <v>28</v>
      </c>
      <c r="AO36">
        <v>21302.399999999998</v>
      </c>
      <c r="AP36">
        <v>24</v>
      </c>
      <c r="AQ36">
        <v>18259.199999999997</v>
      </c>
      <c r="AR36">
        <v>29</v>
      </c>
      <c r="AS36">
        <v>22063.199999999997</v>
      </c>
      <c r="AT36">
        <v>20</v>
      </c>
      <c r="AU36">
        <v>15216</v>
      </c>
      <c r="AV36">
        <v>32</v>
      </c>
      <c r="AW36">
        <v>24345.599999999999</v>
      </c>
      <c r="AX36">
        <v>26</v>
      </c>
      <c r="AY36">
        <v>19780.8</v>
      </c>
      <c r="AZ36">
        <v>29</v>
      </c>
      <c r="BA36">
        <v>22063.199999999997</v>
      </c>
      <c r="BB36">
        <v>20</v>
      </c>
      <c r="BC36">
        <v>15216</v>
      </c>
      <c r="BD36">
        <v>22</v>
      </c>
      <c r="BE36">
        <v>16737.599999999999</v>
      </c>
      <c r="BF36">
        <v>29</v>
      </c>
      <c r="BG36">
        <v>22063.199999999997</v>
      </c>
      <c r="BH36">
        <v>27</v>
      </c>
      <c r="BI36">
        <v>20541.599999999999</v>
      </c>
      <c r="BJ36">
        <v>30</v>
      </c>
      <c r="BK36">
        <v>22824</v>
      </c>
      <c r="BL36">
        <v>28</v>
      </c>
      <c r="BM36">
        <v>21302.399999999998</v>
      </c>
      <c r="BN36">
        <v>30</v>
      </c>
      <c r="BO36">
        <v>22824</v>
      </c>
      <c r="BP36">
        <v>17</v>
      </c>
      <c r="BQ36">
        <v>12933.599999999999</v>
      </c>
      <c r="BR36">
        <v>24</v>
      </c>
      <c r="BS36">
        <v>18259.199999999997</v>
      </c>
      <c r="BT36">
        <v>20</v>
      </c>
      <c r="BU36">
        <v>15216</v>
      </c>
      <c r="BV36">
        <v>21</v>
      </c>
      <c r="BW36">
        <v>15976.8</v>
      </c>
      <c r="BX36">
        <v>22</v>
      </c>
      <c r="BY36">
        <v>16737.599999999999</v>
      </c>
      <c r="BZ36">
        <v>28</v>
      </c>
      <c r="CA36">
        <v>21302.399999999998</v>
      </c>
      <c r="CB36">
        <v>21</v>
      </c>
      <c r="CC36">
        <v>15976.8</v>
      </c>
      <c r="CD36">
        <v>36</v>
      </c>
      <c r="CE36">
        <v>27388.799999999999</v>
      </c>
      <c r="CF36">
        <v>32</v>
      </c>
      <c r="CG36">
        <v>24345.599999999999</v>
      </c>
      <c r="CH36">
        <v>20</v>
      </c>
      <c r="CI36">
        <v>15216</v>
      </c>
      <c r="CJ36">
        <v>25</v>
      </c>
      <c r="CK36">
        <v>19020</v>
      </c>
      <c r="CL36">
        <v>29</v>
      </c>
      <c r="CM36">
        <v>22063.199999999997</v>
      </c>
      <c r="CN36">
        <v>34</v>
      </c>
      <c r="CO36">
        <v>25867.199999999997</v>
      </c>
      <c r="CP36">
        <v>28</v>
      </c>
      <c r="CQ36">
        <v>21302.399999999998</v>
      </c>
      <c r="CR36">
        <v>22</v>
      </c>
      <c r="CS36">
        <v>16737.599999999999</v>
      </c>
      <c r="CT36">
        <v>26</v>
      </c>
      <c r="CU36">
        <v>19780.8</v>
      </c>
    </row>
    <row r="37" spans="2:99" x14ac:dyDescent="0.2">
      <c r="B37" s="116" t="s">
        <v>128</v>
      </c>
      <c r="C37" s="116" t="s">
        <v>203</v>
      </c>
      <c r="D37">
        <v>0</v>
      </c>
      <c r="E37">
        <v>0</v>
      </c>
      <c r="F37">
        <v>22</v>
      </c>
      <c r="G37">
        <v>18928.8</v>
      </c>
      <c r="H37">
        <v>12.513136515459294</v>
      </c>
      <c r="I37">
        <v>10766.302657901177</v>
      </c>
      <c r="J37">
        <v>15</v>
      </c>
      <c r="K37">
        <v>12906</v>
      </c>
      <c r="L37">
        <v>15</v>
      </c>
      <c r="M37">
        <v>12906</v>
      </c>
      <c r="N37">
        <v>21</v>
      </c>
      <c r="O37">
        <v>18068.399999999998</v>
      </c>
      <c r="P37">
        <v>15</v>
      </c>
      <c r="Q37">
        <v>12906</v>
      </c>
      <c r="R37">
        <v>14</v>
      </c>
      <c r="S37">
        <v>12045.6</v>
      </c>
      <c r="T37">
        <v>22</v>
      </c>
      <c r="U37">
        <v>18928.8</v>
      </c>
      <c r="V37">
        <v>19</v>
      </c>
      <c r="W37">
        <v>16347.6</v>
      </c>
      <c r="X37">
        <v>13</v>
      </c>
      <c r="Y37">
        <v>11185.199999999999</v>
      </c>
      <c r="Z37">
        <v>17</v>
      </c>
      <c r="AA37">
        <v>14626.8</v>
      </c>
      <c r="AB37">
        <v>21</v>
      </c>
      <c r="AC37">
        <v>18068.399999999998</v>
      </c>
      <c r="AD37">
        <v>19</v>
      </c>
      <c r="AE37">
        <v>16347.6</v>
      </c>
      <c r="AF37">
        <v>18</v>
      </c>
      <c r="AG37">
        <v>15487.199999999999</v>
      </c>
      <c r="AH37">
        <v>21</v>
      </c>
      <c r="AI37">
        <v>18068.399999999998</v>
      </c>
      <c r="AJ37">
        <v>20</v>
      </c>
      <c r="AK37">
        <v>17208</v>
      </c>
      <c r="AL37">
        <v>18</v>
      </c>
      <c r="AM37">
        <v>15487.199999999999</v>
      </c>
      <c r="AN37">
        <v>17</v>
      </c>
      <c r="AO37">
        <v>14626.8</v>
      </c>
      <c r="AP37">
        <v>14</v>
      </c>
      <c r="AQ37">
        <v>12045.6</v>
      </c>
      <c r="AR37">
        <v>16</v>
      </c>
      <c r="AS37">
        <v>13766.4</v>
      </c>
      <c r="AT37">
        <v>12</v>
      </c>
      <c r="AU37">
        <v>10324.799999999999</v>
      </c>
      <c r="AV37">
        <v>21</v>
      </c>
      <c r="AW37">
        <v>18068.399999999998</v>
      </c>
      <c r="AX37">
        <v>16</v>
      </c>
      <c r="AY37">
        <v>13766.4</v>
      </c>
      <c r="AZ37">
        <v>17</v>
      </c>
      <c r="BA37">
        <v>14626.8</v>
      </c>
      <c r="BB37">
        <v>14</v>
      </c>
      <c r="BC37">
        <v>12045.6</v>
      </c>
      <c r="BD37">
        <v>21</v>
      </c>
      <c r="BE37">
        <v>18068.399999999998</v>
      </c>
      <c r="BF37">
        <v>22</v>
      </c>
      <c r="BG37">
        <v>18928.8</v>
      </c>
      <c r="BH37">
        <v>16</v>
      </c>
      <c r="BI37">
        <v>13766.4</v>
      </c>
      <c r="BJ37">
        <v>18</v>
      </c>
      <c r="BK37">
        <v>15487.199999999999</v>
      </c>
      <c r="BL37">
        <v>23</v>
      </c>
      <c r="BM37">
        <v>19789.2</v>
      </c>
      <c r="BN37">
        <v>16</v>
      </c>
      <c r="BO37">
        <v>13766.4</v>
      </c>
      <c r="BP37">
        <v>23</v>
      </c>
      <c r="BQ37">
        <v>19789.2</v>
      </c>
      <c r="BR37">
        <v>16</v>
      </c>
      <c r="BS37">
        <v>13766.4</v>
      </c>
      <c r="BT37">
        <v>21</v>
      </c>
      <c r="BU37">
        <v>18068.399999999998</v>
      </c>
      <c r="BV37">
        <v>17</v>
      </c>
      <c r="BW37">
        <v>14626.8</v>
      </c>
      <c r="BX37">
        <v>17</v>
      </c>
      <c r="BY37">
        <v>14626.8</v>
      </c>
      <c r="BZ37">
        <v>12</v>
      </c>
      <c r="CA37">
        <v>10324.799999999999</v>
      </c>
      <c r="CB37">
        <v>16</v>
      </c>
      <c r="CC37">
        <v>13766.4</v>
      </c>
      <c r="CD37">
        <v>15</v>
      </c>
      <c r="CE37">
        <v>12906</v>
      </c>
      <c r="CF37">
        <v>20</v>
      </c>
      <c r="CG37">
        <v>17208</v>
      </c>
      <c r="CH37">
        <v>15</v>
      </c>
      <c r="CI37">
        <v>12906</v>
      </c>
      <c r="CJ37">
        <v>21</v>
      </c>
      <c r="CK37">
        <v>18068.399999999998</v>
      </c>
      <c r="CL37">
        <v>19</v>
      </c>
      <c r="CM37">
        <v>16347.6</v>
      </c>
      <c r="CN37">
        <v>17</v>
      </c>
      <c r="CO37">
        <v>14626.8</v>
      </c>
      <c r="CP37">
        <v>20</v>
      </c>
      <c r="CQ37">
        <v>17208</v>
      </c>
      <c r="CR37">
        <v>23</v>
      </c>
      <c r="CS37">
        <v>19789.2</v>
      </c>
      <c r="CT37">
        <v>14</v>
      </c>
      <c r="CU37">
        <v>12045.6</v>
      </c>
    </row>
    <row r="38" spans="2:99" x14ac:dyDescent="0.2">
      <c r="C38" s="116" t="s">
        <v>204</v>
      </c>
      <c r="D38">
        <v>0</v>
      </c>
      <c r="E38">
        <v>0</v>
      </c>
      <c r="F38">
        <v>21</v>
      </c>
      <c r="G38">
        <v>26082</v>
      </c>
      <c r="H38">
        <v>10.588038590004018</v>
      </c>
      <c r="I38">
        <v>13150.343928784991</v>
      </c>
      <c r="J38">
        <v>13</v>
      </c>
      <c r="K38">
        <v>16146</v>
      </c>
      <c r="L38">
        <v>16</v>
      </c>
      <c r="M38">
        <v>19872</v>
      </c>
      <c r="N38">
        <v>19</v>
      </c>
      <c r="O38">
        <v>23598</v>
      </c>
      <c r="P38">
        <v>15</v>
      </c>
      <c r="Q38">
        <v>18630</v>
      </c>
      <c r="R38">
        <v>15</v>
      </c>
      <c r="S38">
        <v>18630</v>
      </c>
      <c r="T38">
        <v>21</v>
      </c>
      <c r="U38">
        <v>26082</v>
      </c>
      <c r="V38">
        <v>21</v>
      </c>
      <c r="W38">
        <v>26082</v>
      </c>
      <c r="X38">
        <v>12</v>
      </c>
      <c r="Y38">
        <v>14904</v>
      </c>
      <c r="Z38">
        <v>16</v>
      </c>
      <c r="AA38">
        <v>19872</v>
      </c>
      <c r="AB38">
        <v>20</v>
      </c>
      <c r="AC38">
        <v>24840</v>
      </c>
      <c r="AD38">
        <v>19</v>
      </c>
      <c r="AE38">
        <v>23598</v>
      </c>
      <c r="AF38">
        <v>17</v>
      </c>
      <c r="AG38">
        <v>21114</v>
      </c>
      <c r="AH38">
        <v>21</v>
      </c>
      <c r="AI38">
        <v>26082</v>
      </c>
      <c r="AJ38">
        <v>18</v>
      </c>
      <c r="AK38">
        <v>22356</v>
      </c>
      <c r="AL38">
        <v>17</v>
      </c>
      <c r="AM38">
        <v>21114</v>
      </c>
      <c r="AN38">
        <v>18</v>
      </c>
      <c r="AO38">
        <v>22356</v>
      </c>
      <c r="AP38">
        <v>13</v>
      </c>
      <c r="AQ38">
        <v>16146</v>
      </c>
      <c r="AR38">
        <v>14</v>
      </c>
      <c r="AS38">
        <v>17388</v>
      </c>
      <c r="AT38">
        <v>13</v>
      </c>
      <c r="AU38">
        <v>16146</v>
      </c>
      <c r="AV38">
        <v>21</v>
      </c>
      <c r="AW38">
        <v>26082</v>
      </c>
      <c r="AX38">
        <v>14</v>
      </c>
      <c r="AY38">
        <v>17388</v>
      </c>
      <c r="AZ38">
        <v>15</v>
      </c>
      <c r="BA38">
        <v>18630</v>
      </c>
      <c r="BB38">
        <v>17</v>
      </c>
      <c r="BC38">
        <v>21114</v>
      </c>
      <c r="BD38">
        <v>23</v>
      </c>
      <c r="BE38">
        <v>28566</v>
      </c>
      <c r="BF38">
        <v>21</v>
      </c>
      <c r="BG38">
        <v>26082</v>
      </c>
      <c r="BH38">
        <v>15</v>
      </c>
      <c r="BI38">
        <v>18630</v>
      </c>
      <c r="BJ38">
        <v>20</v>
      </c>
      <c r="BK38">
        <v>24840</v>
      </c>
      <c r="BL38">
        <v>23</v>
      </c>
      <c r="BM38">
        <v>28566</v>
      </c>
      <c r="BN38">
        <v>17</v>
      </c>
      <c r="BO38">
        <v>21114</v>
      </c>
      <c r="BP38">
        <v>22</v>
      </c>
      <c r="BQ38">
        <v>27324</v>
      </c>
      <c r="BR38">
        <v>16</v>
      </c>
      <c r="BS38">
        <v>19872</v>
      </c>
      <c r="BT38">
        <v>23</v>
      </c>
      <c r="BU38">
        <v>28566</v>
      </c>
      <c r="BV38">
        <v>16</v>
      </c>
      <c r="BW38">
        <v>19872</v>
      </c>
      <c r="BX38">
        <v>16</v>
      </c>
      <c r="BY38">
        <v>19872</v>
      </c>
      <c r="BZ38">
        <v>12</v>
      </c>
      <c r="CA38">
        <v>14904</v>
      </c>
      <c r="CB38">
        <v>16</v>
      </c>
      <c r="CC38">
        <v>19872</v>
      </c>
      <c r="CD38">
        <v>14</v>
      </c>
      <c r="CE38">
        <v>17388</v>
      </c>
      <c r="CF38">
        <v>18</v>
      </c>
      <c r="CG38">
        <v>22356</v>
      </c>
      <c r="CH38">
        <v>14</v>
      </c>
      <c r="CI38">
        <v>17388</v>
      </c>
      <c r="CJ38">
        <v>19</v>
      </c>
      <c r="CK38">
        <v>23598</v>
      </c>
      <c r="CL38">
        <v>16</v>
      </c>
      <c r="CM38">
        <v>19872</v>
      </c>
      <c r="CN38">
        <v>17</v>
      </c>
      <c r="CO38">
        <v>21114</v>
      </c>
      <c r="CP38">
        <v>20</v>
      </c>
      <c r="CQ38">
        <v>24840</v>
      </c>
      <c r="CR38">
        <v>19</v>
      </c>
      <c r="CS38">
        <v>23598</v>
      </c>
      <c r="CT38">
        <v>14</v>
      </c>
      <c r="CU38">
        <v>17388</v>
      </c>
    </row>
    <row r="39" spans="2:99" x14ac:dyDescent="0.2">
      <c r="C39" s="116" t="s">
        <v>205</v>
      </c>
      <c r="D39">
        <v>0</v>
      </c>
      <c r="E39">
        <v>0</v>
      </c>
      <c r="F39">
        <v>20</v>
      </c>
      <c r="G39">
        <v>28464</v>
      </c>
      <c r="H39">
        <v>12.513136515459294</v>
      </c>
      <c r="I39">
        <v>17808.695888801667</v>
      </c>
      <c r="J39">
        <v>14</v>
      </c>
      <c r="K39">
        <v>19924.8</v>
      </c>
      <c r="L39">
        <v>14</v>
      </c>
      <c r="M39">
        <v>19924.8</v>
      </c>
      <c r="N39">
        <v>21</v>
      </c>
      <c r="O39">
        <v>29887.200000000001</v>
      </c>
      <c r="P39">
        <v>14</v>
      </c>
      <c r="Q39">
        <v>19924.8</v>
      </c>
      <c r="R39">
        <v>14</v>
      </c>
      <c r="S39">
        <v>19924.8</v>
      </c>
      <c r="T39">
        <v>19</v>
      </c>
      <c r="U39">
        <v>27040.799999999999</v>
      </c>
      <c r="V39">
        <v>20</v>
      </c>
      <c r="W39">
        <v>28464</v>
      </c>
      <c r="X39">
        <v>14</v>
      </c>
      <c r="Y39">
        <v>19924.8</v>
      </c>
      <c r="Z39">
        <v>17</v>
      </c>
      <c r="AA39">
        <v>24194.400000000001</v>
      </c>
      <c r="AB39">
        <v>20</v>
      </c>
      <c r="AC39">
        <v>28464</v>
      </c>
      <c r="AD39">
        <v>19</v>
      </c>
      <c r="AE39">
        <v>27040.799999999999</v>
      </c>
      <c r="AF39">
        <v>15</v>
      </c>
      <c r="AG39">
        <v>21348</v>
      </c>
      <c r="AH39">
        <v>21</v>
      </c>
      <c r="AI39">
        <v>29887.200000000001</v>
      </c>
      <c r="AJ39">
        <v>16</v>
      </c>
      <c r="AK39">
        <v>22771.200000000001</v>
      </c>
      <c r="AL39">
        <v>17</v>
      </c>
      <c r="AM39">
        <v>24194.400000000001</v>
      </c>
      <c r="AN39">
        <v>17</v>
      </c>
      <c r="AO39">
        <v>24194.400000000001</v>
      </c>
      <c r="AP39">
        <v>13</v>
      </c>
      <c r="AQ39">
        <v>18501.600000000002</v>
      </c>
      <c r="AR39">
        <v>14</v>
      </c>
      <c r="AS39">
        <v>19924.8</v>
      </c>
      <c r="AT39">
        <v>11</v>
      </c>
      <c r="AU39">
        <v>15655.2</v>
      </c>
      <c r="AV39">
        <v>21</v>
      </c>
      <c r="AW39">
        <v>29887.200000000001</v>
      </c>
      <c r="AX39">
        <v>13</v>
      </c>
      <c r="AY39">
        <v>18501.600000000002</v>
      </c>
      <c r="AZ39">
        <v>14</v>
      </c>
      <c r="BA39">
        <v>19924.8</v>
      </c>
      <c r="BB39">
        <v>14</v>
      </c>
      <c r="BC39">
        <v>19924.8</v>
      </c>
      <c r="BD39">
        <v>21</v>
      </c>
      <c r="BE39">
        <v>29887.200000000001</v>
      </c>
      <c r="BF39">
        <v>18</v>
      </c>
      <c r="BG39">
        <v>25617.600000000002</v>
      </c>
      <c r="BH39">
        <v>17</v>
      </c>
      <c r="BI39">
        <v>24194.400000000001</v>
      </c>
      <c r="BJ39">
        <v>18</v>
      </c>
      <c r="BK39">
        <v>25617.600000000002</v>
      </c>
      <c r="BL39">
        <v>21</v>
      </c>
      <c r="BM39">
        <v>29887.200000000001</v>
      </c>
      <c r="BN39">
        <v>17</v>
      </c>
      <c r="BO39">
        <v>24194.400000000001</v>
      </c>
      <c r="BP39">
        <v>19</v>
      </c>
      <c r="BQ39">
        <v>27040.799999999999</v>
      </c>
      <c r="BR39">
        <v>16</v>
      </c>
      <c r="BS39">
        <v>22771.200000000001</v>
      </c>
      <c r="BT39">
        <v>23</v>
      </c>
      <c r="BU39">
        <v>32733.600000000002</v>
      </c>
      <c r="BV39">
        <v>15</v>
      </c>
      <c r="BW39">
        <v>21348</v>
      </c>
      <c r="BX39">
        <v>14</v>
      </c>
      <c r="BY39">
        <v>19924.8</v>
      </c>
      <c r="BZ39">
        <v>13</v>
      </c>
      <c r="CA39">
        <v>18501.600000000002</v>
      </c>
      <c r="CB39">
        <v>15</v>
      </c>
      <c r="CC39">
        <v>21348</v>
      </c>
      <c r="CD39">
        <v>14</v>
      </c>
      <c r="CE39">
        <v>19924.8</v>
      </c>
      <c r="CF39">
        <v>20</v>
      </c>
      <c r="CG39">
        <v>28464</v>
      </c>
      <c r="CH39">
        <v>12</v>
      </c>
      <c r="CI39">
        <v>17078.400000000001</v>
      </c>
      <c r="CJ39">
        <v>20</v>
      </c>
      <c r="CK39">
        <v>28464</v>
      </c>
      <c r="CL39">
        <v>18</v>
      </c>
      <c r="CM39">
        <v>25617.600000000002</v>
      </c>
      <c r="CN39">
        <v>17</v>
      </c>
      <c r="CO39">
        <v>24194.400000000001</v>
      </c>
      <c r="CP39">
        <v>21</v>
      </c>
      <c r="CQ39">
        <v>29887.200000000001</v>
      </c>
      <c r="CR39">
        <v>19</v>
      </c>
      <c r="CS39">
        <v>27040.799999999999</v>
      </c>
      <c r="CT39">
        <v>12</v>
      </c>
      <c r="CU39">
        <v>17078.400000000001</v>
      </c>
    </row>
    <row r="40" spans="2:99" x14ac:dyDescent="0.2">
      <c r="C40" s="116" t="s">
        <v>206</v>
      </c>
      <c r="D40">
        <v>0</v>
      </c>
      <c r="E40">
        <v>0</v>
      </c>
      <c r="F40">
        <v>19</v>
      </c>
      <c r="G40">
        <v>13771.199999999999</v>
      </c>
      <c r="H40">
        <v>11.550587552731656</v>
      </c>
      <c r="I40">
        <v>8371.8658582199041</v>
      </c>
      <c r="J40">
        <v>16</v>
      </c>
      <c r="K40">
        <v>11596.8</v>
      </c>
      <c r="L40">
        <v>16</v>
      </c>
      <c r="M40">
        <v>11596.8</v>
      </c>
      <c r="N40">
        <v>22</v>
      </c>
      <c r="O40">
        <v>15945.599999999999</v>
      </c>
      <c r="P40">
        <v>16</v>
      </c>
      <c r="Q40">
        <v>11596.8</v>
      </c>
      <c r="R40">
        <v>16</v>
      </c>
      <c r="S40">
        <v>11596.8</v>
      </c>
      <c r="T40">
        <v>22</v>
      </c>
      <c r="U40">
        <v>15945.599999999999</v>
      </c>
      <c r="V40">
        <v>22</v>
      </c>
      <c r="W40">
        <v>15945.599999999999</v>
      </c>
      <c r="X40">
        <v>13</v>
      </c>
      <c r="Y40">
        <v>9422.4</v>
      </c>
      <c r="Z40">
        <v>19</v>
      </c>
      <c r="AA40">
        <v>13771.199999999999</v>
      </c>
      <c r="AB40">
        <v>20</v>
      </c>
      <c r="AC40">
        <v>14496</v>
      </c>
      <c r="AD40">
        <v>22</v>
      </c>
      <c r="AE40">
        <v>15945.599999999999</v>
      </c>
      <c r="AF40">
        <v>17</v>
      </c>
      <c r="AG40">
        <v>12321.599999999999</v>
      </c>
      <c r="AH40">
        <v>23</v>
      </c>
      <c r="AI40">
        <v>16670.399999999998</v>
      </c>
      <c r="AJ40">
        <v>18</v>
      </c>
      <c r="AK40">
        <v>13046.4</v>
      </c>
      <c r="AL40">
        <v>19</v>
      </c>
      <c r="AM40">
        <v>13771.199999999999</v>
      </c>
      <c r="AN40">
        <v>20</v>
      </c>
      <c r="AO40">
        <v>14496</v>
      </c>
      <c r="AP40">
        <v>15</v>
      </c>
      <c r="AQ40">
        <v>10872</v>
      </c>
      <c r="AR40">
        <v>15</v>
      </c>
      <c r="AS40">
        <v>10872</v>
      </c>
      <c r="AT40">
        <v>13</v>
      </c>
      <c r="AU40">
        <v>9422.4</v>
      </c>
      <c r="AV40">
        <v>24</v>
      </c>
      <c r="AW40">
        <v>17395.199999999997</v>
      </c>
      <c r="AX40">
        <v>15</v>
      </c>
      <c r="AY40">
        <v>10872</v>
      </c>
      <c r="AZ40">
        <v>16</v>
      </c>
      <c r="BA40">
        <v>11596.8</v>
      </c>
      <c r="BB40">
        <v>16</v>
      </c>
      <c r="BC40">
        <v>11596.8</v>
      </c>
      <c r="BD40">
        <v>22</v>
      </c>
      <c r="BE40">
        <v>15945.599999999999</v>
      </c>
      <c r="BF40">
        <v>21</v>
      </c>
      <c r="BG40">
        <v>15220.8</v>
      </c>
      <c r="BH40">
        <v>16</v>
      </c>
      <c r="BI40">
        <v>11596.8</v>
      </c>
      <c r="BJ40">
        <v>21</v>
      </c>
      <c r="BK40">
        <v>15220.8</v>
      </c>
      <c r="BL40">
        <v>21</v>
      </c>
      <c r="BM40">
        <v>15220.8</v>
      </c>
      <c r="BN40">
        <v>16</v>
      </c>
      <c r="BO40">
        <v>11596.8</v>
      </c>
      <c r="BP40">
        <v>22</v>
      </c>
      <c r="BQ40">
        <v>15945.599999999999</v>
      </c>
      <c r="BR40">
        <v>18</v>
      </c>
      <c r="BS40">
        <v>13046.4</v>
      </c>
      <c r="BT40">
        <v>26</v>
      </c>
      <c r="BU40">
        <v>18844.8</v>
      </c>
      <c r="BV40">
        <v>15</v>
      </c>
      <c r="BW40">
        <v>10872</v>
      </c>
      <c r="BX40">
        <v>15</v>
      </c>
      <c r="BY40">
        <v>10872</v>
      </c>
      <c r="BZ40">
        <v>13</v>
      </c>
      <c r="CA40">
        <v>9422.4</v>
      </c>
      <c r="CB40">
        <v>18</v>
      </c>
      <c r="CC40">
        <v>13046.4</v>
      </c>
      <c r="CD40">
        <v>15</v>
      </c>
      <c r="CE40">
        <v>10872</v>
      </c>
      <c r="CF40">
        <v>21</v>
      </c>
      <c r="CG40">
        <v>15220.8</v>
      </c>
      <c r="CH40">
        <v>13</v>
      </c>
      <c r="CI40">
        <v>9422.4</v>
      </c>
      <c r="CJ40">
        <v>24</v>
      </c>
      <c r="CK40">
        <v>17395.199999999997</v>
      </c>
      <c r="CL40">
        <v>17</v>
      </c>
      <c r="CM40">
        <v>12321.599999999999</v>
      </c>
      <c r="CN40">
        <v>18</v>
      </c>
      <c r="CO40">
        <v>13046.4</v>
      </c>
      <c r="CP40">
        <v>21</v>
      </c>
      <c r="CQ40">
        <v>15220.8</v>
      </c>
      <c r="CR40">
        <v>23</v>
      </c>
      <c r="CS40">
        <v>16670.399999999998</v>
      </c>
      <c r="CT40">
        <v>12</v>
      </c>
      <c r="CU40">
        <v>8697.5999999999985</v>
      </c>
    </row>
    <row r="41" spans="2:99" x14ac:dyDescent="0.2">
      <c r="C41" s="116" t="s">
        <v>207</v>
      </c>
      <c r="D41">
        <v>0</v>
      </c>
      <c r="E41">
        <v>0</v>
      </c>
      <c r="F41">
        <v>20</v>
      </c>
      <c r="G41">
        <v>13200</v>
      </c>
      <c r="H41">
        <v>11.550587552731656</v>
      </c>
      <c r="I41">
        <v>7623.3877848028933</v>
      </c>
      <c r="J41">
        <v>15</v>
      </c>
      <c r="K41">
        <v>9900</v>
      </c>
      <c r="L41">
        <v>16</v>
      </c>
      <c r="M41">
        <v>10560</v>
      </c>
      <c r="N41">
        <v>21</v>
      </c>
      <c r="O41">
        <v>13860</v>
      </c>
      <c r="P41">
        <v>17</v>
      </c>
      <c r="Q41">
        <v>11220</v>
      </c>
      <c r="R41">
        <v>17</v>
      </c>
      <c r="S41">
        <v>11220</v>
      </c>
      <c r="T41">
        <v>23</v>
      </c>
      <c r="U41">
        <v>15180</v>
      </c>
      <c r="V41">
        <v>22</v>
      </c>
      <c r="W41">
        <v>14520</v>
      </c>
      <c r="X41">
        <v>14</v>
      </c>
      <c r="Y41">
        <v>9240</v>
      </c>
      <c r="Z41">
        <v>17</v>
      </c>
      <c r="AA41">
        <v>11220</v>
      </c>
      <c r="AB41">
        <v>20</v>
      </c>
      <c r="AC41">
        <v>13200</v>
      </c>
      <c r="AD41">
        <v>21</v>
      </c>
      <c r="AE41">
        <v>13860</v>
      </c>
      <c r="AF41">
        <v>20</v>
      </c>
      <c r="AG41">
        <v>13200</v>
      </c>
      <c r="AH41">
        <v>23</v>
      </c>
      <c r="AI41">
        <v>15180</v>
      </c>
      <c r="AJ41">
        <v>18</v>
      </c>
      <c r="AK41">
        <v>11880</v>
      </c>
      <c r="AL41">
        <v>18</v>
      </c>
      <c r="AM41">
        <v>11880</v>
      </c>
      <c r="AN41">
        <v>20</v>
      </c>
      <c r="AO41">
        <v>13200</v>
      </c>
      <c r="AP41">
        <v>15</v>
      </c>
      <c r="AQ41">
        <v>9900</v>
      </c>
      <c r="AR41">
        <v>16</v>
      </c>
      <c r="AS41">
        <v>10560</v>
      </c>
      <c r="AT41">
        <v>13</v>
      </c>
      <c r="AU41">
        <v>8580</v>
      </c>
      <c r="AV41">
        <v>26</v>
      </c>
      <c r="AW41">
        <v>17160</v>
      </c>
      <c r="AX41">
        <v>15</v>
      </c>
      <c r="AY41">
        <v>9900</v>
      </c>
      <c r="AZ41">
        <v>18</v>
      </c>
      <c r="BA41">
        <v>11880</v>
      </c>
      <c r="BB41">
        <v>15</v>
      </c>
      <c r="BC41">
        <v>9900</v>
      </c>
      <c r="BD41">
        <v>25</v>
      </c>
      <c r="BE41">
        <v>16500</v>
      </c>
      <c r="BF41">
        <v>18</v>
      </c>
      <c r="BG41">
        <v>11880</v>
      </c>
      <c r="BH41">
        <v>16</v>
      </c>
      <c r="BI41">
        <v>10560</v>
      </c>
      <c r="BJ41">
        <v>20</v>
      </c>
      <c r="BK41">
        <v>13200</v>
      </c>
      <c r="BL41">
        <v>20</v>
      </c>
      <c r="BM41">
        <v>13200</v>
      </c>
      <c r="BN41">
        <v>18</v>
      </c>
      <c r="BO41">
        <v>11880</v>
      </c>
      <c r="BP41">
        <v>24</v>
      </c>
      <c r="BQ41">
        <v>15840</v>
      </c>
      <c r="BR41">
        <v>16</v>
      </c>
      <c r="BS41">
        <v>10560</v>
      </c>
      <c r="BT41">
        <v>24</v>
      </c>
      <c r="BU41">
        <v>15840</v>
      </c>
      <c r="BV41">
        <v>17</v>
      </c>
      <c r="BW41">
        <v>11220</v>
      </c>
      <c r="BX41">
        <v>14</v>
      </c>
      <c r="BY41">
        <v>9240</v>
      </c>
      <c r="BZ41">
        <v>14</v>
      </c>
      <c r="CA41">
        <v>9240</v>
      </c>
      <c r="CB41">
        <v>19</v>
      </c>
      <c r="CC41">
        <v>12540</v>
      </c>
      <c r="CD41">
        <v>14</v>
      </c>
      <c r="CE41">
        <v>9240</v>
      </c>
      <c r="CF41">
        <v>18</v>
      </c>
      <c r="CG41">
        <v>11880</v>
      </c>
      <c r="CH41">
        <v>13</v>
      </c>
      <c r="CI41">
        <v>8580</v>
      </c>
      <c r="CJ41">
        <v>24</v>
      </c>
      <c r="CK41">
        <v>15840</v>
      </c>
      <c r="CL41">
        <v>16</v>
      </c>
      <c r="CM41">
        <v>10560</v>
      </c>
      <c r="CN41">
        <v>18</v>
      </c>
      <c r="CO41">
        <v>11880</v>
      </c>
      <c r="CP41">
        <v>20</v>
      </c>
      <c r="CQ41">
        <v>13200</v>
      </c>
      <c r="CR41">
        <v>21</v>
      </c>
      <c r="CS41">
        <v>13860</v>
      </c>
      <c r="CT41">
        <v>14</v>
      </c>
      <c r="CU41">
        <v>9240</v>
      </c>
    </row>
    <row r="42" spans="2:99" x14ac:dyDescent="0.2">
      <c r="C42" s="116" t="s">
        <v>208</v>
      </c>
      <c r="D42">
        <v>0</v>
      </c>
      <c r="E42">
        <v>0</v>
      </c>
      <c r="F42">
        <v>21</v>
      </c>
      <c r="G42">
        <v>17766</v>
      </c>
      <c r="H42">
        <v>12.513136515459294</v>
      </c>
      <c r="I42">
        <v>10586.113492078563</v>
      </c>
      <c r="J42">
        <v>16</v>
      </c>
      <c r="K42">
        <v>13536</v>
      </c>
      <c r="L42">
        <v>17</v>
      </c>
      <c r="M42">
        <v>14382</v>
      </c>
      <c r="N42">
        <v>21</v>
      </c>
      <c r="O42">
        <v>17766</v>
      </c>
      <c r="P42">
        <v>17</v>
      </c>
      <c r="Q42">
        <v>14382</v>
      </c>
      <c r="R42">
        <v>14</v>
      </c>
      <c r="S42">
        <v>11844</v>
      </c>
      <c r="T42">
        <v>24</v>
      </c>
      <c r="U42">
        <v>20304</v>
      </c>
      <c r="V42">
        <v>22</v>
      </c>
      <c r="W42">
        <v>18612</v>
      </c>
      <c r="X42">
        <v>15</v>
      </c>
      <c r="Y42">
        <v>12690</v>
      </c>
      <c r="Z42">
        <v>18</v>
      </c>
      <c r="AA42">
        <v>15228</v>
      </c>
      <c r="AB42">
        <v>20</v>
      </c>
      <c r="AC42">
        <v>16920</v>
      </c>
      <c r="AD42">
        <v>18</v>
      </c>
      <c r="AE42">
        <v>15228</v>
      </c>
      <c r="AF42">
        <v>18</v>
      </c>
      <c r="AG42">
        <v>15228</v>
      </c>
      <c r="AH42">
        <v>23</v>
      </c>
      <c r="AI42">
        <v>19458</v>
      </c>
      <c r="AJ42">
        <v>20</v>
      </c>
      <c r="AK42">
        <v>16920</v>
      </c>
      <c r="AL42">
        <v>17</v>
      </c>
      <c r="AM42">
        <v>14382</v>
      </c>
      <c r="AN42">
        <v>18</v>
      </c>
      <c r="AO42">
        <v>15228</v>
      </c>
      <c r="AP42">
        <v>14</v>
      </c>
      <c r="AQ42">
        <v>11844</v>
      </c>
      <c r="AR42">
        <v>17</v>
      </c>
      <c r="AS42">
        <v>14382</v>
      </c>
      <c r="AT42">
        <v>13</v>
      </c>
      <c r="AU42">
        <v>10998</v>
      </c>
      <c r="AV42">
        <v>22</v>
      </c>
      <c r="AW42">
        <v>18612</v>
      </c>
      <c r="AX42">
        <v>15</v>
      </c>
      <c r="AY42">
        <v>12690</v>
      </c>
      <c r="AZ42">
        <v>15</v>
      </c>
      <c r="BA42">
        <v>12690</v>
      </c>
      <c r="BB42">
        <v>16</v>
      </c>
      <c r="BC42">
        <v>13536</v>
      </c>
      <c r="BD42">
        <v>22</v>
      </c>
      <c r="BE42">
        <v>18612</v>
      </c>
      <c r="BF42">
        <v>18</v>
      </c>
      <c r="BG42">
        <v>15228</v>
      </c>
      <c r="BH42">
        <v>17</v>
      </c>
      <c r="BI42">
        <v>14382</v>
      </c>
      <c r="BJ42">
        <v>20</v>
      </c>
      <c r="BK42">
        <v>16920</v>
      </c>
      <c r="BL42">
        <v>23</v>
      </c>
      <c r="BM42">
        <v>19458</v>
      </c>
      <c r="BN42">
        <v>16</v>
      </c>
      <c r="BO42">
        <v>13536</v>
      </c>
      <c r="BP42">
        <v>24</v>
      </c>
      <c r="BQ42">
        <v>20304</v>
      </c>
      <c r="BR42">
        <v>16</v>
      </c>
      <c r="BS42">
        <v>13536</v>
      </c>
      <c r="BT42">
        <v>24</v>
      </c>
      <c r="BU42">
        <v>20304</v>
      </c>
      <c r="BV42">
        <v>17</v>
      </c>
      <c r="BW42">
        <v>14382</v>
      </c>
      <c r="BX42">
        <v>16</v>
      </c>
      <c r="BY42">
        <v>13536</v>
      </c>
      <c r="BZ42">
        <v>13</v>
      </c>
      <c r="CA42">
        <v>10998</v>
      </c>
      <c r="CB42">
        <v>17</v>
      </c>
      <c r="CC42">
        <v>14382</v>
      </c>
      <c r="CD42">
        <v>14</v>
      </c>
      <c r="CE42">
        <v>11844</v>
      </c>
      <c r="CF42">
        <v>20</v>
      </c>
      <c r="CG42">
        <v>16920</v>
      </c>
      <c r="CH42">
        <v>14</v>
      </c>
      <c r="CI42">
        <v>11844</v>
      </c>
      <c r="CJ42">
        <v>23</v>
      </c>
      <c r="CK42">
        <v>19458</v>
      </c>
      <c r="CL42">
        <v>19</v>
      </c>
      <c r="CM42">
        <v>16074</v>
      </c>
      <c r="CN42">
        <v>17</v>
      </c>
      <c r="CO42">
        <v>14382</v>
      </c>
      <c r="CP42">
        <v>21</v>
      </c>
      <c r="CQ42">
        <v>17766</v>
      </c>
      <c r="CR42">
        <v>21</v>
      </c>
      <c r="CS42">
        <v>17766</v>
      </c>
      <c r="CT42">
        <v>14</v>
      </c>
      <c r="CU42">
        <v>11844</v>
      </c>
    </row>
    <row r="43" spans="2:99" x14ac:dyDescent="0.2">
      <c r="C43" s="116" t="s">
        <v>209</v>
      </c>
      <c r="D43">
        <v>0</v>
      </c>
      <c r="E43">
        <v>0</v>
      </c>
      <c r="F43">
        <v>19</v>
      </c>
      <c r="G43">
        <v>19425.599999999999</v>
      </c>
      <c r="H43">
        <v>11.550587552731656</v>
      </c>
      <c r="I43">
        <v>11809.320713912844</v>
      </c>
      <c r="J43">
        <v>14</v>
      </c>
      <c r="K43">
        <v>14313.6</v>
      </c>
      <c r="L43">
        <v>17</v>
      </c>
      <c r="M43">
        <v>17380.8</v>
      </c>
      <c r="N43">
        <v>21</v>
      </c>
      <c r="O43">
        <v>21470.399999999998</v>
      </c>
      <c r="P43">
        <v>15</v>
      </c>
      <c r="Q43">
        <v>15336</v>
      </c>
      <c r="R43">
        <v>15</v>
      </c>
      <c r="S43">
        <v>15336</v>
      </c>
      <c r="T43">
        <v>22</v>
      </c>
      <c r="U43">
        <v>22492.799999999999</v>
      </c>
      <c r="V43">
        <v>19</v>
      </c>
      <c r="W43">
        <v>19425.599999999999</v>
      </c>
      <c r="X43">
        <v>13</v>
      </c>
      <c r="Y43">
        <v>13291.199999999999</v>
      </c>
      <c r="Z43">
        <v>18</v>
      </c>
      <c r="AA43">
        <v>18403.2</v>
      </c>
      <c r="AB43">
        <v>18</v>
      </c>
      <c r="AC43">
        <v>18403.2</v>
      </c>
      <c r="AD43">
        <v>19</v>
      </c>
      <c r="AE43">
        <v>19425.599999999999</v>
      </c>
      <c r="AF43">
        <v>16</v>
      </c>
      <c r="AG43">
        <v>16358.4</v>
      </c>
      <c r="AH43">
        <v>23</v>
      </c>
      <c r="AI43">
        <v>23515.200000000001</v>
      </c>
      <c r="AJ43">
        <v>20</v>
      </c>
      <c r="AK43">
        <v>20448</v>
      </c>
      <c r="AL43">
        <v>18</v>
      </c>
      <c r="AM43">
        <v>18403.2</v>
      </c>
      <c r="AN43">
        <v>18</v>
      </c>
      <c r="AO43">
        <v>18403.2</v>
      </c>
      <c r="AP43">
        <v>15</v>
      </c>
      <c r="AQ43">
        <v>15336</v>
      </c>
      <c r="AR43">
        <v>16</v>
      </c>
      <c r="AS43">
        <v>16358.4</v>
      </c>
      <c r="AT43">
        <v>13</v>
      </c>
      <c r="AU43">
        <v>13291.199999999999</v>
      </c>
      <c r="AV43">
        <v>21</v>
      </c>
      <c r="AW43">
        <v>21470.399999999998</v>
      </c>
      <c r="AX43">
        <v>15</v>
      </c>
      <c r="AY43">
        <v>15336</v>
      </c>
      <c r="AZ43">
        <v>17</v>
      </c>
      <c r="BA43">
        <v>17380.8</v>
      </c>
      <c r="BB43">
        <v>16</v>
      </c>
      <c r="BC43">
        <v>16358.4</v>
      </c>
      <c r="BD43">
        <v>21</v>
      </c>
      <c r="BE43">
        <v>21470.399999999998</v>
      </c>
      <c r="BF43">
        <v>18</v>
      </c>
      <c r="BG43">
        <v>18403.2</v>
      </c>
      <c r="BH43">
        <v>15</v>
      </c>
      <c r="BI43">
        <v>15336</v>
      </c>
      <c r="BJ43">
        <v>19</v>
      </c>
      <c r="BK43">
        <v>19425.599999999999</v>
      </c>
      <c r="BL43">
        <v>23</v>
      </c>
      <c r="BM43">
        <v>23515.200000000001</v>
      </c>
      <c r="BN43">
        <v>15</v>
      </c>
      <c r="BO43">
        <v>15336</v>
      </c>
      <c r="BP43">
        <v>23</v>
      </c>
      <c r="BQ43">
        <v>23515.200000000001</v>
      </c>
      <c r="BR43">
        <v>17</v>
      </c>
      <c r="BS43">
        <v>17380.8</v>
      </c>
      <c r="BT43">
        <v>22</v>
      </c>
      <c r="BU43">
        <v>22492.799999999999</v>
      </c>
      <c r="BV43">
        <v>16</v>
      </c>
      <c r="BW43">
        <v>16358.4</v>
      </c>
      <c r="BX43">
        <v>16</v>
      </c>
      <c r="BY43">
        <v>16358.4</v>
      </c>
      <c r="BZ43">
        <v>14</v>
      </c>
      <c r="CA43">
        <v>14313.6</v>
      </c>
      <c r="CB43">
        <v>17</v>
      </c>
      <c r="CC43">
        <v>17380.8</v>
      </c>
      <c r="CD43">
        <v>15</v>
      </c>
      <c r="CE43">
        <v>15336</v>
      </c>
      <c r="CF43">
        <v>19</v>
      </c>
      <c r="CG43">
        <v>19425.599999999999</v>
      </c>
      <c r="CH43">
        <v>12</v>
      </c>
      <c r="CI43">
        <v>12268.8</v>
      </c>
      <c r="CJ43">
        <v>22</v>
      </c>
      <c r="CK43">
        <v>22492.799999999999</v>
      </c>
      <c r="CL43">
        <v>18</v>
      </c>
      <c r="CM43">
        <v>18403.2</v>
      </c>
      <c r="CN43">
        <v>16</v>
      </c>
      <c r="CO43">
        <v>16358.4</v>
      </c>
      <c r="CP43">
        <v>20</v>
      </c>
      <c r="CQ43">
        <v>20448</v>
      </c>
      <c r="CR43">
        <v>20</v>
      </c>
      <c r="CS43">
        <v>20448</v>
      </c>
      <c r="CT43">
        <v>12</v>
      </c>
      <c r="CU43">
        <v>12268.8</v>
      </c>
    </row>
    <row r="44" spans="2:99" x14ac:dyDescent="0.2">
      <c r="C44" s="116" t="s">
        <v>210</v>
      </c>
      <c r="D44">
        <v>0</v>
      </c>
      <c r="E44">
        <v>0</v>
      </c>
      <c r="F44">
        <v>21</v>
      </c>
      <c r="G44">
        <v>21470.399999999998</v>
      </c>
      <c r="H44">
        <v>11.550587552731656</v>
      </c>
      <c r="I44">
        <v>11809.320713912844</v>
      </c>
      <c r="J44">
        <v>15</v>
      </c>
      <c r="K44">
        <v>15336</v>
      </c>
      <c r="L44">
        <v>16</v>
      </c>
      <c r="M44">
        <v>16358.4</v>
      </c>
      <c r="N44">
        <v>22</v>
      </c>
      <c r="O44">
        <v>22492.799999999999</v>
      </c>
      <c r="P44">
        <v>16</v>
      </c>
      <c r="Q44">
        <v>16358.4</v>
      </c>
      <c r="R44">
        <v>16</v>
      </c>
      <c r="S44">
        <v>16358.4</v>
      </c>
      <c r="T44">
        <v>19</v>
      </c>
      <c r="U44">
        <v>19425.599999999999</v>
      </c>
      <c r="V44">
        <v>20</v>
      </c>
      <c r="W44">
        <v>20448</v>
      </c>
      <c r="X44">
        <v>15</v>
      </c>
      <c r="Y44">
        <v>15336</v>
      </c>
      <c r="Z44">
        <v>19</v>
      </c>
      <c r="AA44">
        <v>19425.599999999999</v>
      </c>
      <c r="AB44">
        <v>21</v>
      </c>
      <c r="AC44">
        <v>21470.399999999998</v>
      </c>
      <c r="AD44">
        <v>18</v>
      </c>
      <c r="AE44">
        <v>18403.2</v>
      </c>
      <c r="AF44">
        <v>16</v>
      </c>
      <c r="AG44">
        <v>16358.4</v>
      </c>
      <c r="AH44">
        <v>24</v>
      </c>
      <c r="AI44">
        <v>24537.599999999999</v>
      </c>
      <c r="AJ44">
        <v>19</v>
      </c>
      <c r="AK44">
        <v>19425.599999999999</v>
      </c>
      <c r="AL44">
        <v>18</v>
      </c>
      <c r="AM44">
        <v>18403.2</v>
      </c>
      <c r="AN44">
        <v>18</v>
      </c>
      <c r="AO44">
        <v>18403.2</v>
      </c>
      <c r="AP44">
        <v>14</v>
      </c>
      <c r="AQ44">
        <v>14313.6</v>
      </c>
      <c r="AR44">
        <v>15</v>
      </c>
      <c r="AS44">
        <v>15336</v>
      </c>
      <c r="AT44">
        <v>13</v>
      </c>
      <c r="AU44">
        <v>13291.199999999999</v>
      </c>
      <c r="AV44">
        <v>22</v>
      </c>
      <c r="AW44">
        <v>22492.799999999999</v>
      </c>
      <c r="AX44">
        <v>15</v>
      </c>
      <c r="AY44">
        <v>15336</v>
      </c>
      <c r="AZ44">
        <v>16</v>
      </c>
      <c r="BA44">
        <v>16358.4</v>
      </c>
      <c r="BB44">
        <v>14</v>
      </c>
      <c r="BC44">
        <v>14313.6</v>
      </c>
      <c r="BD44">
        <v>20</v>
      </c>
      <c r="BE44">
        <v>20448</v>
      </c>
      <c r="BF44">
        <v>21</v>
      </c>
      <c r="BG44">
        <v>21470.399999999998</v>
      </c>
      <c r="BH44">
        <v>17</v>
      </c>
      <c r="BI44">
        <v>17380.8</v>
      </c>
      <c r="BJ44">
        <v>20</v>
      </c>
      <c r="BK44">
        <v>20448</v>
      </c>
      <c r="BL44">
        <v>22</v>
      </c>
      <c r="BM44">
        <v>22492.799999999999</v>
      </c>
      <c r="BN44">
        <v>16</v>
      </c>
      <c r="BO44">
        <v>16358.4</v>
      </c>
      <c r="BP44">
        <v>21</v>
      </c>
      <c r="BQ44">
        <v>21470.399999999998</v>
      </c>
      <c r="BR44">
        <v>17</v>
      </c>
      <c r="BS44">
        <v>17380.8</v>
      </c>
      <c r="BT44">
        <v>21</v>
      </c>
      <c r="BU44">
        <v>21470.399999999998</v>
      </c>
      <c r="BV44">
        <v>17</v>
      </c>
      <c r="BW44">
        <v>17380.8</v>
      </c>
      <c r="BX44">
        <v>14</v>
      </c>
      <c r="BY44">
        <v>14313.6</v>
      </c>
      <c r="BZ44">
        <v>11</v>
      </c>
      <c r="CA44">
        <v>11246.4</v>
      </c>
      <c r="CB44">
        <v>18</v>
      </c>
      <c r="CC44">
        <v>18403.2</v>
      </c>
      <c r="CD44">
        <v>14</v>
      </c>
      <c r="CE44">
        <v>14313.6</v>
      </c>
      <c r="CF44">
        <v>20</v>
      </c>
      <c r="CG44">
        <v>20448</v>
      </c>
      <c r="CH44">
        <v>13</v>
      </c>
      <c r="CI44">
        <v>13291.199999999999</v>
      </c>
      <c r="CJ44">
        <v>19</v>
      </c>
      <c r="CK44">
        <v>19425.599999999999</v>
      </c>
      <c r="CL44">
        <v>19</v>
      </c>
      <c r="CM44">
        <v>19425.599999999999</v>
      </c>
      <c r="CN44">
        <v>17</v>
      </c>
      <c r="CO44">
        <v>17380.8</v>
      </c>
      <c r="CP44">
        <v>20</v>
      </c>
      <c r="CQ44">
        <v>20448</v>
      </c>
      <c r="CR44">
        <v>22</v>
      </c>
      <c r="CS44">
        <v>22492.799999999999</v>
      </c>
      <c r="CT44">
        <v>14</v>
      </c>
      <c r="CU44">
        <v>14313.6</v>
      </c>
    </row>
    <row r="45" spans="2:99" x14ac:dyDescent="0.2">
      <c r="C45" s="116" t="s">
        <v>211</v>
      </c>
      <c r="D45">
        <v>0</v>
      </c>
      <c r="E45">
        <v>0</v>
      </c>
      <c r="F45">
        <v>21</v>
      </c>
      <c r="G45">
        <v>26233.200000000001</v>
      </c>
      <c r="H45">
        <v>11.550587552731656</v>
      </c>
      <c r="I45">
        <v>14428.993970872385</v>
      </c>
      <c r="J45">
        <v>14</v>
      </c>
      <c r="K45">
        <v>17488.8</v>
      </c>
      <c r="L45">
        <v>17</v>
      </c>
      <c r="M45">
        <v>21236.400000000001</v>
      </c>
      <c r="N45">
        <v>20</v>
      </c>
      <c r="O45">
        <v>24984</v>
      </c>
      <c r="P45">
        <v>17</v>
      </c>
      <c r="Q45">
        <v>21236.400000000001</v>
      </c>
      <c r="R45">
        <v>14</v>
      </c>
      <c r="S45">
        <v>17488.8</v>
      </c>
      <c r="T45">
        <v>19</v>
      </c>
      <c r="U45">
        <v>23734.799999999999</v>
      </c>
      <c r="V45">
        <v>20</v>
      </c>
      <c r="W45">
        <v>24984</v>
      </c>
      <c r="X45">
        <v>12</v>
      </c>
      <c r="Y45">
        <v>14990.400000000001</v>
      </c>
      <c r="Z45">
        <v>19</v>
      </c>
      <c r="AA45">
        <v>23734.799999999999</v>
      </c>
      <c r="AB45">
        <v>19</v>
      </c>
      <c r="AC45">
        <v>23734.799999999999</v>
      </c>
      <c r="AD45">
        <v>17</v>
      </c>
      <c r="AE45">
        <v>21236.400000000001</v>
      </c>
      <c r="AF45">
        <v>18</v>
      </c>
      <c r="AG45">
        <v>22485.600000000002</v>
      </c>
      <c r="AH45">
        <v>23</v>
      </c>
      <c r="AI45">
        <v>28731.600000000002</v>
      </c>
      <c r="AJ45">
        <v>17</v>
      </c>
      <c r="AK45">
        <v>21236.400000000001</v>
      </c>
      <c r="AL45">
        <v>16</v>
      </c>
      <c r="AM45">
        <v>19987.2</v>
      </c>
      <c r="AN45">
        <v>18</v>
      </c>
      <c r="AO45">
        <v>22485.600000000002</v>
      </c>
      <c r="AP45">
        <v>15</v>
      </c>
      <c r="AQ45">
        <v>18738</v>
      </c>
      <c r="AR45">
        <v>14</v>
      </c>
      <c r="AS45">
        <v>17488.8</v>
      </c>
      <c r="AT45">
        <v>11</v>
      </c>
      <c r="AU45">
        <v>13741.2</v>
      </c>
      <c r="AV45">
        <v>23</v>
      </c>
      <c r="AW45">
        <v>28731.600000000002</v>
      </c>
      <c r="AX45">
        <v>15</v>
      </c>
      <c r="AY45">
        <v>18738</v>
      </c>
      <c r="AZ45">
        <v>17</v>
      </c>
      <c r="BA45">
        <v>21236.400000000001</v>
      </c>
      <c r="BB45">
        <v>16</v>
      </c>
      <c r="BC45">
        <v>19987.2</v>
      </c>
      <c r="BD45">
        <v>22</v>
      </c>
      <c r="BE45">
        <v>27482.400000000001</v>
      </c>
      <c r="BF45">
        <v>18</v>
      </c>
      <c r="BG45">
        <v>22485.600000000002</v>
      </c>
      <c r="BH45">
        <v>15</v>
      </c>
      <c r="BI45">
        <v>18738</v>
      </c>
      <c r="BJ45">
        <v>18</v>
      </c>
      <c r="BK45">
        <v>22485.600000000002</v>
      </c>
      <c r="BL45">
        <v>21</v>
      </c>
      <c r="BM45">
        <v>26233.200000000001</v>
      </c>
      <c r="BN45">
        <v>17</v>
      </c>
      <c r="BO45">
        <v>21236.400000000001</v>
      </c>
      <c r="BP45">
        <v>19</v>
      </c>
      <c r="BQ45">
        <v>23734.799999999999</v>
      </c>
      <c r="BR45">
        <v>16</v>
      </c>
      <c r="BS45">
        <v>19987.2</v>
      </c>
      <c r="BT45">
        <v>21</v>
      </c>
      <c r="BU45">
        <v>26233.200000000001</v>
      </c>
      <c r="BV45">
        <v>14</v>
      </c>
      <c r="BW45">
        <v>17488.8</v>
      </c>
      <c r="BX45">
        <v>15</v>
      </c>
      <c r="BY45">
        <v>18738</v>
      </c>
      <c r="BZ45">
        <v>13</v>
      </c>
      <c r="CA45">
        <v>16239.6</v>
      </c>
      <c r="CB45">
        <v>16</v>
      </c>
      <c r="CC45">
        <v>19987.2</v>
      </c>
      <c r="CD45">
        <v>14</v>
      </c>
      <c r="CE45">
        <v>17488.8</v>
      </c>
      <c r="CF45">
        <v>17</v>
      </c>
      <c r="CG45">
        <v>21236.400000000001</v>
      </c>
      <c r="CH45">
        <v>14</v>
      </c>
      <c r="CI45">
        <v>17488.8</v>
      </c>
      <c r="CJ45">
        <v>20</v>
      </c>
      <c r="CK45">
        <v>24984</v>
      </c>
      <c r="CL45">
        <v>16</v>
      </c>
      <c r="CM45">
        <v>19987.2</v>
      </c>
      <c r="CN45">
        <v>15</v>
      </c>
      <c r="CO45">
        <v>18738</v>
      </c>
      <c r="CP45">
        <v>19</v>
      </c>
      <c r="CQ45">
        <v>23734.799999999999</v>
      </c>
      <c r="CR45">
        <v>18</v>
      </c>
      <c r="CS45">
        <v>22485.600000000002</v>
      </c>
      <c r="CT45">
        <v>13</v>
      </c>
      <c r="CU45">
        <v>16239.6</v>
      </c>
    </row>
    <row r="46" spans="2:99" x14ac:dyDescent="0.2">
      <c r="C46" s="116" t="s">
        <v>212</v>
      </c>
      <c r="D46">
        <v>0</v>
      </c>
      <c r="E46">
        <v>0</v>
      </c>
      <c r="F46">
        <v>19</v>
      </c>
      <c r="G46">
        <v>23028</v>
      </c>
      <c r="H46">
        <v>10.588038590004018</v>
      </c>
      <c r="I46">
        <v>12832.702771084871</v>
      </c>
      <c r="J46">
        <v>14</v>
      </c>
      <c r="K46">
        <v>16968</v>
      </c>
      <c r="L46">
        <v>15</v>
      </c>
      <c r="M46">
        <v>18180</v>
      </c>
      <c r="N46">
        <v>22</v>
      </c>
      <c r="O46">
        <v>26664</v>
      </c>
      <c r="P46">
        <v>15</v>
      </c>
      <c r="Q46">
        <v>18180</v>
      </c>
      <c r="R46">
        <v>16</v>
      </c>
      <c r="S46">
        <v>19392</v>
      </c>
      <c r="T46">
        <v>23</v>
      </c>
      <c r="U46">
        <v>27876</v>
      </c>
      <c r="V46">
        <v>20</v>
      </c>
      <c r="W46">
        <v>24240</v>
      </c>
      <c r="X46">
        <v>13</v>
      </c>
      <c r="Y46">
        <v>15756</v>
      </c>
      <c r="Z46">
        <v>17</v>
      </c>
      <c r="AA46">
        <v>20604</v>
      </c>
      <c r="AB46">
        <v>20</v>
      </c>
      <c r="AC46">
        <v>24240</v>
      </c>
      <c r="AD46">
        <v>19</v>
      </c>
      <c r="AE46">
        <v>23028</v>
      </c>
      <c r="AF46">
        <v>18</v>
      </c>
      <c r="AG46">
        <v>21816</v>
      </c>
      <c r="AH46">
        <v>23</v>
      </c>
      <c r="AI46">
        <v>27876</v>
      </c>
      <c r="AJ46">
        <v>17</v>
      </c>
      <c r="AK46">
        <v>20604</v>
      </c>
      <c r="AL46">
        <v>16</v>
      </c>
      <c r="AM46">
        <v>19392</v>
      </c>
      <c r="AN46">
        <v>18</v>
      </c>
      <c r="AO46">
        <v>21816</v>
      </c>
      <c r="AP46">
        <v>15</v>
      </c>
      <c r="AQ46">
        <v>18180</v>
      </c>
      <c r="AR46">
        <v>16</v>
      </c>
      <c r="AS46">
        <v>19392</v>
      </c>
      <c r="AT46">
        <v>13</v>
      </c>
      <c r="AU46">
        <v>15756</v>
      </c>
      <c r="AV46">
        <v>23</v>
      </c>
      <c r="AW46">
        <v>27876</v>
      </c>
      <c r="AX46">
        <v>16</v>
      </c>
      <c r="AY46">
        <v>19392</v>
      </c>
      <c r="AZ46">
        <v>15</v>
      </c>
      <c r="BA46">
        <v>18180</v>
      </c>
      <c r="BB46">
        <v>16</v>
      </c>
      <c r="BC46">
        <v>19392</v>
      </c>
      <c r="BD46">
        <v>21</v>
      </c>
      <c r="BE46">
        <v>25452</v>
      </c>
      <c r="BF46">
        <v>18</v>
      </c>
      <c r="BG46">
        <v>21816</v>
      </c>
      <c r="BH46">
        <v>16</v>
      </c>
      <c r="BI46">
        <v>19392</v>
      </c>
      <c r="BJ46">
        <v>20</v>
      </c>
      <c r="BK46">
        <v>24240</v>
      </c>
      <c r="BL46">
        <v>21</v>
      </c>
      <c r="BM46">
        <v>25452</v>
      </c>
      <c r="BN46">
        <v>17</v>
      </c>
      <c r="BO46">
        <v>20604</v>
      </c>
      <c r="BP46">
        <v>23</v>
      </c>
      <c r="BQ46">
        <v>27876</v>
      </c>
      <c r="BR46">
        <v>17</v>
      </c>
      <c r="BS46">
        <v>20604</v>
      </c>
      <c r="BT46">
        <v>20</v>
      </c>
      <c r="BU46">
        <v>24240</v>
      </c>
      <c r="BV46">
        <v>14</v>
      </c>
      <c r="BW46">
        <v>16968</v>
      </c>
      <c r="BX46">
        <v>14</v>
      </c>
      <c r="BY46">
        <v>16968</v>
      </c>
      <c r="BZ46">
        <v>13</v>
      </c>
      <c r="CA46">
        <v>15756</v>
      </c>
      <c r="CB46">
        <v>17</v>
      </c>
      <c r="CC46">
        <v>20604</v>
      </c>
      <c r="CD46">
        <v>14</v>
      </c>
      <c r="CE46">
        <v>16968</v>
      </c>
      <c r="CF46">
        <v>17</v>
      </c>
      <c r="CG46">
        <v>20604</v>
      </c>
      <c r="CH46">
        <v>13</v>
      </c>
      <c r="CI46">
        <v>15756</v>
      </c>
      <c r="CJ46">
        <v>22</v>
      </c>
      <c r="CK46">
        <v>26664</v>
      </c>
      <c r="CL46">
        <v>18</v>
      </c>
      <c r="CM46">
        <v>21816</v>
      </c>
      <c r="CN46">
        <v>16</v>
      </c>
      <c r="CO46">
        <v>19392</v>
      </c>
      <c r="CP46">
        <v>19</v>
      </c>
      <c r="CQ46">
        <v>23028</v>
      </c>
      <c r="CR46">
        <v>20</v>
      </c>
      <c r="CS46">
        <v>24240</v>
      </c>
      <c r="CT46">
        <v>14</v>
      </c>
      <c r="CU46">
        <v>16968</v>
      </c>
    </row>
    <row r="47" spans="2:99" x14ac:dyDescent="0.2">
      <c r="C47" s="116" t="s">
        <v>213</v>
      </c>
      <c r="D47">
        <v>0</v>
      </c>
      <c r="E47">
        <v>0</v>
      </c>
      <c r="F47">
        <v>19</v>
      </c>
      <c r="G47">
        <v>29024.399999999998</v>
      </c>
      <c r="H47">
        <v>11.550587552731656</v>
      </c>
      <c r="I47">
        <v>17644.677545552877</v>
      </c>
      <c r="J47">
        <v>12</v>
      </c>
      <c r="K47">
        <v>18331.199999999997</v>
      </c>
      <c r="L47">
        <v>14</v>
      </c>
      <c r="M47">
        <v>21386.399999999998</v>
      </c>
      <c r="N47">
        <v>22</v>
      </c>
      <c r="O47">
        <v>33607.199999999997</v>
      </c>
      <c r="P47">
        <v>15</v>
      </c>
      <c r="Q47">
        <v>22914</v>
      </c>
      <c r="R47">
        <v>13</v>
      </c>
      <c r="S47">
        <v>19858.8</v>
      </c>
      <c r="T47">
        <v>20</v>
      </c>
      <c r="U47">
        <v>30552</v>
      </c>
      <c r="V47">
        <v>18</v>
      </c>
      <c r="W47">
        <v>27496.799999999999</v>
      </c>
      <c r="X47">
        <v>14</v>
      </c>
      <c r="Y47">
        <v>21386.399999999998</v>
      </c>
      <c r="Z47">
        <v>16</v>
      </c>
      <c r="AA47">
        <v>24441.599999999999</v>
      </c>
      <c r="AB47">
        <v>20</v>
      </c>
      <c r="AC47">
        <v>30552</v>
      </c>
      <c r="AD47">
        <v>19</v>
      </c>
      <c r="AE47">
        <v>29024.399999999998</v>
      </c>
      <c r="AF47">
        <v>15</v>
      </c>
      <c r="AG47">
        <v>22914</v>
      </c>
      <c r="AH47">
        <v>22</v>
      </c>
      <c r="AI47">
        <v>33607.199999999997</v>
      </c>
      <c r="AJ47">
        <v>19</v>
      </c>
      <c r="AK47">
        <v>29024.399999999998</v>
      </c>
      <c r="AL47">
        <v>17</v>
      </c>
      <c r="AM47">
        <v>25969.199999999997</v>
      </c>
      <c r="AN47">
        <v>19</v>
      </c>
      <c r="AO47">
        <v>29024.399999999998</v>
      </c>
      <c r="AP47">
        <v>13</v>
      </c>
      <c r="AQ47">
        <v>19858.8</v>
      </c>
      <c r="AR47">
        <v>13</v>
      </c>
      <c r="AS47">
        <v>19858.8</v>
      </c>
      <c r="AT47">
        <v>11</v>
      </c>
      <c r="AU47">
        <v>16803.599999999999</v>
      </c>
      <c r="AV47">
        <v>23</v>
      </c>
      <c r="AW47">
        <v>35134.799999999996</v>
      </c>
      <c r="AX47">
        <v>13</v>
      </c>
      <c r="AY47">
        <v>19858.8</v>
      </c>
      <c r="AZ47">
        <v>17</v>
      </c>
      <c r="BA47">
        <v>25969.199999999997</v>
      </c>
      <c r="BB47">
        <v>16</v>
      </c>
      <c r="BC47">
        <v>24441.599999999999</v>
      </c>
      <c r="BD47">
        <v>23</v>
      </c>
      <c r="BE47">
        <v>35134.799999999996</v>
      </c>
      <c r="BF47">
        <v>20</v>
      </c>
      <c r="BG47">
        <v>30552</v>
      </c>
      <c r="BH47">
        <v>15</v>
      </c>
      <c r="BI47">
        <v>22914</v>
      </c>
      <c r="BJ47">
        <v>17</v>
      </c>
      <c r="BK47">
        <v>25969.199999999997</v>
      </c>
      <c r="BL47">
        <v>22</v>
      </c>
      <c r="BM47">
        <v>33607.199999999997</v>
      </c>
      <c r="BN47">
        <v>17</v>
      </c>
      <c r="BO47">
        <v>25969.199999999997</v>
      </c>
      <c r="BP47">
        <v>21</v>
      </c>
      <c r="BQ47">
        <v>32079.599999999999</v>
      </c>
      <c r="BR47">
        <v>15</v>
      </c>
      <c r="BS47">
        <v>22914</v>
      </c>
      <c r="BT47">
        <v>24</v>
      </c>
      <c r="BU47">
        <v>36662.399999999994</v>
      </c>
      <c r="BV47">
        <v>15</v>
      </c>
      <c r="BW47">
        <v>22914</v>
      </c>
      <c r="BX47">
        <v>14</v>
      </c>
      <c r="BY47">
        <v>21386.399999999998</v>
      </c>
      <c r="BZ47">
        <v>11</v>
      </c>
      <c r="CA47">
        <v>16803.599999999999</v>
      </c>
      <c r="CB47">
        <v>17</v>
      </c>
      <c r="CC47">
        <v>25969.199999999997</v>
      </c>
      <c r="CD47">
        <v>13</v>
      </c>
      <c r="CE47">
        <v>19858.8</v>
      </c>
      <c r="CF47">
        <v>19</v>
      </c>
      <c r="CG47">
        <v>29024.399999999998</v>
      </c>
      <c r="CH47">
        <v>14</v>
      </c>
      <c r="CI47">
        <v>21386.399999999998</v>
      </c>
      <c r="CJ47">
        <v>20</v>
      </c>
      <c r="CK47">
        <v>30552</v>
      </c>
      <c r="CL47">
        <v>16</v>
      </c>
      <c r="CM47">
        <v>24441.599999999999</v>
      </c>
      <c r="CN47">
        <v>16</v>
      </c>
      <c r="CO47">
        <v>24441.599999999999</v>
      </c>
      <c r="CP47">
        <v>19</v>
      </c>
      <c r="CQ47">
        <v>29024.399999999998</v>
      </c>
      <c r="CR47">
        <v>18</v>
      </c>
      <c r="CS47">
        <v>27496.799999999999</v>
      </c>
      <c r="CT47">
        <v>13</v>
      </c>
      <c r="CU47">
        <v>19858.8</v>
      </c>
    </row>
    <row r="48" spans="2:99" x14ac:dyDescent="0.2">
      <c r="C48" s="116" t="s">
        <v>214</v>
      </c>
      <c r="D48">
        <v>0</v>
      </c>
      <c r="E48">
        <v>0</v>
      </c>
      <c r="F48">
        <v>22</v>
      </c>
      <c r="G48">
        <v>19087.2</v>
      </c>
      <c r="H48">
        <v>12.513136515459294</v>
      </c>
      <c r="I48">
        <v>10856.397240812485</v>
      </c>
      <c r="J48">
        <v>14</v>
      </c>
      <c r="K48">
        <v>12146.4</v>
      </c>
      <c r="L48">
        <v>17</v>
      </c>
      <c r="M48">
        <v>14749.2</v>
      </c>
      <c r="N48">
        <v>24</v>
      </c>
      <c r="O48">
        <v>20822.400000000001</v>
      </c>
      <c r="P48">
        <v>16</v>
      </c>
      <c r="Q48">
        <v>13881.6</v>
      </c>
      <c r="R48">
        <v>16</v>
      </c>
      <c r="S48">
        <v>13881.6</v>
      </c>
      <c r="T48">
        <v>20</v>
      </c>
      <c r="U48">
        <v>17352</v>
      </c>
      <c r="V48">
        <v>20</v>
      </c>
      <c r="W48">
        <v>17352</v>
      </c>
      <c r="X48">
        <v>13</v>
      </c>
      <c r="Y48">
        <v>11278.800000000001</v>
      </c>
      <c r="Z48">
        <v>19</v>
      </c>
      <c r="AA48">
        <v>16484.400000000001</v>
      </c>
      <c r="AB48">
        <v>21</v>
      </c>
      <c r="AC48">
        <v>18219.600000000002</v>
      </c>
      <c r="AD48">
        <v>18</v>
      </c>
      <c r="AE48">
        <v>15616.800000000001</v>
      </c>
      <c r="AF48">
        <v>18</v>
      </c>
      <c r="AG48">
        <v>15616.800000000001</v>
      </c>
      <c r="AH48">
        <v>24</v>
      </c>
      <c r="AI48">
        <v>20822.400000000001</v>
      </c>
      <c r="AJ48">
        <v>20</v>
      </c>
      <c r="AK48">
        <v>17352</v>
      </c>
      <c r="AL48">
        <v>16</v>
      </c>
      <c r="AM48">
        <v>13881.6</v>
      </c>
      <c r="AN48">
        <v>18</v>
      </c>
      <c r="AO48">
        <v>15616.800000000001</v>
      </c>
      <c r="AP48">
        <v>16</v>
      </c>
      <c r="AQ48">
        <v>13881.6</v>
      </c>
      <c r="AR48">
        <v>17</v>
      </c>
      <c r="AS48">
        <v>14749.2</v>
      </c>
      <c r="AT48">
        <v>12</v>
      </c>
      <c r="AU48">
        <v>10411.200000000001</v>
      </c>
      <c r="AV48">
        <v>24</v>
      </c>
      <c r="AW48">
        <v>20822.400000000001</v>
      </c>
      <c r="AX48">
        <v>15</v>
      </c>
      <c r="AY48">
        <v>13014</v>
      </c>
      <c r="AZ48">
        <v>17</v>
      </c>
      <c r="BA48">
        <v>14749.2</v>
      </c>
      <c r="BB48">
        <v>15</v>
      </c>
      <c r="BC48">
        <v>13014</v>
      </c>
      <c r="BD48">
        <v>20</v>
      </c>
      <c r="BE48">
        <v>17352</v>
      </c>
      <c r="BF48">
        <v>20</v>
      </c>
      <c r="BG48">
        <v>17352</v>
      </c>
      <c r="BH48">
        <v>16</v>
      </c>
      <c r="BI48">
        <v>13881.6</v>
      </c>
      <c r="BJ48">
        <v>21</v>
      </c>
      <c r="BK48">
        <v>18219.600000000002</v>
      </c>
      <c r="BL48">
        <v>24</v>
      </c>
      <c r="BM48">
        <v>20822.400000000001</v>
      </c>
      <c r="BN48">
        <v>15</v>
      </c>
      <c r="BO48">
        <v>13014</v>
      </c>
      <c r="BP48">
        <v>23</v>
      </c>
      <c r="BQ48">
        <v>19954.8</v>
      </c>
      <c r="BR48">
        <v>16</v>
      </c>
      <c r="BS48">
        <v>13881.6</v>
      </c>
      <c r="BT48">
        <v>23</v>
      </c>
      <c r="BU48">
        <v>19954.8</v>
      </c>
      <c r="BV48">
        <v>15</v>
      </c>
      <c r="BW48">
        <v>13014</v>
      </c>
      <c r="BX48">
        <v>16</v>
      </c>
      <c r="BY48">
        <v>13881.6</v>
      </c>
      <c r="BZ48">
        <v>14</v>
      </c>
      <c r="CA48">
        <v>12146.4</v>
      </c>
      <c r="CB48">
        <v>18</v>
      </c>
      <c r="CC48">
        <v>15616.800000000001</v>
      </c>
      <c r="CD48">
        <v>13</v>
      </c>
      <c r="CE48">
        <v>11278.800000000001</v>
      </c>
      <c r="CF48">
        <v>18</v>
      </c>
      <c r="CG48">
        <v>15616.800000000001</v>
      </c>
      <c r="CH48">
        <v>13</v>
      </c>
      <c r="CI48">
        <v>11278.800000000001</v>
      </c>
      <c r="CJ48">
        <v>23</v>
      </c>
      <c r="CK48">
        <v>19954.8</v>
      </c>
      <c r="CL48">
        <v>19</v>
      </c>
      <c r="CM48">
        <v>16484.400000000001</v>
      </c>
      <c r="CN48">
        <v>16</v>
      </c>
      <c r="CO48">
        <v>13881.6</v>
      </c>
      <c r="CP48">
        <v>20</v>
      </c>
      <c r="CQ48">
        <v>17352</v>
      </c>
      <c r="CR48">
        <v>21</v>
      </c>
      <c r="CS48">
        <v>18219.600000000002</v>
      </c>
      <c r="CT48">
        <v>14</v>
      </c>
      <c r="CU48">
        <v>12146.4</v>
      </c>
    </row>
    <row r="49" spans="2:99" x14ac:dyDescent="0.2">
      <c r="B49" s="116" t="s">
        <v>129</v>
      </c>
      <c r="C49" s="116" t="s">
        <v>215</v>
      </c>
      <c r="D49">
        <v>13</v>
      </c>
      <c r="E49">
        <v>12807.599999999999</v>
      </c>
      <c r="F49">
        <v>12</v>
      </c>
      <c r="G49">
        <v>11822.4</v>
      </c>
      <c r="H49">
        <v>13</v>
      </c>
      <c r="I49">
        <v>12807.599999999999</v>
      </c>
      <c r="J49">
        <v>9</v>
      </c>
      <c r="K49">
        <v>8866.7999999999993</v>
      </c>
      <c r="L49">
        <v>14</v>
      </c>
      <c r="M49">
        <v>13792.8</v>
      </c>
      <c r="N49">
        <v>14</v>
      </c>
      <c r="O49">
        <v>13792.8</v>
      </c>
      <c r="P49">
        <v>13</v>
      </c>
      <c r="Q49">
        <v>12807.599999999999</v>
      </c>
      <c r="R49">
        <v>17</v>
      </c>
      <c r="S49">
        <v>16748.399999999998</v>
      </c>
      <c r="T49">
        <v>19</v>
      </c>
      <c r="U49">
        <v>18718.8</v>
      </c>
      <c r="V49">
        <v>15</v>
      </c>
      <c r="W49">
        <v>14777.999999999998</v>
      </c>
      <c r="X49">
        <v>19</v>
      </c>
      <c r="Y49">
        <v>18718.8</v>
      </c>
      <c r="Z49">
        <v>13</v>
      </c>
      <c r="AA49">
        <v>12807.599999999999</v>
      </c>
      <c r="AB49">
        <v>12</v>
      </c>
      <c r="AC49">
        <v>11822.4</v>
      </c>
      <c r="AD49">
        <v>18</v>
      </c>
      <c r="AE49">
        <v>17733.599999999999</v>
      </c>
      <c r="AF49">
        <v>13</v>
      </c>
      <c r="AG49">
        <v>12807.599999999999</v>
      </c>
      <c r="AH49">
        <v>16</v>
      </c>
      <c r="AI49">
        <v>15763.199999999999</v>
      </c>
      <c r="AJ49">
        <v>10</v>
      </c>
      <c r="AK49">
        <v>9852</v>
      </c>
      <c r="AL49">
        <v>17</v>
      </c>
      <c r="AM49">
        <v>16748.399999999998</v>
      </c>
      <c r="AN49">
        <v>10</v>
      </c>
      <c r="AO49">
        <v>9852</v>
      </c>
      <c r="AP49">
        <v>18</v>
      </c>
      <c r="AQ49">
        <v>17733.599999999999</v>
      </c>
      <c r="AR49">
        <v>20</v>
      </c>
      <c r="AS49">
        <v>19704</v>
      </c>
      <c r="AT49">
        <v>10</v>
      </c>
      <c r="AU49">
        <v>9852</v>
      </c>
      <c r="AV49">
        <v>16</v>
      </c>
      <c r="AW49">
        <v>15763.199999999999</v>
      </c>
      <c r="AX49">
        <v>17</v>
      </c>
      <c r="AY49">
        <v>16748.399999999998</v>
      </c>
      <c r="AZ49">
        <v>15</v>
      </c>
      <c r="BA49">
        <v>14777.999999999998</v>
      </c>
      <c r="BB49">
        <v>10</v>
      </c>
      <c r="BC49">
        <v>9852</v>
      </c>
      <c r="BD49">
        <v>19</v>
      </c>
      <c r="BE49">
        <v>18718.8</v>
      </c>
      <c r="BF49">
        <v>15</v>
      </c>
      <c r="BG49">
        <v>14777.999999999998</v>
      </c>
      <c r="BH49">
        <v>15</v>
      </c>
      <c r="BI49">
        <v>14777.999999999998</v>
      </c>
      <c r="BJ49">
        <v>15</v>
      </c>
      <c r="BK49">
        <v>14777.999999999998</v>
      </c>
      <c r="BL49">
        <v>11</v>
      </c>
      <c r="BM49">
        <v>10837.199999999999</v>
      </c>
      <c r="BN49">
        <v>15</v>
      </c>
      <c r="BO49">
        <v>14777.999999999998</v>
      </c>
      <c r="BP49">
        <v>17</v>
      </c>
      <c r="BQ49">
        <v>16748.399999999998</v>
      </c>
      <c r="BR49">
        <v>16</v>
      </c>
      <c r="BS49">
        <v>15763.199999999999</v>
      </c>
      <c r="BT49">
        <v>18</v>
      </c>
      <c r="BU49">
        <v>17733.599999999999</v>
      </c>
      <c r="BV49">
        <v>21</v>
      </c>
      <c r="BW49">
        <v>20689.199999999997</v>
      </c>
      <c r="BX49">
        <v>15</v>
      </c>
      <c r="BY49">
        <v>14777.999999999998</v>
      </c>
      <c r="BZ49">
        <v>16</v>
      </c>
      <c r="CA49">
        <v>15763.199999999999</v>
      </c>
      <c r="CB49">
        <v>12</v>
      </c>
      <c r="CC49">
        <v>11822.4</v>
      </c>
      <c r="CD49">
        <v>16</v>
      </c>
      <c r="CE49">
        <v>15763.199999999999</v>
      </c>
      <c r="CF49">
        <v>15</v>
      </c>
      <c r="CG49">
        <v>14777.999999999998</v>
      </c>
      <c r="CH49">
        <v>16</v>
      </c>
      <c r="CI49">
        <v>15763.199999999999</v>
      </c>
      <c r="CJ49">
        <v>11</v>
      </c>
      <c r="CK49">
        <v>10837.199999999999</v>
      </c>
      <c r="CL49">
        <v>17</v>
      </c>
      <c r="CM49">
        <v>16748.399999999998</v>
      </c>
      <c r="CN49">
        <v>16</v>
      </c>
      <c r="CO49">
        <v>15763.199999999999</v>
      </c>
      <c r="CP49">
        <v>13</v>
      </c>
      <c r="CQ49">
        <v>12807.599999999999</v>
      </c>
      <c r="CR49">
        <v>17</v>
      </c>
      <c r="CS49">
        <v>16748.399999999998</v>
      </c>
      <c r="CT49">
        <v>18</v>
      </c>
      <c r="CU49">
        <v>17733.599999999999</v>
      </c>
    </row>
    <row r="50" spans="2:99" x14ac:dyDescent="0.2">
      <c r="C50" s="116" t="s">
        <v>216</v>
      </c>
      <c r="D50">
        <v>0</v>
      </c>
      <c r="E50">
        <v>0</v>
      </c>
      <c r="F50">
        <v>12</v>
      </c>
      <c r="G50">
        <v>3384</v>
      </c>
      <c r="H50">
        <v>12.513136515459294</v>
      </c>
      <c r="I50">
        <v>3528.7044973595212</v>
      </c>
      <c r="J50">
        <v>11</v>
      </c>
      <c r="K50">
        <v>3102</v>
      </c>
      <c r="L50">
        <v>16</v>
      </c>
      <c r="M50">
        <v>4512</v>
      </c>
      <c r="N50">
        <v>15</v>
      </c>
      <c r="O50">
        <v>4230</v>
      </c>
      <c r="P50">
        <v>15</v>
      </c>
      <c r="Q50">
        <v>4230</v>
      </c>
      <c r="R50">
        <v>21</v>
      </c>
      <c r="S50">
        <v>5922</v>
      </c>
      <c r="T50">
        <v>19</v>
      </c>
      <c r="U50">
        <v>5358</v>
      </c>
      <c r="V50">
        <v>14</v>
      </c>
      <c r="W50">
        <v>3948</v>
      </c>
      <c r="X50">
        <v>22</v>
      </c>
      <c r="Y50">
        <v>6204</v>
      </c>
      <c r="Z50">
        <v>16</v>
      </c>
      <c r="AA50">
        <v>4512</v>
      </c>
      <c r="AB50">
        <v>14</v>
      </c>
      <c r="AC50">
        <v>3948</v>
      </c>
      <c r="AD50">
        <v>17</v>
      </c>
      <c r="AE50">
        <v>4794</v>
      </c>
      <c r="AF50">
        <v>17</v>
      </c>
      <c r="AG50">
        <v>4794</v>
      </c>
      <c r="AH50">
        <v>15</v>
      </c>
      <c r="AI50">
        <v>4230</v>
      </c>
      <c r="AJ50">
        <v>10</v>
      </c>
      <c r="AK50">
        <v>2820</v>
      </c>
      <c r="AL50">
        <v>16</v>
      </c>
      <c r="AM50">
        <v>4512</v>
      </c>
      <c r="AN50">
        <v>10</v>
      </c>
      <c r="AO50">
        <v>2820</v>
      </c>
      <c r="AP50">
        <v>19</v>
      </c>
      <c r="AQ50">
        <v>5358</v>
      </c>
      <c r="AR50">
        <v>20</v>
      </c>
      <c r="AS50">
        <v>5640</v>
      </c>
      <c r="AT50">
        <v>11</v>
      </c>
      <c r="AU50">
        <v>3102</v>
      </c>
      <c r="AV50">
        <v>17</v>
      </c>
      <c r="AW50">
        <v>4794</v>
      </c>
      <c r="AX50">
        <v>18</v>
      </c>
      <c r="AY50">
        <v>5076</v>
      </c>
      <c r="AZ50">
        <v>19</v>
      </c>
      <c r="BA50">
        <v>5358</v>
      </c>
      <c r="BB50">
        <v>12</v>
      </c>
      <c r="BC50">
        <v>3384</v>
      </c>
      <c r="BD50">
        <v>20</v>
      </c>
      <c r="BE50">
        <v>5640</v>
      </c>
      <c r="BF50">
        <v>16</v>
      </c>
      <c r="BG50">
        <v>4512</v>
      </c>
      <c r="BH50">
        <v>18</v>
      </c>
      <c r="BI50">
        <v>5076</v>
      </c>
      <c r="BJ50">
        <v>17</v>
      </c>
      <c r="BK50">
        <v>4794</v>
      </c>
      <c r="BL50">
        <v>13</v>
      </c>
      <c r="BM50">
        <v>3666</v>
      </c>
      <c r="BN50">
        <v>15</v>
      </c>
      <c r="BO50">
        <v>4230</v>
      </c>
      <c r="BP50">
        <v>16</v>
      </c>
      <c r="BQ50">
        <v>4512</v>
      </c>
      <c r="BR50">
        <v>20</v>
      </c>
      <c r="BS50">
        <v>5640</v>
      </c>
      <c r="BT50">
        <v>21</v>
      </c>
      <c r="BU50">
        <v>5922</v>
      </c>
      <c r="BV50">
        <v>19</v>
      </c>
      <c r="BW50">
        <v>5358</v>
      </c>
      <c r="BX50">
        <v>15</v>
      </c>
      <c r="BY50">
        <v>4230</v>
      </c>
      <c r="BZ50">
        <v>15</v>
      </c>
      <c r="CA50">
        <v>4230</v>
      </c>
      <c r="CB50">
        <v>12</v>
      </c>
      <c r="CC50">
        <v>3384</v>
      </c>
      <c r="CD50">
        <v>19</v>
      </c>
      <c r="CE50">
        <v>5358</v>
      </c>
      <c r="CF50">
        <v>18</v>
      </c>
      <c r="CG50">
        <v>5076</v>
      </c>
      <c r="CH50">
        <v>15</v>
      </c>
      <c r="CI50">
        <v>4230</v>
      </c>
      <c r="CJ50">
        <v>12</v>
      </c>
      <c r="CK50">
        <v>3384</v>
      </c>
      <c r="CL50">
        <v>20</v>
      </c>
      <c r="CM50">
        <v>5640</v>
      </c>
      <c r="CN50">
        <v>18</v>
      </c>
      <c r="CO50">
        <v>5076</v>
      </c>
      <c r="CP50">
        <v>13</v>
      </c>
      <c r="CQ50">
        <v>3666</v>
      </c>
      <c r="CR50">
        <v>19</v>
      </c>
      <c r="CS50">
        <v>5358</v>
      </c>
      <c r="CT50">
        <v>22</v>
      </c>
      <c r="CU50">
        <v>6204</v>
      </c>
    </row>
    <row r="51" spans="2:99" x14ac:dyDescent="0.2">
      <c r="C51" s="116" t="s">
        <v>217</v>
      </c>
      <c r="D51">
        <v>0</v>
      </c>
      <c r="E51">
        <v>0</v>
      </c>
      <c r="F51">
        <v>13</v>
      </c>
      <c r="G51">
        <v>11107.199999999999</v>
      </c>
      <c r="H51">
        <v>11.550587552731656</v>
      </c>
      <c r="I51">
        <v>9868.8220050539276</v>
      </c>
      <c r="J51">
        <v>10</v>
      </c>
      <c r="K51">
        <v>8544</v>
      </c>
      <c r="L51">
        <v>14</v>
      </c>
      <c r="M51">
        <v>11961.6</v>
      </c>
      <c r="N51">
        <v>14</v>
      </c>
      <c r="O51">
        <v>11961.6</v>
      </c>
      <c r="P51">
        <v>13</v>
      </c>
      <c r="Q51">
        <v>11107.199999999999</v>
      </c>
      <c r="R51">
        <v>17</v>
      </c>
      <c r="S51">
        <v>14524.8</v>
      </c>
      <c r="T51">
        <v>19</v>
      </c>
      <c r="U51">
        <v>16233.6</v>
      </c>
      <c r="V51">
        <v>13</v>
      </c>
      <c r="W51">
        <v>11107.199999999999</v>
      </c>
      <c r="X51">
        <v>20</v>
      </c>
      <c r="Y51">
        <v>17088</v>
      </c>
      <c r="Z51">
        <v>15</v>
      </c>
      <c r="AA51">
        <v>12816</v>
      </c>
      <c r="AB51">
        <v>11</v>
      </c>
      <c r="AC51">
        <v>9398.4</v>
      </c>
      <c r="AD51">
        <v>16</v>
      </c>
      <c r="AE51">
        <v>13670.4</v>
      </c>
      <c r="AF51">
        <v>15</v>
      </c>
      <c r="AG51">
        <v>12816</v>
      </c>
      <c r="AH51">
        <v>16</v>
      </c>
      <c r="AI51">
        <v>13670.4</v>
      </c>
      <c r="AJ51">
        <v>9</v>
      </c>
      <c r="AK51">
        <v>7689.5999999999995</v>
      </c>
      <c r="AL51">
        <v>16</v>
      </c>
      <c r="AM51">
        <v>13670.4</v>
      </c>
      <c r="AN51">
        <v>10</v>
      </c>
      <c r="AO51">
        <v>8544</v>
      </c>
      <c r="AP51">
        <v>21</v>
      </c>
      <c r="AQ51">
        <v>17942.399999999998</v>
      </c>
      <c r="AR51">
        <v>19</v>
      </c>
      <c r="AS51">
        <v>16233.6</v>
      </c>
      <c r="AT51">
        <v>12</v>
      </c>
      <c r="AU51">
        <v>10252.799999999999</v>
      </c>
      <c r="AV51">
        <v>17</v>
      </c>
      <c r="AW51">
        <v>14524.8</v>
      </c>
      <c r="AX51">
        <v>16</v>
      </c>
      <c r="AY51">
        <v>13670.4</v>
      </c>
      <c r="AZ51">
        <v>19</v>
      </c>
      <c r="BA51">
        <v>16233.6</v>
      </c>
      <c r="BB51">
        <v>11</v>
      </c>
      <c r="BC51">
        <v>9398.4</v>
      </c>
      <c r="BD51">
        <v>19</v>
      </c>
      <c r="BE51">
        <v>16233.6</v>
      </c>
      <c r="BF51">
        <v>15</v>
      </c>
      <c r="BG51">
        <v>12816</v>
      </c>
      <c r="BH51">
        <v>16</v>
      </c>
      <c r="BI51">
        <v>13670.4</v>
      </c>
      <c r="BJ51">
        <v>14</v>
      </c>
      <c r="BK51">
        <v>11961.6</v>
      </c>
      <c r="BL51">
        <v>14</v>
      </c>
      <c r="BM51">
        <v>11961.6</v>
      </c>
      <c r="BN51">
        <v>16</v>
      </c>
      <c r="BO51">
        <v>13670.4</v>
      </c>
      <c r="BP51">
        <v>17</v>
      </c>
      <c r="BQ51">
        <v>14524.8</v>
      </c>
      <c r="BR51">
        <v>16</v>
      </c>
      <c r="BS51">
        <v>13670.4</v>
      </c>
      <c r="BT51">
        <v>20</v>
      </c>
      <c r="BU51">
        <v>17088</v>
      </c>
      <c r="BV51">
        <v>18</v>
      </c>
      <c r="BW51">
        <v>15379.199999999999</v>
      </c>
      <c r="BX51">
        <v>14</v>
      </c>
      <c r="BY51">
        <v>11961.6</v>
      </c>
      <c r="BZ51">
        <v>16</v>
      </c>
      <c r="CA51">
        <v>13670.4</v>
      </c>
      <c r="CB51">
        <v>10</v>
      </c>
      <c r="CC51">
        <v>8544</v>
      </c>
      <c r="CD51">
        <v>18</v>
      </c>
      <c r="CE51">
        <v>15379.199999999999</v>
      </c>
      <c r="CF51">
        <v>18</v>
      </c>
      <c r="CG51">
        <v>15379.199999999999</v>
      </c>
      <c r="CH51">
        <v>14</v>
      </c>
      <c r="CI51">
        <v>11961.6</v>
      </c>
      <c r="CJ51">
        <v>10</v>
      </c>
      <c r="CK51">
        <v>8544</v>
      </c>
      <c r="CL51">
        <v>19</v>
      </c>
      <c r="CM51">
        <v>16233.6</v>
      </c>
      <c r="CN51">
        <v>16</v>
      </c>
      <c r="CO51">
        <v>13670.4</v>
      </c>
      <c r="CP51">
        <v>12</v>
      </c>
      <c r="CQ51">
        <v>10252.799999999999</v>
      </c>
      <c r="CR51">
        <v>17</v>
      </c>
      <c r="CS51">
        <v>14524.8</v>
      </c>
      <c r="CT51">
        <v>20</v>
      </c>
      <c r="CU51">
        <v>17088</v>
      </c>
    </row>
    <row r="52" spans="2:99" x14ac:dyDescent="0.2">
      <c r="C52" s="116" t="s">
        <v>218</v>
      </c>
      <c r="D52">
        <v>0</v>
      </c>
      <c r="E52">
        <v>0</v>
      </c>
      <c r="F52">
        <v>13</v>
      </c>
      <c r="G52">
        <v>7020</v>
      </c>
      <c r="H52">
        <v>13.475685478186932</v>
      </c>
      <c r="I52">
        <v>7276.8701582209433</v>
      </c>
      <c r="J52">
        <v>11</v>
      </c>
      <c r="K52">
        <v>5940</v>
      </c>
      <c r="L52">
        <v>13</v>
      </c>
      <c r="M52">
        <v>7020</v>
      </c>
      <c r="N52">
        <v>14</v>
      </c>
      <c r="O52">
        <v>7560</v>
      </c>
      <c r="P52">
        <v>14</v>
      </c>
      <c r="Q52">
        <v>7560</v>
      </c>
      <c r="R52">
        <v>19</v>
      </c>
      <c r="S52">
        <v>10260</v>
      </c>
      <c r="T52">
        <v>20</v>
      </c>
      <c r="U52">
        <v>10800</v>
      </c>
      <c r="V52">
        <v>13</v>
      </c>
      <c r="W52">
        <v>7020</v>
      </c>
      <c r="X52">
        <v>21</v>
      </c>
      <c r="Y52">
        <v>11340</v>
      </c>
      <c r="Z52">
        <v>14</v>
      </c>
      <c r="AA52">
        <v>7560</v>
      </c>
      <c r="AB52">
        <v>14</v>
      </c>
      <c r="AC52">
        <v>7560</v>
      </c>
      <c r="AD52">
        <v>17</v>
      </c>
      <c r="AE52">
        <v>9180</v>
      </c>
      <c r="AF52">
        <v>16</v>
      </c>
      <c r="AG52">
        <v>8640</v>
      </c>
      <c r="AH52">
        <v>15</v>
      </c>
      <c r="AI52">
        <v>8100</v>
      </c>
      <c r="AJ52">
        <v>10</v>
      </c>
      <c r="AK52">
        <v>5400</v>
      </c>
      <c r="AL52">
        <v>15</v>
      </c>
      <c r="AM52">
        <v>8100</v>
      </c>
      <c r="AN52">
        <v>10</v>
      </c>
      <c r="AO52">
        <v>5400</v>
      </c>
      <c r="AP52">
        <v>20</v>
      </c>
      <c r="AQ52">
        <v>10800</v>
      </c>
      <c r="AR52">
        <v>20</v>
      </c>
      <c r="AS52">
        <v>10800</v>
      </c>
      <c r="AT52">
        <v>13</v>
      </c>
      <c r="AU52">
        <v>7020</v>
      </c>
      <c r="AV52">
        <v>17</v>
      </c>
      <c r="AW52">
        <v>9180</v>
      </c>
      <c r="AX52">
        <v>18</v>
      </c>
      <c r="AY52">
        <v>9720</v>
      </c>
      <c r="AZ52">
        <v>17</v>
      </c>
      <c r="BA52">
        <v>9180</v>
      </c>
      <c r="BB52">
        <v>11</v>
      </c>
      <c r="BC52">
        <v>5940</v>
      </c>
      <c r="BD52">
        <v>16</v>
      </c>
      <c r="BE52">
        <v>8640</v>
      </c>
      <c r="BF52">
        <v>14</v>
      </c>
      <c r="BG52">
        <v>7560</v>
      </c>
      <c r="BH52">
        <v>18</v>
      </c>
      <c r="BI52">
        <v>9720</v>
      </c>
      <c r="BJ52">
        <v>16</v>
      </c>
      <c r="BK52">
        <v>8640</v>
      </c>
      <c r="BL52">
        <v>13</v>
      </c>
      <c r="BM52">
        <v>7020</v>
      </c>
      <c r="BN52">
        <v>16</v>
      </c>
      <c r="BO52">
        <v>8640</v>
      </c>
      <c r="BP52">
        <v>15</v>
      </c>
      <c r="BQ52">
        <v>8100</v>
      </c>
      <c r="BR52">
        <v>18</v>
      </c>
      <c r="BS52">
        <v>9720</v>
      </c>
      <c r="BT52">
        <v>19</v>
      </c>
      <c r="BU52">
        <v>10260</v>
      </c>
      <c r="BV52">
        <v>18</v>
      </c>
      <c r="BW52">
        <v>9720</v>
      </c>
      <c r="BX52">
        <v>14</v>
      </c>
      <c r="BY52">
        <v>7560</v>
      </c>
      <c r="BZ52">
        <v>17</v>
      </c>
      <c r="CA52">
        <v>9180</v>
      </c>
      <c r="CB52">
        <v>13</v>
      </c>
      <c r="CC52">
        <v>7020</v>
      </c>
      <c r="CD52">
        <v>17</v>
      </c>
      <c r="CE52">
        <v>9180</v>
      </c>
      <c r="CF52">
        <v>17</v>
      </c>
      <c r="CG52">
        <v>9180</v>
      </c>
      <c r="CH52">
        <v>17</v>
      </c>
      <c r="CI52">
        <v>9180</v>
      </c>
      <c r="CJ52">
        <v>12</v>
      </c>
      <c r="CK52">
        <v>6480</v>
      </c>
      <c r="CL52">
        <v>18</v>
      </c>
      <c r="CM52">
        <v>9720</v>
      </c>
      <c r="CN52">
        <v>19</v>
      </c>
      <c r="CO52">
        <v>10260</v>
      </c>
      <c r="CP52">
        <v>13</v>
      </c>
      <c r="CQ52">
        <v>7020</v>
      </c>
      <c r="CR52">
        <v>19</v>
      </c>
      <c r="CS52">
        <v>10260</v>
      </c>
      <c r="CT52">
        <v>18</v>
      </c>
      <c r="CU52">
        <v>9720</v>
      </c>
    </row>
    <row r="53" spans="2:99" x14ac:dyDescent="0.2">
      <c r="C53" s="116" t="s">
        <v>219</v>
      </c>
      <c r="D53">
        <v>0</v>
      </c>
      <c r="E53">
        <v>0</v>
      </c>
      <c r="F53">
        <v>13</v>
      </c>
      <c r="G53">
        <v>5288.4000000000005</v>
      </c>
      <c r="H53">
        <v>12.513136515459294</v>
      </c>
      <c r="I53">
        <v>5090.3439344888411</v>
      </c>
      <c r="J53">
        <v>11</v>
      </c>
      <c r="K53">
        <v>4474.8</v>
      </c>
      <c r="L53">
        <v>15</v>
      </c>
      <c r="M53">
        <v>6102</v>
      </c>
      <c r="N53">
        <v>14</v>
      </c>
      <c r="O53">
        <v>5695.2</v>
      </c>
      <c r="P53">
        <v>15</v>
      </c>
      <c r="Q53">
        <v>6102</v>
      </c>
      <c r="R53">
        <v>19</v>
      </c>
      <c r="S53">
        <v>7729.2</v>
      </c>
      <c r="T53">
        <v>20</v>
      </c>
      <c r="U53">
        <v>8136</v>
      </c>
      <c r="V53">
        <v>13</v>
      </c>
      <c r="W53">
        <v>5288.4000000000005</v>
      </c>
      <c r="X53">
        <v>20</v>
      </c>
      <c r="Y53">
        <v>8136</v>
      </c>
      <c r="Z53">
        <v>16</v>
      </c>
      <c r="AA53">
        <v>6508.8</v>
      </c>
      <c r="AB53">
        <v>13</v>
      </c>
      <c r="AC53">
        <v>5288.4000000000005</v>
      </c>
      <c r="AD53">
        <v>17</v>
      </c>
      <c r="AE53">
        <v>6915.6</v>
      </c>
      <c r="AF53">
        <v>15</v>
      </c>
      <c r="AG53">
        <v>6102</v>
      </c>
      <c r="AH53">
        <v>17</v>
      </c>
      <c r="AI53">
        <v>6915.6</v>
      </c>
      <c r="AJ53">
        <v>11</v>
      </c>
      <c r="AK53">
        <v>4474.8</v>
      </c>
      <c r="AL53">
        <v>16</v>
      </c>
      <c r="AM53">
        <v>6508.8</v>
      </c>
      <c r="AN53">
        <v>10</v>
      </c>
      <c r="AO53">
        <v>4068</v>
      </c>
      <c r="AP53">
        <v>19</v>
      </c>
      <c r="AQ53">
        <v>7729.2</v>
      </c>
      <c r="AR53">
        <v>22</v>
      </c>
      <c r="AS53">
        <v>8949.6</v>
      </c>
      <c r="AT53">
        <v>13</v>
      </c>
      <c r="AU53">
        <v>5288.4000000000005</v>
      </c>
      <c r="AV53">
        <v>17</v>
      </c>
      <c r="AW53">
        <v>6915.6</v>
      </c>
      <c r="AX53">
        <v>18</v>
      </c>
      <c r="AY53">
        <v>7322.4000000000005</v>
      </c>
      <c r="AZ53">
        <v>20</v>
      </c>
      <c r="BA53">
        <v>8136</v>
      </c>
      <c r="BB53">
        <v>10</v>
      </c>
      <c r="BC53">
        <v>4068</v>
      </c>
      <c r="BD53">
        <v>20</v>
      </c>
      <c r="BE53">
        <v>8136</v>
      </c>
      <c r="BF53">
        <v>15</v>
      </c>
      <c r="BG53">
        <v>6102</v>
      </c>
      <c r="BH53">
        <v>19</v>
      </c>
      <c r="BI53">
        <v>7729.2</v>
      </c>
      <c r="BJ53">
        <v>15</v>
      </c>
      <c r="BK53">
        <v>6102</v>
      </c>
      <c r="BL53">
        <v>14</v>
      </c>
      <c r="BM53">
        <v>5695.2</v>
      </c>
      <c r="BN53">
        <v>14</v>
      </c>
      <c r="BO53">
        <v>5695.2</v>
      </c>
      <c r="BP53">
        <v>18</v>
      </c>
      <c r="BQ53">
        <v>7322.4000000000005</v>
      </c>
      <c r="BR53">
        <v>17</v>
      </c>
      <c r="BS53">
        <v>6915.6</v>
      </c>
      <c r="BT53">
        <v>22</v>
      </c>
      <c r="BU53">
        <v>8949.6</v>
      </c>
      <c r="BV53">
        <v>22</v>
      </c>
      <c r="BW53">
        <v>8949.6</v>
      </c>
      <c r="BX53">
        <v>16</v>
      </c>
      <c r="BY53">
        <v>6508.8</v>
      </c>
      <c r="BZ53">
        <v>17</v>
      </c>
      <c r="CA53">
        <v>6915.6</v>
      </c>
      <c r="CB53">
        <v>11</v>
      </c>
      <c r="CC53">
        <v>4474.8</v>
      </c>
      <c r="CD53">
        <v>18</v>
      </c>
      <c r="CE53">
        <v>7322.4000000000005</v>
      </c>
      <c r="CF53">
        <v>17</v>
      </c>
      <c r="CG53">
        <v>6915.6</v>
      </c>
      <c r="CH53">
        <v>18</v>
      </c>
      <c r="CI53">
        <v>7322.4000000000005</v>
      </c>
      <c r="CJ53">
        <v>12</v>
      </c>
      <c r="CK53">
        <v>4881.6000000000004</v>
      </c>
      <c r="CL53">
        <v>19</v>
      </c>
      <c r="CM53">
        <v>7729.2</v>
      </c>
      <c r="CN53">
        <v>17</v>
      </c>
      <c r="CO53">
        <v>6915.6</v>
      </c>
      <c r="CP53">
        <v>14</v>
      </c>
      <c r="CQ53">
        <v>5695.2</v>
      </c>
      <c r="CR53">
        <v>19</v>
      </c>
      <c r="CS53">
        <v>7729.2</v>
      </c>
      <c r="CT53">
        <v>20</v>
      </c>
      <c r="CU53">
        <v>8136</v>
      </c>
    </row>
    <row r="54" spans="2:99" x14ac:dyDescent="0.2">
      <c r="C54" s="116" t="s">
        <v>220</v>
      </c>
      <c r="D54">
        <v>0</v>
      </c>
      <c r="E54">
        <v>0</v>
      </c>
      <c r="F54">
        <v>12</v>
      </c>
      <c r="G54">
        <v>4017.6000000000004</v>
      </c>
      <c r="H54">
        <v>12.513136515459294</v>
      </c>
      <c r="I54">
        <v>4189.3981053757716</v>
      </c>
      <c r="J54">
        <v>12</v>
      </c>
      <c r="K54">
        <v>4017.6000000000004</v>
      </c>
      <c r="L54">
        <v>15</v>
      </c>
      <c r="M54">
        <v>5022</v>
      </c>
      <c r="N54">
        <v>14</v>
      </c>
      <c r="O54">
        <v>4687.2</v>
      </c>
      <c r="P54">
        <v>14</v>
      </c>
      <c r="Q54">
        <v>4687.2</v>
      </c>
      <c r="R54">
        <v>19</v>
      </c>
      <c r="S54">
        <v>6361.2</v>
      </c>
      <c r="T54">
        <v>19</v>
      </c>
      <c r="U54">
        <v>6361.2</v>
      </c>
      <c r="V54">
        <v>16</v>
      </c>
      <c r="W54">
        <v>5356.8</v>
      </c>
      <c r="X54">
        <v>21</v>
      </c>
      <c r="Y54">
        <v>7030.8</v>
      </c>
      <c r="Z54">
        <v>16</v>
      </c>
      <c r="AA54">
        <v>5356.8</v>
      </c>
      <c r="AB54">
        <v>13</v>
      </c>
      <c r="AC54">
        <v>4352.4000000000005</v>
      </c>
      <c r="AD54">
        <v>17</v>
      </c>
      <c r="AE54">
        <v>5691.6</v>
      </c>
      <c r="AF54">
        <v>16</v>
      </c>
      <c r="AG54">
        <v>5356.8</v>
      </c>
      <c r="AH54">
        <v>16</v>
      </c>
      <c r="AI54">
        <v>5356.8</v>
      </c>
      <c r="AJ54">
        <v>10</v>
      </c>
      <c r="AK54">
        <v>3348</v>
      </c>
      <c r="AL54">
        <v>16</v>
      </c>
      <c r="AM54">
        <v>5356.8</v>
      </c>
      <c r="AN54">
        <v>11</v>
      </c>
      <c r="AO54">
        <v>3682.8</v>
      </c>
      <c r="AP54">
        <v>21</v>
      </c>
      <c r="AQ54">
        <v>7030.8</v>
      </c>
      <c r="AR54">
        <v>18</v>
      </c>
      <c r="AS54">
        <v>6026.4000000000005</v>
      </c>
      <c r="AT54">
        <v>11</v>
      </c>
      <c r="AU54">
        <v>3682.8</v>
      </c>
      <c r="AV54">
        <v>15</v>
      </c>
      <c r="AW54">
        <v>5022</v>
      </c>
      <c r="AX54">
        <v>18</v>
      </c>
      <c r="AY54">
        <v>6026.4000000000005</v>
      </c>
      <c r="AZ54">
        <v>18</v>
      </c>
      <c r="BA54">
        <v>6026.4000000000005</v>
      </c>
      <c r="BB54">
        <v>11</v>
      </c>
      <c r="BC54">
        <v>3682.8</v>
      </c>
      <c r="BD54">
        <v>18</v>
      </c>
      <c r="BE54">
        <v>6026.4000000000005</v>
      </c>
      <c r="BF54">
        <v>15</v>
      </c>
      <c r="BG54">
        <v>5022</v>
      </c>
      <c r="BH54">
        <v>18</v>
      </c>
      <c r="BI54">
        <v>6026.4000000000005</v>
      </c>
      <c r="BJ54">
        <v>14</v>
      </c>
      <c r="BK54">
        <v>4687.2</v>
      </c>
      <c r="BL54">
        <v>13</v>
      </c>
      <c r="BM54">
        <v>4352.4000000000005</v>
      </c>
      <c r="BN54">
        <v>16</v>
      </c>
      <c r="BO54">
        <v>5356.8</v>
      </c>
      <c r="BP54">
        <v>17</v>
      </c>
      <c r="BQ54">
        <v>5691.6</v>
      </c>
      <c r="BR54">
        <v>19</v>
      </c>
      <c r="BS54">
        <v>6361.2</v>
      </c>
      <c r="BT54">
        <v>19</v>
      </c>
      <c r="BU54">
        <v>6361.2</v>
      </c>
      <c r="BV54">
        <v>21</v>
      </c>
      <c r="BW54">
        <v>7030.8</v>
      </c>
      <c r="BX54">
        <v>17</v>
      </c>
      <c r="BY54">
        <v>5691.6</v>
      </c>
      <c r="BZ54">
        <v>16</v>
      </c>
      <c r="CA54">
        <v>5356.8</v>
      </c>
      <c r="CB54">
        <v>12</v>
      </c>
      <c r="CC54">
        <v>4017.6000000000004</v>
      </c>
      <c r="CD54">
        <v>21</v>
      </c>
      <c r="CE54">
        <v>7030.8</v>
      </c>
      <c r="CF54">
        <v>18</v>
      </c>
      <c r="CG54">
        <v>6026.4000000000005</v>
      </c>
      <c r="CH54">
        <v>18</v>
      </c>
      <c r="CI54">
        <v>6026.4000000000005</v>
      </c>
      <c r="CJ54">
        <v>12</v>
      </c>
      <c r="CK54">
        <v>4017.6000000000004</v>
      </c>
      <c r="CL54">
        <v>18</v>
      </c>
      <c r="CM54">
        <v>6026.4000000000005</v>
      </c>
      <c r="CN54">
        <v>17</v>
      </c>
      <c r="CO54">
        <v>5691.6</v>
      </c>
      <c r="CP54">
        <v>13</v>
      </c>
      <c r="CQ54">
        <v>4352.4000000000005</v>
      </c>
      <c r="CR54">
        <v>18</v>
      </c>
      <c r="CS54">
        <v>6026.4000000000005</v>
      </c>
      <c r="CT54">
        <v>19</v>
      </c>
      <c r="CU54">
        <v>6361.2</v>
      </c>
    </row>
    <row r="55" spans="2:99" x14ac:dyDescent="0.2">
      <c r="C55" s="116" t="s">
        <v>221</v>
      </c>
      <c r="D55">
        <v>0</v>
      </c>
      <c r="E55">
        <v>0</v>
      </c>
      <c r="F55">
        <v>14</v>
      </c>
      <c r="G55">
        <v>9290.4</v>
      </c>
      <c r="H55">
        <v>11.550587552731656</v>
      </c>
      <c r="I55">
        <v>7664.9698999927277</v>
      </c>
      <c r="J55">
        <v>10</v>
      </c>
      <c r="K55">
        <v>6636</v>
      </c>
      <c r="L55">
        <v>15</v>
      </c>
      <c r="M55">
        <v>9954</v>
      </c>
      <c r="N55">
        <v>14</v>
      </c>
      <c r="O55">
        <v>9290.4</v>
      </c>
      <c r="P55">
        <v>14</v>
      </c>
      <c r="Q55">
        <v>9290.4</v>
      </c>
      <c r="R55">
        <v>19</v>
      </c>
      <c r="S55">
        <v>12608.4</v>
      </c>
      <c r="T55">
        <v>17</v>
      </c>
      <c r="U55">
        <v>11281.2</v>
      </c>
      <c r="V55">
        <v>15</v>
      </c>
      <c r="W55">
        <v>9954</v>
      </c>
      <c r="X55">
        <v>21</v>
      </c>
      <c r="Y55">
        <v>13935.6</v>
      </c>
      <c r="Z55">
        <v>16</v>
      </c>
      <c r="AA55">
        <v>10617.6</v>
      </c>
      <c r="AB55">
        <v>12</v>
      </c>
      <c r="AC55">
        <v>7963.2000000000007</v>
      </c>
      <c r="AD55">
        <v>17</v>
      </c>
      <c r="AE55">
        <v>11281.2</v>
      </c>
      <c r="AF55">
        <v>16</v>
      </c>
      <c r="AG55">
        <v>10617.6</v>
      </c>
      <c r="AH55">
        <v>14</v>
      </c>
      <c r="AI55">
        <v>9290.4</v>
      </c>
      <c r="AJ55">
        <v>11</v>
      </c>
      <c r="AK55">
        <v>7299.6</v>
      </c>
      <c r="AL55">
        <v>17</v>
      </c>
      <c r="AM55">
        <v>11281.2</v>
      </c>
      <c r="AN55">
        <v>10</v>
      </c>
      <c r="AO55">
        <v>6636</v>
      </c>
      <c r="AP55">
        <v>18</v>
      </c>
      <c r="AQ55">
        <v>11944.800000000001</v>
      </c>
      <c r="AR55">
        <v>20</v>
      </c>
      <c r="AS55">
        <v>13272</v>
      </c>
      <c r="AT55">
        <v>11</v>
      </c>
      <c r="AU55">
        <v>7299.6</v>
      </c>
      <c r="AV55">
        <v>15</v>
      </c>
      <c r="AW55">
        <v>9954</v>
      </c>
      <c r="AX55">
        <v>15</v>
      </c>
      <c r="AY55">
        <v>9954</v>
      </c>
      <c r="AZ55">
        <v>18</v>
      </c>
      <c r="BA55">
        <v>11944.800000000001</v>
      </c>
      <c r="BB55">
        <v>11</v>
      </c>
      <c r="BC55">
        <v>7299.6</v>
      </c>
      <c r="BD55">
        <v>18</v>
      </c>
      <c r="BE55">
        <v>11944.800000000001</v>
      </c>
      <c r="BF55">
        <v>16</v>
      </c>
      <c r="BG55">
        <v>10617.6</v>
      </c>
      <c r="BH55">
        <v>16</v>
      </c>
      <c r="BI55">
        <v>10617.6</v>
      </c>
      <c r="BJ55">
        <v>16</v>
      </c>
      <c r="BK55">
        <v>10617.6</v>
      </c>
      <c r="BL55">
        <v>13</v>
      </c>
      <c r="BM55">
        <v>8626.8000000000011</v>
      </c>
      <c r="BN55">
        <v>14</v>
      </c>
      <c r="BO55">
        <v>9290.4</v>
      </c>
      <c r="BP55">
        <v>17</v>
      </c>
      <c r="BQ55">
        <v>11281.2</v>
      </c>
      <c r="BR55">
        <v>17</v>
      </c>
      <c r="BS55">
        <v>11281.2</v>
      </c>
      <c r="BT55">
        <v>18</v>
      </c>
      <c r="BU55">
        <v>11944.800000000001</v>
      </c>
      <c r="BV55">
        <v>21</v>
      </c>
      <c r="BW55">
        <v>13935.6</v>
      </c>
      <c r="BX55">
        <v>14</v>
      </c>
      <c r="BY55">
        <v>9290.4</v>
      </c>
      <c r="BZ55">
        <v>14</v>
      </c>
      <c r="CA55">
        <v>9290.4</v>
      </c>
      <c r="CB55">
        <v>12</v>
      </c>
      <c r="CC55">
        <v>7963.2000000000007</v>
      </c>
      <c r="CD55">
        <v>20</v>
      </c>
      <c r="CE55">
        <v>13272</v>
      </c>
      <c r="CF55">
        <v>17</v>
      </c>
      <c r="CG55">
        <v>11281.2</v>
      </c>
      <c r="CH55">
        <v>15</v>
      </c>
      <c r="CI55">
        <v>9954</v>
      </c>
      <c r="CJ55">
        <v>12</v>
      </c>
      <c r="CK55">
        <v>7963.2000000000007</v>
      </c>
      <c r="CL55">
        <v>17</v>
      </c>
      <c r="CM55">
        <v>11281.2</v>
      </c>
      <c r="CN55">
        <v>16</v>
      </c>
      <c r="CO55">
        <v>10617.6</v>
      </c>
      <c r="CP55">
        <v>12</v>
      </c>
      <c r="CQ55">
        <v>7963.2000000000007</v>
      </c>
      <c r="CR55">
        <v>18</v>
      </c>
      <c r="CS55">
        <v>11944.800000000001</v>
      </c>
      <c r="CT55">
        <v>21</v>
      </c>
      <c r="CU55">
        <v>13935.6</v>
      </c>
    </row>
    <row r="56" spans="2:99" x14ac:dyDescent="0.2">
      <c r="C56" s="116" t="s">
        <v>222</v>
      </c>
      <c r="D56">
        <v>12</v>
      </c>
      <c r="E56">
        <v>13809.599999999999</v>
      </c>
      <c r="F56">
        <v>13</v>
      </c>
      <c r="G56">
        <v>14960.4</v>
      </c>
      <c r="H56">
        <v>11</v>
      </c>
      <c r="I56">
        <v>12658.8</v>
      </c>
      <c r="J56">
        <v>9</v>
      </c>
      <c r="K56">
        <v>10357.199999999999</v>
      </c>
      <c r="L56">
        <v>12</v>
      </c>
      <c r="M56">
        <v>13809.599999999999</v>
      </c>
      <c r="N56">
        <v>13</v>
      </c>
      <c r="O56">
        <v>14960.4</v>
      </c>
      <c r="P56">
        <v>14</v>
      </c>
      <c r="Q56">
        <v>16111.199999999999</v>
      </c>
      <c r="R56">
        <v>16</v>
      </c>
      <c r="S56">
        <v>18412.8</v>
      </c>
      <c r="T56">
        <v>15</v>
      </c>
      <c r="U56">
        <v>17262</v>
      </c>
      <c r="V56">
        <v>13</v>
      </c>
      <c r="W56">
        <v>14960.4</v>
      </c>
      <c r="X56">
        <v>19</v>
      </c>
      <c r="Y56">
        <v>21865.200000000001</v>
      </c>
      <c r="Z56">
        <v>15</v>
      </c>
      <c r="AA56">
        <v>17262</v>
      </c>
      <c r="AB56">
        <v>11</v>
      </c>
      <c r="AC56">
        <v>12658.8</v>
      </c>
      <c r="AD56">
        <v>16</v>
      </c>
      <c r="AE56">
        <v>18412.8</v>
      </c>
      <c r="AF56">
        <v>15</v>
      </c>
      <c r="AG56">
        <v>17262</v>
      </c>
      <c r="AH56">
        <v>15</v>
      </c>
      <c r="AI56">
        <v>17262</v>
      </c>
      <c r="AJ56">
        <v>10</v>
      </c>
      <c r="AK56">
        <v>11508</v>
      </c>
      <c r="AL56">
        <v>15</v>
      </c>
      <c r="AM56">
        <v>17262</v>
      </c>
      <c r="AN56">
        <v>10</v>
      </c>
      <c r="AO56">
        <v>11508</v>
      </c>
      <c r="AP56">
        <v>19</v>
      </c>
      <c r="AQ56">
        <v>21865.200000000001</v>
      </c>
      <c r="AR56">
        <v>17</v>
      </c>
      <c r="AS56">
        <v>19563.599999999999</v>
      </c>
      <c r="AT56">
        <v>11</v>
      </c>
      <c r="AU56">
        <v>12658.8</v>
      </c>
      <c r="AV56">
        <v>15</v>
      </c>
      <c r="AW56">
        <v>17262</v>
      </c>
      <c r="AX56">
        <v>17</v>
      </c>
      <c r="AY56">
        <v>19563.599999999999</v>
      </c>
      <c r="AZ56">
        <v>16</v>
      </c>
      <c r="BA56">
        <v>18412.8</v>
      </c>
      <c r="BB56">
        <v>11</v>
      </c>
      <c r="BC56">
        <v>12658.8</v>
      </c>
      <c r="BD56">
        <v>16</v>
      </c>
      <c r="BE56">
        <v>18412.8</v>
      </c>
      <c r="BF56">
        <v>15</v>
      </c>
      <c r="BG56">
        <v>17262</v>
      </c>
      <c r="BH56">
        <v>17</v>
      </c>
      <c r="BI56">
        <v>19563.599999999999</v>
      </c>
      <c r="BJ56">
        <v>13</v>
      </c>
      <c r="BK56">
        <v>14960.4</v>
      </c>
      <c r="BL56">
        <v>11</v>
      </c>
      <c r="BM56">
        <v>12658.8</v>
      </c>
      <c r="BN56">
        <v>15</v>
      </c>
      <c r="BO56">
        <v>17262</v>
      </c>
      <c r="BP56">
        <v>15</v>
      </c>
      <c r="BQ56">
        <v>17262</v>
      </c>
      <c r="BR56">
        <v>19</v>
      </c>
      <c r="BS56">
        <v>21865.200000000001</v>
      </c>
      <c r="BT56">
        <v>20</v>
      </c>
      <c r="BU56">
        <v>23016</v>
      </c>
      <c r="BV56">
        <v>19</v>
      </c>
      <c r="BW56">
        <v>21865.200000000001</v>
      </c>
      <c r="BX56">
        <v>16</v>
      </c>
      <c r="BY56">
        <v>18412.8</v>
      </c>
      <c r="BZ56">
        <v>14</v>
      </c>
      <c r="CA56">
        <v>16111.199999999999</v>
      </c>
      <c r="CB56">
        <v>12</v>
      </c>
      <c r="CC56">
        <v>13809.599999999999</v>
      </c>
      <c r="CD56">
        <v>17</v>
      </c>
      <c r="CE56">
        <v>19563.599999999999</v>
      </c>
      <c r="CF56">
        <v>15</v>
      </c>
      <c r="CG56">
        <v>17262</v>
      </c>
      <c r="CH56">
        <v>16</v>
      </c>
      <c r="CI56">
        <v>18412.8</v>
      </c>
      <c r="CJ56">
        <v>10</v>
      </c>
      <c r="CK56">
        <v>11508</v>
      </c>
      <c r="CL56">
        <v>18</v>
      </c>
      <c r="CM56">
        <v>20714.399999999998</v>
      </c>
      <c r="CN56">
        <v>16</v>
      </c>
      <c r="CO56">
        <v>18412.8</v>
      </c>
      <c r="CP56">
        <v>12</v>
      </c>
      <c r="CQ56">
        <v>13809.599999999999</v>
      </c>
      <c r="CR56">
        <v>15</v>
      </c>
      <c r="CS56">
        <v>17262</v>
      </c>
      <c r="CT56">
        <v>17</v>
      </c>
      <c r="CU56">
        <v>19563.599999999999</v>
      </c>
    </row>
    <row r="57" spans="2:99" x14ac:dyDescent="0.2">
      <c r="C57" s="116" t="s">
        <v>223</v>
      </c>
      <c r="D57">
        <v>0</v>
      </c>
      <c r="E57">
        <v>0</v>
      </c>
      <c r="F57">
        <v>13</v>
      </c>
      <c r="G57">
        <v>18345.600000000002</v>
      </c>
      <c r="H57">
        <v>11.550587552731656</v>
      </c>
      <c r="I57">
        <v>16300.189154414913</v>
      </c>
      <c r="J57">
        <v>9</v>
      </c>
      <c r="K57">
        <v>12700.800000000001</v>
      </c>
      <c r="L57">
        <v>12</v>
      </c>
      <c r="M57">
        <v>16934.400000000001</v>
      </c>
      <c r="N57">
        <v>13</v>
      </c>
      <c r="O57">
        <v>18345.600000000002</v>
      </c>
      <c r="P57">
        <v>13</v>
      </c>
      <c r="Q57">
        <v>18345.600000000002</v>
      </c>
      <c r="R57">
        <v>19</v>
      </c>
      <c r="S57">
        <v>26812.799999999999</v>
      </c>
      <c r="T57">
        <v>17</v>
      </c>
      <c r="U57">
        <v>23990.400000000001</v>
      </c>
      <c r="V57">
        <v>12</v>
      </c>
      <c r="W57">
        <v>16934.400000000001</v>
      </c>
      <c r="X57">
        <v>17</v>
      </c>
      <c r="Y57">
        <v>23990.400000000001</v>
      </c>
      <c r="Z57">
        <v>13</v>
      </c>
      <c r="AA57">
        <v>18345.600000000002</v>
      </c>
      <c r="AB57">
        <v>11</v>
      </c>
      <c r="AC57">
        <v>15523.2</v>
      </c>
      <c r="AD57">
        <v>15</v>
      </c>
      <c r="AE57">
        <v>21168</v>
      </c>
      <c r="AF57">
        <v>13</v>
      </c>
      <c r="AG57">
        <v>18345.600000000002</v>
      </c>
      <c r="AH57">
        <v>14</v>
      </c>
      <c r="AI57">
        <v>19756.8</v>
      </c>
      <c r="AJ57">
        <v>10</v>
      </c>
      <c r="AK57">
        <v>14112</v>
      </c>
      <c r="AL57">
        <v>15</v>
      </c>
      <c r="AM57">
        <v>21168</v>
      </c>
      <c r="AN57">
        <v>9</v>
      </c>
      <c r="AO57">
        <v>12700.800000000001</v>
      </c>
      <c r="AP57">
        <v>19</v>
      </c>
      <c r="AQ57">
        <v>26812.799999999999</v>
      </c>
      <c r="AR57">
        <v>16</v>
      </c>
      <c r="AS57">
        <v>22579.200000000001</v>
      </c>
      <c r="AT57">
        <v>12</v>
      </c>
      <c r="AU57">
        <v>16934.400000000001</v>
      </c>
      <c r="AV57">
        <v>16</v>
      </c>
      <c r="AW57">
        <v>22579.200000000001</v>
      </c>
      <c r="AX57">
        <v>14</v>
      </c>
      <c r="AY57">
        <v>19756.8</v>
      </c>
      <c r="AZ57">
        <v>16</v>
      </c>
      <c r="BA57">
        <v>22579.200000000001</v>
      </c>
      <c r="BB57">
        <v>9</v>
      </c>
      <c r="BC57">
        <v>12700.800000000001</v>
      </c>
      <c r="BD57">
        <v>16</v>
      </c>
      <c r="BE57">
        <v>22579.200000000001</v>
      </c>
      <c r="BF57">
        <v>14</v>
      </c>
      <c r="BG57">
        <v>19756.8</v>
      </c>
      <c r="BH57">
        <v>15</v>
      </c>
      <c r="BI57">
        <v>21168</v>
      </c>
      <c r="BJ57">
        <v>15</v>
      </c>
      <c r="BK57">
        <v>21168</v>
      </c>
      <c r="BL57">
        <v>11</v>
      </c>
      <c r="BM57">
        <v>15523.2</v>
      </c>
      <c r="BN57">
        <v>13</v>
      </c>
      <c r="BO57">
        <v>18345.600000000002</v>
      </c>
      <c r="BP57">
        <v>14</v>
      </c>
      <c r="BQ57">
        <v>19756.8</v>
      </c>
      <c r="BR57">
        <v>17</v>
      </c>
      <c r="BS57">
        <v>23990.400000000001</v>
      </c>
      <c r="BT57">
        <v>17</v>
      </c>
      <c r="BU57">
        <v>23990.400000000001</v>
      </c>
      <c r="BV57">
        <v>20</v>
      </c>
      <c r="BW57">
        <v>28224</v>
      </c>
      <c r="BX57">
        <v>15</v>
      </c>
      <c r="BY57">
        <v>21168</v>
      </c>
      <c r="BZ57">
        <v>16</v>
      </c>
      <c r="CA57">
        <v>22579.200000000001</v>
      </c>
      <c r="CB57">
        <v>11</v>
      </c>
      <c r="CC57">
        <v>15523.2</v>
      </c>
      <c r="CD57">
        <v>18</v>
      </c>
      <c r="CE57">
        <v>25401.600000000002</v>
      </c>
      <c r="CF57">
        <v>18</v>
      </c>
      <c r="CG57">
        <v>25401.600000000002</v>
      </c>
      <c r="CH57">
        <v>16</v>
      </c>
      <c r="CI57">
        <v>22579.200000000001</v>
      </c>
      <c r="CJ57">
        <v>11</v>
      </c>
      <c r="CK57">
        <v>15523.2</v>
      </c>
      <c r="CL57">
        <v>15</v>
      </c>
      <c r="CM57">
        <v>21168</v>
      </c>
      <c r="CN57">
        <v>17</v>
      </c>
      <c r="CO57">
        <v>23990.400000000001</v>
      </c>
      <c r="CP57">
        <v>12</v>
      </c>
      <c r="CQ57">
        <v>16934.400000000001</v>
      </c>
      <c r="CR57">
        <v>15</v>
      </c>
      <c r="CS57">
        <v>21168</v>
      </c>
      <c r="CT57">
        <v>17</v>
      </c>
      <c r="CU57">
        <v>23990.400000000001</v>
      </c>
    </row>
    <row r="58" spans="2:99" x14ac:dyDescent="0.2">
      <c r="C58" s="116" t="s">
        <v>224</v>
      </c>
      <c r="D58">
        <v>12</v>
      </c>
      <c r="E58">
        <v>14126.400000000001</v>
      </c>
      <c r="F58">
        <v>12</v>
      </c>
      <c r="G58">
        <v>14126.400000000001</v>
      </c>
      <c r="H58">
        <v>14</v>
      </c>
      <c r="I58">
        <v>16480.8</v>
      </c>
      <c r="J58">
        <v>10</v>
      </c>
      <c r="K58">
        <v>11772</v>
      </c>
      <c r="L58">
        <v>14</v>
      </c>
      <c r="M58">
        <v>16480.8</v>
      </c>
      <c r="N58">
        <v>12</v>
      </c>
      <c r="O58">
        <v>14126.400000000001</v>
      </c>
      <c r="P58">
        <v>12</v>
      </c>
      <c r="Q58">
        <v>14126.400000000001</v>
      </c>
      <c r="R58">
        <v>17</v>
      </c>
      <c r="S58">
        <v>20012.400000000001</v>
      </c>
      <c r="T58">
        <v>17</v>
      </c>
      <c r="U58">
        <v>20012.400000000001</v>
      </c>
      <c r="V58">
        <v>14</v>
      </c>
      <c r="W58">
        <v>16480.8</v>
      </c>
      <c r="X58">
        <v>19</v>
      </c>
      <c r="Y58">
        <v>22366.799999999999</v>
      </c>
      <c r="Z58">
        <v>13</v>
      </c>
      <c r="AA58">
        <v>15303.6</v>
      </c>
      <c r="AB58">
        <v>13</v>
      </c>
      <c r="AC58">
        <v>15303.6</v>
      </c>
      <c r="AD58">
        <v>15</v>
      </c>
      <c r="AE58">
        <v>17658</v>
      </c>
      <c r="AF58">
        <v>15</v>
      </c>
      <c r="AG58">
        <v>17658</v>
      </c>
      <c r="AH58">
        <v>14</v>
      </c>
      <c r="AI58">
        <v>16480.8</v>
      </c>
      <c r="AJ58">
        <v>9</v>
      </c>
      <c r="AK58">
        <v>10594.800000000001</v>
      </c>
      <c r="AL58">
        <v>16</v>
      </c>
      <c r="AM58">
        <v>18835.2</v>
      </c>
      <c r="AN58">
        <v>11</v>
      </c>
      <c r="AO58">
        <v>12949.2</v>
      </c>
      <c r="AP58">
        <v>18</v>
      </c>
      <c r="AQ58">
        <v>21189.600000000002</v>
      </c>
      <c r="AR58">
        <v>18</v>
      </c>
      <c r="AS58">
        <v>21189.600000000002</v>
      </c>
      <c r="AT58">
        <v>11</v>
      </c>
      <c r="AU58">
        <v>12949.2</v>
      </c>
      <c r="AV58">
        <v>16</v>
      </c>
      <c r="AW58">
        <v>18835.2</v>
      </c>
      <c r="AX58">
        <v>17</v>
      </c>
      <c r="AY58">
        <v>20012.400000000001</v>
      </c>
      <c r="AZ58">
        <v>18</v>
      </c>
      <c r="BA58">
        <v>21189.600000000002</v>
      </c>
      <c r="BB58">
        <v>10</v>
      </c>
      <c r="BC58">
        <v>11772</v>
      </c>
      <c r="BD58">
        <v>16</v>
      </c>
      <c r="BE58">
        <v>18835.2</v>
      </c>
      <c r="BF58">
        <v>14</v>
      </c>
      <c r="BG58">
        <v>16480.8</v>
      </c>
      <c r="BH58">
        <v>16</v>
      </c>
      <c r="BI58">
        <v>18835.2</v>
      </c>
      <c r="BJ58">
        <v>14</v>
      </c>
      <c r="BK58">
        <v>16480.8</v>
      </c>
      <c r="BL58">
        <v>12</v>
      </c>
      <c r="BM58">
        <v>14126.400000000001</v>
      </c>
      <c r="BN58">
        <v>15</v>
      </c>
      <c r="BO58">
        <v>17658</v>
      </c>
      <c r="BP58">
        <v>15</v>
      </c>
      <c r="BQ58">
        <v>17658</v>
      </c>
      <c r="BR58">
        <v>19</v>
      </c>
      <c r="BS58">
        <v>22366.799999999999</v>
      </c>
      <c r="BT58">
        <v>17</v>
      </c>
      <c r="BU58">
        <v>20012.400000000001</v>
      </c>
      <c r="BV58">
        <v>19</v>
      </c>
      <c r="BW58">
        <v>22366.799999999999</v>
      </c>
      <c r="BX58">
        <v>15</v>
      </c>
      <c r="BY58">
        <v>17658</v>
      </c>
      <c r="BZ58">
        <v>15</v>
      </c>
      <c r="CA58">
        <v>17658</v>
      </c>
      <c r="CB58">
        <v>11</v>
      </c>
      <c r="CC58">
        <v>12949.2</v>
      </c>
      <c r="CD58">
        <v>17</v>
      </c>
      <c r="CE58">
        <v>20012.400000000001</v>
      </c>
      <c r="CF58">
        <v>18</v>
      </c>
      <c r="CG58">
        <v>21189.600000000002</v>
      </c>
      <c r="CH58">
        <v>15</v>
      </c>
      <c r="CI58">
        <v>17658</v>
      </c>
      <c r="CJ58">
        <v>11</v>
      </c>
      <c r="CK58">
        <v>12949.2</v>
      </c>
      <c r="CL58">
        <v>16</v>
      </c>
      <c r="CM58">
        <v>18835.2</v>
      </c>
      <c r="CN58">
        <v>15</v>
      </c>
      <c r="CO58">
        <v>17658</v>
      </c>
      <c r="CP58">
        <v>12</v>
      </c>
      <c r="CQ58">
        <v>14126.400000000001</v>
      </c>
      <c r="CR58">
        <v>17</v>
      </c>
      <c r="CS58">
        <v>20012.400000000001</v>
      </c>
      <c r="CT58">
        <v>19</v>
      </c>
      <c r="CU58">
        <v>22366.799999999999</v>
      </c>
    </row>
    <row r="59" spans="2:99" x14ac:dyDescent="0.2">
      <c r="C59" s="116" t="s">
        <v>225</v>
      </c>
      <c r="D59">
        <v>0</v>
      </c>
      <c r="E59">
        <v>0</v>
      </c>
      <c r="F59">
        <v>12</v>
      </c>
      <c r="G59">
        <v>3643.2</v>
      </c>
      <c r="H59">
        <v>12.513136515459294</v>
      </c>
      <c r="I59">
        <v>3798.9882460934414</v>
      </c>
      <c r="J59">
        <v>10</v>
      </c>
      <c r="K59">
        <v>3035.9999999999995</v>
      </c>
      <c r="L59">
        <v>14</v>
      </c>
      <c r="M59">
        <v>4250.3999999999996</v>
      </c>
      <c r="N59">
        <v>12</v>
      </c>
      <c r="O59">
        <v>3643.2</v>
      </c>
      <c r="P59">
        <v>13</v>
      </c>
      <c r="Q59">
        <v>3946.7999999999997</v>
      </c>
      <c r="R59">
        <v>18</v>
      </c>
      <c r="S59">
        <v>5464.7999999999993</v>
      </c>
      <c r="T59">
        <v>19</v>
      </c>
      <c r="U59">
        <v>5768.4</v>
      </c>
      <c r="V59">
        <v>15</v>
      </c>
      <c r="W59">
        <v>4553.9999999999991</v>
      </c>
      <c r="X59">
        <v>19</v>
      </c>
      <c r="Y59">
        <v>5768.4</v>
      </c>
      <c r="Z59">
        <v>16</v>
      </c>
      <c r="AA59">
        <v>4857.5999999999995</v>
      </c>
      <c r="AB59">
        <v>11</v>
      </c>
      <c r="AC59">
        <v>3339.5999999999995</v>
      </c>
      <c r="AD59">
        <v>16</v>
      </c>
      <c r="AE59">
        <v>4857.5999999999995</v>
      </c>
      <c r="AF59">
        <v>16</v>
      </c>
      <c r="AG59">
        <v>4857.5999999999995</v>
      </c>
      <c r="AH59">
        <v>18</v>
      </c>
      <c r="AI59">
        <v>5464.7999999999993</v>
      </c>
      <c r="AJ59">
        <v>10</v>
      </c>
      <c r="AK59">
        <v>3035.9999999999995</v>
      </c>
      <c r="AL59">
        <v>16</v>
      </c>
      <c r="AM59">
        <v>4857.5999999999995</v>
      </c>
      <c r="AN59">
        <v>11</v>
      </c>
      <c r="AO59">
        <v>3339.5999999999995</v>
      </c>
      <c r="AP59">
        <v>22</v>
      </c>
      <c r="AQ59">
        <v>6679.1999999999989</v>
      </c>
      <c r="AR59">
        <v>20</v>
      </c>
      <c r="AS59">
        <v>6071.9999999999991</v>
      </c>
      <c r="AT59">
        <v>11</v>
      </c>
      <c r="AU59">
        <v>3339.5999999999995</v>
      </c>
      <c r="AV59">
        <v>18</v>
      </c>
      <c r="AW59">
        <v>5464.7999999999993</v>
      </c>
      <c r="AX59">
        <v>19</v>
      </c>
      <c r="AY59">
        <v>5768.4</v>
      </c>
      <c r="AZ59">
        <v>19</v>
      </c>
      <c r="BA59">
        <v>5768.4</v>
      </c>
      <c r="BB59">
        <v>11</v>
      </c>
      <c r="BC59">
        <v>3339.5999999999995</v>
      </c>
      <c r="BD59">
        <v>19</v>
      </c>
      <c r="BE59">
        <v>5768.4</v>
      </c>
      <c r="BF59">
        <v>17</v>
      </c>
      <c r="BG59">
        <v>5161.2</v>
      </c>
      <c r="BH59">
        <v>16</v>
      </c>
      <c r="BI59">
        <v>4857.5999999999995</v>
      </c>
      <c r="BJ59">
        <v>17</v>
      </c>
      <c r="BK59">
        <v>5161.2</v>
      </c>
      <c r="BL59">
        <v>13</v>
      </c>
      <c r="BM59">
        <v>3946.7999999999997</v>
      </c>
      <c r="BN59">
        <v>15</v>
      </c>
      <c r="BO59">
        <v>4553.9999999999991</v>
      </c>
      <c r="BP59">
        <v>17</v>
      </c>
      <c r="BQ59">
        <v>5161.2</v>
      </c>
      <c r="BR59">
        <v>18</v>
      </c>
      <c r="BS59">
        <v>5464.7999999999993</v>
      </c>
      <c r="BT59">
        <v>20</v>
      </c>
      <c r="BU59">
        <v>6071.9999999999991</v>
      </c>
      <c r="BV59">
        <v>20</v>
      </c>
      <c r="BW59">
        <v>6071.9999999999991</v>
      </c>
      <c r="BX59">
        <v>16</v>
      </c>
      <c r="BY59">
        <v>4857.5999999999995</v>
      </c>
      <c r="BZ59">
        <v>16</v>
      </c>
      <c r="CA59">
        <v>4857.5999999999995</v>
      </c>
      <c r="CB59">
        <v>12</v>
      </c>
      <c r="CC59">
        <v>3643.2</v>
      </c>
      <c r="CD59">
        <v>20</v>
      </c>
      <c r="CE59">
        <v>6071.9999999999991</v>
      </c>
      <c r="CF59">
        <v>18</v>
      </c>
      <c r="CG59">
        <v>5464.7999999999993</v>
      </c>
      <c r="CH59">
        <v>17</v>
      </c>
      <c r="CI59">
        <v>5161.2</v>
      </c>
      <c r="CJ59">
        <v>12</v>
      </c>
      <c r="CK59">
        <v>3643.2</v>
      </c>
      <c r="CL59">
        <v>19</v>
      </c>
      <c r="CM59">
        <v>5768.4</v>
      </c>
      <c r="CN59">
        <v>16</v>
      </c>
      <c r="CO59">
        <v>4857.5999999999995</v>
      </c>
      <c r="CP59">
        <v>15</v>
      </c>
      <c r="CQ59">
        <v>4553.9999999999991</v>
      </c>
      <c r="CR59">
        <v>17</v>
      </c>
      <c r="CS59">
        <v>5161.2</v>
      </c>
      <c r="CT59">
        <v>18</v>
      </c>
      <c r="CU59">
        <v>5464.7999999999993</v>
      </c>
    </row>
    <row r="60" spans="2:99" x14ac:dyDescent="0.2">
      <c r="C60" s="116" t="s">
        <v>226</v>
      </c>
      <c r="D60">
        <v>0</v>
      </c>
      <c r="E60">
        <v>0</v>
      </c>
      <c r="F60">
        <v>12</v>
      </c>
      <c r="G60">
        <v>7819.2000000000007</v>
      </c>
      <c r="H60">
        <v>13.475685478186932</v>
      </c>
      <c r="I60">
        <v>8780.7566575866058</v>
      </c>
      <c r="J60">
        <v>10</v>
      </c>
      <c r="K60">
        <v>6516</v>
      </c>
      <c r="L60">
        <v>14</v>
      </c>
      <c r="M60">
        <v>9122.4</v>
      </c>
      <c r="N60">
        <v>14</v>
      </c>
      <c r="O60">
        <v>9122.4</v>
      </c>
      <c r="P60">
        <v>15</v>
      </c>
      <c r="Q60">
        <v>9774</v>
      </c>
      <c r="R60">
        <v>19</v>
      </c>
      <c r="S60">
        <v>12380.4</v>
      </c>
      <c r="T60">
        <v>17</v>
      </c>
      <c r="U60">
        <v>11077.2</v>
      </c>
      <c r="V60">
        <v>13</v>
      </c>
      <c r="W60">
        <v>8470.8000000000011</v>
      </c>
      <c r="X60">
        <v>19</v>
      </c>
      <c r="Y60">
        <v>12380.4</v>
      </c>
      <c r="Z60">
        <v>14</v>
      </c>
      <c r="AA60">
        <v>9122.4</v>
      </c>
      <c r="AB60">
        <v>13</v>
      </c>
      <c r="AC60">
        <v>8470.8000000000011</v>
      </c>
      <c r="AD60">
        <v>18</v>
      </c>
      <c r="AE60">
        <v>11728.800000000001</v>
      </c>
      <c r="AF60">
        <v>16</v>
      </c>
      <c r="AG60">
        <v>10425.6</v>
      </c>
      <c r="AH60">
        <v>16</v>
      </c>
      <c r="AI60">
        <v>10425.6</v>
      </c>
      <c r="AJ60">
        <v>10</v>
      </c>
      <c r="AK60">
        <v>6516</v>
      </c>
      <c r="AL60">
        <v>17</v>
      </c>
      <c r="AM60">
        <v>11077.2</v>
      </c>
      <c r="AN60">
        <v>11</v>
      </c>
      <c r="AO60">
        <v>7167.6</v>
      </c>
      <c r="AP60">
        <v>19</v>
      </c>
      <c r="AQ60">
        <v>12380.4</v>
      </c>
      <c r="AR60">
        <v>21</v>
      </c>
      <c r="AS60">
        <v>13683.6</v>
      </c>
      <c r="AT60">
        <v>12</v>
      </c>
      <c r="AU60">
        <v>7819.2000000000007</v>
      </c>
      <c r="AV60">
        <v>15</v>
      </c>
      <c r="AW60">
        <v>9774</v>
      </c>
      <c r="AX60">
        <v>18</v>
      </c>
      <c r="AY60">
        <v>11728.800000000001</v>
      </c>
      <c r="AZ60">
        <v>18</v>
      </c>
      <c r="BA60">
        <v>11728.800000000001</v>
      </c>
      <c r="BB60">
        <v>10</v>
      </c>
      <c r="BC60">
        <v>6516</v>
      </c>
      <c r="BD60">
        <v>19</v>
      </c>
      <c r="BE60">
        <v>12380.4</v>
      </c>
      <c r="BF60">
        <v>14</v>
      </c>
      <c r="BG60">
        <v>9122.4</v>
      </c>
      <c r="BH60">
        <v>16</v>
      </c>
      <c r="BI60">
        <v>10425.6</v>
      </c>
      <c r="BJ60">
        <v>17</v>
      </c>
      <c r="BK60">
        <v>11077.2</v>
      </c>
      <c r="BL60">
        <v>13</v>
      </c>
      <c r="BM60">
        <v>8470.8000000000011</v>
      </c>
      <c r="BN60">
        <v>14</v>
      </c>
      <c r="BO60">
        <v>9122.4</v>
      </c>
      <c r="BP60">
        <v>16</v>
      </c>
      <c r="BQ60">
        <v>10425.6</v>
      </c>
      <c r="BR60">
        <v>18</v>
      </c>
      <c r="BS60">
        <v>11728.800000000001</v>
      </c>
      <c r="BT60">
        <v>19</v>
      </c>
      <c r="BU60">
        <v>12380.4</v>
      </c>
      <c r="BV60">
        <v>21</v>
      </c>
      <c r="BW60">
        <v>13683.6</v>
      </c>
      <c r="BX60">
        <v>15</v>
      </c>
      <c r="BY60">
        <v>9774</v>
      </c>
      <c r="BZ60">
        <v>16</v>
      </c>
      <c r="CA60">
        <v>10425.6</v>
      </c>
      <c r="CB60">
        <v>11</v>
      </c>
      <c r="CC60">
        <v>7167.6</v>
      </c>
      <c r="CD60">
        <v>20</v>
      </c>
      <c r="CE60">
        <v>13032</v>
      </c>
      <c r="CF60">
        <v>19</v>
      </c>
      <c r="CG60">
        <v>12380.4</v>
      </c>
      <c r="CH60">
        <v>16</v>
      </c>
      <c r="CI60">
        <v>10425.6</v>
      </c>
      <c r="CJ60">
        <v>12</v>
      </c>
      <c r="CK60">
        <v>7819.2000000000007</v>
      </c>
      <c r="CL60">
        <v>19</v>
      </c>
      <c r="CM60">
        <v>12380.4</v>
      </c>
      <c r="CN60">
        <v>16</v>
      </c>
      <c r="CO60">
        <v>10425.6</v>
      </c>
      <c r="CP60">
        <v>14</v>
      </c>
      <c r="CQ60">
        <v>9122.4</v>
      </c>
      <c r="CR60">
        <v>15</v>
      </c>
      <c r="CS60">
        <v>9774</v>
      </c>
      <c r="CT60">
        <v>18</v>
      </c>
      <c r="CU60">
        <v>11728.800000000001</v>
      </c>
    </row>
    <row r="61" spans="2:99" x14ac:dyDescent="0.2">
      <c r="C61" s="116" t="s">
        <v>227</v>
      </c>
      <c r="D61">
        <v>0</v>
      </c>
      <c r="E61">
        <v>0</v>
      </c>
      <c r="F61">
        <v>14</v>
      </c>
      <c r="G61">
        <v>13322.399999999998</v>
      </c>
      <c r="H61">
        <v>12.513136515459294</v>
      </c>
      <c r="I61">
        <v>11907.500708111063</v>
      </c>
      <c r="J61">
        <v>10</v>
      </c>
      <c r="K61">
        <v>9516</v>
      </c>
      <c r="L61">
        <v>12</v>
      </c>
      <c r="M61">
        <v>11419.199999999999</v>
      </c>
      <c r="N61">
        <v>13</v>
      </c>
      <c r="O61">
        <v>12370.8</v>
      </c>
      <c r="P61">
        <v>14</v>
      </c>
      <c r="Q61">
        <v>13322.399999999998</v>
      </c>
      <c r="R61">
        <v>18</v>
      </c>
      <c r="S61">
        <v>17128.8</v>
      </c>
      <c r="T61">
        <v>16</v>
      </c>
      <c r="U61">
        <v>15225.599999999999</v>
      </c>
      <c r="V61">
        <v>12</v>
      </c>
      <c r="W61">
        <v>11419.199999999999</v>
      </c>
      <c r="X61">
        <v>18</v>
      </c>
      <c r="Y61">
        <v>17128.8</v>
      </c>
      <c r="Z61">
        <v>13</v>
      </c>
      <c r="AA61">
        <v>12370.8</v>
      </c>
      <c r="AB61">
        <v>12</v>
      </c>
      <c r="AC61">
        <v>11419.199999999999</v>
      </c>
      <c r="AD61">
        <v>15</v>
      </c>
      <c r="AE61">
        <v>14273.999999999998</v>
      </c>
      <c r="AF61">
        <v>13</v>
      </c>
      <c r="AG61">
        <v>12370.8</v>
      </c>
      <c r="AH61">
        <v>16</v>
      </c>
      <c r="AI61">
        <v>15225.599999999999</v>
      </c>
      <c r="AJ61">
        <v>10</v>
      </c>
      <c r="AK61">
        <v>9516</v>
      </c>
      <c r="AL61">
        <v>17</v>
      </c>
      <c r="AM61">
        <v>16177.199999999999</v>
      </c>
      <c r="AN61">
        <v>10</v>
      </c>
      <c r="AO61">
        <v>9516</v>
      </c>
      <c r="AP61">
        <v>18</v>
      </c>
      <c r="AQ61">
        <v>17128.8</v>
      </c>
      <c r="AR61">
        <v>17</v>
      </c>
      <c r="AS61">
        <v>16177.199999999999</v>
      </c>
      <c r="AT61">
        <v>11</v>
      </c>
      <c r="AU61">
        <v>10467.599999999999</v>
      </c>
      <c r="AV61">
        <v>16</v>
      </c>
      <c r="AW61">
        <v>15225.599999999999</v>
      </c>
      <c r="AX61">
        <v>16</v>
      </c>
      <c r="AY61">
        <v>15225.599999999999</v>
      </c>
      <c r="AZ61">
        <v>18</v>
      </c>
      <c r="BA61">
        <v>17128.8</v>
      </c>
      <c r="BB61">
        <v>10</v>
      </c>
      <c r="BC61">
        <v>9516</v>
      </c>
      <c r="BD61">
        <v>18</v>
      </c>
      <c r="BE61">
        <v>17128.8</v>
      </c>
      <c r="BF61">
        <v>16</v>
      </c>
      <c r="BG61">
        <v>15225.599999999999</v>
      </c>
      <c r="BH61">
        <v>16</v>
      </c>
      <c r="BI61">
        <v>15225.599999999999</v>
      </c>
      <c r="BJ61">
        <v>16</v>
      </c>
      <c r="BK61">
        <v>15225.599999999999</v>
      </c>
      <c r="BL61">
        <v>12</v>
      </c>
      <c r="BM61">
        <v>11419.199999999999</v>
      </c>
      <c r="BN61">
        <v>15</v>
      </c>
      <c r="BO61">
        <v>14273.999999999998</v>
      </c>
      <c r="BP61">
        <v>17</v>
      </c>
      <c r="BQ61">
        <v>16177.199999999999</v>
      </c>
      <c r="BR61">
        <v>19</v>
      </c>
      <c r="BS61">
        <v>18080.399999999998</v>
      </c>
      <c r="BT61">
        <v>20</v>
      </c>
      <c r="BU61">
        <v>19032</v>
      </c>
      <c r="BV61">
        <v>19</v>
      </c>
      <c r="BW61">
        <v>18080.399999999998</v>
      </c>
      <c r="BX61">
        <v>16</v>
      </c>
      <c r="BY61">
        <v>15225.599999999999</v>
      </c>
      <c r="BZ61">
        <v>17</v>
      </c>
      <c r="CA61">
        <v>16177.199999999999</v>
      </c>
      <c r="CB61">
        <v>11</v>
      </c>
      <c r="CC61">
        <v>10467.599999999999</v>
      </c>
      <c r="CD61">
        <v>17</v>
      </c>
      <c r="CE61">
        <v>16177.199999999999</v>
      </c>
      <c r="CF61">
        <v>18</v>
      </c>
      <c r="CG61">
        <v>17128.8</v>
      </c>
      <c r="CH61">
        <v>16</v>
      </c>
      <c r="CI61">
        <v>15225.599999999999</v>
      </c>
      <c r="CJ61">
        <v>11</v>
      </c>
      <c r="CK61">
        <v>10467.599999999999</v>
      </c>
      <c r="CL61">
        <v>17</v>
      </c>
      <c r="CM61">
        <v>16177.199999999999</v>
      </c>
      <c r="CN61">
        <v>16</v>
      </c>
      <c r="CO61">
        <v>15225.599999999999</v>
      </c>
      <c r="CP61">
        <v>13</v>
      </c>
      <c r="CQ61">
        <v>12370.8</v>
      </c>
      <c r="CR61">
        <v>15</v>
      </c>
      <c r="CS61">
        <v>14273.999999999998</v>
      </c>
      <c r="CT61">
        <v>18</v>
      </c>
      <c r="CU61">
        <v>17128.8</v>
      </c>
    </row>
    <row r="62" spans="2:99" x14ac:dyDescent="0.2">
      <c r="C62" s="116" t="s">
        <v>228</v>
      </c>
      <c r="D62">
        <v>0</v>
      </c>
      <c r="E62">
        <v>0</v>
      </c>
      <c r="F62">
        <v>12</v>
      </c>
      <c r="G62">
        <v>20462.400000000001</v>
      </c>
      <c r="H62">
        <v>10.588038590004018</v>
      </c>
      <c r="I62">
        <v>18054.723403674852</v>
      </c>
      <c r="J62">
        <v>9</v>
      </c>
      <c r="K62">
        <v>15346.800000000001</v>
      </c>
      <c r="L62">
        <v>13</v>
      </c>
      <c r="M62">
        <v>22167.600000000002</v>
      </c>
      <c r="N62">
        <v>11</v>
      </c>
      <c r="O62">
        <v>18757.2</v>
      </c>
      <c r="P62">
        <v>13</v>
      </c>
      <c r="Q62">
        <v>22167.600000000002</v>
      </c>
      <c r="R62">
        <v>16</v>
      </c>
      <c r="S62">
        <v>27283.200000000001</v>
      </c>
      <c r="T62">
        <v>15</v>
      </c>
      <c r="U62">
        <v>25578</v>
      </c>
      <c r="V62">
        <v>13</v>
      </c>
      <c r="W62">
        <v>22167.600000000002</v>
      </c>
      <c r="X62">
        <v>18</v>
      </c>
      <c r="Y62">
        <v>30693.600000000002</v>
      </c>
      <c r="Z62">
        <v>12</v>
      </c>
      <c r="AA62">
        <v>20462.400000000001</v>
      </c>
      <c r="AB62">
        <v>11</v>
      </c>
      <c r="AC62">
        <v>18757.2</v>
      </c>
      <c r="AD62">
        <v>16</v>
      </c>
      <c r="AE62">
        <v>27283.200000000001</v>
      </c>
      <c r="AF62">
        <v>14</v>
      </c>
      <c r="AG62">
        <v>23872.799999999999</v>
      </c>
      <c r="AH62">
        <v>13</v>
      </c>
      <c r="AI62">
        <v>22167.600000000002</v>
      </c>
      <c r="AJ62">
        <v>10</v>
      </c>
      <c r="AK62">
        <v>17052</v>
      </c>
      <c r="AL62">
        <v>14</v>
      </c>
      <c r="AM62">
        <v>23872.799999999999</v>
      </c>
      <c r="AN62">
        <v>9</v>
      </c>
      <c r="AO62">
        <v>15346.800000000001</v>
      </c>
      <c r="AP62">
        <v>17</v>
      </c>
      <c r="AQ62">
        <v>28988.400000000001</v>
      </c>
      <c r="AR62">
        <v>17</v>
      </c>
      <c r="AS62">
        <v>28988.400000000001</v>
      </c>
      <c r="AT62">
        <v>10</v>
      </c>
      <c r="AU62">
        <v>17052</v>
      </c>
      <c r="AV62">
        <v>13</v>
      </c>
      <c r="AW62">
        <v>22167.600000000002</v>
      </c>
      <c r="AX62">
        <v>14</v>
      </c>
      <c r="AY62">
        <v>23872.799999999999</v>
      </c>
      <c r="AZ62">
        <v>14</v>
      </c>
      <c r="BA62">
        <v>23872.799999999999</v>
      </c>
      <c r="BB62">
        <v>10</v>
      </c>
      <c r="BC62">
        <v>17052</v>
      </c>
      <c r="BD62">
        <v>14</v>
      </c>
      <c r="BE62">
        <v>23872.799999999999</v>
      </c>
      <c r="BF62">
        <v>14</v>
      </c>
      <c r="BG62">
        <v>23872.799999999999</v>
      </c>
      <c r="BH62">
        <v>16</v>
      </c>
      <c r="BI62">
        <v>27283.200000000001</v>
      </c>
      <c r="BJ62">
        <v>15</v>
      </c>
      <c r="BK62">
        <v>25578</v>
      </c>
      <c r="BL62">
        <v>10</v>
      </c>
      <c r="BM62">
        <v>17052</v>
      </c>
      <c r="BN62">
        <v>14</v>
      </c>
      <c r="BO62">
        <v>23872.799999999999</v>
      </c>
      <c r="BP62">
        <v>15</v>
      </c>
      <c r="BQ62">
        <v>25578</v>
      </c>
      <c r="BR62">
        <v>15</v>
      </c>
      <c r="BS62">
        <v>25578</v>
      </c>
      <c r="BT62">
        <v>19</v>
      </c>
      <c r="BU62">
        <v>32398.799999999999</v>
      </c>
      <c r="BV62">
        <v>18</v>
      </c>
      <c r="BW62">
        <v>30693.600000000002</v>
      </c>
      <c r="BX62">
        <v>14</v>
      </c>
      <c r="BY62">
        <v>23872.799999999999</v>
      </c>
      <c r="BZ62">
        <v>13</v>
      </c>
      <c r="CA62">
        <v>22167.600000000002</v>
      </c>
      <c r="CB62">
        <v>10</v>
      </c>
      <c r="CC62">
        <v>17052</v>
      </c>
      <c r="CD62">
        <v>16</v>
      </c>
      <c r="CE62">
        <v>27283.200000000001</v>
      </c>
      <c r="CF62">
        <v>17</v>
      </c>
      <c r="CG62">
        <v>28988.400000000001</v>
      </c>
      <c r="CH62">
        <v>14</v>
      </c>
      <c r="CI62">
        <v>23872.799999999999</v>
      </c>
      <c r="CJ62">
        <v>11</v>
      </c>
      <c r="CK62">
        <v>18757.2</v>
      </c>
      <c r="CL62">
        <v>15</v>
      </c>
      <c r="CM62">
        <v>25578</v>
      </c>
      <c r="CN62">
        <v>15</v>
      </c>
      <c r="CO62">
        <v>25578</v>
      </c>
      <c r="CP62">
        <v>12</v>
      </c>
      <c r="CQ62">
        <v>20462.400000000001</v>
      </c>
      <c r="CR62">
        <v>17</v>
      </c>
      <c r="CS62">
        <v>28988.400000000001</v>
      </c>
      <c r="CT62">
        <v>17</v>
      </c>
      <c r="CU62">
        <v>28988.400000000001</v>
      </c>
    </row>
    <row r="63" spans="2:99" x14ac:dyDescent="0.2">
      <c r="C63" s="116" t="s">
        <v>229</v>
      </c>
      <c r="D63">
        <v>0</v>
      </c>
      <c r="E63">
        <v>0</v>
      </c>
      <c r="F63">
        <v>13</v>
      </c>
      <c r="G63">
        <v>10342.800000000001</v>
      </c>
      <c r="H63">
        <v>12.513136515459294</v>
      </c>
      <c r="I63">
        <v>9955.4514116994142</v>
      </c>
      <c r="J63">
        <v>10</v>
      </c>
      <c r="K63">
        <v>7956</v>
      </c>
      <c r="L63">
        <v>12</v>
      </c>
      <c r="M63">
        <v>9547.2000000000007</v>
      </c>
      <c r="N63">
        <v>14</v>
      </c>
      <c r="O63">
        <v>11138.4</v>
      </c>
      <c r="P63">
        <v>15</v>
      </c>
      <c r="Q63">
        <v>11934</v>
      </c>
      <c r="R63">
        <v>19</v>
      </c>
      <c r="S63">
        <v>15116.4</v>
      </c>
      <c r="T63">
        <v>18</v>
      </c>
      <c r="U63">
        <v>14320.800000000001</v>
      </c>
      <c r="V63">
        <v>14</v>
      </c>
      <c r="W63">
        <v>11138.4</v>
      </c>
      <c r="X63">
        <v>20</v>
      </c>
      <c r="Y63">
        <v>15912</v>
      </c>
      <c r="Z63">
        <v>16</v>
      </c>
      <c r="AA63">
        <v>12729.6</v>
      </c>
      <c r="AB63">
        <v>11</v>
      </c>
      <c r="AC63">
        <v>8751.6</v>
      </c>
      <c r="AD63">
        <v>18</v>
      </c>
      <c r="AE63">
        <v>14320.800000000001</v>
      </c>
      <c r="AF63">
        <v>15</v>
      </c>
      <c r="AG63">
        <v>11934</v>
      </c>
      <c r="AH63">
        <v>16</v>
      </c>
      <c r="AI63">
        <v>12729.6</v>
      </c>
      <c r="AJ63">
        <v>11</v>
      </c>
      <c r="AK63">
        <v>8751.6</v>
      </c>
      <c r="AL63">
        <v>15</v>
      </c>
      <c r="AM63">
        <v>11934</v>
      </c>
      <c r="AN63">
        <v>11</v>
      </c>
      <c r="AO63">
        <v>8751.6</v>
      </c>
      <c r="AP63">
        <v>20</v>
      </c>
      <c r="AQ63">
        <v>15912</v>
      </c>
      <c r="AR63">
        <v>20</v>
      </c>
      <c r="AS63">
        <v>15912</v>
      </c>
      <c r="AT63">
        <v>11</v>
      </c>
      <c r="AU63">
        <v>8751.6</v>
      </c>
      <c r="AV63">
        <v>16</v>
      </c>
      <c r="AW63">
        <v>12729.6</v>
      </c>
      <c r="AX63">
        <v>18</v>
      </c>
      <c r="AY63">
        <v>14320.800000000001</v>
      </c>
      <c r="AZ63">
        <v>17</v>
      </c>
      <c r="BA63">
        <v>13525.2</v>
      </c>
      <c r="BB63">
        <v>11</v>
      </c>
      <c r="BC63">
        <v>8751.6</v>
      </c>
      <c r="BD63">
        <v>17</v>
      </c>
      <c r="BE63">
        <v>13525.2</v>
      </c>
      <c r="BF63">
        <v>15</v>
      </c>
      <c r="BG63">
        <v>11934</v>
      </c>
      <c r="BH63">
        <v>16</v>
      </c>
      <c r="BI63">
        <v>12729.6</v>
      </c>
      <c r="BJ63">
        <v>15</v>
      </c>
      <c r="BK63">
        <v>11934</v>
      </c>
      <c r="BL63">
        <v>11</v>
      </c>
      <c r="BM63">
        <v>8751.6</v>
      </c>
      <c r="BN63">
        <v>15</v>
      </c>
      <c r="BO63">
        <v>11934</v>
      </c>
      <c r="BP63">
        <v>17</v>
      </c>
      <c r="BQ63">
        <v>13525.2</v>
      </c>
      <c r="BR63">
        <v>17</v>
      </c>
      <c r="BS63">
        <v>13525.2</v>
      </c>
      <c r="BT63">
        <v>19</v>
      </c>
      <c r="BU63">
        <v>15116.4</v>
      </c>
      <c r="BV63">
        <v>18</v>
      </c>
      <c r="BW63">
        <v>14320.800000000001</v>
      </c>
      <c r="BX63">
        <v>14</v>
      </c>
      <c r="BY63">
        <v>11138.4</v>
      </c>
      <c r="BZ63">
        <v>15</v>
      </c>
      <c r="CA63">
        <v>11934</v>
      </c>
      <c r="CB63">
        <v>10</v>
      </c>
      <c r="CC63">
        <v>7956</v>
      </c>
      <c r="CD63">
        <v>19</v>
      </c>
      <c r="CE63">
        <v>15116.4</v>
      </c>
      <c r="CF63">
        <v>17</v>
      </c>
      <c r="CG63">
        <v>13525.2</v>
      </c>
      <c r="CH63">
        <v>15</v>
      </c>
      <c r="CI63">
        <v>11934</v>
      </c>
      <c r="CJ63">
        <v>10</v>
      </c>
      <c r="CK63">
        <v>7956</v>
      </c>
      <c r="CL63">
        <v>18</v>
      </c>
      <c r="CM63">
        <v>14320.800000000001</v>
      </c>
      <c r="CN63">
        <v>15</v>
      </c>
      <c r="CO63">
        <v>11934</v>
      </c>
      <c r="CP63">
        <v>13</v>
      </c>
      <c r="CQ63">
        <v>10342.800000000001</v>
      </c>
      <c r="CR63">
        <v>15</v>
      </c>
      <c r="CS63">
        <v>11934</v>
      </c>
      <c r="CT63">
        <v>19</v>
      </c>
      <c r="CU63">
        <v>15116.4</v>
      </c>
    </row>
    <row r="64" spans="2:99" x14ac:dyDescent="0.2">
      <c r="C64" s="116" t="s">
        <v>230</v>
      </c>
      <c r="D64">
        <v>0</v>
      </c>
      <c r="E64">
        <v>0</v>
      </c>
      <c r="F64">
        <v>12</v>
      </c>
      <c r="G64">
        <v>12110.399999999998</v>
      </c>
      <c r="H64">
        <v>13.475685478186932</v>
      </c>
      <c r="I64">
        <v>13599.661784586249</v>
      </c>
      <c r="J64">
        <v>9</v>
      </c>
      <c r="K64">
        <v>9082.7999999999993</v>
      </c>
      <c r="L64">
        <v>13</v>
      </c>
      <c r="M64">
        <v>13119.599999999999</v>
      </c>
      <c r="N64">
        <v>13</v>
      </c>
      <c r="O64">
        <v>13119.599999999999</v>
      </c>
      <c r="P64">
        <v>14</v>
      </c>
      <c r="Q64">
        <v>14128.799999999997</v>
      </c>
      <c r="R64">
        <v>19</v>
      </c>
      <c r="S64">
        <v>19174.799999999996</v>
      </c>
      <c r="T64">
        <v>17</v>
      </c>
      <c r="U64">
        <v>17156.399999999998</v>
      </c>
      <c r="V64">
        <v>12</v>
      </c>
      <c r="W64">
        <v>12110.399999999998</v>
      </c>
      <c r="X64">
        <v>21</v>
      </c>
      <c r="Y64">
        <v>21193.199999999997</v>
      </c>
      <c r="Z64">
        <v>13</v>
      </c>
      <c r="AA64">
        <v>13119.599999999999</v>
      </c>
      <c r="AB64">
        <v>11</v>
      </c>
      <c r="AC64">
        <v>11101.199999999997</v>
      </c>
      <c r="AD64">
        <v>16</v>
      </c>
      <c r="AE64">
        <v>16147.199999999997</v>
      </c>
      <c r="AF64">
        <v>16</v>
      </c>
      <c r="AG64">
        <v>16147.199999999997</v>
      </c>
      <c r="AH64">
        <v>16</v>
      </c>
      <c r="AI64">
        <v>16147.199999999997</v>
      </c>
      <c r="AJ64">
        <v>11</v>
      </c>
      <c r="AK64">
        <v>11101.199999999997</v>
      </c>
      <c r="AL64">
        <v>15</v>
      </c>
      <c r="AM64">
        <v>15137.999999999996</v>
      </c>
      <c r="AN64">
        <v>10</v>
      </c>
      <c r="AO64">
        <v>10091.999999999998</v>
      </c>
      <c r="AP64">
        <v>18</v>
      </c>
      <c r="AQ64">
        <v>18165.599999999999</v>
      </c>
      <c r="AR64">
        <v>20</v>
      </c>
      <c r="AS64">
        <v>20183.999999999996</v>
      </c>
      <c r="AT64">
        <v>11</v>
      </c>
      <c r="AU64">
        <v>11101.199999999997</v>
      </c>
      <c r="AV64">
        <v>14</v>
      </c>
      <c r="AW64">
        <v>14128.799999999997</v>
      </c>
      <c r="AX64">
        <v>16</v>
      </c>
      <c r="AY64">
        <v>16147.199999999997</v>
      </c>
      <c r="AZ64">
        <v>17</v>
      </c>
      <c r="BA64">
        <v>17156.399999999998</v>
      </c>
      <c r="BB64">
        <v>9</v>
      </c>
      <c r="BC64">
        <v>9082.7999999999993</v>
      </c>
      <c r="BD64">
        <v>17</v>
      </c>
      <c r="BE64">
        <v>17156.399999999998</v>
      </c>
      <c r="BF64">
        <v>16</v>
      </c>
      <c r="BG64">
        <v>16147.199999999997</v>
      </c>
      <c r="BH64">
        <v>16</v>
      </c>
      <c r="BI64">
        <v>16147.199999999997</v>
      </c>
      <c r="BJ64">
        <v>14</v>
      </c>
      <c r="BK64">
        <v>14128.799999999997</v>
      </c>
      <c r="BL64">
        <v>11</v>
      </c>
      <c r="BM64">
        <v>11101.199999999997</v>
      </c>
      <c r="BN64">
        <v>13</v>
      </c>
      <c r="BO64">
        <v>13119.599999999999</v>
      </c>
      <c r="BP64">
        <v>15</v>
      </c>
      <c r="BQ64">
        <v>15137.999999999996</v>
      </c>
      <c r="BR64">
        <v>17</v>
      </c>
      <c r="BS64">
        <v>17156.399999999998</v>
      </c>
      <c r="BT64">
        <v>17</v>
      </c>
      <c r="BU64">
        <v>17156.399999999998</v>
      </c>
      <c r="BV64">
        <v>21</v>
      </c>
      <c r="BW64">
        <v>21193.199999999997</v>
      </c>
      <c r="BX64">
        <v>16</v>
      </c>
      <c r="BY64">
        <v>16147.199999999997</v>
      </c>
      <c r="BZ64">
        <v>14</v>
      </c>
      <c r="CA64">
        <v>14128.799999999997</v>
      </c>
      <c r="CB64">
        <v>11</v>
      </c>
      <c r="CC64">
        <v>11101.199999999997</v>
      </c>
      <c r="CD64">
        <v>16</v>
      </c>
      <c r="CE64">
        <v>16147.199999999997</v>
      </c>
      <c r="CF64">
        <v>17</v>
      </c>
      <c r="CG64">
        <v>17156.399999999998</v>
      </c>
      <c r="CH64">
        <v>16</v>
      </c>
      <c r="CI64">
        <v>16147.199999999997</v>
      </c>
      <c r="CJ64">
        <v>11</v>
      </c>
      <c r="CK64">
        <v>11101.199999999997</v>
      </c>
      <c r="CL64">
        <v>18</v>
      </c>
      <c r="CM64">
        <v>18165.599999999999</v>
      </c>
      <c r="CN64">
        <v>17</v>
      </c>
      <c r="CO64">
        <v>17156.399999999998</v>
      </c>
      <c r="CP64">
        <v>13</v>
      </c>
      <c r="CQ64">
        <v>13119.599999999999</v>
      </c>
      <c r="CR64">
        <v>15</v>
      </c>
      <c r="CS64">
        <v>15137.999999999996</v>
      </c>
      <c r="CT64">
        <v>19</v>
      </c>
      <c r="CU64">
        <v>19174.799999999996</v>
      </c>
    </row>
    <row r="65" spans="2:99" x14ac:dyDescent="0.2">
      <c r="C65" s="116" t="s">
        <v>231</v>
      </c>
      <c r="D65">
        <v>0</v>
      </c>
      <c r="E65">
        <v>0</v>
      </c>
      <c r="F65">
        <v>14</v>
      </c>
      <c r="G65">
        <v>14364</v>
      </c>
      <c r="H65">
        <v>13.475685478186932</v>
      </c>
      <c r="I65">
        <v>13826.053300619793</v>
      </c>
      <c r="J65">
        <v>10</v>
      </c>
      <c r="K65">
        <v>10260</v>
      </c>
      <c r="L65">
        <v>12</v>
      </c>
      <c r="M65">
        <v>12312</v>
      </c>
      <c r="N65">
        <v>11</v>
      </c>
      <c r="O65">
        <v>11286</v>
      </c>
      <c r="P65">
        <v>13</v>
      </c>
      <c r="Q65">
        <v>13338</v>
      </c>
      <c r="R65">
        <v>18</v>
      </c>
      <c r="S65">
        <v>18468</v>
      </c>
      <c r="T65">
        <v>19</v>
      </c>
      <c r="U65">
        <v>19494</v>
      </c>
      <c r="V65">
        <v>12</v>
      </c>
      <c r="W65">
        <v>12312</v>
      </c>
      <c r="X65">
        <v>20</v>
      </c>
      <c r="Y65">
        <v>20520</v>
      </c>
      <c r="Z65">
        <v>13</v>
      </c>
      <c r="AA65">
        <v>13338</v>
      </c>
      <c r="AB65">
        <v>12</v>
      </c>
      <c r="AC65">
        <v>12312</v>
      </c>
      <c r="AD65">
        <v>17</v>
      </c>
      <c r="AE65">
        <v>17442</v>
      </c>
      <c r="AF65">
        <v>15</v>
      </c>
      <c r="AG65">
        <v>15390</v>
      </c>
      <c r="AH65">
        <v>16</v>
      </c>
      <c r="AI65">
        <v>16416</v>
      </c>
      <c r="AJ65">
        <v>9</v>
      </c>
      <c r="AK65">
        <v>9234</v>
      </c>
      <c r="AL65">
        <v>14</v>
      </c>
      <c r="AM65">
        <v>14364</v>
      </c>
      <c r="AN65">
        <v>10</v>
      </c>
      <c r="AO65">
        <v>10260</v>
      </c>
      <c r="AP65">
        <v>17</v>
      </c>
      <c r="AQ65">
        <v>17442</v>
      </c>
      <c r="AR65">
        <v>17</v>
      </c>
      <c r="AS65">
        <v>17442</v>
      </c>
      <c r="AT65">
        <v>11</v>
      </c>
      <c r="AU65">
        <v>11286</v>
      </c>
      <c r="AV65">
        <v>15</v>
      </c>
      <c r="AW65">
        <v>15390</v>
      </c>
      <c r="AX65">
        <v>18</v>
      </c>
      <c r="AY65">
        <v>18468</v>
      </c>
      <c r="AZ65">
        <v>15</v>
      </c>
      <c r="BA65">
        <v>15390</v>
      </c>
      <c r="BB65">
        <v>9</v>
      </c>
      <c r="BC65">
        <v>9234</v>
      </c>
      <c r="BD65">
        <v>19</v>
      </c>
      <c r="BE65">
        <v>19494</v>
      </c>
      <c r="BF65">
        <v>13</v>
      </c>
      <c r="BG65">
        <v>13338</v>
      </c>
      <c r="BH65">
        <v>17</v>
      </c>
      <c r="BI65">
        <v>17442</v>
      </c>
      <c r="BJ65">
        <v>14</v>
      </c>
      <c r="BK65">
        <v>14364</v>
      </c>
      <c r="BL65">
        <v>11</v>
      </c>
      <c r="BM65">
        <v>11286</v>
      </c>
      <c r="BN65">
        <v>15</v>
      </c>
      <c r="BO65">
        <v>15390</v>
      </c>
      <c r="BP65">
        <v>16</v>
      </c>
      <c r="BQ65">
        <v>16416</v>
      </c>
      <c r="BR65">
        <v>19</v>
      </c>
      <c r="BS65">
        <v>19494</v>
      </c>
      <c r="BT65">
        <v>18</v>
      </c>
      <c r="BU65">
        <v>18468</v>
      </c>
      <c r="BV65">
        <v>19</v>
      </c>
      <c r="BW65">
        <v>19494</v>
      </c>
      <c r="BX65">
        <v>14</v>
      </c>
      <c r="BY65">
        <v>14364</v>
      </c>
      <c r="BZ65">
        <v>14</v>
      </c>
      <c r="CA65">
        <v>14364</v>
      </c>
      <c r="CB65">
        <v>10</v>
      </c>
      <c r="CC65">
        <v>10260</v>
      </c>
      <c r="CD65">
        <v>16</v>
      </c>
      <c r="CE65">
        <v>16416</v>
      </c>
      <c r="CF65">
        <v>16</v>
      </c>
      <c r="CG65">
        <v>16416</v>
      </c>
      <c r="CH65">
        <v>16</v>
      </c>
      <c r="CI65">
        <v>16416</v>
      </c>
      <c r="CJ65">
        <v>10</v>
      </c>
      <c r="CK65">
        <v>10260</v>
      </c>
      <c r="CL65">
        <v>16</v>
      </c>
      <c r="CM65">
        <v>16416</v>
      </c>
      <c r="CN65">
        <v>16</v>
      </c>
      <c r="CO65">
        <v>16416</v>
      </c>
      <c r="CP65">
        <v>12</v>
      </c>
      <c r="CQ65">
        <v>12312</v>
      </c>
      <c r="CR65">
        <v>16</v>
      </c>
      <c r="CS65">
        <v>16416</v>
      </c>
      <c r="CT65">
        <v>18</v>
      </c>
      <c r="CU65">
        <v>18468</v>
      </c>
    </row>
    <row r="66" spans="2:99" x14ac:dyDescent="0.2">
      <c r="C66" s="116" t="s">
        <v>232</v>
      </c>
      <c r="D66">
        <v>0</v>
      </c>
      <c r="E66">
        <v>0</v>
      </c>
      <c r="F66">
        <v>13</v>
      </c>
      <c r="G66">
        <v>15475.199999999999</v>
      </c>
      <c r="H66">
        <v>11.550587552731656</v>
      </c>
      <c r="I66">
        <v>13749.819422771761</v>
      </c>
      <c r="J66">
        <v>10</v>
      </c>
      <c r="K66">
        <v>11903.999999999998</v>
      </c>
      <c r="L66">
        <v>14</v>
      </c>
      <c r="M66">
        <v>16665.599999999999</v>
      </c>
      <c r="N66">
        <v>13</v>
      </c>
      <c r="O66">
        <v>15475.199999999999</v>
      </c>
      <c r="P66">
        <v>14</v>
      </c>
      <c r="Q66">
        <v>16665.599999999999</v>
      </c>
      <c r="R66">
        <v>18</v>
      </c>
      <c r="S66">
        <v>21427.199999999997</v>
      </c>
      <c r="T66">
        <v>17</v>
      </c>
      <c r="U66">
        <v>20236.8</v>
      </c>
      <c r="V66">
        <v>12</v>
      </c>
      <c r="W66">
        <v>14284.8</v>
      </c>
      <c r="X66">
        <v>19</v>
      </c>
      <c r="Y66">
        <v>22617.599999999999</v>
      </c>
      <c r="Z66">
        <v>14</v>
      </c>
      <c r="AA66">
        <v>16665.599999999999</v>
      </c>
      <c r="AB66">
        <v>12</v>
      </c>
      <c r="AC66">
        <v>14284.8</v>
      </c>
      <c r="AD66">
        <v>16</v>
      </c>
      <c r="AE66">
        <v>19046.399999999998</v>
      </c>
      <c r="AF66">
        <v>13</v>
      </c>
      <c r="AG66">
        <v>15475.199999999999</v>
      </c>
      <c r="AH66">
        <v>15</v>
      </c>
      <c r="AI66">
        <v>17855.999999999996</v>
      </c>
      <c r="AJ66">
        <v>10</v>
      </c>
      <c r="AK66">
        <v>11903.999999999998</v>
      </c>
      <c r="AL66">
        <v>16</v>
      </c>
      <c r="AM66">
        <v>19046.399999999998</v>
      </c>
      <c r="AN66">
        <v>10</v>
      </c>
      <c r="AO66">
        <v>11903.999999999998</v>
      </c>
      <c r="AP66">
        <v>20</v>
      </c>
      <c r="AQ66">
        <v>23807.999999999996</v>
      </c>
      <c r="AR66">
        <v>18</v>
      </c>
      <c r="AS66">
        <v>21427.199999999997</v>
      </c>
      <c r="AT66">
        <v>11</v>
      </c>
      <c r="AU66">
        <v>13094.399999999998</v>
      </c>
      <c r="AV66">
        <v>17</v>
      </c>
      <c r="AW66">
        <v>20236.8</v>
      </c>
      <c r="AX66">
        <v>15</v>
      </c>
      <c r="AY66">
        <v>17855.999999999996</v>
      </c>
      <c r="AZ66">
        <v>17</v>
      </c>
      <c r="BA66">
        <v>20236.8</v>
      </c>
      <c r="BB66">
        <v>9</v>
      </c>
      <c r="BC66">
        <v>10713.599999999999</v>
      </c>
      <c r="BD66">
        <v>15</v>
      </c>
      <c r="BE66">
        <v>17855.999999999996</v>
      </c>
      <c r="BF66">
        <v>13</v>
      </c>
      <c r="BG66">
        <v>15475.199999999999</v>
      </c>
      <c r="BH66">
        <v>16</v>
      </c>
      <c r="BI66">
        <v>19046.399999999998</v>
      </c>
      <c r="BJ66">
        <v>14</v>
      </c>
      <c r="BK66">
        <v>16665.599999999999</v>
      </c>
      <c r="BL66">
        <v>13</v>
      </c>
      <c r="BM66">
        <v>15475.199999999999</v>
      </c>
      <c r="BN66">
        <v>15</v>
      </c>
      <c r="BO66">
        <v>17855.999999999996</v>
      </c>
      <c r="BP66">
        <v>16</v>
      </c>
      <c r="BQ66">
        <v>19046.399999999998</v>
      </c>
      <c r="BR66">
        <v>15</v>
      </c>
      <c r="BS66">
        <v>17855.999999999996</v>
      </c>
      <c r="BT66">
        <v>19</v>
      </c>
      <c r="BU66">
        <v>22617.599999999999</v>
      </c>
      <c r="BV66">
        <v>21</v>
      </c>
      <c r="BW66">
        <v>24998.399999999998</v>
      </c>
      <c r="BX66">
        <v>16</v>
      </c>
      <c r="BY66">
        <v>19046.399999999998</v>
      </c>
      <c r="BZ66">
        <v>16</v>
      </c>
      <c r="CA66">
        <v>19046.399999999998</v>
      </c>
      <c r="CB66">
        <v>10</v>
      </c>
      <c r="CC66">
        <v>11903.999999999998</v>
      </c>
      <c r="CD66">
        <v>17</v>
      </c>
      <c r="CE66">
        <v>20236.8</v>
      </c>
      <c r="CF66">
        <v>17</v>
      </c>
      <c r="CG66">
        <v>20236.8</v>
      </c>
      <c r="CH66">
        <v>17</v>
      </c>
      <c r="CI66">
        <v>20236.8</v>
      </c>
      <c r="CJ66">
        <v>11</v>
      </c>
      <c r="CK66">
        <v>13094.399999999998</v>
      </c>
      <c r="CL66">
        <v>17</v>
      </c>
      <c r="CM66">
        <v>20236.8</v>
      </c>
      <c r="CN66">
        <v>16</v>
      </c>
      <c r="CO66">
        <v>19046.399999999998</v>
      </c>
      <c r="CP66">
        <v>13</v>
      </c>
      <c r="CQ66">
        <v>15475.199999999999</v>
      </c>
      <c r="CR66">
        <v>16</v>
      </c>
      <c r="CS66">
        <v>19046.399999999998</v>
      </c>
      <c r="CT66">
        <v>17</v>
      </c>
      <c r="CU66">
        <v>20236.8</v>
      </c>
    </row>
    <row r="67" spans="2:99" x14ac:dyDescent="0.2">
      <c r="C67" s="116" t="s">
        <v>233</v>
      </c>
      <c r="D67">
        <v>0</v>
      </c>
      <c r="E67">
        <v>0</v>
      </c>
      <c r="F67">
        <v>12</v>
      </c>
      <c r="G67">
        <v>13478.400000000001</v>
      </c>
      <c r="H67">
        <v>11.550587552731656</v>
      </c>
      <c r="I67">
        <v>12973.619939228196</v>
      </c>
      <c r="J67">
        <v>9</v>
      </c>
      <c r="K67">
        <v>10108.800000000001</v>
      </c>
      <c r="L67">
        <v>12</v>
      </c>
      <c r="M67">
        <v>13478.400000000001</v>
      </c>
      <c r="N67">
        <v>11</v>
      </c>
      <c r="O67">
        <v>12355.2</v>
      </c>
      <c r="P67">
        <v>12</v>
      </c>
      <c r="Q67">
        <v>13478.400000000001</v>
      </c>
      <c r="R67">
        <v>18</v>
      </c>
      <c r="S67">
        <v>20217.600000000002</v>
      </c>
      <c r="T67">
        <v>17</v>
      </c>
      <c r="U67">
        <v>19094.400000000001</v>
      </c>
      <c r="V67">
        <v>12</v>
      </c>
      <c r="W67">
        <v>13478.400000000001</v>
      </c>
      <c r="X67">
        <v>21</v>
      </c>
      <c r="Y67">
        <v>23587.200000000001</v>
      </c>
      <c r="Z67">
        <v>14</v>
      </c>
      <c r="AA67">
        <v>15724.800000000001</v>
      </c>
      <c r="AB67">
        <v>12</v>
      </c>
      <c r="AC67">
        <v>13478.400000000001</v>
      </c>
      <c r="AD67">
        <v>18</v>
      </c>
      <c r="AE67">
        <v>20217.600000000002</v>
      </c>
      <c r="AF67">
        <v>15</v>
      </c>
      <c r="AG67">
        <v>16848</v>
      </c>
      <c r="AH67">
        <v>15</v>
      </c>
      <c r="AI67">
        <v>16848</v>
      </c>
      <c r="AJ67">
        <v>10</v>
      </c>
      <c r="AK67">
        <v>11232</v>
      </c>
      <c r="AL67">
        <v>15</v>
      </c>
      <c r="AM67">
        <v>16848</v>
      </c>
      <c r="AN67">
        <v>10</v>
      </c>
      <c r="AO67">
        <v>11232</v>
      </c>
      <c r="AP67">
        <v>17</v>
      </c>
      <c r="AQ67">
        <v>19094.400000000001</v>
      </c>
      <c r="AR67">
        <v>18</v>
      </c>
      <c r="AS67">
        <v>20217.600000000002</v>
      </c>
      <c r="AT67">
        <v>12</v>
      </c>
      <c r="AU67">
        <v>13478.400000000001</v>
      </c>
      <c r="AV67">
        <v>15</v>
      </c>
      <c r="AW67">
        <v>16848</v>
      </c>
      <c r="AX67">
        <v>17</v>
      </c>
      <c r="AY67">
        <v>19094.400000000001</v>
      </c>
      <c r="AZ67">
        <v>18</v>
      </c>
      <c r="BA67">
        <v>20217.600000000002</v>
      </c>
      <c r="BB67">
        <v>9</v>
      </c>
      <c r="BC67">
        <v>10108.800000000001</v>
      </c>
      <c r="BD67">
        <v>17</v>
      </c>
      <c r="BE67">
        <v>19094.400000000001</v>
      </c>
      <c r="BF67">
        <v>13</v>
      </c>
      <c r="BG67">
        <v>14601.6</v>
      </c>
      <c r="BH67">
        <v>15</v>
      </c>
      <c r="BI67">
        <v>16848</v>
      </c>
      <c r="BJ67">
        <v>15</v>
      </c>
      <c r="BK67">
        <v>16848</v>
      </c>
      <c r="BL67">
        <v>13</v>
      </c>
      <c r="BM67">
        <v>14601.6</v>
      </c>
      <c r="BN67">
        <v>14</v>
      </c>
      <c r="BO67">
        <v>15724.800000000001</v>
      </c>
      <c r="BP67">
        <v>14</v>
      </c>
      <c r="BQ67">
        <v>15724.800000000001</v>
      </c>
      <c r="BR67">
        <v>15</v>
      </c>
      <c r="BS67">
        <v>16848</v>
      </c>
      <c r="BT67">
        <v>20</v>
      </c>
      <c r="BU67">
        <v>22464</v>
      </c>
      <c r="BV67">
        <v>18</v>
      </c>
      <c r="BW67">
        <v>20217.600000000002</v>
      </c>
      <c r="BX67">
        <v>15</v>
      </c>
      <c r="BY67">
        <v>16848</v>
      </c>
      <c r="BZ67">
        <v>16</v>
      </c>
      <c r="CA67">
        <v>17971.2</v>
      </c>
      <c r="CB67">
        <v>11</v>
      </c>
      <c r="CC67">
        <v>12355.2</v>
      </c>
      <c r="CD67">
        <v>17</v>
      </c>
      <c r="CE67">
        <v>19094.400000000001</v>
      </c>
      <c r="CF67">
        <v>17</v>
      </c>
      <c r="CG67">
        <v>19094.400000000001</v>
      </c>
      <c r="CH67">
        <v>15</v>
      </c>
      <c r="CI67">
        <v>16848</v>
      </c>
      <c r="CJ67">
        <v>12</v>
      </c>
      <c r="CK67">
        <v>13478.400000000001</v>
      </c>
      <c r="CL67">
        <v>16</v>
      </c>
      <c r="CM67">
        <v>17971.2</v>
      </c>
      <c r="CN67">
        <v>16</v>
      </c>
      <c r="CO67">
        <v>17971.2</v>
      </c>
      <c r="CP67">
        <v>12</v>
      </c>
      <c r="CQ67">
        <v>13478.400000000001</v>
      </c>
      <c r="CR67">
        <v>17</v>
      </c>
      <c r="CS67">
        <v>19094.400000000001</v>
      </c>
      <c r="CT67">
        <v>18</v>
      </c>
      <c r="CU67">
        <v>20217.600000000002</v>
      </c>
    </row>
    <row r="68" spans="2:99" x14ac:dyDescent="0.2">
      <c r="C68" s="116" t="s">
        <v>234</v>
      </c>
      <c r="D68">
        <v>0</v>
      </c>
      <c r="E68">
        <v>0</v>
      </c>
      <c r="F68">
        <v>14</v>
      </c>
      <c r="G68">
        <v>14464.800000000001</v>
      </c>
      <c r="H68">
        <v>11.550587552731656</v>
      </c>
      <c r="I68">
        <v>11934.067059482348</v>
      </c>
      <c r="J68">
        <v>9</v>
      </c>
      <c r="K68">
        <v>9298.8000000000011</v>
      </c>
      <c r="L68">
        <v>12</v>
      </c>
      <c r="M68">
        <v>12398.400000000001</v>
      </c>
      <c r="N68">
        <v>13</v>
      </c>
      <c r="O68">
        <v>13431.6</v>
      </c>
      <c r="P68">
        <v>14</v>
      </c>
      <c r="Q68">
        <v>14464.800000000001</v>
      </c>
      <c r="R68">
        <v>18</v>
      </c>
      <c r="S68">
        <v>18597.600000000002</v>
      </c>
      <c r="T68">
        <v>17</v>
      </c>
      <c r="U68">
        <v>17564.400000000001</v>
      </c>
      <c r="V68">
        <v>12</v>
      </c>
      <c r="W68">
        <v>12398.400000000001</v>
      </c>
      <c r="X68">
        <v>19</v>
      </c>
      <c r="Y68">
        <v>19630.8</v>
      </c>
      <c r="Z68">
        <v>13</v>
      </c>
      <c r="AA68">
        <v>13431.6</v>
      </c>
      <c r="AB68">
        <v>12</v>
      </c>
      <c r="AC68">
        <v>12398.400000000001</v>
      </c>
      <c r="AD68">
        <v>15</v>
      </c>
      <c r="AE68">
        <v>15498</v>
      </c>
      <c r="AF68">
        <v>13</v>
      </c>
      <c r="AG68">
        <v>13431.6</v>
      </c>
      <c r="AH68">
        <v>16</v>
      </c>
      <c r="AI68">
        <v>16531.2</v>
      </c>
      <c r="AJ68">
        <v>10</v>
      </c>
      <c r="AK68">
        <v>10332</v>
      </c>
      <c r="AL68">
        <v>16</v>
      </c>
      <c r="AM68">
        <v>16531.2</v>
      </c>
      <c r="AN68">
        <v>11</v>
      </c>
      <c r="AO68">
        <v>11365.2</v>
      </c>
      <c r="AP68">
        <v>20</v>
      </c>
      <c r="AQ68">
        <v>20664</v>
      </c>
      <c r="AR68">
        <v>17</v>
      </c>
      <c r="AS68">
        <v>17564.400000000001</v>
      </c>
      <c r="AT68">
        <v>11</v>
      </c>
      <c r="AU68">
        <v>11365.2</v>
      </c>
      <c r="AV68">
        <v>15</v>
      </c>
      <c r="AW68">
        <v>15498</v>
      </c>
      <c r="AX68">
        <v>18</v>
      </c>
      <c r="AY68">
        <v>18597.600000000002</v>
      </c>
      <c r="AZ68">
        <v>18</v>
      </c>
      <c r="BA68">
        <v>18597.600000000002</v>
      </c>
      <c r="BB68">
        <v>10</v>
      </c>
      <c r="BC68">
        <v>10332</v>
      </c>
      <c r="BD68">
        <v>18</v>
      </c>
      <c r="BE68">
        <v>18597.600000000002</v>
      </c>
      <c r="BF68">
        <v>16</v>
      </c>
      <c r="BG68">
        <v>16531.2</v>
      </c>
      <c r="BH68">
        <v>15</v>
      </c>
      <c r="BI68">
        <v>15498</v>
      </c>
      <c r="BJ68">
        <v>14</v>
      </c>
      <c r="BK68">
        <v>14464.800000000001</v>
      </c>
      <c r="BL68">
        <v>13</v>
      </c>
      <c r="BM68">
        <v>13431.6</v>
      </c>
      <c r="BN68">
        <v>14</v>
      </c>
      <c r="BO68">
        <v>14464.800000000001</v>
      </c>
      <c r="BP68">
        <v>16</v>
      </c>
      <c r="BQ68">
        <v>16531.2</v>
      </c>
      <c r="BR68">
        <v>16</v>
      </c>
      <c r="BS68">
        <v>16531.2</v>
      </c>
      <c r="BT68">
        <v>19</v>
      </c>
      <c r="BU68">
        <v>19630.8</v>
      </c>
      <c r="BV68">
        <v>19</v>
      </c>
      <c r="BW68">
        <v>19630.8</v>
      </c>
      <c r="BX68">
        <v>16</v>
      </c>
      <c r="BY68">
        <v>16531.2</v>
      </c>
      <c r="BZ68">
        <v>15</v>
      </c>
      <c r="CA68">
        <v>15498</v>
      </c>
      <c r="CB68">
        <v>12</v>
      </c>
      <c r="CC68">
        <v>12398.400000000001</v>
      </c>
      <c r="CD68">
        <v>17</v>
      </c>
      <c r="CE68">
        <v>17564.400000000001</v>
      </c>
      <c r="CF68">
        <v>16</v>
      </c>
      <c r="CG68">
        <v>16531.2</v>
      </c>
      <c r="CH68">
        <v>16</v>
      </c>
      <c r="CI68">
        <v>16531.2</v>
      </c>
      <c r="CJ68">
        <v>11</v>
      </c>
      <c r="CK68">
        <v>11365.2</v>
      </c>
      <c r="CL68">
        <v>16</v>
      </c>
      <c r="CM68">
        <v>16531.2</v>
      </c>
      <c r="CN68">
        <v>18</v>
      </c>
      <c r="CO68">
        <v>18597.600000000002</v>
      </c>
      <c r="CP68">
        <v>12</v>
      </c>
      <c r="CQ68">
        <v>12398.400000000001</v>
      </c>
      <c r="CR68">
        <v>17</v>
      </c>
      <c r="CS68">
        <v>17564.400000000001</v>
      </c>
      <c r="CT68">
        <v>20</v>
      </c>
      <c r="CU68">
        <v>20664</v>
      </c>
    </row>
    <row r="69" spans="2:99" x14ac:dyDescent="0.2">
      <c r="C69" s="116" t="s">
        <v>235</v>
      </c>
      <c r="D69">
        <v>0</v>
      </c>
      <c r="E69">
        <v>0</v>
      </c>
      <c r="F69">
        <v>13</v>
      </c>
      <c r="G69">
        <v>9859.1999999999989</v>
      </c>
      <c r="H69">
        <v>12.513136515459294</v>
      </c>
      <c r="I69">
        <v>9489.9627333243279</v>
      </c>
      <c r="J69">
        <v>11</v>
      </c>
      <c r="K69">
        <v>8342.4</v>
      </c>
      <c r="L69">
        <v>13</v>
      </c>
      <c r="M69">
        <v>9859.1999999999989</v>
      </c>
      <c r="N69">
        <v>13</v>
      </c>
      <c r="O69">
        <v>9859.1999999999989</v>
      </c>
      <c r="P69">
        <v>13</v>
      </c>
      <c r="Q69">
        <v>9859.1999999999989</v>
      </c>
      <c r="R69">
        <v>19</v>
      </c>
      <c r="S69">
        <v>14409.6</v>
      </c>
      <c r="T69">
        <v>17</v>
      </c>
      <c r="U69">
        <v>12892.8</v>
      </c>
      <c r="V69">
        <v>14</v>
      </c>
      <c r="W69">
        <v>10617.6</v>
      </c>
      <c r="X69">
        <v>21</v>
      </c>
      <c r="Y69">
        <v>15926.4</v>
      </c>
      <c r="Z69">
        <v>15</v>
      </c>
      <c r="AA69">
        <v>11376</v>
      </c>
      <c r="AB69">
        <v>11</v>
      </c>
      <c r="AC69">
        <v>8342.4</v>
      </c>
      <c r="AD69">
        <v>16</v>
      </c>
      <c r="AE69">
        <v>12134.4</v>
      </c>
      <c r="AF69">
        <v>15</v>
      </c>
      <c r="AG69">
        <v>11376</v>
      </c>
      <c r="AH69">
        <v>14</v>
      </c>
      <c r="AI69">
        <v>10617.6</v>
      </c>
      <c r="AJ69">
        <v>10</v>
      </c>
      <c r="AK69">
        <v>7584</v>
      </c>
      <c r="AL69">
        <v>14</v>
      </c>
      <c r="AM69">
        <v>10617.6</v>
      </c>
      <c r="AN69">
        <v>10</v>
      </c>
      <c r="AO69">
        <v>7584</v>
      </c>
      <c r="AP69">
        <v>18</v>
      </c>
      <c r="AQ69">
        <v>13651.199999999999</v>
      </c>
      <c r="AR69">
        <v>19</v>
      </c>
      <c r="AS69">
        <v>14409.6</v>
      </c>
      <c r="AT69">
        <v>12</v>
      </c>
      <c r="AU69">
        <v>9100.7999999999993</v>
      </c>
      <c r="AV69">
        <v>17</v>
      </c>
      <c r="AW69">
        <v>12892.8</v>
      </c>
      <c r="AX69">
        <v>16</v>
      </c>
      <c r="AY69">
        <v>12134.4</v>
      </c>
      <c r="AZ69">
        <v>17</v>
      </c>
      <c r="BA69">
        <v>12892.8</v>
      </c>
      <c r="BB69">
        <v>11</v>
      </c>
      <c r="BC69">
        <v>8342.4</v>
      </c>
      <c r="BD69">
        <v>17</v>
      </c>
      <c r="BE69">
        <v>12892.8</v>
      </c>
      <c r="BF69">
        <v>15</v>
      </c>
      <c r="BG69">
        <v>11376</v>
      </c>
      <c r="BH69">
        <v>18</v>
      </c>
      <c r="BI69">
        <v>13651.199999999999</v>
      </c>
      <c r="BJ69">
        <v>14</v>
      </c>
      <c r="BK69">
        <v>10617.6</v>
      </c>
      <c r="BL69">
        <v>14</v>
      </c>
      <c r="BM69">
        <v>10617.6</v>
      </c>
      <c r="BN69">
        <v>16</v>
      </c>
      <c r="BO69">
        <v>12134.4</v>
      </c>
      <c r="BP69">
        <v>16</v>
      </c>
      <c r="BQ69">
        <v>12134.4</v>
      </c>
      <c r="BR69">
        <v>18</v>
      </c>
      <c r="BS69">
        <v>13651.199999999999</v>
      </c>
      <c r="BT69">
        <v>21</v>
      </c>
      <c r="BU69">
        <v>15926.4</v>
      </c>
      <c r="BV69">
        <v>20</v>
      </c>
      <c r="BW69">
        <v>15168</v>
      </c>
      <c r="BX69">
        <v>17</v>
      </c>
      <c r="BY69">
        <v>12892.8</v>
      </c>
      <c r="BZ69">
        <v>17</v>
      </c>
      <c r="CA69">
        <v>12892.8</v>
      </c>
      <c r="CB69">
        <v>11</v>
      </c>
      <c r="CC69">
        <v>8342.4</v>
      </c>
      <c r="CD69">
        <v>17</v>
      </c>
      <c r="CE69">
        <v>12892.8</v>
      </c>
      <c r="CF69">
        <v>17</v>
      </c>
      <c r="CG69">
        <v>12892.8</v>
      </c>
      <c r="CH69">
        <v>14</v>
      </c>
      <c r="CI69">
        <v>10617.6</v>
      </c>
      <c r="CJ69">
        <v>10</v>
      </c>
      <c r="CK69">
        <v>7584</v>
      </c>
      <c r="CL69">
        <v>17</v>
      </c>
      <c r="CM69">
        <v>12892.8</v>
      </c>
      <c r="CN69">
        <v>19</v>
      </c>
      <c r="CO69">
        <v>14409.6</v>
      </c>
      <c r="CP69">
        <v>14</v>
      </c>
      <c r="CQ69">
        <v>10617.6</v>
      </c>
      <c r="CR69">
        <v>16</v>
      </c>
      <c r="CS69">
        <v>12134.4</v>
      </c>
      <c r="CT69">
        <v>19</v>
      </c>
      <c r="CU69">
        <v>14409.6</v>
      </c>
    </row>
    <row r="70" spans="2:99" x14ac:dyDescent="0.2">
      <c r="C70" s="116" t="s">
        <v>236</v>
      </c>
      <c r="D70">
        <v>0</v>
      </c>
      <c r="E70">
        <v>0</v>
      </c>
      <c r="F70">
        <v>13</v>
      </c>
      <c r="G70">
        <v>6957.5999999999995</v>
      </c>
      <c r="H70">
        <v>12.513136515459294</v>
      </c>
      <c r="I70">
        <v>6697.0306630738132</v>
      </c>
      <c r="J70">
        <v>11</v>
      </c>
      <c r="K70">
        <v>5887.1999999999989</v>
      </c>
      <c r="L70">
        <v>14</v>
      </c>
      <c r="M70">
        <v>7492.7999999999993</v>
      </c>
      <c r="N70">
        <v>14</v>
      </c>
      <c r="O70">
        <v>7492.7999999999993</v>
      </c>
      <c r="P70">
        <v>14</v>
      </c>
      <c r="Q70">
        <v>7492.7999999999993</v>
      </c>
      <c r="R70">
        <v>18</v>
      </c>
      <c r="S70">
        <v>9633.5999999999985</v>
      </c>
      <c r="T70">
        <v>18</v>
      </c>
      <c r="U70">
        <v>9633.5999999999985</v>
      </c>
      <c r="V70">
        <v>15</v>
      </c>
      <c r="W70">
        <v>8027.9999999999991</v>
      </c>
      <c r="X70">
        <v>21</v>
      </c>
      <c r="Y70">
        <v>11239.199999999999</v>
      </c>
      <c r="Z70">
        <v>15</v>
      </c>
      <c r="AA70">
        <v>8027.9999999999991</v>
      </c>
      <c r="AB70">
        <v>13</v>
      </c>
      <c r="AC70">
        <v>6957.5999999999995</v>
      </c>
      <c r="AD70">
        <v>16</v>
      </c>
      <c r="AE70">
        <v>8563.1999999999989</v>
      </c>
      <c r="AF70">
        <v>14</v>
      </c>
      <c r="AG70">
        <v>7492.7999999999993</v>
      </c>
      <c r="AH70">
        <v>16</v>
      </c>
      <c r="AI70">
        <v>8563.1999999999989</v>
      </c>
      <c r="AJ70">
        <v>11</v>
      </c>
      <c r="AK70">
        <v>5887.1999999999989</v>
      </c>
      <c r="AL70">
        <v>17</v>
      </c>
      <c r="AM70">
        <v>9098.4</v>
      </c>
      <c r="AN70">
        <v>11</v>
      </c>
      <c r="AO70">
        <v>5887.1999999999989</v>
      </c>
      <c r="AP70">
        <v>20</v>
      </c>
      <c r="AQ70">
        <v>10703.999999999998</v>
      </c>
      <c r="AR70">
        <v>20</v>
      </c>
      <c r="AS70">
        <v>10703.999999999998</v>
      </c>
      <c r="AT70">
        <v>12</v>
      </c>
      <c r="AU70">
        <v>6422.4</v>
      </c>
      <c r="AV70">
        <v>15</v>
      </c>
      <c r="AW70">
        <v>8027.9999999999991</v>
      </c>
      <c r="AX70">
        <v>18</v>
      </c>
      <c r="AY70">
        <v>9633.5999999999985</v>
      </c>
      <c r="AZ70">
        <v>18</v>
      </c>
      <c r="BA70">
        <v>9633.5999999999985</v>
      </c>
      <c r="BB70">
        <v>11</v>
      </c>
      <c r="BC70">
        <v>5887.1999999999989</v>
      </c>
      <c r="BD70">
        <v>17</v>
      </c>
      <c r="BE70">
        <v>9098.4</v>
      </c>
      <c r="BF70">
        <v>17</v>
      </c>
      <c r="BG70">
        <v>9098.4</v>
      </c>
      <c r="BH70">
        <v>16</v>
      </c>
      <c r="BI70">
        <v>8563.1999999999989</v>
      </c>
      <c r="BJ70">
        <v>17</v>
      </c>
      <c r="BK70">
        <v>9098.4</v>
      </c>
      <c r="BL70">
        <v>13</v>
      </c>
      <c r="BM70">
        <v>6957.5999999999995</v>
      </c>
      <c r="BN70">
        <v>14</v>
      </c>
      <c r="BO70">
        <v>7492.7999999999993</v>
      </c>
      <c r="BP70">
        <v>16</v>
      </c>
      <c r="BQ70">
        <v>8563.1999999999989</v>
      </c>
      <c r="BR70">
        <v>19</v>
      </c>
      <c r="BS70">
        <v>10168.799999999999</v>
      </c>
      <c r="BT70">
        <v>20</v>
      </c>
      <c r="BU70">
        <v>10703.999999999998</v>
      </c>
      <c r="BV70">
        <v>21</v>
      </c>
      <c r="BW70">
        <v>11239.199999999999</v>
      </c>
      <c r="BX70">
        <v>15</v>
      </c>
      <c r="BY70">
        <v>8027.9999999999991</v>
      </c>
      <c r="BZ70">
        <v>15</v>
      </c>
      <c r="CA70">
        <v>8027.9999999999991</v>
      </c>
      <c r="CB70">
        <v>12</v>
      </c>
      <c r="CC70">
        <v>6422.4</v>
      </c>
      <c r="CD70">
        <v>17</v>
      </c>
      <c r="CE70">
        <v>9098.4</v>
      </c>
      <c r="CF70">
        <v>16</v>
      </c>
      <c r="CG70">
        <v>8563.1999999999989</v>
      </c>
      <c r="CH70">
        <v>17</v>
      </c>
      <c r="CI70">
        <v>9098.4</v>
      </c>
      <c r="CJ70">
        <v>12</v>
      </c>
      <c r="CK70">
        <v>6422.4</v>
      </c>
      <c r="CL70">
        <v>16</v>
      </c>
      <c r="CM70">
        <v>8563.1999999999989</v>
      </c>
      <c r="CN70">
        <v>19</v>
      </c>
      <c r="CO70">
        <v>10168.799999999999</v>
      </c>
      <c r="CP70">
        <v>12</v>
      </c>
      <c r="CQ70">
        <v>6422.4</v>
      </c>
      <c r="CR70">
        <v>16</v>
      </c>
      <c r="CS70">
        <v>8563.1999999999989</v>
      </c>
      <c r="CT70">
        <v>20</v>
      </c>
      <c r="CU70">
        <v>10703.999999999998</v>
      </c>
    </row>
    <row r="71" spans="2:99" x14ac:dyDescent="0.2">
      <c r="B71" s="116" t="s">
        <v>130</v>
      </c>
      <c r="C71" s="116" t="s">
        <v>237</v>
      </c>
      <c r="D71">
        <v>12</v>
      </c>
      <c r="E71">
        <v>6768</v>
      </c>
      <c r="F71">
        <v>13</v>
      </c>
      <c r="G71">
        <v>7332</v>
      </c>
      <c r="H71">
        <v>10</v>
      </c>
      <c r="I71">
        <v>5640</v>
      </c>
      <c r="J71">
        <v>11</v>
      </c>
      <c r="K71">
        <v>6204</v>
      </c>
      <c r="L71">
        <v>11</v>
      </c>
      <c r="M71">
        <v>6204</v>
      </c>
      <c r="N71">
        <v>7</v>
      </c>
      <c r="O71">
        <v>3948</v>
      </c>
      <c r="P71">
        <v>10</v>
      </c>
      <c r="Q71">
        <v>5640</v>
      </c>
      <c r="R71">
        <v>11</v>
      </c>
      <c r="S71">
        <v>6204</v>
      </c>
      <c r="T71">
        <v>14</v>
      </c>
      <c r="U71">
        <v>7896</v>
      </c>
      <c r="V71">
        <v>8</v>
      </c>
      <c r="W71">
        <v>4512</v>
      </c>
      <c r="X71">
        <v>7</v>
      </c>
      <c r="Y71">
        <v>3948</v>
      </c>
      <c r="Z71">
        <v>14</v>
      </c>
      <c r="AA71">
        <v>7896</v>
      </c>
      <c r="AB71">
        <v>10</v>
      </c>
      <c r="AC71">
        <v>5640</v>
      </c>
      <c r="AD71">
        <v>15</v>
      </c>
      <c r="AE71">
        <v>8460</v>
      </c>
      <c r="AF71">
        <v>10</v>
      </c>
      <c r="AG71">
        <v>5640</v>
      </c>
      <c r="AH71">
        <v>13</v>
      </c>
      <c r="AI71">
        <v>7332</v>
      </c>
      <c r="AJ71">
        <v>11</v>
      </c>
      <c r="AK71">
        <v>6204</v>
      </c>
      <c r="AL71">
        <v>13</v>
      </c>
      <c r="AM71">
        <v>7332</v>
      </c>
      <c r="AN71">
        <v>13</v>
      </c>
      <c r="AO71">
        <v>7332</v>
      </c>
      <c r="AP71">
        <v>13</v>
      </c>
      <c r="AQ71">
        <v>7332</v>
      </c>
      <c r="AR71">
        <v>10</v>
      </c>
      <c r="AS71">
        <v>5640</v>
      </c>
      <c r="AT71">
        <v>12</v>
      </c>
      <c r="AU71">
        <v>6768</v>
      </c>
      <c r="AV71">
        <v>10</v>
      </c>
      <c r="AW71">
        <v>5640</v>
      </c>
      <c r="AX71">
        <v>14</v>
      </c>
      <c r="AY71">
        <v>7896</v>
      </c>
      <c r="AZ71">
        <v>13</v>
      </c>
      <c r="BA71">
        <v>7332</v>
      </c>
      <c r="BB71">
        <v>12</v>
      </c>
      <c r="BC71">
        <v>6768</v>
      </c>
      <c r="BD71">
        <v>8</v>
      </c>
      <c r="BE71">
        <v>4512</v>
      </c>
      <c r="BF71">
        <v>9</v>
      </c>
      <c r="BG71">
        <v>5076</v>
      </c>
      <c r="BH71">
        <v>15</v>
      </c>
      <c r="BI71">
        <v>8460</v>
      </c>
      <c r="BJ71">
        <v>9</v>
      </c>
      <c r="BK71">
        <v>5076</v>
      </c>
      <c r="BL71">
        <v>14</v>
      </c>
      <c r="BM71">
        <v>7896</v>
      </c>
      <c r="BN71">
        <v>12</v>
      </c>
      <c r="BO71">
        <v>6768</v>
      </c>
      <c r="BP71">
        <v>14</v>
      </c>
      <c r="BQ71">
        <v>7896</v>
      </c>
      <c r="BR71">
        <v>10</v>
      </c>
      <c r="BS71">
        <v>5640</v>
      </c>
      <c r="BT71">
        <v>10</v>
      </c>
      <c r="BU71">
        <v>5640</v>
      </c>
      <c r="BV71">
        <v>14</v>
      </c>
      <c r="BW71">
        <v>7896</v>
      </c>
      <c r="BX71">
        <v>15</v>
      </c>
      <c r="BY71">
        <v>8460</v>
      </c>
      <c r="BZ71">
        <v>10</v>
      </c>
      <c r="CA71">
        <v>5640</v>
      </c>
      <c r="CB71">
        <v>12</v>
      </c>
      <c r="CC71">
        <v>6768</v>
      </c>
      <c r="CD71">
        <v>8</v>
      </c>
      <c r="CE71">
        <v>4512</v>
      </c>
      <c r="CF71">
        <v>10</v>
      </c>
      <c r="CG71">
        <v>5640</v>
      </c>
      <c r="CH71">
        <v>12</v>
      </c>
      <c r="CI71">
        <v>6768</v>
      </c>
      <c r="CJ71">
        <v>9</v>
      </c>
      <c r="CK71">
        <v>5076</v>
      </c>
      <c r="CL71">
        <v>8</v>
      </c>
      <c r="CM71">
        <v>4512</v>
      </c>
      <c r="CN71">
        <v>10</v>
      </c>
      <c r="CO71">
        <v>5640</v>
      </c>
      <c r="CP71">
        <v>12</v>
      </c>
      <c r="CQ71">
        <v>6768</v>
      </c>
      <c r="CR71">
        <v>11</v>
      </c>
      <c r="CS71">
        <v>6204</v>
      </c>
      <c r="CT71">
        <v>12</v>
      </c>
      <c r="CU71">
        <v>6768</v>
      </c>
    </row>
    <row r="72" spans="2:99" x14ac:dyDescent="0.2">
      <c r="C72" s="116" t="s">
        <v>238</v>
      </c>
      <c r="D72">
        <v>11</v>
      </c>
      <c r="E72">
        <v>818.39999999999986</v>
      </c>
      <c r="F72">
        <v>11</v>
      </c>
      <c r="G72">
        <v>818.39999999999986</v>
      </c>
      <c r="H72">
        <v>10</v>
      </c>
      <c r="I72">
        <v>743.99999999999989</v>
      </c>
      <c r="J72">
        <v>10</v>
      </c>
      <c r="K72">
        <v>743.99999999999989</v>
      </c>
      <c r="L72">
        <v>10</v>
      </c>
      <c r="M72">
        <v>743.99999999999989</v>
      </c>
      <c r="N72">
        <v>8</v>
      </c>
      <c r="O72">
        <v>595.19999999999993</v>
      </c>
      <c r="P72">
        <v>10</v>
      </c>
      <c r="Q72">
        <v>743.99999999999989</v>
      </c>
      <c r="R72">
        <v>11</v>
      </c>
      <c r="S72">
        <v>818.39999999999986</v>
      </c>
      <c r="T72">
        <v>16</v>
      </c>
      <c r="U72">
        <v>1190.3999999999999</v>
      </c>
      <c r="V72">
        <v>9</v>
      </c>
      <c r="W72">
        <v>669.59999999999991</v>
      </c>
      <c r="X72">
        <v>9</v>
      </c>
      <c r="Y72">
        <v>669.59999999999991</v>
      </c>
      <c r="Z72">
        <v>15</v>
      </c>
      <c r="AA72">
        <v>1115.9999999999998</v>
      </c>
      <c r="AB72">
        <v>12</v>
      </c>
      <c r="AC72">
        <v>892.8</v>
      </c>
      <c r="AD72">
        <v>14</v>
      </c>
      <c r="AE72">
        <v>1041.5999999999999</v>
      </c>
      <c r="AF72">
        <v>11</v>
      </c>
      <c r="AG72">
        <v>818.39999999999986</v>
      </c>
      <c r="AH72">
        <v>14</v>
      </c>
      <c r="AI72">
        <v>1041.5999999999999</v>
      </c>
      <c r="AJ72">
        <v>11</v>
      </c>
      <c r="AK72">
        <v>818.39999999999986</v>
      </c>
      <c r="AL72">
        <v>13</v>
      </c>
      <c r="AM72">
        <v>967.19999999999993</v>
      </c>
      <c r="AN72">
        <v>13</v>
      </c>
      <c r="AO72">
        <v>967.19999999999993</v>
      </c>
      <c r="AP72">
        <v>15</v>
      </c>
      <c r="AQ72">
        <v>1115.9999999999998</v>
      </c>
      <c r="AR72">
        <v>10</v>
      </c>
      <c r="AS72">
        <v>743.99999999999989</v>
      </c>
      <c r="AT72">
        <v>13</v>
      </c>
      <c r="AU72">
        <v>967.19999999999993</v>
      </c>
      <c r="AV72">
        <v>10</v>
      </c>
      <c r="AW72">
        <v>743.99999999999989</v>
      </c>
      <c r="AX72">
        <v>15</v>
      </c>
      <c r="AY72">
        <v>1115.9999999999998</v>
      </c>
      <c r="AZ72">
        <v>14</v>
      </c>
      <c r="BA72">
        <v>1041.5999999999999</v>
      </c>
      <c r="BB72">
        <v>12</v>
      </c>
      <c r="BC72">
        <v>892.8</v>
      </c>
      <c r="BD72">
        <v>8</v>
      </c>
      <c r="BE72">
        <v>595.19999999999993</v>
      </c>
      <c r="BF72">
        <v>10</v>
      </c>
      <c r="BG72">
        <v>743.99999999999989</v>
      </c>
      <c r="BH72">
        <v>16</v>
      </c>
      <c r="BI72">
        <v>1190.3999999999999</v>
      </c>
      <c r="BJ72">
        <v>11</v>
      </c>
      <c r="BK72">
        <v>818.39999999999986</v>
      </c>
      <c r="BL72">
        <v>16</v>
      </c>
      <c r="BM72">
        <v>1190.3999999999999</v>
      </c>
      <c r="BN72">
        <v>12</v>
      </c>
      <c r="BO72">
        <v>892.8</v>
      </c>
      <c r="BP72">
        <v>13</v>
      </c>
      <c r="BQ72">
        <v>967.19999999999993</v>
      </c>
      <c r="BR72">
        <v>11</v>
      </c>
      <c r="BS72">
        <v>818.39999999999986</v>
      </c>
      <c r="BT72">
        <v>9</v>
      </c>
      <c r="BU72">
        <v>669.59999999999991</v>
      </c>
      <c r="BV72">
        <v>14</v>
      </c>
      <c r="BW72">
        <v>1041.5999999999999</v>
      </c>
      <c r="BX72">
        <v>16</v>
      </c>
      <c r="BY72">
        <v>1190.3999999999999</v>
      </c>
      <c r="BZ72">
        <v>11</v>
      </c>
      <c r="CA72">
        <v>818.39999999999986</v>
      </c>
      <c r="CB72">
        <v>13</v>
      </c>
      <c r="CC72">
        <v>967.19999999999993</v>
      </c>
      <c r="CD72">
        <v>9</v>
      </c>
      <c r="CE72">
        <v>669.59999999999991</v>
      </c>
      <c r="CF72">
        <v>10</v>
      </c>
      <c r="CG72">
        <v>743.99999999999989</v>
      </c>
      <c r="CH72">
        <v>15</v>
      </c>
      <c r="CI72">
        <v>1115.9999999999998</v>
      </c>
      <c r="CJ72">
        <v>10</v>
      </c>
      <c r="CK72">
        <v>743.99999999999989</v>
      </c>
      <c r="CL72">
        <v>8</v>
      </c>
      <c r="CM72">
        <v>595.19999999999993</v>
      </c>
      <c r="CN72">
        <v>11</v>
      </c>
      <c r="CO72">
        <v>818.39999999999986</v>
      </c>
      <c r="CP72">
        <v>14</v>
      </c>
      <c r="CQ72">
        <v>1041.5999999999999</v>
      </c>
      <c r="CR72">
        <v>12</v>
      </c>
      <c r="CS72">
        <v>892.8</v>
      </c>
      <c r="CT72">
        <v>13</v>
      </c>
      <c r="CU72">
        <v>967.19999999999993</v>
      </c>
    </row>
    <row r="73" spans="2:99" x14ac:dyDescent="0.2">
      <c r="C73" s="116" t="s">
        <v>239</v>
      </c>
      <c r="D73">
        <v>11</v>
      </c>
      <c r="E73">
        <v>6151.1999999999989</v>
      </c>
      <c r="F73">
        <v>12</v>
      </c>
      <c r="G73">
        <v>6710.4</v>
      </c>
      <c r="H73">
        <v>9</v>
      </c>
      <c r="I73">
        <v>5032.7999999999993</v>
      </c>
      <c r="J73">
        <v>11</v>
      </c>
      <c r="K73">
        <v>6151.1999999999989</v>
      </c>
      <c r="L73">
        <v>10</v>
      </c>
      <c r="M73">
        <v>5591.9999999999991</v>
      </c>
      <c r="N73">
        <v>8</v>
      </c>
      <c r="O73">
        <v>4473.5999999999995</v>
      </c>
      <c r="P73">
        <v>9</v>
      </c>
      <c r="Q73">
        <v>5032.7999999999993</v>
      </c>
      <c r="R73">
        <v>12</v>
      </c>
      <c r="S73">
        <v>6710.4</v>
      </c>
      <c r="T73">
        <v>14</v>
      </c>
      <c r="U73">
        <v>7828.7999999999993</v>
      </c>
      <c r="V73">
        <v>9</v>
      </c>
      <c r="W73">
        <v>5032.7999999999993</v>
      </c>
      <c r="X73">
        <v>8</v>
      </c>
      <c r="Y73">
        <v>4473.5999999999995</v>
      </c>
      <c r="Z73">
        <v>14</v>
      </c>
      <c r="AA73">
        <v>7828.7999999999993</v>
      </c>
      <c r="AB73">
        <v>11</v>
      </c>
      <c r="AC73">
        <v>6151.1999999999989</v>
      </c>
      <c r="AD73">
        <v>13</v>
      </c>
      <c r="AE73">
        <v>7269.5999999999995</v>
      </c>
      <c r="AF73">
        <v>10</v>
      </c>
      <c r="AG73">
        <v>5591.9999999999991</v>
      </c>
      <c r="AH73">
        <v>14</v>
      </c>
      <c r="AI73">
        <v>7828.7999999999993</v>
      </c>
      <c r="AJ73">
        <v>11</v>
      </c>
      <c r="AK73">
        <v>6151.1999999999989</v>
      </c>
      <c r="AL73">
        <v>12</v>
      </c>
      <c r="AM73">
        <v>6710.4</v>
      </c>
      <c r="AN73">
        <v>13</v>
      </c>
      <c r="AO73">
        <v>7269.5999999999995</v>
      </c>
      <c r="AP73">
        <v>14</v>
      </c>
      <c r="AQ73">
        <v>7828.7999999999993</v>
      </c>
      <c r="AR73">
        <v>10</v>
      </c>
      <c r="AS73">
        <v>5591.9999999999991</v>
      </c>
      <c r="AT73">
        <v>13</v>
      </c>
      <c r="AU73">
        <v>7269.5999999999995</v>
      </c>
      <c r="AV73">
        <v>11</v>
      </c>
      <c r="AW73">
        <v>6151.1999999999989</v>
      </c>
      <c r="AX73">
        <v>13</v>
      </c>
      <c r="AY73">
        <v>7269.5999999999995</v>
      </c>
      <c r="AZ73">
        <v>14</v>
      </c>
      <c r="BA73">
        <v>7828.7999999999993</v>
      </c>
      <c r="BB73">
        <v>11</v>
      </c>
      <c r="BC73">
        <v>6151.1999999999989</v>
      </c>
      <c r="BD73">
        <v>7</v>
      </c>
      <c r="BE73">
        <v>3914.3999999999996</v>
      </c>
      <c r="BF73">
        <v>9</v>
      </c>
      <c r="BG73">
        <v>5032.7999999999993</v>
      </c>
      <c r="BH73">
        <v>15</v>
      </c>
      <c r="BI73">
        <v>8387.9999999999982</v>
      </c>
      <c r="BJ73">
        <v>10</v>
      </c>
      <c r="BK73">
        <v>5591.9999999999991</v>
      </c>
      <c r="BL73">
        <v>16</v>
      </c>
      <c r="BM73">
        <v>8947.1999999999989</v>
      </c>
      <c r="BN73">
        <v>11</v>
      </c>
      <c r="BO73">
        <v>6151.1999999999989</v>
      </c>
      <c r="BP73">
        <v>13</v>
      </c>
      <c r="BQ73">
        <v>7269.5999999999995</v>
      </c>
      <c r="BR73">
        <v>9</v>
      </c>
      <c r="BS73">
        <v>5032.7999999999993</v>
      </c>
      <c r="BT73">
        <v>9</v>
      </c>
      <c r="BU73">
        <v>5032.7999999999993</v>
      </c>
      <c r="BV73">
        <v>14</v>
      </c>
      <c r="BW73">
        <v>7828.7999999999993</v>
      </c>
      <c r="BX73">
        <v>14</v>
      </c>
      <c r="BY73">
        <v>7828.7999999999993</v>
      </c>
      <c r="BZ73">
        <v>11</v>
      </c>
      <c r="CA73">
        <v>6151.1999999999989</v>
      </c>
      <c r="CB73">
        <v>10</v>
      </c>
      <c r="CC73">
        <v>5591.9999999999991</v>
      </c>
      <c r="CD73">
        <v>8</v>
      </c>
      <c r="CE73">
        <v>4473.5999999999995</v>
      </c>
      <c r="CF73">
        <v>11</v>
      </c>
      <c r="CG73">
        <v>6151.1999999999989</v>
      </c>
      <c r="CH73">
        <v>12</v>
      </c>
      <c r="CI73">
        <v>6710.4</v>
      </c>
      <c r="CJ73">
        <v>11</v>
      </c>
      <c r="CK73">
        <v>6151.1999999999989</v>
      </c>
      <c r="CL73">
        <v>8</v>
      </c>
      <c r="CM73">
        <v>4473.5999999999995</v>
      </c>
      <c r="CN73">
        <v>11</v>
      </c>
      <c r="CO73">
        <v>6151.1999999999989</v>
      </c>
      <c r="CP73">
        <v>12</v>
      </c>
      <c r="CQ73">
        <v>6710.4</v>
      </c>
      <c r="CR73">
        <v>11</v>
      </c>
      <c r="CS73">
        <v>6151.1999999999989</v>
      </c>
      <c r="CT73">
        <v>13</v>
      </c>
      <c r="CU73">
        <v>7269.5999999999995</v>
      </c>
    </row>
    <row r="74" spans="2:99" x14ac:dyDescent="0.2">
      <c r="C74" s="116" t="s">
        <v>240</v>
      </c>
      <c r="D74">
        <v>12</v>
      </c>
      <c r="E74">
        <v>4838.3999999999996</v>
      </c>
      <c r="F74">
        <v>12</v>
      </c>
      <c r="G74">
        <v>4838.3999999999996</v>
      </c>
      <c r="H74">
        <v>9</v>
      </c>
      <c r="I74">
        <v>3628.7999999999997</v>
      </c>
      <c r="J74">
        <v>11</v>
      </c>
      <c r="K74">
        <v>4435.2</v>
      </c>
      <c r="L74">
        <v>11</v>
      </c>
      <c r="M74">
        <v>4435.2</v>
      </c>
      <c r="N74">
        <v>8</v>
      </c>
      <c r="O74">
        <v>3225.6</v>
      </c>
      <c r="P74">
        <v>10</v>
      </c>
      <c r="Q74">
        <v>4032</v>
      </c>
      <c r="R74">
        <v>12</v>
      </c>
      <c r="S74">
        <v>4838.3999999999996</v>
      </c>
      <c r="T74">
        <v>15</v>
      </c>
      <c r="U74">
        <v>6048</v>
      </c>
      <c r="V74">
        <v>10</v>
      </c>
      <c r="W74">
        <v>4032</v>
      </c>
      <c r="X74">
        <v>9</v>
      </c>
      <c r="Y74">
        <v>3628.7999999999997</v>
      </c>
      <c r="Z74">
        <v>13</v>
      </c>
      <c r="AA74">
        <v>5241.5999999999995</v>
      </c>
      <c r="AB74">
        <v>12</v>
      </c>
      <c r="AC74">
        <v>4838.3999999999996</v>
      </c>
      <c r="AD74">
        <v>13</v>
      </c>
      <c r="AE74">
        <v>5241.5999999999995</v>
      </c>
      <c r="AF74">
        <v>11</v>
      </c>
      <c r="AG74">
        <v>4435.2</v>
      </c>
      <c r="AH74">
        <v>14</v>
      </c>
      <c r="AI74">
        <v>5644.8</v>
      </c>
      <c r="AJ74">
        <v>12</v>
      </c>
      <c r="AK74">
        <v>4838.3999999999996</v>
      </c>
      <c r="AL74">
        <v>12</v>
      </c>
      <c r="AM74">
        <v>4838.3999999999996</v>
      </c>
      <c r="AN74">
        <v>12</v>
      </c>
      <c r="AO74">
        <v>4838.3999999999996</v>
      </c>
      <c r="AP74">
        <v>13</v>
      </c>
      <c r="AQ74">
        <v>5241.5999999999995</v>
      </c>
      <c r="AR74">
        <v>10</v>
      </c>
      <c r="AS74">
        <v>4032</v>
      </c>
      <c r="AT74">
        <v>14</v>
      </c>
      <c r="AU74">
        <v>5644.8</v>
      </c>
      <c r="AV74">
        <v>11</v>
      </c>
      <c r="AW74">
        <v>4435.2</v>
      </c>
      <c r="AX74">
        <v>13</v>
      </c>
      <c r="AY74">
        <v>5241.5999999999995</v>
      </c>
      <c r="AZ74">
        <v>14</v>
      </c>
      <c r="BA74">
        <v>5644.8</v>
      </c>
      <c r="BB74">
        <v>12</v>
      </c>
      <c r="BC74">
        <v>4838.3999999999996</v>
      </c>
      <c r="BD74">
        <v>7</v>
      </c>
      <c r="BE74">
        <v>2822.4</v>
      </c>
      <c r="BF74">
        <v>9</v>
      </c>
      <c r="BG74">
        <v>3628.7999999999997</v>
      </c>
      <c r="BH74">
        <v>16</v>
      </c>
      <c r="BI74">
        <v>6451.2</v>
      </c>
      <c r="BJ74">
        <v>9</v>
      </c>
      <c r="BK74">
        <v>3628.7999999999997</v>
      </c>
      <c r="BL74">
        <v>16</v>
      </c>
      <c r="BM74">
        <v>6451.2</v>
      </c>
      <c r="BN74">
        <v>11</v>
      </c>
      <c r="BO74">
        <v>4435.2</v>
      </c>
      <c r="BP74">
        <v>14</v>
      </c>
      <c r="BQ74">
        <v>5644.8</v>
      </c>
      <c r="BR74">
        <v>10</v>
      </c>
      <c r="BS74">
        <v>4032</v>
      </c>
      <c r="BT74">
        <v>9</v>
      </c>
      <c r="BU74">
        <v>3628.7999999999997</v>
      </c>
      <c r="BV74">
        <v>14</v>
      </c>
      <c r="BW74">
        <v>5644.8</v>
      </c>
      <c r="BX74">
        <v>14</v>
      </c>
      <c r="BY74">
        <v>5644.8</v>
      </c>
      <c r="BZ74">
        <v>11</v>
      </c>
      <c r="CA74">
        <v>4435.2</v>
      </c>
      <c r="CB74">
        <v>12</v>
      </c>
      <c r="CC74">
        <v>4838.3999999999996</v>
      </c>
      <c r="CD74">
        <v>9</v>
      </c>
      <c r="CE74">
        <v>3628.7999999999997</v>
      </c>
      <c r="CF74">
        <v>11</v>
      </c>
      <c r="CG74">
        <v>4435.2</v>
      </c>
      <c r="CH74">
        <v>14</v>
      </c>
      <c r="CI74">
        <v>5644.8</v>
      </c>
      <c r="CJ74">
        <v>10</v>
      </c>
      <c r="CK74">
        <v>4032</v>
      </c>
      <c r="CL74">
        <v>8</v>
      </c>
      <c r="CM74">
        <v>3225.6</v>
      </c>
      <c r="CN74">
        <v>11</v>
      </c>
      <c r="CO74">
        <v>4435.2</v>
      </c>
      <c r="CP74">
        <v>14</v>
      </c>
      <c r="CQ74">
        <v>5644.8</v>
      </c>
      <c r="CR74">
        <v>11</v>
      </c>
      <c r="CS74">
        <v>4435.2</v>
      </c>
      <c r="CT74">
        <v>13</v>
      </c>
      <c r="CU74">
        <v>5241.5999999999995</v>
      </c>
    </row>
    <row r="75" spans="2:99" x14ac:dyDescent="0.2">
      <c r="C75" s="116" t="s">
        <v>241</v>
      </c>
      <c r="D75">
        <v>11</v>
      </c>
      <c r="E75">
        <v>7075.1999999999989</v>
      </c>
      <c r="F75">
        <v>12</v>
      </c>
      <c r="G75">
        <v>7718.4</v>
      </c>
      <c r="H75">
        <v>9</v>
      </c>
      <c r="I75">
        <v>5788.7999999999993</v>
      </c>
      <c r="J75">
        <v>10</v>
      </c>
      <c r="K75">
        <v>6431.9999999999991</v>
      </c>
      <c r="L75">
        <v>10</v>
      </c>
      <c r="M75">
        <v>6431.9999999999991</v>
      </c>
      <c r="N75">
        <v>8</v>
      </c>
      <c r="O75">
        <v>5145.5999999999995</v>
      </c>
      <c r="P75">
        <v>10</v>
      </c>
      <c r="Q75">
        <v>6431.9999999999991</v>
      </c>
      <c r="R75">
        <v>11</v>
      </c>
      <c r="S75">
        <v>7075.1999999999989</v>
      </c>
      <c r="T75">
        <v>14</v>
      </c>
      <c r="U75">
        <v>9004.7999999999993</v>
      </c>
      <c r="V75">
        <v>10</v>
      </c>
      <c r="W75">
        <v>6431.9999999999991</v>
      </c>
      <c r="X75">
        <v>7</v>
      </c>
      <c r="Y75">
        <v>4502.3999999999996</v>
      </c>
      <c r="Z75">
        <v>14</v>
      </c>
      <c r="AA75">
        <v>9004.7999999999993</v>
      </c>
      <c r="AB75">
        <v>12</v>
      </c>
      <c r="AC75">
        <v>7718.4</v>
      </c>
      <c r="AD75">
        <v>15</v>
      </c>
      <c r="AE75">
        <v>9647.9999999999982</v>
      </c>
      <c r="AF75">
        <v>11</v>
      </c>
      <c r="AG75">
        <v>7075.1999999999989</v>
      </c>
      <c r="AH75">
        <v>14</v>
      </c>
      <c r="AI75">
        <v>9004.7999999999993</v>
      </c>
      <c r="AJ75">
        <v>11</v>
      </c>
      <c r="AK75">
        <v>7075.1999999999989</v>
      </c>
      <c r="AL75">
        <v>13</v>
      </c>
      <c r="AM75">
        <v>8361.5999999999985</v>
      </c>
      <c r="AN75">
        <v>12</v>
      </c>
      <c r="AO75">
        <v>7718.4</v>
      </c>
      <c r="AP75">
        <v>14</v>
      </c>
      <c r="AQ75">
        <v>9004.7999999999993</v>
      </c>
      <c r="AR75">
        <v>11</v>
      </c>
      <c r="AS75">
        <v>7075.1999999999989</v>
      </c>
      <c r="AT75">
        <v>13</v>
      </c>
      <c r="AU75">
        <v>8361.5999999999985</v>
      </c>
      <c r="AV75">
        <v>10</v>
      </c>
      <c r="AW75">
        <v>6431.9999999999991</v>
      </c>
      <c r="AX75">
        <v>13</v>
      </c>
      <c r="AY75">
        <v>8361.5999999999985</v>
      </c>
      <c r="AZ75">
        <v>12</v>
      </c>
      <c r="BA75">
        <v>7718.4</v>
      </c>
      <c r="BB75">
        <v>11</v>
      </c>
      <c r="BC75">
        <v>7075.1999999999989</v>
      </c>
      <c r="BD75">
        <v>8</v>
      </c>
      <c r="BE75">
        <v>5145.5999999999995</v>
      </c>
      <c r="BF75">
        <v>8</v>
      </c>
      <c r="BG75">
        <v>5145.5999999999995</v>
      </c>
      <c r="BH75">
        <v>13</v>
      </c>
      <c r="BI75">
        <v>8361.5999999999985</v>
      </c>
      <c r="BJ75">
        <v>10</v>
      </c>
      <c r="BK75">
        <v>6431.9999999999991</v>
      </c>
      <c r="BL75">
        <v>15</v>
      </c>
      <c r="BM75">
        <v>9647.9999999999982</v>
      </c>
      <c r="BN75">
        <v>11</v>
      </c>
      <c r="BO75">
        <v>7075.1999999999989</v>
      </c>
      <c r="BP75">
        <v>12</v>
      </c>
      <c r="BQ75">
        <v>7718.4</v>
      </c>
      <c r="BR75">
        <v>11</v>
      </c>
      <c r="BS75">
        <v>7075.1999999999989</v>
      </c>
      <c r="BT75">
        <v>8</v>
      </c>
      <c r="BU75">
        <v>5145.5999999999995</v>
      </c>
      <c r="BV75">
        <v>14</v>
      </c>
      <c r="BW75">
        <v>9004.7999999999993</v>
      </c>
      <c r="BX75">
        <v>14</v>
      </c>
      <c r="BY75">
        <v>9004.7999999999993</v>
      </c>
      <c r="BZ75">
        <v>9</v>
      </c>
      <c r="CA75">
        <v>5788.7999999999993</v>
      </c>
      <c r="CB75">
        <v>12</v>
      </c>
      <c r="CC75">
        <v>7718.4</v>
      </c>
      <c r="CD75">
        <v>9</v>
      </c>
      <c r="CE75">
        <v>5788.7999999999993</v>
      </c>
      <c r="CF75">
        <v>10</v>
      </c>
      <c r="CG75">
        <v>6431.9999999999991</v>
      </c>
      <c r="CH75">
        <v>12</v>
      </c>
      <c r="CI75">
        <v>7718.4</v>
      </c>
      <c r="CJ75">
        <v>11</v>
      </c>
      <c r="CK75">
        <v>7075.1999999999989</v>
      </c>
      <c r="CL75">
        <v>9</v>
      </c>
      <c r="CM75">
        <v>5788.7999999999993</v>
      </c>
      <c r="CN75">
        <v>11</v>
      </c>
      <c r="CO75">
        <v>7075.1999999999989</v>
      </c>
      <c r="CP75">
        <v>12</v>
      </c>
      <c r="CQ75">
        <v>7718.4</v>
      </c>
      <c r="CR75">
        <v>10</v>
      </c>
      <c r="CS75">
        <v>6431.9999999999991</v>
      </c>
      <c r="CT75">
        <v>11</v>
      </c>
      <c r="CU75">
        <v>7075.1999999999989</v>
      </c>
    </row>
    <row r="76" spans="2:99" x14ac:dyDescent="0.2">
      <c r="C76" s="116" t="s">
        <v>242</v>
      </c>
      <c r="D76">
        <v>11</v>
      </c>
      <c r="E76">
        <v>8566.7999999999993</v>
      </c>
      <c r="F76">
        <v>11</v>
      </c>
      <c r="G76">
        <v>8566.7999999999993</v>
      </c>
      <c r="H76">
        <v>9</v>
      </c>
      <c r="I76">
        <v>7009.2</v>
      </c>
      <c r="J76">
        <v>11</v>
      </c>
      <c r="K76">
        <v>8566.7999999999993</v>
      </c>
      <c r="L76">
        <v>11</v>
      </c>
      <c r="M76">
        <v>8566.7999999999993</v>
      </c>
      <c r="N76">
        <v>8</v>
      </c>
      <c r="O76">
        <v>6230.4</v>
      </c>
      <c r="P76">
        <v>9</v>
      </c>
      <c r="Q76">
        <v>7009.2</v>
      </c>
      <c r="R76">
        <v>11</v>
      </c>
      <c r="S76">
        <v>8566.7999999999993</v>
      </c>
      <c r="T76">
        <v>13</v>
      </c>
      <c r="U76">
        <v>10124.4</v>
      </c>
      <c r="V76">
        <v>8</v>
      </c>
      <c r="W76">
        <v>6230.4</v>
      </c>
      <c r="X76">
        <v>7</v>
      </c>
      <c r="Y76">
        <v>5451.5999999999995</v>
      </c>
      <c r="Z76">
        <v>14</v>
      </c>
      <c r="AA76">
        <v>10903.199999999999</v>
      </c>
      <c r="AB76">
        <v>10</v>
      </c>
      <c r="AC76">
        <v>7788</v>
      </c>
      <c r="AD76">
        <v>12</v>
      </c>
      <c r="AE76">
        <v>9345.5999999999985</v>
      </c>
      <c r="AF76">
        <v>11</v>
      </c>
      <c r="AG76">
        <v>8566.7999999999993</v>
      </c>
      <c r="AH76">
        <v>13</v>
      </c>
      <c r="AI76">
        <v>10124.4</v>
      </c>
      <c r="AJ76">
        <v>10</v>
      </c>
      <c r="AK76">
        <v>7788</v>
      </c>
      <c r="AL76">
        <v>12</v>
      </c>
      <c r="AM76">
        <v>9345.5999999999985</v>
      </c>
      <c r="AN76">
        <v>11</v>
      </c>
      <c r="AO76">
        <v>8566.7999999999993</v>
      </c>
      <c r="AP76">
        <v>15</v>
      </c>
      <c r="AQ76">
        <v>11682</v>
      </c>
      <c r="AR76">
        <v>10</v>
      </c>
      <c r="AS76">
        <v>7788</v>
      </c>
      <c r="AT76">
        <v>13</v>
      </c>
      <c r="AU76">
        <v>10124.4</v>
      </c>
      <c r="AV76">
        <v>11</v>
      </c>
      <c r="AW76">
        <v>8566.7999999999993</v>
      </c>
      <c r="AX76">
        <v>13</v>
      </c>
      <c r="AY76">
        <v>10124.4</v>
      </c>
      <c r="AZ76">
        <v>14</v>
      </c>
      <c r="BA76">
        <v>10903.199999999999</v>
      </c>
      <c r="BB76">
        <v>10</v>
      </c>
      <c r="BC76">
        <v>7788</v>
      </c>
      <c r="BD76">
        <v>7</v>
      </c>
      <c r="BE76">
        <v>5451.5999999999995</v>
      </c>
      <c r="BF76">
        <v>9</v>
      </c>
      <c r="BG76">
        <v>7009.2</v>
      </c>
      <c r="BH76">
        <v>14</v>
      </c>
      <c r="BI76">
        <v>10903.199999999999</v>
      </c>
      <c r="BJ76">
        <v>11</v>
      </c>
      <c r="BK76">
        <v>8566.7999999999993</v>
      </c>
      <c r="BL76">
        <v>14</v>
      </c>
      <c r="BM76">
        <v>10903.199999999999</v>
      </c>
      <c r="BN76">
        <v>11</v>
      </c>
      <c r="BO76">
        <v>8566.7999999999993</v>
      </c>
      <c r="BP76">
        <v>11</v>
      </c>
      <c r="BQ76">
        <v>8566.7999999999993</v>
      </c>
      <c r="BR76">
        <v>10</v>
      </c>
      <c r="BS76">
        <v>7788</v>
      </c>
      <c r="BT76">
        <v>9</v>
      </c>
      <c r="BU76">
        <v>7009.2</v>
      </c>
      <c r="BV76">
        <v>13</v>
      </c>
      <c r="BW76">
        <v>10124.4</v>
      </c>
      <c r="BX76">
        <v>15</v>
      </c>
      <c r="BY76">
        <v>11682</v>
      </c>
      <c r="BZ76">
        <v>9</v>
      </c>
      <c r="CA76">
        <v>7009.2</v>
      </c>
      <c r="CB76">
        <v>11</v>
      </c>
      <c r="CC76">
        <v>8566.7999999999993</v>
      </c>
      <c r="CD76">
        <v>8</v>
      </c>
      <c r="CE76">
        <v>6230.4</v>
      </c>
      <c r="CF76">
        <v>11</v>
      </c>
      <c r="CG76">
        <v>8566.7999999999993</v>
      </c>
      <c r="CH76">
        <v>14</v>
      </c>
      <c r="CI76">
        <v>10903.199999999999</v>
      </c>
      <c r="CJ76">
        <v>10</v>
      </c>
      <c r="CK76">
        <v>7788</v>
      </c>
      <c r="CL76">
        <v>8</v>
      </c>
      <c r="CM76">
        <v>6230.4</v>
      </c>
      <c r="CN76">
        <v>11</v>
      </c>
      <c r="CO76">
        <v>8566.7999999999993</v>
      </c>
      <c r="CP76">
        <v>12</v>
      </c>
      <c r="CQ76">
        <v>9345.5999999999985</v>
      </c>
      <c r="CR76">
        <v>10</v>
      </c>
      <c r="CS76">
        <v>7788</v>
      </c>
      <c r="CT76">
        <v>11</v>
      </c>
      <c r="CU76">
        <v>8566.7999999999993</v>
      </c>
    </row>
    <row r="77" spans="2:99" x14ac:dyDescent="0.2">
      <c r="C77" s="116" t="s">
        <v>243</v>
      </c>
      <c r="D77">
        <v>12</v>
      </c>
      <c r="E77">
        <v>3340.7999999999997</v>
      </c>
      <c r="F77">
        <v>13</v>
      </c>
      <c r="G77">
        <v>3619.2</v>
      </c>
      <c r="H77">
        <v>9</v>
      </c>
      <c r="I77">
        <v>2505.6</v>
      </c>
      <c r="J77">
        <v>11</v>
      </c>
      <c r="K77">
        <v>3062.3999999999996</v>
      </c>
      <c r="L77">
        <v>12</v>
      </c>
      <c r="M77">
        <v>3340.7999999999997</v>
      </c>
      <c r="N77">
        <v>9</v>
      </c>
      <c r="O77">
        <v>2505.6</v>
      </c>
      <c r="P77">
        <v>11</v>
      </c>
      <c r="Q77">
        <v>3062.3999999999996</v>
      </c>
      <c r="R77">
        <v>13</v>
      </c>
      <c r="S77">
        <v>3619.2</v>
      </c>
      <c r="T77">
        <v>14</v>
      </c>
      <c r="U77">
        <v>3897.5999999999995</v>
      </c>
      <c r="V77">
        <v>9</v>
      </c>
      <c r="W77">
        <v>2505.6</v>
      </c>
      <c r="X77">
        <v>8</v>
      </c>
      <c r="Y77">
        <v>2227.1999999999998</v>
      </c>
      <c r="Z77">
        <v>14</v>
      </c>
      <c r="AA77">
        <v>3897.5999999999995</v>
      </c>
      <c r="AB77">
        <v>11</v>
      </c>
      <c r="AC77">
        <v>3062.3999999999996</v>
      </c>
      <c r="AD77">
        <v>14</v>
      </c>
      <c r="AE77">
        <v>3897.5999999999995</v>
      </c>
      <c r="AF77">
        <v>12</v>
      </c>
      <c r="AG77">
        <v>3340.7999999999997</v>
      </c>
      <c r="AH77">
        <v>15</v>
      </c>
      <c r="AI77">
        <v>4176</v>
      </c>
      <c r="AJ77">
        <v>10</v>
      </c>
      <c r="AK77">
        <v>2784</v>
      </c>
      <c r="AL77">
        <v>13</v>
      </c>
      <c r="AM77">
        <v>3619.2</v>
      </c>
      <c r="AN77">
        <v>13</v>
      </c>
      <c r="AO77">
        <v>3619.2</v>
      </c>
      <c r="AP77">
        <v>14</v>
      </c>
      <c r="AQ77">
        <v>3897.5999999999995</v>
      </c>
      <c r="AR77">
        <v>9</v>
      </c>
      <c r="AS77">
        <v>2505.6</v>
      </c>
      <c r="AT77">
        <v>14</v>
      </c>
      <c r="AU77">
        <v>3897.5999999999995</v>
      </c>
      <c r="AV77">
        <v>11</v>
      </c>
      <c r="AW77">
        <v>3062.3999999999996</v>
      </c>
      <c r="AX77">
        <v>14</v>
      </c>
      <c r="AY77">
        <v>3897.5999999999995</v>
      </c>
      <c r="AZ77">
        <v>12</v>
      </c>
      <c r="BA77">
        <v>3340.7999999999997</v>
      </c>
      <c r="BB77">
        <v>10</v>
      </c>
      <c r="BC77">
        <v>2784</v>
      </c>
      <c r="BD77">
        <v>7</v>
      </c>
      <c r="BE77">
        <v>1948.7999999999997</v>
      </c>
      <c r="BF77">
        <v>9</v>
      </c>
      <c r="BG77">
        <v>2505.6</v>
      </c>
      <c r="BH77">
        <v>15</v>
      </c>
      <c r="BI77">
        <v>4176</v>
      </c>
      <c r="BJ77">
        <v>9</v>
      </c>
      <c r="BK77">
        <v>2505.6</v>
      </c>
      <c r="BL77">
        <v>15</v>
      </c>
      <c r="BM77">
        <v>4176</v>
      </c>
      <c r="BN77">
        <v>12</v>
      </c>
      <c r="BO77">
        <v>3340.7999999999997</v>
      </c>
      <c r="BP77">
        <v>12</v>
      </c>
      <c r="BQ77">
        <v>3340.7999999999997</v>
      </c>
      <c r="BR77">
        <v>11</v>
      </c>
      <c r="BS77">
        <v>3062.3999999999996</v>
      </c>
      <c r="BT77">
        <v>10</v>
      </c>
      <c r="BU77">
        <v>2784</v>
      </c>
      <c r="BV77">
        <v>13</v>
      </c>
      <c r="BW77">
        <v>3619.2</v>
      </c>
      <c r="BX77">
        <v>15</v>
      </c>
      <c r="BY77">
        <v>4176</v>
      </c>
      <c r="BZ77">
        <v>10</v>
      </c>
      <c r="CA77">
        <v>2784</v>
      </c>
      <c r="CB77">
        <v>11</v>
      </c>
      <c r="CC77">
        <v>3062.3999999999996</v>
      </c>
      <c r="CD77">
        <v>9</v>
      </c>
      <c r="CE77">
        <v>2505.6</v>
      </c>
      <c r="CF77">
        <v>10</v>
      </c>
      <c r="CG77">
        <v>2784</v>
      </c>
      <c r="CH77">
        <v>14</v>
      </c>
      <c r="CI77">
        <v>3897.5999999999995</v>
      </c>
      <c r="CJ77">
        <v>10</v>
      </c>
      <c r="CK77">
        <v>2784</v>
      </c>
      <c r="CL77">
        <v>9</v>
      </c>
      <c r="CM77">
        <v>2505.6</v>
      </c>
      <c r="CN77">
        <v>11</v>
      </c>
      <c r="CO77">
        <v>3062.3999999999996</v>
      </c>
      <c r="CP77">
        <v>12</v>
      </c>
      <c r="CQ77">
        <v>3340.7999999999997</v>
      </c>
      <c r="CR77">
        <v>11</v>
      </c>
      <c r="CS77">
        <v>3062.3999999999996</v>
      </c>
      <c r="CT77">
        <v>12</v>
      </c>
      <c r="CU77">
        <v>3340.7999999999997</v>
      </c>
    </row>
    <row r="78" spans="2:99" x14ac:dyDescent="0.2">
      <c r="C78" s="116" t="s">
        <v>244</v>
      </c>
      <c r="D78">
        <v>12</v>
      </c>
      <c r="E78">
        <v>6624</v>
      </c>
      <c r="F78">
        <v>11</v>
      </c>
      <c r="G78">
        <v>6072</v>
      </c>
      <c r="H78">
        <v>8</v>
      </c>
      <c r="I78">
        <v>4416</v>
      </c>
      <c r="J78">
        <v>10</v>
      </c>
      <c r="K78">
        <v>5520</v>
      </c>
      <c r="L78">
        <v>10</v>
      </c>
      <c r="M78">
        <v>5520</v>
      </c>
      <c r="N78">
        <v>7</v>
      </c>
      <c r="O78">
        <v>3864</v>
      </c>
      <c r="P78">
        <v>9</v>
      </c>
      <c r="Q78">
        <v>4968</v>
      </c>
      <c r="R78">
        <v>12</v>
      </c>
      <c r="S78">
        <v>6624</v>
      </c>
      <c r="T78">
        <v>14</v>
      </c>
      <c r="U78">
        <v>7728</v>
      </c>
      <c r="V78">
        <v>8</v>
      </c>
      <c r="W78">
        <v>4416</v>
      </c>
      <c r="X78">
        <v>8</v>
      </c>
      <c r="Y78">
        <v>4416</v>
      </c>
      <c r="Z78">
        <v>14</v>
      </c>
      <c r="AA78">
        <v>7728</v>
      </c>
      <c r="AB78">
        <v>10</v>
      </c>
      <c r="AC78">
        <v>5520</v>
      </c>
      <c r="AD78">
        <v>15</v>
      </c>
      <c r="AE78">
        <v>8280</v>
      </c>
      <c r="AF78">
        <v>10</v>
      </c>
      <c r="AG78">
        <v>5520</v>
      </c>
      <c r="AH78">
        <v>14</v>
      </c>
      <c r="AI78">
        <v>7728</v>
      </c>
      <c r="AJ78">
        <v>10</v>
      </c>
      <c r="AK78">
        <v>5520</v>
      </c>
      <c r="AL78">
        <v>12</v>
      </c>
      <c r="AM78">
        <v>6624</v>
      </c>
      <c r="AN78">
        <v>13</v>
      </c>
      <c r="AO78">
        <v>7176</v>
      </c>
      <c r="AP78">
        <v>15</v>
      </c>
      <c r="AQ78">
        <v>8280</v>
      </c>
      <c r="AR78">
        <v>9</v>
      </c>
      <c r="AS78">
        <v>4968</v>
      </c>
      <c r="AT78">
        <v>14</v>
      </c>
      <c r="AU78">
        <v>7728</v>
      </c>
      <c r="AV78">
        <v>10</v>
      </c>
      <c r="AW78">
        <v>5520</v>
      </c>
      <c r="AX78">
        <v>15</v>
      </c>
      <c r="AY78">
        <v>8280</v>
      </c>
      <c r="AZ78">
        <v>14</v>
      </c>
      <c r="BA78">
        <v>7728</v>
      </c>
      <c r="BB78">
        <v>10</v>
      </c>
      <c r="BC78">
        <v>5520</v>
      </c>
      <c r="BD78">
        <v>7</v>
      </c>
      <c r="BE78">
        <v>3864</v>
      </c>
      <c r="BF78">
        <v>9</v>
      </c>
      <c r="BG78">
        <v>4968</v>
      </c>
      <c r="BH78">
        <v>14</v>
      </c>
      <c r="BI78">
        <v>7728</v>
      </c>
      <c r="BJ78">
        <v>11</v>
      </c>
      <c r="BK78">
        <v>6072</v>
      </c>
      <c r="BL78">
        <v>15</v>
      </c>
      <c r="BM78">
        <v>8280</v>
      </c>
      <c r="BN78">
        <v>12</v>
      </c>
      <c r="BO78">
        <v>6624</v>
      </c>
      <c r="BP78">
        <v>12</v>
      </c>
      <c r="BQ78">
        <v>6624</v>
      </c>
      <c r="BR78">
        <v>10</v>
      </c>
      <c r="BS78">
        <v>5520</v>
      </c>
      <c r="BT78">
        <v>8</v>
      </c>
      <c r="BU78">
        <v>4416</v>
      </c>
      <c r="BV78">
        <v>15</v>
      </c>
      <c r="BW78">
        <v>8280</v>
      </c>
      <c r="BX78">
        <v>17</v>
      </c>
      <c r="BY78">
        <v>9384</v>
      </c>
      <c r="BZ78">
        <v>9</v>
      </c>
      <c r="CA78">
        <v>4968</v>
      </c>
      <c r="CB78">
        <v>13</v>
      </c>
      <c r="CC78">
        <v>7176</v>
      </c>
      <c r="CD78">
        <v>8</v>
      </c>
      <c r="CE78">
        <v>4416</v>
      </c>
      <c r="CF78">
        <v>11</v>
      </c>
      <c r="CG78">
        <v>6072</v>
      </c>
      <c r="CH78">
        <v>12</v>
      </c>
      <c r="CI78">
        <v>6624</v>
      </c>
      <c r="CJ78">
        <v>10</v>
      </c>
      <c r="CK78">
        <v>5520</v>
      </c>
      <c r="CL78">
        <v>7</v>
      </c>
      <c r="CM78">
        <v>3864</v>
      </c>
      <c r="CN78">
        <v>10</v>
      </c>
      <c r="CO78">
        <v>5520</v>
      </c>
      <c r="CP78">
        <v>13</v>
      </c>
      <c r="CQ78">
        <v>7176</v>
      </c>
      <c r="CR78">
        <v>11</v>
      </c>
      <c r="CS78">
        <v>6072</v>
      </c>
      <c r="CT78">
        <v>13</v>
      </c>
      <c r="CU78">
        <v>7176</v>
      </c>
    </row>
    <row r="79" spans="2:99" x14ac:dyDescent="0.2">
      <c r="C79" s="116" t="s">
        <v>245</v>
      </c>
      <c r="D79">
        <v>11</v>
      </c>
      <c r="E79">
        <v>8329.1999999999989</v>
      </c>
      <c r="F79">
        <v>11</v>
      </c>
      <c r="G79">
        <v>8329.1999999999989</v>
      </c>
      <c r="H79">
        <v>8</v>
      </c>
      <c r="I79">
        <v>6057.5999999999995</v>
      </c>
      <c r="J79">
        <v>9</v>
      </c>
      <c r="K79">
        <v>6814.7999999999993</v>
      </c>
      <c r="L79">
        <v>11</v>
      </c>
      <c r="M79">
        <v>8329.1999999999989</v>
      </c>
      <c r="N79">
        <v>7</v>
      </c>
      <c r="O79">
        <v>5300.4</v>
      </c>
      <c r="P79">
        <v>10</v>
      </c>
      <c r="Q79">
        <v>7571.9999999999991</v>
      </c>
      <c r="R79">
        <v>10</v>
      </c>
      <c r="S79">
        <v>7571.9999999999991</v>
      </c>
      <c r="T79">
        <v>13</v>
      </c>
      <c r="U79">
        <v>9843.5999999999985</v>
      </c>
      <c r="V79">
        <v>8</v>
      </c>
      <c r="W79">
        <v>6057.5999999999995</v>
      </c>
      <c r="X79">
        <v>7</v>
      </c>
      <c r="Y79">
        <v>5300.4</v>
      </c>
      <c r="Z79">
        <v>14</v>
      </c>
      <c r="AA79">
        <v>10600.8</v>
      </c>
      <c r="AB79">
        <v>10</v>
      </c>
      <c r="AC79">
        <v>7571.9999999999991</v>
      </c>
      <c r="AD79">
        <v>14</v>
      </c>
      <c r="AE79">
        <v>10600.8</v>
      </c>
      <c r="AF79">
        <v>12</v>
      </c>
      <c r="AG79">
        <v>9086.4</v>
      </c>
      <c r="AH79">
        <v>14</v>
      </c>
      <c r="AI79">
        <v>10600.8</v>
      </c>
      <c r="AJ79">
        <v>10</v>
      </c>
      <c r="AK79">
        <v>7571.9999999999991</v>
      </c>
      <c r="AL79">
        <v>11</v>
      </c>
      <c r="AM79">
        <v>8329.1999999999989</v>
      </c>
      <c r="AN79">
        <v>13</v>
      </c>
      <c r="AO79">
        <v>9843.5999999999985</v>
      </c>
      <c r="AP79">
        <v>14</v>
      </c>
      <c r="AQ79">
        <v>10600.8</v>
      </c>
      <c r="AR79">
        <v>10</v>
      </c>
      <c r="AS79">
        <v>7571.9999999999991</v>
      </c>
      <c r="AT79">
        <v>13</v>
      </c>
      <c r="AU79">
        <v>9843.5999999999985</v>
      </c>
      <c r="AV79">
        <v>10</v>
      </c>
      <c r="AW79">
        <v>7571.9999999999991</v>
      </c>
      <c r="AX79">
        <v>15</v>
      </c>
      <c r="AY79">
        <v>11357.999999999998</v>
      </c>
      <c r="AZ79">
        <v>13</v>
      </c>
      <c r="BA79">
        <v>9843.5999999999985</v>
      </c>
      <c r="BB79">
        <v>11</v>
      </c>
      <c r="BC79">
        <v>8329.1999999999989</v>
      </c>
      <c r="BD79">
        <v>7</v>
      </c>
      <c r="BE79">
        <v>5300.4</v>
      </c>
      <c r="BF79">
        <v>9</v>
      </c>
      <c r="BG79">
        <v>6814.7999999999993</v>
      </c>
      <c r="BH79">
        <v>14</v>
      </c>
      <c r="BI79">
        <v>10600.8</v>
      </c>
      <c r="BJ79">
        <v>11</v>
      </c>
      <c r="BK79">
        <v>8329.1999999999989</v>
      </c>
      <c r="BL79">
        <v>16</v>
      </c>
      <c r="BM79">
        <v>12115.199999999999</v>
      </c>
      <c r="BN79">
        <v>12</v>
      </c>
      <c r="BO79">
        <v>9086.4</v>
      </c>
      <c r="BP79">
        <v>12</v>
      </c>
      <c r="BQ79">
        <v>9086.4</v>
      </c>
      <c r="BR79">
        <v>9</v>
      </c>
      <c r="BS79">
        <v>6814.7999999999993</v>
      </c>
      <c r="BT79">
        <v>9</v>
      </c>
      <c r="BU79">
        <v>6814.7999999999993</v>
      </c>
      <c r="BV79">
        <v>15</v>
      </c>
      <c r="BW79">
        <v>11357.999999999998</v>
      </c>
      <c r="BX79">
        <v>15</v>
      </c>
      <c r="BY79">
        <v>11357.999999999998</v>
      </c>
      <c r="BZ79">
        <v>10</v>
      </c>
      <c r="CA79">
        <v>7571.9999999999991</v>
      </c>
      <c r="CB79">
        <v>11</v>
      </c>
      <c r="CC79">
        <v>8329.1999999999989</v>
      </c>
      <c r="CD79">
        <v>8</v>
      </c>
      <c r="CE79">
        <v>6057.5999999999995</v>
      </c>
      <c r="CF79">
        <v>9</v>
      </c>
      <c r="CG79">
        <v>6814.7999999999993</v>
      </c>
      <c r="CH79">
        <v>12</v>
      </c>
      <c r="CI79">
        <v>9086.4</v>
      </c>
      <c r="CJ79">
        <v>9</v>
      </c>
      <c r="CK79">
        <v>6814.7999999999993</v>
      </c>
      <c r="CL79">
        <v>8</v>
      </c>
      <c r="CM79">
        <v>6057.5999999999995</v>
      </c>
      <c r="CN79">
        <v>11</v>
      </c>
      <c r="CO79">
        <v>8329.1999999999989</v>
      </c>
      <c r="CP79">
        <v>11</v>
      </c>
      <c r="CQ79">
        <v>8329.1999999999989</v>
      </c>
      <c r="CR79">
        <v>10</v>
      </c>
      <c r="CS79">
        <v>7571.9999999999991</v>
      </c>
      <c r="CT79">
        <v>11</v>
      </c>
      <c r="CU79">
        <v>8329.1999999999989</v>
      </c>
    </row>
    <row r="80" spans="2:99" x14ac:dyDescent="0.2">
      <c r="C80" s="116" t="s">
        <v>246</v>
      </c>
      <c r="D80">
        <v>11</v>
      </c>
      <c r="E80">
        <v>8857.1999999999989</v>
      </c>
      <c r="F80">
        <v>11</v>
      </c>
      <c r="G80">
        <v>8857.1999999999989</v>
      </c>
      <c r="H80">
        <v>9</v>
      </c>
      <c r="I80">
        <v>7246.7999999999993</v>
      </c>
      <c r="J80">
        <v>10</v>
      </c>
      <c r="K80">
        <v>8051.9999999999991</v>
      </c>
      <c r="L80">
        <v>10</v>
      </c>
      <c r="M80">
        <v>8051.9999999999991</v>
      </c>
      <c r="N80">
        <v>8</v>
      </c>
      <c r="O80">
        <v>6441.5999999999995</v>
      </c>
      <c r="P80">
        <v>10</v>
      </c>
      <c r="Q80">
        <v>8051.9999999999991</v>
      </c>
      <c r="R80">
        <v>11</v>
      </c>
      <c r="S80">
        <v>8857.1999999999989</v>
      </c>
      <c r="T80">
        <v>15</v>
      </c>
      <c r="U80">
        <v>12077.999999999998</v>
      </c>
      <c r="V80">
        <v>10</v>
      </c>
      <c r="W80">
        <v>8051.9999999999991</v>
      </c>
      <c r="X80">
        <v>7</v>
      </c>
      <c r="Y80">
        <v>5636.4</v>
      </c>
      <c r="Z80">
        <v>13</v>
      </c>
      <c r="AA80">
        <v>10467.599999999999</v>
      </c>
      <c r="AB80">
        <v>12</v>
      </c>
      <c r="AC80">
        <v>9662.4</v>
      </c>
      <c r="AD80">
        <v>12</v>
      </c>
      <c r="AE80">
        <v>9662.4</v>
      </c>
      <c r="AF80">
        <v>12</v>
      </c>
      <c r="AG80">
        <v>9662.4</v>
      </c>
      <c r="AH80">
        <v>14</v>
      </c>
      <c r="AI80">
        <v>11272.8</v>
      </c>
      <c r="AJ80">
        <v>9</v>
      </c>
      <c r="AK80">
        <v>7246.7999999999993</v>
      </c>
      <c r="AL80">
        <v>12</v>
      </c>
      <c r="AM80">
        <v>9662.4</v>
      </c>
      <c r="AN80">
        <v>13</v>
      </c>
      <c r="AO80">
        <v>10467.599999999999</v>
      </c>
      <c r="AP80">
        <v>13</v>
      </c>
      <c r="AQ80">
        <v>10467.599999999999</v>
      </c>
      <c r="AR80">
        <v>9</v>
      </c>
      <c r="AS80">
        <v>7246.7999999999993</v>
      </c>
      <c r="AT80">
        <v>12</v>
      </c>
      <c r="AU80">
        <v>9662.4</v>
      </c>
      <c r="AV80">
        <v>11</v>
      </c>
      <c r="AW80">
        <v>8857.1999999999989</v>
      </c>
      <c r="AX80">
        <v>14</v>
      </c>
      <c r="AY80">
        <v>11272.8</v>
      </c>
      <c r="AZ80">
        <v>13</v>
      </c>
      <c r="BA80">
        <v>10467.599999999999</v>
      </c>
      <c r="BB80">
        <v>10</v>
      </c>
      <c r="BC80">
        <v>8051.9999999999991</v>
      </c>
      <c r="BD80">
        <v>7</v>
      </c>
      <c r="BE80">
        <v>5636.4</v>
      </c>
      <c r="BF80">
        <v>9</v>
      </c>
      <c r="BG80">
        <v>7246.7999999999993</v>
      </c>
      <c r="BH80">
        <v>15</v>
      </c>
      <c r="BI80">
        <v>12077.999999999998</v>
      </c>
      <c r="BJ80">
        <v>10</v>
      </c>
      <c r="BK80">
        <v>8051.9999999999991</v>
      </c>
      <c r="BL80">
        <v>13</v>
      </c>
      <c r="BM80">
        <v>10467.599999999999</v>
      </c>
      <c r="BN80">
        <v>10</v>
      </c>
      <c r="BO80">
        <v>8051.9999999999991</v>
      </c>
      <c r="BP80">
        <v>12</v>
      </c>
      <c r="BQ80">
        <v>9662.4</v>
      </c>
      <c r="BR80">
        <v>10</v>
      </c>
      <c r="BS80">
        <v>8051.9999999999991</v>
      </c>
      <c r="BT80">
        <v>8</v>
      </c>
      <c r="BU80">
        <v>6441.5999999999995</v>
      </c>
      <c r="BV80">
        <v>12</v>
      </c>
      <c r="BW80">
        <v>9662.4</v>
      </c>
      <c r="BX80">
        <v>15</v>
      </c>
      <c r="BY80">
        <v>12077.999999999998</v>
      </c>
      <c r="BZ80">
        <v>9</v>
      </c>
      <c r="CA80">
        <v>7246.7999999999993</v>
      </c>
      <c r="CB80">
        <v>12</v>
      </c>
      <c r="CC80">
        <v>9662.4</v>
      </c>
      <c r="CD80">
        <v>8</v>
      </c>
      <c r="CE80">
        <v>6441.5999999999995</v>
      </c>
      <c r="CF80">
        <v>10</v>
      </c>
      <c r="CG80">
        <v>8051.9999999999991</v>
      </c>
      <c r="CH80">
        <v>13</v>
      </c>
      <c r="CI80">
        <v>10467.599999999999</v>
      </c>
      <c r="CJ80">
        <v>10</v>
      </c>
      <c r="CK80">
        <v>8051.9999999999991</v>
      </c>
      <c r="CL80">
        <v>8</v>
      </c>
      <c r="CM80">
        <v>6441.5999999999995</v>
      </c>
      <c r="CN80">
        <v>10</v>
      </c>
      <c r="CO80">
        <v>8051.9999999999991</v>
      </c>
      <c r="CP80">
        <v>13</v>
      </c>
      <c r="CQ80">
        <v>10467.599999999999</v>
      </c>
      <c r="CR80">
        <v>10</v>
      </c>
      <c r="CS80">
        <v>8051.9999999999991</v>
      </c>
      <c r="CT80">
        <v>11</v>
      </c>
      <c r="CU80">
        <v>8857.1999999999989</v>
      </c>
    </row>
    <row r="81" spans="2:99" x14ac:dyDescent="0.2">
      <c r="C81" s="116" t="s">
        <v>247</v>
      </c>
      <c r="D81">
        <v>12</v>
      </c>
      <c r="E81">
        <v>9043.2000000000007</v>
      </c>
      <c r="F81">
        <v>12</v>
      </c>
      <c r="G81">
        <v>9043.2000000000007</v>
      </c>
      <c r="H81">
        <v>9</v>
      </c>
      <c r="I81">
        <v>6782.4000000000005</v>
      </c>
      <c r="J81">
        <v>10</v>
      </c>
      <c r="K81">
        <v>7536</v>
      </c>
      <c r="L81">
        <v>11</v>
      </c>
      <c r="M81">
        <v>8289.6</v>
      </c>
      <c r="N81">
        <v>8</v>
      </c>
      <c r="O81">
        <v>6028.8</v>
      </c>
      <c r="P81">
        <v>9</v>
      </c>
      <c r="Q81">
        <v>6782.4000000000005</v>
      </c>
      <c r="R81">
        <v>10</v>
      </c>
      <c r="S81">
        <v>7536</v>
      </c>
      <c r="T81">
        <v>13</v>
      </c>
      <c r="U81">
        <v>9796.8000000000011</v>
      </c>
      <c r="V81">
        <v>8</v>
      </c>
      <c r="W81">
        <v>6028.8</v>
      </c>
      <c r="X81">
        <v>8</v>
      </c>
      <c r="Y81">
        <v>6028.8</v>
      </c>
      <c r="Z81">
        <v>13</v>
      </c>
      <c r="AA81">
        <v>9796.8000000000011</v>
      </c>
      <c r="AB81">
        <v>12</v>
      </c>
      <c r="AC81">
        <v>9043.2000000000007</v>
      </c>
      <c r="AD81">
        <v>14</v>
      </c>
      <c r="AE81">
        <v>10550.4</v>
      </c>
      <c r="AF81">
        <v>11</v>
      </c>
      <c r="AG81">
        <v>8289.6</v>
      </c>
      <c r="AH81">
        <v>15</v>
      </c>
      <c r="AI81">
        <v>11304</v>
      </c>
      <c r="AJ81">
        <v>9</v>
      </c>
      <c r="AK81">
        <v>6782.4000000000005</v>
      </c>
      <c r="AL81">
        <v>13</v>
      </c>
      <c r="AM81">
        <v>9796.8000000000011</v>
      </c>
      <c r="AN81">
        <v>12</v>
      </c>
      <c r="AO81">
        <v>9043.2000000000007</v>
      </c>
      <c r="AP81">
        <v>13</v>
      </c>
      <c r="AQ81">
        <v>9796.8000000000011</v>
      </c>
      <c r="AR81">
        <v>10</v>
      </c>
      <c r="AS81">
        <v>7536</v>
      </c>
      <c r="AT81">
        <v>12</v>
      </c>
      <c r="AU81">
        <v>9043.2000000000007</v>
      </c>
      <c r="AV81">
        <v>10</v>
      </c>
      <c r="AW81">
        <v>7536</v>
      </c>
      <c r="AX81">
        <v>14</v>
      </c>
      <c r="AY81">
        <v>10550.4</v>
      </c>
      <c r="AZ81">
        <v>13</v>
      </c>
      <c r="BA81">
        <v>9796.8000000000011</v>
      </c>
      <c r="BB81">
        <v>10</v>
      </c>
      <c r="BC81">
        <v>7536</v>
      </c>
      <c r="BD81">
        <v>7</v>
      </c>
      <c r="BE81">
        <v>5275.2</v>
      </c>
      <c r="BF81">
        <v>8</v>
      </c>
      <c r="BG81">
        <v>6028.8</v>
      </c>
      <c r="BH81">
        <v>14</v>
      </c>
      <c r="BI81">
        <v>10550.4</v>
      </c>
      <c r="BJ81">
        <v>9</v>
      </c>
      <c r="BK81">
        <v>6782.4000000000005</v>
      </c>
      <c r="BL81">
        <v>14</v>
      </c>
      <c r="BM81">
        <v>10550.4</v>
      </c>
      <c r="BN81">
        <v>13</v>
      </c>
      <c r="BO81">
        <v>9796.8000000000011</v>
      </c>
      <c r="BP81">
        <v>14</v>
      </c>
      <c r="BQ81">
        <v>10550.4</v>
      </c>
      <c r="BR81">
        <v>9</v>
      </c>
      <c r="BS81">
        <v>6782.4000000000005</v>
      </c>
      <c r="BT81">
        <v>9</v>
      </c>
      <c r="BU81">
        <v>6782.4000000000005</v>
      </c>
      <c r="BV81">
        <v>13</v>
      </c>
      <c r="BW81">
        <v>9796.8000000000011</v>
      </c>
      <c r="BX81">
        <v>14</v>
      </c>
      <c r="BY81">
        <v>10550.4</v>
      </c>
      <c r="BZ81">
        <v>9</v>
      </c>
      <c r="CA81">
        <v>6782.4000000000005</v>
      </c>
      <c r="CB81">
        <v>12</v>
      </c>
      <c r="CC81">
        <v>9043.2000000000007</v>
      </c>
      <c r="CD81">
        <v>8</v>
      </c>
      <c r="CE81">
        <v>6028.8</v>
      </c>
      <c r="CF81">
        <v>10</v>
      </c>
      <c r="CG81">
        <v>7536</v>
      </c>
      <c r="CH81">
        <v>12</v>
      </c>
      <c r="CI81">
        <v>9043.2000000000007</v>
      </c>
      <c r="CJ81">
        <v>9</v>
      </c>
      <c r="CK81">
        <v>6782.4000000000005</v>
      </c>
      <c r="CL81">
        <v>8</v>
      </c>
      <c r="CM81">
        <v>6028.8</v>
      </c>
      <c r="CN81">
        <v>11</v>
      </c>
      <c r="CO81">
        <v>8289.6</v>
      </c>
      <c r="CP81">
        <v>12</v>
      </c>
      <c r="CQ81">
        <v>9043.2000000000007</v>
      </c>
      <c r="CR81">
        <v>10</v>
      </c>
      <c r="CS81">
        <v>7536</v>
      </c>
      <c r="CT81">
        <v>12</v>
      </c>
      <c r="CU81">
        <v>9043.2000000000007</v>
      </c>
    </row>
    <row r="82" spans="2:99" x14ac:dyDescent="0.2">
      <c r="C82" s="116" t="s">
        <v>248</v>
      </c>
      <c r="D82">
        <v>10</v>
      </c>
      <c r="E82">
        <v>5087.9999999999991</v>
      </c>
      <c r="F82">
        <v>12</v>
      </c>
      <c r="G82">
        <v>6105.5999999999985</v>
      </c>
      <c r="H82">
        <v>9</v>
      </c>
      <c r="I82">
        <v>4579.1999999999989</v>
      </c>
      <c r="J82">
        <v>10</v>
      </c>
      <c r="K82">
        <v>5087.9999999999991</v>
      </c>
      <c r="L82">
        <v>11</v>
      </c>
      <c r="M82">
        <v>5596.7999999999993</v>
      </c>
      <c r="N82">
        <v>7</v>
      </c>
      <c r="O82">
        <v>3561.5999999999995</v>
      </c>
      <c r="P82">
        <v>10</v>
      </c>
      <c r="Q82">
        <v>5087.9999999999991</v>
      </c>
      <c r="R82">
        <v>12</v>
      </c>
      <c r="S82">
        <v>6105.5999999999985</v>
      </c>
      <c r="T82">
        <v>16</v>
      </c>
      <c r="U82">
        <v>8140.7999999999984</v>
      </c>
      <c r="V82">
        <v>9</v>
      </c>
      <c r="W82">
        <v>4579.1999999999989</v>
      </c>
      <c r="X82">
        <v>8</v>
      </c>
      <c r="Y82">
        <v>4070.3999999999992</v>
      </c>
      <c r="Z82">
        <v>14</v>
      </c>
      <c r="AA82">
        <v>7123.1999999999989</v>
      </c>
      <c r="AB82">
        <v>11</v>
      </c>
      <c r="AC82">
        <v>5596.7999999999993</v>
      </c>
      <c r="AD82">
        <v>13</v>
      </c>
      <c r="AE82">
        <v>6614.3999999999987</v>
      </c>
      <c r="AF82">
        <v>11</v>
      </c>
      <c r="AG82">
        <v>5596.7999999999993</v>
      </c>
      <c r="AH82">
        <v>14</v>
      </c>
      <c r="AI82">
        <v>7123.1999999999989</v>
      </c>
      <c r="AJ82">
        <v>11</v>
      </c>
      <c r="AK82">
        <v>5596.7999999999993</v>
      </c>
      <c r="AL82">
        <v>12</v>
      </c>
      <c r="AM82">
        <v>6105.5999999999985</v>
      </c>
      <c r="AN82">
        <v>12</v>
      </c>
      <c r="AO82">
        <v>6105.5999999999985</v>
      </c>
      <c r="AP82">
        <v>14</v>
      </c>
      <c r="AQ82">
        <v>7123.1999999999989</v>
      </c>
      <c r="AR82">
        <v>10</v>
      </c>
      <c r="AS82">
        <v>5087.9999999999991</v>
      </c>
      <c r="AT82">
        <v>12</v>
      </c>
      <c r="AU82">
        <v>6105.5999999999985</v>
      </c>
      <c r="AV82">
        <v>10</v>
      </c>
      <c r="AW82">
        <v>5087.9999999999991</v>
      </c>
      <c r="AX82">
        <v>14</v>
      </c>
      <c r="AY82">
        <v>7123.1999999999989</v>
      </c>
      <c r="AZ82">
        <v>12</v>
      </c>
      <c r="BA82">
        <v>6105.5999999999985</v>
      </c>
      <c r="BB82">
        <v>12</v>
      </c>
      <c r="BC82">
        <v>6105.5999999999985</v>
      </c>
      <c r="BD82">
        <v>7</v>
      </c>
      <c r="BE82">
        <v>3561.5999999999995</v>
      </c>
      <c r="BF82">
        <v>9</v>
      </c>
      <c r="BG82">
        <v>4579.1999999999989</v>
      </c>
      <c r="BH82">
        <v>15</v>
      </c>
      <c r="BI82">
        <v>7631.9999999999982</v>
      </c>
      <c r="BJ82">
        <v>11</v>
      </c>
      <c r="BK82">
        <v>5596.7999999999993</v>
      </c>
      <c r="BL82">
        <v>14</v>
      </c>
      <c r="BM82">
        <v>7123.1999999999989</v>
      </c>
      <c r="BN82">
        <v>12</v>
      </c>
      <c r="BO82">
        <v>6105.5999999999985</v>
      </c>
      <c r="BP82">
        <v>13</v>
      </c>
      <c r="BQ82">
        <v>6614.3999999999987</v>
      </c>
      <c r="BR82">
        <v>10</v>
      </c>
      <c r="BS82">
        <v>5087.9999999999991</v>
      </c>
      <c r="BT82">
        <v>9</v>
      </c>
      <c r="BU82">
        <v>4579.1999999999989</v>
      </c>
      <c r="BV82">
        <v>14</v>
      </c>
      <c r="BW82">
        <v>7123.1999999999989</v>
      </c>
      <c r="BX82">
        <v>14</v>
      </c>
      <c r="BY82">
        <v>7123.1999999999989</v>
      </c>
      <c r="BZ82">
        <v>10</v>
      </c>
      <c r="CA82">
        <v>5087.9999999999991</v>
      </c>
      <c r="CB82">
        <v>12</v>
      </c>
      <c r="CC82">
        <v>6105.5999999999985</v>
      </c>
      <c r="CD82">
        <v>8</v>
      </c>
      <c r="CE82">
        <v>4070.3999999999992</v>
      </c>
      <c r="CF82">
        <v>11</v>
      </c>
      <c r="CG82">
        <v>5596.7999999999993</v>
      </c>
      <c r="CH82">
        <v>14</v>
      </c>
      <c r="CI82">
        <v>7123.1999999999989</v>
      </c>
      <c r="CJ82">
        <v>9</v>
      </c>
      <c r="CK82">
        <v>4579.1999999999989</v>
      </c>
      <c r="CL82">
        <v>8</v>
      </c>
      <c r="CM82">
        <v>4070.3999999999992</v>
      </c>
      <c r="CN82">
        <v>12</v>
      </c>
      <c r="CO82">
        <v>6105.5999999999985</v>
      </c>
      <c r="CP82">
        <v>12</v>
      </c>
      <c r="CQ82">
        <v>6105.5999999999985</v>
      </c>
      <c r="CR82">
        <v>11</v>
      </c>
      <c r="CS82">
        <v>5596.7999999999993</v>
      </c>
      <c r="CT82">
        <v>11</v>
      </c>
      <c r="CU82">
        <v>5596.7999999999993</v>
      </c>
    </row>
    <row r="83" spans="2:99" x14ac:dyDescent="0.2">
      <c r="C83" s="116" t="s">
        <v>249</v>
      </c>
      <c r="D83">
        <v>10</v>
      </c>
      <c r="E83">
        <v>8604</v>
      </c>
      <c r="F83">
        <v>12</v>
      </c>
      <c r="G83">
        <v>10324.799999999999</v>
      </c>
      <c r="H83">
        <v>8</v>
      </c>
      <c r="I83">
        <v>6883.2</v>
      </c>
      <c r="J83">
        <v>11</v>
      </c>
      <c r="K83">
        <v>9464.4</v>
      </c>
      <c r="L83">
        <v>11</v>
      </c>
      <c r="M83">
        <v>9464.4</v>
      </c>
      <c r="N83">
        <v>8</v>
      </c>
      <c r="O83">
        <v>6883.2</v>
      </c>
      <c r="P83">
        <v>8</v>
      </c>
      <c r="Q83">
        <v>6883.2</v>
      </c>
      <c r="R83">
        <v>11</v>
      </c>
      <c r="S83">
        <v>9464.4</v>
      </c>
      <c r="T83">
        <v>14</v>
      </c>
      <c r="U83">
        <v>12045.6</v>
      </c>
      <c r="V83">
        <v>9</v>
      </c>
      <c r="W83">
        <v>7743.5999999999995</v>
      </c>
      <c r="X83">
        <v>7</v>
      </c>
      <c r="Y83">
        <v>6022.8</v>
      </c>
      <c r="Z83">
        <v>13</v>
      </c>
      <c r="AA83">
        <v>11185.199999999999</v>
      </c>
      <c r="AB83">
        <v>10</v>
      </c>
      <c r="AC83">
        <v>8604</v>
      </c>
      <c r="AD83">
        <v>12</v>
      </c>
      <c r="AE83">
        <v>10324.799999999999</v>
      </c>
      <c r="AF83">
        <v>11</v>
      </c>
      <c r="AG83">
        <v>9464.4</v>
      </c>
      <c r="AH83">
        <v>13</v>
      </c>
      <c r="AI83">
        <v>11185.199999999999</v>
      </c>
      <c r="AJ83">
        <v>9</v>
      </c>
      <c r="AK83">
        <v>7743.5999999999995</v>
      </c>
      <c r="AL83">
        <v>12</v>
      </c>
      <c r="AM83">
        <v>10324.799999999999</v>
      </c>
      <c r="AN83">
        <v>11</v>
      </c>
      <c r="AO83">
        <v>9464.4</v>
      </c>
      <c r="AP83">
        <v>15</v>
      </c>
      <c r="AQ83">
        <v>12906</v>
      </c>
      <c r="AR83">
        <v>9</v>
      </c>
      <c r="AS83">
        <v>7743.5999999999995</v>
      </c>
      <c r="AT83">
        <v>13</v>
      </c>
      <c r="AU83">
        <v>11185.199999999999</v>
      </c>
      <c r="AV83">
        <v>10</v>
      </c>
      <c r="AW83">
        <v>8604</v>
      </c>
      <c r="AX83">
        <v>12</v>
      </c>
      <c r="AY83">
        <v>10324.799999999999</v>
      </c>
      <c r="AZ83">
        <v>12</v>
      </c>
      <c r="BA83">
        <v>10324.799999999999</v>
      </c>
      <c r="BB83">
        <v>10</v>
      </c>
      <c r="BC83">
        <v>8604</v>
      </c>
      <c r="BD83">
        <v>7</v>
      </c>
      <c r="BE83">
        <v>6022.8</v>
      </c>
      <c r="BF83">
        <v>8</v>
      </c>
      <c r="BG83">
        <v>6883.2</v>
      </c>
      <c r="BH83">
        <v>13</v>
      </c>
      <c r="BI83">
        <v>11185.199999999999</v>
      </c>
      <c r="BJ83">
        <v>10</v>
      </c>
      <c r="BK83">
        <v>8604</v>
      </c>
      <c r="BL83">
        <v>14</v>
      </c>
      <c r="BM83">
        <v>12045.6</v>
      </c>
      <c r="BN83">
        <v>11</v>
      </c>
      <c r="BO83">
        <v>9464.4</v>
      </c>
      <c r="BP83">
        <v>11</v>
      </c>
      <c r="BQ83">
        <v>9464.4</v>
      </c>
      <c r="BR83">
        <v>10</v>
      </c>
      <c r="BS83">
        <v>8604</v>
      </c>
      <c r="BT83">
        <v>9</v>
      </c>
      <c r="BU83">
        <v>7743.5999999999995</v>
      </c>
      <c r="BV83">
        <v>14</v>
      </c>
      <c r="BW83">
        <v>12045.6</v>
      </c>
      <c r="BX83">
        <v>15</v>
      </c>
      <c r="BY83">
        <v>12906</v>
      </c>
      <c r="BZ83">
        <v>10</v>
      </c>
      <c r="CA83">
        <v>8604</v>
      </c>
      <c r="CB83">
        <v>11</v>
      </c>
      <c r="CC83">
        <v>9464.4</v>
      </c>
      <c r="CD83">
        <v>9</v>
      </c>
      <c r="CE83">
        <v>7743.5999999999995</v>
      </c>
      <c r="CF83">
        <v>10</v>
      </c>
      <c r="CG83">
        <v>8604</v>
      </c>
      <c r="CH83">
        <v>14</v>
      </c>
      <c r="CI83">
        <v>12045.6</v>
      </c>
      <c r="CJ83">
        <v>10</v>
      </c>
      <c r="CK83">
        <v>8604</v>
      </c>
      <c r="CL83">
        <v>7</v>
      </c>
      <c r="CM83">
        <v>6022.8</v>
      </c>
      <c r="CN83">
        <v>10</v>
      </c>
      <c r="CO83">
        <v>8604</v>
      </c>
      <c r="CP83">
        <v>11</v>
      </c>
      <c r="CQ83">
        <v>9464.4</v>
      </c>
      <c r="CR83">
        <v>10</v>
      </c>
      <c r="CS83">
        <v>8604</v>
      </c>
      <c r="CT83">
        <v>13</v>
      </c>
      <c r="CU83">
        <v>11185.199999999999</v>
      </c>
    </row>
    <row r="84" spans="2:99" x14ac:dyDescent="0.2">
      <c r="C84" s="116" t="s">
        <v>250</v>
      </c>
      <c r="D84">
        <v>11</v>
      </c>
      <c r="E84">
        <v>8593.1999999999989</v>
      </c>
      <c r="F84">
        <v>11</v>
      </c>
      <c r="G84">
        <v>8593.1999999999989</v>
      </c>
      <c r="H84">
        <v>8</v>
      </c>
      <c r="I84">
        <v>6249.5999999999995</v>
      </c>
      <c r="J84">
        <v>10</v>
      </c>
      <c r="K84">
        <v>7811.9999999999991</v>
      </c>
      <c r="L84">
        <v>9</v>
      </c>
      <c r="M84">
        <v>7030.7999999999993</v>
      </c>
      <c r="N84">
        <v>7</v>
      </c>
      <c r="O84">
        <v>5468.4</v>
      </c>
      <c r="P84">
        <v>10</v>
      </c>
      <c r="Q84">
        <v>7811.9999999999991</v>
      </c>
      <c r="R84">
        <v>11</v>
      </c>
      <c r="S84">
        <v>8593.1999999999989</v>
      </c>
      <c r="T84">
        <v>14</v>
      </c>
      <c r="U84">
        <v>10936.8</v>
      </c>
      <c r="V84">
        <v>9</v>
      </c>
      <c r="W84">
        <v>7030.7999999999993</v>
      </c>
      <c r="X84">
        <v>8</v>
      </c>
      <c r="Y84">
        <v>6249.5999999999995</v>
      </c>
      <c r="Z84">
        <v>13</v>
      </c>
      <c r="AA84">
        <v>10155.599999999999</v>
      </c>
      <c r="AB84">
        <v>11</v>
      </c>
      <c r="AC84">
        <v>8593.1999999999989</v>
      </c>
      <c r="AD84">
        <v>14</v>
      </c>
      <c r="AE84">
        <v>10936.8</v>
      </c>
      <c r="AF84">
        <v>11</v>
      </c>
      <c r="AG84">
        <v>8593.1999999999989</v>
      </c>
      <c r="AH84">
        <v>13</v>
      </c>
      <c r="AI84">
        <v>10155.599999999999</v>
      </c>
      <c r="AJ84">
        <v>10</v>
      </c>
      <c r="AK84">
        <v>7811.9999999999991</v>
      </c>
      <c r="AL84">
        <v>11</v>
      </c>
      <c r="AM84">
        <v>8593.1999999999989</v>
      </c>
      <c r="AN84">
        <v>13</v>
      </c>
      <c r="AO84">
        <v>10155.599999999999</v>
      </c>
      <c r="AP84">
        <v>15</v>
      </c>
      <c r="AQ84">
        <v>11717.999999999998</v>
      </c>
      <c r="AR84">
        <v>9</v>
      </c>
      <c r="AS84">
        <v>7030.7999999999993</v>
      </c>
      <c r="AT84">
        <v>12</v>
      </c>
      <c r="AU84">
        <v>9374.4</v>
      </c>
      <c r="AV84">
        <v>10</v>
      </c>
      <c r="AW84">
        <v>7811.9999999999991</v>
      </c>
      <c r="AX84">
        <v>14</v>
      </c>
      <c r="AY84">
        <v>10936.8</v>
      </c>
      <c r="AZ84">
        <v>12</v>
      </c>
      <c r="BA84">
        <v>9374.4</v>
      </c>
      <c r="BB84">
        <v>10</v>
      </c>
      <c r="BC84">
        <v>7811.9999999999991</v>
      </c>
      <c r="BD84">
        <v>8</v>
      </c>
      <c r="BE84">
        <v>6249.5999999999995</v>
      </c>
      <c r="BF84">
        <v>9</v>
      </c>
      <c r="BG84">
        <v>7030.7999999999993</v>
      </c>
      <c r="BH84">
        <v>15</v>
      </c>
      <c r="BI84">
        <v>11717.999999999998</v>
      </c>
      <c r="BJ84">
        <v>10</v>
      </c>
      <c r="BK84">
        <v>7811.9999999999991</v>
      </c>
      <c r="BL84">
        <v>13</v>
      </c>
      <c r="BM84">
        <v>10155.599999999999</v>
      </c>
      <c r="BN84">
        <v>10</v>
      </c>
      <c r="BO84">
        <v>7811.9999999999991</v>
      </c>
      <c r="BP84">
        <v>11</v>
      </c>
      <c r="BQ84">
        <v>8593.1999999999989</v>
      </c>
      <c r="BR84">
        <v>9</v>
      </c>
      <c r="BS84">
        <v>7030.7999999999993</v>
      </c>
      <c r="BT84">
        <v>9</v>
      </c>
      <c r="BU84">
        <v>7030.7999999999993</v>
      </c>
      <c r="BV84">
        <v>12</v>
      </c>
      <c r="BW84">
        <v>9374.4</v>
      </c>
      <c r="BX84">
        <v>14</v>
      </c>
      <c r="BY84">
        <v>10936.8</v>
      </c>
      <c r="BZ84">
        <v>9</v>
      </c>
      <c r="CA84">
        <v>7030.7999999999993</v>
      </c>
      <c r="CB84">
        <v>11</v>
      </c>
      <c r="CC84">
        <v>8593.1999999999989</v>
      </c>
      <c r="CD84">
        <v>8</v>
      </c>
      <c r="CE84">
        <v>6249.5999999999995</v>
      </c>
      <c r="CF84">
        <v>9</v>
      </c>
      <c r="CG84">
        <v>7030.7999999999993</v>
      </c>
      <c r="CH84">
        <v>12</v>
      </c>
      <c r="CI84">
        <v>9374.4</v>
      </c>
      <c r="CJ84">
        <v>10</v>
      </c>
      <c r="CK84">
        <v>7811.9999999999991</v>
      </c>
      <c r="CL84">
        <v>8</v>
      </c>
      <c r="CM84">
        <v>6249.5999999999995</v>
      </c>
      <c r="CN84">
        <v>11</v>
      </c>
      <c r="CO84">
        <v>8593.1999999999989</v>
      </c>
      <c r="CP84">
        <v>13</v>
      </c>
      <c r="CQ84">
        <v>10155.599999999999</v>
      </c>
      <c r="CR84">
        <v>10</v>
      </c>
      <c r="CS84">
        <v>7811.9999999999991</v>
      </c>
      <c r="CT84">
        <v>12</v>
      </c>
      <c r="CU84">
        <v>9374.4</v>
      </c>
    </row>
    <row r="85" spans="2:99" x14ac:dyDescent="0.2">
      <c r="C85" s="116" t="s">
        <v>251</v>
      </c>
      <c r="D85">
        <v>12</v>
      </c>
      <c r="E85">
        <v>1800</v>
      </c>
      <c r="F85">
        <v>13</v>
      </c>
      <c r="G85">
        <v>1950</v>
      </c>
      <c r="H85">
        <v>9</v>
      </c>
      <c r="I85">
        <v>1350</v>
      </c>
      <c r="J85">
        <v>11</v>
      </c>
      <c r="K85">
        <v>1650</v>
      </c>
      <c r="L85">
        <v>10</v>
      </c>
      <c r="M85">
        <v>1500</v>
      </c>
      <c r="N85">
        <v>7</v>
      </c>
      <c r="O85">
        <v>1050</v>
      </c>
      <c r="P85">
        <v>9</v>
      </c>
      <c r="Q85">
        <v>1350</v>
      </c>
      <c r="R85">
        <v>12</v>
      </c>
      <c r="S85">
        <v>1800</v>
      </c>
      <c r="T85">
        <v>14</v>
      </c>
      <c r="U85">
        <v>2100</v>
      </c>
      <c r="V85">
        <v>10</v>
      </c>
      <c r="W85">
        <v>1500</v>
      </c>
      <c r="X85">
        <v>8</v>
      </c>
      <c r="Y85">
        <v>1200</v>
      </c>
      <c r="Z85">
        <v>15</v>
      </c>
      <c r="AA85">
        <v>2250</v>
      </c>
      <c r="AB85">
        <v>12</v>
      </c>
      <c r="AC85">
        <v>1800</v>
      </c>
      <c r="AD85">
        <v>13</v>
      </c>
      <c r="AE85">
        <v>1950</v>
      </c>
      <c r="AF85">
        <v>12</v>
      </c>
      <c r="AG85">
        <v>1800</v>
      </c>
      <c r="AH85">
        <v>14</v>
      </c>
      <c r="AI85">
        <v>2100</v>
      </c>
      <c r="AJ85">
        <v>11</v>
      </c>
      <c r="AK85">
        <v>1650</v>
      </c>
      <c r="AL85">
        <v>12</v>
      </c>
      <c r="AM85">
        <v>1800</v>
      </c>
      <c r="AN85">
        <v>13</v>
      </c>
      <c r="AO85">
        <v>1950</v>
      </c>
      <c r="AP85">
        <v>15</v>
      </c>
      <c r="AQ85">
        <v>2250</v>
      </c>
      <c r="AR85">
        <v>11</v>
      </c>
      <c r="AS85">
        <v>1650</v>
      </c>
      <c r="AT85">
        <v>14</v>
      </c>
      <c r="AU85">
        <v>2100</v>
      </c>
      <c r="AV85">
        <v>10</v>
      </c>
      <c r="AW85">
        <v>1500</v>
      </c>
      <c r="AX85">
        <v>14</v>
      </c>
      <c r="AY85">
        <v>2100</v>
      </c>
      <c r="AZ85">
        <v>13</v>
      </c>
      <c r="BA85">
        <v>1950</v>
      </c>
      <c r="BB85">
        <v>12</v>
      </c>
      <c r="BC85">
        <v>1800</v>
      </c>
      <c r="BD85">
        <v>8</v>
      </c>
      <c r="BE85">
        <v>1200</v>
      </c>
      <c r="BF85">
        <v>10</v>
      </c>
      <c r="BG85">
        <v>1500</v>
      </c>
      <c r="BH85">
        <v>16</v>
      </c>
      <c r="BI85">
        <v>2400</v>
      </c>
      <c r="BJ85">
        <v>11</v>
      </c>
      <c r="BK85">
        <v>1650</v>
      </c>
      <c r="BL85">
        <v>16</v>
      </c>
      <c r="BM85">
        <v>2400</v>
      </c>
      <c r="BN85">
        <v>13</v>
      </c>
      <c r="BO85">
        <v>1950</v>
      </c>
      <c r="BP85">
        <v>14</v>
      </c>
      <c r="BQ85">
        <v>2100</v>
      </c>
      <c r="BR85">
        <v>10</v>
      </c>
      <c r="BS85">
        <v>1500</v>
      </c>
      <c r="BT85">
        <v>9</v>
      </c>
      <c r="BU85">
        <v>1350</v>
      </c>
      <c r="BV85">
        <v>14</v>
      </c>
      <c r="BW85">
        <v>2100</v>
      </c>
      <c r="BX85">
        <v>17</v>
      </c>
      <c r="BY85">
        <v>2550</v>
      </c>
      <c r="BZ85">
        <v>11</v>
      </c>
      <c r="CA85">
        <v>1650</v>
      </c>
      <c r="CB85">
        <v>12</v>
      </c>
      <c r="CC85">
        <v>1800</v>
      </c>
      <c r="CD85">
        <v>8</v>
      </c>
      <c r="CE85">
        <v>1200</v>
      </c>
      <c r="CF85">
        <v>10</v>
      </c>
      <c r="CG85">
        <v>1500</v>
      </c>
      <c r="CH85">
        <v>14</v>
      </c>
      <c r="CI85">
        <v>2100</v>
      </c>
      <c r="CJ85">
        <v>11</v>
      </c>
      <c r="CK85">
        <v>1650</v>
      </c>
      <c r="CL85">
        <v>9</v>
      </c>
      <c r="CM85">
        <v>1350</v>
      </c>
      <c r="CN85">
        <v>10</v>
      </c>
      <c r="CO85">
        <v>1500</v>
      </c>
      <c r="CP85">
        <v>14</v>
      </c>
      <c r="CQ85">
        <v>2100</v>
      </c>
      <c r="CR85">
        <v>10</v>
      </c>
      <c r="CS85">
        <v>1500</v>
      </c>
      <c r="CT85">
        <v>13</v>
      </c>
      <c r="CU85">
        <v>1950</v>
      </c>
    </row>
    <row r="86" spans="2:99" x14ac:dyDescent="0.2">
      <c r="C86" s="116" t="s">
        <v>252</v>
      </c>
      <c r="D86">
        <v>12</v>
      </c>
      <c r="E86">
        <v>6480</v>
      </c>
      <c r="F86">
        <v>11</v>
      </c>
      <c r="G86">
        <v>5940</v>
      </c>
      <c r="H86">
        <v>9</v>
      </c>
      <c r="I86">
        <v>4860</v>
      </c>
      <c r="J86">
        <v>10</v>
      </c>
      <c r="K86">
        <v>5400</v>
      </c>
      <c r="L86">
        <v>11</v>
      </c>
      <c r="M86">
        <v>5940</v>
      </c>
      <c r="N86">
        <v>7</v>
      </c>
      <c r="O86">
        <v>3780</v>
      </c>
      <c r="P86">
        <v>10</v>
      </c>
      <c r="Q86">
        <v>5400</v>
      </c>
      <c r="R86">
        <v>12</v>
      </c>
      <c r="S86">
        <v>6480</v>
      </c>
      <c r="T86">
        <v>13</v>
      </c>
      <c r="U86">
        <v>7020</v>
      </c>
      <c r="V86">
        <v>10</v>
      </c>
      <c r="W86">
        <v>5400</v>
      </c>
      <c r="X86">
        <v>7</v>
      </c>
      <c r="Y86">
        <v>3780</v>
      </c>
      <c r="Z86">
        <v>14</v>
      </c>
      <c r="AA86">
        <v>7560</v>
      </c>
      <c r="AB86">
        <v>12</v>
      </c>
      <c r="AC86">
        <v>6480</v>
      </c>
      <c r="AD86">
        <v>14</v>
      </c>
      <c r="AE86">
        <v>7560</v>
      </c>
      <c r="AF86">
        <v>12</v>
      </c>
      <c r="AG86">
        <v>6480</v>
      </c>
      <c r="AH86">
        <v>14</v>
      </c>
      <c r="AI86">
        <v>7560</v>
      </c>
      <c r="AJ86">
        <v>11</v>
      </c>
      <c r="AK86">
        <v>5940</v>
      </c>
      <c r="AL86">
        <v>12</v>
      </c>
      <c r="AM86">
        <v>6480</v>
      </c>
      <c r="AN86">
        <v>11</v>
      </c>
      <c r="AO86">
        <v>5940</v>
      </c>
      <c r="AP86">
        <v>13</v>
      </c>
      <c r="AQ86">
        <v>7020</v>
      </c>
      <c r="AR86">
        <v>10</v>
      </c>
      <c r="AS86">
        <v>5400</v>
      </c>
      <c r="AT86">
        <v>14</v>
      </c>
      <c r="AU86">
        <v>7560</v>
      </c>
      <c r="AV86">
        <v>10</v>
      </c>
      <c r="AW86">
        <v>5400</v>
      </c>
      <c r="AX86">
        <v>15</v>
      </c>
      <c r="AY86">
        <v>8100</v>
      </c>
      <c r="AZ86">
        <v>13</v>
      </c>
      <c r="BA86">
        <v>7020</v>
      </c>
      <c r="BB86">
        <v>11</v>
      </c>
      <c r="BC86">
        <v>5940</v>
      </c>
      <c r="BD86">
        <v>8</v>
      </c>
      <c r="BE86">
        <v>4320</v>
      </c>
      <c r="BF86">
        <v>10</v>
      </c>
      <c r="BG86">
        <v>5400</v>
      </c>
      <c r="BH86">
        <v>14</v>
      </c>
      <c r="BI86">
        <v>7560</v>
      </c>
      <c r="BJ86">
        <v>9</v>
      </c>
      <c r="BK86">
        <v>4860</v>
      </c>
      <c r="BL86">
        <v>15</v>
      </c>
      <c r="BM86">
        <v>8100</v>
      </c>
      <c r="BN86">
        <v>12</v>
      </c>
      <c r="BO86">
        <v>6480</v>
      </c>
      <c r="BP86">
        <v>12</v>
      </c>
      <c r="BQ86">
        <v>6480</v>
      </c>
      <c r="BR86">
        <v>11</v>
      </c>
      <c r="BS86">
        <v>5940</v>
      </c>
      <c r="BT86">
        <v>10</v>
      </c>
      <c r="BU86">
        <v>5400</v>
      </c>
      <c r="BV86">
        <v>13</v>
      </c>
      <c r="BW86">
        <v>7020</v>
      </c>
      <c r="BX86">
        <v>16</v>
      </c>
      <c r="BY86">
        <v>8640</v>
      </c>
      <c r="BZ86">
        <v>9</v>
      </c>
      <c r="CA86">
        <v>4860</v>
      </c>
      <c r="CB86">
        <v>12</v>
      </c>
      <c r="CC86">
        <v>6480</v>
      </c>
      <c r="CD86">
        <v>9</v>
      </c>
      <c r="CE86">
        <v>4860</v>
      </c>
      <c r="CF86">
        <v>10</v>
      </c>
      <c r="CG86">
        <v>5400</v>
      </c>
      <c r="CH86">
        <v>13</v>
      </c>
      <c r="CI86">
        <v>7020</v>
      </c>
      <c r="CJ86">
        <v>9</v>
      </c>
      <c r="CK86">
        <v>4860</v>
      </c>
      <c r="CL86">
        <v>8</v>
      </c>
      <c r="CM86">
        <v>4320</v>
      </c>
      <c r="CN86">
        <v>11</v>
      </c>
      <c r="CO86">
        <v>5940</v>
      </c>
      <c r="CP86">
        <v>13</v>
      </c>
      <c r="CQ86">
        <v>7020</v>
      </c>
      <c r="CR86">
        <v>11</v>
      </c>
      <c r="CS86">
        <v>5940</v>
      </c>
      <c r="CT86">
        <v>12</v>
      </c>
      <c r="CU86">
        <v>6480</v>
      </c>
    </row>
    <row r="87" spans="2:99" x14ac:dyDescent="0.2">
      <c r="B87" s="116" t="s">
        <v>131</v>
      </c>
      <c r="C87" s="116" t="s">
        <v>253</v>
      </c>
      <c r="D87">
        <v>10</v>
      </c>
      <c r="E87">
        <v>19548</v>
      </c>
      <c r="F87">
        <v>11</v>
      </c>
      <c r="G87">
        <v>21502.799999999999</v>
      </c>
      <c r="H87">
        <v>12</v>
      </c>
      <c r="I87">
        <v>23457.599999999999</v>
      </c>
      <c r="J87">
        <v>10</v>
      </c>
      <c r="K87">
        <v>19548</v>
      </c>
      <c r="L87">
        <v>11</v>
      </c>
      <c r="M87">
        <v>21502.799999999999</v>
      </c>
      <c r="N87">
        <v>9</v>
      </c>
      <c r="O87">
        <v>17593.2</v>
      </c>
      <c r="P87">
        <v>8</v>
      </c>
      <c r="Q87">
        <v>15638.4</v>
      </c>
      <c r="R87">
        <v>6</v>
      </c>
      <c r="S87">
        <v>11728.8</v>
      </c>
      <c r="T87">
        <v>12</v>
      </c>
      <c r="U87">
        <v>23457.599999999999</v>
      </c>
      <c r="V87">
        <v>10</v>
      </c>
      <c r="W87">
        <v>19548</v>
      </c>
      <c r="X87">
        <v>11</v>
      </c>
      <c r="Y87">
        <v>21502.799999999999</v>
      </c>
      <c r="Z87">
        <v>11</v>
      </c>
      <c r="AA87">
        <v>21502.799999999999</v>
      </c>
      <c r="AB87">
        <v>9</v>
      </c>
      <c r="AC87">
        <v>17593.2</v>
      </c>
      <c r="AD87">
        <v>12</v>
      </c>
      <c r="AE87">
        <v>23457.599999999999</v>
      </c>
      <c r="AF87">
        <v>8</v>
      </c>
      <c r="AG87">
        <v>15638.4</v>
      </c>
      <c r="AH87">
        <v>13</v>
      </c>
      <c r="AI87">
        <v>25412.399999999998</v>
      </c>
      <c r="AJ87">
        <v>11</v>
      </c>
      <c r="AK87">
        <v>21502.799999999999</v>
      </c>
      <c r="AL87">
        <v>13</v>
      </c>
      <c r="AM87">
        <v>25412.399999999998</v>
      </c>
      <c r="AN87">
        <v>12</v>
      </c>
      <c r="AO87">
        <v>23457.599999999999</v>
      </c>
      <c r="AP87">
        <v>8</v>
      </c>
      <c r="AQ87">
        <v>15638.4</v>
      </c>
      <c r="AR87">
        <v>8</v>
      </c>
      <c r="AS87">
        <v>15638.4</v>
      </c>
      <c r="AT87">
        <v>11</v>
      </c>
      <c r="AU87">
        <v>21502.799999999999</v>
      </c>
      <c r="AV87">
        <v>9</v>
      </c>
      <c r="AW87">
        <v>17593.2</v>
      </c>
      <c r="AX87">
        <v>9</v>
      </c>
      <c r="AY87">
        <v>17593.2</v>
      </c>
      <c r="AZ87">
        <v>11</v>
      </c>
      <c r="BA87">
        <v>21502.799999999999</v>
      </c>
      <c r="BB87">
        <v>9</v>
      </c>
      <c r="BC87">
        <v>17593.2</v>
      </c>
      <c r="BD87">
        <v>7</v>
      </c>
      <c r="BE87">
        <v>13683.6</v>
      </c>
      <c r="BF87">
        <v>13</v>
      </c>
      <c r="BG87">
        <v>25412.399999999998</v>
      </c>
      <c r="BH87">
        <v>8</v>
      </c>
      <c r="BI87">
        <v>15638.4</v>
      </c>
      <c r="BJ87">
        <v>11</v>
      </c>
      <c r="BK87">
        <v>21502.799999999999</v>
      </c>
      <c r="BL87">
        <v>10</v>
      </c>
      <c r="BM87">
        <v>19548</v>
      </c>
      <c r="BN87">
        <v>10</v>
      </c>
      <c r="BO87">
        <v>19548</v>
      </c>
      <c r="BP87">
        <v>9</v>
      </c>
      <c r="BQ87">
        <v>17593.2</v>
      </c>
      <c r="BR87">
        <v>7</v>
      </c>
      <c r="BS87">
        <v>13683.6</v>
      </c>
      <c r="BT87">
        <v>14</v>
      </c>
      <c r="BU87">
        <v>27367.200000000001</v>
      </c>
      <c r="BV87">
        <v>9</v>
      </c>
      <c r="BW87">
        <v>17593.2</v>
      </c>
      <c r="BX87">
        <v>10</v>
      </c>
      <c r="BY87">
        <v>19548</v>
      </c>
      <c r="BZ87">
        <v>13</v>
      </c>
      <c r="CA87">
        <v>25412.399999999998</v>
      </c>
      <c r="CB87">
        <v>14</v>
      </c>
      <c r="CC87">
        <v>27367.200000000001</v>
      </c>
      <c r="CD87">
        <v>14</v>
      </c>
      <c r="CE87">
        <v>27367.200000000001</v>
      </c>
      <c r="CF87">
        <v>11</v>
      </c>
      <c r="CG87">
        <v>21502.799999999999</v>
      </c>
      <c r="CH87">
        <v>12</v>
      </c>
      <c r="CI87">
        <v>23457.599999999999</v>
      </c>
      <c r="CJ87">
        <v>8</v>
      </c>
      <c r="CK87">
        <v>15638.4</v>
      </c>
      <c r="CL87">
        <v>9</v>
      </c>
      <c r="CM87">
        <v>17593.2</v>
      </c>
      <c r="CN87">
        <v>11</v>
      </c>
      <c r="CO87">
        <v>21502.799999999999</v>
      </c>
      <c r="CP87">
        <v>8</v>
      </c>
      <c r="CQ87">
        <v>15638.4</v>
      </c>
      <c r="CR87">
        <v>9</v>
      </c>
      <c r="CS87">
        <v>17593.2</v>
      </c>
      <c r="CT87">
        <v>11</v>
      </c>
      <c r="CU87">
        <v>21502.799999999999</v>
      </c>
    </row>
    <row r="88" spans="2:99" x14ac:dyDescent="0.2">
      <c r="C88" s="116" t="s">
        <v>254</v>
      </c>
      <c r="D88">
        <v>9</v>
      </c>
      <c r="E88">
        <v>17031.599999999999</v>
      </c>
      <c r="F88">
        <v>11</v>
      </c>
      <c r="G88">
        <v>20816.399999999998</v>
      </c>
      <c r="H88">
        <v>12</v>
      </c>
      <c r="I88">
        <v>22708.799999999999</v>
      </c>
      <c r="J88">
        <v>10</v>
      </c>
      <c r="K88">
        <v>18924</v>
      </c>
      <c r="L88">
        <v>11</v>
      </c>
      <c r="M88">
        <v>20816.399999999998</v>
      </c>
      <c r="N88">
        <v>8</v>
      </c>
      <c r="O88">
        <v>15139.199999999999</v>
      </c>
      <c r="P88">
        <v>9</v>
      </c>
      <c r="Q88">
        <v>17031.599999999999</v>
      </c>
      <c r="R88">
        <v>6</v>
      </c>
      <c r="S88">
        <v>11354.4</v>
      </c>
      <c r="T88">
        <v>11</v>
      </c>
      <c r="U88">
        <v>20816.399999999998</v>
      </c>
      <c r="V88">
        <v>10</v>
      </c>
      <c r="W88">
        <v>18924</v>
      </c>
      <c r="X88">
        <v>11</v>
      </c>
      <c r="Y88">
        <v>20816.399999999998</v>
      </c>
      <c r="Z88">
        <v>10</v>
      </c>
      <c r="AA88">
        <v>18924</v>
      </c>
      <c r="AB88">
        <v>10</v>
      </c>
      <c r="AC88">
        <v>18924</v>
      </c>
      <c r="AD88">
        <v>12</v>
      </c>
      <c r="AE88">
        <v>22708.799999999999</v>
      </c>
      <c r="AF88">
        <v>8</v>
      </c>
      <c r="AG88">
        <v>15139.199999999999</v>
      </c>
      <c r="AH88">
        <v>11</v>
      </c>
      <c r="AI88">
        <v>20816.399999999998</v>
      </c>
      <c r="AJ88">
        <v>13</v>
      </c>
      <c r="AK88">
        <v>24601.199999999997</v>
      </c>
      <c r="AL88">
        <v>12</v>
      </c>
      <c r="AM88">
        <v>22708.799999999999</v>
      </c>
      <c r="AN88">
        <v>13</v>
      </c>
      <c r="AO88">
        <v>24601.199999999997</v>
      </c>
      <c r="AP88">
        <v>7</v>
      </c>
      <c r="AQ88">
        <v>13246.8</v>
      </c>
      <c r="AR88">
        <v>9</v>
      </c>
      <c r="AS88">
        <v>17031.599999999999</v>
      </c>
      <c r="AT88">
        <v>12</v>
      </c>
      <c r="AU88">
        <v>22708.799999999999</v>
      </c>
      <c r="AV88">
        <v>10</v>
      </c>
      <c r="AW88">
        <v>18924</v>
      </c>
      <c r="AX88">
        <v>9</v>
      </c>
      <c r="AY88">
        <v>17031.599999999999</v>
      </c>
      <c r="AZ88">
        <v>9</v>
      </c>
      <c r="BA88">
        <v>17031.599999999999</v>
      </c>
      <c r="BB88">
        <v>10</v>
      </c>
      <c r="BC88">
        <v>18924</v>
      </c>
      <c r="BD88">
        <v>7</v>
      </c>
      <c r="BE88">
        <v>13246.8</v>
      </c>
      <c r="BF88">
        <v>12</v>
      </c>
      <c r="BG88">
        <v>22708.799999999999</v>
      </c>
      <c r="BH88">
        <v>8</v>
      </c>
      <c r="BI88">
        <v>15139.199999999999</v>
      </c>
      <c r="BJ88">
        <v>11</v>
      </c>
      <c r="BK88">
        <v>20816.399999999998</v>
      </c>
      <c r="BL88">
        <v>11</v>
      </c>
      <c r="BM88">
        <v>20816.399999999998</v>
      </c>
      <c r="BN88">
        <v>10</v>
      </c>
      <c r="BO88">
        <v>18924</v>
      </c>
      <c r="BP88">
        <v>9</v>
      </c>
      <c r="BQ88">
        <v>17031.599999999999</v>
      </c>
      <c r="BR88">
        <v>9</v>
      </c>
      <c r="BS88">
        <v>17031.599999999999</v>
      </c>
      <c r="BT88">
        <v>12</v>
      </c>
      <c r="BU88">
        <v>22708.799999999999</v>
      </c>
      <c r="BV88">
        <v>8</v>
      </c>
      <c r="BW88">
        <v>15139.199999999999</v>
      </c>
      <c r="BX88">
        <v>10</v>
      </c>
      <c r="BY88">
        <v>18924</v>
      </c>
      <c r="BZ88">
        <v>12</v>
      </c>
      <c r="CA88">
        <v>22708.799999999999</v>
      </c>
      <c r="CB88">
        <v>15</v>
      </c>
      <c r="CC88">
        <v>28385.999999999996</v>
      </c>
      <c r="CD88">
        <v>13</v>
      </c>
      <c r="CE88">
        <v>24601.199999999997</v>
      </c>
      <c r="CF88">
        <v>12</v>
      </c>
      <c r="CG88">
        <v>22708.799999999999</v>
      </c>
      <c r="CH88">
        <v>11</v>
      </c>
      <c r="CI88">
        <v>20816.399999999998</v>
      </c>
      <c r="CJ88">
        <v>9</v>
      </c>
      <c r="CK88">
        <v>17031.599999999999</v>
      </c>
      <c r="CL88">
        <v>8</v>
      </c>
      <c r="CM88">
        <v>15139.199999999999</v>
      </c>
      <c r="CN88">
        <v>10</v>
      </c>
      <c r="CO88">
        <v>18924</v>
      </c>
      <c r="CP88">
        <v>9</v>
      </c>
      <c r="CQ88">
        <v>17031.599999999999</v>
      </c>
      <c r="CR88">
        <v>10</v>
      </c>
      <c r="CS88">
        <v>18924</v>
      </c>
      <c r="CT88">
        <v>13</v>
      </c>
      <c r="CU88">
        <v>24601.199999999997</v>
      </c>
    </row>
    <row r="89" spans="2:99" x14ac:dyDescent="0.2">
      <c r="C89" s="116" t="s">
        <v>255</v>
      </c>
      <c r="D89">
        <v>10</v>
      </c>
      <c r="E89">
        <v>23976</v>
      </c>
      <c r="F89">
        <v>10</v>
      </c>
      <c r="G89">
        <v>23976</v>
      </c>
      <c r="H89">
        <v>11</v>
      </c>
      <c r="I89">
        <v>26373.599999999999</v>
      </c>
      <c r="J89">
        <v>10</v>
      </c>
      <c r="K89">
        <v>23976</v>
      </c>
      <c r="L89">
        <v>10</v>
      </c>
      <c r="M89">
        <v>23976</v>
      </c>
      <c r="N89">
        <v>8</v>
      </c>
      <c r="O89">
        <v>19180.8</v>
      </c>
      <c r="P89">
        <v>8</v>
      </c>
      <c r="Q89">
        <v>19180.8</v>
      </c>
      <c r="R89">
        <v>6</v>
      </c>
      <c r="S89">
        <v>14385.599999999999</v>
      </c>
      <c r="T89">
        <v>10</v>
      </c>
      <c r="U89">
        <v>23976</v>
      </c>
      <c r="V89">
        <v>11</v>
      </c>
      <c r="W89">
        <v>26373.599999999999</v>
      </c>
      <c r="X89">
        <v>12</v>
      </c>
      <c r="Y89">
        <v>28771.199999999997</v>
      </c>
      <c r="Z89">
        <v>9</v>
      </c>
      <c r="AA89">
        <v>21578.399999999998</v>
      </c>
      <c r="AB89">
        <v>10</v>
      </c>
      <c r="AC89">
        <v>23976</v>
      </c>
      <c r="AD89">
        <v>13</v>
      </c>
      <c r="AE89">
        <v>31168.799999999999</v>
      </c>
      <c r="AF89">
        <v>8</v>
      </c>
      <c r="AG89">
        <v>19180.8</v>
      </c>
      <c r="AH89">
        <v>11</v>
      </c>
      <c r="AI89">
        <v>26373.599999999999</v>
      </c>
      <c r="AJ89">
        <v>12</v>
      </c>
      <c r="AK89">
        <v>28771.199999999997</v>
      </c>
      <c r="AL89">
        <v>12</v>
      </c>
      <c r="AM89">
        <v>28771.199999999997</v>
      </c>
      <c r="AN89">
        <v>12</v>
      </c>
      <c r="AO89">
        <v>28771.199999999997</v>
      </c>
      <c r="AP89">
        <v>7</v>
      </c>
      <c r="AQ89">
        <v>16783.2</v>
      </c>
      <c r="AR89">
        <v>9</v>
      </c>
      <c r="AS89">
        <v>21578.399999999998</v>
      </c>
      <c r="AT89">
        <v>12</v>
      </c>
      <c r="AU89">
        <v>28771.199999999997</v>
      </c>
      <c r="AV89">
        <v>8</v>
      </c>
      <c r="AW89">
        <v>19180.8</v>
      </c>
      <c r="AX89">
        <v>7</v>
      </c>
      <c r="AY89">
        <v>16783.2</v>
      </c>
      <c r="AZ89">
        <v>9</v>
      </c>
      <c r="BA89">
        <v>21578.399999999998</v>
      </c>
      <c r="BB89">
        <v>10</v>
      </c>
      <c r="BC89">
        <v>23976</v>
      </c>
      <c r="BD89">
        <v>6</v>
      </c>
      <c r="BE89">
        <v>14385.599999999999</v>
      </c>
      <c r="BF89">
        <v>13</v>
      </c>
      <c r="BG89">
        <v>31168.799999999999</v>
      </c>
      <c r="BH89">
        <v>7</v>
      </c>
      <c r="BI89">
        <v>16783.2</v>
      </c>
      <c r="BJ89">
        <v>11</v>
      </c>
      <c r="BK89">
        <v>26373.599999999999</v>
      </c>
      <c r="BL89">
        <v>12</v>
      </c>
      <c r="BM89">
        <v>28771.199999999997</v>
      </c>
      <c r="BN89">
        <v>10</v>
      </c>
      <c r="BO89">
        <v>23976</v>
      </c>
      <c r="BP89">
        <v>9</v>
      </c>
      <c r="BQ89">
        <v>21578.399999999998</v>
      </c>
      <c r="BR89">
        <v>8</v>
      </c>
      <c r="BS89">
        <v>19180.8</v>
      </c>
      <c r="BT89">
        <v>13</v>
      </c>
      <c r="BU89">
        <v>31168.799999999999</v>
      </c>
      <c r="BV89">
        <v>8</v>
      </c>
      <c r="BW89">
        <v>19180.8</v>
      </c>
      <c r="BX89">
        <v>10</v>
      </c>
      <c r="BY89">
        <v>23976</v>
      </c>
      <c r="BZ89">
        <v>11</v>
      </c>
      <c r="CA89">
        <v>26373.599999999999</v>
      </c>
      <c r="CB89">
        <v>13</v>
      </c>
      <c r="CC89">
        <v>31168.799999999999</v>
      </c>
      <c r="CD89">
        <v>11</v>
      </c>
      <c r="CE89">
        <v>26373.599999999999</v>
      </c>
      <c r="CF89">
        <v>9</v>
      </c>
      <c r="CG89">
        <v>21578.399999999998</v>
      </c>
      <c r="CH89">
        <v>11</v>
      </c>
      <c r="CI89">
        <v>26373.599999999999</v>
      </c>
      <c r="CJ89">
        <v>9</v>
      </c>
      <c r="CK89">
        <v>21578.399999999998</v>
      </c>
      <c r="CL89">
        <v>8</v>
      </c>
      <c r="CM89">
        <v>19180.8</v>
      </c>
      <c r="CN89">
        <v>10</v>
      </c>
      <c r="CO89">
        <v>23976</v>
      </c>
      <c r="CP89">
        <v>8</v>
      </c>
      <c r="CQ89">
        <v>19180.8</v>
      </c>
      <c r="CR89">
        <v>10</v>
      </c>
      <c r="CS89">
        <v>23976</v>
      </c>
      <c r="CT89">
        <v>13</v>
      </c>
      <c r="CU89">
        <v>31168.799999999999</v>
      </c>
    </row>
    <row r="90" spans="2:99" x14ac:dyDescent="0.2">
      <c r="C90" s="116" t="s">
        <v>256</v>
      </c>
      <c r="D90">
        <v>10</v>
      </c>
      <c r="E90">
        <v>21972</v>
      </c>
      <c r="F90">
        <v>12</v>
      </c>
      <c r="G90">
        <v>26366.399999999998</v>
      </c>
      <c r="H90">
        <v>13</v>
      </c>
      <c r="I90">
        <v>28563.599999999999</v>
      </c>
      <c r="J90">
        <v>11</v>
      </c>
      <c r="K90">
        <v>24169.199999999997</v>
      </c>
      <c r="L90">
        <v>11</v>
      </c>
      <c r="M90">
        <v>24169.199999999997</v>
      </c>
      <c r="N90">
        <v>8</v>
      </c>
      <c r="O90">
        <v>17577.599999999999</v>
      </c>
      <c r="P90">
        <v>9</v>
      </c>
      <c r="Q90">
        <v>19774.8</v>
      </c>
      <c r="R90">
        <v>7</v>
      </c>
      <c r="S90">
        <v>15380.399999999998</v>
      </c>
      <c r="T90">
        <v>10</v>
      </c>
      <c r="U90">
        <v>21972</v>
      </c>
      <c r="V90">
        <v>11</v>
      </c>
      <c r="W90">
        <v>24169.199999999997</v>
      </c>
      <c r="X90">
        <v>10</v>
      </c>
      <c r="Y90">
        <v>21972</v>
      </c>
      <c r="Z90">
        <v>10</v>
      </c>
      <c r="AA90">
        <v>21972</v>
      </c>
      <c r="AB90">
        <v>10</v>
      </c>
      <c r="AC90">
        <v>21972</v>
      </c>
      <c r="AD90">
        <v>12</v>
      </c>
      <c r="AE90">
        <v>26366.399999999998</v>
      </c>
      <c r="AF90">
        <v>9</v>
      </c>
      <c r="AG90">
        <v>19774.8</v>
      </c>
      <c r="AH90">
        <v>12</v>
      </c>
      <c r="AI90">
        <v>26366.399999999998</v>
      </c>
      <c r="AJ90">
        <v>12</v>
      </c>
      <c r="AK90">
        <v>26366.399999999998</v>
      </c>
      <c r="AL90">
        <v>13</v>
      </c>
      <c r="AM90">
        <v>28563.599999999999</v>
      </c>
      <c r="AN90">
        <v>11</v>
      </c>
      <c r="AO90">
        <v>24169.199999999997</v>
      </c>
      <c r="AP90">
        <v>7</v>
      </c>
      <c r="AQ90">
        <v>15380.399999999998</v>
      </c>
      <c r="AR90">
        <v>8</v>
      </c>
      <c r="AS90">
        <v>17577.599999999999</v>
      </c>
      <c r="AT90">
        <v>11</v>
      </c>
      <c r="AU90">
        <v>24169.199999999997</v>
      </c>
      <c r="AV90">
        <v>9</v>
      </c>
      <c r="AW90">
        <v>19774.8</v>
      </c>
      <c r="AX90">
        <v>8</v>
      </c>
      <c r="AY90">
        <v>17577.599999999999</v>
      </c>
      <c r="AZ90">
        <v>11</v>
      </c>
      <c r="BA90">
        <v>24169.199999999997</v>
      </c>
      <c r="BB90">
        <v>9</v>
      </c>
      <c r="BC90">
        <v>19774.8</v>
      </c>
      <c r="BD90">
        <v>7</v>
      </c>
      <c r="BE90">
        <v>15380.399999999998</v>
      </c>
      <c r="BF90">
        <v>12</v>
      </c>
      <c r="BG90">
        <v>26366.399999999998</v>
      </c>
      <c r="BH90">
        <v>8</v>
      </c>
      <c r="BI90">
        <v>17577.599999999999</v>
      </c>
      <c r="BJ90">
        <v>11</v>
      </c>
      <c r="BK90">
        <v>24169.199999999997</v>
      </c>
      <c r="BL90">
        <v>11</v>
      </c>
      <c r="BM90">
        <v>24169.199999999997</v>
      </c>
      <c r="BN90">
        <v>9</v>
      </c>
      <c r="BO90">
        <v>19774.8</v>
      </c>
      <c r="BP90">
        <v>9</v>
      </c>
      <c r="BQ90">
        <v>19774.8</v>
      </c>
      <c r="BR90">
        <v>8</v>
      </c>
      <c r="BS90">
        <v>17577.599999999999</v>
      </c>
      <c r="BT90">
        <v>11</v>
      </c>
      <c r="BU90">
        <v>24169.199999999997</v>
      </c>
      <c r="BV90">
        <v>8</v>
      </c>
      <c r="BW90">
        <v>17577.599999999999</v>
      </c>
      <c r="BX90">
        <v>10</v>
      </c>
      <c r="BY90">
        <v>21972</v>
      </c>
      <c r="BZ90">
        <v>12</v>
      </c>
      <c r="CA90">
        <v>26366.399999999998</v>
      </c>
      <c r="CB90">
        <v>14</v>
      </c>
      <c r="CC90">
        <v>30760.799999999996</v>
      </c>
      <c r="CD90">
        <v>13</v>
      </c>
      <c r="CE90">
        <v>28563.599999999999</v>
      </c>
      <c r="CF90">
        <v>11</v>
      </c>
      <c r="CG90">
        <v>24169.199999999997</v>
      </c>
      <c r="CH90">
        <v>11</v>
      </c>
      <c r="CI90">
        <v>24169.199999999997</v>
      </c>
      <c r="CJ90">
        <v>8</v>
      </c>
      <c r="CK90">
        <v>17577.599999999999</v>
      </c>
      <c r="CL90">
        <v>9</v>
      </c>
      <c r="CM90">
        <v>19774.8</v>
      </c>
      <c r="CN90">
        <v>11</v>
      </c>
      <c r="CO90">
        <v>24169.199999999997</v>
      </c>
      <c r="CP90">
        <v>8</v>
      </c>
      <c r="CQ90">
        <v>17577.599999999999</v>
      </c>
      <c r="CR90">
        <v>10</v>
      </c>
      <c r="CS90">
        <v>21972</v>
      </c>
      <c r="CT90">
        <v>12</v>
      </c>
      <c r="CU90">
        <v>26366.399999999998</v>
      </c>
    </row>
    <row r="91" spans="2:99" x14ac:dyDescent="0.2">
      <c r="C91" s="116" t="s">
        <v>257</v>
      </c>
      <c r="D91">
        <v>9</v>
      </c>
      <c r="E91">
        <v>20671.199999999997</v>
      </c>
      <c r="F91">
        <v>11</v>
      </c>
      <c r="G91">
        <v>25264.799999999996</v>
      </c>
      <c r="H91">
        <v>12</v>
      </c>
      <c r="I91">
        <v>27561.599999999999</v>
      </c>
      <c r="J91">
        <v>10</v>
      </c>
      <c r="K91">
        <v>22967.999999999996</v>
      </c>
      <c r="L91">
        <v>10</v>
      </c>
      <c r="M91">
        <v>22967.999999999996</v>
      </c>
      <c r="N91">
        <v>7</v>
      </c>
      <c r="O91">
        <v>16077.599999999999</v>
      </c>
      <c r="P91">
        <v>8</v>
      </c>
      <c r="Q91">
        <v>18374.399999999998</v>
      </c>
      <c r="R91">
        <v>7</v>
      </c>
      <c r="S91">
        <v>16077.599999999999</v>
      </c>
      <c r="T91">
        <v>10</v>
      </c>
      <c r="U91">
        <v>22967.999999999996</v>
      </c>
      <c r="V91">
        <v>11</v>
      </c>
      <c r="W91">
        <v>25264.799999999996</v>
      </c>
      <c r="X91">
        <v>10</v>
      </c>
      <c r="Y91">
        <v>22967.999999999996</v>
      </c>
      <c r="Z91">
        <v>10</v>
      </c>
      <c r="AA91">
        <v>22967.999999999996</v>
      </c>
      <c r="AB91">
        <v>9</v>
      </c>
      <c r="AC91">
        <v>20671.199999999997</v>
      </c>
      <c r="AD91">
        <v>11</v>
      </c>
      <c r="AE91">
        <v>25264.799999999996</v>
      </c>
      <c r="AF91">
        <v>9</v>
      </c>
      <c r="AG91">
        <v>20671.199999999997</v>
      </c>
      <c r="AH91">
        <v>11</v>
      </c>
      <c r="AI91">
        <v>25264.799999999996</v>
      </c>
      <c r="AJ91">
        <v>12</v>
      </c>
      <c r="AK91">
        <v>27561.599999999999</v>
      </c>
      <c r="AL91">
        <v>12</v>
      </c>
      <c r="AM91">
        <v>27561.599999999999</v>
      </c>
      <c r="AN91">
        <v>13</v>
      </c>
      <c r="AO91">
        <v>29858.399999999998</v>
      </c>
      <c r="AP91">
        <v>7</v>
      </c>
      <c r="AQ91">
        <v>16077.599999999999</v>
      </c>
      <c r="AR91">
        <v>8</v>
      </c>
      <c r="AS91">
        <v>18374.399999999998</v>
      </c>
      <c r="AT91">
        <v>10</v>
      </c>
      <c r="AU91">
        <v>22967.999999999996</v>
      </c>
      <c r="AV91">
        <v>8</v>
      </c>
      <c r="AW91">
        <v>18374.399999999998</v>
      </c>
      <c r="AX91">
        <v>9</v>
      </c>
      <c r="AY91">
        <v>20671.199999999997</v>
      </c>
      <c r="AZ91">
        <v>10</v>
      </c>
      <c r="BA91">
        <v>22967.999999999996</v>
      </c>
      <c r="BB91">
        <v>8</v>
      </c>
      <c r="BC91">
        <v>18374.399999999998</v>
      </c>
      <c r="BD91">
        <v>7</v>
      </c>
      <c r="BE91">
        <v>16077.599999999999</v>
      </c>
      <c r="BF91">
        <v>12</v>
      </c>
      <c r="BG91">
        <v>27561.599999999999</v>
      </c>
      <c r="BH91">
        <v>8</v>
      </c>
      <c r="BI91">
        <v>18374.399999999998</v>
      </c>
      <c r="BJ91">
        <v>11</v>
      </c>
      <c r="BK91">
        <v>25264.799999999996</v>
      </c>
      <c r="BL91">
        <v>12</v>
      </c>
      <c r="BM91">
        <v>27561.599999999999</v>
      </c>
      <c r="BN91">
        <v>9</v>
      </c>
      <c r="BO91">
        <v>20671.199999999997</v>
      </c>
      <c r="BP91">
        <v>9</v>
      </c>
      <c r="BQ91">
        <v>20671.199999999997</v>
      </c>
      <c r="BR91">
        <v>7</v>
      </c>
      <c r="BS91">
        <v>16077.599999999999</v>
      </c>
      <c r="BT91">
        <v>13</v>
      </c>
      <c r="BU91">
        <v>29858.399999999998</v>
      </c>
      <c r="BV91">
        <v>9</v>
      </c>
      <c r="BW91">
        <v>20671.199999999997</v>
      </c>
      <c r="BX91">
        <v>11</v>
      </c>
      <c r="BY91">
        <v>25264.799999999996</v>
      </c>
      <c r="BZ91">
        <v>12</v>
      </c>
      <c r="CA91">
        <v>27561.599999999999</v>
      </c>
      <c r="CB91">
        <v>14</v>
      </c>
      <c r="CC91">
        <v>32155.199999999997</v>
      </c>
      <c r="CD91">
        <v>11</v>
      </c>
      <c r="CE91">
        <v>25264.799999999996</v>
      </c>
      <c r="CF91">
        <v>10</v>
      </c>
      <c r="CG91">
        <v>22967.999999999996</v>
      </c>
      <c r="CH91">
        <v>12</v>
      </c>
      <c r="CI91">
        <v>27561.599999999999</v>
      </c>
      <c r="CJ91">
        <v>8</v>
      </c>
      <c r="CK91">
        <v>18374.399999999998</v>
      </c>
      <c r="CL91">
        <v>8</v>
      </c>
      <c r="CM91">
        <v>18374.399999999998</v>
      </c>
      <c r="CN91">
        <v>10</v>
      </c>
      <c r="CO91">
        <v>22967.999999999996</v>
      </c>
      <c r="CP91">
        <v>8</v>
      </c>
      <c r="CQ91">
        <v>18374.399999999998</v>
      </c>
      <c r="CR91">
        <v>9</v>
      </c>
      <c r="CS91">
        <v>20671.199999999997</v>
      </c>
      <c r="CT91">
        <v>12</v>
      </c>
      <c r="CU91">
        <v>27561.599999999999</v>
      </c>
    </row>
    <row r="92" spans="2:99" x14ac:dyDescent="0.2">
      <c r="C92" s="116" t="s">
        <v>258</v>
      </c>
      <c r="D92">
        <v>9</v>
      </c>
      <c r="E92">
        <v>12787.199999999999</v>
      </c>
      <c r="F92">
        <v>12</v>
      </c>
      <c r="G92">
        <v>17049.599999999999</v>
      </c>
      <c r="H92">
        <v>13</v>
      </c>
      <c r="I92">
        <v>18470.399999999998</v>
      </c>
      <c r="J92">
        <v>11</v>
      </c>
      <c r="K92">
        <v>15628.8</v>
      </c>
      <c r="L92">
        <v>10</v>
      </c>
      <c r="M92">
        <v>14208</v>
      </c>
      <c r="N92">
        <v>9</v>
      </c>
      <c r="O92">
        <v>12787.199999999999</v>
      </c>
      <c r="P92">
        <v>9</v>
      </c>
      <c r="Q92">
        <v>12787.199999999999</v>
      </c>
      <c r="R92">
        <v>6</v>
      </c>
      <c r="S92">
        <v>8524.7999999999993</v>
      </c>
      <c r="T92">
        <v>12</v>
      </c>
      <c r="U92">
        <v>17049.599999999999</v>
      </c>
      <c r="V92">
        <v>11</v>
      </c>
      <c r="W92">
        <v>15628.8</v>
      </c>
      <c r="X92">
        <v>12</v>
      </c>
      <c r="Y92">
        <v>17049.599999999999</v>
      </c>
      <c r="Z92">
        <v>11</v>
      </c>
      <c r="AA92">
        <v>15628.8</v>
      </c>
      <c r="AB92">
        <v>11</v>
      </c>
      <c r="AC92">
        <v>15628.8</v>
      </c>
      <c r="AD92">
        <v>14</v>
      </c>
      <c r="AE92">
        <v>19891.2</v>
      </c>
      <c r="AF92">
        <v>10</v>
      </c>
      <c r="AG92">
        <v>14208</v>
      </c>
      <c r="AH92">
        <v>12</v>
      </c>
      <c r="AI92">
        <v>17049.599999999999</v>
      </c>
      <c r="AJ92">
        <v>13</v>
      </c>
      <c r="AK92">
        <v>18470.399999999998</v>
      </c>
      <c r="AL92">
        <v>14</v>
      </c>
      <c r="AM92">
        <v>19891.2</v>
      </c>
      <c r="AN92">
        <v>13</v>
      </c>
      <c r="AO92">
        <v>18470.399999999998</v>
      </c>
      <c r="AP92">
        <v>8</v>
      </c>
      <c r="AQ92">
        <v>11366.4</v>
      </c>
      <c r="AR92">
        <v>9</v>
      </c>
      <c r="AS92">
        <v>12787.199999999999</v>
      </c>
      <c r="AT92">
        <v>13</v>
      </c>
      <c r="AU92">
        <v>18470.399999999998</v>
      </c>
      <c r="AV92">
        <v>9</v>
      </c>
      <c r="AW92">
        <v>12787.199999999999</v>
      </c>
      <c r="AX92">
        <v>9</v>
      </c>
      <c r="AY92">
        <v>12787.199999999999</v>
      </c>
      <c r="AZ92">
        <v>11</v>
      </c>
      <c r="BA92">
        <v>15628.8</v>
      </c>
      <c r="BB92">
        <v>9</v>
      </c>
      <c r="BC92">
        <v>12787.199999999999</v>
      </c>
      <c r="BD92">
        <v>7</v>
      </c>
      <c r="BE92">
        <v>9945.6</v>
      </c>
      <c r="BF92">
        <v>14</v>
      </c>
      <c r="BG92">
        <v>19891.2</v>
      </c>
      <c r="BH92">
        <v>8</v>
      </c>
      <c r="BI92">
        <v>11366.4</v>
      </c>
      <c r="BJ92">
        <v>13</v>
      </c>
      <c r="BK92">
        <v>18470.399999999998</v>
      </c>
      <c r="BL92">
        <v>12</v>
      </c>
      <c r="BM92">
        <v>17049.599999999999</v>
      </c>
      <c r="BN92">
        <v>9</v>
      </c>
      <c r="BO92">
        <v>12787.199999999999</v>
      </c>
      <c r="BP92">
        <v>10</v>
      </c>
      <c r="BQ92">
        <v>14208</v>
      </c>
      <c r="BR92">
        <v>8</v>
      </c>
      <c r="BS92">
        <v>11366.4</v>
      </c>
      <c r="BT92">
        <v>12</v>
      </c>
      <c r="BU92">
        <v>17049.599999999999</v>
      </c>
      <c r="BV92">
        <v>8</v>
      </c>
      <c r="BW92">
        <v>11366.4</v>
      </c>
      <c r="BX92">
        <v>11</v>
      </c>
      <c r="BY92">
        <v>15628.8</v>
      </c>
      <c r="BZ92">
        <v>14</v>
      </c>
      <c r="CA92">
        <v>19891.2</v>
      </c>
      <c r="CB92">
        <v>14</v>
      </c>
      <c r="CC92">
        <v>19891.2</v>
      </c>
      <c r="CD92">
        <v>13</v>
      </c>
      <c r="CE92">
        <v>18470.399999999998</v>
      </c>
      <c r="CF92">
        <v>12</v>
      </c>
      <c r="CG92">
        <v>17049.599999999999</v>
      </c>
      <c r="CH92">
        <v>14</v>
      </c>
      <c r="CI92">
        <v>19891.2</v>
      </c>
      <c r="CJ92">
        <v>9</v>
      </c>
      <c r="CK92">
        <v>12787.199999999999</v>
      </c>
      <c r="CL92">
        <v>9</v>
      </c>
      <c r="CM92">
        <v>12787.199999999999</v>
      </c>
      <c r="CN92">
        <v>12</v>
      </c>
      <c r="CO92">
        <v>17049.599999999999</v>
      </c>
      <c r="CP92">
        <v>8</v>
      </c>
      <c r="CQ92">
        <v>11366.4</v>
      </c>
      <c r="CR92">
        <v>10</v>
      </c>
      <c r="CS92">
        <v>14208</v>
      </c>
      <c r="CT92">
        <v>13</v>
      </c>
      <c r="CU92">
        <v>18470.399999999998</v>
      </c>
    </row>
    <row r="93" spans="2:99" x14ac:dyDescent="0.2">
      <c r="C93" s="116" t="s">
        <v>259</v>
      </c>
      <c r="D93">
        <v>10</v>
      </c>
      <c r="E93">
        <v>17724</v>
      </c>
      <c r="F93">
        <v>11</v>
      </c>
      <c r="G93">
        <v>19496.399999999998</v>
      </c>
      <c r="H93">
        <v>14</v>
      </c>
      <c r="I93">
        <v>24813.599999999999</v>
      </c>
      <c r="J93">
        <v>12</v>
      </c>
      <c r="K93">
        <v>21268.799999999999</v>
      </c>
      <c r="L93">
        <v>10</v>
      </c>
      <c r="M93">
        <v>17724</v>
      </c>
      <c r="N93">
        <v>8</v>
      </c>
      <c r="O93">
        <v>14179.199999999999</v>
      </c>
      <c r="P93">
        <v>9</v>
      </c>
      <c r="Q93">
        <v>15951.599999999999</v>
      </c>
      <c r="R93">
        <v>7</v>
      </c>
      <c r="S93">
        <v>12406.8</v>
      </c>
      <c r="T93">
        <v>10</v>
      </c>
      <c r="U93">
        <v>17724</v>
      </c>
      <c r="V93">
        <v>12</v>
      </c>
      <c r="W93">
        <v>21268.799999999999</v>
      </c>
      <c r="X93">
        <v>12</v>
      </c>
      <c r="Y93">
        <v>21268.799999999999</v>
      </c>
      <c r="Z93">
        <v>10</v>
      </c>
      <c r="AA93">
        <v>17724</v>
      </c>
      <c r="AB93">
        <v>9</v>
      </c>
      <c r="AC93">
        <v>15951.599999999999</v>
      </c>
      <c r="AD93">
        <v>13</v>
      </c>
      <c r="AE93">
        <v>23041.199999999997</v>
      </c>
      <c r="AF93">
        <v>9</v>
      </c>
      <c r="AG93">
        <v>15951.599999999999</v>
      </c>
      <c r="AH93">
        <v>12</v>
      </c>
      <c r="AI93">
        <v>21268.799999999999</v>
      </c>
      <c r="AJ93">
        <v>14</v>
      </c>
      <c r="AK93">
        <v>24813.599999999999</v>
      </c>
      <c r="AL93">
        <v>15</v>
      </c>
      <c r="AM93">
        <v>26585.999999999996</v>
      </c>
      <c r="AN93">
        <v>13</v>
      </c>
      <c r="AO93">
        <v>23041.199999999997</v>
      </c>
      <c r="AP93">
        <v>8</v>
      </c>
      <c r="AQ93">
        <v>14179.199999999999</v>
      </c>
      <c r="AR93">
        <v>9</v>
      </c>
      <c r="AS93">
        <v>15951.599999999999</v>
      </c>
      <c r="AT93">
        <v>13</v>
      </c>
      <c r="AU93">
        <v>23041.199999999997</v>
      </c>
      <c r="AV93">
        <v>10</v>
      </c>
      <c r="AW93">
        <v>17724</v>
      </c>
      <c r="AX93">
        <v>7</v>
      </c>
      <c r="AY93">
        <v>12406.8</v>
      </c>
      <c r="AZ93">
        <v>11</v>
      </c>
      <c r="BA93">
        <v>19496.399999999998</v>
      </c>
      <c r="BB93">
        <v>10</v>
      </c>
      <c r="BC93">
        <v>17724</v>
      </c>
      <c r="BD93">
        <v>7</v>
      </c>
      <c r="BE93">
        <v>12406.8</v>
      </c>
      <c r="BF93">
        <v>13</v>
      </c>
      <c r="BG93">
        <v>23041.199999999997</v>
      </c>
      <c r="BH93">
        <v>7</v>
      </c>
      <c r="BI93">
        <v>12406.8</v>
      </c>
      <c r="BJ93">
        <v>12</v>
      </c>
      <c r="BK93">
        <v>21268.799999999999</v>
      </c>
      <c r="BL93">
        <v>11</v>
      </c>
      <c r="BM93">
        <v>19496.399999999998</v>
      </c>
      <c r="BN93">
        <v>11</v>
      </c>
      <c r="BO93">
        <v>19496.399999999998</v>
      </c>
      <c r="BP93">
        <v>11</v>
      </c>
      <c r="BQ93">
        <v>19496.399999999998</v>
      </c>
      <c r="BR93">
        <v>8</v>
      </c>
      <c r="BS93">
        <v>14179.199999999999</v>
      </c>
      <c r="BT93">
        <v>13</v>
      </c>
      <c r="BU93">
        <v>23041.199999999997</v>
      </c>
      <c r="BV93">
        <v>9</v>
      </c>
      <c r="BW93">
        <v>15951.599999999999</v>
      </c>
      <c r="BX93">
        <v>10</v>
      </c>
      <c r="BY93">
        <v>17724</v>
      </c>
      <c r="BZ93">
        <v>13</v>
      </c>
      <c r="CA93">
        <v>23041.199999999997</v>
      </c>
      <c r="CB93">
        <v>13</v>
      </c>
      <c r="CC93">
        <v>23041.199999999997</v>
      </c>
      <c r="CD93">
        <v>13</v>
      </c>
      <c r="CE93">
        <v>23041.199999999997</v>
      </c>
      <c r="CF93">
        <v>10</v>
      </c>
      <c r="CG93">
        <v>17724</v>
      </c>
      <c r="CH93">
        <v>11</v>
      </c>
      <c r="CI93">
        <v>19496.399999999998</v>
      </c>
      <c r="CJ93">
        <v>9</v>
      </c>
      <c r="CK93">
        <v>15951.599999999999</v>
      </c>
      <c r="CL93">
        <v>8</v>
      </c>
      <c r="CM93">
        <v>14179.199999999999</v>
      </c>
      <c r="CN93">
        <v>12</v>
      </c>
      <c r="CO93">
        <v>21268.799999999999</v>
      </c>
      <c r="CP93">
        <v>8</v>
      </c>
      <c r="CQ93">
        <v>14179.199999999999</v>
      </c>
      <c r="CR93">
        <v>9</v>
      </c>
      <c r="CS93">
        <v>15951.599999999999</v>
      </c>
      <c r="CT93">
        <v>13</v>
      </c>
      <c r="CU93">
        <v>23041.199999999997</v>
      </c>
    </row>
    <row r="94" spans="2:99" x14ac:dyDescent="0.2">
      <c r="C94" s="116" t="s">
        <v>260</v>
      </c>
      <c r="D94">
        <v>9</v>
      </c>
      <c r="E94">
        <v>21556.799999999999</v>
      </c>
      <c r="F94">
        <v>11</v>
      </c>
      <c r="G94">
        <v>26347.199999999997</v>
      </c>
      <c r="H94">
        <v>12</v>
      </c>
      <c r="I94">
        <v>28742.399999999998</v>
      </c>
      <c r="J94">
        <v>10</v>
      </c>
      <c r="K94">
        <v>23952</v>
      </c>
      <c r="L94">
        <v>10</v>
      </c>
      <c r="M94">
        <v>23952</v>
      </c>
      <c r="N94">
        <v>7</v>
      </c>
      <c r="O94">
        <v>16766.399999999998</v>
      </c>
      <c r="P94">
        <v>8</v>
      </c>
      <c r="Q94">
        <v>19161.599999999999</v>
      </c>
      <c r="R94">
        <v>6</v>
      </c>
      <c r="S94">
        <v>14371.199999999999</v>
      </c>
      <c r="T94">
        <v>10</v>
      </c>
      <c r="U94">
        <v>23952</v>
      </c>
      <c r="V94">
        <v>11</v>
      </c>
      <c r="W94">
        <v>26347.199999999997</v>
      </c>
      <c r="X94">
        <v>11</v>
      </c>
      <c r="Y94">
        <v>26347.199999999997</v>
      </c>
      <c r="Z94">
        <v>9</v>
      </c>
      <c r="AA94">
        <v>21556.799999999999</v>
      </c>
      <c r="AB94">
        <v>9</v>
      </c>
      <c r="AC94">
        <v>21556.799999999999</v>
      </c>
      <c r="AD94">
        <v>12</v>
      </c>
      <c r="AE94">
        <v>28742.399999999998</v>
      </c>
      <c r="AF94">
        <v>9</v>
      </c>
      <c r="AG94">
        <v>21556.799999999999</v>
      </c>
      <c r="AH94">
        <v>12</v>
      </c>
      <c r="AI94">
        <v>28742.399999999998</v>
      </c>
      <c r="AJ94">
        <v>13</v>
      </c>
      <c r="AK94">
        <v>31137.599999999999</v>
      </c>
      <c r="AL94">
        <v>13</v>
      </c>
      <c r="AM94">
        <v>31137.599999999999</v>
      </c>
      <c r="AN94">
        <v>12</v>
      </c>
      <c r="AO94">
        <v>28742.399999999998</v>
      </c>
      <c r="AP94">
        <v>7</v>
      </c>
      <c r="AQ94">
        <v>16766.399999999998</v>
      </c>
      <c r="AR94">
        <v>9</v>
      </c>
      <c r="AS94">
        <v>21556.799999999999</v>
      </c>
      <c r="AT94">
        <v>12</v>
      </c>
      <c r="AU94">
        <v>28742.399999999998</v>
      </c>
      <c r="AV94">
        <v>9</v>
      </c>
      <c r="AW94">
        <v>21556.799999999999</v>
      </c>
      <c r="AX94">
        <v>7</v>
      </c>
      <c r="AY94">
        <v>16766.399999999998</v>
      </c>
      <c r="AZ94">
        <v>10</v>
      </c>
      <c r="BA94">
        <v>23952</v>
      </c>
      <c r="BB94">
        <v>9</v>
      </c>
      <c r="BC94">
        <v>21556.799999999999</v>
      </c>
      <c r="BD94">
        <v>7</v>
      </c>
      <c r="BE94">
        <v>16766.399999999998</v>
      </c>
      <c r="BF94">
        <v>13</v>
      </c>
      <c r="BG94">
        <v>31137.599999999999</v>
      </c>
      <c r="BH94">
        <v>8</v>
      </c>
      <c r="BI94">
        <v>19161.599999999999</v>
      </c>
      <c r="BJ94">
        <v>11</v>
      </c>
      <c r="BK94">
        <v>26347.199999999997</v>
      </c>
      <c r="BL94">
        <v>10</v>
      </c>
      <c r="BM94">
        <v>23952</v>
      </c>
      <c r="BN94">
        <v>9</v>
      </c>
      <c r="BO94">
        <v>21556.799999999999</v>
      </c>
      <c r="BP94">
        <v>10</v>
      </c>
      <c r="BQ94">
        <v>23952</v>
      </c>
      <c r="BR94">
        <v>7</v>
      </c>
      <c r="BS94">
        <v>16766.399999999998</v>
      </c>
      <c r="BT94">
        <v>12</v>
      </c>
      <c r="BU94">
        <v>28742.399999999998</v>
      </c>
      <c r="BV94">
        <v>9</v>
      </c>
      <c r="BW94">
        <v>21556.799999999999</v>
      </c>
      <c r="BX94">
        <v>9</v>
      </c>
      <c r="BY94">
        <v>21556.799999999999</v>
      </c>
      <c r="BZ94">
        <v>11</v>
      </c>
      <c r="CA94">
        <v>26347.199999999997</v>
      </c>
      <c r="CB94">
        <v>13</v>
      </c>
      <c r="CC94">
        <v>31137.599999999999</v>
      </c>
      <c r="CD94">
        <v>13</v>
      </c>
      <c r="CE94">
        <v>31137.599999999999</v>
      </c>
      <c r="CF94">
        <v>10</v>
      </c>
      <c r="CG94">
        <v>23952</v>
      </c>
      <c r="CH94">
        <v>10</v>
      </c>
      <c r="CI94">
        <v>23952</v>
      </c>
      <c r="CJ94">
        <v>8</v>
      </c>
      <c r="CK94">
        <v>19161.599999999999</v>
      </c>
      <c r="CL94">
        <v>9</v>
      </c>
      <c r="CM94">
        <v>21556.799999999999</v>
      </c>
      <c r="CN94">
        <v>11</v>
      </c>
      <c r="CO94">
        <v>26347.199999999997</v>
      </c>
      <c r="CP94">
        <v>7</v>
      </c>
      <c r="CQ94">
        <v>16766.399999999998</v>
      </c>
      <c r="CR94">
        <v>10</v>
      </c>
      <c r="CS94">
        <v>23952</v>
      </c>
      <c r="CT94">
        <v>11</v>
      </c>
      <c r="CU94">
        <v>26347.199999999997</v>
      </c>
    </row>
    <row r="95" spans="2:99" x14ac:dyDescent="0.2">
      <c r="B95" s="116" t="s">
        <v>132</v>
      </c>
      <c r="C95" s="116" t="s">
        <v>261</v>
      </c>
      <c r="D95">
        <v>14</v>
      </c>
      <c r="E95">
        <v>24259.200000000001</v>
      </c>
      <c r="F95">
        <v>14</v>
      </c>
      <c r="G95">
        <v>24259.200000000001</v>
      </c>
      <c r="H95">
        <v>13</v>
      </c>
      <c r="I95">
        <v>22526.399999999998</v>
      </c>
      <c r="J95">
        <v>12</v>
      </c>
      <c r="K95">
        <v>20793.599999999999</v>
      </c>
      <c r="L95">
        <v>16</v>
      </c>
      <c r="M95">
        <v>27724.799999999999</v>
      </c>
      <c r="N95">
        <v>15</v>
      </c>
      <c r="O95">
        <v>25992</v>
      </c>
      <c r="P95">
        <v>15</v>
      </c>
      <c r="Q95">
        <v>25992</v>
      </c>
      <c r="R95">
        <v>16</v>
      </c>
      <c r="S95">
        <v>27724.799999999999</v>
      </c>
      <c r="T95">
        <v>17</v>
      </c>
      <c r="U95">
        <v>29457.599999999999</v>
      </c>
      <c r="V95">
        <v>17</v>
      </c>
      <c r="W95">
        <v>29457.599999999999</v>
      </c>
      <c r="X95">
        <v>9</v>
      </c>
      <c r="Y95">
        <v>15595.199999999999</v>
      </c>
      <c r="Z95">
        <v>15</v>
      </c>
      <c r="AA95">
        <v>25992</v>
      </c>
      <c r="AB95">
        <v>16</v>
      </c>
      <c r="AC95">
        <v>27724.799999999999</v>
      </c>
      <c r="AD95">
        <v>11</v>
      </c>
      <c r="AE95">
        <v>19060.8</v>
      </c>
      <c r="AF95">
        <v>14</v>
      </c>
      <c r="AG95">
        <v>24259.200000000001</v>
      </c>
      <c r="AH95">
        <v>13</v>
      </c>
      <c r="AI95">
        <v>22526.399999999998</v>
      </c>
      <c r="AJ95">
        <v>19</v>
      </c>
      <c r="AK95">
        <v>32923.199999999997</v>
      </c>
      <c r="AL95">
        <v>15</v>
      </c>
      <c r="AM95">
        <v>25992</v>
      </c>
      <c r="AN95">
        <v>9</v>
      </c>
      <c r="AO95">
        <v>15595.199999999999</v>
      </c>
      <c r="AP95">
        <v>14</v>
      </c>
      <c r="AQ95">
        <v>24259.200000000001</v>
      </c>
      <c r="AR95">
        <v>18</v>
      </c>
      <c r="AS95">
        <v>31190.399999999998</v>
      </c>
      <c r="AT95">
        <v>11</v>
      </c>
      <c r="AU95">
        <v>19060.8</v>
      </c>
      <c r="AV95">
        <v>14</v>
      </c>
      <c r="AW95">
        <v>24259.200000000001</v>
      </c>
      <c r="AX95">
        <v>16</v>
      </c>
      <c r="AY95">
        <v>27724.799999999999</v>
      </c>
      <c r="AZ95">
        <v>19</v>
      </c>
      <c r="BA95">
        <v>32923.199999999997</v>
      </c>
      <c r="BB95">
        <v>13</v>
      </c>
      <c r="BC95">
        <v>22526.399999999998</v>
      </c>
      <c r="BD95">
        <v>13</v>
      </c>
      <c r="BE95">
        <v>22526.399999999998</v>
      </c>
      <c r="BF95">
        <v>14</v>
      </c>
      <c r="BG95">
        <v>24259.200000000001</v>
      </c>
      <c r="BH95">
        <v>16</v>
      </c>
      <c r="BI95">
        <v>27724.799999999999</v>
      </c>
      <c r="BJ95">
        <v>14</v>
      </c>
      <c r="BK95">
        <v>24259.200000000001</v>
      </c>
      <c r="BL95">
        <v>13</v>
      </c>
      <c r="BM95">
        <v>22526.399999999998</v>
      </c>
      <c r="BN95">
        <v>13</v>
      </c>
      <c r="BO95">
        <v>22526.399999999998</v>
      </c>
      <c r="BP95">
        <v>17</v>
      </c>
      <c r="BQ95">
        <v>29457.599999999999</v>
      </c>
      <c r="BR95">
        <v>17</v>
      </c>
      <c r="BS95">
        <v>29457.599999999999</v>
      </c>
      <c r="BT95">
        <v>16</v>
      </c>
      <c r="BU95">
        <v>27724.799999999999</v>
      </c>
      <c r="BV95">
        <v>14</v>
      </c>
      <c r="BW95">
        <v>24259.200000000001</v>
      </c>
      <c r="BX95">
        <v>13</v>
      </c>
      <c r="BY95">
        <v>22526.399999999998</v>
      </c>
      <c r="BZ95">
        <v>14</v>
      </c>
      <c r="CA95">
        <v>24259.200000000001</v>
      </c>
      <c r="CB95">
        <v>14</v>
      </c>
      <c r="CC95">
        <v>24259.200000000001</v>
      </c>
      <c r="CD95">
        <v>16</v>
      </c>
      <c r="CE95">
        <v>27724.799999999999</v>
      </c>
      <c r="CF95">
        <v>16</v>
      </c>
      <c r="CG95">
        <v>27724.799999999999</v>
      </c>
      <c r="CH95">
        <v>11</v>
      </c>
      <c r="CI95">
        <v>19060.8</v>
      </c>
      <c r="CJ95">
        <v>19</v>
      </c>
      <c r="CK95">
        <v>32923.199999999997</v>
      </c>
      <c r="CL95">
        <v>18</v>
      </c>
      <c r="CM95">
        <v>31190.399999999998</v>
      </c>
      <c r="CN95">
        <v>16</v>
      </c>
      <c r="CO95">
        <v>27724.799999999999</v>
      </c>
      <c r="CP95">
        <v>21</v>
      </c>
      <c r="CQ95">
        <v>36388.799999999996</v>
      </c>
      <c r="CR95">
        <v>14</v>
      </c>
      <c r="CS95">
        <v>24259.200000000001</v>
      </c>
      <c r="CT95">
        <v>19</v>
      </c>
      <c r="CU95">
        <v>32923.199999999997</v>
      </c>
    </row>
    <row r="96" spans="2:99" x14ac:dyDescent="0.2">
      <c r="C96" s="116" t="s">
        <v>262</v>
      </c>
      <c r="D96">
        <v>18</v>
      </c>
      <c r="E96">
        <v>14817.599999999999</v>
      </c>
      <c r="F96">
        <v>15</v>
      </c>
      <c r="G96">
        <v>12347.999999999998</v>
      </c>
      <c r="H96">
        <v>15</v>
      </c>
      <c r="I96">
        <v>12347.999999999998</v>
      </c>
      <c r="J96">
        <v>12</v>
      </c>
      <c r="K96">
        <v>9878.4</v>
      </c>
      <c r="L96">
        <v>16</v>
      </c>
      <c r="M96">
        <v>13171.199999999999</v>
      </c>
      <c r="N96">
        <v>15</v>
      </c>
      <c r="O96">
        <v>12347.999999999998</v>
      </c>
      <c r="P96">
        <v>16</v>
      </c>
      <c r="Q96">
        <v>13171.199999999999</v>
      </c>
      <c r="R96">
        <v>18</v>
      </c>
      <c r="S96">
        <v>14817.599999999999</v>
      </c>
      <c r="T96">
        <v>21</v>
      </c>
      <c r="U96">
        <v>17287.199999999997</v>
      </c>
      <c r="V96">
        <v>17</v>
      </c>
      <c r="W96">
        <v>13994.4</v>
      </c>
      <c r="X96">
        <v>11</v>
      </c>
      <c r="Y96">
        <v>9055.1999999999989</v>
      </c>
      <c r="Z96">
        <v>16</v>
      </c>
      <c r="AA96">
        <v>13171.199999999999</v>
      </c>
      <c r="AB96">
        <v>19</v>
      </c>
      <c r="AC96">
        <v>15640.8</v>
      </c>
      <c r="AD96">
        <v>13</v>
      </c>
      <c r="AE96">
        <v>10701.599999999999</v>
      </c>
      <c r="AF96">
        <v>14</v>
      </c>
      <c r="AG96">
        <v>11524.8</v>
      </c>
      <c r="AH96">
        <v>13</v>
      </c>
      <c r="AI96">
        <v>10701.599999999999</v>
      </c>
      <c r="AJ96">
        <v>21</v>
      </c>
      <c r="AK96">
        <v>17287.199999999997</v>
      </c>
      <c r="AL96">
        <v>15</v>
      </c>
      <c r="AM96">
        <v>12347.999999999998</v>
      </c>
      <c r="AN96">
        <v>11</v>
      </c>
      <c r="AO96">
        <v>9055.1999999999989</v>
      </c>
      <c r="AP96">
        <v>16</v>
      </c>
      <c r="AQ96">
        <v>13171.199999999999</v>
      </c>
      <c r="AR96">
        <v>21</v>
      </c>
      <c r="AS96">
        <v>17287.199999999997</v>
      </c>
      <c r="AT96">
        <v>13</v>
      </c>
      <c r="AU96">
        <v>10701.599999999999</v>
      </c>
      <c r="AV96">
        <v>17</v>
      </c>
      <c r="AW96">
        <v>13994.4</v>
      </c>
      <c r="AX96">
        <v>19</v>
      </c>
      <c r="AY96">
        <v>15640.8</v>
      </c>
      <c r="AZ96">
        <v>20</v>
      </c>
      <c r="BA96">
        <v>16464</v>
      </c>
      <c r="BB96">
        <v>14</v>
      </c>
      <c r="BC96">
        <v>11524.8</v>
      </c>
      <c r="BD96">
        <v>15</v>
      </c>
      <c r="BE96">
        <v>12347.999999999998</v>
      </c>
      <c r="BF96">
        <v>14</v>
      </c>
      <c r="BG96">
        <v>11524.8</v>
      </c>
      <c r="BH96">
        <v>16</v>
      </c>
      <c r="BI96">
        <v>13171.199999999999</v>
      </c>
      <c r="BJ96">
        <v>14</v>
      </c>
      <c r="BK96">
        <v>11524.8</v>
      </c>
      <c r="BL96">
        <v>14</v>
      </c>
      <c r="BM96">
        <v>11524.8</v>
      </c>
      <c r="BN96">
        <v>17</v>
      </c>
      <c r="BO96">
        <v>13994.4</v>
      </c>
      <c r="BP96">
        <v>19</v>
      </c>
      <c r="BQ96">
        <v>15640.8</v>
      </c>
      <c r="BR96">
        <v>19</v>
      </c>
      <c r="BS96">
        <v>15640.8</v>
      </c>
      <c r="BT96">
        <v>17</v>
      </c>
      <c r="BU96">
        <v>13994.4</v>
      </c>
      <c r="BV96">
        <v>18</v>
      </c>
      <c r="BW96">
        <v>14817.599999999999</v>
      </c>
      <c r="BX96">
        <v>14</v>
      </c>
      <c r="BY96">
        <v>11524.8</v>
      </c>
      <c r="BZ96">
        <v>16</v>
      </c>
      <c r="CA96">
        <v>13171.199999999999</v>
      </c>
      <c r="CB96">
        <v>14</v>
      </c>
      <c r="CC96">
        <v>11524.8</v>
      </c>
      <c r="CD96">
        <v>16</v>
      </c>
      <c r="CE96">
        <v>13171.199999999999</v>
      </c>
      <c r="CF96">
        <v>15</v>
      </c>
      <c r="CG96">
        <v>12347.999999999998</v>
      </c>
      <c r="CH96">
        <v>13</v>
      </c>
      <c r="CI96">
        <v>10701.599999999999</v>
      </c>
      <c r="CJ96">
        <v>21</v>
      </c>
      <c r="CK96">
        <v>17287.199999999997</v>
      </c>
      <c r="CL96">
        <v>21</v>
      </c>
      <c r="CM96">
        <v>17287.199999999997</v>
      </c>
      <c r="CN96">
        <v>18</v>
      </c>
      <c r="CO96">
        <v>14817.599999999999</v>
      </c>
      <c r="CP96">
        <v>20</v>
      </c>
      <c r="CQ96">
        <v>16464</v>
      </c>
      <c r="CR96">
        <v>16</v>
      </c>
      <c r="CS96">
        <v>13171.199999999999</v>
      </c>
      <c r="CT96">
        <v>22</v>
      </c>
      <c r="CU96">
        <v>18110.399999999998</v>
      </c>
    </row>
    <row r="97" spans="2:99" x14ac:dyDescent="0.2">
      <c r="C97" s="116" t="s">
        <v>263</v>
      </c>
      <c r="D97">
        <v>15</v>
      </c>
      <c r="E97">
        <v>27432</v>
      </c>
      <c r="F97">
        <v>15</v>
      </c>
      <c r="G97">
        <v>27432</v>
      </c>
      <c r="H97">
        <v>11</v>
      </c>
      <c r="I97">
        <v>20116.8</v>
      </c>
      <c r="J97">
        <v>12</v>
      </c>
      <c r="K97">
        <v>21945.599999999999</v>
      </c>
      <c r="L97">
        <v>15</v>
      </c>
      <c r="M97">
        <v>27432</v>
      </c>
      <c r="N97">
        <v>13</v>
      </c>
      <c r="O97">
        <v>23774.399999999998</v>
      </c>
      <c r="P97">
        <v>14</v>
      </c>
      <c r="Q97">
        <v>25603.200000000001</v>
      </c>
      <c r="R97">
        <v>17</v>
      </c>
      <c r="S97">
        <v>31089.599999999999</v>
      </c>
      <c r="T97">
        <v>20</v>
      </c>
      <c r="U97">
        <v>36576</v>
      </c>
      <c r="V97">
        <v>16</v>
      </c>
      <c r="W97">
        <v>29260.799999999999</v>
      </c>
      <c r="X97">
        <v>10</v>
      </c>
      <c r="Y97">
        <v>18288</v>
      </c>
      <c r="Z97">
        <v>15</v>
      </c>
      <c r="AA97">
        <v>27432</v>
      </c>
      <c r="AB97">
        <v>16</v>
      </c>
      <c r="AC97">
        <v>29260.799999999999</v>
      </c>
      <c r="AD97">
        <v>10</v>
      </c>
      <c r="AE97">
        <v>18288</v>
      </c>
      <c r="AF97">
        <v>13</v>
      </c>
      <c r="AG97">
        <v>23774.399999999998</v>
      </c>
      <c r="AH97">
        <v>13</v>
      </c>
      <c r="AI97">
        <v>23774.399999999998</v>
      </c>
      <c r="AJ97">
        <v>18</v>
      </c>
      <c r="AK97">
        <v>32918.400000000001</v>
      </c>
      <c r="AL97">
        <v>15</v>
      </c>
      <c r="AM97">
        <v>27432</v>
      </c>
      <c r="AN97">
        <v>11</v>
      </c>
      <c r="AO97">
        <v>20116.8</v>
      </c>
      <c r="AP97">
        <v>16</v>
      </c>
      <c r="AQ97">
        <v>29260.799999999999</v>
      </c>
      <c r="AR97">
        <v>19</v>
      </c>
      <c r="AS97">
        <v>34747.199999999997</v>
      </c>
      <c r="AT97">
        <v>13</v>
      </c>
      <c r="AU97">
        <v>23774.399999999998</v>
      </c>
      <c r="AV97">
        <v>15</v>
      </c>
      <c r="AW97">
        <v>27432</v>
      </c>
      <c r="AX97">
        <v>18</v>
      </c>
      <c r="AY97">
        <v>32918.400000000001</v>
      </c>
      <c r="AZ97">
        <v>17</v>
      </c>
      <c r="BA97">
        <v>31089.599999999999</v>
      </c>
      <c r="BB97">
        <v>13</v>
      </c>
      <c r="BC97">
        <v>23774.399999999998</v>
      </c>
      <c r="BD97">
        <v>12</v>
      </c>
      <c r="BE97">
        <v>21945.599999999999</v>
      </c>
      <c r="BF97">
        <v>14</v>
      </c>
      <c r="BG97">
        <v>25603.200000000001</v>
      </c>
      <c r="BH97">
        <v>17</v>
      </c>
      <c r="BI97">
        <v>31089.599999999999</v>
      </c>
      <c r="BJ97">
        <v>14</v>
      </c>
      <c r="BK97">
        <v>25603.200000000001</v>
      </c>
      <c r="BL97">
        <v>13</v>
      </c>
      <c r="BM97">
        <v>23774.399999999998</v>
      </c>
      <c r="BN97">
        <v>14</v>
      </c>
      <c r="BO97">
        <v>25603.200000000001</v>
      </c>
      <c r="BP97">
        <v>19</v>
      </c>
      <c r="BQ97">
        <v>34747.199999999997</v>
      </c>
      <c r="BR97">
        <v>15</v>
      </c>
      <c r="BS97">
        <v>27432</v>
      </c>
      <c r="BT97">
        <v>16</v>
      </c>
      <c r="BU97">
        <v>29260.799999999999</v>
      </c>
      <c r="BV97">
        <v>16</v>
      </c>
      <c r="BW97">
        <v>29260.799999999999</v>
      </c>
      <c r="BX97">
        <v>12</v>
      </c>
      <c r="BY97">
        <v>21945.599999999999</v>
      </c>
      <c r="BZ97">
        <v>15</v>
      </c>
      <c r="CA97">
        <v>27432</v>
      </c>
      <c r="CB97">
        <v>13</v>
      </c>
      <c r="CC97">
        <v>23774.399999999998</v>
      </c>
      <c r="CD97">
        <v>15</v>
      </c>
      <c r="CE97">
        <v>27432</v>
      </c>
      <c r="CF97">
        <v>15</v>
      </c>
      <c r="CG97">
        <v>27432</v>
      </c>
      <c r="CH97">
        <v>12</v>
      </c>
      <c r="CI97">
        <v>21945.599999999999</v>
      </c>
      <c r="CJ97">
        <v>18</v>
      </c>
      <c r="CK97">
        <v>32918.400000000001</v>
      </c>
      <c r="CL97">
        <v>20</v>
      </c>
      <c r="CM97">
        <v>36576</v>
      </c>
      <c r="CN97">
        <v>17</v>
      </c>
      <c r="CO97">
        <v>31089.599999999999</v>
      </c>
      <c r="CP97">
        <v>20</v>
      </c>
      <c r="CQ97">
        <v>36576</v>
      </c>
      <c r="CR97">
        <v>13</v>
      </c>
      <c r="CS97">
        <v>23774.399999999998</v>
      </c>
      <c r="CT97">
        <v>18</v>
      </c>
      <c r="CU97">
        <v>32918.400000000001</v>
      </c>
    </row>
    <row r="98" spans="2:99" x14ac:dyDescent="0.2">
      <c r="C98" s="116" t="s">
        <v>264</v>
      </c>
      <c r="D98">
        <v>15</v>
      </c>
      <c r="E98">
        <v>18954</v>
      </c>
      <c r="F98">
        <v>15</v>
      </c>
      <c r="G98">
        <v>18954</v>
      </c>
      <c r="H98">
        <v>12</v>
      </c>
      <c r="I98">
        <v>15163.199999999999</v>
      </c>
      <c r="J98">
        <v>12</v>
      </c>
      <c r="K98">
        <v>15163.199999999999</v>
      </c>
      <c r="L98">
        <v>15</v>
      </c>
      <c r="M98">
        <v>18954</v>
      </c>
      <c r="N98">
        <v>15</v>
      </c>
      <c r="O98">
        <v>18954</v>
      </c>
      <c r="P98">
        <v>15</v>
      </c>
      <c r="Q98">
        <v>18954</v>
      </c>
      <c r="R98">
        <v>17</v>
      </c>
      <c r="S98">
        <v>21481.199999999997</v>
      </c>
      <c r="T98">
        <v>21</v>
      </c>
      <c r="U98">
        <v>26535.599999999999</v>
      </c>
      <c r="V98">
        <v>17</v>
      </c>
      <c r="W98">
        <v>21481.199999999997</v>
      </c>
      <c r="X98">
        <v>10</v>
      </c>
      <c r="Y98">
        <v>12636</v>
      </c>
      <c r="Z98">
        <v>13</v>
      </c>
      <c r="AA98">
        <v>16426.8</v>
      </c>
      <c r="AB98">
        <v>16</v>
      </c>
      <c r="AC98">
        <v>20217.599999999999</v>
      </c>
      <c r="AD98">
        <v>10</v>
      </c>
      <c r="AE98">
        <v>12636</v>
      </c>
      <c r="AF98">
        <v>16</v>
      </c>
      <c r="AG98">
        <v>20217.599999999999</v>
      </c>
      <c r="AH98">
        <v>13</v>
      </c>
      <c r="AI98">
        <v>16426.8</v>
      </c>
      <c r="AJ98">
        <v>20</v>
      </c>
      <c r="AK98">
        <v>25272</v>
      </c>
      <c r="AL98">
        <v>16</v>
      </c>
      <c r="AM98">
        <v>20217.599999999999</v>
      </c>
      <c r="AN98">
        <v>12</v>
      </c>
      <c r="AO98">
        <v>15163.199999999999</v>
      </c>
      <c r="AP98">
        <v>16</v>
      </c>
      <c r="AQ98">
        <v>20217.599999999999</v>
      </c>
      <c r="AR98">
        <v>21</v>
      </c>
      <c r="AS98">
        <v>26535.599999999999</v>
      </c>
      <c r="AT98">
        <v>14</v>
      </c>
      <c r="AU98">
        <v>17690.399999999998</v>
      </c>
      <c r="AV98">
        <v>14</v>
      </c>
      <c r="AW98">
        <v>17690.399999999998</v>
      </c>
      <c r="AX98">
        <v>20</v>
      </c>
      <c r="AY98">
        <v>25272</v>
      </c>
      <c r="AZ98">
        <v>18</v>
      </c>
      <c r="BA98">
        <v>22744.799999999999</v>
      </c>
      <c r="BB98">
        <v>13</v>
      </c>
      <c r="BC98">
        <v>16426.8</v>
      </c>
      <c r="BD98">
        <v>14</v>
      </c>
      <c r="BE98">
        <v>17690.399999999998</v>
      </c>
      <c r="BF98">
        <v>13</v>
      </c>
      <c r="BG98">
        <v>16426.8</v>
      </c>
      <c r="BH98">
        <v>18</v>
      </c>
      <c r="BI98">
        <v>22744.799999999999</v>
      </c>
      <c r="BJ98">
        <v>13</v>
      </c>
      <c r="BK98">
        <v>16426.8</v>
      </c>
      <c r="BL98">
        <v>15</v>
      </c>
      <c r="BM98">
        <v>18954</v>
      </c>
      <c r="BN98">
        <v>15</v>
      </c>
      <c r="BO98">
        <v>18954</v>
      </c>
      <c r="BP98">
        <v>18</v>
      </c>
      <c r="BQ98">
        <v>22744.799999999999</v>
      </c>
      <c r="BR98">
        <v>16</v>
      </c>
      <c r="BS98">
        <v>20217.599999999999</v>
      </c>
      <c r="BT98">
        <v>16</v>
      </c>
      <c r="BU98">
        <v>20217.599999999999</v>
      </c>
      <c r="BV98">
        <v>16</v>
      </c>
      <c r="BW98">
        <v>20217.599999999999</v>
      </c>
      <c r="BX98">
        <v>12</v>
      </c>
      <c r="BY98">
        <v>15163.199999999999</v>
      </c>
      <c r="BZ98">
        <v>15</v>
      </c>
      <c r="CA98">
        <v>18954</v>
      </c>
      <c r="CB98">
        <v>13</v>
      </c>
      <c r="CC98">
        <v>16426.8</v>
      </c>
      <c r="CD98">
        <v>16</v>
      </c>
      <c r="CE98">
        <v>20217.599999999999</v>
      </c>
      <c r="CF98">
        <v>15</v>
      </c>
      <c r="CG98">
        <v>18954</v>
      </c>
      <c r="CH98">
        <v>12</v>
      </c>
      <c r="CI98">
        <v>15163.199999999999</v>
      </c>
      <c r="CJ98">
        <v>20</v>
      </c>
      <c r="CK98">
        <v>25272</v>
      </c>
      <c r="CL98">
        <v>19</v>
      </c>
      <c r="CM98">
        <v>24008.399999999998</v>
      </c>
      <c r="CN98">
        <v>17</v>
      </c>
      <c r="CO98">
        <v>21481.199999999997</v>
      </c>
      <c r="CP98">
        <v>21</v>
      </c>
      <c r="CQ98">
        <v>26535.599999999999</v>
      </c>
      <c r="CR98">
        <v>16</v>
      </c>
      <c r="CS98">
        <v>20217.599999999999</v>
      </c>
      <c r="CT98">
        <v>19</v>
      </c>
      <c r="CU98">
        <v>24008.399999999998</v>
      </c>
    </row>
    <row r="99" spans="2:99" x14ac:dyDescent="0.2">
      <c r="C99" s="116" t="s">
        <v>265</v>
      </c>
      <c r="D99">
        <v>11</v>
      </c>
      <c r="E99">
        <v>60297.599999999991</v>
      </c>
      <c r="F99">
        <v>10</v>
      </c>
      <c r="G99">
        <v>54815.999999999993</v>
      </c>
      <c r="H99">
        <v>8</v>
      </c>
      <c r="I99">
        <v>43852.799999999996</v>
      </c>
      <c r="J99">
        <v>8</v>
      </c>
      <c r="K99">
        <v>43852.799999999996</v>
      </c>
      <c r="L99">
        <v>10</v>
      </c>
      <c r="M99">
        <v>54815.999999999993</v>
      </c>
      <c r="N99">
        <v>10</v>
      </c>
      <c r="O99">
        <v>54815.999999999993</v>
      </c>
      <c r="P99">
        <v>11</v>
      </c>
      <c r="Q99">
        <v>60297.599999999991</v>
      </c>
      <c r="R99">
        <v>11</v>
      </c>
      <c r="S99">
        <v>60297.599999999991</v>
      </c>
      <c r="T99">
        <v>13</v>
      </c>
      <c r="U99">
        <v>71260.799999999988</v>
      </c>
      <c r="V99">
        <v>12</v>
      </c>
      <c r="W99">
        <v>65779.199999999997</v>
      </c>
      <c r="X99">
        <v>6</v>
      </c>
      <c r="Y99">
        <v>32889.599999999999</v>
      </c>
      <c r="Z99">
        <v>9</v>
      </c>
      <c r="AA99">
        <v>49334.399999999994</v>
      </c>
      <c r="AB99">
        <v>12</v>
      </c>
      <c r="AC99">
        <v>65779.199999999997</v>
      </c>
      <c r="AD99">
        <v>7</v>
      </c>
      <c r="AE99">
        <v>38371.199999999997</v>
      </c>
      <c r="AF99">
        <v>10</v>
      </c>
      <c r="AG99">
        <v>54815.999999999993</v>
      </c>
      <c r="AH99">
        <v>8</v>
      </c>
      <c r="AI99">
        <v>43852.799999999996</v>
      </c>
      <c r="AJ99">
        <v>13</v>
      </c>
      <c r="AK99">
        <v>71260.799999999988</v>
      </c>
      <c r="AL99">
        <v>10</v>
      </c>
      <c r="AM99">
        <v>54815.999999999993</v>
      </c>
      <c r="AN99">
        <v>7</v>
      </c>
      <c r="AO99">
        <v>38371.199999999997</v>
      </c>
      <c r="AP99">
        <v>11</v>
      </c>
      <c r="AQ99">
        <v>60297.599999999991</v>
      </c>
      <c r="AR99">
        <v>13</v>
      </c>
      <c r="AS99">
        <v>71260.799999999988</v>
      </c>
      <c r="AT99">
        <v>9</v>
      </c>
      <c r="AU99">
        <v>49334.399999999994</v>
      </c>
      <c r="AV99">
        <v>10</v>
      </c>
      <c r="AW99">
        <v>54815.999999999993</v>
      </c>
      <c r="AX99">
        <v>12</v>
      </c>
      <c r="AY99">
        <v>65779.199999999997</v>
      </c>
      <c r="AZ99">
        <v>11</v>
      </c>
      <c r="BA99">
        <v>60297.599999999991</v>
      </c>
      <c r="BB99">
        <v>10</v>
      </c>
      <c r="BC99">
        <v>54815.999999999993</v>
      </c>
      <c r="BD99">
        <v>9</v>
      </c>
      <c r="BE99">
        <v>49334.399999999994</v>
      </c>
      <c r="BF99">
        <v>9</v>
      </c>
      <c r="BG99">
        <v>49334.399999999994</v>
      </c>
      <c r="BH99">
        <v>12</v>
      </c>
      <c r="BI99">
        <v>65779.199999999997</v>
      </c>
      <c r="BJ99">
        <v>9</v>
      </c>
      <c r="BK99">
        <v>49334.399999999994</v>
      </c>
      <c r="BL99">
        <v>9</v>
      </c>
      <c r="BM99">
        <v>49334.399999999994</v>
      </c>
      <c r="BN99">
        <v>11</v>
      </c>
      <c r="BO99">
        <v>60297.599999999991</v>
      </c>
      <c r="BP99">
        <v>11</v>
      </c>
      <c r="BQ99">
        <v>60297.599999999991</v>
      </c>
      <c r="BR99">
        <v>11</v>
      </c>
      <c r="BS99">
        <v>60297.599999999991</v>
      </c>
      <c r="BT99">
        <v>11</v>
      </c>
      <c r="BU99">
        <v>60297.599999999991</v>
      </c>
      <c r="BV99">
        <v>10</v>
      </c>
      <c r="BW99">
        <v>54815.999999999993</v>
      </c>
      <c r="BX99">
        <v>9</v>
      </c>
      <c r="BY99">
        <v>49334.399999999994</v>
      </c>
      <c r="BZ99">
        <v>11</v>
      </c>
      <c r="CA99">
        <v>60297.599999999991</v>
      </c>
      <c r="CB99">
        <v>8</v>
      </c>
      <c r="CC99">
        <v>43852.799999999996</v>
      </c>
      <c r="CD99">
        <v>10</v>
      </c>
      <c r="CE99">
        <v>54815.999999999993</v>
      </c>
      <c r="CF99">
        <v>11</v>
      </c>
      <c r="CG99">
        <v>60297.599999999991</v>
      </c>
      <c r="CH99">
        <v>8</v>
      </c>
      <c r="CI99">
        <v>43852.799999999996</v>
      </c>
      <c r="CJ99">
        <v>11</v>
      </c>
      <c r="CK99">
        <v>60297.599999999991</v>
      </c>
      <c r="CL99">
        <v>14</v>
      </c>
      <c r="CM99">
        <v>76742.399999999994</v>
      </c>
      <c r="CN99">
        <v>12</v>
      </c>
      <c r="CO99">
        <v>65779.199999999997</v>
      </c>
      <c r="CP99">
        <v>14</v>
      </c>
      <c r="CQ99">
        <v>76742.399999999994</v>
      </c>
      <c r="CR99">
        <v>10</v>
      </c>
      <c r="CS99">
        <v>54815.999999999993</v>
      </c>
      <c r="CT99">
        <v>13</v>
      </c>
      <c r="CU99">
        <v>71260.799999999988</v>
      </c>
    </row>
    <row r="100" spans="2:99" x14ac:dyDescent="0.2">
      <c r="C100" s="116" t="s">
        <v>266</v>
      </c>
      <c r="D100">
        <v>16</v>
      </c>
      <c r="E100">
        <v>25958.399999999998</v>
      </c>
      <c r="F100">
        <v>15</v>
      </c>
      <c r="G100">
        <v>24335.999999999996</v>
      </c>
      <c r="H100">
        <v>12</v>
      </c>
      <c r="I100">
        <v>19468.8</v>
      </c>
      <c r="J100">
        <v>12</v>
      </c>
      <c r="K100">
        <v>19468.8</v>
      </c>
      <c r="L100">
        <v>16</v>
      </c>
      <c r="M100">
        <v>25958.399999999998</v>
      </c>
      <c r="N100">
        <v>13</v>
      </c>
      <c r="O100">
        <v>21091.199999999997</v>
      </c>
      <c r="P100">
        <v>15</v>
      </c>
      <c r="Q100">
        <v>24335.999999999996</v>
      </c>
      <c r="R100">
        <v>16</v>
      </c>
      <c r="S100">
        <v>25958.399999999998</v>
      </c>
      <c r="T100">
        <v>17</v>
      </c>
      <c r="U100">
        <v>27580.799999999999</v>
      </c>
      <c r="V100">
        <v>16</v>
      </c>
      <c r="W100">
        <v>25958.399999999998</v>
      </c>
      <c r="X100">
        <v>10</v>
      </c>
      <c r="Y100">
        <v>16223.999999999998</v>
      </c>
      <c r="Z100">
        <v>13</v>
      </c>
      <c r="AA100">
        <v>21091.199999999997</v>
      </c>
      <c r="AB100">
        <v>15</v>
      </c>
      <c r="AC100">
        <v>24335.999999999996</v>
      </c>
      <c r="AD100">
        <v>12</v>
      </c>
      <c r="AE100">
        <v>19468.8</v>
      </c>
      <c r="AF100">
        <v>13</v>
      </c>
      <c r="AG100">
        <v>21091.199999999997</v>
      </c>
      <c r="AH100">
        <v>13</v>
      </c>
      <c r="AI100">
        <v>21091.199999999997</v>
      </c>
      <c r="AJ100">
        <v>18</v>
      </c>
      <c r="AK100">
        <v>29203.199999999997</v>
      </c>
      <c r="AL100">
        <v>16</v>
      </c>
      <c r="AM100">
        <v>25958.399999999998</v>
      </c>
      <c r="AN100">
        <v>11</v>
      </c>
      <c r="AO100">
        <v>17846.399999999998</v>
      </c>
      <c r="AP100">
        <v>16</v>
      </c>
      <c r="AQ100">
        <v>25958.399999999998</v>
      </c>
      <c r="AR100">
        <v>20</v>
      </c>
      <c r="AS100">
        <v>32447.999999999996</v>
      </c>
      <c r="AT100">
        <v>13</v>
      </c>
      <c r="AU100">
        <v>21091.199999999997</v>
      </c>
      <c r="AV100">
        <v>14</v>
      </c>
      <c r="AW100">
        <v>22713.599999999999</v>
      </c>
      <c r="AX100">
        <v>18</v>
      </c>
      <c r="AY100">
        <v>29203.199999999997</v>
      </c>
      <c r="AZ100">
        <v>18</v>
      </c>
      <c r="BA100">
        <v>29203.199999999997</v>
      </c>
      <c r="BB100">
        <v>14</v>
      </c>
      <c r="BC100">
        <v>22713.599999999999</v>
      </c>
      <c r="BD100">
        <v>13</v>
      </c>
      <c r="BE100">
        <v>21091.199999999997</v>
      </c>
      <c r="BF100">
        <v>14</v>
      </c>
      <c r="BG100">
        <v>22713.599999999999</v>
      </c>
      <c r="BH100">
        <v>17</v>
      </c>
      <c r="BI100">
        <v>27580.799999999999</v>
      </c>
      <c r="BJ100">
        <v>13</v>
      </c>
      <c r="BK100">
        <v>21091.199999999997</v>
      </c>
      <c r="BL100">
        <v>13</v>
      </c>
      <c r="BM100">
        <v>21091.199999999997</v>
      </c>
      <c r="BN100">
        <v>15</v>
      </c>
      <c r="BO100">
        <v>24335.999999999996</v>
      </c>
      <c r="BP100">
        <v>19</v>
      </c>
      <c r="BQ100">
        <v>30825.599999999999</v>
      </c>
      <c r="BR100">
        <v>16</v>
      </c>
      <c r="BS100">
        <v>25958.399999999998</v>
      </c>
      <c r="BT100">
        <v>16</v>
      </c>
      <c r="BU100">
        <v>25958.399999999998</v>
      </c>
      <c r="BV100">
        <v>16</v>
      </c>
      <c r="BW100">
        <v>25958.399999999998</v>
      </c>
      <c r="BX100">
        <v>12</v>
      </c>
      <c r="BY100">
        <v>19468.8</v>
      </c>
      <c r="BZ100">
        <v>17</v>
      </c>
      <c r="CA100">
        <v>27580.799999999999</v>
      </c>
      <c r="CB100">
        <v>14</v>
      </c>
      <c r="CC100">
        <v>22713.599999999999</v>
      </c>
      <c r="CD100">
        <v>16</v>
      </c>
      <c r="CE100">
        <v>25958.399999999998</v>
      </c>
      <c r="CF100">
        <v>16</v>
      </c>
      <c r="CG100">
        <v>25958.399999999998</v>
      </c>
      <c r="CH100">
        <v>12</v>
      </c>
      <c r="CI100">
        <v>19468.8</v>
      </c>
      <c r="CJ100">
        <v>18</v>
      </c>
      <c r="CK100">
        <v>29203.199999999997</v>
      </c>
      <c r="CL100">
        <v>19</v>
      </c>
      <c r="CM100">
        <v>30825.599999999999</v>
      </c>
      <c r="CN100">
        <v>18</v>
      </c>
      <c r="CO100">
        <v>29203.199999999997</v>
      </c>
      <c r="CP100">
        <v>21</v>
      </c>
      <c r="CQ100">
        <v>34070.399999999994</v>
      </c>
      <c r="CR100">
        <v>14</v>
      </c>
      <c r="CS100">
        <v>22713.599999999999</v>
      </c>
      <c r="CT100">
        <v>21</v>
      </c>
      <c r="CU100">
        <v>34070.399999999994</v>
      </c>
    </row>
    <row r="101" spans="2:99" x14ac:dyDescent="0.2">
      <c r="C101" s="116" t="s">
        <v>267</v>
      </c>
      <c r="D101">
        <v>15</v>
      </c>
      <c r="E101">
        <v>17855.999999999996</v>
      </c>
      <c r="F101">
        <v>17</v>
      </c>
      <c r="G101">
        <v>20236.8</v>
      </c>
      <c r="H101">
        <v>12</v>
      </c>
      <c r="I101">
        <v>14284.8</v>
      </c>
      <c r="J101">
        <v>13</v>
      </c>
      <c r="K101">
        <v>15475.199999999999</v>
      </c>
      <c r="L101">
        <v>16</v>
      </c>
      <c r="M101">
        <v>19046.399999999998</v>
      </c>
      <c r="N101">
        <v>15</v>
      </c>
      <c r="O101">
        <v>17855.999999999996</v>
      </c>
      <c r="P101">
        <v>15</v>
      </c>
      <c r="Q101">
        <v>17855.999999999996</v>
      </c>
      <c r="R101">
        <v>16</v>
      </c>
      <c r="S101">
        <v>19046.399999999998</v>
      </c>
      <c r="T101">
        <v>20</v>
      </c>
      <c r="U101">
        <v>23807.999999999996</v>
      </c>
      <c r="V101">
        <v>18</v>
      </c>
      <c r="W101">
        <v>21427.199999999997</v>
      </c>
      <c r="X101">
        <v>11</v>
      </c>
      <c r="Y101">
        <v>13094.399999999998</v>
      </c>
      <c r="Z101">
        <v>14</v>
      </c>
      <c r="AA101">
        <v>16665.599999999999</v>
      </c>
      <c r="AB101">
        <v>17</v>
      </c>
      <c r="AC101">
        <v>20236.8</v>
      </c>
      <c r="AD101">
        <v>12</v>
      </c>
      <c r="AE101">
        <v>14284.8</v>
      </c>
      <c r="AF101">
        <v>15</v>
      </c>
      <c r="AG101">
        <v>17855.999999999996</v>
      </c>
      <c r="AH101">
        <v>13</v>
      </c>
      <c r="AI101">
        <v>15475.199999999999</v>
      </c>
      <c r="AJ101">
        <v>19</v>
      </c>
      <c r="AK101">
        <v>22617.599999999999</v>
      </c>
      <c r="AL101">
        <v>14</v>
      </c>
      <c r="AM101">
        <v>16665.599999999999</v>
      </c>
      <c r="AN101">
        <v>11</v>
      </c>
      <c r="AO101">
        <v>13094.399999999998</v>
      </c>
      <c r="AP101">
        <v>16</v>
      </c>
      <c r="AQ101">
        <v>19046.399999999998</v>
      </c>
      <c r="AR101">
        <v>20</v>
      </c>
      <c r="AS101">
        <v>23807.999999999996</v>
      </c>
      <c r="AT101">
        <v>14</v>
      </c>
      <c r="AU101">
        <v>16665.599999999999</v>
      </c>
      <c r="AV101">
        <v>14</v>
      </c>
      <c r="AW101">
        <v>16665.599999999999</v>
      </c>
      <c r="AX101">
        <v>20</v>
      </c>
      <c r="AY101">
        <v>23807.999999999996</v>
      </c>
      <c r="AZ101">
        <v>20</v>
      </c>
      <c r="BA101">
        <v>23807.999999999996</v>
      </c>
      <c r="BB101">
        <v>14</v>
      </c>
      <c r="BC101">
        <v>16665.599999999999</v>
      </c>
      <c r="BD101">
        <v>13</v>
      </c>
      <c r="BE101">
        <v>15475.199999999999</v>
      </c>
      <c r="BF101">
        <v>14</v>
      </c>
      <c r="BG101">
        <v>16665.599999999999</v>
      </c>
      <c r="BH101">
        <v>17</v>
      </c>
      <c r="BI101">
        <v>20236.8</v>
      </c>
      <c r="BJ101">
        <v>15</v>
      </c>
      <c r="BK101">
        <v>17855.999999999996</v>
      </c>
      <c r="BL101">
        <v>14</v>
      </c>
      <c r="BM101">
        <v>16665.599999999999</v>
      </c>
      <c r="BN101">
        <v>16</v>
      </c>
      <c r="BO101">
        <v>19046.399999999998</v>
      </c>
      <c r="BP101">
        <v>21</v>
      </c>
      <c r="BQ101">
        <v>24998.399999999998</v>
      </c>
      <c r="BR101">
        <v>18</v>
      </c>
      <c r="BS101">
        <v>21427.199999999997</v>
      </c>
      <c r="BT101">
        <v>16</v>
      </c>
      <c r="BU101">
        <v>19046.399999999998</v>
      </c>
      <c r="BV101">
        <v>15</v>
      </c>
      <c r="BW101">
        <v>17855.999999999996</v>
      </c>
      <c r="BX101">
        <v>13</v>
      </c>
      <c r="BY101">
        <v>15475.199999999999</v>
      </c>
      <c r="BZ101">
        <v>17</v>
      </c>
      <c r="CA101">
        <v>20236.8</v>
      </c>
      <c r="CB101">
        <v>13</v>
      </c>
      <c r="CC101">
        <v>15475.199999999999</v>
      </c>
      <c r="CD101">
        <v>16</v>
      </c>
      <c r="CE101">
        <v>19046.399999999998</v>
      </c>
      <c r="CF101">
        <v>17</v>
      </c>
      <c r="CG101">
        <v>20236.8</v>
      </c>
      <c r="CH101">
        <v>12</v>
      </c>
      <c r="CI101">
        <v>14284.8</v>
      </c>
      <c r="CJ101">
        <v>18</v>
      </c>
      <c r="CK101">
        <v>21427.199999999997</v>
      </c>
      <c r="CL101">
        <v>20</v>
      </c>
      <c r="CM101">
        <v>23807.999999999996</v>
      </c>
      <c r="CN101">
        <v>17</v>
      </c>
      <c r="CO101">
        <v>20236.8</v>
      </c>
      <c r="CP101">
        <v>21</v>
      </c>
      <c r="CQ101">
        <v>24998.399999999998</v>
      </c>
      <c r="CR101">
        <v>17</v>
      </c>
      <c r="CS101">
        <v>20236.8</v>
      </c>
      <c r="CT101">
        <v>19</v>
      </c>
      <c r="CU101">
        <v>22617.599999999999</v>
      </c>
    </row>
    <row r="102" spans="2:99" x14ac:dyDescent="0.2">
      <c r="C102" s="116" t="s">
        <v>268</v>
      </c>
      <c r="D102">
        <v>15</v>
      </c>
      <c r="E102">
        <v>29087.999999999996</v>
      </c>
      <c r="F102">
        <v>15</v>
      </c>
      <c r="G102">
        <v>29087.999999999996</v>
      </c>
      <c r="H102">
        <v>12</v>
      </c>
      <c r="I102">
        <v>23270.399999999998</v>
      </c>
      <c r="J102">
        <v>11</v>
      </c>
      <c r="K102">
        <v>21331.199999999997</v>
      </c>
      <c r="L102">
        <v>14</v>
      </c>
      <c r="M102">
        <v>27148.799999999996</v>
      </c>
      <c r="N102">
        <v>13</v>
      </c>
      <c r="O102">
        <v>25209.599999999999</v>
      </c>
      <c r="P102">
        <v>13</v>
      </c>
      <c r="Q102">
        <v>25209.599999999999</v>
      </c>
      <c r="R102">
        <v>15</v>
      </c>
      <c r="S102">
        <v>29087.999999999996</v>
      </c>
      <c r="T102">
        <v>17</v>
      </c>
      <c r="U102">
        <v>32966.399999999994</v>
      </c>
      <c r="V102">
        <v>15</v>
      </c>
      <c r="W102">
        <v>29087.999999999996</v>
      </c>
      <c r="X102">
        <v>9</v>
      </c>
      <c r="Y102">
        <v>17452.8</v>
      </c>
      <c r="Z102">
        <v>12</v>
      </c>
      <c r="AA102">
        <v>23270.399999999998</v>
      </c>
      <c r="AB102">
        <v>15</v>
      </c>
      <c r="AC102">
        <v>29087.999999999996</v>
      </c>
      <c r="AD102">
        <v>10</v>
      </c>
      <c r="AE102">
        <v>19392</v>
      </c>
      <c r="AF102">
        <v>13</v>
      </c>
      <c r="AG102">
        <v>25209.599999999999</v>
      </c>
      <c r="AH102">
        <v>11</v>
      </c>
      <c r="AI102">
        <v>21331.199999999997</v>
      </c>
      <c r="AJ102">
        <v>18</v>
      </c>
      <c r="AK102">
        <v>34905.599999999999</v>
      </c>
      <c r="AL102">
        <v>15</v>
      </c>
      <c r="AM102">
        <v>29087.999999999996</v>
      </c>
      <c r="AN102">
        <v>10</v>
      </c>
      <c r="AO102">
        <v>19392</v>
      </c>
      <c r="AP102">
        <v>14</v>
      </c>
      <c r="AQ102">
        <v>27148.799999999996</v>
      </c>
      <c r="AR102">
        <v>19</v>
      </c>
      <c r="AS102">
        <v>36844.799999999996</v>
      </c>
      <c r="AT102">
        <v>12</v>
      </c>
      <c r="AU102">
        <v>23270.399999999998</v>
      </c>
      <c r="AV102">
        <v>14</v>
      </c>
      <c r="AW102">
        <v>27148.799999999996</v>
      </c>
      <c r="AX102">
        <v>18</v>
      </c>
      <c r="AY102">
        <v>34905.599999999999</v>
      </c>
      <c r="AZ102">
        <v>17</v>
      </c>
      <c r="BA102">
        <v>32966.399999999994</v>
      </c>
      <c r="BB102">
        <v>12</v>
      </c>
      <c r="BC102">
        <v>23270.399999999998</v>
      </c>
      <c r="BD102">
        <v>12</v>
      </c>
      <c r="BE102">
        <v>23270.399999999998</v>
      </c>
      <c r="BF102">
        <v>12</v>
      </c>
      <c r="BG102">
        <v>23270.399999999998</v>
      </c>
      <c r="BH102">
        <v>15</v>
      </c>
      <c r="BI102">
        <v>29087.999999999996</v>
      </c>
      <c r="BJ102">
        <v>13</v>
      </c>
      <c r="BK102">
        <v>25209.599999999999</v>
      </c>
      <c r="BL102">
        <v>14</v>
      </c>
      <c r="BM102">
        <v>27148.799999999996</v>
      </c>
      <c r="BN102">
        <v>15</v>
      </c>
      <c r="BO102">
        <v>29087.999999999996</v>
      </c>
      <c r="BP102">
        <v>17</v>
      </c>
      <c r="BQ102">
        <v>32966.399999999994</v>
      </c>
      <c r="BR102">
        <v>16</v>
      </c>
      <c r="BS102">
        <v>31027.199999999997</v>
      </c>
      <c r="BT102">
        <v>15</v>
      </c>
      <c r="BU102">
        <v>29087.999999999996</v>
      </c>
      <c r="BV102">
        <v>16</v>
      </c>
      <c r="BW102">
        <v>31027.199999999997</v>
      </c>
      <c r="BX102">
        <v>12</v>
      </c>
      <c r="BY102">
        <v>23270.399999999998</v>
      </c>
      <c r="BZ102">
        <v>14</v>
      </c>
      <c r="CA102">
        <v>27148.799999999996</v>
      </c>
      <c r="CB102">
        <v>13</v>
      </c>
      <c r="CC102">
        <v>25209.599999999999</v>
      </c>
      <c r="CD102">
        <v>15</v>
      </c>
      <c r="CE102">
        <v>29087.999999999996</v>
      </c>
      <c r="CF102">
        <v>14</v>
      </c>
      <c r="CG102">
        <v>27148.799999999996</v>
      </c>
      <c r="CH102">
        <v>12</v>
      </c>
      <c r="CI102">
        <v>23270.399999999998</v>
      </c>
      <c r="CJ102">
        <v>18</v>
      </c>
      <c r="CK102">
        <v>34905.599999999999</v>
      </c>
      <c r="CL102">
        <v>19</v>
      </c>
      <c r="CM102">
        <v>36844.799999999996</v>
      </c>
      <c r="CN102">
        <v>18</v>
      </c>
      <c r="CO102">
        <v>34905.599999999999</v>
      </c>
      <c r="CP102">
        <v>20</v>
      </c>
      <c r="CQ102">
        <v>38784</v>
      </c>
      <c r="CR102">
        <v>15</v>
      </c>
      <c r="CS102">
        <v>29087.999999999996</v>
      </c>
      <c r="CT102">
        <v>21</v>
      </c>
      <c r="CU102">
        <v>40723.199999999997</v>
      </c>
    </row>
    <row r="103" spans="2:99" x14ac:dyDescent="0.2">
      <c r="C103" s="116" t="s">
        <v>269</v>
      </c>
      <c r="D103">
        <v>14</v>
      </c>
      <c r="E103">
        <v>28392</v>
      </c>
      <c r="F103">
        <v>13</v>
      </c>
      <c r="G103">
        <v>26364</v>
      </c>
      <c r="H103">
        <v>11</v>
      </c>
      <c r="I103">
        <v>22308</v>
      </c>
      <c r="J103">
        <v>13</v>
      </c>
      <c r="K103">
        <v>26364</v>
      </c>
      <c r="L103">
        <v>14</v>
      </c>
      <c r="M103">
        <v>28392</v>
      </c>
      <c r="N103">
        <v>12</v>
      </c>
      <c r="O103">
        <v>24336</v>
      </c>
      <c r="P103">
        <v>13</v>
      </c>
      <c r="Q103">
        <v>26364</v>
      </c>
      <c r="R103">
        <v>15</v>
      </c>
      <c r="S103">
        <v>30420</v>
      </c>
      <c r="T103">
        <v>16</v>
      </c>
      <c r="U103">
        <v>32448</v>
      </c>
      <c r="V103">
        <v>17</v>
      </c>
      <c r="W103">
        <v>34476</v>
      </c>
      <c r="X103">
        <v>10</v>
      </c>
      <c r="Y103">
        <v>20280</v>
      </c>
      <c r="Z103">
        <v>12</v>
      </c>
      <c r="AA103">
        <v>24336</v>
      </c>
      <c r="AB103">
        <v>15</v>
      </c>
      <c r="AC103">
        <v>30420</v>
      </c>
      <c r="AD103">
        <v>11</v>
      </c>
      <c r="AE103">
        <v>22308</v>
      </c>
      <c r="AF103">
        <v>14</v>
      </c>
      <c r="AG103">
        <v>28392</v>
      </c>
      <c r="AH103">
        <v>13</v>
      </c>
      <c r="AI103">
        <v>26364</v>
      </c>
      <c r="AJ103">
        <v>17</v>
      </c>
      <c r="AK103">
        <v>34476</v>
      </c>
      <c r="AL103">
        <v>14</v>
      </c>
      <c r="AM103">
        <v>28392</v>
      </c>
      <c r="AN103">
        <v>10</v>
      </c>
      <c r="AO103">
        <v>20280</v>
      </c>
      <c r="AP103">
        <v>16</v>
      </c>
      <c r="AQ103">
        <v>32448</v>
      </c>
      <c r="AR103">
        <v>20</v>
      </c>
      <c r="AS103">
        <v>40560</v>
      </c>
      <c r="AT103">
        <v>12</v>
      </c>
      <c r="AU103">
        <v>24336</v>
      </c>
      <c r="AV103">
        <v>15</v>
      </c>
      <c r="AW103">
        <v>30420</v>
      </c>
      <c r="AX103">
        <v>17</v>
      </c>
      <c r="AY103">
        <v>34476</v>
      </c>
      <c r="AZ103">
        <v>17</v>
      </c>
      <c r="BA103">
        <v>34476</v>
      </c>
      <c r="BB103">
        <v>12</v>
      </c>
      <c r="BC103">
        <v>24336</v>
      </c>
      <c r="BD103">
        <v>11</v>
      </c>
      <c r="BE103">
        <v>22308</v>
      </c>
      <c r="BF103">
        <v>13</v>
      </c>
      <c r="BG103">
        <v>26364</v>
      </c>
      <c r="BH103">
        <v>16</v>
      </c>
      <c r="BI103">
        <v>32448</v>
      </c>
      <c r="BJ103">
        <v>13</v>
      </c>
      <c r="BK103">
        <v>26364</v>
      </c>
      <c r="BL103">
        <v>14</v>
      </c>
      <c r="BM103">
        <v>28392</v>
      </c>
      <c r="BN103">
        <v>15</v>
      </c>
      <c r="BO103">
        <v>30420</v>
      </c>
      <c r="BP103">
        <v>16</v>
      </c>
      <c r="BQ103">
        <v>32448</v>
      </c>
      <c r="BR103">
        <v>16</v>
      </c>
      <c r="BS103">
        <v>32448</v>
      </c>
      <c r="BT103">
        <v>16</v>
      </c>
      <c r="BU103">
        <v>32448</v>
      </c>
      <c r="BV103">
        <v>15</v>
      </c>
      <c r="BW103">
        <v>30420</v>
      </c>
      <c r="BX103">
        <v>11</v>
      </c>
      <c r="BY103">
        <v>22308</v>
      </c>
      <c r="BZ103">
        <v>15</v>
      </c>
      <c r="CA103">
        <v>30420</v>
      </c>
      <c r="CB103">
        <v>13</v>
      </c>
      <c r="CC103">
        <v>26364</v>
      </c>
      <c r="CD103">
        <v>15</v>
      </c>
      <c r="CE103">
        <v>30420</v>
      </c>
      <c r="CF103">
        <v>16</v>
      </c>
      <c r="CG103">
        <v>32448</v>
      </c>
      <c r="CH103">
        <v>12</v>
      </c>
      <c r="CI103">
        <v>24336</v>
      </c>
      <c r="CJ103">
        <v>18</v>
      </c>
      <c r="CK103">
        <v>36504</v>
      </c>
      <c r="CL103">
        <v>20</v>
      </c>
      <c r="CM103">
        <v>40560</v>
      </c>
      <c r="CN103">
        <v>18</v>
      </c>
      <c r="CO103">
        <v>36504</v>
      </c>
      <c r="CP103">
        <v>19</v>
      </c>
      <c r="CQ103">
        <v>38532</v>
      </c>
      <c r="CR103">
        <v>15</v>
      </c>
      <c r="CS103">
        <v>30420</v>
      </c>
      <c r="CT103">
        <v>20</v>
      </c>
      <c r="CU103">
        <v>40560</v>
      </c>
    </row>
    <row r="104" spans="2:99" x14ac:dyDescent="0.2">
      <c r="C104" s="116" t="s">
        <v>270</v>
      </c>
      <c r="D104">
        <v>16</v>
      </c>
      <c r="E104">
        <v>33158.400000000001</v>
      </c>
      <c r="F104">
        <v>13</v>
      </c>
      <c r="G104">
        <v>26941.200000000001</v>
      </c>
      <c r="H104">
        <v>13</v>
      </c>
      <c r="I104">
        <v>26941.200000000001</v>
      </c>
      <c r="J104">
        <v>11</v>
      </c>
      <c r="K104">
        <v>22796.400000000001</v>
      </c>
      <c r="L104">
        <v>16</v>
      </c>
      <c r="M104">
        <v>33158.400000000001</v>
      </c>
      <c r="N104">
        <v>13</v>
      </c>
      <c r="O104">
        <v>26941.200000000001</v>
      </c>
      <c r="P104">
        <v>14</v>
      </c>
      <c r="Q104">
        <v>29013.600000000002</v>
      </c>
      <c r="R104">
        <v>16</v>
      </c>
      <c r="S104">
        <v>33158.400000000001</v>
      </c>
      <c r="T104">
        <v>17</v>
      </c>
      <c r="U104">
        <v>35230.800000000003</v>
      </c>
      <c r="V104">
        <v>18</v>
      </c>
      <c r="W104">
        <v>37303.200000000004</v>
      </c>
      <c r="X104">
        <v>10</v>
      </c>
      <c r="Y104">
        <v>20724</v>
      </c>
      <c r="Z104">
        <v>13</v>
      </c>
      <c r="AA104">
        <v>26941.200000000001</v>
      </c>
      <c r="AB104">
        <v>15</v>
      </c>
      <c r="AC104">
        <v>31086</v>
      </c>
      <c r="AD104">
        <v>11</v>
      </c>
      <c r="AE104">
        <v>22796.400000000001</v>
      </c>
      <c r="AF104">
        <v>13</v>
      </c>
      <c r="AG104">
        <v>26941.200000000001</v>
      </c>
      <c r="AH104">
        <v>12</v>
      </c>
      <c r="AI104">
        <v>24868.800000000003</v>
      </c>
      <c r="AJ104">
        <v>17</v>
      </c>
      <c r="AK104">
        <v>35230.800000000003</v>
      </c>
      <c r="AL104">
        <v>14</v>
      </c>
      <c r="AM104">
        <v>29013.600000000002</v>
      </c>
      <c r="AN104">
        <v>9</v>
      </c>
      <c r="AO104">
        <v>18651.600000000002</v>
      </c>
      <c r="AP104">
        <v>15</v>
      </c>
      <c r="AQ104">
        <v>31086</v>
      </c>
      <c r="AR104">
        <v>19</v>
      </c>
      <c r="AS104">
        <v>39375.599999999999</v>
      </c>
      <c r="AT104">
        <v>11</v>
      </c>
      <c r="AU104">
        <v>22796.400000000001</v>
      </c>
      <c r="AV104">
        <v>13</v>
      </c>
      <c r="AW104">
        <v>26941.200000000001</v>
      </c>
      <c r="AX104">
        <v>18</v>
      </c>
      <c r="AY104">
        <v>37303.200000000004</v>
      </c>
      <c r="AZ104">
        <v>16</v>
      </c>
      <c r="BA104">
        <v>33158.400000000001</v>
      </c>
      <c r="BB104">
        <v>11</v>
      </c>
      <c r="BC104">
        <v>22796.400000000001</v>
      </c>
      <c r="BD104">
        <v>13</v>
      </c>
      <c r="BE104">
        <v>26941.200000000001</v>
      </c>
      <c r="BF104">
        <v>13</v>
      </c>
      <c r="BG104">
        <v>26941.200000000001</v>
      </c>
      <c r="BH104">
        <v>15</v>
      </c>
      <c r="BI104">
        <v>31086</v>
      </c>
      <c r="BJ104">
        <v>13</v>
      </c>
      <c r="BK104">
        <v>26941.200000000001</v>
      </c>
      <c r="BL104">
        <v>13</v>
      </c>
      <c r="BM104">
        <v>26941.200000000001</v>
      </c>
      <c r="BN104">
        <v>13</v>
      </c>
      <c r="BO104">
        <v>26941.200000000001</v>
      </c>
      <c r="BP104">
        <v>18</v>
      </c>
      <c r="BQ104">
        <v>37303.200000000004</v>
      </c>
      <c r="BR104">
        <v>16</v>
      </c>
      <c r="BS104">
        <v>33158.400000000001</v>
      </c>
      <c r="BT104">
        <v>14</v>
      </c>
      <c r="BU104">
        <v>29013.600000000002</v>
      </c>
      <c r="BV104">
        <v>16</v>
      </c>
      <c r="BW104">
        <v>33158.400000000001</v>
      </c>
      <c r="BX104">
        <v>11</v>
      </c>
      <c r="BY104">
        <v>22796.400000000001</v>
      </c>
      <c r="BZ104">
        <v>15</v>
      </c>
      <c r="CA104">
        <v>31086</v>
      </c>
      <c r="CB104">
        <v>12</v>
      </c>
      <c r="CC104">
        <v>24868.800000000003</v>
      </c>
      <c r="CD104">
        <v>16</v>
      </c>
      <c r="CE104">
        <v>33158.400000000001</v>
      </c>
      <c r="CF104">
        <v>16</v>
      </c>
      <c r="CG104">
        <v>33158.400000000001</v>
      </c>
      <c r="CH104">
        <v>10</v>
      </c>
      <c r="CI104">
        <v>20724</v>
      </c>
      <c r="CJ104">
        <v>17</v>
      </c>
      <c r="CK104">
        <v>35230.800000000003</v>
      </c>
      <c r="CL104">
        <v>17</v>
      </c>
      <c r="CM104">
        <v>35230.800000000003</v>
      </c>
      <c r="CN104">
        <v>16</v>
      </c>
      <c r="CO104">
        <v>33158.400000000001</v>
      </c>
      <c r="CP104">
        <v>21</v>
      </c>
      <c r="CQ104">
        <v>43520.4</v>
      </c>
      <c r="CR104">
        <v>14</v>
      </c>
      <c r="CS104">
        <v>29013.600000000002</v>
      </c>
      <c r="CT104">
        <v>20</v>
      </c>
      <c r="CU104">
        <v>41448</v>
      </c>
    </row>
    <row r="105" spans="2:99" x14ac:dyDescent="0.2">
      <c r="C105" s="116" t="s">
        <v>271</v>
      </c>
      <c r="D105">
        <v>14</v>
      </c>
      <c r="E105">
        <v>27972</v>
      </c>
      <c r="F105">
        <v>14</v>
      </c>
      <c r="G105">
        <v>27972</v>
      </c>
      <c r="H105">
        <v>13</v>
      </c>
      <c r="I105">
        <v>25974</v>
      </c>
      <c r="J105">
        <v>10</v>
      </c>
      <c r="K105">
        <v>19980</v>
      </c>
      <c r="L105">
        <v>15</v>
      </c>
      <c r="M105">
        <v>29970</v>
      </c>
      <c r="N105">
        <v>14</v>
      </c>
      <c r="O105">
        <v>27972</v>
      </c>
      <c r="P105">
        <v>14</v>
      </c>
      <c r="Q105">
        <v>27972</v>
      </c>
      <c r="R105">
        <v>15</v>
      </c>
      <c r="S105">
        <v>29970</v>
      </c>
      <c r="T105">
        <v>16</v>
      </c>
      <c r="U105">
        <v>31968</v>
      </c>
      <c r="V105">
        <v>16</v>
      </c>
      <c r="W105">
        <v>31968</v>
      </c>
      <c r="X105">
        <v>10</v>
      </c>
      <c r="Y105">
        <v>19980</v>
      </c>
      <c r="Z105">
        <v>14</v>
      </c>
      <c r="AA105">
        <v>27972</v>
      </c>
      <c r="AB105">
        <v>15</v>
      </c>
      <c r="AC105">
        <v>29970</v>
      </c>
      <c r="AD105">
        <v>10</v>
      </c>
      <c r="AE105">
        <v>19980</v>
      </c>
      <c r="AF105">
        <v>13</v>
      </c>
      <c r="AG105">
        <v>25974</v>
      </c>
      <c r="AH105">
        <v>12</v>
      </c>
      <c r="AI105">
        <v>23976</v>
      </c>
      <c r="AJ105">
        <v>17</v>
      </c>
      <c r="AK105">
        <v>33966</v>
      </c>
      <c r="AL105">
        <v>14</v>
      </c>
      <c r="AM105">
        <v>27972</v>
      </c>
      <c r="AN105">
        <v>10</v>
      </c>
      <c r="AO105">
        <v>19980</v>
      </c>
      <c r="AP105">
        <v>16</v>
      </c>
      <c r="AQ105">
        <v>31968</v>
      </c>
      <c r="AR105">
        <v>17</v>
      </c>
      <c r="AS105">
        <v>33966</v>
      </c>
      <c r="AT105">
        <v>11</v>
      </c>
      <c r="AU105">
        <v>21978</v>
      </c>
      <c r="AV105">
        <v>14</v>
      </c>
      <c r="AW105">
        <v>27972</v>
      </c>
      <c r="AX105">
        <v>16</v>
      </c>
      <c r="AY105">
        <v>31968</v>
      </c>
      <c r="AZ105">
        <v>18</v>
      </c>
      <c r="BA105">
        <v>35964</v>
      </c>
      <c r="BB105">
        <v>13</v>
      </c>
      <c r="BC105">
        <v>25974</v>
      </c>
      <c r="BD105">
        <v>13</v>
      </c>
      <c r="BE105">
        <v>25974</v>
      </c>
      <c r="BF105">
        <v>11</v>
      </c>
      <c r="BG105">
        <v>21978</v>
      </c>
      <c r="BH105">
        <v>15</v>
      </c>
      <c r="BI105">
        <v>29970</v>
      </c>
      <c r="BJ105">
        <v>14</v>
      </c>
      <c r="BK105">
        <v>27972</v>
      </c>
      <c r="BL105">
        <v>13</v>
      </c>
      <c r="BM105">
        <v>25974</v>
      </c>
      <c r="BN105">
        <v>14</v>
      </c>
      <c r="BO105">
        <v>27972</v>
      </c>
      <c r="BP105">
        <v>17</v>
      </c>
      <c r="BQ105">
        <v>33966</v>
      </c>
      <c r="BR105">
        <v>17</v>
      </c>
      <c r="BS105">
        <v>33966</v>
      </c>
      <c r="BT105">
        <v>15</v>
      </c>
      <c r="BU105">
        <v>29970</v>
      </c>
      <c r="BV105">
        <v>16</v>
      </c>
      <c r="BW105">
        <v>31968</v>
      </c>
      <c r="BX105">
        <v>11</v>
      </c>
      <c r="BY105">
        <v>21978</v>
      </c>
      <c r="BZ105">
        <v>15</v>
      </c>
      <c r="CA105">
        <v>29970</v>
      </c>
      <c r="CB105">
        <v>11</v>
      </c>
      <c r="CC105">
        <v>21978</v>
      </c>
      <c r="CD105">
        <v>15</v>
      </c>
      <c r="CE105">
        <v>29970</v>
      </c>
      <c r="CF105">
        <v>15</v>
      </c>
      <c r="CG105">
        <v>29970</v>
      </c>
      <c r="CH105">
        <v>11</v>
      </c>
      <c r="CI105">
        <v>21978</v>
      </c>
      <c r="CJ105">
        <v>16</v>
      </c>
      <c r="CK105">
        <v>31968</v>
      </c>
      <c r="CL105">
        <v>18</v>
      </c>
      <c r="CM105">
        <v>35964</v>
      </c>
      <c r="CN105">
        <v>17</v>
      </c>
      <c r="CO105">
        <v>33966</v>
      </c>
      <c r="CP105">
        <v>20</v>
      </c>
      <c r="CQ105">
        <v>39960</v>
      </c>
      <c r="CR105">
        <v>16</v>
      </c>
      <c r="CS105">
        <v>31968</v>
      </c>
      <c r="CT105">
        <v>19</v>
      </c>
      <c r="CU105">
        <v>37962</v>
      </c>
    </row>
    <row r="107" spans="2:99" x14ac:dyDescent="0.2">
      <c r="B107" s="119" t="s">
        <v>276</v>
      </c>
    </row>
    <row r="108" spans="2:99" x14ac:dyDescent="0.2">
      <c r="C108" s="116" t="s">
        <v>277</v>
      </c>
      <c r="D108" s="116" t="s">
        <v>92</v>
      </c>
      <c r="E108" s="116" t="s">
        <v>93</v>
      </c>
      <c r="F108" s="116" t="s">
        <v>94</v>
      </c>
      <c r="G108" s="116" t="s">
        <v>95</v>
      </c>
      <c r="H108" s="116" t="s">
        <v>96</v>
      </c>
      <c r="I108" s="116" t="s">
        <v>97</v>
      </c>
      <c r="J108" s="116" t="s">
        <v>98</v>
      </c>
      <c r="K108" s="116" t="s">
        <v>99</v>
      </c>
      <c r="L108" s="116" t="s">
        <v>100</v>
      </c>
      <c r="M108" s="116" t="s">
        <v>101</v>
      </c>
      <c r="N108" s="116" t="s">
        <v>102</v>
      </c>
      <c r="O108" s="116" t="s">
        <v>103</v>
      </c>
    </row>
    <row r="109" spans="2:99" x14ac:dyDescent="0.2">
      <c r="C109" s="116" t="s">
        <v>126</v>
      </c>
      <c r="D109">
        <f>SUM(D$6:D$19)+SUM(F$6:F$19)+SUM(H$6:H$19)+SUM(J$6:J$19)</f>
        <v>776.07155810461302</v>
      </c>
      <c r="E109">
        <f>SUM(L$6:L$19)+SUM(N$6:N$19)+SUM(P$6:P$19)+SUM(R$6:R$19)</f>
        <v>1004</v>
      </c>
      <c r="F109">
        <f>SUM(T$6:T$19)+SUM(V$6:V$19)+SUM(X$6:X$19)+SUM(Z$6:Z$19)</f>
        <v>1025</v>
      </c>
      <c r="G109">
        <f>SUM(AB$6:AB$19)+SUM(AD$6:AD$19)+SUM(AF$6:AF$19)+SUM(AH$6:AH$19)</f>
        <v>847</v>
      </c>
      <c r="H109">
        <f>SUM(AJ$6:AJ$19)+SUM(AL$6:AL$19)+SUM(AN$6:AN$19)+SUM(AP$6:AP$19)</f>
        <v>853</v>
      </c>
      <c r="I109">
        <f>SUM(AR$6:AR$19)+SUM(AT$6:AT$19)+SUM(AV$6:AV$19)+SUM(AX$6:AX$19)</f>
        <v>968</v>
      </c>
      <c r="J109">
        <f>SUM(AZ$6:AZ$19)+SUM(BB$6:BB$19)+SUM(BD$6:BD$19)+SUM(BF$6:BF$19)</f>
        <v>1061</v>
      </c>
      <c r="K109">
        <f>SUM(BH$6:BH$19)+SUM(BJ$6:BJ$19)+SUM(BL$6:BL$19)+SUM(BN$6:BN$19)</f>
        <v>1153</v>
      </c>
      <c r="L109">
        <f>SUM(BP$6:BP$19)+SUM(BR$6:BR$19)+SUM(BT$6:BT$19)+SUM(BV$6:BV$19)</f>
        <v>1218</v>
      </c>
      <c r="M109">
        <f>SUM(BX$6:BX$19)+SUM(BZ$6:BZ$19)+SUM(CB$6:CB$19)+SUM(CD$6:CD$19)</f>
        <v>1023</v>
      </c>
      <c r="N109">
        <f>SUM(CF$6:CF$19)+SUM(CH$6:CH$19)+SUM(CJ$6:CJ$19)+SUM(CL$6:CL$19)</f>
        <v>915</v>
      </c>
      <c r="O109">
        <f>SUM(CN$6:CN$19)+SUM(CP$6:CP$19)+SUM(CR$6:CR$19)+SUM(CT$6:CT$19)</f>
        <v>1262</v>
      </c>
    </row>
    <row r="110" spans="2:99" x14ac:dyDescent="0.2">
      <c r="C110" s="116" t="s">
        <v>127</v>
      </c>
      <c r="D110">
        <f>SUM(D$20:D$36)+SUM(F$20:F$36)+SUM(H$20:H$36)+SUM(J$20:J$36)</f>
        <v>1372.7501668420059</v>
      </c>
      <c r="E110">
        <f>SUM(L$20:L$36)+SUM(N$20:N$36)+SUM(P$20:P$36)+SUM(R$20:R$36)</f>
        <v>1736</v>
      </c>
      <c r="F110">
        <f>SUM(T$20:T$36)+SUM(V$20:V$36)+SUM(X$20:X$36)+SUM(Z$20:Z$36)</f>
        <v>1859</v>
      </c>
      <c r="G110">
        <f>SUM(AB$20:AB$36)+SUM(AD$20:AD$36)+SUM(AF$20:AF$36)+SUM(AH$20:AH$36)</f>
        <v>1977</v>
      </c>
      <c r="H110">
        <f>SUM(AJ$20:AJ$36)+SUM(AL$20:AL$36)+SUM(AN$20:AN$36)+SUM(AP$20:AP$36)</f>
        <v>2097</v>
      </c>
      <c r="I110">
        <f>SUM(AR$20:AR$36)+SUM(AT$20:AT$36)+SUM(AV$20:AV$36)+SUM(AX$20:AX$36)</f>
        <v>1892</v>
      </c>
      <c r="J110">
        <f>SUM(AZ$20:AZ$36)+SUM(BB$20:BB$36)+SUM(BD$20:BD$36)+SUM(BF$20:BF$36)</f>
        <v>1804</v>
      </c>
      <c r="K110">
        <f>SUM(BH$20:BH$36)+SUM(BJ$20:BJ$36)+SUM(BL$20:BL$36)+SUM(BN$20:BN$36)</f>
        <v>2129</v>
      </c>
      <c r="L110">
        <f>SUM(BP$20:BP$36)+SUM(BR$20:BR$36)+SUM(BT$20:BT$36)+SUM(BV$20:BV$36)</f>
        <v>1515</v>
      </c>
      <c r="M110">
        <f>SUM(BX$20:BX$36)+SUM(BZ$20:BZ$36)+SUM(CB$20:CB$36)+SUM(CD$20:CD$36)</f>
        <v>1932</v>
      </c>
      <c r="N110">
        <f>SUM(CF$20:CF$36)+SUM(CH$20:CH$36)+SUM(CJ$20:CJ$36)+SUM(CL$20:CL$36)</f>
        <v>1942</v>
      </c>
      <c r="O110">
        <f>SUM(CN$20:CN$36)+SUM(CP$20:CP$36)+SUM(CR$20:CR$36)+SUM(CT$20:CT$36)</f>
        <v>2044</v>
      </c>
    </row>
    <row r="111" spans="2:99" x14ac:dyDescent="0.2">
      <c r="C111" s="116" t="s">
        <v>128</v>
      </c>
      <c r="D111">
        <f>SUM(D$37:D$48)+SUM(F$37:F$48)+SUM(H$37:H$48)+SUM(J$37:J$48)</f>
        <v>556.53214855823512</v>
      </c>
      <c r="E111">
        <f>SUM(L$37:L$48)+SUM(N$37:N$48)+SUM(P$37:P$48)+SUM(R$37:R$48)</f>
        <v>814</v>
      </c>
      <c r="F111">
        <f>SUM(T$37:T$48)+SUM(V$37:V$48)+SUM(X$37:X$48)+SUM(Z$37:Z$48)</f>
        <v>870</v>
      </c>
      <c r="G111">
        <f>SUM(AB$37:AB$48)+SUM(AD$37:AD$48)+SUM(AF$37:AF$48)+SUM(AH$37:AH$48)</f>
        <v>945</v>
      </c>
      <c r="H111">
        <f>SUM(AJ$37:AJ$48)+SUM(AL$37:AL$48)+SUM(AN$37:AN$48)+SUM(AP$37:AP$48)</f>
        <v>820</v>
      </c>
      <c r="I111">
        <f>SUM(AR$37:AR$48)+SUM(AT$37:AT$48)+SUM(AV$37:AV$48)+SUM(AX$37:AX$48)</f>
        <v>779</v>
      </c>
      <c r="J111">
        <f>SUM(AZ$37:AZ$48)+SUM(BB$37:BB$48)+SUM(BD$37:BD$48)+SUM(BF$37:BF$48)</f>
        <v>873</v>
      </c>
      <c r="K111">
        <f>SUM(BH$37:BH$48)+SUM(BJ$37:BJ$48)+SUM(BL$37:BL$48)+SUM(BN$37:BN$48)</f>
        <v>884</v>
      </c>
      <c r="L111">
        <f>SUM(BP$37:BP$48)+SUM(BR$37:BR$48)+SUM(BT$37:BT$48)+SUM(BV$37:BV$48)</f>
        <v>920</v>
      </c>
      <c r="M111">
        <f>SUM(BX$37:BX$48)+SUM(BZ$37:BZ$48)+SUM(CB$37:CB$48)+SUM(CD$37:CD$48)</f>
        <v>707</v>
      </c>
      <c r="N111">
        <f>SUM(CF$37:CF$48)+SUM(CH$37:CH$48)+SUM(CJ$37:CJ$48)+SUM(CL$37:CL$48)</f>
        <v>855</v>
      </c>
      <c r="O111">
        <f>SUM(CN$37:CN$48)+SUM(CP$37:CP$48)+SUM(CR$37:CR$48)+SUM(CT$37:CT$48)</f>
        <v>845</v>
      </c>
    </row>
    <row r="112" spans="2:99" x14ac:dyDescent="0.2">
      <c r="C112" s="116" t="s">
        <v>129</v>
      </c>
      <c r="D112">
        <f>SUM(D$49:D$70)+SUM(F$49:F$70)+SUM(H$49:H$70)+SUM(J$49:J$70)</f>
        <v>809.89939794281599</v>
      </c>
      <c r="E112">
        <f>SUM(L$49:L$70)+SUM(N$49:N$70)+SUM(P$49:P$70)+SUM(R$49:R$70)</f>
        <v>1286</v>
      </c>
      <c r="F112">
        <f>SUM(T$49:T$70)+SUM(V$49:V$70)+SUM(X$49:X$70)+SUM(Z$49:Z$70)</f>
        <v>1433</v>
      </c>
      <c r="G112">
        <f>SUM(AB$49:AB$70)+SUM(AD$49:AD$70)+SUM(AF$49:AF$70)+SUM(AH$49:AH$70)</f>
        <v>1292</v>
      </c>
      <c r="H112">
        <f>SUM(AJ$49:AJ$70)+SUM(AL$49:AL$70)+SUM(AN$49:AN$70)+SUM(AP$49:AP$70)</f>
        <v>1210</v>
      </c>
      <c r="I112">
        <f>SUM(AR$49:AR$70)+SUM(AT$49:AT$70)+SUM(AV$49:AV$70)+SUM(AX$49:AX$70)</f>
        <v>1382</v>
      </c>
      <c r="J112">
        <f>SUM(AZ$49:AZ$70)+SUM(BB$49:BB$70)+SUM(BD$49:BD$70)+SUM(BF$49:BF$70)</f>
        <v>1321</v>
      </c>
      <c r="K112">
        <f>SUM(BH$49:BH$70)+SUM(BJ$49:BJ$70)+SUM(BL$49:BL$70)+SUM(BN$49:BN$70)</f>
        <v>1287</v>
      </c>
      <c r="L112">
        <f>SUM(BP$49:BP$70)+SUM(BR$49:BR$70)+SUM(BT$49:BT$70)+SUM(BV$49:BV$70)</f>
        <v>1591</v>
      </c>
      <c r="M112">
        <f>SUM(BX$49:BX$70)+SUM(BZ$49:BZ$70)+SUM(CB$49:CB$70)+SUM(CD$49:CD$70)</f>
        <v>1312</v>
      </c>
      <c r="N112">
        <f>SUM(CF$49:CF$70)+SUM(CH$49:CH$70)+SUM(CJ$49:CJ$70)+SUM(CL$49:CL$70)</f>
        <v>1352</v>
      </c>
      <c r="O112">
        <f>SUM(CN$49:CN$70)+SUM(CP$49:CP$70)+SUM(CR$49:CR$70)+SUM(CT$49:CT$70)</f>
        <v>1425</v>
      </c>
    </row>
    <row r="113" spans="2:15" x14ac:dyDescent="0.2">
      <c r="C113" s="116" t="s">
        <v>130</v>
      </c>
      <c r="D113">
        <f>SUM(D$71:D$86)+SUM(F$71:F$86)+SUM(H$71:H$86)+SUM(J$71:J$86)</f>
        <v>677</v>
      </c>
      <c r="E113">
        <f>SUM(L$71:L$86)+SUM(N$71:N$86)+SUM(P$71:P$86)+SUM(R$71:R$86)</f>
        <v>627</v>
      </c>
      <c r="F113">
        <f>SUM(T$71:T$86)+SUM(V$71:V$86)+SUM(X$71:X$86)+SUM(Z$71:Z$86)</f>
        <v>714</v>
      </c>
      <c r="G113">
        <f>SUM(AB$71:AB$86)+SUM(AD$71:AD$86)+SUM(AF$71:AF$86)+SUM(AH$71:AH$86)</f>
        <v>795</v>
      </c>
      <c r="H113">
        <f>SUM(AJ$71:AJ$86)+SUM(AL$71:AL$86)+SUM(AN$71:AN$86)+SUM(AP$71:AP$86)</f>
        <v>784</v>
      </c>
      <c r="I113">
        <f>SUM(AR$71:AR$86)+SUM(AT$71:AT$86)+SUM(AV$71:AV$86)+SUM(AX$71:AX$86)</f>
        <v>752</v>
      </c>
      <c r="J113">
        <f>SUM(AZ$71:AZ$86)+SUM(BB$71:BB$86)+SUM(BD$71:BD$86)+SUM(BF$71:BF$86)</f>
        <v>644</v>
      </c>
      <c r="K113">
        <f>SUM(BH$71:BH$86)+SUM(BJ$71:BJ$86)+SUM(BL$71:BL$86)+SUM(BN$71:BN$86)</f>
        <v>816</v>
      </c>
      <c r="L113">
        <f>SUM(BP$71:BP$86)+SUM(BR$71:BR$86)+SUM(BT$71:BT$86)+SUM(BV$71:BV$86)</f>
        <v>722</v>
      </c>
      <c r="M113">
        <f>SUM(BX$71:BX$86)+SUM(BZ$71:BZ$86)+SUM(CB$71:CB$86)+SUM(CD$71:CD$86)</f>
        <v>718</v>
      </c>
      <c r="N113">
        <f>SUM(CF$71:CF$86)+SUM(CH$71:CH$86)+SUM(CJ$71:CJ$86)+SUM(CL$71:CL$86)</f>
        <v>659</v>
      </c>
      <c r="O113">
        <f>SUM(CN$71:CN$86)+SUM(CP$71:CP$86)+SUM(CR$71:CR$86)+SUM(CT$71:CT$86)</f>
        <v>734</v>
      </c>
    </row>
    <row r="114" spans="2:15" x14ac:dyDescent="0.2">
      <c r="C114" s="116" t="s">
        <v>131</v>
      </c>
      <c r="D114">
        <f>SUM(D$87:D$94)+SUM(F$87:F$94)+SUM(H$87:H$94)+SUM(J$87:J$94)</f>
        <v>348</v>
      </c>
      <c r="E114">
        <f>SUM(L$87:L$94)+SUM(N$87:N$94)+SUM(P$87:P$94)+SUM(R$87:R$94)</f>
        <v>266</v>
      </c>
      <c r="F114">
        <f>SUM(T$87:T$94)+SUM(V$87:V$94)+SUM(X$87:X$94)+SUM(Z$87:Z$94)</f>
        <v>341</v>
      </c>
      <c r="G114">
        <f>SUM(AB$87:AB$94)+SUM(AD$87:AD$94)+SUM(AF$87:AF$94)+SUM(AH$87:AH$94)</f>
        <v>340</v>
      </c>
      <c r="H114">
        <f>SUM(AJ$87:AJ$94)+SUM(AL$87:AL$94)+SUM(AN$87:AN$94)+SUM(AP$87:AP$94)</f>
        <v>362</v>
      </c>
      <c r="I114">
        <f>SUM(AR$87:AR$94)+SUM(AT$87:AT$94)+SUM(AV$87:AV$94)+SUM(AX$87:AX$94)</f>
        <v>300</v>
      </c>
      <c r="J114">
        <f>SUM(AZ$87:AZ$94)+SUM(BB$87:BB$94)+SUM(BD$87:BD$94)+SUM(BF$87:BF$94)</f>
        <v>313</v>
      </c>
      <c r="K114">
        <f>SUM(BH$87:BH$94)+SUM(BJ$87:BJ$94)+SUM(BL$87:BL$94)+SUM(BN$87:BN$94)</f>
        <v>319</v>
      </c>
      <c r="L114">
        <f>SUM(BP$87:BP$94)+SUM(BR$87:BR$94)+SUM(BT$87:BT$94)+SUM(BV$87:BV$94)</f>
        <v>306</v>
      </c>
      <c r="M114">
        <f>SUM(BX$87:BX$94)+SUM(BZ$87:BZ$94)+SUM(CB$87:CB$94)+SUM(CD$87:CD$94)</f>
        <v>390</v>
      </c>
      <c r="N114">
        <f>SUM(CF$87:CF$94)+SUM(CH$87:CH$94)+SUM(CJ$87:CJ$94)+SUM(CL$87:CL$94)</f>
        <v>313</v>
      </c>
      <c r="O114">
        <f>SUM(CN$87:CN$94)+SUM(CP$87:CP$94)+SUM(CR$87:CR$94)+SUM(CT$87:CT$94)</f>
        <v>326</v>
      </c>
    </row>
    <row r="115" spans="2:15" x14ac:dyDescent="0.2">
      <c r="C115" s="116" t="s">
        <v>132</v>
      </c>
      <c r="D115">
        <f>SUM(D$95:D$105)+SUM(F$95:F$105)+SUM(H$95:H$105)+SUM(J$95:J$105)</f>
        <v>577</v>
      </c>
      <c r="E115">
        <f>SUM(L$95:L$105)+SUM(N$95:N$105)+SUM(P$95:P$105)+SUM(R$95:R$105)</f>
        <v>638</v>
      </c>
      <c r="F115">
        <f>SUM(T$95:T$105)+SUM(V$95:V$105)+SUM(X$95:X$105)+SUM(Z$95:Z$105)</f>
        <v>626</v>
      </c>
      <c r="G115">
        <f>SUM(AB$95:AB$105)+SUM(AD$95:AD$105)+SUM(AF$95:AF$105)+SUM(AH$95:AH$105)</f>
        <v>570</v>
      </c>
      <c r="H115">
        <f>SUM(AJ$95:AJ$105)+SUM(AL$95:AL$105)+SUM(AN$95:AN$105)+SUM(AP$95:AP$105)</f>
        <v>632</v>
      </c>
      <c r="I115">
        <f>SUM(AR$95:AR$105)+SUM(AT$95:AT$105)+SUM(AV$95:AV$105)+SUM(AX$95:AX$105)</f>
        <v>686</v>
      </c>
      <c r="J115">
        <f>SUM(AZ$95:AZ$105)+SUM(BB$95:BB$105)+SUM(BD$95:BD$105)+SUM(BF$95:BF$105)</f>
        <v>609</v>
      </c>
      <c r="K115">
        <f>SUM(BH$95:BH$105)+SUM(BJ$95:BJ$105)+SUM(BL$95:BL$105)+SUM(BN$95:BN$105)</f>
        <v>622</v>
      </c>
      <c r="L115">
        <f>SUM(BP$95:BP$105)+SUM(BR$95:BR$105)+SUM(BT$95:BT$105)+SUM(BV$95:BV$105)</f>
        <v>705</v>
      </c>
      <c r="M115">
        <f>SUM(BX$95:BX$105)+SUM(BZ$95:BZ$105)+SUM(CB$95:CB$105)+SUM(CD$95:CD$105)</f>
        <v>598</v>
      </c>
      <c r="N115">
        <f>SUM(CF$95:CF$105)+SUM(CH$95:CH$105)+SUM(CJ$95:CJ$105)+SUM(CL$95:CL$105)</f>
        <v>690</v>
      </c>
      <c r="O115">
        <f>SUM(CN$95:CN$105)+SUM(CP$95:CP$105)+SUM(CR$95:CR$105)+SUM(CT$95:CT$105)</f>
        <v>773</v>
      </c>
    </row>
    <row r="116" spans="2:15" x14ac:dyDescent="0.2">
      <c r="C116" s="116" t="s">
        <v>278</v>
      </c>
      <c r="D116">
        <f t="shared" ref="D116:O116" si="0">SUM(D$109:D$115)</f>
        <v>5117.2532714476702</v>
      </c>
      <c r="E116">
        <f t="shared" si="0"/>
        <v>6371</v>
      </c>
      <c r="F116">
        <f t="shared" si="0"/>
        <v>6868</v>
      </c>
      <c r="G116">
        <f t="shared" si="0"/>
        <v>6766</v>
      </c>
      <c r="H116">
        <f t="shared" si="0"/>
        <v>6758</v>
      </c>
      <c r="I116">
        <f t="shared" si="0"/>
        <v>6759</v>
      </c>
      <c r="J116">
        <f t="shared" si="0"/>
        <v>6625</v>
      </c>
      <c r="K116">
        <f t="shared" si="0"/>
        <v>7210</v>
      </c>
      <c r="L116">
        <f t="shared" si="0"/>
        <v>6977</v>
      </c>
      <c r="M116">
        <f t="shared" si="0"/>
        <v>6680</v>
      </c>
      <c r="N116">
        <f t="shared" si="0"/>
        <v>6726</v>
      </c>
      <c r="O116">
        <f t="shared" si="0"/>
        <v>7409</v>
      </c>
    </row>
    <row r="118" spans="2:15" x14ac:dyDescent="0.2">
      <c r="B118" s="118" t="s">
        <v>279</v>
      </c>
    </row>
    <row r="119" spans="2:15" x14ac:dyDescent="0.2">
      <c r="C119" s="116" t="s">
        <v>277</v>
      </c>
      <c r="D119" s="116" t="s">
        <v>92</v>
      </c>
      <c r="E119" s="116" t="s">
        <v>93</v>
      </c>
      <c r="F119" s="116" t="s">
        <v>94</v>
      </c>
      <c r="G119" s="116" t="s">
        <v>95</v>
      </c>
      <c r="H119" s="116" t="s">
        <v>96</v>
      </c>
      <c r="I119" s="116" t="s">
        <v>97</v>
      </c>
      <c r="J119" s="116" t="s">
        <v>98</v>
      </c>
      <c r="K119" s="116" t="s">
        <v>99</v>
      </c>
      <c r="L119" s="116" t="s">
        <v>100</v>
      </c>
      <c r="M119" s="116" t="s">
        <v>101</v>
      </c>
      <c r="N119" s="116" t="s">
        <v>102</v>
      </c>
      <c r="O119" s="116" t="s">
        <v>103</v>
      </c>
    </row>
    <row r="120" spans="2:15" x14ac:dyDescent="0.2">
      <c r="C120" s="116" t="s">
        <v>126</v>
      </c>
      <c r="D120">
        <f>D109*pricing!D6*2000</f>
        <v>2801618.3247576528</v>
      </c>
      <c r="E120">
        <f>E109*pricing!E6*2000</f>
        <v>3624440</v>
      </c>
      <c r="F120">
        <f>F109*pricing!F6*2000</f>
        <v>3700250</v>
      </c>
      <c r="G120">
        <f>G109*pricing!G6*2000</f>
        <v>3057670</v>
      </c>
      <c r="H120">
        <f>H109*pricing!H6*2000</f>
        <v>3079330</v>
      </c>
      <c r="I120">
        <f>I109*pricing!I6*2000</f>
        <v>3494480</v>
      </c>
      <c r="J120">
        <f>J109*pricing!J6*2000</f>
        <v>3830210</v>
      </c>
      <c r="K120">
        <f>K109*pricing!K6*2000</f>
        <v>4162330</v>
      </c>
      <c r="L120">
        <f>L109*pricing!L6*2000</f>
        <v>4396980</v>
      </c>
      <c r="M120">
        <f>M109*pricing!M6*2000</f>
        <v>3693029.9999999995</v>
      </c>
      <c r="N120">
        <f>N109*pricing!N6*2000</f>
        <v>3303150</v>
      </c>
      <c r="O120">
        <f>O109*pricing!O6*2000</f>
        <v>4555820</v>
      </c>
    </row>
    <row r="121" spans="2:15" x14ac:dyDescent="0.2">
      <c r="C121" s="116" t="s">
        <v>127</v>
      </c>
      <c r="D121">
        <f>D110*pricing!D7*2000</f>
        <v>4955628.1022996409</v>
      </c>
      <c r="E121">
        <f>E110*pricing!E7*2000</f>
        <v>6266960</v>
      </c>
      <c r="F121">
        <f>F110*pricing!F7*2000</f>
        <v>6710990</v>
      </c>
      <c r="G121">
        <f>G110*pricing!G7*2000</f>
        <v>7136969.9999999991</v>
      </c>
      <c r="H121">
        <f>H110*pricing!H7*2000</f>
        <v>7570170</v>
      </c>
      <c r="I121">
        <f>I110*pricing!I7*2000</f>
        <v>6830120</v>
      </c>
      <c r="J121">
        <f>J110*pricing!J7*2000</f>
        <v>6512440</v>
      </c>
      <c r="K121">
        <f>K110*pricing!K7*2000</f>
        <v>7685690</v>
      </c>
      <c r="L121">
        <f>L110*pricing!L7*2000</f>
        <v>5469150</v>
      </c>
      <c r="M121">
        <f>M110*pricing!M7*2000</f>
        <v>6974519.9999999991</v>
      </c>
      <c r="N121">
        <f>N110*pricing!N7*2000</f>
        <v>7010620</v>
      </c>
      <c r="O121">
        <f>O110*pricing!O7*2000</f>
        <v>7378840</v>
      </c>
    </row>
    <row r="122" spans="2:15" x14ac:dyDescent="0.2">
      <c r="C122" s="116" t="s">
        <v>128</v>
      </c>
      <c r="D122">
        <f>D111*pricing!D8*2000</f>
        <v>2273433.8268603906</v>
      </c>
      <c r="E122">
        <f>E111*pricing!E8*2000</f>
        <v>3325190</v>
      </c>
      <c r="F122">
        <f>F111*pricing!F8*2000</f>
        <v>3553950</v>
      </c>
      <c r="G122">
        <f>G111*pricing!G8*2000</f>
        <v>3860325</v>
      </c>
      <c r="H122">
        <f>H111*pricing!H8*2000</f>
        <v>3349700</v>
      </c>
      <c r="I122">
        <f>I111*pricing!I8*2000</f>
        <v>3182215</v>
      </c>
      <c r="J122">
        <f>J111*pricing!J8*2000</f>
        <v>3566205</v>
      </c>
      <c r="K122">
        <f>K111*pricing!K8*2000</f>
        <v>3611140</v>
      </c>
      <c r="L122">
        <f>L111*pricing!L8*2000</f>
        <v>3758200</v>
      </c>
      <c r="M122">
        <f>M111*pricing!M8*2000</f>
        <v>2888095</v>
      </c>
      <c r="N122">
        <f>N111*pricing!N8*2000</f>
        <v>3492675</v>
      </c>
      <c r="O122">
        <f>O111*pricing!O8*2000</f>
        <v>3451825</v>
      </c>
    </row>
    <row r="123" spans="2:15" x14ac:dyDescent="0.2">
      <c r="C123" s="116" t="s">
        <v>129</v>
      </c>
      <c r="D123">
        <f>D112*pricing!D9*2000</f>
        <v>3385379.4834009702</v>
      </c>
      <c r="E123">
        <f>E112*pricing!E9*2000</f>
        <v>5375480</v>
      </c>
      <c r="F123">
        <f>F112*pricing!F9*2000</f>
        <v>5989940</v>
      </c>
      <c r="G123">
        <f>G112*pricing!G9*2000</f>
        <v>5400559.9999999991</v>
      </c>
      <c r="H123">
        <f>H112*pricing!H9*2000</f>
        <v>5057799.9999999991</v>
      </c>
      <c r="I123">
        <f>I112*pricing!I9*2000</f>
        <v>5776759.9999999991</v>
      </c>
      <c r="J123">
        <f>J112*pricing!J9*2000</f>
        <v>5521780</v>
      </c>
      <c r="K123">
        <f>K112*pricing!K9*2000</f>
        <v>5379660</v>
      </c>
      <c r="L123">
        <f>L112*pricing!L9*2000</f>
        <v>6650379.9999999991</v>
      </c>
      <c r="M123">
        <f>M112*pricing!M9*2000</f>
        <v>5484160</v>
      </c>
      <c r="N123">
        <f>N112*pricing!N9*2000</f>
        <v>5651360</v>
      </c>
      <c r="O123">
        <f>O112*pricing!O9*2000</f>
        <v>5956500</v>
      </c>
    </row>
    <row r="124" spans="2:15" x14ac:dyDescent="0.2">
      <c r="C124" s="116" t="s">
        <v>130</v>
      </c>
      <c r="D124">
        <f>D113*pricing!D10*2000</f>
        <v>2829859.9999999995</v>
      </c>
      <c r="E124">
        <f>E113*pricing!E10*2000</f>
        <v>2620859.9999999995</v>
      </c>
      <c r="F124">
        <f>F113*pricing!F10*2000</f>
        <v>2984520</v>
      </c>
      <c r="G124">
        <f>G113*pricing!G10*2000</f>
        <v>3323100</v>
      </c>
      <c r="H124">
        <f>H113*pricing!H10*2000</f>
        <v>3277120</v>
      </c>
      <c r="I124">
        <f>I113*pricing!I10*2000</f>
        <v>3143359.9999999995</v>
      </c>
      <c r="J124">
        <f>J113*pricing!J10*2000</f>
        <v>2691919.9999999995</v>
      </c>
      <c r="K124">
        <f>K113*pricing!K10*2000</f>
        <v>3410879.9999999995</v>
      </c>
      <c r="L124">
        <f>L113*pricing!L10*2000</f>
        <v>3017959.9999999995</v>
      </c>
      <c r="M124">
        <f>M113*pricing!M10*2000</f>
        <v>3001240</v>
      </c>
      <c r="N124">
        <f>N113*pricing!N10*2000</f>
        <v>2754620</v>
      </c>
      <c r="O124">
        <f>O113*pricing!O10*2000</f>
        <v>3068120</v>
      </c>
    </row>
    <row r="125" spans="2:15" x14ac:dyDescent="0.2">
      <c r="C125" s="116" t="s">
        <v>131</v>
      </c>
      <c r="D125">
        <f>D114*pricing!D11*2000</f>
        <v>1660749.8984556799</v>
      </c>
      <c r="E125">
        <f>E114*pricing!E11*2000</f>
        <v>1269423.7729575024</v>
      </c>
      <c r="F125">
        <f>F114*pricing!F11*2000</f>
        <v>1627344.0096936403</v>
      </c>
      <c r="G125">
        <f>G114*pricing!G11*2000</f>
        <v>1622571.7398704919</v>
      </c>
      <c r="H125">
        <f>H114*pricing!H11*2000</f>
        <v>1727561.6759797591</v>
      </c>
      <c r="I125">
        <f>I114*pricing!I11*2000</f>
        <v>1431680.9469445515</v>
      </c>
      <c r="J125">
        <f>J114*pricing!J11*2000</f>
        <v>1493720.4546454824</v>
      </c>
      <c r="K125">
        <f>K114*pricing!K11*2000</f>
        <v>1522354.0735843733</v>
      </c>
      <c r="L125">
        <f>L114*pricing!L11*2000</f>
        <v>1460314.5658834425</v>
      </c>
      <c r="M125">
        <f>M114*pricing!M11*2000</f>
        <v>1861185.231027917</v>
      </c>
      <c r="N125">
        <f>N114*pricing!N11*2000</f>
        <v>1493720.4546454824</v>
      </c>
      <c r="O125">
        <f>O114*pricing!O11*2000</f>
        <v>1555759.9623464127</v>
      </c>
    </row>
    <row r="126" spans="2:15" x14ac:dyDescent="0.2">
      <c r="C126" s="116" t="s">
        <v>132</v>
      </c>
      <c r="D126">
        <f>D115*pricing!D12*2000</f>
        <v>2308000</v>
      </c>
      <c r="E126">
        <f>E115*pricing!E12*2000</f>
        <v>2552000</v>
      </c>
      <c r="F126">
        <f>F115*pricing!F12*2000</f>
        <v>2504000</v>
      </c>
      <c r="G126">
        <f>G115*pricing!G12*2000</f>
        <v>2280000</v>
      </c>
      <c r="H126">
        <f>H115*pricing!H12*2000</f>
        <v>2528000</v>
      </c>
      <c r="I126">
        <f>I115*pricing!I12*2000</f>
        <v>2744000</v>
      </c>
      <c r="J126">
        <f>J115*pricing!J12*2000</f>
        <v>2436000</v>
      </c>
      <c r="K126">
        <f>K115*pricing!K12*2000</f>
        <v>2488000</v>
      </c>
      <c r="L126">
        <f>L115*pricing!L12*2000</f>
        <v>2820000</v>
      </c>
      <c r="M126">
        <f>M115*pricing!M12*2000</f>
        <v>2392000</v>
      </c>
      <c r="N126">
        <f>N115*pricing!N12*2000</f>
        <v>2760000</v>
      </c>
      <c r="O126">
        <f>O115*pricing!O12*2000</f>
        <v>3092000</v>
      </c>
    </row>
    <row r="127" spans="2:15" x14ac:dyDescent="0.2">
      <c r="C127" s="116" t="s">
        <v>278</v>
      </c>
      <c r="D127">
        <f t="shared" ref="D127:O127" si="1">SUM(D$120:D$126)</f>
        <v>20214669.635774337</v>
      </c>
      <c r="E127">
        <f t="shared" si="1"/>
        <v>25034353.772957504</v>
      </c>
      <c r="F127">
        <f t="shared" si="1"/>
        <v>27070994.009693641</v>
      </c>
      <c r="G127">
        <f t="shared" si="1"/>
        <v>26681196.739870492</v>
      </c>
      <c r="H127">
        <f t="shared" si="1"/>
        <v>26589681.67597976</v>
      </c>
      <c r="I127">
        <f t="shared" si="1"/>
        <v>26602615.94694455</v>
      </c>
      <c r="J127">
        <f t="shared" si="1"/>
        <v>26052275.454645481</v>
      </c>
      <c r="K127">
        <f t="shared" si="1"/>
        <v>28260054.073584374</v>
      </c>
      <c r="L127">
        <f t="shared" si="1"/>
        <v>27572984.565883443</v>
      </c>
      <c r="M127">
        <f t="shared" si="1"/>
        <v>26294230.231027916</v>
      </c>
      <c r="N127">
        <f t="shared" si="1"/>
        <v>26466145.454645481</v>
      </c>
      <c r="O127">
        <f t="shared" si="1"/>
        <v>29058864.962346412</v>
      </c>
    </row>
    <row r="129" spans="2:15" x14ac:dyDescent="0.2">
      <c r="B129" s="118" t="s">
        <v>280</v>
      </c>
    </row>
    <row r="130" spans="2:15" x14ac:dyDescent="0.2">
      <c r="C130" s="120" t="s">
        <v>277</v>
      </c>
      <c r="D130" s="120" t="s">
        <v>92</v>
      </c>
      <c r="E130" s="120" t="s">
        <v>93</v>
      </c>
      <c r="F130" s="120" t="s">
        <v>94</v>
      </c>
      <c r="G130" s="120" t="s">
        <v>95</v>
      </c>
      <c r="H130" s="120" t="s">
        <v>96</v>
      </c>
      <c r="I130" s="120" t="s">
        <v>97</v>
      </c>
      <c r="J130" s="120" t="s">
        <v>98</v>
      </c>
      <c r="K130" s="120" t="s">
        <v>99</v>
      </c>
      <c r="L130" s="120" t="s">
        <v>100</v>
      </c>
      <c r="M130" s="120" t="s">
        <v>101</v>
      </c>
      <c r="N130" s="120" t="s">
        <v>102</v>
      </c>
      <c r="O130" s="120" t="s">
        <v>103</v>
      </c>
    </row>
    <row r="131" spans="2:15" x14ac:dyDescent="0.2">
      <c r="C131" s="120" t="s">
        <v>126</v>
      </c>
      <c r="D131" s="121">
        <f>SUM(E$6:E$19)+SUM(G$6:G$19)+SUM(I$6:I$19)+SUM(K$6:K$19)</f>
        <v>390782.26740571653</v>
      </c>
      <c r="E131" s="121">
        <f>SUM(M$6:M$19)+SUM(O$6:O$19)+SUM(Q$6:Q$19)+SUM(S$6:S$19)</f>
        <v>505038</v>
      </c>
      <c r="F131" s="121">
        <f>SUM(U$6:U$19)+SUM(W$6:W$19)+SUM(Y$6:Y$19)+SUM(AA$6:AA$19)</f>
        <v>516478.8</v>
      </c>
      <c r="G131" s="121">
        <f>SUM(AC$6:AC$19)+SUM(AE$6:AE$19)+SUM(AG$6:AG$19)+SUM(AI$6:AI$19)</f>
        <v>425420.39999999997</v>
      </c>
      <c r="H131" s="121">
        <f>SUM(AK$6:AK$19)+SUM(AM$6:AM$19)+SUM(AO$6:AO$19)+SUM(AQ$6:AQ$19)</f>
        <v>427685.99999999994</v>
      </c>
      <c r="I131" s="121">
        <f>SUM(AS$6:AS$19)+SUM(AU$6:AU$19)+SUM(AW$6:AW$19)+SUM(AY$6:AY$19)</f>
        <v>486958.79999999993</v>
      </c>
      <c r="J131" s="121">
        <f>SUM(BA$6:BA$19)+SUM(BC$6:BC$19)+SUM(BE$6:BE$19)+SUM(BG$6:BG$19)</f>
        <v>531724.79999999993</v>
      </c>
      <c r="K131" s="121">
        <f>SUM(BI$6:BI$19)+SUM(BK$6:BK$19)+SUM(BM$6:BM$19)+SUM(BO$6:BO$19)</f>
        <v>578232</v>
      </c>
      <c r="L131" s="121">
        <f>SUM(BQ$6:BQ$19)+SUM(BS$6:BS$19)+SUM(BU$6:BU$19)+SUM(BW$6:BW$19)</f>
        <v>611234.39999999991</v>
      </c>
      <c r="M131" s="121">
        <f>SUM(BY$6:BY$19)+SUM(CA$6:CA$19)+SUM(CC$6:CC$19)+SUM(CE$6:CE$19)</f>
        <v>513972</v>
      </c>
      <c r="N131" s="121">
        <f>SUM(CG$6:CG$19)+SUM(CI$6:CI$19)+SUM(CK$6:CK$19)+SUM(CM$6:CM$19)</f>
        <v>459735.59999999992</v>
      </c>
      <c r="O131" s="121">
        <f>SUM(CO$6:CO$19)+SUM(CQ$6:CQ$19)+SUM(CS$6:CS$19)+SUM(CU$6:CU$19)</f>
        <v>638475.6</v>
      </c>
    </row>
    <row r="132" spans="2:15" x14ac:dyDescent="0.2">
      <c r="C132" s="120" t="s">
        <v>127</v>
      </c>
      <c r="D132" s="121">
        <f>SUM(E$20:E$36)+SUM(G$20:G$36)+SUM(I$20:I$36)+SUM(K$20:K$36)</f>
        <v>588589.62747975672</v>
      </c>
      <c r="E132" s="121">
        <f>SUM(M$20:M$36)+SUM(O$20:O$36)+SUM(Q$20:Q$36)+SUM(S$20:S$36)</f>
        <v>734574</v>
      </c>
      <c r="F132" s="121">
        <f>SUM(U$20:U$36)+SUM(W$20:W$36)+SUM(Y$20:Y$36)+SUM(AA$20:AA$36)</f>
        <v>793224</v>
      </c>
      <c r="G132" s="121">
        <f>SUM(AC$20:AC$36)+SUM(AE$20:AE$36)+SUM(AG$20:AG$36)+SUM(AI$20:AI$36)</f>
        <v>842949.6</v>
      </c>
      <c r="H132" s="121">
        <f>SUM(AK$20:AK$36)+SUM(AM$20:AM$36)+SUM(AO$20:AO$36)+SUM(AQ$20:AQ$36)</f>
        <v>890815.2</v>
      </c>
      <c r="I132" s="121">
        <f>SUM(AS$20:AS$36)+SUM(AU$20:AU$36)+SUM(AW$20:AW$36)+SUM(AY$20:AY$36)</f>
        <v>809428.79999999993</v>
      </c>
      <c r="J132" s="121">
        <f>SUM(BA$20:BA$36)+SUM(BC$20:BC$36)+SUM(BE$20:BE$36)+SUM(BG$20:BG$36)</f>
        <v>766636.8</v>
      </c>
      <c r="K132" s="121">
        <f>SUM(BI$20:BI$36)+SUM(BK$20:BK$36)+SUM(BM$20:BM$36)+SUM(BO$20:BO$36)</f>
        <v>906803.99999999988</v>
      </c>
      <c r="L132" s="121">
        <f>SUM(BQ$20:BQ$36)+SUM(BS$20:BS$36)+SUM(BU$20:BU$36)+SUM(BW$20:BW$36)</f>
        <v>642156</v>
      </c>
      <c r="M132" s="121">
        <f>SUM(BY$20:BY$36)+SUM(CA$20:CA$36)+SUM(CC$20:CC$36)+SUM(CE$20:CE$36)</f>
        <v>822006</v>
      </c>
      <c r="N132" s="121">
        <f>SUM(CG$20:CG$36)+SUM(CI$20:CI$36)+SUM(CK$20:CK$36)+SUM(CM$20:CM$36)</f>
        <v>824487.6</v>
      </c>
      <c r="O132" s="121">
        <f>SUM(CO$20:CO$36)+SUM(CQ$20:CQ$36)+SUM(CS$20:CS$36)+SUM(CU$20:CU$36)</f>
        <v>862146</v>
      </c>
    </row>
    <row r="133" spans="2:15" x14ac:dyDescent="0.2">
      <c r="C133" s="120" t="s">
        <v>128</v>
      </c>
      <c r="D133" s="121">
        <f>SUM(E$37:E$48)+SUM(G$37:G$48)+SUM(I$37:I$48)+SUM(K$37:K$48)</f>
        <v>582762.52256673749</v>
      </c>
      <c r="E133" s="121">
        <f>SUM(M$37:M$48)+SUM(O$37:O$48)+SUM(Q$37:Q$48)+SUM(S$37:S$48)</f>
        <v>851841.60000000009</v>
      </c>
      <c r="F133" s="121">
        <f>SUM(U$37:U$48)+SUM(W$37:W$48)+SUM(Y$37:Y$48)+SUM(AA$37:AA$48)</f>
        <v>910243.2</v>
      </c>
      <c r="G133" s="121">
        <f>SUM(AC$37:AC$48)+SUM(AE$37:AE$48)+SUM(AG$37:AG$48)+SUM(AI$37:AI$48)</f>
        <v>990046.79999999993</v>
      </c>
      <c r="H133" s="121">
        <f>SUM(AK$37:AK$48)+SUM(AM$37:AM$48)+SUM(AO$37:AO$48)+SUM(AQ$37:AQ$48)</f>
        <v>858604.79999999993</v>
      </c>
      <c r="I133" s="121">
        <f>SUM(AS$37:AS$48)+SUM(AU$37:AU$48)+SUM(AW$37:AW$48)+SUM(AY$37:AY$48)</f>
        <v>813022.8</v>
      </c>
      <c r="J133" s="121">
        <f>SUM(BA$37:BA$48)+SUM(BC$37:BC$48)+SUM(BE$37:BE$48)+SUM(BG$37:BG$48)</f>
        <v>918801.6</v>
      </c>
      <c r="K133" s="121">
        <f>SUM(BI$37:BI$48)+SUM(BK$37:BK$48)+SUM(BM$37:BM$48)+SUM(BO$37:BO$48)</f>
        <v>929695.20000000007</v>
      </c>
      <c r="L133" s="121">
        <f>SUM(BQ$37:BQ$48)+SUM(BS$37:BS$48)+SUM(BU$37:BU$48)+SUM(BW$37:BW$48)</f>
        <v>962430</v>
      </c>
      <c r="M133" s="121">
        <f>SUM(BY$37:BY$48)+SUM(CA$37:CA$48)+SUM(CC$37:CC$48)+SUM(CE$37:CE$48)</f>
        <v>739948.8</v>
      </c>
      <c r="N133" s="121">
        <f>SUM(CG$37:CG$48)+SUM(CI$37:CI$48)+SUM(CK$37:CK$48)+SUM(CM$37:CM$48)</f>
        <v>895340.39999999991</v>
      </c>
      <c r="O133" s="121">
        <f>SUM(CO$37:CO$48)+SUM(CQ$37:CQ$48)+SUM(CS$37:CS$48)+SUM(CU$37:CU$48)</f>
        <v>883789.2</v>
      </c>
    </row>
    <row r="134" spans="2:15" x14ac:dyDescent="0.2">
      <c r="C134" s="120" t="s">
        <v>129</v>
      </c>
      <c r="D134" s="121">
        <f>SUM(E$49:E$70)+SUM(G$49:G$70)+SUM(I$49:I$70)+SUM(K$49:K$70)</f>
        <v>696705.73308515851</v>
      </c>
      <c r="E134" s="121">
        <f>SUM(M$49:M$70)+SUM(O$49:O$70)+SUM(Q$49:Q$70)+SUM(S$49:S$70)</f>
        <v>1083757.2</v>
      </c>
      <c r="F134" s="121">
        <f>SUM(U$49:U$70)+SUM(W$49:W$70)+SUM(Y$49:Y$70)+SUM(AA$49:AA$70)</f>
        <v>1202593.2000000002</v>
      </c>
      <c r="G134" s="121">
        <f>SUM(AC$49:AC$70)+SUM(AE$49:AE$70)+SUM(AG$49:AG$70)+SUM(AI$49:AI$70)</f>
        <v>1091289.6000000001</v>
      </c>
      <c r="H134" s="121">
        <f>SUM(AK$49:AK$70)+SUM(AM$49:AM$70)+SUM(AO$49:AO$70)+SUM(AQ$49:AQ$70)</f>
        <v>1025881.2000000001</v>
      </c>
      <c r="I134" s="121">
        <f>SUM(AS$49:AS$70)+SUM(AU$49:AU$70)+SUM(AW$49:AW$70)+SUM(AY$49:AY$70)</f>
        <v>1162970.3999999999</v>
      </c>
      <c r="J134" s="121">
        <f>SUM(BA$49:BA$70)+SUM(BC$49:BC$70)+SUM(BE$49:BE$70)+SUM(BG$49:BG$70)</f>
        <v>1108442.3999999999</v>
      </c>
      <c r="K134" s="121">
        <f>SUM(BI$49:BI$70)+SUM(BK$49:BK$70)+SUM(BM$49:BM$70)+SUM(BO$49:BO$70)</f>
        <v>1086699.6000000001</v>
      </c>
      <c r="L134" s="121">
        <f>SUM(BQ$49:BQ$70)+SUM(BS$49:BS$70)+SUM(BU$49:BU$70)+SUM(BW$49:BW$70)</f>
        <v>1346490</v>
      </c>
      <c r="M134" s="121">
        <f>SUM(BY$49:BY$70)+SUM(CA$49:CA$70)+SUM(CC$49:CC$70)+SUM(CE$49:CE$70)</f>
        <v>1110223.2</v>
      </c>
      <c r="N134" s="121">
        <f>SUM(CG$49:CG$70)+SUM(CI$49:CI$70)+SUM(CK$49:CK$70)+SUM(CM$49:CM$70)</f>
        <v>1143604.7999999998</v>
      </c>
      <c r="O134" s="121">
        <f>SUM(CO$49:CO$70)+SUM(CQ$49:CQ$70)+SUM(CS$49:CS$70)+SUM(CU$49:CU$70)</f>
        <v>1203669.6000000001</v>
      </c>
    </row>
    <row r="135" spans="2:15" x14ac:dyDescent="0.2">
      <c r="C135" s="120" t="s">
        <v>130</v>
      </c>
      <c r="D135" s="121">
        <f>SUM(E$71:E$86)+SUM(G$71:G$86)+SUM(I$71:I$86)+SUM(K$71:K$86)</f>
        <v>377503.19999999995</v>
      </c>
      <c r="E135" s="121">
        <f>SUM(M$71:M$86)+SUM(O$71:O$86)+SUM(Q$71:Q$86)+SUM(S$71:S$86)</f>
        <v>350264.39999999997</v>
      </c>
      <c r="F135" s="121">
        <f>SUM(U$71:U$86)+SUM(W$71:W$86)+SUM(Y$71:Y$86)+SUM(AA$71:AA$86)</f>
        <v>396262.79999999993</v>
      </c>
      <c r="G135" s="121">
        <f>SUM(AC$71:AC$86)+SUM(AE$71:AE$86)+SUM(AG$71:AG$86)+SUM(AI$71:AI$86)</f>
        <v>444489.6</v>
      </c>
      <c r="H135" s="121">
        <f>SUM(AK$71:AK$86)+SUM(AM$71:AM$86)+SUM(AO$71:AO$86)+SUM(AQ$71:AQ$86)</f>
        <v>437136</v>
      </c>
      <c r="I135" s="121">
        <f>SUM(AS$71:AS$86)+SUM(AU$71:AU$86)+SUM(AW$71:AW$86)+SUM(AY$71:AY$86)</f>
        <v>420121.19999999995</v>
      </c>
      <c r="J135" s="121">
        <f>SUM(BA$71:BA$86)+SUM(BC$71:BC$86)+SUM(BE$71:BE$86)+SUM(BG$71:BG$86)</f>
        <v>357830.40000000002</v>
      </c>
      <c r="K135" s="121">
        <f>SUM(BI$71:BI$86)+SUM(BK$71:BK$86)+SUM(BM$71:BM$86)+SUM(BO$71:BO$86)</f>
        <v>452811.6</v>
      </c>
      <c r="L135" s="121">
        <f>SUM(BQ$71:BQ$86)+SUM(BS$71:BS$86)+SUM(BU$71:BU$86)+SUM(BW$71:BW$86)</f>
        <v>401748</v>
      </c>
      <c r="M135" s="121">
        <f>SUM(BY$71:BY$86)+SUM(CA$71:CA$86)+SUM(CC$71:CC$86)+SUM(CE$71:CE$86)</f>
        <v>398985.6</v>
      </c>
      <c r="N135" s="121">
        <f>SUM(CG$71:CG$86)+SUM(CI$71:CI$86)+SUM(CK$71:CK$86)+SUM(CM$71:CM$86)</f>
        <v>367063.19999999995</v>
      </c>
      <c r="O135" s="121">
        <f>SUM(CO$71:CO$86)+SUM(CQ$71:CQ$86)+SUM(CS$71:CS$86)+SUM(CU$71:CU$86)</f>
        <v>407985.6</v>
      </c>
    </row>
    <row r="136" spans="2:15" x14ac:dyDescent="0.2">
      <c r="C136" s="120" t="s">
        <v>131</v>
      </c>
      <c r="D136" s="121">
        <f>SUM(E$87:E$94)+SUM(G$87:G$94)+SUM(I$87:I$94)+SUM(K$87:K$94)</f>
        <v>707212.80000000005</v>
      </c>
      <c r="E136" s="121">
        <f>SUM(M$87:M$94)+SUM(O$87:O$94)+SUM(Q$87:Q$94)+SUM(S$87:S$94)</f>
        <v>540747.6</v>
      </c>
      <c r="F136" s="121">
        <f>SUM(U$87:U$94)+SUM(W$87:W$94)+SUM(Y$87:Y$94)+SUM(AA$87:AA$94)</f>
        <v>691990.8</v>
      </c>
      <c r="G136" s="121">
        <f>SUM(AC$87:AC$94)+SUM(AE$87:AE$94)+SUM(AG$87:AG$94)+SUM(AI$87:AI$94)</f>
        <v>690329.99999999988</v>
      </c>
      <c r="H136" s="121">
        <f>SUM(AK$87:AK$94)+SUM(AM$87:AM$94)+SUM(AO$87:AO$94)+SUM(AQ$87:AQ$94)</f>
        <v>734407.20000000007</v>
      </c>
      <c r="I136" s="121">
        <f>SUM(AS$87:AS$94)+SUM(AU$87:AU$94)+SUM(AW$87:AW$94)+SUM(AY$87:AY$94)</f>
        <v>608402.39999999991</v>
      </c>
      <c r="J136" s="121">
        <f>SUM(BA$87:BA$94)+SUM(BC$87:BC$94)+SUM(BE$87:BE$94)+SUM(BG$87:BG$94)</f>
        <v>636218.4</v>
      </c>
      <c r="K136" s="121">
        <f>SUM(BI$87:BI$94)+SUM(BK$87:BK$94)+SUM(BM$87:BM$94)+SUM(BO$87:BO$94)</f>
        <v>648759.6</v>
      </c>
      <c r="L136" s="121">
        <f>SUM(BQ$87:BQ$94)+SUM(BS$87:BS$94)+SUM(BU$87:BU$94)+SUM(BW$87:BW$94)</f>
        <v>623311.19999999995</v>
      </c>
      <c r="M136" s="121">
        <f>SUM(BY$87:BY$94)+SUM(CA$87:CA$94)+SUM(CC$87:CC$94)+SUM(CE$87:CE$94)</f>
        <v>791024.4</v>
      </c>
      <c r="N136" s="121">
        <f>SUM(CG$87:CG$94)+SUM(CI$87:CI$94)+SUM(CK$87:CK$94)+SUM(CM$87:CM$94)</f>
        <v>634057.19999999995</v>
      </c>
      <c r="O136" s="121">
        <f>SUM(CO$87:CO$94)+SUM(CQ$87:CQ$94)+SUM(CS$87:CS$94)+SUM(CU$87:CU$94)</f>
        <v>662628</v>
      </c>
    </row>
    <row r="137" spans="2:15" x14ac:dyDescent="0.2">
      <c r="C137" s="120" t="s">
        <v>132</v>
      </c>
      <c r="D137" s="121">
        <f>SUM(E$95:E$105)+SUM(G$95:G$105)+SUM(I$95:I$105)+SUM(K$95:K$105)</f>
        <v>1084235.9999999998</v>
      </c>
      <c r="E137" s="121">
        <f>SUM(M$95:M$105)+SUM(O$95:O$105)+SUM(Q$95:Q$105)+SUM(S$95:S$105)</f>
        <v>1202883.6000000001</v>
      </c>
      <c r="F137" s="121">
        <f>SUM(U$95:U$105)+SUM(W$95:W$105)+SUM(Y$95:Y$105)+SUM(AA$95:AA$105)</f>
        <v>1174165.2</v>
      </c>
      <c r="G137" s="121">
        <f>SUM(AC$95:AC$105)+SUM(AE$95:AE$105)+SUM(AG$95:AG$105)+SUM(AI$95:AI$105)</f>
        <v>1071492</v>
      </c>
      <c r="H137" s="121">
        <f>SUM(AK$95:AK$105)+SUM(AM$95:AM$105)+SUM(AO$95:AO$105)+SUM(AQ$95:AQ$105)</f>
        <v>1190364</v>
      </c>
      <c r="I137" s="121">
        <f>SUM(AS$95:AS$105)+SUM(AU$95:AU$105)+SUM(AW$95:AW$105)+SUM(AY$95:AY$105)</f>
        <v>1287775.2</v>
      </c>
      <c r="J137" s="121">
        <f>SUM(BA$95:BA$105)+SUM(BC$95:BC$105)+SUM(BE$95:BE$105)+SUM(BG$95:BG$105)</f>
        <v>1141905.6000000001</v>
      </c>
      <c r="K137" s="121">
        <f>SUM(BI$95:BI$105)+SUM(BK$95:BK$105)+SUM(BM$95:BM$105)+SUM(BO$95:BO$105)</f>
        <v>1175007.5999999999</v>
      </c>
      <c r="L137" s="121">
        <f>SUM(BQ$95:BQ$105)+SUM(BS$95:BS$105)+SUM(BU$95:BU$105)+SUM(BW$95:BW$105)</f>
        <v>1317205.2</v>
      </c>
      <c r="M137" s="121">
        <f>SUM(BY$95:BY$105)+SUM(CA$95:CA$105)+SUM(CC$95:CC$105)+SUM(CE$95:CE$105)</f>
        <v>1123797.6000000001</v>
      </c>
      <c r="N137" s="121">
        <f>SUM(CG$95:CG$105)+SUM(CI$95:CI$105)+SUM(CK$95:CK$105)+SUM(CM$95:CM$105)</f>
        <v>1297437.6000000001</v>
      </c>
      <c r="O137" s="121">
        <f>SUM(CO$95:CO$105)+SUM(CQ$95:CQ$105)+SUM(CS$95:CS$105)+SUM(CU$95:CU$105)</f>
        <v>1457719.2</v>
      </c>
    </row>
    <row r="138" spans="2:15" x14ac:dyDescent="0.2">
      <c r="C138" s="120" t="s">
        <v>278</v>
      </c>
      <c r="D138">
        <f t="shared" ref="D138:O138" si="2">SUM(D$131:D$137)</f>
        <v>4427792.1505373688</v>
      </c>
      <c r="E138">
        <f t="shared" si="2"/>
        <v>5269106.4000000004</v>
      </c>
      <c r="F138">
        <f t="shared" si="2"/>
        <v>5684958</v>
      </c>
      <c r="G138">
        <f t="shared" si="2"/>
        <v>5556018</v>
      </c>
      <c r="H138">
        <f t="shared" si="2"/>
        <v>5564894.4000000004</v>
      </c>
      <c r="I138">
        <f t="shared" si="2"/>
        <v>5588679.6000000006</v>
      </c>
      <c r="J138">
        <f t="shared" si="2"/>
        <v>5461560</v>
      </c>
      <c r="K138">
        <f t="shared" si="2"/>
        <v>5778009.5999999996</v>
      </c>
      <c r="L138">
        <f t="shared" si="2"/>
        <v>5904574.7999999998</v>
      </c>
      <c r="M138">
        <f t="shared" si="2"/>
        <v>5499957.5999999996</v>
      </c>
      <c r="N138">
        <f t="shared" si="2"/>
        <v>5621726.4000000004</v>
      </c>
      <c r="O138">
        <f t="shared" si="2"/>
        <v>6116413.2000000002</v>
      </c>
    </row>
  </sheetData>
  <pageMargins left="0.75" right="0.75" top="1" bottom="1" header="0.5" footer="0.5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CU138"/>
  <sheetViews>
    <sheetView workbookViewId="0"/>
  </sheetViews>
  <sheetFormatPr defaultRowHeight="12.75" x14ac:dyDescent="0.2"/>
  <sheetData>
    <row r="2" spans="1:99" x14ac:dyDescent="0.2">
      <c r="B2" s="1" t="s">
        <v>272</v>
      </c>
    </row>
    <row r="3" spans="1:99" x14ac:dyDescent="0.2">
      <c r="B3" s="118" t="s">
        <v>282</v>
      </c>
    </row>
    <row r="4" spans="1:99" x14ac:dyDescent="0.2">
      <c r="A4" s="117"/>
      <c r="B4" s="117"/>
      <c r="C4" s="116" t="s">
        <v>274</v>
      </c>
      <c r="D4" s="116" t="s">
        <v>92</v>
      </c>
      <c r="E4" s="117"/>
      <c r="F4" s="117"/>
      <c r="G4" s="117"/>
      <c r="H4" s="117"/>
      <c r="I4" s="117"/>
      <c r="J4" s="117"/>
      <c r="K4" s="117"/>
      <c r="L4" s="116" t="s">
        <v>93</v>
      </c>
      <c r="M4" s="117"/>
      <c r="N4" s="117"/>
      <c r="O4" s="117"/>
      <c r="P4" s="117"/>
      <c r="Q4" s="117"/>
      <c r="R4" s="117"/>
      <c r="S4" s="117"/>
      <c r="T4" s="116" t="s">
        <v>94</v>
      </c>
      <c r="U4" s="117"/>
      <c r="V4" s="117"/>
      <c r="W4" s="117"/>
      <c r="X4" s="117"/>
      <c r="Y4" s="117"/>
      <c r="Z4" s="117"/>
      <c r="AA4" s="117"/>
      <c r="AB4" s="116" t="s">
        <v>95</v>
      </c>
      <c r="AC4" s="117"/>
      <c r="AD4" s="117"/>
      <c r="AE4" s="117"/>
      <c r="AF4" s="117"/>
      <c r="AG4" s="117"/>
      <c r="AH4" s="117"/>
      <c r="AI4" s="117"/>
      <c r="AJ4" s="116" t="s">
        <v>96</v>
      </c>
      <c r="AK4" s="117"/>
      <c r="AL4" s="117"/>
      <c r="AM4" s="117"/>
      <c r="AN4" s="117"/>
      <c r="AO4" s="117"/>
      <c r="AP4" s="117"/>
      <c r="AQ4" s="117"/>
      <c r="AR4" s="116" t="s">
        <v>97</v>
      </c>
      <c r="AS4" s="117"/>
      <c r="AT4" s="117"/>
      <c r="AU4" s="117"/>
      <c r="AV4" s="117"/>
      <c r="AW4" s="117"/>
      <c r="AX4" s="117"/>
      <c r="AY4" s="117"/>
      <c r="AZ4" s="116" t="s">
        <v>98</v>
      </c>
      <c r="BA4" s="117"/>
      <c r="BB4" s="117"/>
      <c r="BC4" s="117"/>
      <c r="BD4" s="117"/>
      <c r="BE4" s="117"/>
      <c r="BF4" s="117"/>
      <c r="BG4" s="117"/>
      <c r="BH4" s="116" t="s">
        <v>99</v>
      </c>
      <c r="BI4" s="117"/>
      <c r="BJ4" s="117"/>
      <c r="BK4" s="117"/>
      <c r="BL4" s="117"/>
      <c r="BM4" s="117"/>
      <c r="BN4" s="117"/>
      <c r="BO4" s="117"/>
      <c r="BP4" s="116" t="s">
        <v>100</v>
      </c>
      <c r="BQ4" s="117"/>
      <c r="BR4" s="117"/>
      <c r="BS4" s="117"/>
      <c r="BT4" s="117"/>
      <c r="BU4" s="117"/>
      <c r="BV4" s="117"/>
      <c r="BW4" s="117"/>
      <c r="BX4" s="116" t="s">
        <v>101</v>
      </c>
      <c r="BY4" s="117"/>
      <c r="BZ4" s="117"/>
      <c r="CA4" s="117"/>
      <c r="CB4" s="117"/>
      <c r="CC4" s="117"/>
      <c r="CD4" s="117"/>
      <c r="CE4" s="117"/>
      <c r="CF4" s="116" t="s">
        <v>102</v>
      </c>
      <c r="CG4" s="117"/>
      <c r="CH4" s="117"/>
      <c r="CI4" s="117"/>
      <c r="CJ4" s="117"/>
      <c r="CK4" s="117"/>
      <c r="CL4" s="117"/>
      <c r="CM4" s="117"/>
      <c r="CN4" s="116" t="s">
        <v>103</v>
      </c>
      <c r="CO4" s="117"/>
      <c r="CP4" s="117"/>
      <c r="CQ4" s="117"/>
      <c r="CR4" s="117"/>
      <c r="CS4" s="117"/>
      <c r="CT4" s="117"/>
      <c r="CU4" s="117"/>
    </row>
    <row r="5" spans="1:99" x14ac:dyDescent="0.2">
      <c r="B5" s="116" t="s">
        <v>167</v>
      </c>
      <c r="C5" s="116" t="s">
        <v>275</v>
      </c>
      <c r="D5" s="116">
        <v>1</v>
      </c>
      <c r="E5" s="116"/>
      <c r="F5" s="116">
        <v>2</v>
      </c>
      <c r="G5" s="116"/>
      <c r="H5" s="116">
        <v>3</v>
      </c>
      <c r="I5" s="116"/>
      <c r="J5" s="116">
        <v>4</v>
      </c>
      <c r="K5" s="116"/>
      <c r="L5" s="116">
        <v>1</v>
      </c>
      <c r="M5" s="116"/>
      <c r="N5" s="116">
        <v>2</v>
      </c>
      <c r="O5" s="116"/>
      <c r="P5" s="116">
        <v>3</v>
      </c>
      <c r="Q5" s="116"/>
      <c r="R5" s="116">
        <v>4</v>
      </c>
      <c r="S5" s="116"/>
      <c r="T5" s="116">
        <v>1</v>
      </c>
      <c r="U5" s="116"/>
      <c r="V5" s="116">
        <v>2</v>
      </c>
      <c r="W5" s="116"/>
      <c r="X5" s="116">
        <v>3</v>
      </c>
      <c r="Y5" s="116"/>
      <c r="Z5" s="116">
        <v>4</v>
      </c>
      <c r="AA5" s="116"/>
      <c r="AB5" s="116">
        <v>1</v>
      </c>
      <c r="AC5" s="116"/>
      <c r="AD5" s="116">
        <v>2</v>
      </c>
      <c r="AE5" s="116"/>
      <c r="AF5" s="116">
        <v>3</v>
      </c>
      <c r="AG5" s="116"/>
      <c r="AH5" s="116">
        <v>4</v>
      </c>
      <c r="AI5" s="116"/>
      <c r="AJ5" s="116">
        <v>1</v>
      </c>
      <c r="AK5" s="116"/>
      <c r="AL5" s="116">
        <v>2</v>
      </c>
      <c r="AM5" s="116"/>
      <c r="AN5" s="116">
        <v>3</v>
      </c>
      <c r="AO5" s="116"/>
      <c r="AP5" s="116">
        <v>4</v>
      </c>
      <c r="AQ5" s="116"/>
      <c r="AR5" s="116">
        <v>1</v>
      </c>
      <c r="AS5" s="116"/>
      <c r="AT5" s="116">
        <v>2</v>
      </c>
      <c r="AU5" s="116"/>
      <c r="AV5" s="116">
        <v>3</v>
      </c>
      <c r="AW5" s="116"/>
      <c r="AX5" s="116">
        <v>4</v>
      </c>
      <c r="AY5" s="116"/>
      <c r="AZ5" s="116">
        <v>1</v>
      </c>
      <c r="BA5" s="116"/>
      <c r="BB5" s="116">
        <v>2</v>
      </c>
      <c r="BC5" s="116"/>
      <c r="BD5" s="116">
        <v>3</v>
      </c>
      <c r="BE5" s="116"/>
      <c r="BF5" s="116">
        <v>4</v>
      </c>
      <c r="BG5" s="116"/>
      <c r="BH5" s="116">
        <v>1</v>
      </c>
      <c r="BI5" s="116"/>
      <c r="BJ5" s="116">
        <v>2</v>
      </c>
      <c r="BK5" s="116"/>
      <c r="BL5" s="116">
        <v>3</v>
      </c>
      <c r="BM5" s="116"/>
      <c r="BN5" s="116">
        <v>4</v>
      </c>
      <c r="BO5" s="116"/>
      <c r="BP5" s="116">
        <v>1</v>
      </c>
      <c r="BQ5" s="116"/>
      <c r="BR5" s="116">
        <v>2</v>
      </c>
      <c r="BS5" s="116"/>
      <c r="BT5" s="116">
        <v>3</v>
      </c>
      <c r="BU5" s="116"/>
      <c r="BV5" s="116">
        <v>4</v>
      </c>
      <c r="BW5" s="116"/>
      <c r="BX5" s="116">
        <v>1</v>
      </c>
      <c r="BY5" s="116"/>
      <c r="BZ5" s="116">
        <v>2</v>
      </c>
      <c r="CA5" s="116"/>
      <c r="CB5" s="116">
        <v>3</v>
      </c>
      <c r="CC5" s="116"/>
      <c r="CD5" s="116">
        <v>4</v>
      </c>
      <c r="CE5" s="116"/>
      <c r="CF5" s="116">
        <v>1</v>
      </c>
      <c r="CG5" s="116"/>
      <c r="CH5" s="116">
        <v>2</v>
      </c>
      <c r="CI5" s="116"/>
      <c r="CJ5" s="116">
        <v>3</v>
      </c>
      <c r="CK5" s="116"/>
      <c r="CL5" s="116">
        <v>4</v>
      </c>
      <c r="CM5" s="116"/>
      <c r="CN5" s="116">
        <v>1</v>
      </c>
      <c r="CO5" s="116"/>
      <c r="CP5" s="116">
        <v>2</v>
      </c>
      <c r="CQ5" s="116"/>
      <c r="CR5" s="116">
        <v>3</v>
      </c>
      <c r="CS5" s="116"/>
      <c r="CT5" s="116">
        <v>4</v>
      </c>
      <c r="CU5" s="116"/>
    </row>
    <row r="6" spans="1:99" x14ac:dyDescent="0.2">
      <c r="B6" s="116" t="s">
        <v>126</v>
      </c>
      <c r="C6" s="116" t="s">
        <v>172</v>
      </c>
      <c r="D6">
        <v>16</v>
      </c>
      <c r="E6">
        <v>9254.4</v>
      </c>
      <c r="F6">
        <v>19</v>
      </c>
      <c r="G6">
        <v>10989.6</v>
      </c>
      <c r="H6">
        <v>20</v>
      </c>
      <c r="I6">
        <v>11568</v>
      </c>
      <c r="J6">
        <v>22</v>
      </c>
      <c r="K6">
        <v>12724.8</v>
      </c>
      <c r="L6">
        <v>15</v>
      </c>
      <c r="M6">
        <v>8676</v>
      </c>
      <c r="N6">
        <v>17</v>
      </c>
      <c r="O6">
        <v>9832.7999999999993</v>
      </c>
      <c r="P6">
        <v>26</v>
      </c>
      <c r="Q6">
        <v>15038.4</v>
      </c>
      <c r="R6">
        <v>30</v>
      </c>
      <c r="S6">
        <v>17352</v>
      </c>
      <c r="T6">
        <v>31</v>
      </c>
      <c r="U6">
        <v>17930.399999999998</v>
      </c>
      <c r="V6">
        <v>18</v>
      </c>
      <c r="W6">
        <v>10411.199999999999</v>
      </c>
      <c r="X6">
        <v>34</v>
      </c>
      <c r="Y6">
        <v>19665.599999999999</v>
      </c>
      <c r="Z6">
        <v>23</v>
      </c>
      <c r="AA6">
        <v>13303.199999999999</v>
      </c>
      <c r="AB6">
        <v>36</v>
      </c>
      <c r="AC6">
        <v>20822.399999999998</v>
      </c>
      <c r="AD6">
        <v>25</v>
      </c>
      <c r="AE6">
        <v>14460</v>
      </c>
      <c r="AF6">
        <v>19</v>
      </c>
      <c r="AG6">
        <v>10989.6</v>
      </c>
      <c r="AH6">
        <v>24</v>
      </c>
      <c r="AI6">
        <v>13881.599999999999</v>
      </c>
      <c r="AJ6">
        <v>19</v>
      </c>
      <c r="AK6">
        <v>10989.6</v>
      </c>
      <c r="AL6">
        <v>19</v>
      </c>
      <c r="AM6">
        <v>10989.6</v>
      </c>
      <c r="AN6">
        <v>28</v>
      </c>
      <c r="AO6">
        <v>16195.199999999999</v>
      </c>
      <c r="AP6">
        <v>31</v>
      </c>
      <c r="AQ6">
        <v>17930.399999999998</v>
      </c>
      <c r="AR6">
        <v>20</v>
      </c>
      <c r="AS6">
        <v>11568</v>
      </c>
      <c r="AT6">
        <v>26</v>
      </c>
      <c r="AU6">
        <v>15038.4</v>
      </c>
      <c r="AV6">
        <v>18</v>
      </c>
      <c r="AW6">
        <v>10411.199999999999</v>
      </c>
      <c r="AX6">
        <v>31</v>
      </c>
      <c r="AY6">
        <v>17930.399999999998</v>
      </c>
      <c r="AZ6">
        <v>19</v>
      </c>
      <c r="BA6">
        <v>10989.6</v>
      </c>
      <c r="BB6">
        <v>26</v>
      </c>
      <c r="BC6">
        <v>15038.4</v>
      </c>
      <c r="BD6">
        <v>32</v>
      </c>
      <c r="BE6">
        <v>18508.8</v>
      </c>
      <c r="BF6">
        <v>39</v>
      </c>
      <c r="BG6">
        <v>22557.599999999999</v>
      </c>
      <c r="BH6">
        <v>30</v>
      </c>
      <c r="BI6">
        <v>17352</v>
      </c>
      <c r="BJ6">
        <v>23</v>
      </c>
      <c r="BK6">
        <v>13303.199999999999</v>
      </c>
      <c r="BL6">
        <v>25</v>
      </c>
      <c r="BM6">
        <v>14460</v>
      </c>
      <c r="BN6">
        <v>23</v>
      </c>
      <c r="BO6">
        <v>13303.199999999999</v>
      </c>
      <c r="BP6">
        <v>37</v>
      </c>
      <c r="BQ6">
        <v>21400.799999999999</v>
      </c>
      <c r="BR6">
        <v>24</v>
      </c>
      <c r="BS6">
        <v>13881.599999999999</v>
      </c>
      <c r="BT6">
        <v>19</v>
      </c>
      <c r="BU6">
        <v>10989.6</v>
      </c>
      <c r="BV6">
        <v>37</v>
      </c>
      <c r="BW6">
        <v>21400.799999999999</v>
      </c>
      <c r="BX6">
        <v>20</v>
      </c>
      <c r="BY6">
        <v>11568</v>
      </c>
      <c r="BZ6">
        <v>29</v>
      </c>
      <c r="CA6">
        <v>16773.599999999999</v>
      </c>
      <c r="CB6">
        <v>28</v>
      </c>
      <c r="CC6">
        <v>16195.199999999999</v>
      </c>
      <c r="CD6">
        <v>34</v>
      </c>
      <c r="CE6">
        <v>19665.599999999999</v>
      </c>
      <c r="CF6">
        <v>27</v>
      </c>
      <c r="CG6">
        <v>15616.8</v>
      </c>
      <c r="CH6">
        <v>26</v>
      </c>
      <c r="CI6">
        <v>15038.4</v>
      </c>
      <c r="CJ6">
        <v>29</v>
      </c>
      <c r="CK6">
        <v>16773.599999999999</v>
      </c>
      <c r="CL6">
        <v>32</v>
      </c>
      <c r="CM6">
        <v>18508.8</v>
      </c>
      <c r="CN6">
        <v>35</v>
      </c>
      <c r="CO6">
        <v>20244</v>
      </c>
      <c r="CP6">
        <v>33</v>
      </c>
      <c r="CQ6">
        <v>19087.2</v>
      </c>
      <c r="CR6">
        <v>33</v>
      </c>
      <c r="CS6">
        <v>19087.2</v>
      </c>
      <c r="CT6">
        <v>24</v>
      </c>
      <c r="CU6">
        <v>13881.599999999999</v>
      </c>
    </row>
    <row r="7" spans="1:99" x14ac:dyDescent="0.2">
      <c r="C7" s="116" t="s">
        <v>173</v>
      </c>
      <c r="D7">
        <v>16</v>
      </c>
      <c r="E7">
        <v>12614.4</v>
      </c>
      <c r="F7">
        <v>16</v>
      </c>
      <c r="G7">
        <v>12614.4</v>
      </c>
      <c r="H7">
        <v>24</v>
      </c>
      <c r="I7">
        <v>18921.599999999999</v>
      </c>
      <c r="J7">
        <v>22</v>
      </c>
      <c r="K7">
        <v>17344.8</v>
      </c>
      <c r="L7">
        <v>17</v>
      </c>
      <c r="M7">
        <v>13402.8</v>
      </c>
      <c r="N7">
        <v>17</v>
      </c>
      <c r="O7">
        <v>13402.8</v>
      </c>
      <c r="P7">
        <v>29</v>
      </c>
      <c r="Q7">
        <v>22863.599999999999</v>
      </c>
      <c r="R7">
        <v>30</v>
      </c>
      <c r="S7">
        <v>23652</v>
      </c>
      <c r="T7">
        <v>28</v>
      </c>
      <c r="U7">
        <v>22075.200000000001</v>
      </c>
      <c r="V7">
        <v>16</v>
      </c>
      <c r="W7">
        <v>12614.4</v>
      </c>
      <c r="X7">
        <v>32</v>
      </c>
      <c r="Y7">
        <v>25228.799999999999</v>
      </c>
      <c r="Z7">
        <v>23</v>
      </c>
      <c r="AA7">
        <v>18133.2</v>
      </c>
      <c r="AB7">
        <v>34</v>
      </c>
      <c r="AC7">
        <v>26805.599999999999</v>
      </c>
      <c r="AD7">
        <v>22</v>
      </c>
      <c r="AE7">
        <v>17344.8</v>
      </c>
      <c r="AF7">
        <v>18</v>
      </c>
      <c r="AG7">
        <v>14191.199999999999</v>
      </c>
      <c r="AH7">
        <v>22</v>
      </c>
      <c r="AI7">
        <v>17344.8</v>
      </c>
      <c r="AJ7">
        <v>19</v>
      </c>
      <c r="AK7">
        <v>14979.6</v>
      </c>
      <c r="AL7">
        <v>18</v>
      </c>
      <c r="AM7">
        <v>14191.199999999999</v>
      </c>
      <c r="AN7">
        <v>26</v>
      </c>
      <c r="AO7">
        <v>20498.399999999998</v>
      </c>
      <c r="AP7">
        <v>35</v>
      </c>
      <c r="AQ7">
        <v>27594</v>
      </c>
      <c r="AR7">
        <v>21</v>
      </c>
      <c r="AS7">
        <v>16556.399999999998</v>
      </c>
      <c r="AT7">
        <v>28</v>
      </c>
      <c r="AU7">
        <v>22075.200000000001</v>
      </c>
      <c r="AV7">
        <v>16</v>
      </c>
      <c r="AW7">
        <v>12614.4</v>
      </c>
      <c r="AX7">
        <v>32</v>
      </c>
      <c r="AY7">
        <v>25228.799999999999</v>
      </c>
      <c r="AZ7">
        <v>18</v>
      </c>
      <c r="BA7">
        <v>14191.199999999999</v>
      </c>
      <c r="BB7">
        <v>24</v>
      </c>
      <c r="BC7">
        <v>18921.599999999999</v>
      </c>
      <c r="BD7">
        <v>29</v>
      </c>
      <c r="BE7">
        <v>22863.599999999999</v>
      </c>
      <c r="BF7">
        <v>33</v>
      </c>
      <c r="BG7">
        <v>26017.200000000001</v>
      </c>
      <c r="BH7">
        <v>34</v>
      </c>
      <c r="BI7">
        <v>26805.599999999999</v>
      </c>
      <c r="BJ7">
        <v>21</v>
      </c>
      <c r="BK7">
        <v>16556.399999999998</v>
      </c>
      <c r="BL7">
        <v>23</v>
      </c>
      <c r="BM7">
        <v>18133.2</v>
      </c>
      <c r="BN7">
        <v>22</v>
      </c>
      <c r="BO7">
        <v>17344.8</v>
      </c>
      <c r="BP7">
        <v>36</v>
      </c>
      <c r="BQ7">
        <v>28382.399999999998</v>
      </c>
      <c r="BR7">
        <v>27</v>
      </c>
      <c r="BS7">
        <v>21286.799999999999</v>
      </c>
      <c r="BT7">
        <v>17</v>
      </c>
      <c r="BU7">
        <v>13402.8</v>
      </c>
      <c r="BV7">
        <v>36</v>
      </c>
      <c r="BW7">
        <v>28382.399999999998</v>
      </c>
      <c r="BX7">
        <v>21</v>
      </c>
      <c r="BY7">
        <v>16556.399999999998</v>
      </c>
      <c r="BZ7">
        <v>27</v>
      </c>
      <c r="CA7">
        <v>21286.799999999999</v>
      </c>
      <c r="CB7">
        <v>32</v>
      </c>
      <c r="CC7">
        <v>25228.799999999999</v>
      </c>
      <c r="CD7">
        <v>37</v>
      </c>
      <c r="CE7">
        <v>29170.799999999999</v>
      </c>
      <c r="CF7">
        <v>26</v>
      </c>
      <c r="CG7">
        <v>20498.399999999998</v>
      </c>
      <c r="CH7">
        <v>24</v>
      </c>
      <c r="CI7">
        <v>18921.599999999999</v>
      </c>
      <c r="CJ7">
        <v>29</v>
      </c>
      <c r="CK7">
        <v>22863.599999999999</v>
      </c>
      <c r="CL7">
        <v>31</v>
      </c>
      <c r="CM7">
        <v>24440.399999999998</v>
      </c>
      <c r="CN7">
        <v>33</v>
      </c>
      <c r="CO7">
        <v>26017.200000000001</v>
      </c>
      <c r="CP7">
        <v>36</v>
      </c>
      <c r="CQ7">
        <v>28382.399999999998</v>
      </c>
      <c r="CR7">
        <v>29</v>
      </c>
      <c r="CS7">
        <v>22863.599999999999</v>
      </c>
      <c r="CT7">
        <v>24</v>
      </c>
      <c r="CU7">
        <v>18921.599999999999</v>
      </c>
    </row>
    <row r="8" spans="1:99" x14ac:dyDescent="0.2">
      <c r="C8" s="116" t="s">
        <v>174</v>
      </c>
      <c r="D8">
        <v>18</v>
      </c>
      <c r="E8">
        <v>5572.7999999999993</v>
      </c>
      <c r="F8">
        <v>19</v>
      </c>
      <c r="G8">
        <v>5882.4</v>
      </c>
      <c r="H8">
        <v>23</v>
      </c>
      <c r="I8">
        <v>7120.7999999999993</v>
      </c>
      <c r="J8">
        <v>24</v>
      </c>
      <c r="K8">
        <v>7430.4</v>
      </c>
      <c r="L8">
        <v>18</v>
      </c>
      <c r="M8">
        <v>5572.7999999999993</v>
      </c>
      <c r="N8">
        <v>19</v>
      </c>
      <c r="O8">
        <v>5882.4</v>
      </c>
      <c r="P8">
        <v>26</v>
      </c>
      <c r="Q8">
        <v>8049.5999999999995</v>
      </c>
      <c r="R8">
        <v>27</v>
      </c>
      <c r="S8">
        <v>8359.1999999999989</v>
      </c>
      <c r="T8">
        <v>32</v>
      </c>
      <c r="U8">
        <v>9907.1999999999989</v>
      </c>
      <c r="V8">
        <v>18</v>
      </c>
      <c r="W8">
        <v>5572.7999999999993</v>
      </c>
      <c r="X8">
        <v>32</v>
      </c>
      <c r="Y8">
        <v>9907.1999999999989</v>
      </c>
      <c r="Z8">
        <v>24</v>
      </c>
      <c r="AA8">
        <v>7430.4</v>
      </c>
      <c r="AB8">
        <v>36</v>
      </c>
      <c r="AC8">
        <v>11145.599999999999</v>
      </c>
      <c r="AD8">
        <v>25</v>
      </c>
      <c r="AE8">
        <v>7739.9999999999991</v>
      </c>
      <c r="AF8">
        <v>18</v>
      </c>
      <c r="AG8">
        <v>5572.7999999999993</v>
      </c>
      <c r="AH8">
        <v>23</v>
      </c>
      <c r="AI8">
        <v>7120.7999999999993</v>
      </c>
      <c r="AJ8">
        <v>20</v>
      </c>
      <c r="AK8">
        <v>6191.9999999999991</v>
      </c>
      <c r="AL8">
        <v>21</v>
      </c>
      <c r="AM8">
        <v>6501.5999999999995</v>
      </c>
      <c r="AN8">
        <v>28</v>
      </c>
      <c r="AO8">
        <v>8668.7999999999993</v>
      </c>
      <c r="AP8">
        <v>33</v>
      </c>
      <c r="AQ8">
        <v>10216.799999999999</v>
      </c>
      <c r="AR8">
        <v>22</v>
      </c>
      <c r="AS8">
        <v>6811.1999999999989</v>
      </c>
      <c r="AT8">
        <v>30</v>
      </c>
      <c r="AU8">
        <v>9287.9999999999982</v>
      </c>
      <c r="AV8">
        <v>18</v>
      </c>
      <c r="AW8">
        <v>5572.7999999999993</v>
      </c>
      <c r="AX8">
        <v>36</v>
      </c>
      <c r="AY8">
        <v>11145.599999999999</v>
      </c>
      <c r="AZ8">
        <v>20</v>
      </c>
      <c r="BA8">
        <v>6191.9999999999991</v>
      </c>
      <c r="BB8">
        <v>25</v>
      </c>
      <c r="BC8">
        <v>7739.9999999999991</v>
      </c>
      <c r="BD8">
        <v>34</v>
      </c>
      <c r="BE8">
        <v>10526.4</v>
      </c>
      <c r="BF8">
        <v>39</v>
      </c>
      <c r="BG8">
        <v>12074.399999999998</v>
      </c>
      <c r="BH8">
        <v>33</v>
      </c>
      <c r="BI8">
        <v>10216.799999999999</v>
      </c>
      <c r="BJ8">
        <v>21</v>
      </c>
      <c r="BK8">
        <v>6501.5999999999995</v>
      </c>
      <c r="BL8">
        <v>28</v>
      </c>
      <c r="BM8">
        <v>8668.7999999999993</v>
      </c>
      <c r="BN8">
        <v>22</v>
      </c>
      <c r="BO8">
        <v>6811.1999999999989</v>
      </c>
      <c r="BP8">
        <v>34</v>
      </c>
      <c r="BQ8">
        <v>10526.4</v>
      </c>
      <c r="BR8">
        <v>25</v>
      </c>
      <c r="BS8">
        <v>7739.9999999999991</v>
      </c>
      <c r="BT8">
        <v>21</v>
      </c>
      <c r="BU8">
        <v>6501.5999999999995</v>
      </c>
      <c r="BV8">
        <v>34</v>
      </c>
      <c r="BW8">
        <v>10526.4</v>
      </c>
      <c r="BX8">
        <v>21</v>
      </c>
      <c r="BY8">
        <v>6501.5999999999995</v>
      </c>
      <c r="BZ8">
        <v>33</v>
      </c>
      <c r="CA8">
        <v>10216.799999999999</v>
      </c>
      <c r="CB8">
        <v>31</v>
      </c>
      <c r="CC8">
        <v>9597.5999999999985</v>
      </c>
      <c r="CD8">
        <v>38</v>
      </c>
      <c r="CE8">
        <v>11764.8</v>
      </c>
      <c r="CF8">
        <v>31</v>
      </c>
      <c r="CG8">
        <v>9597.5999999999985</v>
      </c>
      <c r="CH8">
        <v>23</v>
      </c>
      <c r="CI8">
        <v>7120.7999999999993</v>
      </c>
      <c r="CJ8">
        <v>34</v>
      </c>
      <c r="CK8">
        <v>10526.4</v>
      </c>
      <c r="CL8">
        <v>33</v>
      </c>
      <c r="CM8">
        <v>10216.799999999999</v>
      </c>
      <c r="CN8">
        <v>32</v>
      </c>
      <c r="CO8">
        <v>9907.1999999999989</v>
      </c>
      <c r="CP8">
        <v>35</v>
      </c>
      <c r="CQ8">
        <v>10835.999999999998</v>
      </c>
      <c r="CR8">
        <v>30</v>
      </c>
      <c r="CS8">
        <v>9287.9999999999982</v>
      </c>
      <c r="CT8">
        <v>25</v>
      </c>
      <c r="CU8">
        <v>7739.9999999999991</v>
      </c>
    </row>
    <row r="9" spans="1:99" x14ac:dyDescent="0.2">
      <c r="C9" s="116" t="s">
        <v>175</v>
      </c>
      <c r="D9">
        <v>15</v>
      </c>
      <c r="E9">
        <v>10530</v>
      </c>
      <c r="F9">
        <v>19</v>
      </c>
      <c r="G9">
        <v>13338</v>
      </c>
      <c r="H9">
        <v>22</v>
      </c>
      <c r="I9">
        <v>15444</v>
      </c>
      <c r="J9">
        <v>20</v>
      </c>
      <c r="K9">
        <v>14040</v>
      </c>
      <c r="L9">
        <v>15</v>
      </c>
      <c r="M9">
        <v>10530</v>
      </c>
      <c r="N9">
        <v>19</v>
      </c>
      <c r="O9">
        <v>13338</v>
      </c>
      <c r="P9">
        <v>25</v>
      </c>
      <c r="Q9">
        <v>17550</v>
      </c>
      <c r="R9">
        <v>26</v>
      </c>
      <c r="S9">
        <v>18252</v>
      </c>
      <c r="T9">
        <v>30</v>
      </c>
      <c r="U9">
        <v>21060</v>
      </c>
      <c r="V9">
        <v>17</v>
      </c>
      <c r="W9">
        <v>11934</v>
      </c>
      <c r="X9">
        <v>32</v>
      </c>
      <c r="Y9">
        <v>22464</v>
      </c>
      <c r="Z9">
        <v>23</v>
      </c>
      <c r="AA9">
        <v>16146</v>
      </c>
      <c r="AB9">
        <v>33</v>
      </c>
      <c r="AC9">
        <v>23166</v>
      </c>
      <c r="AD9">
        <v>22</v>
      </c>
      <c r="AE9">
        <v>15444</v>
      </c>
      <c r="AF9">
        <v>18</v>
      </c>
      <c r="AG9">
        <v>12636</v>
      </c>
      <c r="AH9">
        <v>24</v>
      </c>
      <c r="AI9">
        <v>16848</v>
      </c>
      <c r="AJ9">
        <v>20</v>
      </c>
      <c r="AK9">
        <v>14040</v>
      </c>
      <c r="AL9">
        <v>18</v>
      </c>
      <c r="AM9">
        <v>12636</v>
      </c>
      <c r="AN9">
        <v>23</v>
      </c>
      <c r="AO9">
        <v>16146</v>
      </c>
      <c r="AP9">
        <v>34</v>
      </c>
      <c r="AQ9">
        <v>23868</v>
      </c>
      <c r="AR9">
        <v>20</v>
      </c>
      <c r="AS9">
        <v>14040</v>
      </c>
      <c r="AT9">
        <v>28</v>
      </c>
      <c r="AU9">
        <v>19656</v>
      </c>
      <c r="AV9">
        <v>17</v>
      </c>
      <c r="AW9">
        <v>11934</v>
      </c>
      <c r="AX9">
        <v>31</v>
      </c>
      <c r="AY9">
        <v>21762</v>
      </c>
      <c r="AZ9">
        <v>21</v>
      </c>
      <c r="BA9">
        <v>14742</v>
      </c>
      <c r="BB9">
        <v>22</v>
      </c>
      <c r="BC9">
        <v>15444</v>
      </c>
      <c r="BD9">
        <v>28</v>
      </c>
      <c r="BE9">
        <v>19656</v>
      </c>
      <c r="BF9">
        <v>34</v>
      </c>
      <c r="BG9">
        <v>23868</v>
      </c>
      <c r="BH9">
        <v>31</v>
      </c>
      <c r="BI9">
        <v>21762</v>
      </c>
      <c r="BJ9">
        <v>22</v>
      </c>
      <c r="BK9">
        <v>15444</v>
      </c>
      <c r="BL9">
        <v>26</v>
      </c>
      <c r="BM9">
        <v>18252</v>
      </c>
      <c r="BN9">
        <v>22</v>
      </c>
      <c r="BO9">
        <v>15444</v>
      </c>
      <c r="BP9">
        <v>38</v>
      </c>
      <c r="BQ9">
        <v>26676</v>
      </c>
      <c r="BR9">
        <v>26</v>
      </c>
      <c r="BS9">
        <v>18252</v>
      </c>
      <c r="BT9">
        <v>20</v>
      </c>
      <c r="BU9">
        <v>14040</v>
      </c>
      <c r="BV9">
        <v>38</v>
      </c>
      <c r="BW9">
        <v>26676</v>
      </c>
      <c r="BX9">
        <v>21</v>
      </c>
      <c r="BY9">
        <v>14742</v>
      </c>
      <c r="BZ9">
        <v>27</v>
      </c>
      <c r="CA9">
        <v>18954</v>
      </c>
      <c r="CB9">
        <v>32</v>
      </c>
      <c r="CC9">
        <v>22464</v>
      </c>
      <c r="CD9">
        <v>40</v>
      </c>
      <c r="CE9">
        <v>28080</v>
      </c>
      <c r="CF9">
        <v>28</v>
      </c>
      <c r="CG9">
        <v>19656</v>
      </c>
      <c r="CH9">
        <v>24</v>
      </c>
      <c r="CI9">
        <v>16848</v>
      </c>
      <c r="CJ9">
        <v>27</v>
      </c>
      <c r="CK9">
        <v>18954</v>
      </c>
      <c r="CL9">
        <v>28</v>
      </c>
      <c r="CM9">
        <v>19656</v>
      </c>
      <c r="CN9">
        <v>33</v>
      </c>
      <c r="CO9">
        <v>23166</v>
      </c>
      <c r="CP9">
        <v>33</v>
      </c>
      <c r="CQ9">
        <v>23166</v>
      </c>
      <c r="CR9">
        <v>33</v>
      </c>
      <c r="CS9">
        <v>23166</v>
      </c>
      <c r="CT9">
        <v>23</v>
      </c>
      <c r="CU9">
        <v>16146</v>
      </c>
    </row>
    <row r="10" spans="1:99" x14ac:dyDescent="0.2">
      <c r="C10" s="116" t="s">
        <v>176</v>
      </c>
      <c r="D10">
        <v>17</v>
      </c>
      <c r="E10">
        <v>9261.5999999999985</v>
      </c>
      <c r="F10">
        <v>17</v>
      </c>
      <c r="G10">
        <v>9261.5999999999985</v>
      </c>
      <c r="H10">
        <v>23</v>
      </c>
      <c r="I10">
        <v>12530.4</v>
      </c>
      <c r="J10">
        <v>23</v>
      </c>
      <c r="K10">
        <v>12530.4</v>
      </c>
      <c r="L10">
        <v>16</v>
      </c>
      <c r="M10">
        <v>8716.7999999999993</v>
      </c>
      <c r="N10">
        <v>17</v>
      </c>
      <c r="O10">
        <v>9261.5999999999985</v>
      </c>
      <c r="P10">
        <v>26</v>
      </c>
      <c r="Q10">
        <v>14164.8</v>
      </c>
      <c r="R10">
        <v>29</v>
      </c>
      <c r="S10">
        <v>15799.199999999999</v>
      </c>
      <c r="T10">
        <v>30</v>
      </c>
      <c r="U10">
        <v>16343.999999999998</v>
      </c>
      <c r="V10">
        <v>17</v>
      </c>
      <c r="W10">
        <v>9261.5999999999985</v>
      </c>
      <c r="X10">
        <v>32</v>
      </c>
      <c r="Y10">
        <v>17433.599999999999</v>
      </c>
      <c r="Z10">
        <v>27</v>
      </c>
      <c r="AA10">
        <v>14709.599999999999</v>
      </c>
      <c r="AB10">
        <v>33</v>
      </c>
      <c r="AC10">
        <v>17978.399999999998</v>
      </c>
      <c r="AD10">
        <v>25</v>
      </c>
      <c r="AE10">
        <v>13619.999999999998</v>
      </c>
      <c r="AF10">
        <v>19</v>
      </c>
      <c r="AG10">
        <v>10351.199999999999</v>
      </c>
      <c r="AH10">
        <v>23</v>
      </c>
      <c r="AI10">
        <v>12530.4</v>
      </c>
      <c r="AJ10">
        <v>20</v>
      </c>
      <c r="AK10">
        <v>10896</v>
      </c>
      <c r="AL10">
        <v>21</v>
      </c>
      <c r="AM10">
        <v>11440.8</v>
      </c>
      <c r="AN10">
        <v>24</v>
      </c>
      <c r="AO10">
        <v>13075.199999999999</v>
      </c>
      <c r="AP10">
        <v>30</v>
      </c>
      <c r="AQ10">
        <v>16343.999999999998</v>
      </c>
      <c r="AR10">
        <v>22</v>
      </c>
      <c r="AS10">
        <v>11985.599999999999</v>
      </c>
      <c r="AT10">
        <v>24</v>
      </c>
      <c r="AU10">
        <v>13075.199999999999</v>
      </c>
      <c r="AV10">
        <v>17</v>
      </c>
      <c r="AW10">
        <v>9261.5999999999985</v>
      </c>
      <c r="AX10">
        <v>35</v>
      </c>
      <c r="AY10">
        <v>19068</v>
      </c>
      <c r="AZ10">
        <v>20</v>
      </c>
      <c r="BA10">
        <v>10896</v>
      </c>
      <c r="BB10">
        <v>24</v>
      </c>
      <c r="BC10">
        <v>13075.199999999999</v>
      </c>
      <c r="BD10">
        <v>31</v>
      </c>
      <c r="BE10">
        <v>16888.8</v>
      </c>
      <c r="BF10">
        <v>33</v>
      </c>
      <c r="BG10">
        <v>17978.399999999998</v>
      </c>
      <c r="BH10">
        <v>30</v>
      </c>
      <c r="BI10">
        <v>16343.999999999998</v>
      </c>
      <c r="BJ10">
        <v>21</v>
      </c>
      <c r="BK10">
        <v>11440.8</v>
      </c>
      <c r="BL10">
        <v>27</v>
      </c>
      <c r="BM10">
        <v>14709.599999999999</v>
      </c>
      <c r="BN10">
        <v>24</v>
      </c>
      <c r="BO10">
        <v>13075.199999999999</v>
      </c>
      <c r="BP10">
        <v>39</v>
      </c>
      <c r="BQ10">
        <v>21247.199999999997</v>
      </c>
      <c r="BR10">
        <v>24</v>
      </c>
      <c r="BS10">
        <v>13075.199999999999</v>
      </c>
      <c r="BT10">
        <v>20</v>
      </c>
      <c r="BU10">
        <v>10896</v>
      </c>
      <c r="BV10">
        <v>34</v>
      </c>
      <c r="BW10">
        <v>18523.199999999997</v>
      </c>
      <c r="BX10">
        <v>22</v>
      </c>
      <c r="BY10">
        <v>11985.599999999999</v>
      </c>
      <c r="BZ10">
        <v>30</v>
      </c>
      <c r="CA10">
        <v>16343.999999999998</v>
      </c>
      <c r="CB10">
        <v>31</v>
      </c>
      <c r="CC10">
        <v>16888.8</v>
      </c>
      <c r="CD10">
        <v>40</v>
      </c>
      <c r="CE10">
        <v>21792</v>
      </c>
      <c r="CF10">
        <v>29</v>
      </c>
      <c r="CG10">
        <v>15799.199999999999</v>
      </c>
      <c r="CH10">
        <v>26</v>
      </c>
      <c r="CI10">
        <v>14164.8</v>
      </c>
      <c r="CJ10">
        <v>32</v>
      </c>
      <c r="CK10">
        <v>17433.599999999999</v>
      </c>
      <c r="CL10">
        <v>29</v>
      </c>
      <c r="CM10">
        <v>15799.199999999999</v>
      </c>
      <c r="CN10">
        <v>34</v>
      </c>
      <c r="CO10">
        <v>18523.199999999997</v>
      </c>
      <c r="CP10">
        <v>33</v>
      </c>
      <c r="CQ10">
        <v>17978.399999999998</v>
      </c>
      <c r="CR10">
        <v>33</v>
      </c>
      <c r="CS10">
        <v>17978.399999999998</v>
      </c>
      <c r="CT10">
        <v>25</v>
      </c>
      <c r="CU10">
        <v>13619.999999999998</v>
      </c>
    </row>
    <row r="11" spans="1:99" x14ac:dyDescent="0.2">
      <c r="C11" s="116" t="s">
        <v>177</v>
      </c>
      <c r="D11">
        <v>17</v>
      </c>
      <c r="E11">
        <v>9057.5999999999985</v>
      </c>
      <c r="F11">
        <v>18</v>
      </c>
      <c r="G11">
        <v>9590.4</v>
      </c>
      <c r="H11">
        <v>23</v>
      </c>
      <c r="I11">
        <v>12254.4</v>
      </c>
      <c r="J11">
        <v>20</v>
      </c>
      <c r="K11">
        <v>10656</v>
      </c>
      <c r="L11">
        <v>17</v>
      </c>
      <c r="M11">
        <v>9057.5999999999985</v>
      </c>
      <c r="N11">
        <v>20</v>
      </c>
      <c r="O11">
        <v>10656</v>
      </c>
      <c r="P11">
        <v>26</v>
      </c>
      <c r="Q11">
        <v>13852.8</v>
      </c>
      <c r="R11">
        <v>27</v>
      </c>
      <c r="S11">
        <v>14385.599999999999</v>
      </c>
      <c r="T11">
        <v>29</v>
      </c>
      <c r="U11">
        <v>15451.199999999999</v>
      </c>
      <c r="V11">
        <v>18</v>
      </c>
      <c r="W11">
        <v>9590.4</v>
      </c>
      <c r="X11">
        <v>32</v>
      </c>
      <c r="Y11">
        <v>17049.599999999999</v>
      </c>
      <c r="Z11">
        <v>24</v>
      </c>
      <c r="AA11">
        <v>12787.199999999999</v>
      </c>
      <c r="AB11">
        <v>34</v>
      </c>
      <c r="AC11">
        <v>18115.199999999997</v>
      </c>
      <c r="AD11">
        <v>22</v>
      </c>
      <c r="AE11">
        <v>11721.599999999999</v>
      </c>
      <c r="AF11">
        <v>20</v>
      </c>
      <c r="AG11">
        <v>10656</v>
      </c>
      <c r="AH11">
        <v>24</v>
      </c>
      <c r="AI11">
        <v>12787.199999999999</v>
      </c>
      <c r="AJ11">
        <v>22</v>
      </c>
      <c r="AK11">
        <v>11721.599999999999</v>
      </c>
      <c r="AL11">
        <v>20</v>
      </c>
      <c r="AM11">
        <v>10656</v>
      </c>
      <c r="AN11">
        <v>25</v>
      </c>
      <c r="AO11">
        <v>13319.999999999998</v>
      </c>
      <c r="AP11">
        <v>32</v>
      </c>
      <c r="AQ11">
        <v>17049.599999999999</v>
      </c>
      <c r="AR11">
        <v>20</v>
      </c>
      <c r="AS11">
        <v>10656</v>
      </c>
      <c r="AT11">
        <v>29</v>
      </c>
      <c r="AU11">
        <v>15451.199999999999</v>
      </c>
      <c r="AV11">
        <v>18</v>
      </c>
      <c r="AW11">
        <v>9590.4</v>
      </c>
      <c r="AX11">
        <v>30</v>
      </c>
      <c r="AY11">
        <v>15983.999999999998</v>
      </c>
      <c r="AZ11">
        <v>22</v>
      </c>
      <c r="BA11">
        <v>11721.599999999999</v>
      </c>
      <c r="BB11">
        <v>22</v>
      </c>
      <c r="BC11">
        <v>11721.599999999999</v>
      </c>
      <c r="BD11">
        <v>32</v>
      </c>
      <c r="BE11">
        <v>17049.599999999999</v>
      </c>
      <c r="BF11">
        <v>37</v>
      </c>
      <c r="BG11">
        <v>19713.599999999999</v>
      </c>
      <c r="BH11">
        <v>32</v>
      </c>
      <c r="BI11">
        <v>17049.599999999999</v>
      </c>
      <c r="BJ11">
        <v>20</v>
      </c>
      <c r="BK11">
        <v>10656</v>
      </c>
      <c r="BL11">
        <v>26</v>
      </c>
      <c r="BM11">
        <v>13852.8</v>
      </c>
      <c r="BN11">
        <v>21</v>
      </c>
      <c r="BO11">
        <v>11188.8</v>
      </c>
      <c r="BP11">
        <v>36</v>
      </c>
      <c r="BQ11">
        <v>19180.8</v>
      </c>
      <c r="BR11">
        <v>24</v>
      </c>
      <c r="BS11">
        <v>12787.199999999999</v>
      </c>
      <c r="BT11">
        <v>18</v>
      </c>
      <c r="BU11">
        <v>9590.4</v>
      </c>
      <c r="BV11">
        <v>38</v>
      </c>
      <c r="BW11">
        <v>20246.399999999998</v>
      </c>
      <c r="BX11">
        <v>20</v>
      </c>
      <c r="BY11">
        <v>10656</v>
      </c>
      <c r="BZ11">
        <v>33</v>
      </c>
      <c r="CA11">
        <v>17582.399999999998</v>
      </c>
      <c r="CB11">
        <v>29</v>
      </c>
      <c r="CC11">
        <v>15451.199999999999</v>
      </c>
      <c r="CD11">
        <v>35</v>
      </c>
      <c r="CE11">
        <v>18648</v>
      </c>
      <c r="CF11">
        <v>27</v>
      </c>
      <c r="CG11">
        <v>14385.599999999999</v>
      </c>
      <c r="CH11">
        <v>26</v>
      </c>
      <c r="CI11">
        <v>13852.8</v>
      </c>
      <c r="CJ11">
        <v>32</v>
      </c>
      <c r="CK11">
        <v>17049.599999999999</v>
      </c>
      <c r="CL11">
        <v>33</v>
      </c>
      <c r="CM11">
        <v>17582.399999999998</v>
      </c>
      <c r="CN11">
        <v>34</v>
      </c>
      <c r="CO11">
        <v>18115.199999999997</v>
      </c>
      <c r="CP11">
        <v>35</v>
      </c>
      <c r="CQ11">
        <v>18648</v>
      </c>
      <c r="CR11">
        <v>31</v>
      </c>
      <c r="CS11">
        <v>16516.8</v>
      </c>
      <c r="CT11">
        <v>24</v>
      </c>
      <c r="CU11">
        <v>12787.199999999999</v>
      </c>
    </row>
    <row r="12" spans="1:99" x14ac:dyDescent="0.2">
      <c r="C12" s="116" t="s">
        <v>178</v>
      </c>
      <c r="D12">
        <v>18</v>
      </c>
      <c r="E12">
        <v>10130.4</v>
      </c>
      <c r="F12">
        <v>16</v>
      </c>
      <c r="G12">
        <v>9004.7999999999993</v>
      </c>
      <c r="H12">
        <v>24</v>
      </c>
      <c r="I12">
        <v>13507.199999999999</v>
      </c>
      <c r="J12">
        <v>20</v>
      </c>
      <c r="K12">
        <v>11256</v>
      </c>
      <c r="L12">
        <v>17</v>
      </c>
      <c r="M12">
        <v>9567.5999999999985</v>
      </c>
      <c r="N12">
        <v>17</v>
      </c>
      <c r="O12">
        <v>9567.5999999999985</v>
      </c>
      <c r="P12">
        <v>29</v>
      </c>
      <c r="Q12">
        <v>16321.199999999999</v>
      </c>
      <c r="R12">
        <v>27</v>
      </c>
      <c r="S12">
        <v>15195.599999999999</v>
      </c>
      <c r="T12">
        <v>31</v>
      </c>
      <c r="U12">
        <v>17446.8</v>
      </c>
      <c r="V12">
        <v>17</v>
      </c>
      <c r="W12">
        <v>9567.5999999999985</v>
      </c>
      <c r="X12">
        <v>31</v>
      </c>
      <c r="Y12">
        <v>17446.8</v>
      </c>
      <c r="Z12">
        <v>25</v>
      </c>
      <c r="AA12">
        <v>14069.999999999998</v>
      </c>
      <c r="AB12">
        <v>33</v>
      </c>
      <c r="AC12">
        <v>18572.399999999998</v>
      </c>
      <c r="AD12">
        <v>23</v>
      </c>
      <c r="AE12">
        <v>12944.4</v>
      </c>
      <c r="AF12">
        <v>19</v>
      </c>
      <c r="AG12">
        <v>10693.199999999999</v>
      </c>
      <c r="AH12">
        <v>22</v>
      </c>
      <c r="AI12">
        <v>12381.599999999999</v>
      </c>
      <c r="AJ12">
        <v>22</v>
      </c>
      <c r="AK12">
        <v>12381.599999999999</v>
      </c>
      <c r="AL12">
        <v>21</v>
      </c>
      <c r="AM12">
        <v>11818.8</v>
      </c>
      <c r="AN12">
        <v>26</v>
      </c>
      <c r="AO12">
        <v>14632.8</v>
      </c>
      <c r="AP12">
        <v>35</v>
      </c>
      <c r="AQ12">
        <v>19698</v>
      </c>
      <c r="AR12">
        <v>19</v>
      </c>
      <c r="AS12">
        <v>10693.199999999999</v>
      </c>
      <c r="AT12">
        <v>27</v>
      </c>
      <c r="AU12">
        <v>15195.599999999999</v>
      </c>
      <c r="AV12">
        <v>20</v>
      </c>
      <c r="AW12">
        <v>11256</v>
      </c>
      <c r="AX12">
        <v>30</v>
      </c>
      <c r="AY12">
        <v>16884</v>
      </c>
      <c r="AZ12">
        <v>22</v>
      </c>
      <c r="BA12">
        <v>12381.599999999999</v>
      </c>
      <c r="BB12">
        <v>25</v>
      </c>
      <c r="BC12">
        <v>14069.999999999998</v>
      </c>
      <c r="BD12">
        <v>30</v>
      </c>
      <c r="BE12">
        <v>16884</v>
      </c>
      <c r="BF12">
        <v>37</v>
      </c>
      <c r="BG12">
        <v>20823.599999999999</v>
      </c>
      <c r="BH12">
        <v>31</v>
      </c>
      <c r="BI12">
        <v>17446.8</v>
      </c>
      <c r="BJ12">
        <v>24</v>
      </c>
      <c r="BK12">
        <v>13507.199999999999</v>
      </c>
      <c r="BL12">
        <v>27</v>
      </c>
      <c r="BM12">
        <v>15195.599999999999</v>
      </c>
      <c r="BN12">
        <v>24</v>
      </c>
      <c r="BO12">
        <v>13507.199999999999</v>
      </c>
      <c r="BP12">
        <v>36</v>
      </c>
      <c r="BQ12">
        <v>20260.8</v>
      </c>
      <c r="BR12">
        <v>29</v>
      </c>
      <c r="BS12">
        <v>16321.199999999999</v>
      </c>
      <c r="BT12">
        <v>18</v>
      </c>
      <c r="BU12">
        <v>10130.4</v>
      </c>
      <c r="BV12">
        <v>35</v>
      </c>
      <c r="BW12">
        <v>19698</v>
      </c>
      <c r="BX12">
        <v>21</v>
      </c>
      <c r="BY12">
        <v>11818.8</v>
      </c>
      <c r="BZ12">
        <v>30</v>
      </c>
      <c r="CA12">
        <v>16884</v>
      </c>
      <c r="CB12">
        <v>30</v>
      </c>
      <c r="CC12">
        <v>16884</v>
      </c>
      <c r="CD12">
        <v>34</v>
      </c>
      <c r="CE12">
        <v>19135.199999999997</v>
      </c>
      <c r="CF12">
        <v>32</v>
      </c>
      <c r="CG12">
        <v>18009.599999999999</v>
      </c>
      <c r="CH12">
        <v>26</v>
      </c>
      <c r="CI12">
        <v>14632.8</v>
      </c>
      <c r="CJ12">
        <v>34</v>
      </c>
      <c r="CK12">
        <v>19135.199999999997</v>
      </c>
      <c r="CL12">
        <v>30</v>
      </c>
      <c r="CM12">
        <v>16884</v>
      </c>
      <c r="CN12">
        <v>34</v>
      </c>
      <c r="CO12">
        <v>19135.199999999997</v>
      </c>
      <c r="CP12">
        <v>35</v>
      </c>
      <c r="CQ12">
        <v>19698</v>
      </c>
      <c r="CR12">
        <v>29</v>
      </c>
      <c r="CS12">
        <v>16321.199999999999</v>
      </c>
      <c r="CT12">
        <v>24</v>
      </c>
      <c r="CU12">
        <v>13507.199999999999</v>
      </c>
    </row>
    <row r="13" spans="1:99" x14ac:dyDescent="0.2">
      <c r="C13" s="116" t="s">
        <v>179</v>
      </c>
      <c r="D13">
        <v>16</v>
      </c>
      <c r="E13">
        <v>1363.2</v>
      </c>
      <c r="F13">
        <v>20</v>
      </c>
      <c r="G13">
        <v>1704</v>
      </c>
      <c r="H13">
        <v>26</v>
      </c>
      <c r="I13">
        <v>2215.2000000000003</v>
      </c>
      <c r="J13">
        <v>21</v>
      </c>
      <c r="K13">
        <v>1789.2</v>
      </c>
      <c r="L13">
        <v>18</v>
      </c>
      <c r="M13">
        <v>1533.6000000000001</v>
      </c>
      <c r="N13">
        <v>20</v>
      </c>
      <c r="O13">
        <v>1704</v>
      </c>
      <c r="P13">
        <v>27</v>
      </c>
      <c r="Q13">
        <v>2300.4</v>
      </c>
      <c r="R13">
        <v>31</v>
      </c>
      <c r="S13">
        <v>2641.2000000000003</v>
      </c>
      <c r="T13">
        <v>35</v>
      </c>
      <c r="U13">
        <v>2982</v>
      </c>
      <c r="V13">
        <v>19</v>
      </c>
      <c r="W13">
        <v>1618.8</v>
      </c>
      <c r="X13">
        <v>34</v>
      </c>
      <c r="Y13">
        <v>2896.8</v>
      </c>
      <c r="Z13">
        <v>28</v>
      </c>
      <c r="AA13">
        <v>2385.6</v>
      </c>
      <c r="AB13">
        <v>37</v>
      </c>
      <c r="AC13">
        <v>3152.4</v>
      </c>
      <c r="AD13">
        <v>25</v>
      </c>
      <c r="AE13">
        <v>2130</v>
      </c>
      <c r="AF13">
        <v>19</v>
      </c>
      <c r="AG13">
        <v>1618.8</v>
      </c>
      <c r="AH13">
        <v>23</v>
      </c>
      <c r="AI13">
        <v>1959.6000000000001</v>
      </c>
      <c r="AJ13">
        <v>22</v>
      </c>
      <c r="AK13">
        <v>1874.4</v>
      </c>
      <c r="AL13">
        <v>23</v>
      </c>
      <c r="AM13">
        <v>1959.6000000000001</v>
      </c>
      <c r="AN13">
        <v>28</v>
      </c>
      <c r="AO13">
        <v>2385.6</v>
      </c>
      <c r="AP13">
        <v>35</v>
      </c>
      <c r="AQ13">
        <v>2982</v>
      </c>
      <c r="AR13">
        <v>23</v>
      </c>
      <c r="AS13">
        <v>1959.6000000000001</v>
      </c>
      <c r="AT13">
        <v>29</v>
      </c>
      <c r="AU13">
        <v>2470.8000000000002</v>
      </c>
      <c r="AV13">
        <v>18</v>
      </c>
      <c r="AW13">
        <v>1533.6000000000001</v>
      </c>
      <c r="AX13">
        <v>32</v>
      </c>
      <c r="AY13">
        <v>2726.4</v>
      </c>
      <c r="AZ13">
        <v>24</v>
      </c>
      <c r="BA13">
        <v>2044.8000000000002</v>
      </c>
      <c r="BB13">
        <v>27</v>
      </c>
      <c r="BC13">
        <v>2300.4</v>
      </c>
      <c r="BD13">
        <v>34</v>
      </c>
      <c r="BE13">
        <v>2896.8</v>
      </c>
      <c r="BF13">
        <v>37</v>
      </c>
      <c r="BG13">
        <v>3152.4</v>
      </c>
      <c r="BH13">
        <v>34</v>
      </c>
      <c r="BI13">
        <v>2896.8</v>
      </c>
      <c r="BJ13">
        <v>25</v>
      </c>
      <c r="BK13">
        <v>2130</v>
      </c>
      <c r="BL13">
        <v>26</v>
      </c>
      <c r="BM13">
        <v>2215.2000000000003</v>
      </c>
      <c r="BN13">
        <v>26</v>
      </c>
      <c r="BO13">
        <v>2215.2000000000003</v>
      </c>
      <c r="BP13">
        <v>38</v>
      </c>
      <c r="BQ13">
        <v>3237.6</v>
      </c>
      <c r="BR13">
        <v>26</v>
      </c>
      <c r="BS13">
        <v>2215.2000000000003</v>
      </c>
      <c r="BT13">
        <v>21</v>
      </c>
      <c r="BU13">
        <v>1789.2</v>
      </c>
      <c r="BV13">
        <v>37</v>
      </c>
      <c r="BW13">
        <v>3152.4</v>
      </c>
      <c r="BX13">
        <v>25</v>
      </c>
      <c r="BY13">
        <v>2130</v>
      </c>
      <c r="BZ13">
        <v>31</v>
      </c>
      <c r="CA13">
        <v>2641.2000000000003</v>
      </c>
      <c r="CB13">
        <v>31</v>
      </c>
      <c r="CC13">
        <v>2641.2000000000003</v>
      </c>
      <c r="CD13">
        <v>43</v>
      </c>
      <c r="CE13">
        <v>3663.6</v>
      </c>
      <c r="CF13">
        <v>31</v>
      </c>
      <c r="CG13">
        <v>2641.2000000000003</v>
      </c>
      <c r="CH13">
        <v>25</v>
      </c>
      <c r="CI13">
        <v>2130</v>
      </c>
      <c r="CJ13">
        <v>31</v>
      </c>
      <c r="CK13">
        <v>2641.2000000000003</v>
      </c>
      <c r="CL13">
        <v>32</v>
      </c>
      <c r="CM13">
        <v>2726.4</v>
      </c>
      <c r="CN13">
        <v>36</v>
      </c>
      <c r="CO13">
        <v>3067.2000000000003</v>
      </c>
      <c r="CP13">
        <v>37</v>
      </c>
      <c r="CQ13">
        <v>3152.4</v>
      </c>
      <c r="CR13">
        <v>32</v>
      </c>
      <c r="CS13">
        <v>2726.4</v>
      </c>
      <c r="CT13">
        <v>26</v>
      </c>
      <c r="CU13">
        <v>2215.2000000000003</v>
      </c>
    </row>
    <row r="14" spans="1:99" x14ac:dyDescent="0.2">
      <c r="C14" s="116" t="s">
        <v>180</v>
      </c>
      <c r="D14">
        <v>16</v>
      </c>
      <c r="E14">
        <v>7814.4</v>
      </c>
      <c r="F14">
        <v>18</v>
      </c>
      <c r="G14">
        <v>8791.1999999999989</v>
      </c>
      <c r="H14">
        <v>24</v>
      </c>
      <c r="I14">
        <v>11721.599999999999</v>
      </c>
      <c r="J14">
        <v>20</v>
      </c>
      <c r="K14">
        <v>9768</v>
      </c>
      <c r="L14">
        <v>17</v>
      </c>
      <c r="M14">
        <v>8302.7999999999993</v>
      </c>
      <c r="N14">
        <v>18</v>
      </c>
      <c r="O14">
        <v>8791.1999999999989</v>
      </c>
      <c r="P14">
        <v>27</v>
      </c>
      <c r="Q14">
        <v>13186.8</v>
      </c>
      <c r="R14">
        <v>29</v>
      </c>
      <c r="S14">
        <v>14163.599999999999</v>
      </c>
      <c r="T14">
        <v>30</v>
      </c>
      <c r="U14">
        <v>14652</v>
      </c>
      <c r="V14">
        <v>18</v>
      </c>
      <c r="W14">
        <v>8791.1999999999989</v>
      </c>
      <c r="X14">
        <v>34</v>
      </c>
      <c r="Y14">
        <v>16605.599999999999</v>
      </c>
      <c r="Z14">
        <v>26</v>
      </c>
      <c r="AA14">
        <v>12698.4</v>
      </c>
      <c r="AB14">
        <v>33</v>
      </c>
      <c r="AC14">
        <v>16117.199999999999</v>
      </c>
      <c r="AD14">
        <v>25</v>
      </c>
      <c r="AE14">
        <v>12210</v>
      </c>
      <c r="AF14">
        <v>20</v>
      </c>
      <c r="AG14">
        <v>9768</v>
      </c>
      <c r="AH14">
        <v>24</v>
      </c>
      <c r="AI14">
        <v>11721.599999999999</v>
      </c>
      <c r="AJ14">
        <v>22</v>
      </c>
      <c r="AK14">
        <v>10744.8</v>
      </c>
      <c r="AL14">
        <v>20</v>
      </c>
      <c r="AM14">
        <v>9768</v>
      </c>
      <c r="AN14">
        <v>25</v>
      </c>
      <c r="AO14">
        <v>12210</v>
      </c>
      <c r="AP14">
        <v>34</v>
      </c>
      <c r="AQ14">
        <v>16605.599999999999</v>
      </c>
      <c r="AR14">
        <v>20</v>
      </c>
      <c r="AS14">
        <v>9768</v>
      </c>
      <c r="AT14">
        <v>28</v>
      </c>
      <c r="AU14">
        <v>13675.199999999999</v>
      </c>
      <c r="AV14">
        <v>19</v>
      </c>
      <c r="AW14">
        <v>9279.6</v>
      </c>
      <c r="AX14">
        <v>31</v>
      </c>
      <c r="AY14">
        <v>15140.4</v>
      </c>
      <c r="AZ14">
        <v>21</v>
      </c>
      <c r="BA14">
        <v>10256.4</v>
      </c>
      <c r="BB14">
        <v>25</v>
      </c>
      <c r="BC14">
        <v>12210</v>
      </c>
      <c r="BD14">
        <v>34</v>
      </c>
      <c r="BE14">
        <v>16605.599999999999</v>
      </c>
      <c r="BF14">
        <v>35</v>
      </c>
      <c r="BG14">
        <v>17094</v>
      </c>
      <c r="BH14">
        <v>36</v>
      </c>
      <c r="BI14">
        <v>17582.399999999998</v>
      </c>
      <c r="BJ14">
        <v>23</v>
      </c>
      <c r="BK14">
        <v>11233.199999999999</v>
      </c>
      <c r="BL14">
        <v>25</v>
      </c>
      <c r="BM14">
        <v>12210</v>
      </c>
      <c r="BN14">
        <v>22</v>
      </c>
      <c r="BO14">
        <v>10744.8</v>
      </c>
      <c r="BP14">
        <v>37</v>
      </c>
      <c r="BQ14">
        <v>18070.8</v>
      </c>
      <c r="BR14">
        <v>25</v>
      </c>
      <c r="BS14">
        <v>12210</v>
      </c>
      <c r="BT14">
        <v>18</v>
      </c>
      <c r="BU14">
        <v>8791.1999999999989</v>
      </c>
      <c r="BV14">
        <v>38</v>
      </c>
      <c r="BW14">
        <v>18559.2</v>
      </c>
      <c r="BX14">
        <v>23</v>
      </c>
      <c r="BY14">
        <v>11233.199999999999</v>
      </c>
      <c r="BZ14">
        <v>29</v>
      </c>
      <c r="CA14">
        <v>14163.599999999999</v>
      </c>
      <c r="CB14">
        <v>31</v>
      </c>
      <c r="CC14">
        <v>15140.4</v>
      </c>
      <c r="CD14">
        <v>35</v>
      </c>
      <c r="CE14">
        <v>17094</v>
      </c>
      <c r="CF14">
        <v>30</v>
      </c>
      <c r="CG14">
        <v>14652</v>
      </c>
      <c r="CH14">
        <v>26</v>
      </c>
      <c r="CI14">
        <v>12698.4</v>
      </c>
      <c r="CJ14">
        <v>34</v>
      </c>
      <c r="CK14">
        <v>16605.599999999999</v>
      </c>
      <c r="CL14">
        <v>27</v>
      </c>
      <c r="CM14">
        <v>13186.8</v>
      </c>
      <c r="CN14">
        <v>34</v>
      </c>
      <c r="CO14">
        <v>16605.599999999999</v>
      </c>
      <c r="CP14">
        <v>36</v>
      </c>
      <c r="CQ14">
        <v>17582.399999999998</v>
      </c>
      <c r="CR14">
        <v>34</v>
      </c>
      <c r="CS14">
        <v>16605.599999999999</v>
      </c>
      <c r="CT14">
        <v>23</v>
      </c>
      <c r="CU14">
        <v>11233.199999999999</v>
      </c>
    </row>
    <row r="15" spans="1:99" x14ac:dyDescent="0.2">
      <c r="C15" s="116" t="s">
        <v>181</v>
      </c>
      <c r="D15">
        <v>15</v>
      </c>
      <c r="E15">
        <v>11447.999999999998</v>
      </c>
      <c r="F15">
        <v>16</v>
      </c>
      <c r="G15">
        <v>12211.199999999999</v>
      </c>
      <c r="H15">
        <v>22</v>
      </c>
      <c r="I15">
        <v>16790.399999999998</v>
      </c>
      <c r="J15">
        <v>20</v>
      </c>
      <c r="K15">
        <v>15263.999999999998</v>
      </c>
      <c r="L15">
        <v>16</v>
      </c>
      <c r="M15">
        <v>12211.199999999999</v>
      </c>
      <c r="N15">
        <v>18</v>
      </c>
      <c r="O15">
        <v>13737.599999999999</v>
      </c>
      <c r="P15">
        <v>24</v>
      </c>
      <c r="Q15">
        <v>18316.8</v>
      </c>
      <c r="R15">
        <v>27</v>
      </c>
      <c r="S15">
        <v>20606.399999999998</v>
      </c>
      <c r="T15">
        <v>29</v>
      </c>
      <c r="U15">
        <v>22132.799999999999</v>
      </c>
      <c r="V15">
        <v>19</v>
      </c>
      <c r="W15">
        <v>14500.8</v>
      </c>
      <c r="X15">
        <v>34</v>
      </c>
      <c r="Y15">
        <v>25948.799999999999</v>
      </c>
      <c r="Z15">
        <v>22</v>
      </c>
      <c r="AA15">
        <v>16790.399999999998</v>
      </c>
      <c r="AB15">
        <v>32</v>
      </c>
      <c r="AC15">
        <v>24422.399999999998</v>
      </c>
      <c r="AD15">
        <v>24</v>
      </c>
      <c r="AE15">
        <v>18316.8</v>
      </c>
      <c r="AF15">
        <v>21</v>
      </c>
      <c r="AG15">
        <v>16027.199999999999</v>
      </c>
      <c r="AH15">
        <v>24</v>
      </c>
      <c r="AI15">
        <v>18316.8</v>
      </c>
      <c r="AJ15">
        <v>22</v>
      </c>
      <c r="AK15">
        <v>16790.399999999998</v>
      </c>
      <c r="AL15">
        <v>21</v>
      </c>
      <c r="AM15">
        <v>16027.199999999999</v>
      </c>
      <c r="AN15">
        <v>23</v>
      </c>
      <c r="AO15">
        <v>17553.599999999999</v>
      </c>
      <c r="AP15">
        <v>32</v>
      </c>
      <c r="AQ15">
        <v>24422.399999999998</v>
      </c>
      <c r="AR15">
        <v>19</v>
      </c>
      <c r="AS15">
        <v>14500.8</v>
      </c>
      <c r="AT15">
        <v>26</v>
      </c>
      <c r="AU15">
        <v>19843.199999999997</v>
      </c>
      <c r="AV15">
        <v>17</v>
      </c>
      <c r="AW15">
        <v>12974.4</v>
      </c>
      <c r="AX15">
        <v>30</v>
      </c>
      <c r="AY15">
        <v>22895.999999999996</v>
      </c>
      <c r="AZ15">
        <v>18</v>
      </c>
      <c r="BA15">
        <v>13737.599999999999</v>
      </c>
      <c r="BB15">
        <v>21</v>
      </c>
      <c r="BC15">
        <v>16027.199999999999</v>
      </c>
      <c r="BD15">
        <v>29</v>
      </c>
      <c r="BE15">
        <v>22132.799999999999</v>
      </c>
      <c r="BF15">
        <v>35</v>
      </c>
      <c r="BG15">
        <v>26711.999999999996</v>
      </c>
      <c r="BH15">
        <v>33</v>
      </c>
      <c r="BI15">
        <v>25185.599999999999</v>
      </c>
      <c r="BJ15">
        <v>21</v>
      </c>
      <c r="BK15">
        <v>16027.199999999999</v>
      </c>
      <c r="BL15">
        <v>27</v>
      </c>
      <c r="BM15">
        <v>20606.399999999998</v>
      </c>
      <c r="BN15">
        <v>24</v>
      </c>
      <c r="BO15">
        <v>18316.8</v>
      </c>
      <c r="BP15">
        <v>39</v>
      </c>
      <c r="BQ15">
        <v>29764.799999999996</v>
      </c>
      <c r="BR15">
        <v>27</v>
      </c>
      <c r="BS15">
        <v>20606.399999999998</v>
      </c>
      <c r="BT15">
        <v>18</v>
      </c>
      <c r="BU15">
        <v>13737.599999999999</v>
      </c>
      <c r="BV15">
        <v>36</v>
      </c>
      <c r="BW15">
        <v>27475.199999999997</v>
      </c>
      <c r="BX15">
        <v>20</v>
      </c>
      <c r="BY15">
        <v>15263.999999999998</v>
      </c>
      <c r="BZ15">
        <v>31</v>
      </c>
      <c r="CA15">
        <v>23659.199999999997</v>
      </c>
      <c r="CB15">
        <v>31</v>
      </c>
      <c r="CC15">
        <v>23659.199999999997</v>
      </c>
      <c r="CD15">
        <v>41</v>
      </c>
      <c r="CE15">
        <v>31291.199999999997</v>
      </c>
      <c r="CF15">
        <v>27</v>
      </c>
      <c r="CG15">
        <v>20606.399999999998</v>
      </c>
      <c r="CH15">
        <v>22</v>
      </c>
      <c r="CI15">
        <v>16790.399999999998</v>
      </c>
      <c r="CJ15">
        <v>32</v>
      </c>
      <c r="CK15">
        <v>24422.399999999998</v>
      </c>
      <c r="CL15">
        <v>30</v>
      </c>
      <c r="CM15">
        <v>22895.999999999996</v>
      </c>
      <c r="CN15">
        <v>33</v>
      </c>
      <c r="CO15">
        <v>25185.599999999999</v>
      </c>
      <c r="CP15">
        <v>35</v>
      </c>
      <c r="CQ15">
        <v>26711.999999999996</v>
      </c>
      <c r="CR15">
        <v>31</v>
      </c>
      <c r="CS15">
        <v>23659.199999999997</v>
      </c>
      <c r="CT15">
        <v>25</v>
      </c>
      <c r="CU15">
        <v>19080</v>
      </c>
    </row>
    <row r="16" spans="1:99" x14ac:dyDescent="0.2">
      <c r="C16" s="116" t="s">
        <v>182</v>
      </c>
      <c r="D16">
        <v>18</v>
      </c>
      <c r="E16">
        <v>6134.4000000000005</v>
      </c>
      <c r="F16">
        <v>18</v>
      </c>
      <c r="G16">
        <v>6134.4000000000005</v>
      </c>
      <c r="H16">
        <v>22</v>
      </c>
      <c r="I16">
        <v>7497.6</v>
      </c>
      <c r="J16">
        <v>21</v>
      </c>
      <c r="K16">
        <v>7156.8</v>
      </c>
      <c r="L16">
        <v>18</v>
      </c>
      <c r="M16">
        <v>6134.4000000000005</v>
      </c>
      <c r="N16">
        <v>17</v>
      </c>
      <c r="O16">
        <v>5793.6</v>
      </c>
      <c r="P16">
        <v>28</v>
      </c>
      <c r="Q16">
        <v>9542.4</v>
      </c>
      <c r="R16">
        <v>30</v>
      </c>
      <c r="S16">
        <v>10224</v>
      </c>
      <c r="T16">
        <v>31</v>
      </c>
      <c r="U16">
        <v>10564.800000000001</v>
      </c>
      <c r="V16">
        <v>18</v>
      </c>
      <c r="W16">
        <v>6134.4000000000005</v>
      </c>
      <c r="X16">
        <v>34</v>
      </c>
      <c r="Y16">
        <v>11587.2</v>
      </c>
      <c r="Z16">
        <v>27</v>
      </c>
      <c r="AA16">
        <v>9201.6</v>
      </c>
      <c r="AB16">
        <v>38</v>
      </c>
      <c r="AC16">
        <v>12950.4</v>
      </c>
      <c r="AD16">
        <v>25</v>
      </c>
      <c r="AE16">
        <v>8520</v>
      </c>
      <c r="AF16">
        <v>20</v>
      </c>
      <c r="AG16">
        <v>6816</v>
      </c>
      <c r="AH16">
        <v>23</v>
      </c>
      <c r="AI16">
        <v>7838.4000000000005</v>
      </c>
      <c r="AJ16">
        <v>24</v>
      </c>
      <c r="AK16">
        <v>8179.2000000000007</v>
      </c>
      <c r="AL16">
        <v>22</v>
      </c>
      <c r="AM16">
        <v>7497.6</v>
      </c>
      <c r="AN16">
        <v>26</v>
      </c>
      <c r="AO16">
        <v>8860.8000000000011</v>
      </c>
      <c r="AP16">
        <v>37</v>
      </c>
      <c r="AQ16">
        <v>12609.6</v>
      </c>
      <c r="AR16">
        <v>21</v>
      </c>
      <c r="AS16">
        <v>7156.8</v>
      </c>
      <c r="AT16">
        <v>27</v>
      </c>
      <c r="AU16">
        <v>9201.6</v>
      </c>
      <c r="AV16">
        <v>21</v>
      </c>
      <c r="AW16">
        <v>7156.8</v>
      </c>
      <c r="AX16">
        <v>34</v>
      </c>
      <c r="AY16">
        <v>11587.2</v>
      </c>
      <c r="AZ16">
        <v>20</v>
      </c>
      <c r="BA16">
        <v>6816</v>
      </c>
      <c r="BB16">
        <v>23</v>
      </c>
      <c r="BC16">
        <v>7838.4000000000005</v>
      </c>
      <c r="BD16">
        <v>30</v>
      </c>
      <c r="BE16">
        <v>10224</v>
      </c>
      <c r="BF16">
        <v>35</v>
      </c>
      <c r="BG16">
        <v>11928</v>
      </c>
      <c r="BH16">
        <v>31</v>
      </c>
      <c r="BI16">
        <v>10564.800000000001</v>
      </c>
      <c r="BJ16">
        <v>23</v>
      </c>
      <c r="BK16">
        <v>7838.4000000000005</v>
      </c>
      <c r="BL16">
        <v>26</v>
      </c>
      <c r="BM16">
        <v>8860.8000000000011</v>
      </c>
      <c r="BN16">
        <v>23</v>
      </c>
      <c r="BO16">
        <v>7838.4000000000005</v>
      </c>
      <c r="BP16">
        <v>40</v>
      </c>
      <c r="BQ16">
        <v>13632</v>
      </c>
      <c r="BR16">
        <v>29</v>
      </c>
      <c r="BS16">
        <v>9883.2000000000007</v>
      </c>
      <c r="BT16">
        <v>21</v>
      </c>
      <c r="BU16">
        <v>7156.8</v>
      </c>
      <c r="BV16">
        <v>35</v>
      </c>
      <c r="BW16">
        <v>11928</v>
      </c>
      <c r="BX16">
        <v>21</v>
      </c>
      <c r="BY16">
        <v>7156.8</v>
      </c>
      <c r="BZ16">
        <v>28</v>
      </c>
      <c r="CA16">
        <v>9542.4</v>
      </c>
      <c r="CB16">
        <v>29</v>
      </c>
      <c r="CC16">
        <v>9883.2000000000007</v>
      </c>
      <c r="CD16">
        <v>39</v>
      </c>
      <c r="CE16">
        <v>13291.2</v>
      </c>
      <c r="CF16">
        <v>29</v>
      </c>
      <c r="CG16">
        <v>9883.2000000000007</v>
      </c>
      <c r="CH16">
        <v>27</v>
      </c>
      <c r="CI16">
        <v>9201.6</v>
      </c>
      <c r="CJ16">
        <v>33</v>
      </c>
      <c r="CK16">
        <v>11246.4</v>
      </c>
      <c r="CL16">
        <v>29</v>
      </c>
      <c r="CM16">
        <v>9883.2000000000007</v>
      </c>
      <c r="CN16">
        <v>36</v>
      </c>
      <c r="CO16">
        <v>12268.800000000001</v>
      </c>
      <c r="CP16">
        <v>35</v>
      </c>
      <c r="CQ16">
        <v>11928</v>
      </c>
      <c r="CR16">
        <v>35</v>
      </c>
      <c r="CS16">
        <v>11928</v>
      </c>
      <c r="CT16">
        <v>22</v>
      </c>
      <c r="CU16">
        <v>7497.6</v>
      </c>
    </row>
    <row r="17" spans="2:99" x14ac:dyDescent="0.2">
      <c r="C17" s="116" t="s">
        <v>183</v>
      </c>
      <c r="D17">
        <v>16</v>
      </c>
      <c r="E17">
        <v>6758.4</v>
      </c>
      <c r="F17">
        <v>19</v>
      </c>
      <c r="G17">
        <v>8025.5999999999995</v>
      </c>
      <c r="H17">
        <v>21</v>
      </c>
      <c r="I17">
        <v>8870.4</v>
      </c>
      <c r="J17">
        <v>20</v>
      </c>
      <c r="K17">
        <v>8448</v>
      </c>
      <c r="L17">
        <v>16</v>
      </c>
      <c r="M17">
        <v>6758.4</v>
      </c>
      <c r="N17">
        <v>20</v>
      </c>
      <c r="O17">
        <v>8448</v>
      </c>
      <c r="P17">
        <v>29</v>
      </c>
      <c r="Q17">
        <v>12249.599999999999</v>
      </c>
      <c r="R17">
        <v>29</v>
      </c>
      <c r="S17">
        <v>12249.599999999999</v>
      </c>
      <c r="T17">
        <v>34</v>
      </c>
      <c r="U17">
        <v>14361.599999999999</v>
      </c>
      <c r="V17">
        <v>18</v>
      </c>
      <c r="W17">
        <v>7603.2</v>
      </c>
      <c r="X17">
        <v>34</v>
      </c>
      <c r="Y17">
        <v>14361.599999999999</v>
      </c>
      <c r="Z17">
        <v>26</v>
      </c>
      <c r="AA17">
        <v>10982.4</v>
      </c>
      <c r="AB17">
        <v>37</v>
      </c>
      <c r="AC17">
        <v>15628.8</v>
      </c>
      <c r="AD17">
        <v>25</v>
      </c>
      <c r="AE17">
        <v>10560</v>
      </c>
      <c r="AF17">
        <v>19</v>
      </c>
      <c r="AG17">
        <v>8025.5999999999995</v>
      </c>
      <c r="AH17">
        <v>24</v>
      </c>
      <c r="AI17">
        <v>10137.599999999999</v>
      </c>
      <c r="AJ17">
        <v>22</v>
      </c>
      <c r="AK17">
        <v>9292.7999999999993</v>
      </c>
      <c r="AL17">
        <v>22</v>
      </c>
      <c r="AM17">
        <v>9292.7999999999993</v>
      </c>
      <c r="AN17">
        <v>28</v>
      </c>
      <c r="AO17">
        <v>11827.199999999999</v>
      </c>
      <c r="AP17">
        <v>33</v>
      </c>
      <c r="AQ17">
        <v>13939.199999999999</v>
      </c>
      <c r="AR17">
        <v>20</v>
      </c>
      <c r="AS17">
        <v>8448</v>
      </c>
      <c r="AT17">
        <v>29</v>
      </c>
      <c r="AU17">
        <v>12249.599999999999</v>
      </c>
      <c r="AV17">
        <v>17</v>
      </c>
      <c r="AW17">
        <v>7180.7999999999993</v>
      </c>
      <c r="AX17">
        <v>30</v>
      </c>
      <c r="AY17">
        <v>12672</v>
      </c>
      <c r="AZ17">
        <v>19</v>
      </c>
      <c r="BA17">
        <v>8025.5999999999995</v>
      </c>
      <c r="BB17">
        <v>27</v>
      </c>
      <c r="BC17">
        <v>11404.8</v>
      </c>
      <c r="BD17">
        <v>31</v>
      </c>
      <c r="BE17">
        <v>13094.4</v>
      </c>
      <c r="BF17">
        <v>35</v>
      </c>
      <c r="BG17">
        <v>14784</v>
      </c>
      <c r="BH17">
        <v>31</v>
      </c>
      <c r="BI17">
        <v>13094.4</v>
      </c>
      <c r="BJ17">
        <v>23</v>
      </c>
      <c r="BK17">
        <v>9715.1999999999989</v>
      </c>
      <c r="BL17">
        <v>27</v>
      </c>
      <c r="BM17">
        <v>11404.8</v>
      </c>
      <c r="BN17">
        <v>24</v>
      </c>
      <c r="BO17">
        <v>10137.599999999999</v>
      </c>
      <c r="BP17">
        <v>35</v>
      </c>
      <c r="BQ17">
        <v>14784</v>
      </c>
      <c r="BR17">
        <v>27</v>
      </c>
      <c r="BS17">
        <v>11404.8</v>
      </c>
      <c r="BT17">
        <v>21</v>
      </c>
      <c r="BU17">
        <v>8870.4</v>
      </c>
      <c r="BV17">
        <v>36</v>
      </c>
      <c r="BW17">
        <v>15206.4</v>
      </c>
      <c r="BX17">
        <v>20</v>
      </c>
      <c r="BY17">
        <v>8448</v>
      </c>
      <c r="BZ17">
        <v>33</v>
      </c>
      <c r="CA17">
        <v>13939.199999999999</v>
      </c>
      <c r="CB17">
        <v>32</v>
      </c>
      <c r="CC17">
        <v>13516.8</v>
      </c>
      <c r="CD17">
        <v>35</v>
      </c>
      <c r="CE17">
        <v>14784</v>
      </c>
      <c r="CF17">
        <v>32</v>
      </c>
      <c r="CG17">
        <v>13516.8</v>
      </c>
      <c r="CH17">
        <v>25</v>
      </c>
      <c r="CI17">
        <v>10560</v>
      </c>
      <c r="CJ17">
        <v>30</v>
      </c>
      <c r="CK17">
        <v>12672</v>
      </c>
      <c r="CL17">
        <v>28</v>
      </c>
      <c r="CM17">
        <v>11827.199999999999</v>
      </c>
      <c r="CN17">
        <v>33</v>
      </c>
      <c r="CO17">
        <v>13939.199999999999</v>
      </c>
      <c r="CP17">
        <v>34</v>
      </c>
      <c r="CQ17">
        <v>14361.599999999999</v>
      </c>
      <c r="CR17">
        <v>33</v>
      </c>
      <c r="CS17">
        <v>13939.199999999999</v>
      </c>
      <c r="CT17">
        <v>22</v>
      </c>
      <c r="CU17">
        <v>9292.7999999999993</v>
      </c>
    </row>
    <row r="18" spans="2:99" x14ac:dyDescent="0.2">
      <c r="C18" s="116" t="s">
        <v>184</v>
      </c>
      <c r="D18">
        <v>16</v>
      </c>
      <c r="E18">
        <v>10444.799999999999</v>
      </c>
      <c r="F18">
        <v>16</v>
      </c>
      <c r="G18">
        <v>10444.799999999999</v>
      </c>
      <c r="H18">
        <v>21</v>
      </c>
      <c r="I18">
        <v>13708.8</v>
      </c>
      <c r="J18">
        <v>21</v>
      </c>
      <c r="K18">
        <v>13708.8</v>
      </c>
      <c r="L18">
        <v>17</v>
      </c>
      <c r="M18">
        <v>11097.599999999999</v>
      </c>
      <c r="N18">
        <v>19</v>
      </c>
      <c r="O18">
        <v>12403.199999999999</v>
      </c>
      <c r="P18">
        <v>28</v>
      </c>
      <c r="Q18">
        <v>18278.399999999998</v>
      </c>
      <c r="R18">
        <v>30</v>
      </c>
      <c r="S18">
        <v>19584</v>
      </c>
      <c r="T18">
        <v>30</v>
      </c>
      <c r="U18">
        <v>19584</v>
      </c>
      <c r="V18">
        <v>19</v>
      </c>
      <c r="W18">
        <v>12403.199999999999</v>
      </c>
      <c r="X18">
        <v>34</v>
      </c>
      <c r="Y18">
        <v>22195.199999999997</v>
      </c>
      <c r="Z18">
        <v>26</v>
      </c>
      <c r="AA18">
        <v>16972.8</v>
      </c>
      <c r="AB18">
        <v>33</v>
      </c>
      <c r="AC18">
        <v>21542.399999999998</v>
      </c>
      <c r="AD18">
        <v>26</v>
      </c>
      <c r="AE18">
        <v>16972.8</v>
      </c>
      <c r="AF18">
        <v>21</v>
      </c>
      <c r="AG18">
        <v>13708.8</v>
      </c>
      <c r="AH18">
        <v>23</v>
      </c>
      <c r="AI18">
        <v>15014.4</v>
      </c>
      <c r="AJ18">
        <v>19</v>
      </c>
      <c r="AK18">
        <v>12403.199999999999</v>
      </c>
      <c r="AL18">
        <v>21</v>
      </c>
      <c r="AM18">
        <v>13708.8</v>
      </c>
      <c r="AN18">
        <v>25</v>
      </c>
      <c r="AO18">
        <v>16319.999999999998</v>
      </c>
      <c r="AP18">
        <v>32</v>
      </c>
      <c r="AQ18">
        <v>20889.599999999999</v>
      </c>
      <c r="AR18">
        <v>18</v>
      </c>
      <c r="AS18">
        <v>11750.4</v>
      </c>
      <c r="AT18">
        <v>26</v>
      </c>
      <c r="AU18">
        <v>16972.8</v>
      </c>
      <c r="AV18">
        <v>17</v>
      </c>
      <c r="AW18">
        <v>11097.599999999999</v>
      </c>
      <c r="AX18">
        <v>30</v>
      </c>
      <c r="AY18">
        <v>19584</v>
      </c>
      <c r="AZ18">
        <v>20</v>
      </c>
      <c r="BA18">
        <v>13056</v>
      </c>
      <c r="BB18">
        <v>25</v>
      </c>
      <c r="BC18">
        <v>16319.999999999998</v>
      </c>
      <c r="BD18">
        <v>34</v>
      </c>
      <c r="BE18">
        <v>22195.199999999997</v>
      </c>
      <c r="BF18">
        <v>40</v>
      </c>
      <c r="BG18">
        <v>26112</v>
      </c>
      <c r="BH18">
        <v>34</v>
      </c>
      <c r="BI18">
        <v>22195.199999999997</v>
      </c>
      <c r="BJ18">
        <v>21</v>
      </c>
      <c r="BK18">
        <v>13708.8</v>
      </c>
      <c r="BL18">
        <v>28</v>
      </c>
      <c r="BM18">
        <v>18278.399999999998</v>
      </c>
      <c r="BN18">
        <v>24</v>
      </c>
      <c r="BO18">
        <v>15667.199999999999</v>
      </c>
      <c r="BP18">
        <v>38</v>
      </c>
      <c r="BQ18">
        <v>24806.399999999998</v>
      </c>
      <c r="BR18">
        <v>27</v>
      </c>
      <c r="BS18">
        <v>17625.599999999999</v>
      </c>
      <c r="BT18">
        <v>20</v>
      </c>
      <c r="BU18">
        <v>13056</v>
      </c>
      <c r="BV18">
        <v>36</v>
      </c>
      <c r="BW18">
        <v>23500.799999999999</v>
      </c>
      <c r="BX18">
        <v>19</v>
      </c>
      <c r="BY18">
        <v>12403.199999999999</v>
      </c>
      <c r="BZ18">
        <v>30</v>
      </c>
      <c r="CA18">
        <v>19584</v>
      </c>
      <c r="CB18">
        <v>30</v>
      </c>
      <c r="CC18">
        <v>19584</v>
      </c>
      <c r="CD18">
        <v>36</v>
      </c>
      <c r="CE18">
        <v>23500.799999999999</v>
      </c>
      <c r="CF18">
        <v>26</v>
      </c>
      <c r="CG18">
        <v>16972.8</v>
      </c>
      <c r="CH18">
        <v>25</v>
      </c>
      <c r="CI18">
        <v>16319.999999999998</v>
      </c>
      <c r="CJ18">
        <v>33</v>
      </c>
      <c r="CK18">
        <v>21542.399999999998</v>
      </c>
      <c r="CL18">
        <v>32</v>
      </c>
      <c r="CM18">
        <v>20889.599999999999</v>
      </c>
      <c r="CN18">
        <v>31</v>
      </c>
      <c r="CO18">
        <v>20236.8</v>
      </c>
      <c r="CP18">
        <v>35</v>
      </c>
      <c r="CQ18">
        <v>22848</v>
      </c>
      <c r="CR18">
        <v>31</v>
      </c>
      <c r="CS18">
        <v>20236.8</v>
      </c>
      <c r="CT18">
        <v>23</v>
      </c>
      <c r="CU18">
        <v>15014.4</v>
      </c>
    </row>
    <row r="19" spans="2:99" x14ac:dyDescent="0.2">
      <c r="C19" s="116" t="s">
        <v>185</v>
      </c>
      <c r="D19">
        <v>18</v>
      </c>
      <c r="E19">
        <v>5940</v>
      </c>
      <c r="F19">
        <v>19</v>
      </c>
      <c r="G19">
        <v>6270</v>
      </c>
      <c r="H19">
        <v>22</v>
      </c>
      <c r="I19">
        <v>7260</v>
      </c>
      <c r="J19">
        <v>23</v>
      </c>
      <c r="K19">
        <v>7590</v>
      </c>
      <c r="L19">
        <v>18</v>
      </c>
      <c r="M19">
        <v>5940</v>
      </c>
      <c r="N19">
        <v>17</v>
      </c>
      <c r="O19">
        <v>5610</v>
      </c>
      <c r="P19">
        <v>28</v>
      </c>
      <c r="Q19">
        <v>9240</v>
      </c>
      <c r="R19">
        <v>32</v>
      </c>
      <c r="S19">
        <v>10560</v>
      </c>
      <c r="T19">
        <v>30</v>
      </c>
      <c r="U19">
        <v>9900</v>
      </c>
      <c r="V19">
        <v>20</v>
      </c>
      <c r="W19">
        <v>6600</v>
      </c>
      <c r="X19">
        <v>34</v>
      </c>
      <c r="Y19">
        <v>11220</v>
      </c>
      <c r="Z19">
        <v>25</v>
      </c>
      <c r="AA19">
        <v>8250</v>
      </c>
      <c r="AB19">
        <v>36</v>
      </c>
      <c r="AC19">
        <v>11880</v>
      </c>
      <c r="AD19">
        <v>26</v>
      </c>
      <c r="AE19">
        <v>8580</v>
      </c>
      <c r="AF19">
        <v>19</v>
      </c>
      <c r="AG19">
        <v>6270</v>
      </c>
      <c r="AH19">
        <v>23</v>
      </c>
      <c r="AI19">
        <v>7590</v>
      </c>
      <c r="AJ19">
        <v>23</v>
      </c>
      <c r="AK19">
        <v>7590</v>
      </c>
      <c r="AL19">
        <v>22</v>
      </c>
      <c r="AM19">
        <v>7260</v>
      </c>
      <c r="AN19">
        <v>27</v>
      </c>
      <c r="AO19">
        <v>8910</v>
      </c>
      <c r="AP19">
        <v>31</v>
      </c>
      <c r="AQ19">
        <v>10230</v>
      </c>
      <c r="AR19">
        <v>21</v>
      </c>
      <c r="AS19">
        <v>6930</v>
      </c>
      <c r="AT19">
        <v>27</v>
      </c>
      <c r="AU19">
        <v>8910</v>
      </c>
      <c r="AV19">
        <v>19</v>
      </c>
      <c r="AW19">
        <v>6270</v>
      </c>
      <c r="AX19">
        <v>32</v>
      </c>
      <c r="AY19">
        <v>10560</v>
      </c>
      <c r="AZ19">
        <v>23</v>
      </c>
      <c r="BA19">
        <v>7590</v>
      </c>
      <c r="BB19">
        <v>23</v>
      </c>
      <c r="BC19">
        <v>7590</v>
      </c>
      <c r="BD19">
        <v>30</v>
      </c>
      <c r="BE19">
        <v>9900</v>
      </c>
      <c r="BF19">
        <v>38</v>
      </c>
      <c r="BG19">
        <v>12540</v>
      </c>
      <c r="BH19">
        <v>33</v>
      </c>
      <c r="BI19">
        <v>10890</v>
      </c>
      <c r="BJ19">
        <v>24</v>
      </c>
      <c r="BK19">
        <v>7920</v>
      </c>
      <c r="BL19">
        <v>28</v>
      </c>
      <c r="BM19">
        <v>9240</v>
      </c>
      <c r="BN19">
        <v>22</v>
      </c>
      <c r="BO19">
        <v>7260</v>
      </c>
      <c r="BP19">
        <v>39</v>
      </c>
      <c r="BQ19">
        <v>12870</v>
      </c>
      <c r="BR19">
        <v>28</v>
      </c>
      <c r="BS19">
        <v>9240</v>
      </c>
      <c r="BT19">
        <v>20</v>
      </c>
      <c r="BU19">
        <v>6600</v>
      </c>
      <c r="BV19">
        <v>38</v>
      </c>
      <c r="BW19">
        <v>12540</v>
      </c>
      <c r="BX19">
        <v>23</v>
      </c>
      <c r="BY19">
        <v>7590</v>
      </c>
      <c r="BZ19">
        <v>32</v>
      </c>
      <c r="CA19">
        <v>10560</v>
      </c>
      <c r="CB19">
        <v>34</v>
      </c>
      <c r="CC19">
        <v>11220</v>
      </c>
      <c r="CD19">
        <v>35</v>
      </c>
      <c r="CE19">
        <v>11550</v>
      </c>
      <c r="CF19">
        <v>30</v>
      </c>
      <c r="CG19">
        <v>9900</v>
      </c>
      <c r="CH19">
        <v>24</v>
      </c>
      <c r="CI19">
        <v>7920</v>
      </c>
      <c r="CJ19">
        <v>34</v>
      </c>
      <c r="CK19">
        <v>11220</v>
      </c>
      <c r="CL19">
        <v>31</v>
      </c>
      <c r="CM19">
        <v>10230</v>
      </c>
      <c r="CN19">
        <v>32</v>
      </c>
      <c r="CO19">
        <v>10560</v>
      </c>
      <c r="CP19">
        <v>35</v>
      </c>
      <c r="CQ19">
        <v>11550</v>
      </c>
      <c r="CR19">
        <v>32</v>
      </c>
      <c r="CS19">
        <v>10560</v>
      </c>
      <c r="CT19">
        <v>25</v>
      </c>
      <c r="CU19">
        <v>8250</v>
      </c>
    </row>
    <row r="20" spans="2:99" x14ac:dyDescent="0.2">
      <c r="B20" s="116" t="s">
        <v>127</v>
      </c>
      <c r="C20" s="116" t="s">
        <v>186</v>
      </c>
      <c r="D20">
        <v>40</v>
      </c>
      <c r="E20">
        <v>11472</v>
      </c>
      <c r="F20">
        <v>31</v>
      </c>
      <c r="G20">
        <v>8890.8000000000011</v>
      </c>
      <c r="H20">
        <v>47</v>
      </c>
      <c r="I20">
        <v>13479.6</v>
      </c>
      <c r="J20">
        <v>45</v>
      </c>
      <c r="K20">
        <v>12906</v>
      </c>
      <c r="L20">
        <v>46</v>
      </c>
      <c r="M20">
        <v>13192.800000000001</v>
      </c>
      <c r="N20">
        <v>39</v>
      </c>
      <c r="O20">
        <v>11185.2</v>
      </c>
      <c r="P20">
        <v>40</v>
      </c>
      <c r="Q20">
        <v>11472</v>
      </c>
      <c r="R20">
        <v>44</v>
      </c>
      <c r="S20">
        <v>12619.2</v>
      </c>
      <c r="T20">
        <v>50</v>
      </c>
      <c r="U20">
        <v>14340</v>
      </c>
      <c r="V20">
        <v>39</v>
      </c>
      <c r="W20">
        <v>11185.2</v>
      </c>
      <c r="X20">
        <v>45</v>
      </c>
      <c r="Y20">
        <v>12906</v>
      </c>
      <c r="Z20">
        <v>41</v>
      </c>
      <c r="AA20">
        <v>11758.800000000001</v>
      </c>
      <c r="AB20">
        <v>59</v>
      </c>
      <c r="AC20">
        <v>16921.2</v>
      </c>
      <c r="AD20">
        <v>33</v>
      </c>
      <c r="AE20">
        <v>9464.4</v>
      </c>
      <c r="AF20">
        <v>39</v>
      </c>
      <c r="AG20">
        <v>11185.2</v>
      </c>
      <c r="AH20">
        <v>33</v>
      </c>
      <c r="AI20">
        <v>9464.4</v>
      </c>
      <c r="AJ20">
        <v>49</v>
      </c>
      <c r="AK20">
        <v>14053.2</v>
      </c>
      <c r="AL20">
        <v>41</v>
      </c>
      <c r="AM20">
        <v>11758.800000000001</v>
      </c>
      <c r="AN20">
        <v>59</v>
      </c>
      <c r="AO20">
        <v>16921.2</v>
      </c>
      <c r="AP20">
        <v>45</v>
      </c>
      <c r="AQ20">
        <v>12906</v>
      </c>
      <c r="AR20">
        <v>38</v>
      </c>
      <c r="AS20">
        <v>10898.4</v>
      </c>
      <c r="AT20">
        <v>41</v>
      </c>
      <c r="AU20">
        <v>11758.800000000001</v>
      </c>
      <c r="AV20">
        <v>41</v>
      </c>
      <c r="AW20">
        <v>11758.800000000001</v>
      </c>
      <c r="AX20">
        <v>41</v>
      </c>
      <c r="AY20">
        <v>11758.800000000001</v>
      </c>
      <c r="AZ20">
        <v>49</v>
      </c>
      <c r="BA20">
        <v>14053.2</v>
      </c>
      <c r="BB20">
        <v>34</v>
      </c>
      <c r="BC20">
        <v>9751.2000000000007</v>
      </c>
      <c r="BD20">
        <v>43</v>
      </c>
      <c r="BE20">
        <v>12332.4</v>
      </c>
      <c r="BF20">
        <v>32</v>
      </c>
      <c r="BG20">
        <v>9177.6</v>
      </c>
      <c r="BH20">
        <v>34</v>
      </c>
      <c r="BI20">
        <v>9751.2000000000007</v>
      </c>
      <c r="BJ20">
        <v>47</v>
      </c>
      <c r="BK20">
        <v>13479.6</v>
      </c>
      <c r="BL20">
        <v>51</v>
      </c>
      <c r="BM20">
        <v>14626.800000000001</v>
      </c>
      <c r="BN20">
        <v>58</v>
      </c>
      <c r="BO20">
        <v>16634.400000000001</v>
      </c>
      <c r="BP20">
        <v>57</v>
      </c>
      <c r="BQ20">
        <v>16347.6</v>
      </c>
      <c r="BR20">
        <v>49</v>
      </c>
      <c r="BS20">
        <v>14053.2</v>
      </c>
      <c r="BT20">
        <v>44</v>
      </c>
      <c r="BU20">
        <v>12619.2</v>
      </c>
      <c r="BV20">
        <v>49</v>
      </c>
      <c r="BW20">
        <v>14053.2</v>
      </c>
      <c r="BX20">
        <v>35</v>
      </c>
      <c r="BY20">
        <v>10038</v>
      </c>
      <c r="BZ20">
        <v>45</v>
      </c>
      <c r="CA20">
        <v>12906</v>
      </c>
      <c r="CB20">
        <v>34</v>
      </c>
      <c r="CC20">
        <v>9751.2000000000007</v>
      </c>
      <c r="CD20">
        <v>41</v>
      </c>
      <c r="CE20">
        <v>11758.800000000001</v>
      </c>
      <c r="CF20">
        <v>55</v>
      </c>
      <c r="CG20">
        <v>15774</v>
      </c>
      <c r="CH20">
        <v>37</v>
      </c>
      <c r="CI20">
        <v>10611.6</v>
      </c>
      <c r="CJ20">
        <v>55</v>
      </c>
      <c r="CK20">
        <v>15774</v>
      </c>
      <c r="CL20">
        <v>49</v>
      </c>
      <c r="CM20">
        <v>14053.2</v>
      </c>
      <c r="CN20">
        <v>46</v>
      </c>
      <c r="CO20">
        <v>13192.800000000001</v>
      </c>
      <c r="CP20">
        <v>51</v>
      </c>
      <c r="CQ20">
        <v>14626.800000000001</v>
      </c>
      <c r="CR20">
        <v>46</v>
      </c>
      <c r="CS20">
        <v>13192.800000000001</v>
      </c>
      <c r="CT20">
        <v>48</v>
      </c>
      <c r="CU20">
        <v>13766.400000000001</v>
      </c>
    </row>
    <row r="21" spans="2:99" x14ac:dyDescent="0.2">
      <c r="C21" s="116" t="s">
        <v>187</v>
      </c>
      <c r="D21">
        <v>40</v>
      </c>
      <c r="E21">
        <v>2496</v>
      </c>
      <c r="F21">
        <v>30</v>
      </c>
      <c r="G21">
        <v>1872</v>
      </c>
      <c r="H21">
        <v>48</v>
      </c>
      <c r="I21">
        <v>2995.2</v>
      </c>
      <c r="J21">
        <v>51</v>
      </c>
      <c r="K21">
        <v>3182.4</v>
      </c>
      <c r="L21">
        <v>45</v>
      </c>
      <c r="M21">
        <v>2808</v>
      </c>
      <c r="N21">
        <v>47</v>
      </c>
      <c r="O21">
        <v>2932.7999999999997</v>
      </c>
      <c r="P21">
        <v>41</v>
      </c>
      <c r="Q21">
        <v>2558.4</v>
      </c>
      <c r="R21">
        <v>41</v>
      </c>
      <c r="S21">
        <v>2558.4</v>
      </c>
      <c r="T21">
        <v>46</v>
      </c>
      <c r="U21">
        <v>2870.4</v>
      </c>
      <c r="V21">
        <v>41</v>
      </c>
      <c r="W21">
        <v>2558.4</v>
      </c>
      <c r="X21">
        <v>42</v>
      </c>
      <c r="Y21">
        <v>2620.7999999999997</v>
      </c>
      <c r="Z21">
        <v>47</v>
      </c>
      <c r="AA21">
        <v>2932.7999999999997</v>
      </c>
      <c r="AB21">
        <v>52</v>
      </c>
      <c r="AC21">
        <v>3244.7999999999997</v>
      </c>
      <c r="AD21">
        <v>33</v>
      </c>
      <c r="AE21">
        <v>2059.1999999999998</v>
      </c>
      <c r="AF21">
        <v>38</v>
      </c>
      <c r="AG21">
        <v>2371.1999999999998</v>
      </c>
      <c r="AH21">
        <v>34</v>
      </c>
      <c r="AI21">
        <v>2121.6</v>
      </c>
      <c r="AJ21">
        <v>56</v>
      </c>
      <c r="AK21">
        <v>3494.4</v>
      </c>
      <c r="AL21">
        <v>41</v>
      </c>
      <c r="AM21">
        <v>2558.4</v>
      </c>
      <c r="AN21">
        <v>61</v>
      </c>
      <c r="AO21">
        <v>3806.4</v>
      </c>
      <c r="AP21">
        <v>45</v>
      </c>
      <c r="AQ21">
        <v>2808</v>
      </c>
      <c r="AR21">
        <v>43</v>
      </c>
      <c r="AS21">
        <v>2683.2</v>
      </c>
      <c r="AT21">
        <v>42</v>
      </c>
      <c r="AU21">
        <v>2620.7999999999997</v>
      </c>
      <c r="AV21">
        <v>43</v>
      </c>
      <c r="AW21">
        <v>2683.2</v>
      </c>
      <c r="AX21">
        <v>46</v>
      </c>
      <c r="AY21">
        <v>2870.4</v>
      </c>
      <c r="AZ21">
        <v>47</v>
      </c>
      <c r="BA21">
        <v>2932.7999999999997</v>
      </c>
      <c r="BB21">
        <v>39</v>
      </c>
      <c r="BC21">
        <v>2433.6</v>
      </c>
      <c r="BD21">
        <v>43</v>
      </c>
      <c r="BE21">
        <v>2683.2</v>
      </c>
      <c r="BF21">
        <v>35</v>
      </c>
      <c r="BG21">
        <v>2184</v>
      </c>
      <c r="BH21">
        <v>34</v>
      </c>
      <c r="BI21">
        <v>2121.6</v>
      </c>
      <c r="BJ21">
        <v>49</v>
      </c>
      <c r="BK21">
        <v>3057.6</v>
      </c>
      <c r="BL21">
        <v>51</v>
      </c>
      <c r="BM21">
        <v>3182.4</v>
      </c>
      <c r="BN21">
        <v>65</v>
      </c>
      <c r="BO21">
        <v>4056</v>
      </c>
      <c r="BP21">
        <v>56</v>
      </c>
      <c r="BQ21">
        <v>3494.4</v>
      </c>
      <c r="BR21">
        <v>59</v>
      </c>
      <c r="BS21">
        <v>3681.6</v>
      </c>
      <c r="BT21">
        <v>46</v>
      </c>
      <c r="BU21">
        <v>2870.4</v>
      </c>
      <c r="BV21">
        <v>53</v>
      </c>
      <c r="BW21">
        <v>3307.2</v>
      </c>
      <c r="BX21">
        <v>41</v>
      </c>
      <c r="BY21">
        <v>2558.4</v>
      </c>
      <c r="BZ21">
        <v>48</v>
      </c>
      <c r="CA21">
        <v>2995.2</v>
      </c>
      <c r="CB21">
        <v>36</v>
      </c>
      <c r="CC21">
        <v>2246.4</v>
      </c>
      <c r="CD21">
        <v>35</v>
      </c>
      <c r="CE21">
        <v>2184</v>
      </c>
      <c r="CF21">
        <v>61</v>
      </c>
      <c r="CG21">
        <v>3806.4</v>
      </c>
      <c r="CH21">
        <v>41</v>
      </c>
      <c r="CI21">
        <v>2558.4</v>
      </c>
      <c r="CJ21">
        <v>54</v>
      </c>
      <c r="CK21">
        <v>3369.6</v>
      </c>
      <c r="CL21">
        <v>51</v>
      </c>
      <c r="CM21">
        <v>3182.4</v>
      </c>
      <c r="CN21">
        <v>44</v>
      </c>
      <c r="CO21">
        <v>2745.6</v>
      </c>
      <c r="CP21">
        <v>57</v>
      </c>
      <c r="CQ21">
        <v>3556.7999999999997</v>
      </c>
      <c r="CR21">
        <v>52</v>
      </c>
      <c r="CS21">
        <v>3244.7999999999997</v>
      </c>
      <c r="CT21">
        <v>51</v>
      </c>
      <c r="CU21">
        <v>3182.4</v>
      </c>
    </row>
    <row r="22" spans="2:99" x14ac:dyDescent="0.2">
      <c r="C22" s="116" t="s">
        <v>188</v>
      </c>
      <c r="D22">
        <v>38</v>
      </c>
      <c r="E22">
        <v>7113.5999999999995</v>
      </c>
      <c r="F22">
        <v>29</v>
      </c>
      <c r="G22">
        <v>5428.7999999999993</v>
      </c>
      <c r="H22">
        <v>50</v>
      </c>
      <c r="I22">
        <v>9360</v>
      </c>
      <c r="J22">
        <v>55</v>
      </c>
      <c r="K22">
        <v>10296</v>
      </c>
      <c r="L22">
        <v>48</v>
      </c>
      <c r="M22">
        <v>8985.5999999999985</v>
      </c>
      <c r="N22">
        <v>45</v>
      </c>
      <c r="O22">
        <v>8424</v>
      </c>
      <c r="P22">
        <v>41</v>
      </c>
      <c r="Q22">
        <v>7675.2</v>
      </c>
      <c r="R22">
        <v>45</v>
      </c>
      <c r="S22">
        <v>8424</v>
      </c>
      <c r="T22">
        <v>50</v>
      </c>
      <c r="U22">
        <v>9360</v>
      </c>
      <c r="V22">
        <v>41</v>
      </c>
      <c r="W22">
        <v>7675.2</v>
      </c>
      <c r="X22">
        <v>43</v>
      </c>
      <c r="Y22">
        <v>8049.5999999999995</v>
      </c>
      <c r="Z22">
        <v>47</v>
      </c>
      <c r="AA22">
        <v>8798.4</v>
      </c>
      <c r="AB22">
        <v>57</v>
      </c>
      <c r="AC22">
        <v>10670.4</v>
      </c>
      <c r="AD22">
        <v>31</v>
      </c>
      <c r="AE22">
        <v>5803.2</v>
      </c>
      <c r="AF22">
        <v>41</v>
      </c>
      <c r="AG22">
        <v>7675.2</v>
      </c>
      <c r="AH22">
        <v>29</v>
      </c>
      <c r="AI22">
        <v>5428.7999999999993</v>
      </c>
      <c r="AJ22">
        <v>46</v>
      </c>
      <c r="AK22">
        <v>8611.1999999999989</v>
      </c>
      <c r="AL22">
        <v>42</v>
      </c>
      <c r="AM22">
        <v>7862.4</v>
      </c>
      <c r="AN22">
        <v>60</v>
      </c>
      <c r="AO22">
        <v>11232</v>
      </c>
      <c r="AP22">
        <v>41</v>
      </c>
      <c r="AQ22">
        <v>7675.2</v>
      </c>
      <c r="AR22">
        <v>38</v>
      </c>
      <c r="AS22">
        <v>7113.5999999999995</v>
      </c>
      <c r="AT22">
        <v>39</v>
      </c>
      <c r="AU22">
        <v>7300.7999999999993</v>
      </c>
      <c r="AV22">
        <v>43</v>
      </c>
      <c r="AW22">
        <v>8049.5999999999995</v>
      </c>
      <c r="AX22">
        <v>41</v>
      </c>
      <c r="AY22">
        <v>7675.2</v>
      </c>
      <c r="AZ22">
        <v>49</v>
      </c>
      <c r="BA22">
        <v>9172.7999999999993</v>
      </c>
      <c r="BB22">
        <v>38</v>
      </c>
      <c r="BC22">
        <v>7113.5999999999995</v>
      </c>
      <c r="BD22">
        <v>41</v>
      </c>
      <c r="BE22">
        <v>7675.2</v>
      </c>
      <c r="BF22">
        <v>33</v>
      </c>
      <c r="BG22">
        <v>6177.5999999999995</v>
      </c>
      <c r="BH22">
        <v>32</v>
      </c>
      <c r="BI22">
        <v>5990.4</v>
      </c>
      <c r="BJ22">
        <v>47</v>
      </c>
      <c r="BK22">
        <v>8798.4</v>
      </c>
      <c r="BL22">
        <v>52</v>
      </c>
      <c r="BM22">
        <v>9734.4</v>
      </c>
      <c r="BN22">
        <v>63</v>
      </c>
      <c r="BO22">
        <v>11793.599999999999</v>
      </c>
      <c r="BP22">
        <v>52</v>
      </c>
      <c r="BQ22">
        <v>9734.4</v>
      </c>
      <c r="BR22">
        <v>51</v>
      </c>
      <c r="BS22">
        <v>9547.1999999999989</v>
      </c>
      <c r="BT22">
        <v>48</v>
      </c>
      <c r="BU22">
        <v>8985.5999999999985</v>
      </c>
      <c r="BV22">
        <v>50</v>
      </c>
      <c r="BW22">
        <v>9360</v>
      </c>
      <c r="BX22">
        <v>36</v>
      </c>
      <c r="BY22">
        <v>6739.2</v>
      </c>
      <c r="BZ22">
        <v>42</v>
      </c>
      <c r="CA22">
        <v>7862.4</v>
      </c>
      <c r="CB22">
        <v>36</v>
      </c>
      <c r="CC22">
        <v>6739.2</v>
      </c>
      <c r="CD22">
        <v>35</v>
      </c>
      <c r="CE22">
        <v>6552</v>
      </c>
      <c r="CF22">
        <v>65</v>
      </c>
      <c r="CG22">
        <v>12168</v>
      </c>
      <c r="CH22">
        <v>38</v>
      </c>
      <c r="CI22">
        <v>7113.5999999999995</v>
      </c>
      <c r="CJ22">
        <v>56</v>
      </c>
      <c r="CK22">
        <v>10483.199999999999</v>
      </c>
      <c r="CL22">
        <v>51</v>
      </c>
      <c r="CM22">
        <v>9547.1999999999989</v>
      </c>
      <c r="CN22">
        <v>49</v>
      </c>
      <c r="CO22">
        <v>9172.7999999999993</v>
      </c>
      <c r="CP22">
        <v>52</v>
      </c>
      <c r="CQ22">
        <v>9734.4</v>
      </c>
      <c r="CR22">
        <v>46</v>
      </c>
      <c r="CS22">
        <v>8611.1999999999989</v>
      </c>
      <c r="CT22">
        <v>56</v>
      </c>
      <c r="CU22">
        <v>10483.199999999999</v>
      </c>
    </row>
    <row r="23" spans="2:99" x14ac:dyDescent="0.2">
      <c r="C23" s="116" t="s">
        <v>189</v>
      </c>
      <c r="D23">
        <v>37</v>
      </c>
      <c r="E23">
        <v>10878</v>
      </c>
      <c r="F23">
        <v>28</v>
      </c>
      <c r="G23">
        <v>8232</v>
      </c>
      <c r="H23">
        <v>47</v>
      </c>
      <c r="I23">
        <v>13818</v>
      </c>
      <c r="J23">
        <v>53</v>
      </c>
      <c r="K23">
        <v>15582</v>
      </c>
      <c r="L23">
        <v>51</v>
      </c>
      <c r="M23">
        <v>14994</v>
      </c>
      <c r="N23">
        <v>44</v>
      </c>
      <c r="O23">
        <v>12936</v>
      </c>
      <c r="P23">
        <v>44</v>
      </c>
      <c r="Q23">
        <v>12936</v>
      </c>
      <c r="R23">
        <v>43</v>
      </c>
      <c r="S23">
        <v>12642</v>
      </c>
      <c r="T23">
        <v>55</v>
      </c>
      <c r="U23">
        <v>16170</v>
      </c>
      <c r="V23">
        <v>45</v>
      </c>
      <c r="W23">
        <v>13230</v>
      </c>
      <c r="X23">
        <v>39</v>
      </c>
      <c r="Y23">
        <v>11466</v>
      </c>
      <c r="Z23">
        <v>41</v>
      </c>
      <c r="AA23">
        <v>12054</v>
      </c>
      <c r="AB23">
        <v>60</v>
      </c>
      <c r="AC23">
        <v>17640</v>
      </c>
      <c r="AD23">
        <v>28</v>
      </c>
      <c r="AE23">
        <v>8232</v>
      </c>
      <c r="AF23">
        <v>36</v>
      </c>
      <c r="AG23">
        <v>10584</v>
      </c>
      <c r="AH23">
        <v>32</v>
      </c>
      <c r="AI23">
        <v>9408</v>
      </c>
      <c r="AJ23">
        <v>52</v>
      </c>
      <c r="AK23">
        <v>15288</v>
      </c>
      <c r="AL23">
        <v>45</v>
      </c>
      <c r="AM23">
        <v>13230</v>
      </c>
      <c r="AN23">
        <v>62</v>
      </c>
      <c r="AO23">
        <v>18228</v>
      </c>
      <c r="AP23">
        <v>45</v>
      </c>
      <c r="AQ23">
        <v>13230</v>
      </c>
      <c r="AR23">
        <v>37</v>
      </c>
      <c r="AS23">
        <v>10878</v>
      </c>
      <c r="AT23">
        <v>38</v>
      </c>
      <c r="AU23">
        <v>11172</v>
      </c>
      <c r="AV23">
        <v>41</v>
      </c>
      <c r="AW23">
        <v>12054</v>
      </c>
      <c r="AX23">
        <v>48</v>
      </c>
      <c r="AY23">
        <v>14112</v>
      </c>
      <c r="AZ23">
        <v>50</v>
      </c>
      <c r="BA23">
        <v>14700</v>
      </c>
      <c r="BB23">
        <v>37</v>
      </c>
      <c r="BC23">
        <v>10878</v>
      </c>
      <c r="BD23">
        <v>38</v>
      </c>
      <c r="BE23">
        <v>11172</v>
      </c>
      <c r="BF23">
        <v>34</v>
      </c>
      <c r="BG23">
        <v>9996</v>
      </c>
      <c r="BH23">
        <v>36</v>
      </c>
      <c r="BI23">
        <v>10584</v>
      </c>
      <c r="BJ23">
        <v>43</v>
      </c>
      <c r="BK23">
        <v>12642</v>
      </c>
      <c r="BL23">
        <v>51</v>
      </c>
      <c r="BM23">
        <v>14994</v>
      </c>
      <c r="BN23">
        <v>56</v>
      </c>
      <c r="BO23">
        <v>16464</v>
      </c>
      <c r="BP23">
        <v>53</v>
      </c>
      <c r="BQ23">
        <v>15582</v>
      </c>
      <c r="BR23">
        <v>52</v>
      </c>
      <c r="BS23">
        <v>15288</v>
      </c>
      <c r="BT23">
        <v>43</v>
      </c>
      <c r="BU23">
        <v>12642</v>
      </c>
      <c r="BV23">
        <v>51</v>
      </c>
      <c r="BW23">
        <v>14994</v>
      </c>
      <c r="BX23">
        <v>38</v>
      </c>
      <c r="BY23">
        <v>11172</v>
      </c>
      <c r="BZ23">
        <v>39</v>
      </c>
      <c r="CA23">
        <v>11466</v>
      </c>
      <c r="CB23">
        <v>34</v>
      </c>
      <c r="CC23">
        <v>9996</v>
      </c>
      <c r="CD23">
        <v>39</v>
      </c>
      <c r="CE23">
        <v>11466</v>
      </c>
      <c r="CF23">
        <v>55</v>
      </c>
      <c r="CG23">
        <v>16170</v>
      </c>
      <c r="CH23">
        <v>37</v>
      </c>
      <c r="CI23">
        <v>10878</v>
      </c>
      <c r="CJ23">
        <v>47</v>
      </c>
      <c r="CK23">
        <v>13818</v>
      </c>
      <c r="CL23">
        <v>45</v>
      </c>
      <c r="CM23">
        <v>13230</v>
      </c>
      <c r="CN23">
        <v>49</v>
      </c>
      <c r="CO23">
        <v>14406</v>
      </c>
      <c r="CP23">
        <v>55</v>
      </c>
      <c r="CQ23">
        <v>16170</v>
      </c>
      <c r="CR23">
        <v>48</v>
      </c>
      <c r="CS23">
        <v>14112</v>
      </c>
      <c r="CT23">
        <v>53</v>
      </c>
      <c r="CU23">
        <v>15582</v>
      </c>
    </row>
    <row r="24" spans="2:99" x14ac:dyDescent="0.2">
      <c r="C24" s="116" t="s">
        <v>190</v>
      </c>
      <c r="D24">
        <v>41</v>
      </c>
      <c r="E24">
        <v>15055.199999999999</v>
      </c>
      <c r="F24">
        <v>27</v>
      </c>
      <c r="G24">
        <v>9914.4</v>
      </c>
      <c r="H24">
        <v>47</v>
      </c>
      <c r="I24">
        <v>17258.399999999998</v>
      </c>
      <c r="J24">
        <v>45</v>
      </c>
      <c r="K24">
        <v>16524</v>
      </c>
      <c r="L24">
        <v>45</v>
      </c>
      <c r="M24">
        <v>16524</v>
      </c>
      <c r="N24">
        <v>45</v>
      </c>
      <c r="O24">
        <v>16524</v>
      </c>
      <c r="P24">
        <v>43</v>
      </c>
      <c r="Q24">
        <v>15789.6</v>
      </c>
      <c r="R24">
        <v>43</v>
      </c>
      <c r="S24">
        <v>15789.6</v>
      </c>
      <c r="T24">
        <v>51</v>
      </c>
      <c r="U24">
        <v>18727.2</v>
      </c>
      <c r="V24">
        <v>45</v>
      </c>
      <c r="W24">
        <v>16524</v>
      </c>
      <c r="X24">
        <v>41</v>
      </c>
      <c r="Y24">
        <v>15055.199999999999</v>
      </c>
      <c r="Z24">
        <v>44</v>
      </c>
      <c r="AA24">
        <v>16156.8</v>
      </c>
      <c r="AB24">
        <v>50</v>
      </c>
      <c r="AC24">
        <v>18360</v>
      </c>
      <c r="AD24">
        <v>33</v>
      </c>
      <c r="AE24">
        <v>12117.6</v>
      </c>
      <c r="AF24">
        <v>39</v>
      </c>
      <c r="AG24">
        <v>14320.8</v>
      </c>
      <c r="AH24">
        <v>30</v>
      </c>
      <c r="AI24">
        <v>11016</v>
      </c>
      <c r="AJ24">
        <v>52</v>
      </c>
      <c r="AK24">
        <v>19094.399999999998</v>
      </c>
      <c r="AL24">
        <v>39</v>
      </c>
      <c r="AM24">
        <v>14320.8</v>
      </c>
      <c r="AN24">
        <v>57</v>
      </c>
      <c r="AO24">
        <v>20930.399999999998</v>
      </c>
      <c r="AP24">
        <v>41</v>
      </c>
      <c r="AQ24">
        <v>15055.199999999999</v>
      </c>
      <c r="AR24">
        <v>39</v>
      </c>
      <c r="AS24">
        <v>14320.8</v>
      </c>
      <c r="AT24">
        <v>37</v>
      </c>
      <c r="AU24">
        <v>13586.4</v>
      </c>
      <c r="AV24">
        <v>45</v>
      </c>
      <c r="AW24">
        <v>16524</v>
      </c>
      <c r="AX24">
        <v>44</v>
      </c>
      <c r="AY24">
        <v>16156.8</v>
      </c>
      <c r="AZ24">
        <v>48</v>
      </c>
      <c r="BA24">
        <v>17625.599999999999</v>
      </c>
      <c r="BB24">
        <v>39</v>
      </c>
      <c r="BC24">
        <v>14320.8</v>
      </c>
      <c r="BD24">
        <v>38</v>
      </c>
      <c r="BE24">
        <v>13953.6</v>
      </c>
      <c r="BF24">
        <v>31</v>
      </c>
      <c r="BG24">
        <v>11383.199999999999</v>
      </c>
      <c r="BH24">
        <v>34</v>
      </c>
      <c r="BI24">
        <v>12484.8</v>
      </c>
      <c r="BJ24">
        <v>43</v>
      </c>
      <c r="BK24">
        <v>15789.6</v>
      </c>
      <c r="BL24">
        <v>51</v>
      </c>
      <c r="BM24">
        <v>18727.2</v>
      </c>
      <c r="BN24">
        <v>61</v>
      </c>
      <c r="BO24">
        <v>22399.200000000001</v>
      </c>
      <c r="BP24">
        <v>58</v>
      </c>
      <c r="BQ24">
        <v>21297.599999999999</v>
      </c>
      <c r="BR24">
        <v>49</v>
      </c>
      <c r="BS24">
        <v>17992.8</v>
      </c>
      <c r="BT24">
        <v>45</v>
      </c>
      <c r="BU24">
        <v>16524</v>
      </c>
      <c r="BV24">
        <v>48</v>
      </c>
      <c r="BW24">
        <v>17625.599999999999</v>
      </c>
      <c r="BX24">
        <v>36</v>
      </c>
      <c r="BY24">
        <v>13219.199999999999</v>
      </c>
      <c r="BZ24">
        <v>41</v>
      </c>
      <c r="CA24">
        <v>15055.199999999999</v>
      </c>
      <c r="CB24">
        <v>34</v>
      </c>
      <c r="CC24">
        <v>12484.8</v>
      </c>
      <c r="CD24">
        <v>38</v>
      </c>
      <c r="CE24">
        <v>13953.6</v>
      </c>
      <c r="CF24">
        <v>60</v>
      </c>
      <c r="CG24">
        <v>22032</v>
      </c>
      <c r="CH24">
        <v>36</v>
      </c>
      <c r="CI24">
        <v>13219.199999999999</v>
      </c>
      <c r="CJ24">
        <v>54</v>
      </c>
      <c r="CK24">
        <v>19828.8</v>
      </c>
      <c r="CL24">
        <v>45</v>
      </c>
      <c r="CM24">
        <v>16524</v>
      </c>
      <c r="CN24">
        <v>44</v>
      </c>
      <c r="CO24">
        <v>16156.8</v>
      </c>
      <c r="CP24">
        <v>54</v>
      </c>
      <c r="CQ24">
        <v>19828.8</v>
      </c>
      <c r="CR24">
        <v>48</v>
      </c>
      <c r="CS24">
        <v>17625.599999999999</v>
      </c>
      <c r="CT24">
        <v>48</v>
      </c>
      <c r="CU24">
        <v>17625.599999999999</v>
      </c>
    </row>
    <row r="25" spans="2:99" x14ac:dyDescent="0.2">
      <c r="C25" s="116" t="s">
        <v>191</v>
      </c>
      <c r="D25">
        <v>37</v>
      </c>
      <c r="E25">
        <v>19624.8</v>
      </c>
      <c r="F25">
        <v>28</v>
      </c>
      <c r="G25">
        <v>14851.199999999999</v>
      </c>
      <c r="H25">
        <v>46</v>
      </c>
      <c r="I25">
        <v>24398.399999999998</v>
      </c>
      <c r="J25">
        <v>52</v>
      </c>
      <c r="K25">
        <v>27580.799999999999</v>
      </c>
      <c r="L25">
        <v>44</v>
      </c>
      <c r="M25">
        <v>23337.599999999999</v>
      </c>
      <c r="N25">
        <v>40</v>
      </c>
      <c r="O25">
        <v>21216</v>
      </c>
      <c r="P25">
        <v>39</v>
      </c>
      <c r="Q25">
        <v>20685.599999999999</v>
      </c>
      <c r="R25">
        <v>43</v>
      </c>
      <c r="S25">
        <v>22807.200000000001</v>
      </c>
      <c r="T25">
        <v>51</v>
      </c>
      <c r="U25">
        <v>27050.399999999998</v>
      </c>
      <c r="V25">
        <v>39</v>
      </c>
      <c r="W25">
        <v>20685.599999999999</v>
      </c>
      <c r="X25">
        <v>43</v>
      </c>
      <c r="Y25">
        <v>22807.200000000001</v>
      </c>
      <c r="Z25">
        <v>47</v>
      </c>
      <c r="AA25">
        <v>24928.799999999999</v>
      </c>
      <c r="AB25">
        <v>57</v>
      </c>
      <c r="AC25">
        <v>30232.799999999999</v>
      </c>
      <c r="AD25">
        <v>31</v>
      </c>
      <c r="AE25">
        <v>16442.399999999998</v>
      </c>
      <c r="AF25">
        <v>36</v>
      </c>
      <c r="AG25">
        <v>19094.399999999998</v>
      </c>
      <c r="AH25">
        <v>30</v>
      </c>
      <c r="AI25">
        <v>15912</v>
      </c>
      <c r="AJ25">
        <v>52</v>
      </c>
      <c r="AK25">
        <v>27580.799999999999</v>
      </c>
      <c r="AL25">
        <v>40</v>
      </c>
      <c r="AM25">
        <v>21216</v>
      </c>
      <c r="AN25">
        <v>58</v>
      </c>
      <c r="AO25">
        <v>30763.199999999997</v>
      </c>
      <c r="AP25">
        <v>40</v>
      </c>
      <c r="AQ25">
        <v>21216</v>
      </c>
      <c r="AR25">
        <v>40</v>
      </c>
      <c r="AS25">
        <v>21216</v>
      </c>
      <c r="AT25">
        <v>40</v>
      </c>
      <c r="AU25">
        <v>21216</v>
      </c>
      <c r="AV25">
        <v>38</v>
      </c>
      <c r="AW25">
        <v>20155.2</v>
      </c>
      <c r="AX25">
        <v>42</v>
      </c>
      <c r="AY25">
        <v>22276.799999999999</v>
      </c>
      <c r="AZ25">
        <v>48</v>
      </c>
      <c r="BA25">
        <v>25459.199999999997</v>
      </c>
      <c r="BB25">
        <v>37</v>
      </c>
      <c r="BC25">
        <v>19624.8</v>
      </c>
      <c r="BD25">
        <v>41</v>
      </c>
      <c r="BE25">
        <v>21746.399999999998</v>
      </c>
      <c r="BF25">
        <v>32</v>
      </c>
      <c r="BG25">
        <v>16972.8</v>
      </c>
      <c r="BH25">
        <v>36</v>
      </c>
      <c r="BI25">
        <v>19094.399999999998</v>
      </c>
      <c r="BJ25">
        <v>44</v>
      </c>
      <c r="BK25">
        <v>23337.599999999999</v>
      </c>
      <c r="BL25">
        <v>44</v>
      </c>
      <c r="BM25">
        <v>23337.599999999999</v>
      </c>
      <c r="BN25">
        <v>58</v>
      </c>
      <c r="BO25">
        <v>30763.199999999997</v>
      </c>
      <c r="BP25">
        <v>55</v>
      </c>
      <c r="BQ25">
        <v>29172</v>
      </c>
      <c r="BR25">
        <v>52</v>
      </c>
      <c r="BS25">
        <v>27580.799999999999</v>
      </c>
      <c r="BT25">
        <v>43</v>
      </c>
      <c r="BU25">
        <v>22807.200000000001</v>
      </c>
      <c r="BV25">
        <v>51</v>
      </c>
      <c r="BW25">
        <v>27050.399999999998</v>
      </c>
      <c r="BX25">
        <v>33</v>
      </c>
      <c r="BY25">
        <v>17503.2</v>
      </c>
      <c r="BZ25">
        <v>43</v>
      </c>
      <c r="CA25">
        <v>22807.200000000001</v>
      </c>
      <c r="CB25">
        <v>34</v>
      </c>
      <c r="CC25">
        <v>18033.599999999999</v>
      </c>
      <c r="CD25">
        <v>36</v>
      </c>
      <c r="CE25">
        <v>19094.399999999998</v>
      </c>
      <c r="CF25">
        <v>58</v>
      </c>
      <c r="CG25">
        <v>30763.199999999997</v>
      </c>
      <c r="CH25">
        <v>39</v>
      </c>
      <c r="CI25">
        <v>20685.599999999999</v>
      </c>
      <c r="CJ25">
        <v>47</v>
      </c>
      <c r="CK25">
        <v>24928.799999999999</v>
      </c>
      <c r="CL25">
        <v>42</v>
      </c>
      <c r="CM25">
        <v>22276.799999999999</v>
      </c>
      <c r="CN25">
        <v>43</v>
      </c>
      <c r="CO25">
        <v>22807.200000000001</v>
      </c>
      <c r="CP25">
        <v>52</v>
      </c>
      <c r="CQ25">
        <v>27580.799999999999</v>
      </c>
      <c r="CR25">
        <v>42</v>
      </c>
      <c r="CS25">
        <v>22276.799999999999</v>
      </c>
      <c r="CT25">
        <v>53</v>
      </c>
      <c r="CU25">
        <v>28111.199999999997</v>
      </c>
    </row>
    <row r="26" spans="2:99" x14ac:dyDescent="0.2">
      <c r="C26" s="116" t="s">
        <v>192</v>
      </c>
      <c r="D26">
        <v>38</v>
      </c>
      <c r="E26">
        <v>18468</v>
      </c>
      <c r="F26">
        <v>26</v>
      </c>
      <c r="G26">
        <v>12636</v>
      </c>
      <c r="H26">
        <v>54</v>
      </c>
      <c r="I26">
        <v>26244</v>
      </c>
      <c r="J26">
        <v>51</v>
      </c>
      <c r="K26">
        <v>24786</v>
      </c>
      <c r="L26">
        <v>48</v>
      </c>
      <c r="M26">
        <v>23328</v>
      </c>
      <c r="N26">
        <v>43</v>
      </c>
      <c r="O26">
        <v>20898</v>
      </c>
      <c r="P26">
        <v>42</v>
      </c>
      <c r="Q26">
        <v>20412</v>
      </c>
      <c r="R26">
        <v>45</v>
      </c>
      <c r="S26">
        <v>21870</v>
      </c>
      <c r="T26">
        <v>47</v>
      </c>
      <c r="U26">
        <v>22842</v>
      </c>
      <c r="V26">
        <v>44</v>
      </c>
      <c r="W26">
        <v>21384</v>
      </c>
      <c r="X26">
        <v>39</v>
      </c>
      <c r="Y26">
        <v>18954</v>
      </c>
      <c r="Z26">
        <v>45</v>
      </c>
      <c r="AA26">
        <v>21870</v>
      </c>
      <c r="AB26">
        <v>51</v>
      </c>
      <c r="AC26">
        <v>24786</v>
      </c>
      <c r="AD26">
        <v>27</v>
      </c>
      <c r="AE26">
        <v>13122</v>
      </c>
      <c r="AF26">
        <v>39</v>
      </c>
      <c r="AG26">
        <v>18954</v>
      </c>
      <c r="AH26">
        <v>29</v>
      </c>
      <c r="AI26">
        <v>14094</v>
      </c>
      <c r="AJ26">
        <v>51</v>
      </c>
      <c r="AK26">
        <v>24786</v>
      </c>
      <c r="AL26">
        <v>45</v>
      </c>
      <c r="AM26">
        <v>21870</v>
      </c>
      <c r="AN26">
        <v>53</v>
      </c>
      <c r="AO26">
        <v>25758</v>
      </c>
      <c r="AP26">
        <v>48</v>
      </c>
      <c r="AQ26">
        <v>23328</v>
      </c>
      <c r="AR26">
        <v>42</v>
      </c>
      <c r="AS26">
        <v>20412</v>
      </c>
      <c r="AT26">
        <v>35</v>
      </c>
      <c r="AU26">
        <v>17010</v>
      </c>
      <c r="AV26">
        <v>38</v>
      </c>
      <c r="AW26">
        <v>18468</v>
      </c>
      <c r="AX26">
        <v>45</v>
      </c>
      <c r="AY26">
        <v>21870</v>
      </c>
      <c r="AZ26">
        <v>45</v>
      </c>
      <c r="BA26">
        <v>21870</v>
      </c>
      <c r="BB26">
        <v>33</v>
      </c>
      <c r="BC26">
        <v>16038</v>
      </c>
      <c r="BD26">
        <v>42</v>
      </c>
      <c r="BE26">
        <v>20412</v>
      </c>
      <c r="BF26">
        <v>32</v>
      </c>
      <c r="BG26">
        <v>15552</v>
      </c>
      <c r="BH26">
        <v>33</v>
      </c>
      <c r="BI26">
        <v>16038</v>
      </c>
      <c r="BJ26">
        <v>44</v>
      </c>
      <c r="BK26">
        <v>21384</v>
      </c>
      <c r="BL26">
        <v>51</v>
      </c>
      <c r="BM26">
        <v>24786</v>
      </c>
      <c r="BN26">
        <v>61</v>
      </c>
      <c r="BO26">
        <v>29646</v>
      </c>
      <c r="BP26">
        <v>49</v>
      </c>
      <c r="BQ26">
        <v>23814</v>
      </c>
      <c r="BR26">
        <v>47</v>
      </c>
      <c r="BS26">
        <v>22842</v>
      </c>
      <c r="BT26">
        <v>44</v>
      </c>
      <c r="BU26">
        <v>21384</v>
      </c>
      <c r="BV26">
        <v>45</v>
      </c>
      <c r="BW26">
        <v>21870</v>
      </c>
      <c r="BX26">
        <v>38</v>
      </c>
      <c r="BY26">
        <v>18468</v>
      </c>
      <c r="BZ26">
        <v>43</v>
      </c>
      <c r="CA26">
        <v>20898</v>
      </c>
      <c r="CB26">
        <v>32</v>
      </c>
      <c r="CC26">
        <v>15552</v>
      </c>
      <c r="CD26">
        <v>33</v>
      </c>
      <c r="CE26">
        <v>16038</v>
      </c>
      <c r="CF26">
        <v>58</v>
      </c>
      <c r="CG26">
        <v>28188</v>
      </c>
      <c r="CH26">
        <v>36</v>
      </c>
      <c r="CI26">
        <v>17496</v>
      </c>
      <c r="CJ26">
        <v>48</v>
      </c>
      <c r="CK26">
        <v>23328</v>
      </c>
      <c r="CL26">
        <v>49</v>
      </c>
      <c r="CM26">
        <v>23814</v>
      </c>
      <c r="CN26">
        <v>42</v>
      </c>
      <c r="CO26">
        <v>20412</v>
      </c>
      <c r="CP26">
        <v>48</v>
      </c>
      <c r="CQ26">
        <v>23328</v>
      </c>
      <c r="CR26">
        <v>49</v>
      </c>
      <c r="CS26">
        <v>23814</v>
      </c>
      <c r="CT26">
        <v>49</v>
      </c>
      <c r="CU26">
        <v>23814</v>
      </c>
    </row>
    <row r="27" spans="2:99" x14ac:dyDescent="0.2">
      <c r="C27" s="116" t="s">
        <v>193</v>
      </c>
      <c r="D27">
        <v>37</v>
      </c>
      <c r="E27">
        <v>15806.4</v>
      </c>
      <c r="F27">
        <v>30</v>
      </c>
      <c r="G27">
        <v>12816</v>
      </c>
      <c r="H27">
        <v>46</v>
      </c>
      <c r="I27">
        <v>19651.2</v>
      </c>
      <c r="J27">
        <v>51</v>
      </c>
      <c r="K27">
        <v>21787.200000000001</v>
      </c>
      <c r="L27">
        <v>50</v>
      </c>
      <c r="M27">
        <v>21360</v>
      </c>
      <c r="N27">
        <v>41</v>
      </c>
      <c r="O27">
        <v>17515.2</v>
      </c>
      <c r="P27">
        <v>43</v>
      </c>
      <c r="Q27">
        <v>18369.599999999999</v>
      </c>
      <c r="R27">
        <v>39</v>
      </c>
      <c r="S27">
        <v>16660.8</v>
      </c>
      <c r="T27">
        <v>45</v>
      </c>
      <c r="U27">
        <v>19224</v>
      </c>
      <c r="V27">
        <v>41</v>
      </c>
      <c r="W27">
        <v>17515.2</v>
      </c>
      <c r="X27">
        <v>42</v>
      </c>
      <c r="Y27">
        <v>17942.399999999998</v>
      </c>
      <c r="Z27">
        <v>46</v>
      </c>
      <c r="AA27">
        <v>19651.2</v>
      </c>
      <c r="AB27">
        <v>50</v>
      </c>
      <c r="AC27">
        <v>21360</v>
      </c>
      <c r="AD27">
        <v>30</v>
      </c>
      <c r="AE27">
        <v>12816</v>
      </c>
      <c r="AF27">
        <v>38</v>
      </c>
      <c r="AG27">
        <v>16233.6</v>
      </c>
      <c r="AH27">
        <v>31</v>
      </c>
      <c r="AI27">
        <v>13243.199999999999</v>
      </c>
      <c r="AJ27">
        <v>49</v>
      </c>
      <c r="AK27">
        <v>20932.8</v>
      </c>
      <c r="AL27">
        <v>46</v>
      </c>
      <c r="AM27">
        <v>19651.2</v>
      </c>
      <c r="AN27">
        <v>60</v>
      </c>
      <c r="AO27">
        <v>25632</v>
      </c>
      <c r="AP27">
        <v>41</v>
      </c>
      <c r="AQ27">
        <v>17515.2</v>
      </c>
      <c r="AR27">
        <v>41</v>
      </c>
      <c r="AS27">
        <v>17515.2</v>
      </c>
      <c r="AT27">
        <v>39</v>
      </c>
      <c r="AU27">
        <v>16660.8</v>
      </c>
      <c r="AV27">
        <v>41</v>
      </c>
      <c r="AW27">
        <v>17515.2</v>
      </c>
      <c r="AX27">
        <v>42</v>
      </c>
      <c r="AY27">
        <v>17942.399999999998</v>
      </c>
      <c r="AZ27">
        <v>44</v>
      </c>
      <c r="BA27">
        <v>18796.8</v>
      </c>
      <c r="BB27">
        <v>36</v>
      </c>
      <c r="BC27">
        <v>15379.199999999999</v>
      </c>
      <c r="BD27">
        <v>36</v>
      </c>
      <c r="BE27">
        <v>15379.199999999999</v>
      </c>
      <c r="BF27">
        <v>31</v>
      </c>
      <c r="BG27">
        <v>13243.199999999999</v>
      </c>
      <c r="BH27">
        <v>35</v>
      </c>
      <c r="BI27">
        <v>14952</v>
      </c>
      <c r="BJ27">
        <v>48</v>
      </c>
      <c r="BK27">
        <v>20505.599999999999</v>
      </c>
      <c r="BL27">
        <v>46</v>
      </c>
      <c r="BM27">
        <v>19651.2</v>
      </c>
      <c r="BN27">
        <v>60</v>
      </c>
      <c r="BO27">
        <v>25632</v>
      </c>
      <c r="BP27">
        <v>50</v>
      </c>
      <c r="BQ27">
        <v>21360</v>
      </c>
      <c r="BR27">
        <v>51</v>
      </c>
      <c r="BS27">
        <v>21787.200000000001</v>
      </c>
      <c r="BT27">
        <v>46</v>
      </c>
      <c r="BU27">
        <v>19651.2</v>
      </c>
      <c r="BV27">
        <v>47</v>
      </c>
      <c r="BW27">
        <v>20078.399999999998</v>
      </c>
      <c r="BX27">
        <v>35</v>
      </c>
      <c r="BY27">
        <v>14952</v>
      </c>
      <c r="BZ27">
        <v>41</v>
      </c>
      <c r="CA27">
        <v>17515.2</v>
      </c>
      <c r="CB27">
        <v>35</v>
      </c>
      <c r="CC27">
        <v>14952</v>
      </c>
      <c r="CD27">
        <v>39</v>
      </c>
      <c r="CE27">
        <v>16660.8</v>
      </c>
      <c r="CF27">
        <v>62</v>
      </c>
      <c r="CG27">
        <v>26486.399999999998</v>
      </c>
      <c r="CH27">
        <v>41</v>
      </c>
      <c r="CI27">
        <v>17515.2</v>
      </c>
      <c r="CJ27">
        <v>52</v>
      </c>
      <c r="CK27">
        <v>22214.399999999998</v>
      </c>
      <c r="CL27">
        <v>47</v>
      </c>
      <c r="CM27">
        <v>20078.399999999998</v>
      </c>
      <c r="CN27">
        <v>48</v>
      </c>
      <c r="CO27">
        <v>20505.599999999999</v>
      </c>
      <c r="CP27">
        <v>55</v>
      </c>
      <c r="CQ27">
        <v>23496</v>
      </c>
      <c r="CR27">
        <v>50</v>
      </c>
      <c r="CS27">
        <v>21360</v>
      </c>
      <c r="CT27">
        <v>53</v>
      </c>
      <c r="CU27">
        <v>22641.599999999999</v>
      </c>
    </row>
    <row r="28" spans="2:99" x14ac:dyDescent="0.2">
      <c r="C28" s="116" t="s">
        <v>194</v>
      </c>
      <c r="D28">
        <v>40</v>
      </c>
      <c r="E28">
        <v>29520</v>
      </c>
      <c r="F28">
        <v>27</v>
      </c>
      <c r="G28">
        <v>19926</v>
      </c>
      <c r="H28">
        <v>44</v>
      </c>
      <c r="I28">
        <v>32472</v>
      </c>
      <c r="J28">
        <v>44</v>
      </c>
      <c r="K28">
        <v>32472</v>
      </c>
      <c r="L28">
        <v>41</v>
      </c>
      <c r="M28">
        <v>30258</v>
      </c>
      <c r="N28">
        <v>37</v>
      </c>
      <c r="O28">
        <v>27306</v>
      </c>
      <c r="P28">
        <v>39</v>
      </c>
      <c r="Q28">
        <v>28782</v>
      </c>
      <c r="R28">
        <v>38</v>
      </c>
      <c r="S28">
        <v>28044</v>
      </c>
      <c r="T28">
        <v>44</v>
      </c>
      <c r="U28">
        <v>32472</v>
      </c>
      <c r="V28">
        <v>42</v>
      </c>
      <c r="W28">
        <v>30996</v>
      </c>
      <c r="X28">
        <v>40</v>
      </c>
      <c r="Y28">
        <v>29520</v>
      </c>
      <c r="Z28">
        <v>44</v>
      </c>
      <c r="AA28">
        <v>32472</v>
      </c>
      <c r="AB28">
        <v>47</v>
      </c>
      <c r="AC28">
        <v>34686</v>
      </c>
      <c r="AD28">
        <v>26</v>
      </c>
      <c r="AE28">
        <v>19188</v>
      </c>
      <c r="AF28">
        <v>39</v>
      </c>
      <c r="AG28">
        <v>28782</v>
      </c>
      <c r="AH28">
        <v>29</v>
      </c>
      <c r="AI28">
        <v>21402</v>
      </c>
      <c r="AJ28">
        <v>51</v>
      </c>
      <c r="AK28">
        <v>37638</v>
      </c>
      <c r="AL28">
        <v>44</v>
      </c>
      <c r="AM28">
        <v>32472</v>
      </c>
      <c r="AN28">
        <v>54</v>
      </c>
      <c r="AO28">
        <v>39852</v>
      </c>
      <c r="AP28">
        <v>42</v>
      </c>
      <c r="AQ28">
        <v>30996</v>
      </c>
      <c r="AR28">
        <v>34</v>
      </c>
      <c r="AS28">
        <v>25092</v>
      </c>
      <c r="AT28">
        <v>36</v>
      </c>
      <c r="AU28">
        <v>26568</v>
      </c>
      <c r="AV28">
        <v>41</v>
      </c>
      <c r="AW28">
        <v>30258</v>
      </c>
      <c r="AX28">
        <v>43</v>
      </c>
      <c r="AY28">
        <v>31734</v>
      </c>
      <c r="AZ28">
        <v>46</v>
      </c>
      <c r="BA28">
        <v>33948</v>
      </c>
      <c r="BB28">
        <v>34</v>
      </c>
      <c r="BC28">
        <v>25092</v>
      </c>
      <c r="BD28">
        <v>37</v>
      </c>
      <c r="BE28">
        <v>27306</v>
      </c>
      <c r="BF28">
        <v>32</v>
      </c>
      <c r="BG28">
        <v>23616</v>
      </c>
      <c r="BH28">
        <v>31</v>
      </c>
      <c r="BI28">
        <v>22878</v>
      </c>
      <c r="BJ28">
        <v>45</v>
      </c>
      <c r="BK28">
        <v>33210</v>
      </c>
      <c r="BL28">
        <v>41</v>
      </c>
      <c r="BM28">
        <v>30258</v>
      </c>
      <c r="BN28">
        <v>53</v>
      </c>
      <c r="BO28">
        <v>39114</v>
      </c>
      <c r="BP28">
        <v>57</v>
      </c>
      <c r="BQ28">
        <v>42066</v>
      </c>
      <c r="BR28">
        <v>53</v>
      </c>
      <c r="BS28">
        <v>39114</v>
      </c>
      <c r="BT28">
        <v>45</v>
      </c>
      <c r="BU28">
        <v>33210</v>
      </c>
      <c r="BV28">
        <v>50</v>
      </c>
      <c r="BW28">
        <v>36900</v>
      </c>
      <c r="BX28">
        <v>34</v>
      </c>
      <c r="BY28">
        <v>25092</v>
      </c>
      <c r="BZ28">
        <v>43</v>
      </c>
      <c r="CA28">
        <v>31734</v>
      </c>
      <c r="CB28">
        <v>32</v>
      </c>
      <c r="CC28">
        <v>23616</v>
      </c>
      <c r="CD28">
        <v>34</v>
      </c>
      <c r="CE28">
        <v>25092</v>
      </c>
      <c r="CF28">
        <v>59</v>
      </c>
      <c r="CG28">
        <v>43542</v>
      </c>
      <c r="CH28">
        <v>36</v>
      </c>
      <c r="CI28">
        <v>26568</v>
      </c>
      <c r="CJ28">
        <v>55</v>
      </c>
      <c r="CK28">
        <v>40590</v>
      </c>
      <c r="CL28">
        <v>43</v>
      </c>
      <c r="CM28">
        <v>31734</v>
      </c>
      <c r="CN28">
        <v>48</v>
      </c>
      <c r="CO28">
        <v>35424</v>
      </c>
      <c r="CP28">
        <v>50</v>
      </c>
      <c r="CQ28">
        <v>36900</v>
      </c>
      <c r="CR28">
        <v>41</v>
      </c>
      <c r="CS28">
        <v>30258</v>
      </c>
      <c r="CT28">
        <v>53</v>
      </c>
      <c r="CU28">
        <v>39114</v>
      </c>
    </row>
    <row r="29" spans="2:99" x14ac:dyDescent="0.2">
      <c r="C29" s="116" t="s">
        <v>195</v>
      </c>
      <c r="D29">
        <v>36</v>
      </c>
      <c r="E29">
        <v>12182.4</v>
      </c>
      <c r="F29">
        <v>29</v>
      </c>
      <c r="G29">
        <v>9813.5999999999985</v>
      </c>
      <c r="H29">
        <v>49</v>
      </c>
      <c r="I29">
        <v>16581.599999999999</v>
      </c>
      <c r="J29">
        <v>51</v>
      </c>
      <c r="K29">
        <v>17258.399999999998</v>
      </c>
      <c r="L29">
        <v>49</v>
      </c>
      <c r="M29">
        <v>16581.599999999999</v>
      </c>
      <c r="N29">
        <v>42</v>
      </c>
      <c r="O29">
        <v>14212.8</v>
      </c>
      <c r="P29">
        <v>43</v>
      </c>
      <c r="Q29">
        <v>14551.199999999999</v>
      </c>
      <c r="R29">
        <v>40</v>
      </c>
      <c r="S29">
        <v>13536</v>
      </c>
      <c r="T29">
        <v>55</v>
      </c>
      <c r="U29">
        <v>18612</v>
      </c>
      <c r="V29">
        <v>46</v>
      </c>
      <c r="W29">
        <v>15566.4</v>
      </c>
      <c r="X29">
        <v>44</v>
      </c>
      <c r="Y29">
        <v>14889.599999999999</v>
      </c>
      <c r="Z29">
        <v>47</v>
      </c>
      <c r="AA29">
        <v>15904.8</v>
      </c>
      <c r="AB29">
        <v>59</v>
      </c>
      <c r="AC29">
        <v>19965.599999999999</v>
      </c>
      <c r="AD29">
        <v>31</v>
      </c>
      <c r="AE29">
        <v>10490.4</v>
      </c>
      <c r="AF29">
        <v>38</v>
      </c>
      <c r="AG29">
        <v>12859.199999999999</v>
      </c>
      <c r="AH29">
        <v>30</v>
      </c>
      <c r="AI29">
        <v>10152</v>
      </c>
      <c r="AJ29">
        <v>53</v>
      </c>
      <c r="AK29">
        <v>17935.199999999997</v>
      </c>
      <c r="AL29">
        <v>39</v>
      </c>
      <c r="AM29">
        <v>13197.599999999999</v>
      </c>
      <c r="AN29">
        <v>54</v>
      </c>
      <c r="AO29">
        <v>18273.599999999999</v>
      </c>
      <c r="AP29">
        <v>45</v>
      </c>
      <c r="AQ29">
        <v>15227.999999999998</v>
      </c>
      <c r="AR29">
        <v>40</v>
      </c>
      <c r="AS29">
        <v>13536</v>
      </c>
      <c r="AT29">
        <v>42</v>
      </c>
      <c r="AU29">
        <v>14212.8</v>
      </c>
      <c r="AV29">
        <v>46</v>
      </c>
      <c r="AW29">
        <v>15566.4</v>
      </c>
      <c r="AX29">
        <v>47</v>
      </c>
      <c r="AY29">
        <v>15904.8</v>
      </c>
      <c r="AZ29">
        <v>53</v>
      </c>
      <c r="BA29">
        <v>17935.199999999997</v>
      </c>
      <c r="BB29">
        <v>38</v>
      </c>
      <c r="BC29">
        <v>12859.199999999999</v>
      </c>
      <c r="BD29">
        <v>39</v>
      </c>
      <c r="BE29">
        <v>13197.599999999999</v>
      </c>
      <c r="BF29">
        <v>32</v>
      </c>
      <c r="BG29">
        <v>10828.8</v>
      </c>
      <c r="BH29">
        <v>33</v>
      </c>
      <c r="BI29">
        <v>11167.199999999999</v>
      </c>
      <c r="BJ29">
        <v>46</v>
      </c>
      <c r="BK29">
        <v>15566.4</v>
      </c>
      <c r="BL29">
        <v>52</v>
      </c>
      <c r="BM29">
        <v>17596.8</v>
      </c>
      <c r="BN29">
        <v>54</v>
      </c>
      <c r="BO29">
        <v>18273.599999999999</v>
      </c>
      <c r="BP29">
        <v>57</v>
      </c>
      <c r="BQ29">
        <v>19288.8</v>
      </c>
      <c r="BR29">
        <v>53</v>
      </c>
      <c r="BS29">
        <v>17935.199999999997</v>
      </c>
      <c r="BT29">
        <v>45</v>
      </c>
      <c r="BU29">
        <v>15227.999999999998</v>
      </c>
      <c r="BV29">
        <v>53</v>
      </c>
      <c r="BW29">
        <v>17935.199999999997</v>
      </c>
      <c r="BX29">
        <v>35</v>
      </c>
      <c r="BY29">
        <v>11844</v>
      </c>
      <c r="BZ29">
        <v>43</v>
      </c>
      <c r="CA29">
        <v>14551.199999999999</v>
      </c>
      <c r="CB29">
        <v>36</v>
      </c>
      <c r="CC29">
        <v>12182.4</v>
      </c>
      <c r="CD29">
        <v>39</v>
      </c>
      <c r="CE29">
        <v>13197.599999999999</v>
      </c>
      <c r="CF29">
        <v>55</v>
      </c>
      <c r="CG29">
        <v>18612</v>
      </c>
      <c r="CH29">
        <v>39</v>
      </c>
      <c r="CI29">
        <v>13197.599999999999</v>
      </c>
      <c r="CJ29">
        <v>49</v>
      </c>
      <c r="CK29">
        <v>16581.599999999999</v>
      </c>
      <c r="CL29">
        <v>43</v>
      </c>
      <c r="CM29">
        <v>14551.199999999999</v>
      </c>
      <c r="CN29">
        <v>46</v>
      </c>
      <c r="CO29">
        <v>15566.4</v>
      </c>
      <c r="CP29">
        <v>56</v>
      </c>
      <c r="CQ29">
        <v>18950.399999999998</v>
      </c>
      <c r="CR29">
        <v>45</v>
      </c>
      <c r="CS29">
        <v>15227.999999999998</v>
      </c>
      <c r="CT29">
        <v>51</v>
      </c>
      <c r="CU29">
        <v>17258.399999999998</v>
      </c>
    </row>
    <row r="30" spans="2:99" x14ac:dyDescent="0.2">
      <c r="C30" s="116" t="s">
        <v>196</v>
      </c>
      <c r="D30">
        <v>40</v>
      </c>
      <c r="E30">
        <v>5568</v>
      </c>
      <c r="F30">
        <v>30</v>
      </c>
      <c r="G30">
        <v>4176</v>
      </c>
      <c r="H30">
        <v>52</v>
      </c>
      <c r="I30">
        <v>7238.4</v>
      </c>
      <c r="J30">
        <v>49</v>
      </c>
      <c r="K30">
        <v>6820.7999999999993</v>
      </c>
      <c r="L30">
        <v>47</v>
      </c>
      <c r="M30">
        <v>6542.4</v>
      </c>
      <c r="N30">
        <v>40</v>
      </c>
      <c r="O30">
        <v>5568</v>
      </c>
      <c r="P30">
        <v>45</v>
      </c>
      <c r="Q30">
        <v>6263.9999999999991</v>
      </c>
      <c r="R30">
        <v>41</v>
      </c>
      <c r="S30">
        <v>5707.2</v>
      </c>
      <c r="T30">
        <v>50</v>
      </c>
      <c r="U30">
        <v>6959.9999999999991</v>
      </c>
      <c r="V30">
        <v>45</v>
      </c>
      <c r="W30">
        <v>6263.9999999999991</v>
      </c>
      <c r="X30">
        <v>43</v>
      </c>
      <c r="Y30">
        <v>5985.5999999999995</v>
      </c>
      <c r="Z30">
        <v>47</v>
      </c>
      <c r="AA30">
        <v>6542.4</v>
      </c>
      <c r="AB30">
        <v>57</v>
      </c>
      <c r="AC30">
        <v>7934.4</v>
      </c>
      <c r="AD30">
        <v>31</v>
      </c>
      <c r="AE30">
        <v>4315.2</v>
      </c>
      <c r="AF30">
        <v>35</v>
      </c>
      <c r="AG30">
        <v>4872</v>
      </c>
      <c r="AH30">
        <v>31</v>
      </c>
      <c r="AI30">
        <v>4315.2</v>
      </c>
      <c r="AJ30">
        <v>48</v>
      </c>
      <c r="AK30">
        <v>6681.5999999999995</v>
      </c>
      <c r="AL30">
        <v>47</v>
      </c>
      <c r="AM30">
        <v>6542.4</v>
      </c>
      <c r="AN30">
        <v>61</v>
      </c>
      <c r="AO30">
        <v>8491.1999999999989</v>
      </c>
      <c r="AP30">
        <v>50</v>
      </c>
      <c r="AQ30">
        <v>6959.9999999999991</v>
      </c>
      <c r="AR30">
        <v>40</v>
      </c>
      <c r="AS30">
        <v>5568</v>
      </c>
      <c r="AT30">
        <v>42</v>
      </c>
      <c r="AU30">
        <v>5846.4</v>
      </c>
      <c r="AV30">
        <v>46</v>
      </c>
      <c r="AW30">
        <v>6403.2</v>
      </c>
      <c r="AX30">
        <v>41</v>
      </c>
      <c r="AY30">
        <v>5707.2</v>
      </c>
      <c r="AZ30">
        <v>49</v>
      </c>
      <c r="BA30">
        <v>6820.7999999999993</v>
      </c>
      <c r="BB30">
        <v>36</v>
      </c>
      <c r="BC30">
        <v>5011.2</v>
      </c>
      <c r="BD30">
        <v>40</v>
      </c>
      <c r="BE30">
        <v>5568</v>
      </c>
      <c r="BF30">
        <v>35</v>
      </c>
      <c r="BG30">
        <v>4872</v>
      </c>
      <c r="BH30">
        <v>35</v>
      </c>
      <c r="BI30">
        <v>4872</v>
      </c>
      <c r="BJ30">
        <v>50</v>
      </c>
      <c r="BK30">
        <v>6959.9999999999991</v>
      </c>
      <c r="BL30">
        <v>46</v>
      </c>
      <c r="BM30">
        <v>6403.2</v>
      </c>
      <c r="BN30">
        <v>62</v>
      </c>
      <c r="BO30">
        <v>8630.4</v>
      </c>
      <c r="BP30">
        <v>57</v>
      </c>
      <c r="BQ30">
        <v>7934.4</v>
      </c>
      <c r="BR30">
        <v>51</v>
      </c>
      <c r="BS30">
        <v>7099.2</v>
      </c>
      <c r="BT30">
        <v>42</v>
      </c>
      <c r="BU30">
        <v>5846.4</v>
      </c>
      <c r="BV30">
        <v>57</v>
      </c>
      <c r="BW30">
        <v>7934.4</v>
      </c>
      <c r="BX30">
        <v>40</v>
      </c>
      <c r="BY30">
        <v>5568</v>
      </c>
      <c r="BZ30">
        <v>41</v>
      </c>
      <c r="CA30">
        <v>5707.2</v>
      </c>
      <c r="CB30">
        <v>39</v>
      </c>
      <c r="CC30">
        <v>5428.7999999999993</v>
      </c>
      <c r="CD30">
        <v>41</v>
      </c>
      <c r="CE30">
        <v>5707.2</v>
      </c>
      <c r="CF30">
        <v>61</v>
      </c>
      <c r="CG30">
        <v>8491.1999999999989</v>
      </c>
      <c r="CH30">
        <v>44</v>
      </c>
      <c r="CI30">
        <v>6124.7999999999993</v>
      </c>
      <c r="CJ30">
        <v>54</v>
      </c>
      <c r="CK30">
        <v>7516.7999999999993</v>
      </c>
      <c r="CL30">
        <v>52</v>
      </c>
      <c r="CM30">
        <v>7238.4</v>
      </c>
      <c r="CN30">
        <v>48</v>
      </c>
      <c r="CO30">
        <v>6681.5999999999995</v>
      </c>
      <c r="CP30">
        <v>53</v>
      </c>
      <c r="CQ30">
        <v>7377.5999999999995</v>
      </c>
      <c r="CR30">
        <v>46</v>
      </c>
      <c r="CS30">
        <v>6403.2</v>
      </c>
      <c r="CT30">
        <v>47</v>
      </c>
      <c r="CU30">
        <v>6542.4</v>
      </c>
    </row>
    <row r="31" spans="2:99" x14ac:dyDescent="0.2">
      <c r="C31" s="116" t="s">
        <v>197</v>
      </c>
      <c r="D31">
        <v>42</v>
      </c>
      <c r="E31">
        <v>14313.6</v>
      </c>
      <c r="F31">
        <v>29</v>
      </c>
      <c r="G31">
        <v>9883.2000000000007</v>
      </c>
      <c r="H31">
        <v>55</v>
      </c>
      <c r="I31">
        <v>18744</v>
      </c>
      <c r="J31">
        <v>45</v>
      </c>
      <c r="K31">
        <v>15336</v>
      </c>
      <c r="L31">
        <v>44</v>
      </c>
      <c r="M31">
        <v>14995.2</v>
      </c>
      <c r="N31">
        <v>41</v>
      </c>
      <c r="O31">
        <v>13972.800000000001</v>
      </c>
      <c r="P31">
        <v>42</v>
      </c>
      <c r="Q31">
        <v>14313.6</v>
      </c>
      <c r="R31">
        <v>40</v>
      </c>
      <c r="S31">
        <v>13632</v>
      </c>
      <c r="T31">
        <v>45</v>
      </c>
      <c r="U31">
        <v>15336</v>
      </c>
      <c r="V31">
        <v>42</v>
      </c>
      <c r="W31">
        <v>14313.6</v>
      </c>
      <c r="X31">
        <v>39</v>
      </c>
      <c r="Y31">
        <v>13291.2</v>
      </c>
      <c r="Z31">
        <v>47</v>
      </c>
      <c r="AA31">
        <v>16017.6</v>
      </c>
      <c r="AB31">
        <v>58</v>
      </c>
      <c r="AC31">
        <v>19766.400000000001</v>
      </c>
      <c r="AD31">
        <v>28</v>
      </c>
      <c r="AE31">
        <v>9542.4</v>
      </c>
      <c r="AF31">
        <v>35</v>
      </c>
      <c r="AG31">
        <v>11928</v>
      </c>
      <c r="AH31">
        <v>30</v>
      </c>
      <c r="AI31">
        <v>10224</v>
      </c>
      <c r="AJ31">
        <v>48</v>
      </c>
      <c r="AK31">
        <v>16358.400000000001</v>
      </c>
      <c r="AL31">
        <v>43</v>
      </c>
      <c r="AM31">
        <v>14654.4</v>
      </c>
      <c r="AN31">
        <v>60</v>
      </c>
      <c r="AO31">
        <v>20448</v>
      </c>
      <c r="AP31">
        <v>45</v>
      </c>
      <c r="AQ31">
        <v>15336</v>
      </c>
      <c r="AR31">
        <v>38</v>
      </c>
      <c r="AS31">
        <v>12950.4</v>
      </c>
      <c r="AT31">
        <v>40</v>
      </c>
      <c r="AU31">
        <v>13632</v>
      </c>
      <c r="AV31">
        <v>41</v>
      </c>
      <c r="AW31">
        <v>13972.800000000001</v>
      </c>
      <c r="AX31">
        <v>45</v>
      </c>
      <c r="AY31">
        <v>15336</v>
      </c>
      <c r="AZ31">
        <v>45</v>
      </c>
      <c r="BA31">
        <v>15336</v>
      </c>
      <c r="BB31">
        <v>37</v>
      </c>
      <c r="BC31">
        <v>12609.6</v>
      </c>
      <c r="BD31">
        <v>39</v>
      </c>
      <c r="BE31">
        <v>13291.2</v>
      </c>
      <c r="BF31">
        <v>29</v>
      </c>
      <c r="BG31">
        <v>9883.2000000000007</v>
      </c>
      <c r="BH31">
        <v>33</v>
      </c>
      <c r="BI31">
        <v>11246.4</v>
      </c>
      <c r="BJ31">
        <v>48</v>
      </c>
      <c r="BK31">
        <v>16358.400000000001</v>
      </c>
      <c r="BL31">
        <v>51</v>
      </c>
      <c r="BM31">
        <v>17380.8</v>
      </c>
      <c r="BN31">
        <v>64</v>
      </c>
      <c r="BO31">
        <v>21811.200000000001</v>
      </c>
      <c r="BP31">
        <v>56</v>
      </c>
      <c r="BQ31">
        <v>19084.8</v>
      </c>
      <c r="BR31">
        <v>48</v>
      </c>
      <c r="BS31">
        <v>16358.400000000001</v>
      </c>
      <c r="BT31">
        <v>43</v>
      </c>
      <c r="BU31">
        <v>14654.4</v>
      </c>
      <c r="BV31">
        <v>51</v>
      </c>
      <c r="BW31">
        <v>17380.8</v>
      </c>
      <c r="BX31">
        <v>36</v>
      </c>
      <c r="BY31">
        <v>12268.800000000001</v>
      </c>
      <c r="BZ31">
        <v>40</v>
      </c>
      <c r="CA31">
        <v>13632</v>
      </c>
      <c r="CB31">
        <v>37</v>
      </c>
      <c r="CC31">
        <v>12609.6</v>
      </c>
      <c r="CD31">
        <v>40</v>
      </c>
      <c r="CE31">
        <v>13632</v>
      </c>
      <c r="CF31">
        <v>56</v>
      </c>
      <c r="CG31">
        <v>19084.8</v>
      </c>
      <c r="CH31">
        <v>37</v>
      </c>
      <c r="CI31">
        <v>12609.6</v>
      </c>
      <c r="CJ31">
        <v>51</v>
      </c>
      <c r="CK31">
        <v>17380.8</v>
      </c>
      <c r="CL31">
        <v>44</v>
      </c>
      <c r="CM31">
        <v>14995.2</v>
      </c>
      <c r="CN31">
        <v>42</v>
      </c>
      <c r="CO31">
        <v>14313.6</v>
      </c>
      <c r="CP31">
        <v>50</v>
      </c>
      <c r="CQ31">
        <v>17040</v>
      </c>
      <c r="CR31">
        <v>42</v>
      </c>
      <c r="CS31">
        <v>14313.6</v>
      </c>
      <c r="CT31">
        <v>52</v>
      </c>
      <c r="CU31">
        <v>17721.600000000002</v>
      </c>
    </row>
    <row r="32" spans="2:99" x14ac:dyDescent="0.2">
      <c r="C32" s="116" t="s">
        <v>198</v>
      </c>
      <c r="D32">
        <v>33</v>
      </c>
      <c r="E32">
        <v>27720</v>
      </c>
      <c r="F32">
        <v>25</v>
      </c>
      <c r="G32">
        <v>21000</v>
      </c>
      <c r="H32">
        <v>46</v>
      </c>
      <c r="I32">
        <v>38640</v>
      </c>
      <c r="J32">
        <v>48</v>
      </c>
      <c r="K32">
        <v>40320</v>
      </c>
      <c r="L32">
        <v>44</v>
      </c>
      <c r="M32">
        <v>36960</v>
      </c>
      <c r="N32">
        <v>38</v>
      </c>
      <c r="O32">
        <v>31920</v>
      </c>
      <c r="P32">
        <v>39</v>
      </c>
      <c r="Q32">
        <v>32760</v>
      </c>
      <c r="R32">
        <v>41</v>
      </c>
      <c r="S32">
        <v>34440</v>
      </c>
      <c r="T32">
        <v>44</v>
      </c>
      <c r="U32">
        <v>36960</v>
      </c>
      <c r="V32">
        <v>36</v>
      </c>
      <c r="W32">
        <v>30240</v>
      </c>
      <c r="X32">
        <v>36</v>
      </c>
      <c r="Y32">
        <v>30240</v>
      </c>
      <c r="Z32">
        <v>40</v>
      </c>
      <c r="AA32">
        <v>33600</v>
      </c>
      <c r="AB32">
        <v>46</v>
      </c>
      <c r="AC32">
        <v>38640</v>
      </c>
      <c r="AD32">
        <v>29</v>
      </c>
      <c r="AE32">
        <v>24360</v>
      </c>
      <c r="AF32">
        <v>34</v>
      </c>
      <c r="AG32">
        <v>28560</v>
      </c>
      <c r="AH32">
        <v>26</v>
      </c>
      <c r="AI32">
        <v>21840</v>
      </c>
      <c r="AJ32">
        <v>46</v>
      </c>
      <c r="AK32">
        <v>38640</v>
      </c>
      <c r="AL32">
        <v>38</v>
      </c>
      <c r="AM32">
        <v>31920</v>
      </c>
      <c r="AN32">
        <v>49</v>
      </c>
      <c r="AO32">
        <v>41160</v>
      </c>
      <c r="AP32">
        <v>46</v>
      </c>
      <c r="AQ32">
        <v>38640</v>
      </c>
      <c r="AR32">
        <v>38</v>
      </c>
      <c r="AS32">
        <v>31920</v>
      </c>
      <c r="AT32">
        <v>36</v>
      </c>
      <c r="AU32">
        <v>30240</v>
      </c>
      <c r="AV32">
        <v>36</v>
      </c>
      <c r="AW32">
        <v>30240</v>
      </c>
      <c r="AX32">
        <v>43</v>
      </c>
      <c r="AY32">
        <v>36120</v>
      </c>
      <c r="AZ32">
        <v>49</v>
      </c>
      <c r="BA32">
        <v>41160</v>
      </c>
      <c r="BB32">
        <v>37</v>
      </c>
      <c r="BC32">
        <v>31080</v>
      </c>
      <c r="BD32">
        <v>41</v>
      </c>
      <c r="BE32">
        <v>34440</v>
      </c>
      <c r="BF32">
        <v>33</v>
      </c>
      <c r="BG32">
        <v>27720</v>
      </c>
      <c r="BH32">
        <v>30</v>
      </c>
      <c r="BI32">
        <v>25200</v>
      </c>
      <c r="BJ32">
        <v>43</v>
      </c>
      <c r="BK32">
        <v>36120</v>
      </c>
      <c r="BL32">
        <v>42</v>
      </c>
      <c r="BM32">
        <v>35280</v>
      </c>
      <c r="BN32">
        <v>50</v>
      </c>
      <c r="BO32">
        <v>42000</v>
      </c>
      <c r="BP32">
        <v>53</v>
      </c>
      <c r="BQ32">
        <v>44520</v>
      </c>
      <c r="BR32">
        <v>51</v>
      </c>
      <c r="BS32">
        <v>42840</v>
      </c>
      <c r="BT32">
        <v>45</v>
      </c>
      <c r="BU32">
        <v>37800</v>
      </c>
      <c r="BV32">
        <v>44</v>
      </c>
      <c r="BW32">
        <v>36960</v>
      </c>
      <c r="BX32">
        <v>35</v>
      </c>
      <c r="BY32">
        <v>29400</v>
      </c>
      <c r="BZ32">
        <v>42</v>
      </c>
      <c r="CA32">
        <v>35280</v>
      </c>
      <c r="CB32">
        <v>30</v>
      </c>
      <c r="CC32">
        <v>25200</v>
      </c>
      <c r="CD32">
        <v>34</v>
      </c>
      <c r="CE32">
        <v>28560</v>
      </c>
      <c r="CF32">
        <v>55</v>
      </c>
      <c r="CG32">
        <v>46200</v>
      </c>
      <c r="CH32">
        <v>36</v>
      </c>
      <c r="CI32">
        <v>30240</v>
      </c>
      <c r="CJ32">
        <v>46</v>
      </c>
      <c r="CK32">
        <v>38640</v>
      </c>
      <c r="CL32">
        <v>45</v>
      </c>
      <c r="CM32">
        <v>37800</v>
      </c>
      <c r="CN32">
        <v>44</v>
      </c>
      <c r="CO32">
        <v>36960</v>
      </c>
      <c r="CP32">
        <v>50</v>
      </c>
      <c r="CQ32">
        <v>42000</v>
      </c>
      <c r="CR32">
        <v>46</v>
      </c>
      <c r="CS32">
        <v>38640</v>
      </c>
      <c r="CT32">
        <v>52</v>
      </c>
      <c r="CU32">
        <v>43680</v>
      </c>
    </row>
    <row r="33" spans="2:99" x14ac:dyDescent="0.2">
      <c r="C33" s="116" t="s">
        <v>199</v>
      </c>
      <c r="D33">
        <v>36</v>
      </c>
      <c r="E33">
        <v>17064</v>
      </c>
      <c r="F33">
        <v>29</v>
      </c>
      <c r="G33">
        <v>13746</v>
      </c>
      <c r="H33">
        <v>47</v>
      </c>
      <c r="I33">
        <v>22278</v>
      </c>
      <c r="J33">
        <v>45</v>
      </c>
      <c r="K33">
        <v>21330</v>
      </c>
      <c r="L33">
        <v>47</v>
      </c>
      <c r="M33">
        <v>22278</v>
      </c>
      <c r="N33">
        <v>43</v>
      </c>
      <c r="O33">
        <v>20382</v>
      </c>
      <c r="P33">
        <v>42</v>
      </c>
      <c r="Q33">
        <v>19908</v>
      </c>
      <c r="R33">
        <v>45</v>
      </c>
      <c r="S33">
        <v>21330</v>
      </c>
      <c r="T33">
        <v>52</v>
      </c>
      <c r="U33">
        <v>24648</v>
      </c>
      <c r="V33">
        <v>38</v>
      </c>
      <c r="W33">
        <v>18012</v>
      </c>
      <c r="X33">
        <v>43</v>
      </c>
      <c r="Y33">
        <v>20382</v>
      </c>
      <c r="Z33">
        <v>47</v>
      </c>
      <c r="AA33">
        <v>22278</v>
      </c>
      <c r="AB33">
        <v>58</v>
      </c>
      <c r="AC33">
        <v>27492</v>
      </c>
      <c r="AD33">
        <v>28</v>
      </c>
      <c r="AE33">
        <v>13272</v>
      </c>
      <c r="AF33">
        <v>34</v>
      </c>
      <c r="AG33">
        <v>16116</v>
      </c>
      <c r="AH33">
        <v>28</v>
      </c>
      <c r="AI33">
        <v>13272</v>
      </c>
      <c r="AJ33">
        <v>53</v>
      </c>
      <c r="AK33">
        <v>25122</v>
      </c>
      <c r="AL33">
        <v>43</v>
      </c>
      <c r="AM33">
        <v>20382</v>
      </c>
      <c r="AN33">
        <v>57</v>
      </c>
      <c r="AO33">
        <v>27018</v>
      </c>
      <c r="AP33">
        <v>45</v>
      </c>
      <c r="AQ33">
        <v>21330</v>
      </c>
      <c r="AR33">
        <v>41</v>
      </c>
      <c r="AS33">
        <v>19434</v>
      </c>
      <c r="AT33">
        <v>37</v>
      </c>
      <c r="AU33">
        <v>17538</v>
      </c>
      <c r="AV33">
        <v>39</v>
      </c>
      <c r="AW33">
        <v>18486</v>
      </c>
      <c r="AX33">
        <v>47</v>
      </c>
      <c r="AY33">
        <v>22278</v>
      </c>
      <c r="AZ33">
        <v>46</v>
      </c>
      <c r="BA33">
        <v>21804</v>
      </c>
      <c r="BB33">
        <v>33</v>
      </c>
      <c r="BC33">
        <v>15642</v>
      </c>
      <c r="BD33">
        <v>37</v>
      </c>
      <c r="BE33">
        <v>17538</v>
      </c>
      <c r="BF33">
        <v>34</v>
      </c>
      <c r="BG33">
        <v>16116</v>
      </c>
      <c r="BH33">
        <v>33</v>
      </c>
      <c r="BI33">
        <v>15642</v>
      </c>
      <c r="BJ33">
        <v>43</v>
      </c>
      <c r="BK33">
        <v>20382</v>
      </c>
      <c r="BL33">
        <v>44</v>
      </c>
      <c r="BM33">
        <v>20856</v>
      </c>
      <c r="BN33">
        <v>53</v>
      </c>
      <c r="BO33">
        <v>25122</v>
      </c>
      <c r="BP33">
        <v>52</v>
      </c>
      <c r="BQ33">
        <v>24648</v>
      </c>
      <c r="BR33">
        <v>50</v>
      </c>
      <c r="BS33">
        <v>23700</v>
      </c>
      <c r="BT33">
        <v>42</v>
      </c>
      <c r="BU33">
        <v>19908</v>
      </c>
      <c r="BV33">
        <v>46</v>
      </c>
      <c r="BW33">
        <v>21804</v>
      </c>
      <c r="BX33">
        <v>34</v>
      </c>
      <c r="BY33">
        <v>16116</v>
      </c>
      <c r="BZ33">
        <v>43</v>
      </c>
      <c r="CA33">
        <v>20382</v>
      </c>
      <c r="CB33">
        <v>34</v>
      </c>
      <c r="CC33">
        <v>16116</v>
      </c>
      <c r="CD33">
        <v>38</v>
      </c>
      <c r="CE33">
        <v>18012</v>
      </c>
      <c r="CF33">
        <v>54</v>
      </c>
      <c r="CG33">
        <v>25596</v>
      </c>
      <c r="CH33">
        <v>41</v>
      </c>
      <c r="CI33">
        <v>19434</v>
      </c>
      <c r="CJ33">
        <v>53</v>
      </c>
      <c r="CK33">
        <v>25122</v>
      </c>
      <c r="CL33">
        <v>45</v>
      </c>
      <c r="CM33">
        <v>21330</v>
      </c>
      <c r="CN33">
        <v>43</v>
      </c>
      <c r="CO33">
        <v>20382</v>
      </c>
      <c r="CP33">
        <v>53</v>
      </c>
      <c r="CQ33">
        <v>25122</v>
      </c>
      <c r="CR33">
        <v>50</v>
      </c>
      <c r="CS33">
        <v>23700</v>
      </c>
      <c r="CT33">
        <v>53</v>
      </c>
      <c r="CU33">
        <v>25122</v>
      </c>
    </row>
    <row r="34" spans="2:99" x14ac:dyDescent="0.2">
      <c r="C34" s="116" t="s">
        <v>200</v>
      </c>
      <c r="D34">
        <v>39</v>
      </c>
      <c r="E34">
        <v>21387.599999999999</v>
      </c>
      <c r="F34">
        <v>27</v>
      </c>
      <c r="G34">
        <v>14806.8</v>
      </c>
      <c r="H34">
        <v>46</v>
      </c>
      <c r="I34">
        <v>25226.399999999998</v>
      </c>
      <c r="J34">
        <v>52</v>
      </c>
      <c r="K34">
        <v>28516.799999999999</v>
      </c>
      <c r="L34">
        <v>45</v>
      </c>
      <c r="M34">
        <v>24678</v>
      </c>
      <c r="N34">
        <v>43</v>
      </c>
      <c r="O34">
        <v>23581.200000000001</v>
      </c>
      <c r="P34">
        <v>37</v>
      </c>
      <c r="Q34">
        <v>20290.8</v>
      </c>
      <c r="R34">
        <v>40</v>
      </c>
      <c r="S34">
        <v>21936</v>
      </c>
      <c r="T34">
        <v>53</v>
      </c>
      <c r="U34">
        <v>29065.199999999997</v>
      </c>
      <c r="V34">
        <v>42</v>
      </c>
      <c r="W34">
        <v>23032.799999999999</v>
      </c>
      <c r="X34">
        <v>43</v>
      </c>
      <c r="Y34">
        <v>23581.200000000001</v>
      </c>
      <c r="Z34">
        <v>39</v>
      </c>
      <c r="AA34">
        <v>21387.599999999999</v>
      </c>
      <c r="AB34">
        <v>57</v>
      </c>
      <c r="AC34">
        <v>31258.799999999999</v>
      </c>
      <c r="AD34">
        <v>32</v>
      </c>
      <c r="AE34">
        <v>17548.8</v>
      </c>
      <c r="AF34">
        <v>39</v>
      </c>
      <c r="AG34">
        <v>21387.599999999999</v>
      </c>
      <c r="AH34">
        <v>29</v>
      </c>
      <c r="AI34">
        <v>15903.599999999999</v>
      </c>
      <c r="AJ34">
        <v>46</v>
      </c>
      <c r="AK34">
        <v>25226.399999999998</v>
      </c>
      <c r="AL34">
        <v>46</v>
      </c>
      <c r="AM34">
        <v>25226.399999999998</v>
      </c>
      <c r="AN34">
        <v>52</v>
      </c>
      <c r="AO34">
        <v>28516.799999999999</v>
      </c>
      <c r="AP34">
        <v>39</v>
      </c>
      <c r="AQ34">
        <v>21387.599999999999</v>
      </c>
      <c r="AR34">
        <v>37</v>
      </c>
      <c r="AS34">
        <v>20290.8</v>
      </c>
      <c r="AT34">
        <v>38</v>
      </c>
      <c r="AU34">
        <v>20839.2</v>
      </c>
      <c r="AV34">
        <v>44</v>
      </c>
      <c r="AW34">
        <v>24129.599999999999</v>
      </c>
      <c r="AX34">
        <v>45</v>
      </c>
      <c r="AY34">
        <v>24678</v>
      </c>
      <c r="AZ34">
        <v>52</v>
      </c>
      <c r="BA34">
        <v>28516.799999999999</v>
      </c>
      <c r="BB34">
        <v>39</v>
      </c>
      <c r="BC34">
        <v>21387.599999999999</v>
      </c>
      <c r="BD34">
        <v>42</v>
      </c>
      <c r="BE34">
        <v>23032.799999999999</v>
      </c>
      <c r="BF34">
        <v>34</v>
      </c>
      <c r="BG34">
        <v>18645.599999999999</v>
      </c>
      <c r="BH34">
        <v>37</v>
      </c>
      <c r="BI34">
        <v>20290.8</v>
      </c>
      <c r="BJ34">
        <v>44</v>
      </c>
      <c r="BK34">
        <v>24129.599999999999</v>
      </c>
      <c r="BL34">
        <v>42</v>
      </c>
      <c r="BM34">
        <v>23032.799999999999</v>
      </c>
      <c r="BN34">
        <v>56</v>
      </c>
      <c r="BO34">
        <v>30710.399999999998</v>
      </c>
      <c r="BP34">
        <v>58</v>
      </c>
      <c r="BQ34">
        <v>31807.199999999997</v>
      </c>
      <c r="BR34">
        <v>52</v>
      </c>
      <c r="BS34">
        <v>28516.799999999999</v>
      </c>
      <c r="BT34">
        <v>47</v>
      </c>
      <c r="BU34">
        <v>25774.799999999999</v>
      </c>
      <c r="BV34">
        <v>50</v>
      </c>
      <c r="BW34">
        <v>27420</v>
      </c>
      <c r="BX34">
        <v>37</v>
      </c>
      <c r="BY34">
        <v>20290.8</v>
      </c>
      <c r="BZ34">
        <v>39</v>
      </c>
      <c r="CA34">
        <v>21387.599999999999</v>
      </c>
      <c r="CB34">
        <v>31</v>
      </c>
      <c r="CC34">
        <v>17000.399999999998</v>
      </c>
      <c r="CD34">
        <v>37</v>
      </c>
      <c r="CE34">
        <v>20290.8</v>
      </c>
      <c r="CF34">
        <v>56</v>
      </c>
      <c r="CG34">
        <v>30710.399999999998</v>
      </c>
      <c r="CH34">
        <v>39</v>
      </c>
      <c r="CI34">
        <v>21387.599999999999</v>
      </c>
      <c r="CJ34">
        <v>46</v>
      </c>
      <c r="CK34">
        <v>25226.399999999998</v>
      </c>
      <c r="CL34">
        <v>43</v>
      </c>
      <c r="CM34">
        <v>23581.200000000001</v>
      </c>
      <c r="CN34">
        <v>48</v>
      </c>
      <c r="CO34">
        <v>26323.199999999997</v>
      </c>
      <c r="CP34">
        <v>55</v>
      </c>
      <c r="CQ34">
        <v>30162</v>
      </c>
      <c r="CR34">
        <v>43</v>
      </c>
      <c r="CS34">
        <v>23581.200000000001</v>
      </c>
      <c r="CT34">
        <v>47</v>
      </c>
      <c r="CU34">
        <v>25774.799999999999</v>
      </c>
    </row>
    <row r="35" spans="2:99" x14ac:dyDescent="0.2">
      <c r="C35" s="116" t="s">
        <v>201</v>
      </c>
      <c r="D35">
        <v>35</v>
      </c>
      <c r="E35">
        <v>17597.999999999996</v>
      </c>
      <c r="F35">
        <v>25</v>
      </c>
      <c r="G35">
        <v>12569.999999999998</v>
      </c>
      <c r="H35">
        <v>51</v>
      </c>
      <c r="I35">
        <v>25642.799999999996</v>
      </c>
      <c r="J35">
        <v>47</v>
      </c>
      <c r="K35">
        <v>23631.599999999995</v>
      </c>
      <c r="L35">
        <v>44</v>
      </c>
      <c r="M35">
        <v>22123.199999999997</v>
      </c>
      <c r="N35">
        <v>38</v>
      </c>
      <c r="O35">
        <v>19106.399999999998</v>
      </c>
      <c r="P35">
        <v>38</v>
      </c>
      <c r="Q35">
        <v>19106.399999999998</v>
      </c>
      <c r="R35">
        <v>44</v>
      </c>
      <c r="S35">
        <v>22123.199999999997</v>
      </c>
      <c r="T35">
        <v>50</v>
      </c>
      <c r="U35">
        <v>25139.999999999996</v>
      </c>
      <c r="V35">
        <v>44</v>
      </c>
      <c r="W35">
        <v>22123.199999999997</v>
      </c>
      <c r="X35">
        <v>44</v>
      </c>
      <c r="Y35">
        <v>22123.199999999997</v>
      </c>
      <c r="Z35">
        <v>41</v>
      </c>
      <c r="AA35">
        <v>20614.799999999996</v>
      </c>
      <c r="AB35">
        <v>53</v>
      </c>
      <c r="AC35">
        <v>26648.399999999994</v>
      </c>
      <c r="AD35">
        <v>29</v>
      </c>
      <c r="AE35">
        <v>14581.199999999997</v>
      </c>
      <c r="AF35">
        <v>39</v>
      </c>
      <c r="AG35">
        <v>19609.199999999997</v>
      </c>
      <c r="AH35">
        <v>28</v>
      </c>
      <c r="AI35">
        <v>14078.399999999998</v>
      </c>
      <c r="AJ35">
        <v>46</v>
      </c>
      <c r="AK35">
        <v>23128.799999999996</v>
      </c>
      <c r="AL35">
        <v>39</v>
      </c>
      <c r="AM35">
        <v>19609.199999999997</v>
      </c>
      <c r="AN35">
        <v>56</v>
      </c>
      <c r="AO35">
        <v>28156.799999999996</v>
      </c>
      <c r="AP35">
        <v>48</v>
      </c>
      <c r="AQ35">
        <v>24134.399999999994</v>
      </c>
      <c r="AR35">
        <v>39</v>
      </c>
      <c r="AS35">
        <v>19609.199999999997</v>
      </c>
      <c r="AT35">
        <v>36</v>
      </c>
      <c r="AU35">
        <v>18100.799999999996</v>
      </c>
      <c r="AV35">
        <v>42</v>
      </c>
      <c r="AW35">
        <v>21117.599999999995</v>
      </c>
      <c r="AX35">
        <v>44</v>
      </c>
      <c r="AY35">
        <v>22123.199999999997</v>
      </c>
      <c r="AZ35">
        <v>47</v>
      </c>
      <c r="BA35">
        <v>23631.599999999995</v>
      </c>
      <c r="BB35">
        <v>33</v>
      </c>
      <c r="BC35">
        <v>16592.399999999998</v>
      </c>
      <c r="BD35">
        <v>43</v>
      </c>
      <c r="BE35">
        <v>21620.399999999994</v>
      </c>
      <c r="BF35">
        <v>31</v>
      </c>
      <c r="BG35">
        <v>15586.799999999997</v>
      </c>
      <c r="BH35">
        <v>33</v>
      </c>
      <c r="BI35">
        <v>16592.399999999998</v>
      </c>
      <c r="BJ35">
        <v>44</v>
      </c>
      <c r="BK35">
        <v>22123.199999999997</v>
      </c>
      <c r="BL35">
        <v>45</v>
      </c>
      <c r="BM35">
        <v>22625.999999999996</v>
      </c>
      <c r="BN35">
        <v>57</v>
      </c>
      <c r="BO35">
        <v>28659.599999999995</v>
      </c>
      <c r="BP35">
        <v>58</v>
      </c>
      <c r="BQ35">
        <v>29162.399999999994</v>
      </c>
      <c r="BR35">
        <v>56</v>
      </c>
      <c r="BS35">
        <v>28156.799999999996</v>
      </c>
      <c r="BT35">
        <v>46</v>
      </c>
      <c r="BU35">
        <v>23128.799999999996</v>
      </c>
      <c r="BV35">
        <v>47</v>
      </c>
      <c r="BW35">
        <v>23631.599999999995</v>
      </c>
      <c r="BX35">
        <v>33</v>
      </c>
      <c r="BY35">
        <v>16592.399999999998</v>
      </c>
      <c r="BZ35">
        <v>40</v>
      </c>
      <c r="CA35">
        <v>20111.999999999996</v>
      </c>
      <c r="CB35">
        <v>34</v>
      </c>
      <c r="CC35">
        <v>17095.199999999997</v>
      </c>
      <c r="CD35">
        <v>38</v>
      </c>
      <c r="CE35">
        <v>19106.399999999998</v>
      </c>
      <c r="CF35">
        <v>60</v>
      </c>
      <c r="CG35">
        <v>30167.999999999993</v>
      </c>
      <c r="CH35">
        <v>35</v>
      </c>
      <c r="CI35">
        <v>17597.999999999996</v>
      </c>
      <c r="CJ35">
        <v>48</v>
      </c>
      <c r="CK35">
        <v>24134.399999999994</v>
      </c>
      <c r="CL35">
        <v>42</v>
      </c>
      <c r="CM35">
        <v>21117.599999999995</v>
      </c>
      <c r="CN35">
        <v>49</v>
      </c>
      <c r="CO35">
        <v>24637.199999999993</v>
      </c>
      <c r="CP35">
        <v>47</v>
      </c>
      <c r="CQ35">
        <v>23631.599999999995</v>
      </c>
      <c r="CR35">
        <v>47</v>
      </c>
      <c r="CS35">
        <v>23631.599999999995</v>
      </c>
      <c r="CT35">
        <v>47</v>
      </c>
      <c r="CU35">
        <v>23631.599999999995</v>
      </c>
    </row>
    <row r="36" spans="2:99" x14ac:dyDescent="0.2">
      <c r="C36" s="116" t="s">
        <v>202</v>
      </c>
      <c r="D36">
        <v>36</v>
      </c>
      <c r="E36">
        <v>27388.799999999999</v>
      </c>
      <c r="F36">
        <v>24</v>
      </c>
      <c r="G36">
        <v>18259.199999999997</v>
      </c>
      <c r="H36">
        <v>46</v>
      </c>
      <c r="I36">
        <v>34996.799999999996</v>
      </c>
      <c r="J36">
        <v>45</v>
      </c>
      <c r="K36">
        <v>34236</v>
      </c>
      <c r="L36">
        <v>49</v>
      </c>
      <c r="M36">
        <v>37279.199999999997</v>
      </c>
      <c r="N36">
        <v>41</v>
      </c>
      <c r="O36">
        <v>31192.799999999999</v>
      </c>
      <c r="P36">
        <v>41</v>
      </c>
      <c r="Q36">
        <v>31192.799999999999</v>
      </c>
      <c r="R36">
        <v>40</v>
      </c>
      <c r="S36">
        <v>30432</v>
      </c>
      <c r="T36">
        <v>49</v>
      </c>
      <c r="U36">
        <v>37279.199999999997</v>
      </c>
      <c r="V36">
        <v>43</v>
      </c>
      <c r="W36">
        <v>32714.399999999998</v>
      </c>
      <c r="X36">
        <v>44</v>
      </c>
      <c r="Y36">
        <v>33475.199999999997</v>
      </c>
      <c r="Z36">
        <v>38</v>
      </c>
      <c r="AA36">
        <v>28910.399999999998</v>
      </c>
      <c r="AB36">
        <v>49</v>
      </c>
      <c r="AC36">
        <v>37279.199999999997</v>
      </c>
      <c r="AD36">
        <v>28</v>
      </c>
      <c r="AE36">
        <v>21302.399999999998</v>
      </c>
      <c r="AF36">
        <v>38</v>
      </c>
      <c r="AG36">
        <v>28910.399999999998</v>
      </c>
      <c r="AH36">
        <v>31</v>
      </c>
      <c r="AI36">
        <v>23584.799999999999</v>
      </c>
      <c r="AJ36">
        <v>45</v>
      </c>
      <c r="AK36">
        <v>34236</v>
      </c>
      <c r="AL36">
        <v>43</v>
      </c>
      <c r="AM36">
        <v>32714.399999999998</v>
      </c>
      <c r="AN36">
        <v>52</v>
      </c>
      <c r="AO36">
        <v>39561.599999999999</v>
      </c>
      <c r="AP36">
        <v>46</v>
      </c>
      <c r="AQ36">
        <v>34996.799999999996</v>
      </c>
      <c r="AR36">
        <v>40</v>
      </c>
      <c r="AS36">
        <v>30432</v>
      </c>
      <c r="AT36">
        <v>38</v>
      </c>
      <c r="AU36">
        <v>28910.399999999998</v>
      </c>
      <c r="AV36">
        <v>37</v>
      </c>
      <c r="AW36">
        <v>28149.599999999999</v>
      </c>
      <c r="AX36">
        <v>46</v>
      </c>
      <c r="AY36">
        <v>34996.799999999996</v>
      </c>
      <c r="AZ36">
        <v>42</v>
      </c>
      <c r="BA36">
        <v>31953.599999999999</v>
      </c>
      <c r="BB36">
        <v>35</v>
      </c>
      <c r="BC36">
        <v>26628</v>
      </c>
      <c r="BD36">
        <v>36</v>
      </c>
      <c r="BE36">
        <v>27388.799999999999</v>
      </c>
      <c r="BF36">
        <v>29</v>
      </c>
      <c r="BG36">
        <v>22063.199999999997</v>
      </c>
      <c r="BH36">
        <v>34</v>
      </c>
      <c r="BI36">
        <v>25867.199999999997</v>
      </c>
      <c r="BJ36">
        <v>44</v>
      </c>
      <c r="BK36">
        <v>33475.199999999997</v>
      </c>
      <c r="BL36">
        <v>42</v>
      </c>
      <c r="BM36">
        <v>31953.599999999999</v>
      </c>
      <c r="BN36">
        <v>53</v>
      </c>
      <c r="BO36">
        <v>40322.399999999994</v>
      </c>
      <c r="BP36">
        <v>47</v>
      </c>
      <c r="BQ36">
        <v>35757.599999999999</v>
      </c>
      <c r="BR36">
        <v>46</v>
      </c>
      <c r="BS36">
        <v>34996.799999999996</v>
      </c>
      <c r="BT36">
        <v>40</v>
      </c>
      <c r="BU36">
        <v>30432</v>
      </c>
      <c r="BV36">
        <v>44</v>
      </c>
      <c r="BW36">
        <v>33475.199999999997</v>
      </c>
      <c r="BX36">
        <v>34</v>
      </c>
      <c r="BY36">
        <v>25867.199999999997</v>
      </c>
      <c r="BZ36">
        <v>42</v>
      </c>
      <c r="CA36">
        <v>31953.599999999999</v>
      </c>
      <c r="CB36">
        <v>31</v>
      </c>
      <c r="CC36">
        <v>23584.799999999999</v>
      </c>
      <c r="CD36">
        <v>35</v>
      </c>
      <c r="CE36">
        <v>26628</v>
      </c>
      <c r="CF36">
        <v>60</v>
      </c>
      <c r="CG36">
        <v>45648</v>
      </c>
      <c r="CH36">
        <v>42</v>
      </c>
      <c r="CI36">
        <v>31953.599999999999</v>
      </c>
      <c r="CJ36">
        <v>49</v>
      </c>
      <c r="CK36">
        <v>37279.199999999997</v>
      </c>
      <c r="CL36">
        <v>43</v>
      </c>
      <c r="CM36">
        <v>32714.399999999998</v>
      </c>
      <c r="CN36">
        <v>42</v>
      </c>
      <c r="CO36">
        <v>31953.599999999999</v>
      </c>
      <c r="CP36">
        <v>50</v>
      </c>
      <c r="CQ36">
        <v>38040</v>
      </c>
      <c r="CR36">
        <v>45</v>
      </c>
      <c r="CS36">
        <v>34236</v>
      </c>
      <c r="CT36">
        <v>47</v>
      </c>
      <c r="CU36">
        <v>35757.599999999999</v>
      </c>
    </row>
    <row r="37" spans="2:99" x14ac:dyDescent="0.2">
      <c r="B37" s="116" t="s">
        <v>128</v>
      </c>
      <c r="C37" s="116" t="s">
        <v>203</v>
      </c>
      <c r="D37">
        <v>20</v>
      </c>
      <c r="E37">
        <v>17208</v>
      </c>
      <c r="F37">
        <v>22</v>
      </c>
      <c r="G37">
        <v>18928.8</v>
      </c>
      <c r="H37">
        <v>35</v>
      </c>
      <c r="I37">
        <v>30114</v>
      </c>
      <c r="J37">
        <v>36</v>
      </c>
      <c r="K37">
        <v>30974.399999999998</v>
      </c>
      <c r="L37">
        <v>28</v>
      </c>
      <c r="M37">
        <v>24091.200000000001</v>
      </c>
      <c r="N37">
        <v>37</v>
      </c>
      <c r="O37">
        <v>31834.799999999999</v>
      </c>
      <c r="P37">
        <v>36</v>
      </c>
      <c r="Q37">
        <v>30974.399999999998</v>
      </c>
      <c r="R37">
        <v>38</v>
      </c>
      <c r="S37">
        <v>32695.200000000001</v>
      </c>
      <c r="T37">
        <v>30</v>
      </c>
      <c r="U37">
        <v>25812</v>
      </c>
      <c r="V37">
        <v>39</v>
      </c>
      <c r="W37">
        <v>33555.599999999999</v>
      </c>
      <c r="X37">
        <v>27</v>
      </c>
      <c r="Y37">
        <v>23230.799999999999</v>
      </c>
      <c r="Z37">
        <v>28</v>
      </c>
      <c r="AA37">
        <v>24091.200000000001</v>
      </c>
      <c r="AB37">
        <v>32</v>
      </c>
      <c r="AC37">
        <v>27532.799999999999</v>
      </c>
      <c r="AD37">
        <v>33</v>
      </c>
      <c r="AE37">
        <v>28393.200000000001</v>
      </c>
      <c r="AF37">
        <v>38</v>
      </c>
      <c r="AG37">
        <v>32695.200000000001</v>
      </c>
      <c r="AH37">
        <v>23</v>
      </c>
      <c r="AI37">
        <v>19789.2</v>
      </c>
      <c r="AJ37">
        <v>35</v>
      </c>
      <c r="AK37">
        <v>30114</v>
      </c>
      <c r="AL37">
        <v>33</v>
      </c>
      <c r="AM37">
        <v>28393.200000000001</v>
      </c>
      <c r="AN37">
        <v>26</v>
      </c>
      <c r="AO37">
        <v>22370.399999999998</v>
      </c>
      <c r="AP37">
        <v>43</v>
      </c>
      <c r="AQ37">
        <v>36997.199999999997</v>
      </c>
      <c r="AR37">
        <v>43</v>
      </c>
      <c r="AS37">
        <v>36997.199999999997</v>
      </c>
      <c r="AT37">
        <v>39</v>
      </c>
      <c r="AU37">
        <v>33555.599999999999</v>
      </c>
      <c r="AV37">
        <v>39</v>
      </c>
      <c r="AW37">
        <v>33555.599999999999</v>
      </c>
      <c r="AX37">
        <v>23</v>
      </c>
      <c r="AY37">
        <v>19789.2</v>
      </c>
      <c r="AZ37">
        <v>40</v>
      </c>
      <c r="BA37">
        <v>34416</v>
      </c>
      <c r="BB37">
        <v>35</v>
      </c>
      <c r="BC37">
        <v>30114</v>
      </c>
      <c r="BD37">
        <v>24</v>
      </c>
      <c r="BE37">
        <v>20649.599999999999</v>
      </c>
      <c r="BF37">
        <v>39</v>
      </c>
      <c r="BG37">
        <v>33555.599999999999</v>
      </c>
      <c r="BH37">
        <v>36</v>
      </c>
      <c r="BI37">
        <v>30974.399999999998</v>
      </c>
      <c r="BJ37">
        <v>23</v>
      </c>
      <c r="BK37">
        <v>19789.2</v>
      </c>
      <c r="BL37">
        <v>27</v>
      </c>
      <c r="BM37">
        <v>23230.799999999999</v>
      </c>
      <c r="BN37">
        <v>31</v>
      </c>
      <c r="BO37">
        <v>26672.399999999998</v>
      </c>
      <c r="BP37">
        <v>33</v>
      </c>
      <c r="BQ37">
        <v>28393.200000000001</v>
      </c>
      <c r="BR37">
        <v>43</v>
      </c>
      <c r="BS37">
        <v>36997.199999999997</v>
      </c>
      <c r="BT37">
        <v>29</v>
      </c>
      <c r="BU37">
        <v>24951.599999999999</v>
      </c>
      <c r="BV37">
        <v>43</v>
      </c>
      <c r="BW37">
        <v>36997.199999999997</v>
      </c>
      <c r="BX37">
        <v>31</v>
      </c>
      <c r="BY37">
        <v>26672.399999999998</v>
      </c>
      <c r="BZ37">
        <v>45</v>
      </c>
      <c r="CA37">
        <v>38718</v>
      </c>
      <c r="CB37">
        <v>31</v>
      </c>
      <c r="CC37">
        <v>26672.399999999998</v>
      </c>
      <c r="CD37">
        <v>37</v>
      </c>
      <c r="CE37">
        <v>31834.799999999999</v>
      </c>
      <c r="CF37">
        <v>32</v>
      </c>
      <c r="CG37">
        <v>27532.799999999999</v>
      </c>
      <c r="CH37">
        <v>43</v>
      </c>
      <c r="CI37">
        <v>36997.199999999997</v>
      </c>
      <c r="CJ37">
        <v>25</v>
      </c>
      <c r="CK37">
        <v>21510</v>
      </c>
      <c r="CL37">
        <v>29</v>
      </c>
      <c r="CM37">
        <v>24951.599999999999</v>
      </c>
      <c r="CN37">
        <v>29</v>
      </c>
      <c r="CO37">
        <v>24951.599999999999</v>
      </c>
      <c r="CP37">
        <v>23</v>
      </c>
      <c r="CQ37">
        <v>19789.2</v>
      </c>
      <c r="CR37">
        <v>38</v>
      </c>
      <c r="CS37">
        <v>32695.200000000001</v>
      </c>
      <c r="CT37">
        <v>37</v>
      </c>
      <c r="CU37">
        <v>31834.799999999999</v>
      </c>
    </row>
    <row r="38" spans="2:99" x14ac:dyDescent="0.2">
      <c r="C38" s="116" t="s">
        <v>204</v>
      </c>
      <c r="D38">
        <v>22</v>
      </c>
      <c r="E38">
        <v>27324</v>
      </c>
      <c r="F38">
        <v>22</v>
      </c>
      <c r="G38">
        <v>27324</v>
      </c>
      <c r="H38">
        <v>38</v>
      </c>
      <c r="I38">
        <v>47196</v>
      </c>
      <c r="J38">
        <v>33</v>
      </c>
      <c r="K38">
        <v>40986</v>
      </c>
      <c r="L38">
        <v>28</v>
      </c>
      <c r="M38">
        <v>34776</v>
      </c>
      <c r="N38">
        <v>35</v>
      </c>
      <c r="O38">
        <v>43470</v>
      </c>
      <c r="P38">
        <v>38</v>
      </c>
      <c r="Q38">
        <v>47196</v>
      </c>
      <c r="R38">
        <v>35</v>
      </c>
      <c r="S38">
        <v>43470</v>
      </c>
      <c r="T38">
        <v>31</v>
      </c>
      <c r="U38">
        <v>38502</v>
      </c>
      <c r="V38">
        <v>38</v>
      </c>
      <c r="W38">
        <v>47196</v>
      </c>
      <c r="X38">
        <v>29</v>
      </c>
      <c r="Y38">
        <v>36018</v>
      </c>
      <c r="Z38">
        <v>24</v>
      </c>
      <c r="AA38">
        <v>29808</v>
      </c>
      <c r="AB38">
        <v>32</v>
      </c>
      <c r="AC38">
        <v>39744</v>
      </c>
      <c r="AD38">
        <v>31</v>
      </c>
      <c r="AE38">
        <v>38502</v>
      </c>
      <c r="AF38">
        <v>34</v>
      </c>
      <c r="AG38">
        <v>42228</v>
      </c>
      <c r="AH38">
        <v>23</v>
      </c>
      <c r="AI38">
        <v>28566</v>
      </c>
      <c r="AJ38">
        <v>33</v>
      </c>
      <c r="AK38">
        <v>40986</v>
      </c>
      <c r="AL38">
        <v>29</v>
      </c>
      <c r="AM38">
        <v>36018</v>
      </c>
      <c r="AN38">
        <v>26</v>
      </c>
      <c r="AO38">
        <v>32292</v>
      </c>
      <c r="AP38">
        <v>41</v>
      </c>
      <c r="AQ38">
        <v>50922</v>
      </c>
      <c r="AR38">
        <v>36</v>
      </c>
      <c r="AS38">
        <v>44712</v>
      </c>
      <c r="AT38">
        <v>41</v>
      </c>
      <c r="AU38">
        <v>50922</v>
      </c>
      <c r="AV38">
        <v>35</v>
      </c>
      <c r="AW38">
        <v>43470</v>
      </c>
      <c r="AX38">
        <v>22</v>
      </c>
      <c r="AY38">
        <v>27324</v>
      </c>
      <c r="AZ38">
        <v>42</v>
      </c>
      <c r="BA38">
        <v>52164</v>
      </c>
      <c r="BB38">
        <v>40</v>
      </c>
      <c r="BC38">
        <v>49680</v>
      </c>
      <c r="BD38">
        <v>23</v>
      </c>
      <c r="BE38">
        <v>28566</v>
      </c>
      <c r="BF38">
        <v>40</v>
      </c>
      <c r="BG38">
        <v>49680</v>
      </c>
      <c r="BH38">
        <v>38</v>
      </c>
      <c r="BI38">
        <v>47196</v>
      </c>
      <c r="BJ38">
        <v>24</v>
      </c>
      <c r="BK38">
        <v>29808</v>
      </c>
      <c r="BL38">
        <v>24</v>
      </c>
      <c r="BM38">
        <v>29808</v>
      </c>
      <c r="BN38">
        <v>33</v>
      </c>
      <c r="BO38">
        <v>40986</v>
      </c>
      <c r="BP38">
        <v>35</v>
      </c>
      <c r="BQ38">
        <v>43470</v>
      </c>
      <c r="BR38">
        <v>37</v>
      </c>
      <c r="BS38">
        <v>45954</v>
      </c>
      <c r="BT38">
        <v>29</v>
      </c>
      <c r="BU38">
        <v>36018</v>
      </c>
      <c r="BV38">
        <v>44</v>
      </c>
      <c r="BW38">
        <v>54648</v>
      </c>
      <c r="BX38">
        <v>29</v>
      </c>
      <c r="BY38">
        <v>36018</v>
      </c>
      <c r="BZ38">
        <v>40</v>
      </c>
      <c r="CA38">
        <v>49680</v>
      </c>
      <c r="CB38">
        <v>28</v>
      </c>
      <c r="CC38">
        <v>34776</v>
      </c>
      <c r="CD38">
        <v>37</v>
      </c>
      <c r="CE38">
        <v>45954</v>
      </c>
      <c r="CF38">
        <v>28</v>
      </c>
      <c r="CG38">
        <v>34776</v>
      </c>
      <c r="CH38">
        <v>44</v>
      </c>
      <c r="CI38">
        <v>54648</v>
      </c>
      <c r="CJ38">
        <v>23</v>
      </c>
      <c r="CK38">
        <v>28566</v>
      </c>
      <c r="CL38">
        <v>29</v>
      </c>
      <c r="CM38">
        <v>36018</v>
      </c>
      <c r="CN38">
        <v>26</v>
      </c>
      <c r="CO38">
        <v>32292</v>
      </c>
      <c r="CP38">
        <v>20</v>
      </c>
      <c r="CQ38">
        <v>24840</v>
      </c>
      <c r="CR38">
        <v>39</v>
      </c>
      <c r="CS38">
        <v>48438</v>
      </c>
      <c r="CT38">
        <v>39</v>
      </c>
      <c r="CU38">
        <v>48438</v>
      </c>
    </row>
    <row r="39" spans="2:99" x14ac:dyDescent="0.2">
      <c r="C39" s="116" t="s">
        <v>205</v>
      </c>
      <c r="D39">
        <v>21</v>
      </c>
      <c r="E39">
        <v>29887.200000000001</v>
      </c>
      <c r="F39">
        <v>20</v>
      </c>
      <c r="G39">
        <v>28464</v>
      </c>
      <c r="H39">
        <v>38</v>
      </c>
      <c r="I39">
        <v>54081.599999999999</v>
      </c>
      <c r="J39">
        <v>31</v>
      </c>
      <c r="K39">
        <v>44119.200000000004</v>
      </c>
      <c r="L39">
        <v>25</v>
      </c>
      <c r="M39">
        <v>35580</v>
      </c>
      <c r="N39">
        <v>32</v>
      </c>
      <c r="O39">
        <v>45542.400000000001</v>
      </c>
      <c r="P39">
        <v>37</v>
      </c>
      <c r="Q39">
        <v>52658.400000000001</v>
      </c>
      <c r="R39">
        <v>36</v>
      </c>
      <c r="S39">
        <v>51235.200000000004</v>
      </c>
      <c r="T39">
        <v>28</v>
      </c>
      <c r="U39">
        <v>39849.599999999999</v>
      </c>
      <c r="V39">
        <v>39</v>
      </c>
      <c r="W39">
        <v>55504.800000000003</v>
      </c>
      <c r="X39">
        <v>25</v>
      </c>
      <c r="Y39">
        <v>35580</v>
      </c>
      <c r="Z39">
        <v>27</v>
      </c>
      <c r="AA39">
        <v>38426.400000000001</v>
      </c>
      <c r="AB39">
        <v>33</v>
      </c>
      <c r="AC39">
        <v>46965.599999999999</v>
      </c>
      <c r="AD39">
        <v>26</v>
      </c>
      <c r="AE39">
        <v>37003.200000000004</v>
      </c>
      <c r="AF39">
        <v>39</v>
      </c>
      <c r="AG39">
        <v>55504.800000000003</v>
      </c>
      <c r="AH39">
        <v>21</v>
      </c>
      <c r="AI39">
        <v>29887.200000000001</v>
      </c>
      <c r="AJ39">
        <v>37</v>
      </c>
      <c r="AK39">
        <v>52658.400000000001</v>
      </c>
      <c r="AL39">
        <v>28</v>
      </c>
      <c r="AM39">
        <v>39849.599999999999</v>
      </c>
      <c r="AN39">
        <v>23</v>
      </c>
      <c r="AO39">
        <v>32733.600000000002</v>
      </c>
      <c r="AP39">
        <v>38</v>
      </c>
      <c r="AQ39">
        <v>54081.599999999999</v>
      </c>
      <c r="AR39">
        <v>35</v>
      </c>
      <c r="AS39">
        <v>49812</v>
      </c>
      <c r="AT39">
        <v>39</v>
      </c>
      <c r="AU39">
        <v>55504.800000000003</v>
      </c>
      <c r="AV39">
        <v>33</v>
      </c>
      <c r="AW39">
        <v>46965.599999999999</v>
      </c>
      <c r="AX39">
        <v>21</v>
      </c>
      <c r="AY39">
        <v>29887.200000000001</v>
      </c>
      <c r="AZ39">
        <v>43</v>
      </c>
      <c r="BA39">
        <v>61197.599999999999</v>
      </c>
      <c r="BB39">
        <v>36</v>
      </c>
      <c r="BC39">
        <v>51235.200000000004</v>
      </c>
      <c r="BD39">
        <v>25</v>
      </c>
      <c r="BE39">
        <v>35580</v>
      </c>
      <c r="BF39">
        <v>37</v>
      </c>
      <c r="BG39">
        <v>52658.400000000001</v>
      </c>
      <c r="BH39">
        <v>36</v>
      </c>
      <c r="BI39">
        <v>51235.200000000004</v>
      </c>
      <c r="BJ39">
        <v>21</v>
      </c>
      <c r="BK39">
        <v>29887.200000000001</v>
      </c>
      <c r="BL39">
        <v>22</v>
      </c>
      <c r="BM39">
        <v>31310.400000000001</v>
      </c>
      <c r="BN39">
        <v>31</v>
      </c>
      <c r="BO39">
        <v>44119.200000000004</v>
      </c>
      <c r="BP39">
        <v>35</v>
      </c>
      <c r="BQ39">
        <v>49812</v>
      </c>
      <c r="BR39">
        <v>34</v>
      </c>
      <c r="BS39">
        <v>48388.800000000003</v>
      </c>
      <c r="BT39">
        <v>30</v>
      </c>
      <c r="BU39">
        <v>42696</v>
      </c>
      <c r="BV39">
        <v>42</v>
      </c>
      <c r="BW39">
        <v>59774.400000000001</v>
      </c>
      <c r="BX39">
        <v>29</v>
      </c>
      <c r="BY39">
        <v>41272.800000000003</v>
      </c>
      <c r="BZ39">
        <v>35</v>
      </c>
      <c r="CA39">
        <v>49812</v>
      </c>
      <c r="CB39">
        <v>27</v>
      </c>
      <c r="CC39">
        <v>38426.400000000001</v>
      </c>
      <c r="CD39">
        <v>36</v>
      </c>
      <c r="CE39">
        <v>51235.200000000004</v>
      </c>
      <c r="CF39">
        <v>33</v>
      </c>
      <c r="CG39">
        <v>46965.599999999999</v>
      </c>
      <c r="CH39">
        <v>44</v>
      </c>
      <c r="CI39">
        <v>62620.800000000003</v>
      </c>
      <c r="CJ39">
        <v>21</v>
      </c>
      <c r="CK39">
        <v>29887.200000000001</v>
      </c>
      <c r="CL39">
        <v>25</v>
      </c>
      <c r="CM39">
        <v>35580</v>
      </c>
      <c r="CN39">
        <v>24</v>
      </c>
      <c r="CO39">
        <v>34156.800000000003</v>
      </c>
      <c r="CP39">
        <v>20</v>
      </c>
      <c r="CQ39">
        <v>28464</v>
      </c>
      <c r="CR39">
        <v>35</v>
      </c>
      <c r="CS39">
        <v>49812</v>
      </c>
      <c r="CT39">
        <v>36</v>
      </c>
      <c r="CU39">
        <v>51235.200000000004</v>
      </c>
    </row>
    <row r="40" spans="2:99" x14ac:dyDescent="0.2">
      <c r="C40" s="116" t="s">
        <v>206</v>
      </c>
      <c r="D40">
        <v>21</v>
      </c>
      <c r="E40">
        <v>15220.8</v>
      </c>
      <c r="F40">
        <v>22</v>
      </c>
      <c r="G40">
        <v>15945.599999999999</v>
      </c>
      <c r="H40">
        <v>39</v>
      </c>
      <c r="I40">
        <v>28267.199999999997</v>
      </c>
      <c r="J40">
        <v>33</v>
      </c>
      <c r="K40">
        <v>23918.399999999998</v>
      </c>
      <c r="L40">
        <v>28</v>
      </c>
      <c r="M40">
        <v>20294.399999999998</v>
      </c>
      <c r="N40">
        <v>34</v>
      </c>
      <c r="O40">
        <v>24643.199999999997</v>
      </c>
      <c r="P40">
        <v>37</v>
      </c>
      <c r="Q40">
        <v>26817.599999999999</v>
      </c>
      <c r="R40">
        <v>37</v>
      </c>
      <c r="S40">
        <v>26817.599999999999</v>
      </c>
      <c r="T40">
        <v>30</v>
      </c>
      <c r="U40">
        <v>21744</v>
      </c>
      <c r="V40">
        <v>43</v>
      </c>
      <c r="W40">
        <v>31166.399999999998</v>
      </c>
      <c r="X40">
        <v>31</v>
      </c>
      <c r="Y40">
        <v>22468.799999999999</v>
      </c>
      <c r="Z40">
        <v>29</v>
      </c>
      <c r="AA40">
        <v>21019.199999999997</v>
      </c>
      <c r="AB40">
        <v>33</v>
      </c>
      <c r="AC40">
        <v>23918.399999999998</v>
      </c>
      <c r="AD40">
        <v>34</v>
      </c>
      <c r="AE40">
        <v>24643.199999999997</v>
      </c>
      <c r="AF40">
        <v>37</v>
      </c>
      <c r="AG40">
        <v>26817.599999999999</v>
      </c>
      <c r="AH40">
        <v>22</v>
      </c>
      <c r="AI40">
        <v>15945.599999999999</v>
      </c>
      <c r="AJ40">
        <v>41</v>
      </c>
      <c r="AK40">
        <v>29716.799999999999</v>
      </c>
      <c r="AL40">
        <v>30</v>
      </c>
      <c r="AM40">
        <v>21744</v>
      </c>
      <c r="AN40">
        <v>27</v>
      </c>
      <c r="AO40">
        <v>19569.599999999999</v>
      </c>
      <c r="AP40">
        <v>43</v>
      </c>
      <c r="AQ40">
        <v>31166.399999999998</v>
      </c>
      <c r="AR40">
        <v>38</v>
      </c>
      <c r="AS40">
        <v>27542.399999999998</v>
      </c>
      <c r="AT40">
        <v>40</v>
      </c>
      <c r="AU40">
        <v>28992</v>
      </c>
      <c r="AV40">
        <v>38</v>
      </c>
      <c r="AW40">
        <v>27542.399999999998</v>
      </c>
      <c r="AX40">
        <v>25</v>
      </c>
      <c r="AY40">
        <v>18120</v>
      </c>
      <c r="AZ40">
        <v>43</v>
      </c>
      <c r="BA40">
        <v>31166.399999999998</v>
      </c>
      <c r="BB40">
        <v>39</v>
      </c>
      <c r="BC40">
        <v>28267.199999999997</v>
      </c>
      <c r="BD40">
        <v>27</v>
      </c>
      <c r="BE40">
        <v>19569.599999999999</v>
      </c>
      <c r="BF40">
        <v>39</v>
      </c>
      <c r="BG40">
        <v>28267.199999999997</v>
      </c>
      <c r="BH40">
        <v>42</v>
      </c>
      <c r="BI40">
        <v>30441.599999999999</v>
      </c>
      <c r="BJ40">
        <v>23</v>
      </c>
      <c r="BK40">
        <v>16670.399999999998</v>
      </c>
      <c r="BL40">
        <v>26</v>
      </c>
      <c r="BM40">
        <v>18844.8</v>
      </c>
      <c r="BN40">
        <v>32</v>
      </c>
      <c r="BO40">
        <v>23193.599999999999</v>
      </c>
      <c r="BP40">
        <v>36</v>
      </c>
      <c r="BQ40">
        <v>26092.799999999999</v>
      </c>
      <c r="BR40">
        <v>42</v>
      </c>
      <c r="BS40">
        <v>30441.599999999999</v>
      </c>
      <c r="BT40">
        <v>30</v>
      </c>
      <c r="BU40">
        <v>21744</v>
      </c>
      <c r="BV40">
        <v>46</v>
      </c>
      <c r="BW40">
        <v>33340.799999999996</v>
      </c>
      <c r="BX40">
        <v>32</v>
      </c>
      <c r="BY40">
        <v>23193.599999999999</v>
      </c>
      <c r="BZ40">
        <v>39</v>
      </c>
      <c r="CA40">
        <v>28267.199999999997</v>
      </c>
      <c r="CB40">
        <v>32</v>
      </c>
      <c r="CC40">
        <v>23193.599999999999</v>
      </c>
      <c r="CD40">
        <v>40</v>
      </c>
      <c r="CE40">
        <v>28992</v>
      </c>
      <c r="CF40">
        <v>32</v>
      </c>
      <c r="CG40">
        <v>23193.599999999999</v>
      </c>
      <c r="CH40">
        <v>47</v>
      </c>
      <c r="CI40">
        <v>34065.599999999999</v>
      </c>
      <c r="CJ40">
        <v>26</v>
      </c>
      <c r="CK40">
        <v>18844.8</v>
      </c>
      <c r="CL40">
        <v>28</v>
      </c>
      <c r="CM40">
        <v>20294.399999999998</v>
      </c>
      <c r="CN40">
        <v>27</v>
      </c>
      <c r="CO40">
        <v>19569.599999999999</v>
      </c>
      <c r="CP40">
        <v>24</v>
      </c>
      <c r="CQ40">
        <v>17395.199999999997</v>
      </c>
      <c r="CR40">
        <v>43</v>
      </c>
      <c r="CS40">
        <v>31166.399999999998</v>
      </c>
      <c r="CT40">
        <v>42</v>
      </c>
      <c r="CU40">
        <v>30441.599999999999</v>
      </c>
    </row>
    <row r="41" spans="2:99" x14ac:dyDescent="0.2">
      <c r="C41" s="116" t="s">
        <v>207</v>
      </c>
      <c r="D41">
        <v>22</v>
      </c>
      <c r="E41">
        <v>14520</v>
      </c>
      <c r="F41">
        <v>24</v>
      </c>
      <c r="G41">
        <v>15840</v>
      </c>
      <c r="H41">
        <v>35</v>
      </c>
      <c r="I41">
        <v>23100</v>
      </c>
      <c r="J41">
        <v>38</v>
      </c>
      <c r="K41">
        <v>25080</v>
      </c>
      <c r="L41">
        <v>28</v>
      </c>
      <c r="M41">
        <v>18480</v>
      </c>
      <c r="N41">
        <v>39</v>
      </c>
      <c r="O41">
        <v>25740</v>
      </c>
      <c r="P41">
        <v>40</v>
      </c>
      <c r="Q41">
        <v>26400</v>
      </c>
      <c r="R41">
        <v>37</v>
      </c>
      <c r="S41">
        <v>24420</v>
      </c>
      <c r="T41">
        <v>30</v>
      </c>
      <c r="U41">
        <v>19800</v>
      </c>
      <c r="V41">
        <v>42</v>
      </c>
      <c r="W41">
        <v>27720</v>
      </c>
      <c r="X41">
        <v>26</v>
      </c>
      <c r="Y41">
        <v>17160</v>
      </c>
      <c r="Z41">
        <v>30</v>
      </c>
      <c r="AA41">
        <v>19800</v>
      </c>
      <c r="AB41">
        <v>32</v>
      </c>
      <c r="AC41">
        <v>21120</v>
      </c>
      <c r="AD41">
        <v>30</v>
      </c>
      <c r="AE41">
        <v>19800</v>
      </c>
      <c r="AF41">
        <v>39</v>
      </c>
      <c r="AG41">
        <v>25740</v>
      </c>
      <c r="AH41">
        <v>24</v>
      </c>
      <c r="AI41">
        <v>15840</v>
      </c>
      <c r="AJ41">
        <v>34</v>
      </c>
      <c r="AK41">
        <v>22440</v>
      </c>
      <c r="AL41">
        <v>36</v>
      </c>
      <c r="AM41">
        <v>23760</v>
      </c>
      <c r="AN41">
        <v>25</v>
      </c>
      <c r="AO41">
        <v>16500</v>
      </c>
      <c r="AP41">
        <v>43</v>
      </c>
      <c r="AQ41">
        <v>28380</v>
      </c>
      <c r="AR41">
        <v>39</v>
      </c>
      <c r="AS41">
        <v>25740</v>
      </c>
      <c r="AT41">
        <v>41</v>
      </c>
      <c r="AU41">
        <v>27060</v>
      </c>
      <c r="AV41">
        <v>38</v>
      </c>
      <c r="AW41">
        <v>25080</v>
      </c>
      <c r="AX41">
        <v>25</v>
      </c>
      <c r="AY41">
        <v>16500</v>
      </c>
      <c r="AZ41">
        <v>45</v>
      </c>
      <c r="BA41">
        <v>29700</v>
      </c>
      <c r="BB41">
        <v>43</v>
      </c>
      <c r="BC41">
        <v>28380</v>
      </c>
      <c r="BD41">
        <v>27</v>
      </c>
      <c r="BE41">
        <v>17820</v>
      </c>
      <c r="BF41">
        <v>41</v>
      </c>
      <c r="BG41">
        <v>27060</v>
      </c>
      <c r="BH41">
        <v>42</v>
      </c>
      <c r="BI41">
        <v>27720</v>
      </c>
      <c r="BJ41">
        <v>25</v>
      </c>
      <c r="BK41">
        <v>16500</v>
      </c>
      <c r="BL41">
        <v>28</v>
      </c>
      <c r="BM41">
        <v>18480</v>
      </c>
      <c r="BN41">
        <v>35</v>
      </c>
      <c r="BO41">
        <v>23100</v>
      </c>
      <c r="BP41">
        <v>35</v>
      </c>
      <c r="BQ41">
        <v>23100</v>
      </c>
      <c r="BR41">
        <v>42</v>
      </c>
      <c r="BS41">
        <v>27720</v>
      </c>
      <c r="BT41">
        <v>31</v>
      </c>
      <c r="BU41">
        <v>20460</v>
      </c>
      <c r="BV41">
        <v>44</v>
      </c>
      <c r="BW41">
        <v>29040</v>
      </c>
      <c r="BX41">
        <v>33</v>
      </c>
      <c r="BY41">
        <v>21780</v>
      </c>
      <c r="BZ41">
        <v>42</v>
      </c>
      <c r="CA41">
        <v>27720</v>
      </c>
      <c r="CB41">
        <v>28</v>
      </c>
      <c r="CC41">
        <v>18480</v>
      </c>
      <c r="CD41">
        <v>39</v>
      </c>
      <c r="CE41">
        <v>25740</v>
      </c>
      <c r="CF41">
        <v>32</v>
      </c>
      <c r="CG41">
        <v>21120</v>
      </c>
      <c r="CH41">
        <v>46</v>
      </c>
      <c r="CI41">
        <v>30360</v>
      </c>
      <c r="CJ41">
        <v>26</v>
      </c>
      <c r="CK41">
        <v>17160</v>
      </c>
      <c r="CL41">
        <v>29</v>
      </c>
      <c r="CM41">
        <v>19140</v>
      </c>
      <c r="CN41">
        <v>29</v>
      </c>
      <c r="CO41">
        <v>19140</v>
      </c>
      <c r="CP41">
        <v>23</v>
      </c>
      <c r="CQ41">
        <v>15180</v>
      </c>
      <c r="CR41">
        <v>37</v>
      </c>
      <c r="CS41">
        <v>24420</v>
      </c>
      <c r="CT41">
        <v>43</v>
      </c>
      <c r="CU41">
        <v>28380</v>
      </c>
    </row>
    <row r="42" spans="2:99" x14ac:dyDescent="0.2">
      <c r="C42" s="116" t="s">
        <v>208</v>
      </c>
      <c r="D42">
        <v>21</v>
      </c>
      <c r="E42">
        <v>17766</v>
      </c>
      <c r="F42">
        <v>21</v>
      </c>
      <c r="G42">
        <v>17766</v>
      </c>
      <c r="H42">
        <v>40</v>
      </c>
      <c r="I42">
        <v>33840</v>
      </c>
      <c r="J42">
        <v>37</v>
      </c>
      <c r="K42">
        <v>31302</v>
      </c>
      <c r="L42">
        <v>30</v>
      </c>
      <c r="M42">
        <v>25380</v>
      </c>
      <c r="N42">
        <v>35</v>
      </c>
      <c r="O42">
        <v>29610</v>
      </c>
      <c r="P42">
        <v>37</v>
      </c>
      <c r="Q42">
        <v>31302</v>
      </c>
      <c r="R42">
        <v>38</v>
      </c>
      <c r="S42">
        <v>32148</v>
      </c>
      <c r="T42">
        <v>33</v>
      </c>
      <c r="U42">
        <v>27918</v>
      </c>
      <c r="V42">
        <v>45</v>
      </c>
      <c r="W42">
        <v>38070</v>
      </c>
      <c r="X42">
        <v>30</v>
      </c>
      <c r="Y42">
        <v>25380</v>
      </c>
      <c r="Z42">
        <v>27</v>
      </c>
      <c r="AA42">
        <v>22842</v>
      </c>
      <c r="AB42">
        <v>34</v>
      </c>
      <c r="AC42">
        <v>28764</v>
      </c>
      <c r="AD42">
        <v>31</v>
      </c>
      <c r="AE42">
        <v>26226</v>
      </c>
      <c r="AF42">
        <v>39</v>
      </c>
      <c r="AG42">
        <v>32994</v>
      </c>
      <c r="AH42">
        <v>22</v>
      </c>
      <c r="AI42">
        <v>18612</v>
      </c>
      <c r="AJ42">
        <v>36</v>
      </c>
      <c r="AK42">
        <v>30456</v>
      </c>
      <c r="AL42">
        <v>34</v>
      </c>
      <c r="AM42">
        <v>28764</v>
      </c>
      <c r="AN42">
        <v>26</v>
      </c>
      <c r="AO42">
        <v>21996</v>
      </c>
      <c r="AP42">
        <v>38</v>
      </c>
      <c r="AQ42">
        <v>32148</v>
      </c>
      <c r="AR42">
        <v>37</v>
      </c>
      <c r="AS42">
        <v>31302</v>
      </c>
      <c r="AT42">
        <v>37</v>
      </c>
      <c r="AU42">
        <v>31302</v>
      </c>
      <c r="AV42">
        <v>32</v>
      </c>
      <c r="AW42">
        <v>27072</v>
      </c>
      <c r="AX42">
        <v>24</v>
      </c>
      <c r="AY42">
        <v>20304</v>
      </c>
      <c r="AZ42">
        <v>41</v>
      </c>
      <c r="BA42">
        <v>34686</v>
      </c>
      <c r="BB42">
        <v>36</v>
      </c>
      <c r="BC42">
        <v>30456</v>
      </c>
      <c r="BD42">
        <v>25</v>
      </c>
      <c r="BE42">
        <v>21150</v>
      </c>
      <c r="BF42">
        <v>43</v>
      </c>
      <c r="BG42">
        <v>36378</v>
      </c>
      <c r="BH42">
        <v>38</v>
      </c>
      <c r="BI42">
        <v>32148</v>
      </c>
      <c r="BJ42">
        <v>26</v>
      </c>
      <c r="BK42">
        <v>21996</v>
      </c>
      <c r="BL42">
        <v>26</v>
      </c>
      <c r="BM42">
        <v>21996</v>
      </c>
      <c r="BN42">
        <v>33</v>
      </c>
      <c r="BO42">
        <v>27918</v>
      </c>
      <c r="BP42">
        <v>36</v>
      </c>
      <c r="BQ42">
        <v>30456</v>
      </c>
      <c r="BR42">
        <v>36</v>
      </c>
      <c r="BS42">
        <v>30456</v>
      </c>
      <c r="BT42">
        <v>31</v>
      </c>
      <c r="BU42">
        <v>26226</v>
      </c>
      <c r="BV42">
        <v>41</v>
      </c>
      <c r="BW42">
        <v>34686</v>
      </c>
      <c r="BX42">
        <v>30</v>
      </c>
      <c r="BY42">
        <v>25380</v>
      </c>
      <c r="BZ42">
        <v>43</v>
      </c>
      <c r="CA42">
        <v>36378</v>
      </c>
      <c r="CB42">
        <v>29</v>
      </c>
      <c r="CC42">
        <v>24534</v>
      </c>
      <c r="CD42">
        <v>36</v>
      </c>
      <c r="CE42">
        <v>30456</v>
      </c>
      <c r="CF42">
        <v>36</v>
      </c>
      <c r="CG42">
        <v>30456</v>
      </c>
      <c r="CH42">
        <v>47</v>
      </c>
      <c r="CI42">
        <v>39762</v>
      </c>
      <c r="CJ42">
        <v>24</v>
      </c>
      <c r="CK42">
        <v>20304</v>
      </c>
      <c r="CL42">
        <v>28</v>
      </c>
      <c r="CM42">
        <v>23688</v>
      </c>
      <c r="CN42">
        <v>26</v>
      </c>
      <c r="CO42">
        <v>21996</v>
      </c>
      <c r="CP42">
        <v>22</v>
      </c>
      <c r="CQ42">
        <v>18612</v>
      </c>
      <c r="CR42">
        <v>39</v>
      </c>
      <c r="CS42">
        <v>32994</v>
      </c>
      <c r="CT42">
        <v>45</v>
      </c>
      <c r="CU42">
        <v>38070</v>
      </c>
    </row>
    <row r="43" spans="2:99" x14ac:dyDescent="0.2">
      <c r="C43" s="116" t="s">
        <v>209</v>
      </c>
      <c r="D43">
        <v>22</v>
      </c>
      <c r="E43">
        <v>22492.799999999999</v>
      </c>
      <c r="F43">
        <v>21</v>
      </c>
      <c r="G43">
        <v>21470.399999999998</v>
      </c>
      <c r="H43">
        <v>33</v>
      </c>
      <c r="I43">
        <v>33739.199999999997</v>
      </c>
      <c r="J43">
        <v>36</v>
      </c>
      <c r="K43">
        <v>36806.400000000001</v>
      </c>
      <c r="L43">
        <v>30</v>
      </c>
      <c r="M43">
        <v>30672</v>
      </c>
      <c r="N43">
        <v>34</v>
      </c>
      <c r="O43">
        <v>34761.599999999999</v>
      </c>
      <c r="P43">
        <v>41</v>
      </c>
      <c r="Q43">
        <v>41918.400000000001</v>
      </c>
      <c r="R43">
        <v>36</v>
      </c>
      <c r="S43">
        <v>36806.400000000001</v>
      </c>
      <c r="T43">
        <v>32</v>
      </c>
      <c r="U43">
        <v>32716.799999999999</v>
      </c>
      <c r="V43">
        <v>40</v>
      </c>
      <c r="W43">
        <v>40896</v>
      </c>
      <c r="X43">
        <v>29</v>
      </c>
      <c r="Y43">
        <v>29649.599999999999</v>
      </c>
      <c r="Z43">
        <v>27</v>
      </c>
      <c r="AA43">
        <v>27604.799999999999</v>
      </c>
      <c r="AB43">
        <v>37</v>
      </c>
      <c r="AC43">
        <v>37828.799999999996</v>
      </c>
      <c r="AD43">
        <v>33</v>
      </c>
      <c r="AE43">
        <v>33739.199999999997</v>
      </c>
      <c r="AF43">
        <v>37</v>
      </c>
      <c r="AG43">
        <v>37828.799999999996</v>
      </c>
      <c r="AH43">
        <v>22</v>
      </c>
      <c r="AI43">
        <v>22492.799999999999</v>
      </c>
      <c r="AJ43">
        <v>35</v>
      </c>
      <c r="AK43">
        <v>35784</v>
      </c>
      <c r="AL43">
        <v>29</v>
      </c>
      <c r="AM43">
        <v>29649.599999999999</v>
      </c>
      <c r="AN43">
        <v>25</v>
      </c>
      <c r="AO43">
        <v>25560</v>
      </c>
      <c r="AP43">
        <v>45</v>
      </c>
      <c r="AQ43">
        <v>46008</v>
      </c>
      <c r="AR43">
        <v>37</v>
      </c>
      <c r="AS43">
        <v>37828.799999999996</v>
      </c>
      <c r="AT43">
        <v>36</v>
      </c>
      <c r="AU43">
        <v>36806.400000000001</v>
      </c>
      <c r="AV43">
        <v>33</v>
      </c>
      <c r="AW43">
        <v>33739.199999999997</v>
      </c>
      <c r="AX43">
        <v>23</v>
      </c>
      <c r="AY43">
        <v>23515.200000000001</v>
      </c>
      <c r="AZ43">
        <v>40</v>
      </c>
      <c r="BA43">
        <v>40896</v>
      </c>
      <c r="BB43">
        <v>35</v>
      </c>
      <c r="BC43">
        <v>35784</v>
      </c>
      <c r="BD43">
        <v>22</v>
      </c>
      <c r="BE43">
        <v>22492.799999999999</v>
      </c>
      <c r="BF43">
        <v>45</v>
      </c>
      <c r="BG43">
        <v>46008</v>
      </c>
      <c r="BH43">
        <v>38</v>
      </c>
      <c r="BI43">
        <v>38851.199999999997</v>
      </c>
      <c r="BJ43">
        <v>23</v>
      </c>
      <c r="BK43">
        <v>23515.200000000001</v>
      </c>
      <c r="BL43">
        <v>22</v>
      </c>
      <c r="BM43">
        <v>22492.799999999999</v>
      </c>
      <c r="BN43">
        <v>31</v>
      </c>
      <c r="BO43">
        <v>31694.399999999998</v>
      </c>
      <c r="BP43">
        <v>35</v>
      </c>
      <c r="BQ43">
        <v>35784</v>
      </c>
      <c r="BR43">
        <v>43</v>
      </c>
      <c r="BS43">
        <v>43963.199999999997</v>
      </c>
      <c r="BT43">
        <v>29</v>
      </c>
      <c r="BU43">
        <v>29649.599999999999</v>
      </c>
      <c r="BV43">
        <v>38</v>
      </c>
      <c r="BW43">
        <v>38851.199999999997</v>
      </c>
      <c r="BX43">
        <v>28</v>
      </c>
      <c r="BY43">
        <v>28627.200000000001</v>
      </c>
      <c r="BZ43">
        <v>37</v>
      </c>
      <c r="CA43">
        <v>37828.799999999996</v>
      </c>
      <c r="CB43">
        <v>25</v>
      </c>
      <c r="CC43">
        <v>25560</v>
      </c>
      <c r="CD43">
        <v>39</v>
      </c>
      <c r="CE43">
        <v>39873.599999999999</v>
      </c>
      <c r="CF43">
        <v>31</v>
      </c>
      <c r="CG43">
        <v>31694.399999999998</v>
      </c>
      <c r="CH43">
        <v>42</v>
      </c>
      <c r="CI43">
        <v>42940.799999999996</v>
      </c>
      <c r="CJ43">
        <v>22</v>
      </c>
      <c r="CK43">
        <v>22492.799999999999</v>
      </c>
      <c r="CL43">
        <v>29</v>
      </c>
      <c r="CM43">
        <v>29649.599999999999</v>
      </c>
      <c r="CN43">
        <v>26</v>
      </c>
      <c r="CO43">
        <v>26582.399999999998</v>
      </c>
      <c r="CP43">
        <v>22</v>
      </c>
      <c r="CQ43">
        <v>22492.799999999999</v>
      </c>
      <c r="CR43">
        <v>42</v>
      </c>
      <c r="CS43">
        <v>42940.799999999996</v>
      </c>
      <c r="CT43">
        <v>40</v>
      </c>
      <c r="CU43">
        <v>40896</v>
      </c>
    </row>
    <row r="44" spans="2:99" x14ac:dyDescent="0.2">
      <c r="C44" s="116" t="s">
        <v>210</v>
      </c>
      <c r="D44">
        <v>21</v>
      </c>
      <c r="E44">
        <v>21470.399999999998</v>
      </c>
      <c r="F44">
        <v>24</v>
      </c>
      <c r="G44">
        <v>24537.599999999999</v>
      </c>
      <c r="H44">
        <v>38</v>
      </c>
      <c r="I44">
        <v>38851.199999999997</v>
      </c>
      <c r="J44">
        <v>32</v>
      </c>
      <c r="K44">
        <v>32716.799999999999</v>
      </c>
      <c r="L44">
        <v>28</v>
      </c>
      <c r="M44">
        <v>28627.200000000001</v>
      </c>
      <c r="N44">
        <v>37</v>
      </c>
      <c r="O44">
        <v>37828.799999999996</v>
      </c>
      <c r="P44">
        <v>40</v>
      </c>
      <c r="Q44">
        <v>40896</v>
      </c>
      <c r="R44">
        <v>36</v>
      </c>
      <c r="S44">
        <v>36806.400000000001</v>
      </c>
      <c r="T44">
        <v>31</v>
      </c>
      <c r="U44">
        <v>31694.399999999998</v>
      </c>
      <c r="V44">
        <v>38</v>
      </c>
      <c r="W44">
        <v>38851.199999999997</v>
      </c>
      <c r="X44">
        <v>26</v>
      </c>
      <c r="Y44">
        <v>26582.399999999998</v>
      </c>
      <c r="Z44">
        <v>27</v>
      </c>
      <c r="AA44">
        <v>27604.799999999999</v>
      </c>
      <c r="AB44">
        <v>34</v>
      </c>
      <c r="AC44">
        <v>34761.599999999999</v>
      </c>
      <c r="AD44">
        <v>27</v>
      </c>
      <c r="AE44">
        <v>27604.799999999999</v>
      </c>
      <c r="AF44">
        <v>37</v>
      </c>
      <c r="AG44">
        <v>37828.799999999996</v>
      </c>
      <c r="AH44">
        <v>19</v>
      </c>
      <c r="AI44">
        <v>19425.599999999999</v>
      </c>
      <c r="AJ44">
        <v>36</v>
      </c>
      <c r="AK44">
        <v>36806.400000000001</v>
      </c>
      <c r="AL44">
        <v>30</v>
      </c>
      <c r="AM44">
        <v>30672</v>
      </c>
      <c r="AN44">
        <v>26</v>
      </c>
      <c r="AO44">
        <v>26582.399999999998</v>
      </c>
      <c r="AP44">
        <v>38</v>
      </c>
      <c r="AQ44">
        <v>38851.199999999997</v>
      </c>
      <c r="AR44">
        <v>36</v>
      </c>
      <c r="AS44">
        <v>36806.400000000001</v>
      </c>
      <c r="AT44">
        <v>42</v>
      </c>
      <c r="AU44">
        <v>42940.799999999996</v>
      </c>
      <c r="AV44">
        <v>34</v>
      </c>
      <c r="AW44">
        <v>34761.599999999999</v>
      </c>
      <c r="AX44">
        <v>24</v>
      </c>
      <c r="AY44">
        <v>24537.599999999999</v>
      </c>
      <c r="AZ44">
        <v>38</v>
      </c>
      <c r="BA44">
        <v>38851.199999999997</v>
      </c>
      <c r="BB44">
        <v>37</v>
      </c>
      <c r="BC44">
        <v>37828.799999999996</v>
      </c>
      <c r="BD44">
        <v>22</v>
      </c>
      <c r="BE44">
        <v>22492.799999999999</v>
      </c>
      <c r="BF44">
        <v>43</v>
      </c>
      <c r="BG44">
        <v>43963.199999999997</v>
      </c>
      <c r="BH44">
        <v>41</v>
      </c>
      <c r="BI44">
        <v>41918.400000000001</v>
      </c>
      <c r="BJ44">
        <v>25</v>
      </c>
      <c r="BK44">
        <v>25560</v>
      </c>
      <c r="BL44">
        <v>26</v>
      </c>
      <c r="BM44">
        <v>26582.399999999998</v>
      </c>
      <c r="BN44">
        <v>28</v>
      </c>
      <c r="BO44">
        <v>28627.200000000001</v>
      </c>
      <c r="BP44">
        <v>36</v>
      </c>
      <c r="BQ44">
        <v>36806.400000000001</v>
      </c>
      <c r="BR44">
        <v>37</v>
      </c>
      <c r="BS44">
        <v>37828.799999999996</v>
      </c>
      <c r="BT44">
        <v>30</v>
      </c>
      <c r="BU44">
        <v>30672</v>
      </c>
      <c r="BV44">
        <v>43</v>
      </c>
      <c r="BW44">
        <v>43963.199999999997</v>
      </c>
      <c r="BX44">
        <v>30</v>
      </c>
      <c r="BY44">
        <v>30672</v>
      </c>
      <c r="BZ44">
        <v>40</v>
      </c>
      <c r="CA44">
        <v>40896</v>
      </c>
      <c r="CB44">
        <v>26</v>
      </c>
      <c r="CC44">
        <v>26582.399999999998</v>
      </c>
      <c r="CD44">
        <v>36</v>
      </c>
      <c r="CE44">
        <v>36806.400000000001</v>
      </c>
      <c r="CF44">
        <v>31</v>
      </c>
      <c r="CG44">
        <v>31694.399999999998</v>
      </c>
      <c r="CH44">
        <v>41</v>
      </c>
      <c r="CI44">
        <v>41918.400000000001</v>
      </c>
      <c r="CJ44">
        <v>23</v>
      </c>
      <c r="CK44">
        <v>23515.200000000001</v>
      </c>
      <c r="CL44">
        <v>30</v>
      </c>
      <c r="CM44">
        <v>30672</v>
      </c>
      <c r="CN44">
        <v>25</v>
      </c>
      <c r="CO44">
        <v>25560</v>
      </c>
      <c r="CP44">
        <v>22</v>
      </c>
      <c r="CQ44">
        <v>22492.799999999999</v>
      </c>
      <c r="CR44">
        <v>39</v>
      </c>
      <c r="CS44">
        <v>39873.599999999999</v>
      </c>
      <c r="CT44">
        <v>42</v>
      </c>
      <c r="CU44">
        <v>42940.799999999996</v>
      </c>
    </row>
    <row r="45" spans="2:99" x14ac:dyDescent="0.2">
      <c r="C45" s="116" t="s">
        <v>211</v>
      </c>
      <c r="D45">
        <v>20</v>
      </c>
      <c r="E45">
        <v>24984</v>
      </c>
      <c r="F45">
        <v>22</v>
      </c>
      <c r="G45">
        <v>27482.400000000001</v>
      </c>
      <c r="H45">
        <v>39</v>
      </c>
      <c r="I45">
        <v>48718.8</v>
      </c>
      <c r="J45">
        <v>35</v>
      </c>
      <c r="K45">
        <v>43722</v>
      </c>
      <c r="L45">
        <v>30</v>
      </c>
      <c r="M45">
        <v>37476</v>
      </c>
      <c r="N45">
        <v>36</v>
      </c>
      <c r="O45">
        <v>44971.200000000004</v>
      </c>
      <c r="P45">
        <v>34</v>
      </c>
      <c r="Q45">
        <v>42472.800000000003</v>
      </c>
      <c r="R45">
        <v>35</v>
      </c>
      <c r="S45">
        <v>43722</v>
      </c>
      <c r="T45">
        <v>27</v>
      </c>
      <c r="U45">
        <v>33728.400000000001</v>
      </c>
      <c r="V45">
        <v>43</v>
      </c>
      <c r="W45">
        <v>53715.6</v>
      </c>
      <c r="X45">
        <v>25</v>
      </c>
      <c r="Y45">
        <v>31230</v>
      </c>
      <c r="Z45">
        <v>26</v>
      </c>
      <c r="AA45">
        <v>32479.200000000001</v>
      </c>
      <c r="AB45">
        <v>32</v>
      </c>
      <c r="AC45">
        <v>39974.400000000001</v>
      </c>
      <c r="AD45">
        <v>28</v>
      </c>
      <c r="AE45">
        <v>34977.599999999999</v>
      </c>
      <c r="AF45">
        <v>39</v>
      </c>
      <c r="AG45">
        <v>48718.8</v>
      </c>
      <c r="AH45">
        <v>21</v>
      </c>
      <c r="AI45">
        <v>26233.200000000001</v>
      </c>
      <c r="AJ45">
        <v>34</v>
      </c>
      <c r="AK45">
        <v>42472.800000000003</v>
      </c>
      <c r="AL45">
        <v>33</v>
      </c>
      <c r="AM45">
        <v>41223.599999999999</v>
      </c>
      <c r="AN45">
        <v>26</v>
      </c>
      <c r="AO45">
        <v>32479.200000000001</v>
      </c>
      <c r="AP45">
        <v>41</v>
      </c>
      <c r="AQ45">
        <v>51217.200000000004</v>
      </c>
      <c r="AR45">
        <v>41</v>
      </c>
      <c r="AS45">
        <v>51217.200000000004</v>
      </c>
      <c r="AT45">
        <v>41</v>
      </c>
      <c r="AU45">
        <v>51217.200000000004</v>
      </c>
      <c r="AV45">
        <v>33</v>
      </c>
      <c r="AW45">
        <v>41223.599999999999</v>
      </c>
      <c r="AX45">
        <v>21</v>
      </c>
      <c r="AY45">
        <v>26233.200000000001</v>
      </c>
      <c r="AZ45">
        <v>42</v>
      </c>
      <c r="BA45">
        <v>52466.400000000001</v>
      </c>
      <c r="BB45">
        <v>35</v>
      </c>
      <c r="BC45">
        <v>43722</v>
      </c>
      <c r="BD45">
        <v>24</v>
      </c>
      <c r="BE45">
        <v>29980.800000000003</v>
      </c>
      <c r="BF45">
        <v>43</v>
      </c>
      <c r="BG45">
        <v>53715.6</v>
      </c>
      <c r="BH45">
        <v>37</v>
      </c>
      <c r="BI45">
        <v>46220.4</v>
      </c>
      <c r="BJ45">
        <v>23</v>
      </c>
      <c r="BK45">
        <v>28731.600000000002</v>
      </c>
      <c r="BL45">
        <v>25</v>
      </c>
      <c r="BM45">
        <v>31230</v>
      </c>
      <c r="BN45">
        <v>28</v>
      </c>
      <c r="BO45">
        <v>34977.599999999999</v>
      </c>
      <c r="BP45">
        <v>36</v>
      </c>
      <c r="BQ45">
        <v>44971.200000000004</v>
      </c>
      <c r="BR45">
        <v>38</v>
      </c>
      <c r="BS45">
        <v>47469.599999999999</v>
      </c>
      <c r="BT45">
        <v>29</v>
      </c>
      <c r="BU45">
        <v>36226.800000000003</v>
      </c>
      <c r="BV45">
        <v>39</v>
      </c>
      <c r="BW45">
        <v>48718.8</v>
      </c>
      <c r="BX45">
        <v>26</v>
      </c>
      <c r="BY45">
        <v>32479.200000000001</v>
      </c>
      <c r="BZ45">
        <v>38</v>
      </c>
      <c r="CA45">
        <v>47469.599999999999</v>
      </c>
      <c r="CB45">
        <v>29</v>
      </c>
      <c r="CC45">
        <v>36226.800000000003</v>
      </c>
      <c r="CD45">
        <v>38</v>
      </c>
      <c r="CE45">
        <v>47469.599999999999</v>
      </c>
      <c r="CF45">
        <v>30</v>
      </c>
      <c r="CG45">
        <v>37476</v>
      </c>
      <c r="CH45">
        <v>42</v>
      </c>
      <c r="CI45">
        <v>52466.400000000001</v>
      </c>
      <c r="CJ45">
        <v>24</v>
      </c>
      <c r="CK45">
        <v>29980.800000000003</v>
      </c>
      <c r="CL45">
        <v>27</v>
      </c>
      <c r="CM45">
        <v>33728.400000000001</v>
      </c>
      <c r="CN45">
        <v>26</v>
      </c>
      <c r="CO45">
        <v>32479.200000000001</v>
      </c>
      <c r="CP45">
        <v>22</v>
      </c>
      <c r="CQ45">
        <v>27482.400000000001</v>
      </c>
      <c r="CR45">
        <v>38</v>
      </c>
      <c r="CS45">
        <v>47469.599999999999</v>
      </c>
      <c r="CT45">
        <v>36</v>
      </c>
      <c r="CU45">
        <v>44971.200000000004</v>
      </c>
    </row>
    <row r="46" spans="2:99" x14ac:dyDescent="0.2">
      <c r="C46" s="116" t="s">
        <v>212</v>
      </c>
      <c r="D46">
        <v>21</v>
      </c>
      <c r="E46">
        <v>25452</v>
      </c>
      <c r="F46">
        <v>20</v>
      </c>
      <c r="G46">
        <v>24240</v>
      </c>
      <c r="H46">
        <v>36</v>
      </c>
      <c r="I46">
        <v>43632</v>
      </c>
      <c r="J46">
        <v>31</v>
      </c>
      <c r="K46">
        <v>37572</v>
      </c>
      <c r="L46">
        <v>26</v>
      </c>
      <c r="M46">
        <v>31512</v>
      </c>
      <c r="N46">
        <v>37</v>
      </c>
      <c r="O46">
        <v>44844</v>
      </c>
      <c r="P46">
        <v>39</v>
      </c>
      <c r="Q46">
        <v>47268</v>
      </c>
      <c r="R46">
        <v>33</v>
      </c>
      <c r="S46">
        <v>39996</v>
      </c>
      <c r="T46">
        <v>28</v>
      </c>
      <c r="U46">
        <v>33936</v>
      </c>
      <c r="V46">
        <v>37</v>
      </c>
      <c r="W46">
        <v>44844</v>
      </c>
      <c r="X46">
        <v>25</v>
      </c>
      <c r="Y46">
        <v>30300</v>
      </c>
      <c r="Z46">
        <v>25</v>
      </c>
      <c r="AA46">
        <v>30300</v>
      </c>
      <c r="AB46">
        <v>34</v>
      </c>
      <c r="AC46">
        <v>41208</v>
      </c>
      <c r="AD46">
        <v>31</v>
      </c>
      <c r="AE46">
        <v>37572</v>
      </c>
      <c r="AF46">
        <v>40</v>
      </c>
      <c r="AG46">
        <v>48480</v>
      </c>
      <c r="AH46">
        <v>20</v>
      </c>
      <c r="AI46">
        <v>24240</v>
      </c>
      <c r="AJ46">
        <v>37</v>
      </c>
      <c r="AK46">
        <v>44844</v>
      </c>
      <c r="AL46">
        <v>33</v>
      </c>
      <c r="AM46">
        <v>39996</v>
      </c>
      <c r="AN46">
        <v>26</v>
      </c>
      <c r="AO46">
        <v>31512</v>
      </c>
      <c r="AP46">
        <v>37</v>
      </c>
      <c r="AQ46">
        <v>44844</v>
      </c>
      <c r="AR46">
        <v>39</v>
      </c>
      <c r="AS46">
        <v>47268</v>
      </c>
      <c r="AT46">
        <v>41</v>
      </c>
      <c r="AU46">
        <v>49692</v>
      </c>
      <c r="AV46">
        <v>35</v>
      </c>
      <c r="AW46">
        <v>42420</v>
      </c>
      <c r="AX46">
        <v>21</v>
      </c>
      <c r="AY46">
        <v>25452</v>
      </c>
      <c r="AZ46">
        <v>42</v>
      </c>
      <c r="BA46">
        <v>50904</v>
      </c>
      <c r="BB46">
        <v>36</v>
      </c>
      <c r="BC46">
        <v>43632</v>
      </c>
      <c r="BD46">
        <v>24</v>
      </c>
      <c r="BE46">
        <v>29088</v>
      </c>
      <c r="BF46">
        <v>44</v>
      </c>
      <c r="BG46">
        <v>53328</v>
      </c>
      <c r="BH46">
        <v>38</v>
      </c>
      <c r="BI46">
        <v>46056</v>
      </c>
      <c r="BJ46">
        <v>25</v>
      </c>
      <c r="BK46">
        <v>30300</v>
      </c>
      <c r="BL46">
        <v>22</v>
      </c>
      <c r="BM46">
        <v>26664</v>
      </c>
      <c r="BN46">
        <v>30</v>
      </c>
      <c r="BO46">
        <v>36360</v>
      </c>
      <c r="BP46">
        <v>33</v>
      </c>
      <c r="BQ46">
        <v>39996</v>
      </c>
      <c r="BR46">
        <v>39</v>
      </c>
      <c r="BS46">
        <v>47268</v>
      </c>
      <c r="BT46">
        <v>29</v>
      </c>
      <c r="BU46">
        <v>35148</v>
      </c>
      <c r="BV46">
        <v>41</v>
      </c>
      <c r="BW46">
        <v>49692</v>
      </c>
      <c r="BX46">
        <v>31</v>
      </c>
      <c r="BY46">
        <v>37572</v>
      </c>
      <c r="BZ46">
        <v>41</v>
      </c>
      <c r="CA46">
        <v>49692</v>
      </c>
      <c r="CB46">
        <v>28</v>
      </c>
      <c r="CC46">
        <v>33936</v>
      </c>
      <c r="CD46">
        <v>34</v>
      </c>
      <c r="CE46">
        <v>41208</v>
      </c>
      <c r="CF46">
        <v>31</v>
      </c>
      <c r="CG46">
        <v>37572</v>
      </c>
      <c r="CH46">
        <v>41</v>
      </c>
      <c r="CI46">
        <v>49692</v>
      </c>
      <c r="CJ46">
        <v>23</v>
      </c>
      <c r="CK46">
        <v>27876</v>
      </c>
      <c r="CL46">
        <v>30</v>
      </c>
      <c r="CM46">
        <v>36360</v>
      </c>
      <c r="CN46">
        <v>29</v>
      </c>
      <c r="CO46">
        <v>35148</v>
      </c>
      <c r="CP46">
        <v>20</v>
      </c>
      <c r="CQ46">
        <v>24240</v>
      </c>
      <c r="CR46">
        <v>41</v>
      </c>
      <c r="CS46">
        <v>49692</v>
      </c>
      <c r="CT46">
        <v>39</v>
      </c>
      <c r="CU46">
        <v>47268</v>
      </c>
    </row>
    <row r="47" spans="2:99" x14ac:dyDescent="0.2">
      <c r="C47" s="116" t="s">
        <v>213</v>
      </c>
      <c r="D47">
        <v>20</v>
      </c>
      <c r="E47">
        <v>30552</v>
      </c>
      <c r="F47">
        <v>21</v>
      </c>
      <c r="G47">
        <v>32079.599999999999</v>
      </c>
      <c r="H47">
        <v>35</v>
      </c>
      <c r="I47">
        <v>53466</v>
      </c>
      <c r="J47">
        <v>30</v>
      </c>
      <c r="K47">
        <v>45828</v>
      </c>
      <c r="L47">
        <v>26</v>
      </c>
      <c r="M47">
        <v>39717.599999999999</v>
      </c>
      <c r="N47">
        <v>34</v>
      </c>
      <c r="O47">
        <v>51938.399999999994</v>
      </c>
      <c r="P47">
        <v>36</v>
      </c>
      <c r="Q47">
        <v>54993.599999999999</v>
      </c>
      <c r="R47">
        <v>34</v>
      </c>
      <c r="S47">
        <v>51938.399999999994</v>
      </c>
      <c r="T47">
        <v>28</v>
      </c>
      <c r="U47">
        <v>42772.799999999996</v>
      </c>
      <c r="V47">
        <v>38</v>
      </c>
      <c r="W47">
        <v>58048.799999999996</v>
      </c>
      <c r="X47">
        <v>28</v>
      </c>
      <c r="Y47">
        <v>42772.799999999996</v>
      </c>
      <c r="Z47">
        <v>26</v>
      </c>
      <c r="AA47">
        <v>39717.599999999999</v>
      </c>
      <c r="AB47">
        <v>32</v>
      </c>
      <c r="AC47">
        <v>48883.199999999997</v>
      </c>
      <c r="AD47">
        <v>28</v>
      </c>
      <c r="AE47">
        <v>42772.799999999996</v>
      </c>
      <c r="AF47">
        <v>37</v>
      </c>
      <c r="AG47">
        <v>56521.2</v>
      </c>
      <c r="AH47">
        <v>19</v>
      </c>
      <c r="AI47">
        <v>29024.399999999998</v>
      </c>
      <c r="AJ47">
        <v>33</v>
      </c>
      <c r="AK47">
        <v>50410.799999999996</v>
      </c>
      <c r="AL47">
        <v>32</v>
      </c>
      <c r="AM47">
        <v>48883.199999999997</v>
      </c>
      <c r="AN47">
        <v>25</v>
      </c>
      <c r="AO47">
        <v>38190</v>
      </c>
      <c r="AP47">
        <v>40</v>
      </c>
      <c r="AQ47">
        <v>61104</v>
      </c>
      <c r="AR47">
        <v>34</v>
      </c>
      <c r="AS47">
        <v>51938.399999999994</v>
      </c>
      <c r="AT47">
        <v>37</v>
      </c>
      <c r="AU47">
        <v>56521.2</v>
      </c>
      <c r="AV47">
        <v>32</v>
      </c>
      <c r="AW47">
        <v>48883.199999999997</v>
      </c>
      <c r="AX47">
        <v>22</v>
      </c>
      <c r="AY47">
        <v>33607.199999999997</v>
      </c>
      <c r="AZ47">
        <v>37</v>
      </c>
      <c r="BA47">
        <v>56521.2</v>
      </c>
      <c r="BB47">
        <v>36</v>
      </c>
      <c r="BC47">
        <v>54993.599999999999</v>
      </c>
      <c r="BD47">
        <v>24</v>
      </c>
      <c r="BE47">
        <v>36662.399999999994</v>
      </c>
      <c r="BF47">
        <v>36</v>
      </c>
      <c r="BG47">
        <v>54993.599999999999</v>
      </c>
      <c r="BH47">
        <v>38</v>
      </c>
      <c r="BI47">
        <v>58048.799999999996</v>
      </c>
      <c r="BJ47">
        <v>21</v>
      </c>
      <c r="BK47">
        <v>32079.599999999999</v>
      </c>
      <c r="BL47">
        <v>24</v>
      </c>
      <c r="BM47">
        <v>36662.399999999994</v>
      </c>
      <c r="BN47">
        <v>29</v>
      </c>
      <c r="BO47">
        <v>44300.399999999994</v>
      </c>
      <c r="BP47">
        <v>31</v>
      </c>
      <c r="BQ47">
        <v>47355.6</v>
      </c>
      <c r="BR47">
        <v>34</v>
      </c>
      <c r="BS47">
        <v>51938.399999999994</v>
      </c>
      <c r="BT47">
        <v>30</v>
      </c>
      <c r="BU47">
        <v>45828</v>
      </c>
      <c r="BV47">
        <v>36</v>
      </c>
      <c r="BW47">
        <v>54993.599999999999</v>
      </c>
      <c r="BX47">
        <v>27</v>
      </c>
      <c r="BY47">
        <v>41245.199999999997</v>
      </c>
      <c r="BZ47">
        <v>37</v>
      </c>
      <c r="CA47">
        <v>56521.2</v>
      </c>
      <c r="CB47">
        <v>27</v>
      </c>
      <c r="CC47">
        <v>41245.199999999997</v>
      </c>
      <c r="CD47">
        <v>36</v>
      </c>
      <c r="CE47">
        <v>54993.599999999999</v>
      </c>
      <c r="CF47">
        <v>29</v>
      </c>
      <c r="CG47">
        <v>44300.399999999994</v>
      </c>
      <c r="CH47">
        <v>40</v>
      </c>
      <c r="CI47">
        <v>61104</v>
      </c>
      <c r="CJ47">
        <v>21</v>
      </c>
      <c r="CK47">
        <v>32079.599999999999</v>
      </c>
      <c r="CL47">
        <v>27</v>
      </c>
      <c r="CM47">
        <v>41245.199999999997</v>
      </c>
      <c r="CN47">
        <v>27</v>
      </c>
      <c r="CO47">
        <v>41245.199999999997</v>
      </c>
      <c r="CP47">
        <v>21</v>
      </c>
      <c r="CQ47">
        <v>32079.599999999999</v>
      </c>
      <c r="CR47">
        <v>39</v>
      </c>
      <c r="CS47">
        <v>59576.399999999994</v>
      </c>
      <c r="CT47">
        <v>41</v>
      </c>
      <c r="CU47">
        <v>62631.6</v>
      </c>
    </row>
    <row r="48" spans="2:99" x14ac:dyDescent="0.2">
      <c r="C48" s="116" t="s">
        <v>214</v>
      </c>
      <c r="D48">
        <v>22</v>
      </c>
      <c r="E48">
        <v>19087.2</v>
      </c>
      <c r="F48">
        <v>24</v>
      </c>
      <c r="G48">
        <v>20822.400000000001</v>
      </c>
      <c r="H48">
        <v>36</v>
      </c>
      <c r="I48">
        <v>31233.600000000002</v>
      </c>
      <c r="J48">
        <v>35</v>
      </c>
      <c r="K48">
        <v>30366</v>
      </c>
      <c r="L48">
        <v>31</v>
      </c>
      <c r="M48">
        <v>26895.600000000002</v>
      </c>
      <c r="N48">
        <v>33</v>
      </c>
      <c r="O48">
        <v>28630.799999999999</v>
      </c>
      <c r="P48">
        <v>38</v>
      </c>
      <c r="Q48">
        <v>32968.800000000003</v>
      </c>
      <c r="R48">
        <v>39</v>
      </c>
      <c r="S48">
        <v>33836.400000000001</v>
      </c>
      <c r="T48">
        <v>33</v>
      </c>
      <c r="U48">
        <v>28630.799999999999</v>
      </c>
      <c r="V48">
        <v>43</v>
      </c>
      <c r="W48">
        <v>37306.800000000003</v>
      </c>
      <c r="X48">
        <v>27</v>
      </c>
      <c r="Y48">
        <v>23425.200000000001</v>
      </c>
      <c r="Z48">
        <v>29</v>
      </c>
      <c r="AA48">
        <v>25160.400000000001</v>
      </c>
      <c r="AB48">
        <v>33</v>
      </c>
      <c r="AC48">
        <v>28630.799999999999</v>
      </c>
      <c r="AD48">
        <v>33</v>
      </c>
      <c r="AE48">
        <v>28630.799999999999</v>
      </c>
      <c r="AF48">
        <v>35</v>
      </c>
      <c r="AG48">
        <v>30366</v>
      </c>
      <c r="AH48">
        <v>21</v>
      </c>
      <c r="AI48">
        <v>18219.600000000002</v>
      </c>
      <c r="AJ48">
        <v>34</v>
      </c>
      <c r="AK48">
        <v>29498.400000000001</v>
      </c>
      <c r="AL48">
        <v>34</v>
      </c>
      <c r="AM48">
        <v>29498.400000000001</v>
      </c>
      <c r="AN48">
        <v>25</v>
      </c>
      <c r="AO48">
        <v>21690</v>
      </c>
      <c r="AP48">
        <v>41</v>
      </c>
      <c r="AQ48">
        <v>35571.599999999999</v>
      </c>
      <c r="AR48">
        <v>41</v>
      </c>
      <c r="AS48">
        <v>35571.599999999999</v>
      </c>
      <c r="AT48">
        <v>42</v>
      </c>
      <c r="AU48">
        <v>36439.200000000004</v>
      </c>
      <c r="AV48">
        <v>38</v>
      </c>
      <c r="AW48">
        <v>32968.800000000003</v>
      </c>
      <c r="AX48">
        <v>22</v>
      </c>
      <c r="AY48">
        <v>19087.2</v>
      </c>
      <c r="AZ48">
        <v>41</v>
      </c>
      <c r="BA48">
        <v>35571.599999999999</v>
      </c>
      <c r="BB48">
        <v>37</v>
      </c>
      <c r="BC48">
        <v>32101.200000000001</v>
      </c>
      <c r="BD48">
        <v>24</v>
      </c>
      <c r="BE48">
        <v>20822.400000000001</v>
      </c>
      <c r="BF48">
        <v>41</v>
      </c>
      <c r="BG48">
        <v>35571.599999999999</v>
      </c>
      <c r="BH48">
        <v>43</v>
      </c>
      <c r="BI48">
        <v>37306.800000000003</v>
      </c>
      <c r="BJ48">
        <v>25</v>
      </c>
      <c r="BK48">
        <v>21690</v>
      </c>
      <c r="BL48">
        <v>23</v>
      </c>
      <c r="BM48">
        <v>19954.8</v>
      </c>
      <c r="BN48">
        <v>32</v>
      </c>
      <c r="BO48">
        <v>27763.200000000001</v>
      </c>
      <c r="BP48">
        <v>36</v>
      </c>
      <c r="BQ48">
        <v>31233.600000000002</v>
      </c>
      <c r="BR48">
        <v>36</v>
      </c>
      <c r="BS48">
        <v>31233.600000000002</v>
      </c>
      <c r="BT48">
        <v>32</v>
      </c>
      <c r="BU48">
        <v>27763.200000000001</v>
      </c>
      <c r="BV48">
        <v>45</v>
      </c>
      <c r="BW48">
        <v>39042</v>
      </c>
      <c r="BX48">
        <v>32</v>
      </c>
      <c r="BY48">
        <v>27763.200000000001</v>
      </c>
      <c r="BZ48">
        <v>37</v>
      </c>
      <c r="CA48">
        <v>32101.200000000001</v>
      </c>
      <c r="CB48">
        <v>29</v>
      </c>
      <c r="CC48">
        <v>25160.400000000001</v>
      </c>
      <c r="CD48">
        <v>38</v>
      </c>
      <c r="CE48">
        <v>32968.800000000003</v>
      </c>
      <c r="CF48">
        <v>31</v>
      </c>
      <c r="CG48">
        <v>26895.600000000002</v>
      </c>
      <c r="CH48">
        <v>47</v>
      </c>
      <c r="CI48">
        <v>40777.200000000004</v>
      </c>
      <c r="CJ48">
        <v>25</v>
      </c>
      <c r="CK48">
        <v>21690</v>
      </c>
      <c r="CL48">
        <v>28</v>
      </c>
      <c r="CM48">
        <v>24292.799999999999</v>
      </c>
      <c r="CN48">
        <v>27</v>
      </c>
      <c r="CO48">
        <v>23425.200000000001</v>
      </c>
      <c r="CP48">
        <v>22</v>
      </c>
      <c r="CQ48">
        <v>19087.2</v>
      </c>
      <c r="CR48">
        <v>36</v>
      </c>
      <c r="CS48">
        <v>31233.600000000002</v>
      </c>
      <c r="CT48">
        <v>40</v>
      </c>
      <c r="CU48">
        <v>34704</v>
      </c>
    </row>
    <row r="49" spans="2:99" x14ac:dyDescent="0.2">
      <c r="B49" s="116" t="s">
        <v>129</v>
      </c>
      <c r="C49" s="116" t="s">
        <v>215</v>
      </c>
      <c r="D49">
        <v>1.3760603879720621</v>
      </c>
      <c r="E49">
        <v>1355.6946942300756</v>
      </c>
      <c r="F49">
        <v>10.968311688311687</v>
      </c>
      <c r="G49">
        <v>10805.980675324672</v>
      </c>
      <c r="H49">
        <v>6.0319075251256278</v>
      </c>
      <c r="I49">
        <v>5942.6352937537677</v>
      </c>
      <c r="J49">
        <v>5.6341463414634152</v>
      </c>
      <c r="K49">
        <v>5550.7609756097563</v>
      </c>
      <c r="L49">
        <v>6.6455696202531644</v>
      </c>
      <c r="M49">
        <v>6547.2151898734173</v>
      </c>
      <c r="N49">
        <v>19.814600231749711</v>
      </c>
      <c r="O49">
        <v>19521.344148319815</v>
      </c>
      <c r="P49">
        <v>3.0751708428246016</v>
      </c>
      <c r="Q49">
        <v>3029.6583143507974</v>
      </c>
      <c r="R49">
        <v>16.73076923076923</v>
      </c>
      <c r="S49">
        <v>16483.153846153844</v>
      </c>
      <c r="T49">
        <v>3.0342323651452281</v>
      </c>
      <c r="U49">
        <v>2989.3257261410786</v>
      </c>
      <c r="V49">
        <v>6.4549180327868854</v>
      </c>
      <c r="W49">
        <v>6359.3852459016389</v>
      </c>
      <c r="X49">
        <v>13.219373219373219</v>
      </c>
      <c r="Y49">
        <v>13023.726495726494</v>
      </c>
      <c r="Z49">
        <v>6.6990291262135919</v>
      </c>
      <c r="AA49">
        <v>6599.8834951456301</v>
      </c>
      <c r="AB49">
        <v>10.501489572989076</v>
      </c>
      <c r="AC49">
        <v>10346.067527308836</v>
      </c>
      <c r="AD49">
        <v>6.9109947643979064</v>
      </c>
      <c r="AE49">
        <v>6808.7120418848172</v>
      </c>
      <c r="AF49">
        <v>5.0904977375565617</v>
      </c>
      <c r="AG49">
        <v>5015.158371040724</v>
      </c>
      <c r="AH49">
        <v>17.077426390403492</v>
      </c>
      <c r="AI49">
        <v>16824.680479825518</v>
      </c>
      <c r="AJ49">
        <v>7.2916666666666661</v>
      </c>
      <c r="AK49">
        <v>7183.7499999999991</v>
      </c>
      <c r="AL49">
        <v>11.099365750528541</v>
      </c>
      <c r="AM49">
        <v>10935.095137420718</v>
      </c>
      <c r="AN49">
        <v>3.375</v>
      </c>
      <c r="AO49">
        <v>3325.0499999999997</v>
      </c>
      <c r="AP49">
        <v>11.340075853350189</v>
      </c>
      <c r="AQ49">
        <v>11172.242730720605</v>
      </c>
      <c r="AR49">
        <v>7.2184300341296925</v>
      </c>
      <c r="AS49">
        <v>7111.5972696245726</v>
      </c>
      <c r="AT49">
        <v>12.636761487964989</v>
      </c>
      <c r="AU49">
        <v>12449.737417943106</v>
      </c>
      <c r="AV49">
        <v>10.981075697211155</v>
      </c>
      <c r="AW49">
        <v>10818.55577689243</v>
      </c>
      <c r="AX49">
        <v>3.9019792648444867</v>
      </c>
      <c r="AY49">
        <v>3844.2299717247879</v>
      </c>
      <c r="AZ49">
        <v>8.7306501547987629</v>
      </c>
      <c r="BA49">
        <v>8601.4365325077415</v>
      </c>
      <c r="BB49">
        <v>11.301369863013697</v>
      </c>
      <c r="BC49">
        <v>11134.109589041094</v>
      </c>
      <c r="BD49">
        <v>2.4778761061946901</v>
      </c>
      <c r="BE49">
        <v>2441.2035398230087</v>
      </c>
      <c r="BF49">
        <v>20.721812434141199</v>
      </c>
      <c r="BG49">
        <v>20415.12961011591</v>
      </c>
      <c r="BH49">
        <v>4.3471337579617835</v>
      </c>
      <c r="BI49">
        <v>4282.7961783439487</v>
      </c>
      <c r="BJ49">
        <v>9.2929292929292924</v>
      </c>
      <c r="BK49">
        <v>9155.3939393939381</v>
      </c>
      <c r="BL49">
        <v>7.2394881170018284</v>
      </c>
      <c r="BM49">
        <v>7132.3436928702013</v>
      </c>
      <c r="BN49">
        <v>9.8613595706618966</v>
      </c>
      <c r="BO49">
        <v>9715.4114490160991</v>
      </c>
      <c r="BP49">
        <v>9.3657086223984134</v>
      </c>
      <c r="BQ49">
        <v>9227.0961347869161</v>
      </c>
      <c r="BR49">
        <v>17.581168831168831</v>
      </c>
      <c r="BS49">
        <v>17320.96753246753</v>
      </c>
      <c r="BT49">
        <v>13.89261744966443</v>
      </c>
      <c r="BU49">
        <v>13687.006711409394</v>
      </c>
      <c r="BV49">
        <v>9.8684210526315788</v>
      </c>
      <c r="BW49">
        <v>9722.3684210526299</v>
      </c>
      <c r="BX49">
        <v>5.1428571428571423</v>
      </c>
      <c r="BY49">
        <v>5066.7428571428563</v>
      </c>
      <c r="BZ49">
        <v>9.7912966252220244</v>
      </c>
      <c r="CA49">
        <v>9646.3854351687369</v>
      </c>
      <c r="CB49">
        <v>8.0275229357798157</v>
      </c>
      <c r="CC49">
        <v>7908.7155963302739</v>
      </c>
      <c r="CD49">
        <v>8.9248181083265958</v>
      </c>
      <c r="CE49">
        <v>8792.7308003233611</v>
      </c>
      <c r="CF49">
        <v>5.3917050691244235</v>
      </c>
      <c r="CG49">
        <v>5311.9078341013819</v>
      </c>
      <c r="CH49">
        <v>5.8005249343832022</v>
      </c>
      <c r="CI49">
        <v>5714.6771653543301</v>
      </c>
      <c r="CJ49">
        <v>10.607142857142858</v>
      </c>
      <c r="CK49">
        <v>10450.157142857142</v>
      </c>
      <c r="CL49">
        <v>11.291989664082688</v>
      </c>
      <c r="CM49">
        <v>11124.868217054263</v>
      </c>
      <c r="CN49">
        <v>15.107142857142858</v>
      </c>
      <c r="CO49">
        <v>14883.557142857142</v>
      </c>
      <c r="CP49">
        <v>5.154382470119522</v>
      </c>
      <c r="CQ49">
        <v>5078.0976095617525</v>
      </c>
      <c r="CR49">
        <v>4.7320525783619818</v>
      </c>
      <c r="CS49">
        <v>4662.0182002022239</v>
      </c>
      <c r="CT49">
        <v>15.771428571428572</v>
      </c>
      <c r="CU49">
        <v>15538.011428571428</v>
      </c>
    </row>
    <row r="50" spans="2:99" x14ac:dyDescent="0.2">
      <c r="C50" s="116" t="s">
        <v>216</v>
      </c>
      <c r="D50">
        <v>17</v>
      </c>
      <c r="E50">
        <v>4794</v>
      </c>
      <c r="F50">
        <v>17</v>
      </c>
      <c r="G50">
        <v>4794</v>
      </c>
      <c r="H50">
        <v>15</v>
      </c>
      <c r="I50">
        <v>4230</v>
      </c>
      <c r="J50">
        <v>13</v>
      </c>
      <c r="K50">
        <v>3666</v>
      </c>
      <c r="L50">
        <v>15</v>
      </c>
      <c r="M50">
        <v>4230</v>
      </c>
      <c r="N50">
        <v>19</v>
      </c>
      <c r="O50">
        <v>5358</v>
      </c>
      <c r="P50">
        <v>16</v>
      </c>
      <c r="Q50">
        <v>4512</v>
      </c>
      <c r="R50">
        <v>19</v>
      </c>
      <c r="S50">
        <v>5358</v>
      </c>
      <c r="T50">
        <v>17</v>
      </c>
      <c r="U50">
        <v>4794</v>
      </c>
      <c r="V50">
        <v>14</v>
      </c>
      <c r="W50">
        <v>3948</v>
      </c>
      <c r="X50">
        <v>19</v>
      </c>
      <c r="Y50">
        <v>5358</v>
      </c>
      <c r="Z50">
        <v>20</v>
      </c>
      <c r="AA50">
        <v>5640</v>
      </c>
      <c r="AB50">
        <v>15</v>
      </c>
      <c r="AC50">
        <v>4230</v>
      </c>
      <c r="AD50">
        <v>21</v>
      </c>
      <c r="AE50">
        <v>5922</v>
      </c>
      <c r="AF50">
        <v>17</v>
      </c>
      <c r="AG50">
        <v>4794</v>
      </c>
      <c r="AH50">
        <v>20</v>
      </c>
      <c r="AI50">
        <v>5640</v>
      </c>
      <c r="AJ50">
        <v>15</v>
      </c>
      <c r="AK50">
        <v>4230</v>
      </c>
      <c r="AL50">
        <v>18</v>
      </c>
      <c r="AM50">
        <v>5076</v>
      </c>
      <c r="AN50">
        <v>20</v>
      </c>
      <c r="AO50">
        <v>5640</v>
      </c>
      <c r="AP50">
        <v>15</v>
      </c>
      <c r="AQ50">
        <v>4230</v>
      </c>
      <c r="AR50">
        <v>12</v>
      </c>
      <c r="AS50">
        <v>3384</v>
      </c>
      <c r="AT50">
        <v>22</v>
      </c>
      <c r="AU50">
        <v>6204</v>
      </c>
      <c r="AV50">
        <v>23</v>
      </c>
      <c r="AW50">
        <v>6486</v>
      </c>
      <c r="AX50">
        <v>13</v>
      </c>
      <c r="AY50">
        <v>3666</v>
      </c>
      <c r="AZ50">
        <v>15</v>
      </c>
      <c r="BA50">
        <v>4230</v>
      </c>
      <c r="BB50">
        <v>22</v>
      </c>
      <c r="BC50">
        <v>6204</v>
      </c>
      <c r="BD50">
        <v>16</v>
      </c>
      <c r="BE50">
        <v>4512</v>
      </c>
      <c r="BF50">
        <v>23</v>
      </c>
      <c r="BG50">
        <v>6486</v>
      </c>
      <c r="BH50">
        <v>20</v>
      </c>
      <c r="BI50">
        <v>5640</v>
      </c>
      <c r="BJ50">
        <v>13</v>
      </c>
      <c r="BK50">
        <v>3666</v>
      </c>
      <c r="BL50">
        <v>24</v>
      </c>
      <c r="BM50">
        <v>6768</v>
      </c>
      <c r="BN50">
        <v>22</v>
      </c>
      <c r="BO50">
        <v>6204</v>
      </c>
      <c r="BP50">
        <v>19</v>
      </c>
      <c r="BQ50">
        <v>5358</v>
      </c>
      <c r="BR50">
        <v>23</v>
      </c>
      <c r="BS50">
        <v>6486</v>
      </c>
      <c r="BT50">
        <v>23</v>
      </c>
      <c r="BU50">
        <v>6486</v>
      </c>
      <c r="BV50">
        <v>23</v>
      </c>
      <c r="BW50">
        <v>6486</v>
      </c>
      <c r="BX50">
        <v>18</v>
      </c>
      <c r="BY50">
        <v>5076</v>
      </c>
      <c r="BZ50">
        <v>23</v>
      </c>
      <c r="CA50">
        <v>6486</v>
      </c>
      <c r="CB50">
        <v>17</v>
      </c>
      <c r="CC50">
        <v>4794</v>
      </c>
      <c r="CD50">
        <v>15</v>
      </c>
      <c r="CE50">
        <v>4230</v>
      </c>
      <c r="CF50">
        <v>15</v>
      </c>
      <c r="CG50">
        <v>4230</v>
      </c>
      <c r="CH50">
        <v>13</v>
      </c>
      <c r="CI50">
        <v>3666</v>
      </c>
      <c r="CJ50">
        <v>24</v>
      </c>
      <c r="CK50">
        <v>6768</v>
      </c>
      <c r="CL50">
        <v>20</v>
      </c>
      <c r="CM50">
        <v>5640</v>
      </c>
      <c r="CN50">
        <v>18</v>
      </c>
      <c r="CO50">
        <v>5076</v>
      </c>
      <c r="CP50">
        <v>17</v>
      </c>
      <c r="CQ50">
        <v>4794</v>
      </c>
      <c r="CR50">
        <v>14</v>
      </c>
      <c r="CS50">
        <v>3948</v>
      </c>
      <c r="CT50">
        <v>19</v>
      </c>
      <c r="CU50">
        <v>5358</v>
      </c>
    </row>
    <row r="51" spans="2:99" x14ac:dyDescent="0.2">
      <c r="C51" s="116" t="s">
        <v>217</v>
      </c>
      <c r="D51">
        <v>17</v>
      </c>
      <c r="E51">
        <v>14524.8</v>
      </c>
      <c r="F51">
        <v>15</v>
      </c>
      <c r="G51">
        <v>12816</v>
      </c>
      <c r="H51">
        <v>17</v>
      </c>
      <c r="I51">
        <v>14524.8</v>
      </c>
      <c r="J51">
        <v>13</v>
      </c>
      <c r="K51">
        <v>11107.199999999999</v>
      </c>
      <c r="L51">
        <v>13</v>
      </c>
      <c r="M51">
        <v>11107.199999999999</v>
      </c>
      <c r="N51">
        <v>20</v>
      </c>
      <c r="O51">
        <v>17088</v>
      </c>
      <c r="P51">
        <v>17</v>
      </c>
      <c r="Q51">
        <v>14524.8</v>
      </c>
      <c r="R51">
        <v>16</v>
      </c>
      <c r="S51">
        <v>13670.4</v>
      </c>
      <c r="T51">
        <v>14</v>
      </c>
      <c r="U51">
        <v>11961.6</v>
      </c>
      <c r="V51">
        <v>14</v>
      </c>
      <c r="W51">
        <v>11961.6</v>
      </c>
      <c r="X51">
        <v>17</v>
      </c>
      <c r="Y51">
        <v>14524.8</v>
      </c>
      <c r="Z51">
        <v>21</v>
      </c>
      <c r="AA51">
        <v>17942.399999999998</v>
      </c>
      <c r="AB51">
        <v>15</v>
      </c>
      <c r="AC51">
        <v>12816</v>
      </c>
      <c r="AD51">
        <v>21</v>
      </c>
      <c r="AE51">
        <v>17942.399999999998</v>
      </c>
      <c r="AF51">
        <v>16</v>
      </c>
      <c r="AG51">
        <v>13670.4</v>
      </c>
      <c r="AH51">
        <v>18</v>
      </c>
      <c r="AI51">
        <v>15379.199999999999</v>
      </c>
      <c r="AJ51">
        <v>14</v>
      </c>
      <c r="AK51">
        <v>11961.6</v>
      </c>
      <c r="AL51">
        <v>17</v>
      </c>
      <c r="AM51">
        <v>14524.8</v>
      </c>
      <c r="AN51">
        <v>22</v>
      </c>
      <c r="AO51">
        <v>18796.8</v>
      </c>
      <c r="AP51">
        <v>14</v>
      </c>
      <c r="AQ51">
        <v>11961.6</v>
      </c>
      <c r="AR51">
        <v>13</v>
      </c>
      <c r="AS51">
        <v>11107.199999999999</v>
      </c>
      <c r="AT51">
        <v>22</v>
      </c>
      <c r="AU51">
        <v>18796.8</v>
      </c>
      <c r="AV51">
        <v>23</v>
      </c>
      <c r="AW51">
        <v>19651.2</v>
      </c>
      <c r="AX51">
        <v>12</v>
      </c>
      <c r="AY51">
        <v>10252.799999999999</v>
      </c>
      <c r="AZ51">
        <v>13</v>
      </c>
      <c r="BA51">
        <v>11107.199999999999</v>
      </c>
      <c r="BB51">
        <v>19</v>
      </c>
      <c r="BC51">
        <v>16233.6</v>
      </c>
      <c r="BD51">
        <v>15</v>
      </c>
      <c r="BE51">
        <v>12816</v>
      </c>
      <c r="BF51">
        <v>21</v>
      </c>
      <c r="BG51">
        <v>17942.399999999998</v>
      </c>
      <c r="BH51">
        <v>21</v>
      </c>
      <c r="BI51">
        <v>17942.399999999998</v>
      </c>
      <c r="BJ51">
        <v>12</v>
      </c>
      <c r="BK51">
        <v>10252.799999999999</v>
      </c>
      <c r="BL51">
        <v>21</v>
      </c>
      <c r="BM51">
        <v>17942.399999999998</v>
      </c>
      <c r="BN51">
        <v>22</v>
      </c>
      <c r="BO51">
        <v>18796.8</v>
      </c>
      <c r="BP51">
        <v>17</v>
      </c>
      <c r="BQ51">
        <v>14524.8</v>
      </c>
      <c r="BR51">
        <v>18</v>
      </c>
      <c r="BS51">
        <v>15379.199999999999</v>
      </c>
      <c r="BT51">
        <v>24</v>
      </c>
      <c r="BU51">
        <v>20505.599999999999</v>
      </c>
      <c r="BV51">
        <v>21</v>
      </c>
      <c r="BW51">
        <v>17942.399999999998</v>
      </c>
      <c r="BX51">
        <v>17</v>
      </c>
      <c r="BY51">
        <v>14524.8</v>
      </c>
      <c r="BZ51">
        <v>20</v>
      </c>
      <c r="CA51">
        <v>17088</v>
      </c>
      <c r="CB51">
        <v>14</v>
      </c>
      <c r="CC51">
        <v>11961.6</v>
      </c>
      <c r="CD51">
        <v>14</v>
      </c>
      <c r="CE51">
        <v>11961.6</v>
      </c>
      <c r="CF51">
        <v>14</v>
      </c>
      <c r="CG51">
        <v>11961.6</v>
      </c>
      <c r="CH51">
        <v>13</v>
      </c>
      <c r="CI51">
        <v>11107.199999999999</v>
      </c>
      <c r="CJ51">
        <v>20</v>
      </c>
      <c r="CK51">
        <v>17088</v>
      </c>
      <c r="CL51">
        <v>22</v>
      </c>
      <c r="CM51">
        <v>18796.8</v>
      </c>
      <c r="CN51">
        <v>17</v>
      </c>
      <c r="CO51">
        <v>14524.8</v>
      </c>
      <c r="CP51">
        <v>15</v>
      </c>
      <c r="CQ51">
        <v>12816</v>
      </c>
      <c r="CR51">
        <v>13</v>
      </c>
      <c r="CS51">
        <v>11107.199999999999</v>
      </c>
      <c r="CT51">
        <v>18</v>
      </c>
      <c r="CU51">
        <v>15379.199999999999</v>
      </c>
    </row>
    <row r="52" spans="2:99" x14ac:dyDescent="0.2">
      <c r="C52" s="116" t="s">
        <v>218</v>
      </c>
      <c r="D52">
        <v>18</v>
      </c>
      <c r="E52">
        <v>9720</v>
      </c>
      <c r="F52">
        <v>14</v>
      </c>
      <c r="G52">
        <v>7560</v>
      </c>
      <c r="H52">
        <v>14</v>
      </c>
      <c r="I52">
        <v>7560</v>
      </c>
      <c r="J52">
        <v>11</v>
      </c>
      <c r="K52">
        <v>5940</v>
      </c>
      <c r="L52">
        <v>14</v>
      </c>
      <c r="M52">
        <v>7560</v>
      </c>
      <c r="N52">
        <v>19</v>
      </c>
      <c r="O52">
        <v>10260</v>
      </c>
      <c r="P52">
        <v>16</v>
      </c>
      <c r="Q52">
        <v>8640</v>
      </c>
      <c r="R52">
        <v>19</v>
      </c>
      <c r="S52">
        <v>10260</v>
      </c>
      <c r="T52">
        <v>16</v>
      </c>
      <c r="U52">
        <v>8640</v>
      </c>
      <c r="V52">
        <v>13</v>
      </c>
      <c r="W52">
        <v>7020</v>
      </c>
      <c r="X52">
        <v>18</v>
      </c>
      <c r="Y52">
        <v>9720</v>
      </c>
      <c r="Z52">
        <v>18</v>
      </c>
      <c r="AA52">
        <v>9720</v>
      </c>
      <c r="AB52">
        <v>14</v>
      </c>
      <c r="AC52">
        <v>7560</v>
      </c>
      <c r="AD52">
        <v>20</v>
      </c>
      <c r="AE52">
        <v>10800</v>
      </c>
      <c r="AF52">
        <v>15</v>
      </c>
      <c r="AG52">
        <v>8100</v>
      </c>
      <c r="AH52">
        <v>18</v>
      </c>
      <c r="AI52">
        <v>9720</v>
      </c>
      <c r="AJ52">
        <v>15</v>
      </c>
      <c r="AK52">
        <v>8100</v>
      </c>
      <c r="AL52">
        <v>18</v>
      </c>
      <c r="AM52">
        <v>9720</v>
      </c>
      <c r="AN52">
        <v>23</v>
      </c>
      <c r="AO52">
        <v>12420</v>
      </c>
      <c r="AP52">
        <v>16</v>
      </c>
      <c r="AQ52">
        <v>8640</v>
      </c>
      <c r="AR52">
        <v>12</v>
      </c>
      <c r="AS52">
        <v>6480</v>
      </c>
      <c r="AT52">
        <v>21</v>
      </c>
      <c r="AU52">
        <v>11340</v>
      </c>
      <c r="AV52">
        <v>21</v>
      </c>
      <c r="AW52">
        <v>11340</v>
      </c>
      <c r="AX52">
        <v>12</v>
      </c>
      <c r="AY52">
        <v>6480</v>
      </c>
      <c r="AZ52">
        <v>13</v>
      </c>
      <c r="BA52">
        <v>7020</v>
      </c>
      <c r="BB52">
        <v>21</v>
      </c>
      <c r="BC52">
        <v>11340</v>
      </c>
      <c r="BD52">
        <v>16</v>
      </c>
      <c r="BE52">
        <v>8640</v>
      </c>
      <c r="BF52">
        <v>23</v>
      </c>
      <c r="BG52">
        <v>12420</v>
      </c>
      <c r="BH52">
        <v>22</v>
      </c>
      <c r="BI52">
        <v>11880</v>
      </c>
      <c r="BJ52">
        <v>12</v>
      </c>
      <c r="BK52">
        <v>6480</v>
      </c>
      <c r="BL52">
        <v>22</v>
      </c>
      <c r="BM52">
        <v>11880</v>
      </c>
      <c r="BN52">
        <v>21</v>
      </c>
      <c r="BO52">
        <v>11340</v>
      </c>
      <c r="BP52">
        <v>20</v>
      </c>
      <c r="BQ52">
        <v>10800</v>
      </c>
      <c r="BR52">
        <v>19</v>
      </c>
      <c r="BS52">
        <v>10260</v>
      </c>
      <c r="BT52">
        <v>22</v>
      </c>
      <c r="BU52">
        <v>11880</v>
      </c>
      <c r="BV52">
        <v>23</v>
      </c>
      <c r="BW52">
        <v>12420</v>
      </c>
      <c r="BX52">
        <v>16</v>
      </c>
      <c r="BY52">
        <v>8640</v>
      </c>
      <c r="BZ52">
        <v>19</v>
      </c>
      <c r="CA52">
        <v>10260</v>
      </c>
      <c r="CB52">
        <v>16</v>
      </c>
      <c r="CC52">
        <v>8640</v>
      </c>
      <c r="CD52">
        <v>14</v>
      </c>
      <c r="CE52">
        <v>7560</v>
      </c>
      <c r="CF52">
        <v>15</v>
      </c>
      <c r="CG52">
        <v>8100</v>
      </c>
      <c r="CH52">
        <v>12</v>
      </c>
      <c r="CI52">
        <v>6480</v>
      </c>
      <c r="CJ52">
        <v>23</v>
      </c>
      <c r="CK52">
        <v>12420</v>
      </c>
      <c r="CL52">
        <v>21</v>
      </c>
      <c r="CM52">
        <v>11340</v>
      </c>
      <c r="CN52">
        <v>20</v>
      </c>
      <c r="CO52">
        <v>10800</v>
      </c>
      <c r="CP52">
        <v>16</v>
      </c>
      <c r="CQ52">
        <v>8640</v>
      </c>
      <c r="CR52">
        <v>13</v>
      </c>
      <c r="CS52">
        <v>7020</v>
      </c>
      <c r="CT52">
        <v>17</v>
      </c>
      <c r="CU52">
        <v>9180</v>
      </c>
    </row>
    <row r="53" spans="2:99" x14ac:dyDescent="0.2">
      <c r="C53" s="116" t="s">
        <v>219</v>
      </c>
      <c r="D53">
        <v>17</v>
      </c>
      <c r="E53">
        <v>6915.6</v>
      </c>
      <c r="F53">
        <v>16</v>
      </c>
      <c r="G53">
        <v>6508.8</v>
      </c>
      <c r="H53">
        <v>16</v>
      </c>
      <c r="I53">
        <v>6508.8</v>
      </c>
      <c r="J53">
        <v>13</v>
      </c>
      <c r="K53">
        <v>5288.4000000000005</v>
      </c>
      <c r="L53">
        <v>16</v>
      </c>
      <c r="M53">
        <v>6508.8</v>
      </c>
      <c r="N53">
        <v>19</v>
      </c>
      <c r="O53">
        <v>7729.2</v>
      </c>
      <c r="P53">
        <v>15</v>
      </c>
      <c r="Q53">
        <v>6102</v>
      </c>
      <c r="R53">
        <v>17</v>
      </c>
      <c r="S53">
        <v>6915.6</v>
      </c>
      <c r="T53">
        <v>15</v>
      </c>
      <c r="U53">
        <v>6102</v>
      </c>
      <c r="V53">
        <v>13</v>
      </c>
      <c r="W53">
        <v>5288.4000000000005</v>
      </c>
      <c r="X53">
        <v>19</v>
      </c>
      <c r="Y53">
        <v>7729.2</v>
      </c>
      <c r="Z53">
        <v>21</v>
      </c>
      <c r="AA53">
        <v>8542.8000000000011</v>
      </c>
      <c r="AB53">
        <v>16</v>
      </c>
      <c r="AC53">
        <v>6508.8</v>
      </c>
      <c r="AD53">
        <v>23</v>
      </c>
      <c r="AE53">
        <v>9356.4</v>
      </c>
      <c r="AF53">
        <v>15</v>
      </c>
      <c r="AG53">
        <v>6102</v>
      </c>
      <c r="AH53">
        <v>22</v>
      </c>
      <c r="AI53">
        <v>8949.6</v>
      </c>
      <c r="AJ53">
        <v>14</v>
      </c>
      <c r="AK53">
        <v>5695.2</v>
      </c>
      <c r="AL53">
        <v>20</v>
      </c>
      <c r="AM53">
        <v>8136</v>
      </c>
      <c r="AN53">
        <v>23</v>
      </c>
      <c r="AO53">
        <v>9356.4</v>
      </c>
      <c r="AP53">
        <v>15</v>
      </c>
      <c r="AQ53">
        <v>6102</v>
      </c>
      <c r="AR53">
        <v>12</v>
      </c>
      <c r="AS53">
        <v>4881.6000000000004</v>
      </c>
      <c r="AT53">
        <v>23</v>
      </c>
      <c r="AU53">
        <v>9356.4</v>
      </c>
      <c r="AV53">
        <v>23</v>
      </c>
      <c r="AW53">
        <v>9356.4</v>
      </c>
      <c r="AX53">
        <v>12</v>
      </c>
      <c r="AY53">
        <v>4881.6000000000004</v>
      </c>
      <c r="AZ53">
        <v>14</v>
      </c>
      <c r="BA53">
        <v>5695.2</v>
      </c>
      <c r="BB53">
        <v>21</v>
      </c>
      <c r="BC53">
        <v>8542.8000000000011</v>
      </c>
      <c r="BD53">
        <v>16</v>
      </c>
      <c r="BE53">
        <v>6508.8</v>
      </c>
      <c r="BF53">
        <v>26</v>
      </c>
      <c r="BG53">
        <v>10576.800000000001</v>
      </c>
      <c r="BH53">
        <v>19</v>
      </c>
      <c r="BI53">
        <v>7729.2</v>
      </c>
      <c r="BJ53">
        <v>12</v>
      </c>
      <c r="BK53">
        <v>4881.6000000000004</v>
      </c>
      <c r="BL53">
        <v>21</v>
      </c>
      <c r="BM53">
        <v>8542.8000000000011</v>
      </c>
      <c r="BN53">
        <v>20</v>
      </c>
      <c r="BO53">
        <v>8136</v>
      </c>
      <c r="BP53">
        <v>20</v>
      </c>
      <c r="BQ53">
        <v>8136</v>
      </c>
      <c r="BR53">
        <v>20</v>
      </c>
      <c r="BS53">
        <v>8136</v>
      </c>
      <c r="BT53">
        <v>25</v>
      </c>
      <c r="BU53">
        <v>10170</v>
      </c>
      <c r="BV53">
        <v>24</v>
      </c>
      <c r="BW53">
        <v>9763.2000000000007</v>
      </c>
      <c r="BX53">
        <v>17</v>
      </c>
      <c r="BY53">
        <v>6915.6</v>
      </c>
      <c r="BZ53">
        <v>19</v>
      </c>
      <c r="CA53">
        <v>7729.2</v>
      </c>
      <c r="CB53">
        <v>16</v>
      </c>
      <c r="CC53">
        <v>6508.8</v>
      </c>
      <c r="CD53">
        <v>16</v>
      </c>
      <c r="CE53">
        <v>6508.8</v>
      </c>
      <c r="CF53">
        <v>14</v>
      </c>
      <c r="CG53">
        <v>5695.2</v>
      </c>
      <c r="CH53">
        <v>14</v>
      </c>
      <c r="CI53">
        <v>5695.2</v>
      </c>
      <c r="CJ53">
        <v>21</v>
      </c>
      <c r="CK53">
        <v>8542.8000000000011</v>
      </c>
      <c r="CL53">
        <v>22</v>
      </c>
      <c r="CM53">
        <v>8949.6</v>
      </c>
      <c r="CN53">
        <v>18</v>
      </c>
      <c r="CO53">
        <v>7322.4000000000005</v>
      </c>
      <c r="CP53">
        <v>15</v>
      </c>
      <c r="CQ53">
        <v>6102</v>
      </c>
      <c r="CR53">
        <v>14</v>
      </c>
      <c r="CS53">
        <v>5695.2</v>
      </c>
      <c r="CT53">
        <v>20</v>
      </c>
      <c r="CU53">
        <v>8136</v>
      </c>
    </row>
    <row r="54" spans="2:99" x14ac:dyDescent="0.2">
      <c r="C54" s="116" t="s">
        <v>220</v>
      </c>
      <c r="D54">
        <v>19</v>
      </c>
      <c r="E54">
        <v>6361.2</v>
      </c>
      <c r="F54">
        <v>16</v>
      </c>
      <c r="G54">
        <v>5356.8</v>
      </c>
      <c r="H54">
        <v>17</v>
      </c>
      <c r="I54">
        <v>5691.6</v>
      </c>
      <c r="J54">
        <v>12</v>
      </c>
      <c r="K54">
        <v>4017.6000000000004</v>
      </c>
      <c r="L54">
        <v>15</v>
      </c>
      <c r="M54">
        <v>5022</v>
      </c>
      <c r="N54">
        <v>18</v>
      </c>
      <c r="O54">
        <v>6026.4000000000005</v>
      </c>
      <c r="P54">
        <v>18</v>
      </c>
      <c r="Q54">
        <v>6026.4000000000005</v>
      </c>
      <c r="R54">
        <v>18</v>
      </c>
      <c r="S54">
        <v>6026.4000000000005</v>
      </c>
      <c r="T54">
        <v>15</v>
      </c>
      <c r="U54">
        <v>5022</v>
      </c>
      <c r="V54">
        <v>13</v>
      </c>
      <c r="W54">
        <v>4352.4000000000005</v>
      </c>
      <c r="X54">
        <v>17</v>
      </c>
      <c r="Y54">
        <v>5691.6</v>
      </c>
      <c r="Z54">
        <v>20</v>
      </c>
      <c r="AA54">
        <v>6696</v>
      </c>
      <c r="AB54">
        <v>16</v>
      </c>
      <c r="AC54">
        <v>5356.8</v>
      </c>
      <c r="AD54">
        <v>21</v>
      </c>
      <c r="AE54">
        <v>7030.8</v>
      </c>
      <c r="AF54">
        <v>15</v>
      </c>
      <c r="AG54">
        <v>5022</v>
      </c>
      <c r="AH54">
        <v>19</v>
      </c>
      <c r="AI54">
        <v>6361.2</v>
      </c>
      <c r="AJ54">
        <v>13</v>
      </c>
      <c r="AK54">
        <v>4352.4000000000005</v>
      </c>
      <c r="AL54">
        <v>18</v>
      </c>
      <c r="AM54">
        <v>6026.4000000000005</v>
      </c>
      <c r="AN54">
        <v>23</v>
      </c>
      <c r="AO54">
        <v>7700.4000000000005</v>
      </c>
      <c r="AP54">
        <v>14</v>
      </c>
      <c r="AQ54">
        <v>4687.2</v>
      </c>
      <c r="AR54">
        <v>13</v>
      </c>
      <c r="AS54">
        <v>4352.4000000000005</v>
      </c>
      <c r="AT54">
        <v>22</v>
      </c>
      <c r="AU54">
        <v>7365.6</v>
      </c>
      <c r="AV54">
        <v>24</v>
      </c>
      <c r="AW54">
        <v>8035.2000000000007</v>
      </c>
      <c r="AX54">
        <v>13</v>
      </c>
      <c r="AY54">
        <v>4352.4000000000005</v>
      </c>
      <c r="AZ54">
        <v>14</v>
      </c>
      <c r="BA54">
        <v>4687.2</v>
      </c>
      <c r="BB54">
        <v>23</v>
      </c>
      <c r="BC54">
        <v>7700.4000000000005</v>
      </c>
      <c r="BD54">
        <v>18</v>
      </c>
      <c r="BE54">
        <v>6026.4000000000005</v>
      </c>
      <c r="BF54">
        <v>24</v>
      </c>
      <c r="BG54">
        <v>8035.2000000000007</v>
      </c>
      <c r="BH54">
        <v>21</v>
      </c>
      <c r="BI54">
        <v>7030.8</v>
      </c>
      <c r="BJ54">
        <v>12</v>
      </c>
      <c r="BK54">
        <v>4017.6000000000004</v>
      </c>
      <c r="BL54">
        <v>23</v>
      </c>
      <c r="BM54">
        <v>7700.4000000000005</v>
      </c>
      <c r="BN54">
        <v>21</v>
      </c>
      <c r="BO54">
        <v>7030.8</v>
      </c>
      <c r="BP54">
        <v>19</v>
      </c>
      <c r="BQ54">
        <v>6361.2</v>
      </c>
      <c r="BR54">
        <v>20</v>
      </c>
      <c r="BS54">
        <v>6696</v>
      </c>
      <c r="BT54">
        <v>23</v>
      </c>
      <c r="BU54">
        <v>7700.4000000000005</v>
      </c>
      <c r="BV54">
        <v>24</v>
      </c>
      <c r="BW54">
        <v>8035.2000000000007</v>
      </c>
      <c r="BX54">
        <v>17</v>
      </c>
      <c r="BY54">
        <v>5691.6</v>
      </c>
      <c r="BZ54">
        <v>19</v>
      </c>
      <c r="CA54">
        <v>6361.2</v>
      </c>
      <c r="CB54">
        <v>17</v>
      </c>
      <c r="CC54">
        <v>5691.6</v>
      </c>
      <c r="CD54">
        <v>14</v>
      </c>
      <c r="CE54">
        <v>4687.2</v>
      </c>
      <c r="CF54">
        <v>16</v>
      </c>
      <c r="CG54">
        <v>5356.8</v>
      </c>
      <c r="CH54">
        <v>14</v>
      </c>
      <c r="CI54">
        <v>4687.2</v>
      </c>
      <c r="CJ54">
        <v>21</v>
      </c>
      <c r="CK54">
        <v>7030.8</v>
      </c>
      <c r="CL54">
        <v>22</v>
      </c>
      <c r="CM54">
        <v>7365.6</v>
      </c>
      <c r="CN54">
        <v>22</v>
      </c>
      <c r="CO54">
        <v>7365.6</v>
      </c>
      <c r="CP54">
        <v>15</v>
      </c>
      <c r="CQ54">
        <v>5022</v>
      </c>
      <c r="CR54">
        <v>15</v>
      </c>
      <c r="CS54">
        <v>5022</v>
      </c>
      <c r="CT54">
        <v>20</v>
      </c>
      <c r="CU54">
        <v>6696</v>
      </c>
    </row>
    <row r="55" spans="2:99" x14ac:dyDescent="0.2">
      <c r="C55" s="116" t="s">
        <v>221</v>
      </c>
      <c r="D55">
        <v>18</v>
      </c>
      <c r="E55">
        <v>11944.800000000001</v>
      </c>
      <c r="F55">
        <v>16</v>
      </c>
      <c r="G55">
        <v>10617.6</v>
      </c>
      <c r="H55">
        <v>16</v>
      </c>
      <c r="I55">
        <v>10617.6</v>
      </c>
      <c r="J55">
        <v>13</v>
      </c>
      <c r="K55">
        <v>8626.8000000000011</v>
      </c>
      <c r="L55">
        <v>14</v>
      </c>
      <c r="M55">
        <v>9290.4</v>
      </c>
      <c r="N55">
        <v>18</v>
      </c>
      <c r="O55">
        <v>11944.800000000001</v>
      </c>
      <c r="P55">
        <v>17</v>
      </c>
      <c r="Q55">
        <v>11281.2</v>
      </c>
      <c r="R55">
        <v>18</v>
      </c>
      <c r="S55">
        <v>11944.800000000001</v>
      </c>
      <c r="T55">
        <v>14</v>
      </c>
      <c r="U55">
        <v>9290.4</v>
      </c>
      <c r="V55">
        <v>14</v>
      </c>
      <c r="W55">
        <v>9290.4</v>
      </c>
      <c r="X55">
        <v>18</v>
      </c>
      <c r="Y55">
        <v>11944.800000000001</v>
      </c>
      <c r="Z55">
        <v>19</v>
      </c>
      <c r="AA55">
        <v>12608.4</v>
      </c>
      <c r="AB55">
        <v>16</v>
      </c>
      <c r="AC55">
        <v>10617.6</v>
      </c>
      <c r="AD55">
        <v>20</v>
      </c>
      <c r="AE55">
        <v>13272</v>
      </c>
      <c r="AF55">
        <v>15</v>
      </c>
      <c r="AG55">
        <v>9954</v>
      </c>
      <c r="AH55">
        <v>20</v>
      </c>
      <c r="AI55">
        <v>13272</v>
      </c>
      <c r="AJ55">
        <v>14</v>
      </c>
      <c r="AK55">
        <v>9290.4</v>
      </c>
      <c r="AL55">
        <v>18</v>
      </c>
      <c r="AM55">
        <v>11944.800000000001</v>
      </c>
      <c r="AN55">
        <v>20</v>
      </c>
      <c r="AO55">
        <v>13272</v>
      </c>
      <c r="AP55">
        <v>15</v>
      </c>
      <c r="AQ55">
        <v>9954</v>
      </c>
      <c r="AR55">
        <v>11</v>
      </c>
      <c r="AS55">
        <v>7299.6</v>
      </c>
      <c r="AT55">
        <v>20</v>
      </c>
      <c r="AU55">
        <v>13272</v>
      </c>
      <c r="AV55">
        <v>22</v>
      </c>
      <c r="AW55">
        <v>14599.2</v>
      </c>
      <c r="AX55">
        <v>13</v>
      </c>
      <c r="AY55">
        <v>8626.8000000000011</v>
      </c>
      <c r="AZ55">
        <v>13</v>
      </c>
      <c r="BA55">
        <v>8626.8000000000011</v>
      </c>
      <c r="BB55">
        <v>21</v>
      </c>
      <c r="BC55">
        <v>13935.6</v>
      </c>
      <c r="BD55">
        <v>18</v>
      </c>
      <c r="BE55">
        <v>11944.800000000001</v>
      </c>
      <c r="BF55">
        <v>25</v>
      </c>
      <c r="BG55">
        <v>16590</v>
      </c>
      <c r="BH55">
        <v>21</v>
      </c>
      <c r="BI55">
        <v>13935.6</v>
      </c>
      <c r="BJ55">
        <v>12</v>
      </c>
      <c r="BK55">
        <v>7963.2000000000007</v>
      </c>
      <c r="BL55">
        <v>21</v>
      </c>
      <c r="BM55">
        <v>13935.6</v>
      </c>
      <c r="BN55">
        <v>19</v>
      </c>
      <c r="BO55">
        <v>12608.4</v>
      </c>
      <c r="BP55">
        <v>17</v>
      </c>
      <c r="BQ55">
        <v>11281.2</v>
      </c>
      <c r="BR55">
        <v>20</v>
      </c>
      <c r="BS55">
        <v>13272</v>
      </c>
      <c r="BT55">
        <v>24</v>
      </c>
      <c r="BU55">
        <v>15926.400000000001</v>
      </c>
      <c r="BV55">
        <v>24</v>
      </c>
      <c r="BW55">
        <v>15926.400000000001</v>
      </c>
      <c r="BX55">
        <v>19</v>
      </c>
      <c r="BY55">
        <v>12608.4</v>
      </c>
      <c r="BZ55">
        <v>20</v>
      </c>
      <c r="CA55">
        <v>13272</v>
      </c>
      <c r="CB55">
        <v>17</v>
      </c>
      <c r="CC55">
        <v>11281.2</v>
      </c>
      <c r="CD55">
        <v>16</v>
      </c>
      <c r="CE55">
        <v>10617.6</v>
      </c>
      <c r="CF55">
        <v>15</v>
      </c>
      <c r="CG55">
        <v>9954</v>
      </c>
      <c r="CH55">
        <v>13</v>
      </c>
      <c r="CI55">
        <v>8626.8000000000011</v>
      </c>
      <c r="CJ55">
        <v>22</v>
      </c>
      <c r="CK55">
        <v>14599.2</v>
      </c>
      <c r="CL55">
        <v>20</v>
      </c>
      <c r="CM55">
        <v>13272</v>
      </c>
      <c r="CN55">
        <v>20</v>
      </c>
      <c r="CO55">
        <v>13272</v>
      </c>
      <c r="CP55">
        <v>16</v>
      </c>
      <c r="CQ55">
        <v>10617.6</v>
      </c>
      <c r="CR55">
        <v>13</v>
      </c>
      <c r="CS55">
        <v>8626.8000000000011</v>
      </c>
      <c r="CT55">
        <v>17</v>
      </c>
      <c r="CU55">
        <v>11281.2</v>
      </c>
    </row>
    <row r="56" spans="2:99" x14ac:dyDescent="0.2">
      <c r="C56" s="116" t="s">
        <v>222</v>
      </c>
      <c r="D56">
        <v>1.2900566137238081</v>
      </c>
      <c r="E56">
        <v>1484.5971510733582</v>
      </c>
      <c r="F56">
        <v>10.968311688311687</v>
      </c>
      <c r="G56">
        <v>12622.333090909089</v>
      </c>
      <c r="H56">
        <v>6.4340346934673374</v>
      </c>
      <c r="I56">
        <v>7404.2871252422119</v>
      </c>
      <c r="J56">
        <v>5.6341463414634152</v>
      </c>
      <c r="K56">
        <v>6483.7756097560978</v>
      </c>
      <c r="L56">
        <v>6.134371957156767</v>
      </c>
      <c r="M56">
        <v>7059.4352482960076</v>
      </c>
      <c r="N56">
        <v>17.83314020857474</v>
      </c>
      <c r="O56">
        <v>20522.377752027809</v>
      </c>
      <c r="P56">
        <v>3.0751708428246016</v>
      </c>
      <c r="Q56">
        <v>3538.9066059225515</v>
      </c>
      <c r="R56">
        <v>15.801282051282053</v>
      </c>
      <c r="S56">
        <v>18184.115384615387</v>
      </c>
      <c r="T56">
        <v>3.0342323651452281</v>
      </c>
      <c r="U56">
        <v>3491.7946058091284</v>
      </c>
      <c r="V56">
        <v>6.9928278688524586</v>
      </c>
      <c r="W56">
        <v>8047.3463114754086</v>
      </c>
      <c r="X56">
        <v>14.045584045584047</v>
      </c>
      <c r="Y56">
        <v>16163.658119658121</v>
      </c>
      <c r="Z56">
        <v>6.3268608414239473</v>
      </c>
      <c r="AA56">
        <v>7280.9514563106786</v>
      </c>
      <c r="AB56">
        <v>10.501489572989076</v>
      </c>
      <c r="AC56">
        <v>12085.114200595828</v>
      </c>
      <c r="AD56">
        <v>7.2565445026178015</v>
      </c>
      <c r="AE56">
        <v>8350.8314136125664</v>
      </c>
      <c r="AF56">
        <v>4.4117647058823533</v>
      </c>
      <c r="AG56">
        <v>5077.0588235294117</v>
      </c>
      <c r="AH56">
        <v>18.026172300981461</v>
      </c>
      <c r="AI56">
        <v>20744.519083969466</v>
      </c>
      <c r="AJ56">
        <v>6.7307692307692308</v>
      </c>
      <c r="AK56">
        <v>7745.7692307692305</v>
      </c>
      <c r="AL56">
        <v>10.544397463002113</v>
      </c>
      <c r="AM56">
        <v>12134.492600422831</v>
      </c>
      <c r="AN56">
        <v>3.375</v>
      </c>
      <c r="AO56">
        <v>3883.95</v>
      </c>
      <c r="AP56">
        <v>12.212389380530974</v>
      </c>
      <c r="AQ56">
        <v>14054.017699115044</v>
      </c>
      <c r="AR56">
        <v>7.2184300341296925</v>
      </c>
      <c r="AS56">
        <v>8306.9692832764504</v>
      </c>
      <c r="AT56">
        <v>12.636761487964989</v>
      </c>
      <c r="AU56">
        <v>14542.385120350109</v>
      </c>
      <c r="AV56">
        <v>10.458167330677291</v>
      </c>
      <c r="AW56">
        <v>12035.258964143426</v>
      </c>
      <c r="AX56">
        <v>4.2271442035815268</v>
      </c>
      <c r="AY56">
        <v>4864.5975494816212</v>
      </c>
      <c r="AZ56">
        <v>9.458204334365325</v>
      </c>
      <c r="BA56">
        <v>10884.501547987617</v>
      </c>
      <c r="BB56">
        <v>9.2465753424657535</v>
      </c>
      <c r="BC56">
        <v>10640.95890410959</v>
      </c>
      <c r="BD56">
        <v>3.0088495575221237</v>
      </c>
      <c r="BE56">
        <v>3462.5840707964599</v>
      </c>
      <c r="BF56">
        <v>20.721812434141199</v>
      </c>
      <c r="BG56">
        <v>23846.661749209692</v>
      </c>
      <c r="BH56">
        <v>3.7261146496815285</v>
      </c>
      <c r="BI56">
        <v>4288.0127388535029</v>
      </c>
      <c r="BJ56">
        <v>8.5185185185185173</v>
      </c>
      <c r="BK56">
        <v>9803.1111111111095</v>
      </c>
      <c r="BL56">
        <v>7.2394881170018284</v>
      </c>
      <c r="BM56">
        <v>8331.2029250457035</v>
      </c>
      <c r="BN56">
        <v>8.4525939177101979</v>
      </c>
      <c r="BO56">
        <v>9727.2450805008957</v>
      </c>
      <c r="BP56">
        <v>9.8860257680872152</v>
      </c>
      <c r="BQ56">
        <v>11376.838453914766</v>
      </c>
      <c r="BR56">
        <v>16.655844155844157</v>
      </c>
      <c r="BS56">
        <v>19167.545454545456</v>
      </c>
      <c r="BT56">
        <v>13.89261744966443</v>
      </c>
      <c r="BU56">
        <v>15987.624161073825</v>
      </c>
      <c r="BV56">
        <v>9.473684210526315</v>
      </c>
      <c r="BW56">
        <v>10902.315789473683</v>
      </c>
      <c r="BX56">
        <v>5.1428571428571423</v>
      </c>
      <c r="BY56">
        <v>5918.4</v>
      </c>
      <c r="BZ56">
        <v>8.8587921847246882</v>
      </c>
      <c r="CA56">
        <v>10194.698046181171</v>
      </c>
      <c r="CB56">
        <v>8.0275229357798157</v>
      </c>
      <c r="CC56">
        <v>9238.0733944954118</v>
      </c>
      <c r="CD56">
        <v>8.367016976556183</v>
      </c>
      <c r="CE56">
        <v>9628.7631366208552</v>
      </c>
      <c r="CF56">
        <v>4.9769585253456228</v>
      </c>
      <c r="CG56">
        <v>5727.4838709677424</v>
      </c>
      <c r="CH56">
        <v>5.8005249343832022</v>
      </c>
      <c r="CI56">
        <v>6675.2440944881891</v>
      </c>
      <c r="CJ56">
        <v>9.1607142857142847</v>
      </c>
      <c r="CK56">
        <v>10542.149999999998</v>
      </c>
      <c r="CL56">
        <v>12.480620155038759</v>
      </c>
      <c r="CM56">
        <v>14362.697674418603</v>
      </c>
      <c r="CN56">
        <v>15.107142857142858</v>
      </c>
      <c r="CO56">
        <v>17385.3</v>
      </c>
      <c r="CP56">
        <v>4.8107569721115535</v>
      </c>
      <c r="CQ56">
        <v>5536.2191235059754</v>
      </c>
      <c r="CR56">
        <v>4.3680485338725985</v>
      </c>
      <c r="CS56">
        <v>5026.7502527805864</v>
      </c>
      <c r="CT56">
        <v>14.982857142857142</v>
      </c>
      <c r="CU56">
        <v>17242.271999999997</v>
      </c>
    </row>
    <row r="57" spans="2:99" x14ac:dyDescent="0.2">
      <c r="C57" s="116" t="s">
        <v>223</v>
      </c>
      <c r="D57">
        <v>16</v>
      </c>
      <c r="E57">
        <v>22579.200000000001</v>
      </c>
      <c r="F57">
        <v>14</v>
      </c>
      <c r="G57">
        <v>19756.8</v>
      </c>
      <c r="H57">
        <v>14</v>
      </c>
      <c r="I57">
        <v>19756.8</v>
      </c>
      <c r="J57">
        <v>11</v>
      </c>
      <c r="K57">
        <v>15523.2</v>
      </c>
      <c r="L57">
        <v>13</v>
      </c>
      <c r="M57">
        <v>18345.600000000002</v>
      </c>
      <c r="N57">
        <v>19</v>
      </c>
      <c r="O57">
        <v>26812.799999999999</v>
      </c>
      <c r="P57">
        <v>15</v>
      </c>
      <c r="Q57">
        <v>21168</v>
      </c>
      <c r="R57">
        <v>15</v>
      </c>
      <c r="S57">
        <v>21168</v>
      </c>
      <c r="T57">
        <v>15</v>
      </c>
      <c r="U57">
        <v>21168</v>
      </c>
      <c r="V57">
        <v>12</v>
      </c>
      <c r="W57">
        <v>16934.400000000001</v>
      </c>
      <c r="X57">
        <v>15</v>
      </c>
      <c r="Y57">
        <v>21168</v>
      </c>
      <c r="Z57">
        <v>20</v>
      </c>
      <c r="AA57">
        <v>28224</v>
      </c>
      <c r="AB57">
        <v>13</v>
      </c>
      <c r="AC57">
        <v>18345.600000000002</v>
      </c>
      <c r="AD57">
        <v>18</v>
      </c>
      <c r="AE57">
        <v>25401.600000000002</v>
      </c>
      <c r="AF57">
        <v>13</v>
      </c>
      <c r="AG57">
        <v>18345.600000000002</v>
      </c>
      <c r="AH57">
        <v>17</v>
      </c>
      <c r="AI57">
        <v>23990.400000000001</v>
      </c>
      <c r="AJ57">
        <v>13</v>
      </c>
      <c r="AK57">
        <v>18345.600000000002</v>
      </c>
      <c r="AL57">
        <v>18</v>
      </c>
      <c r="AM57">
        <v>25401.600000000002</v>
      </c>
      <c r="AN57">
        <v>20</v>
      </c>
      <c r="AO57">
        <v>28224</v>
      </c>
      <c r="AP57">
        <v>13</v>
      </c>
      <c r="AQ57">
        <v>18345.600000000002</v>
      </c>
      <c r="AR57">
        <v>10</v>
      </c>
      <c r="AS57">
        <v>14112</v>
      </c>
      <c r="AT57">
        <v>21</v>
      </c>
      <c r="AU57">
        <v>29635.200000000001</v>
      </c>
      <c r="AV57">
        <v>21</v>
      </c>
      <c r="AW57">
        <v>29635.200000000001</v>
      </c>
      <c r="AX57">
        <v>13</v>
      </c>
      <c r="AY57">
        <v>18345.600000000002</v>
      </c>
      <c r="AZ57">
        <v>12</v>
      </c>
      <c r="BA57">
        <v>16934.400000000001</v>
      </c>
      <c r="BB57">
        <v>21</v>
      </c>
      <c r="BC57">
        <v>29635.200000000001</v>
      </c>
      <c r="BD57">
        <v>15</v>
      </c>
      <c r="BE57">
        <v>21168</v>
      </c>
      <c r="BF57">
        <v>23</v>
      </c>
      <c r="BG57">
        <v>32457.600000000002</v>
      </c>
      <c r="BH57">
        <v>21</v>
      </c>
      <c r="BI57">
        <v>29635.200000000001</v>
      </c>
      <c r="BJ57">
        <v>12</v>
      </c>
      <c r="BK57">
        <v>16934.400000000001</v>
      </c>
      <c r="BL57">
        <v>19</v>
      </c>
      <c r="BM57">
        <v>26812.799999999999</v>
      </c>
      <c r="BN57">
        <v>21</v>
      </c>
      <c r="BO57">
        <v>29635.200000000001</v>
      </c>
      <c r="BP57">
        <v>18</v>
      </c>
      <c r="BQ57">
        <v>25401.600000000002</v>
      </c>
      <c r="BR57">
        <v>20</v>
      </c>
      <c r="BS57">
        <v>28224</v>
      </c>
      <c r="BT57">
        <v>19</v>
      </c>
      <c r="BU57">
        <v>26812.799999999999</v>
      </c>
      <c r="BV57">
        <v>23</v>
      </c>
      <c r="BW57">
        <v>32457.600000000002</v>
      </c>
      <c r="BX57">
        <v>16</v>
      </c>
      <c r="BY57">
        <v>22579.200000000001</v>
      </c>
      <c r="BZ57">
        <v>17</v>
      </c>
      <c r="CA57">
        <v>23990.400000000001</v>
      </c>
      <c r="CB57">
        <v>16</v>
      </c>
      <c r="CC57">
        <v>22579.200000000001</v>
      </c>
      <c r="CD57">
        <v>14</v>
      </c>
      <c r="CE57">
        <v>19756.8</v>
      </c>
      <c r="CF57">
        <v>14</v>
      </c>
      <c r="CG57">
        <v>19756.8</v>
      </c>
      <c r="CH57">
        <v>12</v>
      </c>
      <c r="CI57">
        <v>16934.400000000001</v>
      </c>
      <c r="CJ57">
        <v>20</v>
      </c>
      <c r="CK57">
        <v>28224</v>
      </c>
      <c r="CL57">
        <v>18</v>
      </c>
      <c r="CM57">
        <v>25401.600000000002</v>
      </c>
      <c r="CN57">
        <v>17</v>
      </c>
      <c r="CO57">
        <v>23990.400000000001</v>
      </c>
      <c r="CP57">
        <v>16</v>
      </c>
      <c r="CQ57">
        <v>22579.200000000001</v>
      </c>
      <c r="CR57">
        <v>14</v>
      </c>
      <c r="CS57">
        <v>19756.8</v>
      </c>
      <c r="CT57">
        <v>19</v>
      </c>
      <c r="CU57">
        <v>26812.799999999999</v>
      </c>
    </row>
    <row r="58" spans="2:99" x14ac:dyDescent="0.2">
      <c r="C58" s="116" t="s">
        <v>224</v>
      </c>
      <c r="D58">
        <v>1.3760603879720621</v>
      </c>
      <c r="E58">
        <v>1619.8982887207117</v>
      </c>
      <c r="F58">
        <v>9.5058701298701287</v>
      </c>
      <c r="G58">
        <v>11190.310316883117</v>
      </c>
      <c r="H58">
        <v>6.0319075251256278</v>
      </c>
      <c r="I58">
        <v>7100.761538577889</v>
      </c>
      <c r="J58">
        <v>5.6341463414634152</v>
      </c>
      <c r="K58">
        <v>6632.5170731707331</v>
      </c>
      <c r="L58">
        <v>6.134371957156767</v>
      </c>
      <c r="M58">
        <v>7221.3826679649464</v>
      </c>
      <c r="N58">
        <v>15.851680185399768</v>
      </c>
      <c r="O58">
        <v>18660.597914252608</v>
      </c>
      <c r="P58">
        <v>3.0751708428246016</v>
      </c>
      <c r="Q58">
        <v>3620.091116173121</v>
      </c>
      <c r="R58">
        <v>13.942307692307692</v>
      </c>
      <c r="S58">
        <v>16412.884615384613</v>
      </c>
      <c r="T58">
        <v>3.2365145228215768</v>
      </c>
      <c r="U58">
        <v>3810.0248962655605</v>
      </c>
      <c r="V58">
        <v>6.9928278688524586</v>
      </c>
      <c r="W58">
        <v>8231.9569672131147</v>
      </c>
      <c r="X58">
        <v>13.219373219373219</v>
      </c>
      <c r="Y58">
        <v>15561.846153846154</v>
      </c>
      <c r="Z58">
        <v>7.4433656957928811</v>
      </c>
      <c r="AA58">
        <v>8762.3300970873806</v>
      </c>
      <c r="AB58">
        <v>11.201588877855015</v>
      </c>
      <c r="AC58">
        <v>13186.510427010924</v>
      </c>
      <c r="AD58">
        <v>6.9109947643979064</v>
      </c>
      <c r="AE58">
        <v>8135.6230366492155</v>
      </c>
      <c r="AF58">
        <v>5.0904977375565617</v>
      </c>
      <c r="AG58">
        <v>5992.5339366515846</v>
      </c>
      <c r="AH58">
        <v>18.026172300981461</v>
      </c>
      <c r="AI58">
        <v>21220.410032715376</v>
      </c>
      <c r="AJ58">
        <v>7.2916666666666661</v>
      </c>
      <c r="AK58">
        <v>8583.75</v>
      </c>
      <c r="AL58">
        <v>9.4344608879492586</v>
      </c>
      <c r="AM58">
        <v>11106.247357293867</v>
      </c>
      <c r="AN58">
        <v>2.8928571428571423</v>
      </c>
      <c r="AO58">
        <v>3405.4714285714281</v>
      </c>
      <c r="AP58">
        <v>11.340075853350189</v>
      </c>
      <c r="AQ58">
        <v>13349.537294563843</v>
      </c>
      <c r="AR58">
        <v>7.2184300341296925</v>
      </c>
      <c r="AS58">
        <v>8497.5358361774743</v>
      </c>
      <c r="AT58">
        <v>12.062363238512035</v>
      </c>
      <c r="AU58">
        <v>14199.814004376367</v>
      </c>
      <c r="AV58">
        <v>10.458167330677291</v>
      </c>
      <c r="AW58">
        <v>12311.354581673308</v>
      </c>
      <c r="AX58">
        <v>4.2271442035815268</v>
      </c>
      <c r="AY58">
        <v>4976.1941564561739</v>
      </c>
      <c r="AZ58">
        <v>8.7306501547987629</v>
      </c>
      <c r="BA58">
        <v>10277.721362229104</v>
      </c>
      <c r="BB58">
        <v>10.787671232876711</v>
      </c>
      <c r="BC58">
        <v>12699.246575342466</v>
      </c>
      <c r="BD58">
        <v>2.6548672566371683</v>
      </c>
      <c r="BE58">
        <v>3125.3097345132746</v>
      </c>
      <c r="BF58">
        <v>19.820864067439413</v>
      </c>
      <c r="BG58">
        <v>23333.121180189679</v>
      </c>
      <c r="BH58">
        <v>3.5191082802547768</v>
      </c>
      <c r="BI58">
        <v>4142.6942675159235</v>
      </c>
      <c r="BJ58">
        <v>8.5185185185185173</v>
      </c>
      <c r="BK58">
        <v>10027.999999999998</v>
      </c>
      <c r="BL58">
        <v>6.2522851919561244</v>
      </c>
      <c r="BM58">
        <v>7360.1901279707499</v>
      </c>
      <c r="BN58">
        <v>8.9221824686940963</v>
      </c>
      <c r="BO58">
        <v>10503.193202146691</v>
      </c>
      <c r="BP58">
        <v>9.8860257680872152</v>
      </c>
      <c r="BQ58">
        <v>11637.829534192269</v>
      </c>
      <c r="BR58">
        <v>16.655844155844157</v>
      </c>
      <c r="BS58">
        <v>19607.259740259742</v>
      </c>
      <c r="BT58">
        <v>12.684563758389261</v>
      </c>
      <c r="BU58">
        <v>14932.268456375839</v>
      </c>
      <c r="BV58">
        <v>8.2894736842105257</v>
      </c>
      <c r="BW58">
        <v>9758.3684210526317</v>
      </c>
      <c r="BX58">
        <v>5.4642857142857144</v>
      </c>
      <c r="BY58">
        <v>6432.5571428571429</v>
      </c>
      <c r="BZ58">
        <v>8.8587921847246882</v>
      </c>
      <c r="CA58">
        <v>10428.570159857903</v>
      </c>
      <c r="CB58">
        <v>8.5626911314984717</v>
      </c>
      <c r="CC58">
        <v>10080.000000000002</v>
      </c>
      <c r="CD58">
        <v>7.8092158447857711</v>
      </c>
      <c r="CE58">
        <v>9193.0088924818101</v>
      </c>
      <c r="CF58">
        <v>5.3917050691244235</v>
      </c>
      <c r="CG58">
        <v>6347.1152073732719</v>
      </c>
      <c r="CH58">
        <v>4.9081364829396321</v>
      </c>
      <c r="CI58">
        <v>5777.858267716535</v>
      </c>
      <c r="CJ58">
        <v>9.6428571428571423</v>
      </c>
      <c r="CK58">
        <v>11351.571428571428</v>
      </c>
      <c r="CL58">
        <v>13.074935400516795</v>
      </c>
      <c r="CM58">
        <v>15391.813953488372</v>
      </c>
      <c r="CN58">
        <v>15.946428571428571</v>
      </c>
      <c r="CO58">
        <v>18772.135714285716</v>
      </c>
      <c r="CP58">
        <v>5.4980079681274896</v>
      </c>
      <c r="CQ58">
        <v>6472.2549800796814</v>
      </c>
      <c r="CR58">
        <v>5.0960566228513651</v>
      </c>
      <c r="CS58">
        <v>5999.0778564206275</v>
      </c>
      <c r="CT58">
        <v>14.982857142857142</v>
      </c>
      <c r="CU58">
        <v>17637.819428571427</v>
      </c>
    </row>
    <row r="59" spans="2:99" x14ac:dyDescent="0.2">
      <c r="C59" s="116" t="s">
        <v>225</v>
      </c>
      <c r="D59">
        <v>18</v>
      </c>
      <c r="E59">
        <v>5464.7999999999993</v>
      </c>
      <c r="F59">
        <v>15</v>
      </c>
      <c r="G59">
        <v>4553.9999999999991</v>
      </c>
      <c r="H59">
        <v>18</v>
      </c>
      <c r="I59">
        <v>5464.7999999999993</v>
      </c>
      <c r="J59">
        <v>13</v>
      </c>
      <c r="K59">
        <v>3946.7999999999997</v>
      </c>
      <c r="L59">
        <v>16</v>
      </c>
      <c r="M59">
        <v>4857.5999999999995</v>
      </c>
      <c r="N59">
        <v>19</v>
      </c>
      <c r="O59">
        <v>5768.4</v>
      </c>
      <c r="P59">
        <v>17</v>
      </c>
      <c r="Q59">
        <v>5161.2</v>
      </c>
      <c r="R59">
        <v>17</v>
      </c>
      <c r="S59">
        <v>5161.2</v>
      </c>
      <c r="T59">
        <v>15</v>
      </c>
      <c r="U59">
        <v>4553.9999999999991</v>
      </c>
      <c r="V59">
        <v>14</v>
      </c>
      <c r="W59">
        <v>4250.3999999999996</v>
      </c>
      <c r="X59">
        <v>17</v>
      </c>
      <c r="Y59">
        <v>5161.2</v>
      </c>
      <c r="Z59">
        <v>21</v>
      </c>
      <c r="AA59">
        <v>6375.5999999999995</v>
      </c>
      <c r="AB59">
        <v>15</v>
      </c>
      <c r="AC59">
        <v>4553.9999999999991</v>
      </c>
      <c r="AD59">
        <v>23</v>
      </c>
      <c r="AE59">
        <v>6982.7999999999993</v>
      </c>
      <c r="AF59">
        <v>16</v>
      </c>
      <c r="AG59">
        <v>4857.5999999999995</v>
      </c>
      <c r="AH59">
        <v>19</v>
      </c>
      <c r="AI59">
        <v>5768.4</v>
      </c>
      <c r="AJ59">
        <v>13</v>
      </c>
      <c r="AK59">
        <v>3946.7999999999997</v>
      </c>
      <c r="AL59">
        <v>21</v>
      </c>
      <c r="AM59">
        <v>6375.5999999999995</v>
      </c>
      <c r="AN59">
        <v>19</v>
      </c>
      <c r="AO59">
        <v>5768.4</v>
      </c>
      <c r="AP59">
        <v>15</v>
      </c>
      <c r="AQ59">
        <v>4553.9999999999991</v>
      </c>
      <c r="AR59">
        <v>13</v>
      </c>
      <c r="AS59">
        <v>3946.7999999999997</v>
      </c>
      <c r="AT59">
        <v>22</v>
      </c>
      <c r="AU59">
        <v>6679.1999999999989</v>
      </c>
      <c r="AV59">
        <v>23</v>
      </c>
      <c r="AW59">
        <v>6982.7999999999993</v>
      </c>
      <c r="AX59">
        <v>14</v>
      </c>
      <c r="AY59">
        <v>4250.3999999999996</v>
      </c>
      <c r="AZ59">
        <v>14</v>
      </c>
      <c r="BA59">
        <v>4250.3999999999996</v>
      </c>
      <c r="BB59">
        <v>22</v>
      </c>
      <c r="BC59">
        <v>6679.1999999999989</v>
      </c>
      <c r="BD59">
        <v>18</v>
      </c>
      <c r="BE59">
        <v>5464.7999999999993</v>
      </c>
      <c r="BF59">
        <v>26</v>
      </c>
      <c r="BG59">
        <v>7893.5999999999995</v>
      </c>
      <c r="BH59">
        <v>20</v>
      </c>
      <c r="BI59">
        <v>6071.9999999999991</v>
      </c>
      <c r="BJ59">
        <v>12</v>
      </c>
      <c r="BK59">
        <v>3643.2</v>
      </c>
      <c r="BL59">
        <v>21</v>
      </c>
      <c r="BM59">
        <v>6375.5999999999995</v>
      </c>
      <c r="BN59">
        <v>20</v>
      </c>
      <c r="BO59">
        <v>6071.9999999999991</v>
      </c>
      <c r="BP59">
        <v>17</v>
      </c>
      <c r="BQ59">
        <v>5161.2</v>
      </c>
      <c r="BR59">
        <v>22</v>
      </c>
      <c r="BS59">
        <v>6679.1999999999989</v>
      </c>
      <c r="BT59">
        <v>24</v>
      </c>
      <c r="BU59">
        <v>7286.4</v>
      </c>
      <c r="BV59">
        <v>22</v>
      </c>
      <c r="BW59">
        <v>6679.1999999999989</v>
      </c>
      <c r="BX59">
        <v>19</v>
      </c>
      <c r="BY59">
        <v>5768.4</v>
      </c>
      <c r="BZ59">
        <v>21</v>
      </c>
      <c r="CA59">
        <v>6375.5999999999995</v>
      </c>
      <c r="CB59">
        <v>16</v>
      </c>
      <c r="CC59">
        <v>4857.5999999999995</v>
      </c>
      <c r="CD59">
        <v>17</v>
      </c>
      <c r="CE59">
        <v>5161.2</v>
      </c>
      <c r="CF59">
        <v>16</v>
      </c>
      <c r="CG59">
        <v>4857.5999999999995</v>
      </c>
      <c r="CH59">
        <v>13</v>
      </c>
      <c r="CI59">
        <v>3946.7999999999997</v>
      </c>
      <c r="CJ59">
        <v>21</v>
      </c>
      <c r="CK59">
        <v>6375.5999999999995</v>
      </c>
      <c r="CL59">
        <v>20</v>
      </c>
      <c r="CM59">
        <v>6071.9999999999991</v>
      </c>
      <c r="CN59">
        <v>21</v>
      </c>
      <c r="CO59">
        <v>6375.5999999999995</v>
      </c>
      <c r="CP59">
        <v>16</v>
      </c>
      <c r="CQ59">
        <v>4857.5999999999995</v>
      </c>
      <c r="CR59">
        <v>14</v>
      </c>
      <c r="CS59">
        <v>4250.3999999999996</v>
      </c>
      <c r="CT59">
        <v>19</v>
      </c>
      <c r="CU59">
        <v>5768.4</v>
      </c>
    </row>
    <row r="60" spans="2:99" x14ac:dyDescent="0.2">
      <c r="C60" s="116" t="s">
        <v>226</v>
      </c>
      <c r="D60">
        <v>16</v>
      </c>
      <c r="E60">
        <v>10425.6</v>
      </c>
      <c r="F60">
        <v>14</v>
      </c>
      <c r="G60">
        <v>9122.4</v>
      </c>
      <c r="H60">
        <v>15</v>
      </c>
      <c r="I60">
        <v>9774</v>
      </c>
      <c r="J60">
        <v>12</v>
      </c>
      <c r="K60">
        <v>7819.2000000000007</v>
      </c>
      <c r="L60">
        <v>15</v>
      </c>
      <c r="M60">
        <v>9774</v>
      </c>
      <c r="N60">
        <v>18</v>
      </c>
      <c r="O60">
        <v>11728.800000000001</v>
      </c>
      <c r="P60">
        <v>16</v>
      </c>
      <c r="Q60">
        <v>10425.6</v>
      </c>
      <c r="R60">
        <v>16</v>
      </c>
      <c r="S60">
        <v>10425.6</v>
      </c>
      <c r="T60">
        <v>15</v>
      </c>
      <c r="U60">
        <v>9774</v>
      </c>
      <c r="V60">
        <v>13</v>
      </c>
      <c r="W60">
        <v>8470.8000000000011</v>
      </c>
      <c r="X60">
        <v>17</v>
      </c>
      <c r="Y60">
        <v>11077.2</v>
      </c>
      <c r="Z60">
        <v>21</v>
      </c>
      <c r="AA60">
        <v>13683.6</v>
      </c>
      <c r="AB60">
        <v>16</v>
      </c>
      <c r="AC60">
        <v>10425.6</v>
      </c>
      <c r="AD60">
        <v>22</v>
      </c>
      <c r="AE60">
        <v>14335.2</v>
      </c>
      <c r="AF60">
        <v>15</v>
      </c>
      <c r="AG60">
        <v>9774</v>
      </c>
      <c r="AH60">
        <v>20</v>
      </c>
      <c r="AI60">
        <v>13032</v>
      </c>
      <c r="AJ60">
        <v>14</v>
      </c>
      <c r="AK60">
        <v>9122.4</v>
      </c>
      <c r="AL60">
        <v>20</v>
      </c>
      <c r="AM60">
        <v>13032</v>
      </c>
      <c r="AN60">
        <v>22</v>
      </c>
      <c r="AO60">
        <v>14335.2</v>
      </c>
      <c r="AP60">
        <v>13</v>
      </c>
      <c r="AQ60">
        <v>8470.8000000000011</v>
      </c>
      <c r="AR60">
        <v>13</v>
      </c>
      <c r="AS60">
        <v>8470.8000000000011</v>
      </c>
      <c r="AT60">
        <v>20</v>
      </c>
      <c r="AU60">
        <v>13032</v>
      </c>
      <c r="AV60">
        <v>22</v>
      </c>
      <c r="AW60">
        <v>14335.2</v>
      </c>
      <c r="AX60">
        <v>13</v>
      </c>
      <c r="AY60">
        <v>8470.8000000000011</v>
      </c>
      <c r="AZ60">
        <v>14</v>
      </c>
      <c r="BA60">
        <v>9122.4</v>
      </c>
      <c r="BB60">
        <v>20</v>
      </c>
      <c r="BC60">
        <v>13032</v>
      </c>
      <c r="BD60">
        <v>18</v>
      </c>
      <c r="BE60">
        <v>11728.800000000001</v>
      </c>
      <c r="BF60">
        <v>25</v>
      </c>
      <c r="BG60">
        <v>16290</v>
      </c>
      <c r="BH60">
        <v>21</v>
      </c>
      <c r="BI60">
        <v>13683.6</v>
      </c>
      <c r="BJ60">
        <v>13</v>
      </c>
      <c r="BK60">
        <v>8470.8000000000011</v>
      </c>
      <c r="BL60">
        <v>20</v>
      </c>
      <c r="BM60">
        <v>13032</v>
      </c>
      <c r="BN60">
        <v>23</v>
      </c>
      <c r="BO60">
        <v>14986.800000000001</v>
      </c>
      <c r="BP60">
        <v>19</v>
      </c>
      <c r="BQ60">
        <v>12380.4</v>
      </c>
      <c r="BR60">
        <v>18</v>
      </c>
      <c r="BS60">
        <v>11728.800000000001</v>
      </c>
      <c r="BT60">
        <v>21</v>
      </c>
      <c r="BU60">
        <v>13683.6</v>
      </c>
      <c r="BV60">
        <v>22</v>
      </c>
      <c r="BW60">
        <v>14335.2</v>
      </c>
      <c r="BX60">
        <v>18</v>
      </c>
      <c r="BY60">
        <v>11728.800000000001</v>
      </c>
      <c r="BZ60">
        <v>21</v>
      </c>
      <c r="CA60">
        <v>13683.6</v>
      </c>
      <c r="CB60">
        <v>15</v>
      </c>
      <c r="CC60">
        <v>9774</v>
      </c>
      <c r="CD60">
        <v>16</v>
      </c>
      <c r="CE60">
        <v>10425.6</v>
      </c>
      <c r="CF60">
        <v>14</v>
      </c>
      <c r="CG60">
        <v>9122.4</v>
      </c>
      <c r="CH60">
        <v>13</v>
      </c>
      <c r="CI60">
        <v>8470.8000000000011</v>
      </c>
      <c r="CJ60">
        <v>20</v>
      </c>
      <c r="CK60">
        <v>13032</v>
      </c>
      <c r="CL60">
        <v>20</v>
      </c>
      <c r="CM60">
        <v>13032</v>
      </c>
      <c r="CN60">
        <v>21</v>
      </c>
      <c r="CO60">
        <v>13683.6</v>
      </c>
      <c r="CP60">
        <v>17</v>
      </c>
      <c r="CQ60">
        <v>11077.2</v>
      </c>
      <c r="CR60">
        <v>14</v>
      </c>
      <c r="CS60">
        <v>9122.4</v>
      </c>
      <c r="CT60">
        <v>20</v>
      </c>
      <c r="CU60">
        <v>13032</v>
      </c>
    </row>
    <row r="61" spans="2:99" x14ac:dyDescent="0.2">
      <c r="C61" s="116" t="s">
        <v>227</v>
      </c>
      <c r="D61">
        <v>15</v>
      </c>
      <c r="E61">
        <v>14273.999999999998</v>
      </c>
      <c r="F61">
        <v>15</v>
      </c>
      <c r="G61">
        <v>14273.999999999998</v>
      </c>
      <c r="H61">
        <v>14</v>
      </c>
      <c r="I61">
        <v>13322.399999999998</v>
      </c>
      <c r="J61">
        <v>13</v>
      </c>
      <c r="K61">
        <v>12370.8</v>
      </c>
      <c r="L61">
        <v>14</v>
      </c>
      <c r="M61">
        <v>13322.399999999998</v>
      </c>
      <c r="N61">
        <v>19</v>
      </c>
      <c r="O61">
        <v>18080.399999999998</v>
      </c>
      <c r="P61">
        <v>17</v>
      </c>
      <c r="Q61">
        <v>16177.199999999999</v>
      </c>
      <c r="R61">
        <v>18</v>
      </c>
      <c r="S61">
        <v>17128.8</v>
      </c>
      <c r="T61">
        <v>16</v>
      </c>
      <c r="U61">
        <v>15225.599999999999</v>
      </c>
      <c r="V61">
        <v>14</v>
      </c>
      <c r="W61">
        <v>13322.399999999998</v>
      </c>
      <c r="X61">
        <v>16</v>
      </c>
      <c r="Y61">
        <v>15225.599999999999</v>
      </c>
      <c r="Z61">
        <v>18</v>
      </c>
      <c r="AA61">
        <v>17128.8</v>
      </c>
      <c r="AB61">
        <v>15</v>
      </c>
      <c r="AC61">
        <v>14273.999999999998</v>
      </c>
      <c r="AD61">
        <v>18</v>
      </c>
      <c r="AE61">
        <v>17128.8</v>
      </c>
      <c r="AF61">
        <v>14</v>
      </c>
      <c r="AG61">
        <v>13322.399999999998</v>
      </c>
      <c r="AH61">
        <v>19</v>
      </c>
      <c r="AI61">
        <v>18080.399999999998</v>
      </c>
      <c r="AJ61">
        <v>14</v>
      </c>
      <c r="AK61">
        <v>13322.399999999998</v>
      </c>
      <c r="AL61">
        <v>18</v>
      </c>
      <c r="AM61">
        <v>17128.8</v>
      </c>
      <c r="AN61">
        <v>20</v>
      </c>
      <c r="AO61">
        <v>19032</v>
      </c>
      <c r="AP61">
        <v>15</v>
      </c>
      <c r="AQ61">
        <v>14273.999999999998</v>
      </c>
      <c r="AR61">
        <v>11</v>
      </c>
      <c r="AS61">
        <v>10467.599999999999</v>
      </c>
      <c r="AT61">
        <v>20</v>
      </c>
      <c r="AU61">
        <v>19032</v>
      </c>
      <c r="AV61">
        <v>20</v>
      </c>
      <c r="AW61">
        <v>19032</v>
      </c>
      <c r="AX61">
        <v>12</v>
      </c>
      <c r="AY61">
        <v>11419.199999999999</v>
      </c>
      <c r="AZ61">
        <v>14</v>
      </c>
      <c r="BA61">
        <v>13322.399999999998</v>
      </c>
      <c r="BB61">
        <v>19</v>
      </c>
      <c r="BC61">
        <v>18080.399999999998</v>
      </c>
      <c r="BD61">
        <v>16</v>
      </c>
      <c r="BE61">
        <v>15225.599999999999</v>
      </c>
      <c r="BF61">
        <v>21</v>
      </c>
      <c r="BG61">
        <v>19983.599999999999</v>
      </c>
      <c r="BH61">
        <v>21</v>
      </c>
      <c r="BI61">
        <v>19983.599999999999</v>
      </c>
      <c r="BJ61">
        <v>13</v>
      </c>
      <c r="BK61">
        <v>12370.8</v>
      </c>
      <c r="BL61">
        <v>20</v>
      </c>
      <c r="BM61">
        <v>19032</v>
      </c>
      <c r="BN61">
        <v>21</v>
      </c>
      <c r="BO61">
        <v>19983.599999999999</v>
      </c>
      <c r="BP61">
        <v>18</v>
      </c>
      <c r="BQ61">
        <v>17128.8</v>
      </c>
      <c r="BR61">
        <v>21</v>
      </c>
      <c r="BS61">
        <v>19983.599999999999</v>
      </c>
      <c r="BT61">
        <v>20</v>
      </c>
      <c r="BU61">
        <v>19032</v>
      </c>
      <c r="BV61">
        <v>22</v>
      </c>
      <c r="BW61">
        <v>20935.199999999997</v>
      </c>
      <c r="BX61">
        <v>17</v>
      </c>
      <c r="BY61">
        <v>16177.199999999999</v>
      </c>
      <c r="BZ61">
        <v>19</v>
      </c>
      <c r="CA61">
        <v>18080.399999999998</v>
      </c>
      <c r="CB61">
        <v>14</v>
      </c>
      <c r="CC61">
        <v>13322.399999999998</v>
      </c>
      <c r="CD61">
        <v>14</v>
      </c>
      <c r="CE61">
        <v>13322.399999999998</v>
      </c>
      <c r="CF61">
        <v>14</v>
      </c>
      <c r="CG61">
        <v>13322.399999999998</v>
      </c>
      <c r="CH61">
        <v>12</v>
      </c>
      <c r="CI61">
        <v>11419.199999999999</v>
      </c>
      <c r="CJ61">
        <v>22</v>
      </c>
      <c r="CK61">
        <v>20935.199999999997</v>
      </c>
      <c r="CL61">
        <v>22</v>
      </c>
      <c r="CM61">
        <v>20935.199999999997</v>
      </c>
      <c r="CN61">
        <v>17</v>
      </c>
      <c r="CO61">
        <v>16177.199999999999</v>
      </c>
      <c r="CP61">
        <v>16</v>
      </c>
      <c r="CQ61">
        <v>15225.599999999999</v>
      </c>
      <c r="CR61">
        <v>13</v>
      </c>
      <c r="CS61">
        <v>12370.8</v>
      </c>
      <c r="CT61">
        <v>18</v>
      </c>
      <c r="CU61">
        <v>17128.8</v>
      </c>
    </row>
    <row r="62" spans="2:99" x14ac:dyDescent="0.2">
      <c r="C62" s="116" t="s">
        <v>228</v>
      </c>
      <c r="D62">
        <v>16</v>
      </c>
      <c r="E62">
        <v>27283.200000000001</v>
      </c>
      <c r="F62">
        <v>13</v>
      </c>
      <c r="G62">
        <v>22167.600000000002</v>
      </c>
      <c r="H62">
        <v>16</v>
      </c>
      <c r="I62">
        <v>27283.200000000001</v>
      </c>
      <c r="J62">
        <v>11</v>
      </c>
      <c r="K62">
        <v>18757.2</v>
      </c>
      <c r="L62">
        <v>12</v>
      </c>
      <c r="M62">
        <v>20462.400000000001</v>
      </c>
      <c r="N62">
        <v>18</v>
      </c>
      <c r="O62">
        <v>30693.600000000002</v>
      </c>
      <c r="P62">
        <v>13</v>
      </c>
      <c r="Q62">
        <v>22167.600000000002</v>
      </c>
      <c r="R62">
        <v>16</v>
      </c>
      <c r="S62">
        <v>27283.200000000001</v>
      </c>
      <c r="T62">
        <v>13</v>
      </c>
      <c r="U62">
        <v>22167.600000000002</v>
      </c>
      <c r="V62">
        <v>12</v>
      </c>
      <c r="W62">
        <v>20462.400000000001</v>
      </c>
      <c r="X62">
        <v>17</v>
      </c>
      <c r="Y62">
        <v>28988.400000000001</v>
      </c>
      <c r="Z62">
        <v>17</v>
      </c>
      <c r="AA62">
        <v>28988.400000000001</v>
      </c>
      <c r="AB62">
        <v>15</v>
      </c>
      <c r="AC62">
        <v>25578</v>
      </c>
      <c r="AD62">
        <v>20</v>
      </c>
      <c r="AE62">
        <v>34104</v>
      </c>
      <c r="AF62">
        <v>15</v>
      </c>
      <c r="AG62">
        <v>25578</v>
      </c>
      <c r="AH62">
        <v>19</v>
      </c>
      <c r="AI62">
        <v>32398.799999999999</v>
      </c>
      <c r="AJ62">
        <v>12</v>
      </c>
      <c r="AK62">
        <v>20462.400000000001</v>
      </c>
      <c r="AL62">
        <v>16</v>
      </c>
      <c r="AM62">
        <v>27283.200000000001</v>
      </c>
      <c r="AN62">
        <v>20</v>
      </c>
      <c r="AO62">
        <v>34104</v>
      </c>
      <c r="AP62">
        <v>12</v>
      </c>
      <c r="AQ62">
        <v>20462.400000000001</v>
      </c>
      <c r="AR62">
        <v>10</v>
      </c>
      <c r="AS62">
        <v>17052</v>
      </c>
      <c r="AT62">
        <v>18</v>
      </c>
      <c r="AU62">
        <v>30693.600000000002</v>
      </c>
      <c r="AV62">
        <v>18</v>
      </c>
      <c r="AW62">
        <v>30693.600000000002</v>
      </c>
      <c r="AX62">
        <v>11</v>
      </c>
      <c r="AY62">
        <v>18757.2</v>
      </c>
      <c r="AZ62">
        <v>13</v>
      </c>
      <c r="BA62">
        <v>22167.600000000002</v>
      </c>
      <c r="BB62">
        <v>21</v>
      </c>
      <c r="BC62">
        <v>35809.200000000004</v>
      </c>
      <c r="BD62">
        <v>16</v>
      </c>
      <c r="BE62">
        <v>27283.200000000001</v>
      </c>
      <c r="BF62">
        <v>20</v>
      </c>
      <c r="BG62">
        <v>34104</v>
      </c>
      <c r="BH62">
        <v>18</v>
      </c>
      <c r="BI62">
        <v>30693.600000000002</v>
      </c>
      <c r="BJ62">
        <v>10</v>
      </c>
      <c r="BK62">
        <v>17052</v>
      </c>
      <c r="BL62">
        <v>20</v>
      </c>
      <c r="BM62">
        <v>34104</v>
      </c>
      <c r="BN62">
        <v>17</v>
      </c>
      <c r="BO62">
        <v>28988.400000000001</v>
      </c>
      <c r="BP62">
        <v>17</v>
      </c>
      <c r="BQ62">
        <v>28988.400000000001</v>
      </c>
      <c r="BR62">
        <v>19</v>
      </c>
      <c r="BS62">
        <v>32398.799999999999</v>
      </c>
      <c r="BT62">
        <v>19</v>
      </c>
      <c r="BU62">
        <v>32398.799999999999</v>
      </c>
      <c r="BV62">
        <v>19</v>
      </c>
      <c r="BW62">
        <v>32398.799999999999</v>
      </c>
      <c r="BX62">
        <v>15</v>
      </c>
      <c r="BY62">
        <v>25578</v>
      </c>
      <c r="BZ62">
        <v>18</v>
      </c>
      <c r="CA62">
        <v>30693.600000000002</v>
      </c>
      <c r="CB62">
        <v>14</v>
      </c>
      <c r="CC62">
        <v>23872.799999999999</v>
      </c>
      <c r="CD62">
        <v>14</v>
      </c>
      <c r="CE62">
        <v>23872.799999999999</v>
      </c>
      <c r="CF62">
        <v>12</v>
      </c>
      <c r="CG62">
        <v>20462.400000000001</v>
      </c>
      <c r="CH62">
        <v>12</v>
      </c>
      <c r="CI62">
        <v>20462.400000000001</v>
      </c>
      <c r="CJ62">
        <v>18</v>
      </c>
      <c r="CK62">
        <v>30693.600000000002</v>
      </c>
      <c r="CL62">
        <v>18</v>
      </c>
      <c r="CM62">
        <v>30693.600000000002</v>
      </c>
      <c r="CN62">
        <v>17</v>
      </c>
      <c r="CO62">
        <v>28988.400000000001</v>
      </c>
      <c r="CP62">
        <v>15</v>
      </c>
      <c r="CQ62">
        <v>25578</v>
      </c>
      <c r="CR62">
        <v>13</v>
      </c>
      <c r="CS62">
        <v>22167.600000000002</v>
      </c>
      <c r="CT62">
        <v>16</v>
      </c>
      <c r="CU62">
        <v>27283.200000000001</v>
      </c>
    </row>
    <row r="63" spans="2:99" x14ac:dyDescent="0.2">
      <c r="C63" s="116" t="s">
        <v>229</v>
      </c>
      <c r="D63">
        <v>18</v>
      </c>
      <c r="E63">
        <v>14320.800000000001</v>
      </c>
      <c r="F63">
        <v>14</v>
      </c>
      <c r="G63">
        <v>11138.4</v>
      </c>
      <c r="H63">
        <v>16</v>
      </c>
      <c r="I63">
        <v>12729.6</v>
      </c>
      <c r="J63">
        <v>13</v>
      </c>
      <c r="K63">
        <v>10342.800000000001</v>
      </c>
      <c r="L63">
        <v>14</v>
      </c>
      <c r="M63">
        <v>11138.4</v>
      </c>
      <c r="N63">
        <v>17</v>
      </c>
      <c r="O63">
        <v>13525.2</v>
      </c>
      <c r="P63">
        <v>15</v>
      </c>
      <c r="Q63">
        <v>11934</v>
      </c>
      <c r="R63">
        <v>16</v>
      </c>
      <c r="S63">
        <v>12729.6</v>
      </c>
      <c r="T63">
        <v>15</v>
      </c>
      <c r="U63">
        <v>11934</v>
      </c>
      <c r="V63">
        <v>12</v>
      </c>
      <c r="W63">
        <v>9547.2000000000007</v>
      </c>
      <c r="X63">
        <v>17</v>
      </c>
      <c r="Y63">
        <v>13525.2</v>
      </c>
      <c r="Z63">
        <v>18</v>
      </c>
      <c r="AA63">
        <v>14320.800000000001</v>
      </c>
      <c r="AB63">
        <v>14</v>
      </c>
      <c r="AC63">
        <v>11138.4</v>
      </c>
      <c r="AD63">
        <v>19</v>
      </c>
      <c r="AE63">
        <v>15116.4</v>
      </c>
      <c r="AF63">
        <v>16</v>
      </c>
      <c r="AG63">
        <v>12729.6</v>
      </c>
      <c r="AH63">
        <v>20</v>
      </c>
      <c r="AI63">
        <v>15912</v>
      </c>
      <c r="AJ63">
        <v>13</v>
      </c>
      <c r="AK63">
        <v>10342.800000000001</v>
      </c>
      <c r="AL63">
        <v>18</v>
      </c>
      <c r="AM63">
        <v>14320.800000000001</v>
      </c>
      <c r="AN63">
        <v>20</v>
      </c>
      <c r="AO63">
        <v>15912</v>
      </c>
      <c r="AP63">
        <v>15</v>
      </c>
      <c r="AQ63">
        <v>11934</v>
      </c>
      <c r="AR63">
        <v>13</v>
      </c>
      <c r="AS63">
        <v>10342.800000000001</v>
      </c>
      <c r="AT63">
        <v>22</v>
      </c>
      <c r="AU63">
        <v>17503.2</v>
      </c>
      <c r="AV63">
        <v>23</v>
      </c>
      <c r="AW63">
        <v>18298.8</v>
      </c>
      <c r="AX63">
        <v>12</v>
      </c>
      <c r="AY63">
        <v>9547.2000000000007</v>
      </c>
      <c r="AZ63">
        <v>13</v>
      </c>
      <c r="BA63">
        <v>10342.800000000001</v>
      </c>
      <c r="BB63">
        <v>20</v>
      </c>
      <c r="BC63">
        <v>15912</v>
      </c>
      <c r="BD63">
        <v>15</v>
      </c>
      <c r="BE63">
        <v>11934</v>
      </c>
      <c r="BF63">
        <v>24</v>
      </c>
      <c r="BG63">
        <v>19094.400000000001</v>
      </c>
      <c r="BH63">
        <v>22</v>
      </c>
      <c r="BI63">
        <v>17503.2</v>
      </c>
      <c r="BJ63">
        <v>11</v>
      </c>
      <c r="BK63">
        <v>8751.6</v>
      </c>
      <c r="BL63">
        <v>22</v>
      </c>
      <c r="BM63">
        <v>17503.2</v>
      </c>
      <c r="BN63">
        <v>18</v>
      </c>
      <c r="BO63">
        <v>14320.800000000001</v>
      </c>
      <c r="BP63">
        <v>17</v>
      </c>
      <c r="BQ63">
        <v>13525.2</v>
      </c>
      <c r="BR63">
        <v>18</v>
      </c>
      <c r="BS63">
        <v>14320.800000000001</v>
      </c>
      <c r="BT63">
        <v>22</v>
      </c>
      <c r="BU63">
        <v>17503.2</v>
      </c>
      <c r="BV63">
        <v>23</v>
      </c>
      <c r="BW63">
        <v>18298.8</v>
      </c>
      <c r="BX63">
        <v>18</v>
      </c>
      <c r="BY63">
        <v>14320.800000000001</v>
      </c>
      <c r="BZ63">
        <v>18</v>
      </c>
      <c r="CA63">
        <v>14320.800000000001</v>
      </c>
      <c r="CB63">
        <v>15</v>
      </c>
      <c r="CC63">
        <v>11934</v>
      </c>
      <c r="CD63">
        <v>14</v>
      </c>
      <c r="CE63">
        <v>11138.4</v>
      </c>
      <c r="CF63">
        <v>16</v>
      </c>
      <c r="CG63">
        <v>12729.6</v>
      </c>
      <c r="CH63">
        <v>12</v>
      </c>
      <c r="CI63">
        <v>9547.2000000000007</v>
      </c>
      <c r="CJ63">
        <v>23</v>
      </c>
      <c r="CK63">
        <v>18298.8</v>
      </c>
      <c r="CL63">
        <v>19</v>
      </c>
      <c r="CM63">
        <v>15116.4</v>
      </c>
      <c r="CN63">
        <v>17</v>
      </c>
      <c r="CO63">
        <v>13525.2</v>
      </c>
      <c r="CP63">
        <v>14</v>
      </c>
      <c r="CQ63">
        <v>11138.4</v>
      </c>
      <c r="CR63">
        <v>13</v>
      </c>
      <c r="CS63">
        <v>10342.800000000001</v>
      </c>
      <c r="CT63">
        <v>19</v>
      </c>
      <c r="CU63">
        <v>15116.4</v>
      </c>
    </row>
    <row r="64" spans="2:99" x14ac:dyDescent="0.2">
      <c r="C64" s="116" t="s">
        <v>230</v>
      </c>
      <c r="D64">
        <v>17</v>
      </c>
      <c r="E64">
        <v>17156.399999999998</v>
      </c>
      <c r="F64">
        <v>15</v>
      </c>
      <c r="G64">
        <v>15137.999999999996</v>
      </c>
      <c r="H64">
        <v>15</v>
      </c>
      <c r="I64">
        <v>15137.999999999996</v>
      </c>
      <c r="J64">
        <v>11</v>
      </c>
      <c r="K64">
        <v>11101.199999999997</v>
      </c>
      <c r="L64">
        <v>15</v>
      </c>
      <c r="M64">
        <v>15137.999999999996</v>
      </c>
      <c r="N64">
        <v>19</v>
      </c>
      <c r="O64">
        <v>19174.799999999996</v>
      </c>
      <c r="P64">
        <v>15</v>
      </c>
      <c r="Q64">
        <v>15137.999999999996</v>
      </c>
      <c r="R64">
        <v>15</v>
      </c>
      <c r="S64">
        <v>15137.999999999996</v>
      </c>
      <c r="T64">
        <v>16</v>
      </c>
      <c r="U64">
        <v>16147.199999999997</v>
      </c>
      <c r="V64">
        <v>12</v>
      </c>
      <c r="W64">
        <v>12110.399999999998</v>
      </c>
      <c r="X64">
        <v>18</v>
      </c>
      <c r="Y64">
        <v>18165.599999999999</v>
      </c>
      <c r="Z64">
        <v>18</v>
      </c>
      <c r="AA64">
        <v>18165.599999999999</v>
      </c>
      <c r="AB64">
        <v>16</v>
      </c>
      <c r="AC64">
        <v>16147.199999999997</v>
      </c>
      <c r="AD64">
        <v>22</v>
      </c>
      <c r="AE64">
        <v>22202.399999999994</v>
      </c>
      <c r="AF64">
        <v>15</v>
      </c>
      <c r="AG64">
        <v>15137.999999999996</v>
      </c>
      <c r="AH64">
        <v>19</v>
      </c>
      <c r="AI64">
        <v>19174.799999999996</v>
      </c>
      <c r="AJ64">
        <v>13</v>
      </c>
      <c r="AK64">
        <v>13119.599999999999</v>
      </c>
      <c r="AL64">
        <v>18</v>
      </c>
      <c r="AM64">
        <v>18165.599999999999</v>
      </c>
      <c r="AN64">
        <v>21</v>
      </c>
      <c r="AO64">
        <v>21193.199999999997</v>
      </c>
      <c r="AP64">
        <v>14</v>
      </c>
      <c r="AQ64">
        <v>14128.799999999997</v>
      </c>
      <c r="AR64">
        <v>13</v>
      </c>
      <c r="AS64">
        <v>13119.599999999999</v>
      </c>
      <c r="AT64">
        <v>20</v>
      </c>
      <c r="AU64">
        <v>20183.999999999996</v>
      </c>
      <c r="AV64">
        <v>21</v>
      </c>
      <c r="AW64">
        <v>21193.199999999997</v>
      </c>
      <c r="AX64">
        <v>13</v>
      </c>
      <c r="AY64">
        <v>13119.599999999999</v>
      </c>
      <c r="AZ64">
        <v>14</v>
      </c>
      <c r="BA64">
        <v>14128.799999999997</v>
      </c>
      <c r="BB64">
        <v>22</v>
      </c>
      <c r="BC64">
        <v>22202.399999999994</v>
      </c>
      <c r="BD64">
        <v>15</v>
      </c>
      <c r="BE64">
        <v>15137.999999999996</v>
      </c>
      <c r="BF64">
        <v>23</v>
      </c>
      <c r="BG64">
        <v>23211.599999999995</v>
      </c>
      <c r="BH64">
        <v>18</v>
      </c>
      <c r="BI64">
        <v>18165.599999999999</v>
      </c>
      <c r="BJ64">
        <v>11</v>
      </c>
      <c r="BK64">
        <v>11101.199999999997</v>
      </c>
      <c r="BL64">
        <v>21</v>
      </c>
      <c r="BM64">
        <v>21193.199999999997</v>
      </c>
      <c r="BN64">
        <v>18</v>
      </c>
      <c r="BO64">
        <v>18165.599999999999</v>
      </c>
      <c r="BP64">
        <v>17</v>
      </c>
      <c r="BQ64">
        <v>17156.399999999998</v>
      </c>
      <c r="BR64">
        <v>19</v>
      </c>
      <c r="BS64">
        <v>19174.799999999996</v>
      </c>
      <c r="BT64">
        <v>22</v>
      </c>
      <c r="BU64">
        <v>22202.399999999994</v>
      </c>
      <c r="BV64">
        <v>24</v>
      </c>
      <c r="BW64">
        <v>24220.799999999996</v>
      </c>
      <c r="BX64">
        <v>15</v>
      </c>
      <c r="BY64">
        <v>15137.999999999996</v>
      </c>
      <c r="BZ64">
        <v>20</v>
      </c>
      <c r="CA64">
        <v>20183.999999999996</v>
      </c>
      <c r="CB64">
        <v>17</v>
      </c>
      <c r="CC64">
        <v>17156.399999999998</v>
      </c>
      <c r="CD64">
        <v>14</v>
      </c>
      <c r="CE64">
        <v>14128.799999999997</v>
      </c>
      <c r="CF64">
        <v>14</v>
      </c>
      <c r="CG64">
        <v>14128.799999999997</v>
      </c>
      <c r="CH64">
        <v>11</v>
      </c>
      <c r="CI64">
        <v>11101.199999999997</v>
      </c>
      <c r="CJ64">
        <v>23</v>
      </c>
      <c r="CK64">
        <v>23211.599999999995</v>
      </c>
      <c r="CL64">
        <v>22</v>
      </c>
      <c r="CM64">
        <v>22202.399999999994</v>
      </c>
      <c r="CN64">
        <v>20</v>
      </c>
      <c r="CO64">
        <v>20183.999999999996</v>
      </c>
      <c r="CP64">
        <v>16</v>
      </c>
      <c r="CQ64">
        <v>16147.199999999997</v>
      </c>
      <c r="CR64">
        <v>13</v>
      </c>
      <c r="CS64">
        <v>13119.599999999999</v>
      </c>
      <c r="CT64">
        <v>19</v>
      </c>
      <c r="CU64">
        <v>19174.799999999996</v>
      </c>
    </row>
    <row r="65" spans="2:99" x14ac:dyDescent="0.2">
      <c r="C65" s="116" t="s">
        <v>231</v>
      </c>
      <c r="D65">
        <v>17</v>
      </c>
      <c r="E65">
        <v>17442</v>
      </c>
      <c r="F65">
        <v>14</v>
      </c>
      <c r="G65">
        <v>14364</v>
      </c>
      <c r="H65">
        <v>17</v>
      </c>
      <c r="I65">
        <v>17442</v>
      </c>
      <c r="J65">
        <v>11</v>
      </c>
      <c r="K65">
        <v>11286</v>
      </c>
      <c r="L65">
        <v>15</v>
      </c>
      <c r="M65">
        <v>15390</v>
      </c>
      <c r="N65">
        <v>17</v>
      </c>
      <c r="O65">
        <v>17442</v>
      </c>
      <c r="P65">
        <v>16</v>
      </c>
      <c r="Q65">
        <v>16416</v>
      </c>
      <c r="R65">
        <v>18</v>
      </c>
      <c r="S65">
        <v>18468</v>
      </c>
      <c r="T65">
        <v>15</v>
      </c>
      <c r="U65">
        <v>15390</v>
      </c>
      <c r="V65">
        <v>14</v>
      </c>
      <c r="W65">
        <v>14364</v>
      </c>
      <c r="X65">
        <v>16</v>
      </c>
      <c r="Y65">
        <v>16416</v>
      </c>
      <c r="Z65">
        <v>20</v>
      </c>
      <c r="AA65">
        <v>20520</v>
      </c>
      <c r="AB65">
        <v>13</v>
      </c>
      <c r="AC65">
        <v>13338</v>
      </c>
      <c r="AD65">
        <v>18</v>
      </c>
      <c r="AE65">
        <v>18468</v>
      </c>
      <c r="AF65">
        <v>15</v>
      </c>
      <c r="AG65">
        <v>15390</v>
      </c>
      <c r="AH65">
        <v>19</v>
      </c>
      <c r="AI65">
        <v>19494</v>
      </c>
      <c r="AJ65">
        <v>13</v>
      </c>
      <c r="AK65">
        <v>13338</v>
      </c>
      <c r="AL65">
        <v>17</v>
      </c>
      <c r="AM65">
        <v>17442</v>
      </c>
      <c r="AN65">
        <v>20</v>
      </c>
      <c r="AO65">
        <v>20520</v>
      </c>
      <c r="AP65">
        <v>13</v>
      </c>
      <c r="AQ65">
        <v>13338</v>
      </c>
      <c r="AR65">
        <v>13</v>
      </c>
      <c r="AS65">
        <v>13338</v>
      </c>
      <c r="AT65">
        <v>21</v>
      </c>
      <c r="AU65">
        <v>21546</v>
      </c>
      <c r="AV65">
        <v>20</v>
      </c>
      <c r="AW65">
        <v>20520</v>
      </c>
      <c r="AX65">
        <v>13</v>
      </c>
      <c r="AY65">
        <v>13338</v>
      </c>
      <c r="AZ65">
        <v>14</v>
      </c>
      <c r="BA65">
        <v>14364</v>
      </c>
      <c r="BB65">
        <v>19</v>
      </c>
      <c r="BC65">
        <v>19494</v>
      </c>
      <c r="BD65">
        <v>17</v>
      </c>
      <c r="BE65">
        <v>17442</v>
      </c>
      <c r="BF65">
        <v>21</v>
      </c>
      <c r="BG65">
        <v>21546</v>
      </c>
      <c r="BH65">
        <v>20</v>
      </c>
      <c r="BI65">
        <v>20520</v>
      </c>
      <c r="BJ65">
        <v>11</v>
      </c>
      <c r="BK65">
        <v>11286</v>
      </c>
      <c r="BL65">
        <v>21</v>
      </c>
      <c r="BM65">
        <v>21546</v>
      </c>
      <c r="BN65">
        <v>19</v>
      </c>
      <c r="BO65">
        <v>19494</v>
      </c>
      <c r="BP65">
        <v>19</v>
      </c>
      <c r="BQ65">
        <v>19494</v>
      </c>
      <c r="BR65">
        <v>21</v>
      </c>
      <c r="BS65">
        <v>21546</v>
      </c>
      <c r="BT65">
        <v>23</v>
      </c>
      <c r="BU65">
        <v>23598</v>
      </c>
      <c r="BV65">
        <v>24</v>
      </c>
      <c r="BW65">
        <v>24624</v>
      </c>
      <c r="BX65">
        <v>16</v>
      </c>
      <c r="BY65">
        <v>16416</v>
      </c>
      <c r="BZ65">
        <v>19</v>
      </c>
      <c r="CA65">
        <v>19494</v>
      </c>
      <c r="CB65">
        <v>16</v>
      </c>
      <c r="CC65">
        <v>16416</v>
      </c>
      <c r="CD65">
        <v>16</v>
      </c>
      <c r="CE65">
        <v>16416</v>
      </c>
      <c r="CF65">
        <v>14</v>
      </c>
      <c r="CG65">
        <v>14364</v>
      </c>
      <c r="CH65">
        <v>13</v>
      </c>
      <c r="CI65">
        <v>13338</v>
      </c>
      <c r="CJ65">
        <v>21</v>
      </c>
      <c r="CK65">
        <v>21546</v>
      </c>
      <c r="CL65">
        <v>19</v>
      </c>
      <c r="CM65">
        <v>19494</v>
      </c>
      <c r="CN65">
        <v>17</v>
      </c>
      <c r="CO65">
        <v>17442</v>
      </c>
      <c r="CP65">
        <v>15</v>
      </c>
      <c r="CQ65">
        <v>15390</v>
      </c>
      <c r="CR65">
        <v>12</v>
      </c>
      <c r="CS65">
        <v>12312</v>
      </c>
      <c r="CT65">
        <v>19</v>
      </c>
      <c r="CU65">
        <v>19494</v>
      </c>
    </row>
    <row r="66" spans="2:99" x14ac:dyDescent="0.2">
      <c r="C66" s="116" t="s">
        <v>232</v>
      </c>
      <c r="D66">
        <v>15</v>
      </c>
      <c r="E66">
        <v>17855.999999999996</v>
      </c>
      <c r="F66">
        <v>15</v>
      </c>
      <c r="G66">
        <v>17855.999999999996</v>
      </c>
      <c r="H66">
        <v>14</v>
      </c>
      <c r="I66">
        <v>16665.599999999999</v>
      </c>
      <c r="J66">
        <v>11</v>
      </c>
      <c r="K66">
        <v>13094.399999999998</v>
      </c>
      <c r="L66">
        <v>14</v>
      </c>
      <c r="M66">
        <v>16665.599999999999</v>
      </c>
      <c r="N66">
        <v>18</v>
      </c>
      <c r="O66">
        <v>21427.199999999997</v>
      </c>
      <c r="P66">
        <v>15</v>
      </c>
      <c r="Q66">
        <v>17855.999999999996</v>
      </c>
      <c r="R66">
        <v>17</v>
      </c>
      <c r="S66">
        <v>20236.8</v>
      </c>
      <c r="T66">
        <v>15</v>
      </c>
      <c r="U66">
        <v>17855.999999999996</v>
      </c>
      <c r="V66">
        <v>13</v>
      </c>
      <c r="W66">
        <v>15475.199999999999</v>
      </c>
      <c r="X66">
        <v>16</v>
      </c>
      <c r="Y66">
        <v>19046.399999999998</v>
      </c>
      <c r="Z66">
        <v>18</v>
      </c>
      <c r="AA66">
        <v>21427.199999999997</v>
      </c>
      <c r="AB66">
        <v>13</v>
      </c>
      <c r="AC66">
        <v>15475.199999999999</v>
      </c>
      <c r="AD66">
        <v>21</v>
      </c>
      <c r="AE66">
        <v>24998.399999999998</v>
      </c>
      <c r="AF66">
        <v>14</v>
      </c>
      <c r="AG66">
        <v>16665.599999999999</v>
      </c>
      <c r="AH66">
        <v>17</v>
      </c>
      <c r="AI66">
        <v>20236.8</v>
      </c>
      <c r="AJ66">
        <v>12</v>
      </c>
      <c r="AK66">
        <v>14284.8</v>
      </c>
      <c r="AL66">
        <v>18</v>
      </c>
      <c r="AM66">
        <v>21427.199999999997</v>
      </c>
      <c r="AN66">
        <v>18</v>
      </c>
      <c r="AO66">
        <v>21427.199999999997</v>
      </c>
      <c r="AP66">
        <v>13</v>
      </c>
      <c r="AQ66">
        <v>15475.199999999999</v>
      </c>
      <c r="AR66">
        <v>12</v>
      </c>
      <c r="AS66">
        <v>14284.8</v>
      </c>
      <c r="AT66">
        <v>20</v>
      </c>
      <c r="AU66">
        <v>23807.999999999996</v>
      </c>
      <c r="AV66">
        <v>22</v>
      </c>
      <c r="AW66">
        <v>26188.799999999996</v>
      </c>
      <c r="AX66">
        <v>11</v>
      </c>
      <c r="AY66">
        <v>13094.399999999998</v>
      </c>
      <c r="AZ66">
        <v>14</v>
      </c>
      <c r="BA66">
        <v>16665.599999999999</v>
      </c>
      <c r="BB66">
        <v>20</v>
      </c>
      <c r="BC66">
        <v>23807.999999999996</v>
      </c>
      <c r="BD66">
        <v>15</v>
      </c>
      <c r="BE66">
        <v>17855.999999999996</v>
      </c>
      <c r="BF66">
        <v>24</v>
      </c>
      <c r="BG66">
        <v>28569.599999999999</v>
      </c>
      <c r="BH66">
        <v>21</v>
      </c>
      <c r="BI66">
        <v>24998.399999999998</v>
      </c>
      <c r="BJ66">
        <v>11</v>
      </c>
      <c r="BK66">
        <v>13094.399999999998</v>
      </c>
      <c r="BL66">
        <v>19</v>
      </c>
      <c r="BM66">
        <v>22617.599999999999</v>
      </c>
      <c r="BN66">
        <v>18</v>
      </c>
      <c r="BO66">
        <v>21427.199999999997</v>
      </c>
      <c r="BP66">
        <v>17</v>
      </c>
      <c r="BQ66">
        <v>20236.8</v>
      </c>
      <c r="BR66">
        <v>21</v>
      </c>
      <c r="BS66">
        <v>24998.399999999998</v>
      </c>
      <c r="BT66">
        <v>24</v>
      </c>
      <c r="BU66">
        <v>28569.599999999999</v>
      </c>
      <c r="BV66">
        <v>24</v>
      </c>
      <c r="BW66">
        <v>28569.599999999999</v>
      </c>
      <c r="BX66">
        <v>16</v>
      </c>
      <c r="BY66">
        <v>19046.399999999998</v>
      </c>
      <c r="BZ66">
        <v>17</v>
      </c>
      <c r="CA66">
        <v>20236.8</v>
      </c>
      <c r="CB66">
        <v>15</v>
      </c>
      <c r="CC66">
        <v>17855.999999999996</v>
      </c>
      <c r="CD66">
        <v>14</v>
      </c>
      <c r="CE66">
        <v>16665.599999999999</v>
      </c>
      <c r="CF66">
        <v>14</v>
      </c>
      <c r="CG66">
        <v>16665.599999999999</v>
      </c>
      <c r="CH66">
        <v>11</v>
      </c>
      <c r="CI66">
        <v>13094.399999999998</v>
      </c>
      <c r="CJ66">
        <v>20</v>
      </c>
      <c r="CK66">
        <v>23807.999999999996</v>
      </c>
      <c r="CL66">
        <v>19</v>
      </c>
      <c r="CM66">
        <v>22617.599999999999</v>
      </c>
      <c r="CN66">
        <v>18</v>
      </c>
      <c r="CO66">
        <v>21427.199999999997</v>
      </c>
      <c r="CP66">
        <v>16</v>
      </c>
      <c r="CQ66">
        <v>19046.399999999998</v>
      </c>
      <c r="CR66">
        <v>14</v>
      </c>
      <c r="CS66">
        <v>16665.599999999999</v>
      </c>
      <c r="CT66">
        <v>17</v>
      </c>
      <c r="CU66">
        <v>20236.8</v>
      </c>
    </row>
    <row r="67" spans="2:99" x14ac:dyDescent="0.2">
      <c r="C67" s="116" t="s">
        <v>233</v>
      </c>
      <c r="D67">
        <v>15</v>
      </c>
      <c r="E67">
        <v>16848</v>
      </c>
      <c r="F67">
        <v>13</v>
      </c>
      <c r="G67">
        <v>14601.6</v>
      </c>
      <c r="H67">
        <v>16</v>
      </c>
      <c r="I67">
        <v>17971.2</v>
      </c>
      <c r="J67">
        <v>12</v>
      </c>
      <c r="K67">
        <v>13478.400000000001</v>
      </c>
      <c r="L67">
        <v>13</v>
      </c>
      <c r="M67">
        <v>14601.6</v>
      </c>
      <c r="N67">
        <v>18</v>
      </c>
      <c r="O67">
        <v>20217.600000000002</v>
      </c>
      <c r="P67">
        <v>16</v>
      </c>
      <c r="Q67">
        <v>17971.2</v>
      </c>
      <c r="R67">
        <v>17</v>
      </c>
      <c r="S67">
        <v>19094.400000000001</v>
      </c>
      <c r="T67">
        <v>14</v>
      </c>
      <c r="U67">
        <v>15724.800000000001</v>
      </c>
      <c r="V67">
        <v>13</v>
      </c>
      <c r="W67">
        <v>14601.6</v>
      </c>
      <c r="X67">
        <v>18</v>
      </c>
      <c r="Y67">
        <v>20217.600000000002</v>
      </c>
      <c r="Z67">
        <v>20</v>
      </c>
      <c r="AA67">
        <v>22464</v>
      </c>
      <c r="AB67">
        <v>14</v>
      </c>
      <c r="AC67">
        <v>15724.800000000001</v>
      </c>
      <c r="AD67">
        <v>21</v>
      </c>
      <c r="AE67">
        <v>23587.200000000001</v>
      </c>
      <c r="AF67">
        <v>16</v>
      </c>
      <c r="AG67">
        <v>17971.2</v>
      </c>
      <c r="AH67">
        <v>19</v>
      </c>
      <c r="AI67">
        <v>21340.799999999999</v>
      </c>
      <c r="AJ67">
        <v>12</v>
      </c>
      <c r="AK67">
        <v>13478.400000000001</v>
      </c>
      <c r="AL67">
        <v>20</v>
      </c>
      <c r="AM67">
        <v>22464</v>
      </c>
      <c r="AN67">
        <v>21</v>
      </c>
      <c r="AO67">
        <v>23587.200000000001</v>
      </c>
      <c r="AP67">
        <v>15</v>
      </c>
      <c r="AQ67">
        <v>16848</v>
      </c>
      <c r="AR67">
        <v>11</v>
      </c>
      <c r="AS67">
        <v>12355.2</v>
      </c>
      <c r="AT67">
        <v>19</v>
      </c>
      <c r="AU67">
        <v>21340.799999999999</v>
      </c>
      <c r="AV67">
        <v>21</v>
      </c>
      <c r="AW67">
        <v>23587.200000000001</v>
      </c>
      <c r="AX67">
        <v>11</v>
      </c>
      <c r="AY67">
        <v>12355.2</v>
      </c>
      <c r="AZ67">
        <v>12</v>
      </c>
      <c r="BA67">
        <v>13478.400000000001</v>
      </c>
      <c r="BB67">
        <v>19</v>
      </c>
      <c r="BC67">
        <v>21340.799999999999</v>
      </c>
      <c r="BD67">
        <v>17</v>
      </c>
      <c r="BE67">
        <v>19094.400000000001</v>
      </c>
      <c r="BF67">
        <v>24</v>
      </c>
      <c r="BG67">
        <v>26956.800000000003</v>
      </c>
      <c r="BH67">
        <v>19</v>
      </c>
      <c r="BI67">
        <v>21340.799999999999</v>
      </c>
      <c r="BJ67">
        <v>11</v>
      </c>
      <c r="BK67">
        <v>12355.2</v>
      </c>
      <c r="BL67">
        <v>22</v>
      </c>
      <c r="BM67">
        <v>24710.400000000001</v>
      </c>
      <c r="BN67">
        <v>20</v>
      </c>
      <c r="BO67">
        <v>22464</v>
      </c>
      <c r="BP67">
        <v>18</v>
      </c>
      <c r="BQ67">
        <v>20217.600000000002</v>
      </c>
      <c r="BR67">
        <v>19</v>
      </c>
      <c r="BS67">
        <v>21340.799999999999</v>
      </c>
      <c r="BT67">
        <v>21</v>
      </c>
      <c r="BU67">
        <v>23587.200000000001</v>
      </c>
      <c r="BV67">
        <v>21</v>
      </c>
      <c r="BW67">
        <v>23587.200000000001</v>
      </c>
      <c r="BX67">
        <v>16</v>
      </c>
      <c r="BY67">
        <v>17971.2</v>
      </c>
      <c r="BZ67">
        <v>21</v>
      </c>
      <c r="CA67">
        <v>23587.200000000001</v>
      </c>
      <c r="CB67">
        <v>16</v>
      </c>
      <c r="CC67">
        <v>17971.2</v>
      </c>
      <c r="CD67">
        <v>16</v>
      </c>
      <c r="CE67">
        <v>17971.2</v>
      </c>
      <c r="CF67">
        <v>13</v>
      </c>
      <c r="CG67">
        <v>14601.6</v>
      </c>
      <c r="CH67">
        <v>12</v>
      </c>
      <c r="CI67">
        <v>13478.400000000001</v>
      </c>
      <c r="CJ67">
        <v>23</v>
      </c>
      <c r="CK67">
        <v>25833.600000000002</v>
      </c>
      <c r="CL67">
        <v>19</v>
      </c>
      <c r="CM67">
        <v>21340.799999999999</v>
      </c>
      <c r="CN67">
        <v>19</v>
      </c>
      <c r="CO67">
        <v>21340.799999999999</v>
      </c>
      <c r="CP67">
        <v>14</v>
      </c>
      <c r="CQ67">
        <v>15724.800000000001</v>
      </c>
      <c r="CR67">
        <v>14</v>
      </c>
      <c r="CS67">
        <v>15724.800000000001</v>
      </c>
      <c r="CT67">
        <v>17</v>
      </c>
      <c r="CU67">
        <v>19094.400000000001</v>
      </c>
    </row>
    <row r="68" spans="2:99" x14ac:dyDescent="0.2">
      <c r="C68" s="116" t="s">
        <v>234</v>
      </c>
      <c r="D68">
        <v>17</v>
      </c>
      <c r="E68">
        <v>17564.400000000001</v>
      </c>
      <c r="F68">
        <v>14</v>
      </c>
      <c r="G68">
        <v>14464.800000000001</v>
      </c>
      <c r="H68">
        <v>15</v>
      </c>
      <c r="I68">
        <v>15498</v>
      </c>
      <c r="J68">
        <v>13</v>
      </c>
      <c r="K68">
        <v>13431.6</v>
      </c>
      <c r="L68">
        <v>13</v>
      </c>
      <c r="M68">
        <v>13431.6</v>
      </c>
      <c r="N68">
        <v>18</v>
      </c>
      <c r="O68">
        <v>18597.600000000002</v>
      </c>
      <c r="P68">
        <v>16</v>
      </c>
      <c r="Q68">
        <v>16531.2</v>
      </c>
      <c r="R68">
        <v>17</v>
      </c>
      <c r="S68">
        <v>17564.400000000001</v>
      </c>
      <c r="T68">
        <v>15</v>
      </c>
      <c r="U68">
        <v>15498</v>
      </c>
      <c r="V68">
        <v>12</v>
      </c>
      <c r="W68">
        <v>12398.400000000001</v>
      </c>
      <c r="X68">
        <v>18</v>
      </c>
      <c r="Y68">
        <v>18597.600000000002</v>
      </c>
      <c r="Z68">
        <v>18</v>
      </c>
      <c r="AA68">
        <v>18597.600000000002</v>
      </c>
      <c r="AB68">
        <v>14</v>
      </c>
      <c r="AC68">
        <v>14464.800000000001</v>
      </c>
      <c r="AD68">
        <v>19</v>
      </c>
      <c r="AE68">
        <v>19630.8</v>
      </c>
      <c r="AF68">
        <v>16</v>
      </c>
      <c r="AG68">
        <v>16531.2</v>
      </c>
      <c r="AH68">
        <v>18</v>
      </c>
      <c r="AI68">
        <v>18597.600000000002</v>
      </c>
      <c r="AJ68">
        <v>14</v>
      </c>
      <c r="AK68">
        <v>14464.800000000001</v>
      </c>
      <c r="AL68">
        <v>19</v>
      </c>
      <c r="AM68">
        <v>19630.8</v>
      </c>
      <c r="AN68">
        <v>19</v>
      </c>
      <c r="AO68">
        <v>19630.8</v>
      </c>
      <c r="AP68">
        <v>15</v>
      </c>
      <c r="AQ68">
        <v>15498</v>
      </c>
      <c r="AR68">
        <v>11</v>
      </c>
      <c r="AS68">
        <v>11365.2</v>
      </c>
      <c r="AT68">
        <v>20</v>
      </c>
      <c r="AU68">
        <v>20664</v>
      </c>
      <c r="AV68">
        <v>19</v>
      </c>
      <c r="AW68">
        <v>19630.8</v>
      </c>
      <c r="AX68">
        <v>11</v>
      </c>
      <c r="AY68">
        <v>11365.2</v>
      </c>
      <c r="AZ68">
        <v>14</v>
      </c>
      <c r="BA68">
        <v>14464.800000000001</v>
      </c>
      <c r="BB68">
        <v>21</v>
      </c>
      <c r="BC68">
        <v>21697.200000000001</v>
      </c>
      <c r="BD68">
        <v>16</v>
      </c>
      <c r="BE68">
        <v>16531.2</v>
      </c>
      <c r="BF68">
        <v>23</v>
      </c>
      <c r="BG68">
        <v>23763.600000000002</v>
      </c>
      <c r="BH68">
        <v>18</v>
      </c>
      <c r="BI68">
        <v>18597.600000000002</v>
      </c>
      <c r="BJ68">
        <v>11</v>
      </c>
      <c r="BK68">
        <v>11365.2</v>
      </c>
      <c r="BL68">
        <v>21</v>
      </c>
      <c r="BM68">
        <v>21697.200000000001</v>
      </c>
      <c r="BN68">
        <v>22</v>
      </c>
      <c r="BO68">
        <v>22730.400000000001</v>
      </c>
      <c r="BP68">
        <v>17</v>
      </c>
      <c r="BQ68">
        <v>17564.400000000001</v>
      </c>
      <c r="BR68">
        <v>20</v>
      </c>
      <c r="BS68">
        <v>20664</v>
      </c>
      <c r="BT68">
        <v>21</v>
      </c>
      <c r="BU68">
        <v>21697.200000000001</v>
      </c>
      <c r="BV68">
        <v>22</v>
      </c>
      <c r="BW68">
        <v>22730.400000000001</v>
      </c>
      <c r="BX68">
        <v>18</v>
      </c>
      <c r="BY68">
        <v>18597.600000000002</v>
      </c>
      <c r="BZ68">
        <v>20</v>
      </c>
      <c r="CA68">
        <v>20664</v>
      </c>
      <c r="CB68">
        <v>15</v>
      </c>
      <c r="CC68">
        <v>15498</v>
      </c>
      <c r="CD68">
        <v>14</v>
      </c>
      <c r="CE68">
        <v>14464.800000000001</v>
      </c>
      <c r="CF68">
        <v>14</v>
      </c>
      <c r="CG68">
        <v>14464.800000000001</v>
      </c>
      <c r="CH68">
        <v>12</v>
      </c>
      <c r="CI68">
        <v>12398.400000000001</v>
      </c>
      <c r="CJ68">
        <v>20</v>
      </c>
      <c r="CK68">
        <v>20664</v>
      </c>
      <c r="CL68">
        <v>22</v>
      </c>
      <c r="CM68">
        <v>22730.400000000001</v>
      </c>
      <c r="CN68">
        <v>18</v>
      </c>
      <c r="CO68">
        <v>18597.600000000002</v>
      </c>
      <c r="CP68">
        <v>15</v>
      </c>
      <c r="CQ68">
        <v>15498</v>
      </c>
      <c r="CR68">
        <v>13</v>
      </c>
      <c r="CS68">
        <v>13431.6</v>
      </c>
      <c r="CT68">
        <v>18</v>
      </c>
      <c r="CU68">
        <v>18597.600000000002</v>
      </c>
    </row>
    <row r="69" spans="2:99" x14ac:dyDescent="0.2">
      <c r="C69" s="116" t="s">
        <v>235</v>
      </c>
      <c r="D69">
        <v>18</v>
      </c>
      <c r="E69">
        <v>13651.199999999999</v>
      </c>
      <c r="F69">
        <v>14</v>
      </c>
      <c r="G69">
        <v>10617.6</v>
      </c>
      <c r="H69">
        <v>15</v>
      </c>
      <c r="I69">
        <v>11376</v>
      </c>
      <c r="J69">
        <v>11</v>
      </c>
      <c r="K69">
        <v>8342.4</v>
      </c>
      <c r="L69">
        <v>15</v>
      </c>
      <c r="M69">
        <v>11376</v>
      </c>
      <c r="N69">
        <v>20</v>
      </c>
      <c r="O69">
        <v>15168</v>
      </c>
      <c r="P69">
        <v>15</v>
      </c>
      <c r="Q69">
        <v>11376</v>
      </c>
      <c r="R69">
        <v>19</v>
      </c>
      <c r="S69">
        <v>14409.6</v>
      </c>
      <c r="T69">
        <v>15</v>
      </c>
      <c r="U69">
        <v>11376</v>
      </c>
      <c r="V69">
        <v>13</v>
      </c>
      <c r="W69">
        <v>9859.1999999999989</v>
      </c>
      <c r="X69">
        <v>17</v>
      </c>
      <c r="Y69">
        <v>12892.8</v>
      </c>
      <c r="Z69">
        <v>17</v>
      </c>
      <c r="AA69">
        <v>12892.8</v>
      </c>
      <c r="AB69">
        <v>14</v>
      </c>
      <c r="AC69">
        <v>10617.6</v>
      </c>
      <c r="AD69">
        <v>22</v>
      </c>
      <c r="AE69">
        <v>16684.8</v>
      </c>
      <c r="AF69">
        <v>16</v>
      </c>
      <c r="AG69">
        <v>12134.4</v>
      </c>
      <c r="AH69">
        <v>19</v>
      </c>
      <c r="AI69">
        <v>14409.6</v>
      </c>
      <c r="AJ69">
        <v>13</v>
      </c>
      <c r="AK69">
        <v>9859.1999999999989</v>
      </c>
      <c r="AL69">
        <v>20</v>
      </c>
      <c r="AM69">
        <v>15168</v>
      </c>
      <c r="AN69">
        <v>18</v>
      </c>
      <c r="AO69">
        <v>13651.199999999999</v>
      </c>
      <c r="AP69">
        <v>14</v>
      </c>
      <c r="AQ69">
        <v>10617.6</v>
      </c>
      <c r="AR69">
        <v>11</v>
      </c>
      <c r="AS69">
        <v>8342.4</v>
      </c>
      <c r="AT69">
        <v>20</v>
      </c>
      <c r="AU69">
        <v>15168</v>
      </c>
      <c r="AV69">
        <v>20</v>
      </c>
      <c r="AW69">
        <v>15168</v>
      </c>
      <c r="AX69">
        <v>14</v>
      </c>
      <c r="AY69">
        <v>10617.6</v>
      </c>
      <c r="AZ69">
        <v>13</v>
      </c>
      <c r="BA69">
        <v>9859.1999999999989</v>
      </c>
      <c r="BB69">
        <v>20</v>
      </c>
      <c r="BC69">
        <v>15168</v>
      </c>
      <c r="BD69">
        <v>17</v>
      </c>
      <c r="BE69">
        <v>12892.8</v>
      </c>
      <c r="BF69">
        <v>25</v>
      </c>
      <c r="BG69">
        <v>18960</v>
      </c>
      <c r="BH69">
        <v>22</v>
      </c>
      <c r="BI69">
        <v>16684.8</v>
      </c>
      <c r="BJ69">
        <v>13</v>
      </c>
      <c r="BK69">
        <v>9859.1999999999989</v>
      </c>
      <c r="BL69">
        <v>21</v>
      </c>
      <c r="BM69">
        <v>15926.4</v>
      </c>
      <c r="BN69">
        <v>20</v>
      </c>
      <c r="BO69">
        <v>15168</v>
      </c>
      <c r="BP69">
        <v>20</v>
      </c>
      <c r="BQ69">
        <v>15168</v>
      </c>
      <c r="BR69">
        <v>21</v>
      </c>
      <c r="BS69">
        <v>15926.4</v>
      </c>
      <c r="BT69">
        <v>21</v>
      </c>
      <c r="BU69">
        <v>15926.4</v>
      </c>
      <c r="BV69">
        <v>25</v>
      </c>
      <c r="BW69">
        <v>18960</v>
      </c>
      <c r="BX69">
        <v>16</v>
      </c>
      <c r="BY69">
        <v>12134.4</v>
      </c>
      <c r="BZ69">
        <v>22</v>
      </c>
      <c r="CA69">
        <v>16684.8</v>
      </c>
      <c r="CB69">
        <v>15</v>
      </c>
      <c r="CC69">
        <v>11376</v>
      </c>
      <c r="CD69">
        <v>15</v>
      </c>
      <c r="CE69">
        <v>11376</v>
      </c>
      <c r="CF69">
        <v>15</v>
      </c>
      <c r="CG69">
        <v>11376</v>
      </c>
      <c r="CH69">
        <v>12</v>
      </c>
      <c r="CI69">
        <v>9100.7999999999993</v>
      </c>
      <c r="CJ69">
        <v>23</v>
      </c>
      <c r="CK69">
        <v>17443.2</v>
      </c>
      <c r="CL69">
        <v>22</v>
      </c>
      <c r="CM69">
        <v>16684.8</v>
      </c>
      <c r="CN69">
        <v>18</v>
      </c>
      <c r="CO69">
        <v>13651.199999999999</v>
      </c>
      <c r="CP69">
        <v>17</v>
      </c>
      <c r="CQ69">
        <v>12892.8</v>
      </c>
      <c r="CR69">
        <v>14</v>
      </c>
      <c r="CS69">
        <v>10617.6</v>
      </c>
      <c r="CT69">
        <v>18</v>
      </c>
      <c r="CU69">
        <v>13651.199999999999</v>
      </c>
    </row>
    <row r="70" spans="2:99" x14ac:dyDescent="0.2">
      <c r="C70" s="116" t="s">
        <v>236</v>
      </c>
      <c r="D70">
        <v>16</v>
      </c>
      <c r="E70">
        <v>8563.1999999999989</v>
      </c>
      <c r="F70">
        <v>14</v>
      </c>
      <c r="G70">
        <v>7492.7999999999993</v>
      </c>
      <c r="H70">
        <v>15</v>
      </c>
      <c r="I70">
        <v>8027.9999999999991</v>
      </c>
      <c r="J70">
        <v>13</v>
      </c>
      <c r="K70">
        <v>6957.5999999999995</v>
      </c>
      <c r="L70">
        <v>15</v>
      </c>
      <c r="M70">
        <v>8027.9999999999991</v>
      </c>
      <c r="N70">
        <v>20</v>
      </c>
      <c r="O70">
        <v>10703.999999999998</v>
      </c>
      <c r="P70">
        <v>16</v>
      </c>
      <c r="Q70">
        <v>8563.1999999999989</v>
      </c>
      <c r="R70">
        <v>18</v>
      </c>
      <c r="S70">
        <v>9633.5999999999985</v>
      </c>
      <c r="T70">
        <v>16</v>
      </c>
      <c r="U70">
        <v>8563.1999999999989</v>
      </c>
      <c r="V70">
        <v>13</v>
      </c>
      <c r="W70">
        <v>6957.5999999999995</v>
      </c>
      <c r="X70">
        <v>17</v>
      </c>
      <c r="Y70">
        <v>9098.4</v>
      </c>
      <c r="Z70">
        <v>21</v>
      </c>
      <c r="AA70">
        <v>11239.199999999999</v>
      </c>
      <c r="AB70">
        <v>16</v>
      </c>
      <c r="AC70">
        <v>8563.1999999999989</v>
      </c>
      <c r="AD70">
        <v>21</v>
      </c>
      <c r="AE70">
        <v>11239.199999999999</v>
      </c>
      <c r="AF70">
        <v>14</v>
      </c>
      <c r="AG70">
        <v>7492.7999999999993</v>
      </c>
      <c r="AH70">
        <v>21</v>
      </c>
      <c r="AI70">
        <v>11239.199999999999</v>
      </c>
      <c r="AJ70">
        <v>13</v>
      </c>
      <c r="AK70">
        <v>6957.5999999999995</v>
      </c>
      <c r="AL70">
        <v>19</v>
      </c>
      <c r="AM70">
        <v>10168.799999999999</v>
      </c>
      <c r="AN70">
        <v>21</v>
      </c>
      <c r="AO70">
        <v>11239.199999999999</v>
      </c>
      <c r="AP70">
        <v>14</v>
      </c>
      <c r="AQ70">
        <v>7492.7999999999993</v>
      </c>
      <c r="AR70">
        <v>13</v>
      </c>
      <c r="AS70">
        <v>6957.5999999999995</v>
      </c>
      <c r="AT70">
        <v>21</v>
      </c>
      <c r="AU70">
        <v>11239.199999999999</v>
      </c>
      <c r="AV70">
        <v>20</v>
      </c>
      <c r="AW70">
        <v>10703.999999999998</v>
      </c>
      <c r="AX70">
        <v>13</v>
      </c>
      <c r="AY70">
        <v>6957.5999999999995</v>
      </c>
      <c r="AZ70">
        <v>14</v>
      </c>
      <c r="BA70">
        <v>7492.7999999999993</v>
      </c>
      <c r="BB70">
        <v>22</v>
      </c>
      <c r="BC70">
        <v>11774.399999999998</v>
      </c>
      <c r="BD70">
        <v>15</v>
      </c>
      <c r="BE70">
        <v>8027.9999999999991</v>
      </c>
      <c r="BF70">
        <v>24</v>
      </c>
      <c r="BG70">
        <v>12844.8</v>
      </c>
      <c r="BH70">
        <v>22</v>
      </c>
      <c r="BI70">
        <v>11774.399999999998</v>
      </c>
      <c r="BJ70">
        <v>11</v>
      </c>
      <c r="BK70">
        <v>5887.1999999999989</v>
      </c>
      <c r="BL70">
        <v>23</v>
      </c>
      <c r="BM70">
        <v>12309.599999999999</v>
      </c>
      <c r="BN70">
        <v>21</v>
      </c>
      <c r="BO70">
        <v>11239.199999999999</v>
      </c>
      <c r="BP70">
        <v>21</v>
      </c>
      <c r="BQ70">
        <v>11239.199999999999</v>
      </c>
      <c r="BR70">
        <v>21</v>
      </c>
      <c r="BS70">
        <v>11239.199999999999</v>
      </c>
      <c r="BT70">
        <v>24</v>
      </c>
      <c r="BU70">
        <v>12844.8</v>
      </c>
      <c r="BV70">
        <v>22</v>
      </c>
      <c r="BW70">
        <v>11774.399999999998</v>
      </c>
      <c r="BX70">
        <v>16</v>
      </c>
      <c r="BY70">
        <v>8563.1999999999989</v>
      </c>
      <c r="BZ70">
        <v>19</v>
      </c>
      <c r="CA70">
        <v>10168.799999999999</v>
      </c>
      <c r="CB70">
        <v>17</v>
      </c>
      <c r="CC70">
        <v>9098.4</v>
      </c>
      <c r="CD70">
        <v>15</v>
      </c>
      <c r="CE70">
        <v>8027.9999999999991</v>
      </c>
      <c r="CF70">
        <v>14</v>
      </c>
      <c r="CG70">
        <v>7492.7999999999993</v>
      </c>
      <c r="CH70">
        <v>13</v>
      </c>
      <c r="CI70">
        <v>6957.5999999999995</v>
      </c>
      <c r="CJ70">
        <v>23</v>
      </c>
      <c r="CK70">
        <v>12309.599999999999</v>
      </c>
      <c r="CL70">
        <v>19</v>
      </c>
      <c r="CM70">
        <v>10168.799999999999</v>
      </c>
      <c r="CN70">
        <v>20</v>
      </c>
      <c r="CO70">
        <v>10703.999999999998</v>
      </c>
      <c r="CP70">
        <v>15</v>
      </c>
      <c r="CQ70">
        <v>8027.9999999999991</v>
      </c>
      <c r="CR70">
        <v>14</v>
      </c>
      <c r="CS70">
        <v>7492.7999999999993</v>
      </c>
      <c r="CT70">
        <v>19</v>
      </c>
      <c r="CU70">
        <v>10168.799999999999</v>
      </c>
    </row>
    <row r="71" spans="2:99" x14ac:dyDescent="0.2">
      <c r="B71" s="116" t="s">
        <v>130</v>
      </c>
      <c r="C71" s="116" t="s">
        <v>237</v>
      </c>
      <c r="D71">
        <v>2.9241283244406313</v>
      </c>
      <c r="E71">
        <v>1649.208374984516</v>
      </c>
      <c r="F71">
        <v>17.549298701298699</v>
      </c>
      <c r="G71">
        <v>9897.8044675324672</v>
      </c>
      <c r="H71">
        <v>10.455306376884424</v>
      </c>
      <c r="I71">
        <v>5896.7927965628151</v>
      </c>
      <c r="J71">
        <v>17.414634146341463</v>
      </c>
      <c r="K71">
        <v>9821.8536585365855</v>
      </c>
      <c r="L71">
        <v>15.847127555988315</v>
      </c>
      <c r="M71">
        <v>8937.7799415774098</v>
      </c>
      <c r="N71">
        <v>28.731170336037081</v>
      </c>
      <c r="O71">
        <v>16204.380069524914</v>
      </c>
      <c r="P71">
        <v>5.9453302961275627</v>
      </c>
      <c r="Q71">
        <v>3353.1662870159453</v>
      </c>
      <c r="R71">
        <v>28.814102564102566</v>
      </c>
      <c r="S71">
        <v>16251.153846153848</v>
      </c>
      <c r="T71">
        <v>7.0798755186721998</v>
      </c>
      <c r="U71">
        <v>3993.0497925311206</v>
      </c>
      <c r="V71">
        <v>17.21311475409836</v>
      </c>
      <c r="W71">
        <v>9708.1967213114749</v>
      </c>
      <c r="X71">
        <v>33.874643874643873</v>
      </c>
      <c r="Y71">
        <v>19105.299145299145</v>
      </c>
      <c r="Z71">
        <v>10.792880258899677</v>
      </c>
      <c r="AA71">
        <v>6087.1844660194174</v>
      </c>
      <c r="AB71">
        <v>28.003972194637537</v>
      </c>
      <c r="AC71">
        <v>15794.240317775571</v>
      </c>
      <c r="AD71">
        <v>9.3298429319371738</v>
      </c>
      <c r="AE71">
        <v>5262.0314136125662</v>
      </c>
      <c r="AF71">
        <v>14.25339366515837</v>
      </c>
      <c r="AG71">
        <v>8038.9140271493206</v>
      </c>
      <c r="AH71">
        <v>24.667393675027263</v>
      </c>
      <c r="AI71">
        <v>13912.410032715376</v>
      </c>
      <c r="AJ71">
        <v>17.387820512820515</v>
      </c>
      <c r="AK71">
        <v>9806.7307692307695</v>
      </c>
      <c r="AL71">
        <v>17.20401691331924</v>
      </c>
      <c r="AM71">
        <v>9703.0655391120508</v>
      </c>
      <c r="AN71">
        <v>7.2321428571428577</v>
      </c>
      <c r="AO71">
        <v>4078.9285714285716</v>
      </c>
      <c r="AP71">
        <v>19.190897597977244</v>
      </c>
      <c r="AQ71">
        <v>10823.666245259166</v>
      </c>
      <c r="AR71">
        <v>25.866040955631398</v>
      </c>
      <c r="AS71">
        <v>14588.447098976108</v>
      </c>
      <c r="AT71">
        <v>15.508752735229761</v>
      </c>
      <c r="AU71">
        <v>8746.9365426695858</v>
      </c>
      <c r="AV71">
        <v>13.595617529880478</v>
      </c>
      <c r="AW71">
        <v>7667.9282868525897</v>
      </c>
      <c r="AX71">
        <v>11.380772855796419</v>
      </c>
      <c r="AY71">
        <v>6418.7558906691802</v>
      </c>
      <c r="AZ71">
        <v>21.826625386996906</v>
      </c>
      <c r="BA71">
        <v>12310.216718266254</v>
      </c>
      <c r="BB71">
        <v>20.547945205479451</v>
      </c>
      <c r="BC71">
        <v>11589.04109589041</v>
      </c>
      <c r="BD71">
        <v>5.8407079646017701</v>
      </c>
      <c r="BE71">
        <v>3294.1592920353983</v>
      </c>
      <c r="BF71">
        <v>29.731296101159113</v>
      </c>
      <c r="BG71">
        <v>16768.451001053741</v>
      </c>
      <c r="BH71">
        <v>7.8662420382165603</v>
      </c>
      <c r="BI71">
        <v>4436.5605095541396</v>
      </c>
      <c r="BJ71">
        <v>22.457912457912457</v>
      </c>
      <c r="BK71">
        <v>12666.262626262625</v>
      </c>
      <c r="BL71">
        <v>12.175502742230348</v>
      </c>
      <c r="BM71">
        <v>6866.9835466179165</v>
      </c>
      <c r="BN71">
        <v>19.253130590339893</v>
      </c>
      <c r="BO71">
        <v>10858.765652951699</v>
      </c>
      <c r="BP71">
        <v>20.812685827552031</v>
      </c>
      <c r="BQ71">
        <v>11738.354806739346</v>
      </c>
      <c r="BR71">
        <v>24.983766233766232</v>
      </c>
      <c r="BS71">
        <v>14090.844155844155</v>
      </c>
      <c r="BT71">
        <v>15.70469798657718</v>
      </c>
      <c r="BU71">
        <v>8857.4496644295305</v>
      </c>
      <c r="BV71">
        <v>9.8684210526315788</v>
      </c>
      <c r="BW71">
        <v>5565.7894736842109</v>
      </c>
      <c r="BX71">
        <v>13.5</v>
      </c>
      <c r="BY71">
        <v>7614</v>
      </c>
      <c r="BZ71">
        <v>20.981349911190051</v>
      </c>
      <c r="CA71">
        <v>11833.48134991119</v>
      </c>
      <c r="CB71">
        <v>18.195718654434248</v>
      </c>
      <c r="CC71">
        <v>10262.385321100915</v>
      </c>
      <c r="CD71">
        <v>26.216653193209378</v>
      </c>
      <c r="CE71">
        <v>14786.192400970089</v>
      </c>
      <c r="CF71">
        <v>10.783410138248847</v>
      </c>
      <c r="CG71">
        <v>6081.8433179723497</v>
      </c>
      <c r="CH71">
        <v>20.971128608923884</v>
      </c>
      <c r="CI71">
        <v>11827.71653543307</v>
      </c>
      <c r="CJ71">
        <v>23.142857142857142</v>
      </c>
      <c r="CK71">
        <v>13052.571428571428</v>
      </c>
      <c r="CL71">
        <v>26.14987080103359</v>
      </c>
      <c r="CM71">
        <v>14748.527131782945</v>
      </c>
      <c r="CN71">
        <v>20.142857142857142</v>
      </c>
      <c r="CO71">
        <v>11360.571428571428</v>
      </c>
      <c r="CP71">
        <v>10.308764940239044</v>
      </c>
      <c r="CQ71">
        <v>5814.1434262948205</v>
      </c>
      <c r="CR71">
        <v>13.468149646107179</v>
      </c>
      <c r="CS71">
        <v>7596.0364004044486</v>
      </c>
      <c r="CT71">
        <v>20.502857142857142</v>
      </c>
      <c r="CU71">
        <v>11563.611428571428</v>
      </c>
    </row>
    <row r="72" spans="2:99" x14ac:dyDescent="0.2">
      <c r="C72" s="116" t="s">
        <v>238</v>
      </c>
      <c r="D72">
        <v>2.8381245501923775</v>
      </c>
      <c r="E72">
        <v>211.15646653431287</v>
      </c>
      <c r="F72">
        <v>16.818077922077922</v>
      </c>
      <c r="G72">
        <v>1251.2649974025974</v>
      </c>
      <c r="H72">
        <v>9.6510520402010052</v>
      </c>
      <c r="I72">
        <v>718.0382717909547</v>
      </c>
      <c r="J72">
        <v>19.975609756097562</v>
      </c>
      <c r="K72">
        <v>1486.1853658536584</v>
      </c>
      <c r="L72">
        <v>18.914313534566698</v>
      </c>
      <c r="M72">
        <v>1407.2249269717622</v>
      </c>
      <c r="N72">
        <v>28.731170336037081</v>
      </c>
      <c r="O72">
        <v>2137.5990730011586</v>
      </c>
      <c r="P72">
        <v>5.3302961275626428</v>
      </c>
      <c r="Q72">
        <v>396.57403189066059</v>
      </c>
      <c r="R72">
        <v>26.955128205128204</v>
      </c>
      <c r="S72">
        <v>2005.4615384615381</v>
      </c>
      <c r="T72">
        <v>7.4844398340248963</v>
      </c>
      <c r="U72">
        <v>556.84232365145226</v>
      </c>
      <c r="V72">
        <v>18.288934426229506</v>
      </c>
      <c r="W72">
        <v>1360.6967213114751</v>
      </c>
      <c r="X72">
        <v>33.048433048433047</v>
      </c>
      <c r="Y72">
        <v>2458.8034188034185</v>
      </c>
      <c r="Z72">
        <v>11.16504854368932</v>
      </c>
      <c r="AA72">
        <v>830.6796116504853</v>
      </c>
      <c r="AB72">
        <v>28.003972194637537</v>
      </c>
      <c r="AC72">
        <v>2083.4955312810325</v>
      </c>
      <c r="AD72">
        <v>10.712041884816754</v>
      </c>
      <c r="AE72">
        <v>796.97591623036647</v>
      </c>
      <c r="AF72">
        <v>14.592760180995475</v>
      </c>
      <c r="AG72">
        <v>1085.7013574660632</v>
      </c>
      <c r="AH72">
        <v>25.616139585605232</v>
      </c>
      <c r="AI72">
        <v>1905.840785169029</v>
      </c>
      <c r="AJ72">
        <v>16.266025641025642</v>
      </c>
      <c r="AK72">
        <v>1210.1923076923076</v>
      </c>
      <c r="AL72">
        <v>19.423890063424949</v>
      </c>
      <c r="AM72">
        <v>1445.137420718816</v>
      </c>
      <c r="AN72">
        <v>7.3928571428571432</v>
      </c>
      <c r="AO72">
        <v>550.02857142857135</v>
      </c>
      <c r="AP72">
        <v>22.680151706700379</v>
      </c>
      <c r="AQ72">
        <v>1687.403286978508</v>
      </c>
      <c r="AR72">
        <v>28.272184300341298</v>
      </c>
      <c r="AS72">
        <v>2103.4505119453925</v>
      </c>
      <c r="AT72">
        <v>16.657549234135669</v>
      </c>
      <c r="AU72">
        <v>1239.3216630196937</v>
      </c>
      <c r="AV72">
        <v>15.164342629482071</v>
      </c>
      <c r="AW72">
        <v>1128.227091633466</v>
      </c>
      <c r="AX72">
        <v>12.35626767200754</v>
      </c>
      <c r="AY72">
        <v>919.30631479736087</v>
      </c>
      <c r="AZ72">
        <v>21.099071207430342</v>
      </c>
      <c r="BA72">
        <v>1569.7708978328174</v>
      </c>
      <c r="BB72">
        <v>20.547945205479451</v>
      </c>
      <c r="BC72">
        <v>1528.767123287671</v>
      </c>
      <c r="BD72">
        <v>7.0796460176991145</v>
      </c>
      <c r="BE72">
        <v>526.7256637168141</v>
      </c>
      <c r="BF72">
        <v>33.335089567966286</v>
      </c>
      <c r="BG72">
        <v>2480.1306638566912</v>
      </c>
      <c r="BH72">
        <v>7.6592356687898082</v>
      </c>
      <c r="BI72">
        <v>569.84713375796161</v>
      </c>
      <c r="BJ72">
        <v>22.457912457912457</v>
      </c>
      <c r="BK72">
        <v>1670.8686868686866</v>
      </c>
      <c r="BL72">
        <v>11.846435100548446</v>
      </c>
      <c r="BM72">
        <v>881.37477148080427</v>
      </c>
      <c r="BN72">
        <v>21.60107334525939</v>
      </c>
      <c r="BO72">
        <v>1607.1198568872985</v>
      </c>
      <c r="BP72">
        <v>20.292368681863231</v>
      </c>
      <c r="BQ72">
        <v>1509.7522299306243</v>
      </c>
      <c r="BR72">
        <v>29.61038961038961</v>
      </c>
      <c r="BS72">
        <v>2203.0129870129867</v>
      </c>
      <c r="BT72">
        <v>18.120805369127517</v>
      </c>
      <c r="BU72">
        <v>1348.1879194630872</v>
      </c>
      <c r="BV72">
        <v>12.236842105263158</v>
      </c>
      <c r="BW72">
        <v>910.42105263157885</v>
      </c>
      <c r="BX72">
        <v>16.714285714285715</v>
      </c>
      <c r="BY72">
        <v>1243.542857142857</v>
      </c>
      <c r="BZ72">
        <v>22.846358792184724</v>
      </c>
      <c r="CA72">
        <v>1699.7690941385433</v>
      </c>
      <c r="CB72">
        <v>18.730886850152906</v>
      </c>
      <c r="CC72">
        <v>1393.5779816513761</v>
      </c>
      <c r="CD72">
        <v>29.00565885206144</v>
      </c>
      <c r="CE72">
        <v>2158.0210185933711</v>
      </c>
      <c r="CF72">
        <v>12.027649769585254</v>
      </c>
      <c r="CG72">
        <v>894.85714285714278</v>
      </c>
      <c r="CH72">
        <v>22.309711286089236</v>
      </c>
      <c r="CI72">
        <v>1659.842519685039</v>
      </c>
      <c r="CJ72">
        <v>20.25</v>
      </c>
      <c r="CK72">
        <v>1506.6</v>
      </c>
      <c r="CL72">
        <v>29.121447028423773</v>
      </c>
      <c r="CM72">
        <v>2166.6356589147285</v>
      </c>
      <c r="CN72">
        <v>26.017857142857142</v>
      </c>
      <c r="CO72">
        <v>1935.7285714285711</v>
      </c>
      <c r="CP72">
        <v>11.339641434262948</v>
      </c>
      <c r="CQ72">
        <v>843.66932270916323</v>
      </c>
      <c r="CR72">
        <v>12.740141557128414</v>
      </c>
      <c r="CS72">
        <v>947.86653185035391</v>
      </c>
      <c r="CT72">
        <v>22.868571428571428</v>
      </c>
      <c r="CU72">
        <v>1701.421714285714</v>
      </c>
    </row>
    <row r="73" spans="2:99" x14ac:dyDescent="0.2">
      <c r="C73" s="116" t="s">
        <v>239</v>
      </c>
      <c r="D73">
        <v>2.7521207759441242</v>
      </c>
      <c r="E73">
        <v>1538.9859379079542</v>
      </c>
      <c r="F73">
        <v>15.355636363636362</v>
      </c>
      <c r="G73">
        <v>8586.8718545454522</v>
      </c>
      <c r="H73">
        <v>9.6510520402010052</v>
      </c>
      <c r="I73">
        <v>5396.8683008804019</v>
      </c>
      <c r="J73">
        <v>17.926829268292686</v>
      </c>
      <c r="K73">
        <v>10024.682926829268</v>
      </c>
      <c r="L73">
        <v>17.891918208373905</v>
      </c>
      <c r="M73">
        <v>10005.160662122687</v>
      </c>
      <c r="N73">
        <v>28.731170336037081</v>
      </c>
      <c r="O73">
        <v>16066.470451911933</v>
      </c>
      <c r="P73">
        <v>5.1252847380410023</v>
      </c>
      <c r="Q73">
        <v>2866.059225512528</v>
      </c>
      <c r="R73">
        <v>27.884615384615383</v>
      </c>
      <c r="S73">
        <v>15593.07692307692</v>
      </c>
      <c r="T73">
        <v>7.0798755186721998</v>
      </c>
      <c r="U73">
        <v>3959.0663900414938</v>
      </c>
      <c r="V73">
        <v>17.21311475409836</v>
      </c>
      <c r="W73">
        <v>9625.573770491801</v>
      </c>
      <c r="X73">
        <v>32.222222222222221</v>
      </c>
      <c r="Y73">
        <v>18018.666666666664</v>
      </c>
      <c r="Z73">
        <v>9.6763754045307451</v>
      </c>
      <c r="AA73">
        <v>5411.0291262135916</v>
      </c>
      <c r="AB73">
        <v>26.60377358490566</v>
      </c>
      <c r="AC73">
        <v>14876.830188679243</v>
      </c>
      <c r="AD73">
        <v>10.020942408376964</v>
      </c>
      <c r="AE73">
        <v>5603.7109947643976</v>
      </c>
      <c r="AF73">
        <v>13.914027149321267</v>
      </c>
      <c r="AG73">
        <v>7780.7239819004517</v>
      </c>
      <c r="AH73">
        <v>24.667393675027263</v>
      </c>
      <c r="AI73">
        <v>13794.006543075244</v>
      </c>
      <c r="AJ73">
        <v>15.705128205128206</v>
      </c>
      <c r="AK73">
        <v>8782.3076923076915</v>
      </c>
      <c r="AL73">
        <v>17.20401691331924</v>
      </c>
      <c r="AM73">
        <v>9620.486257928118</v>
      </c>
      <c r="AN73">
        <v>7.3928571428571432</v>
      </c>
      <c r="AO73">
        <v>4134.0857142857139</v>
      </c>
      <c r="AP73">
        <v>19.190897597977244</v>
      </c>
      <c r="AQ73">
        <v>10731.549936788873</v>
      </c>
      <c r="AR73">
        <v>26.467576791808877</v>
      </c>
      <c r="AS73">
        <v>14800.668941979522</v>
      </c>
      <c r="AT73">
        <v>14.359956236323852</v>
      </c>
      <c r="AU73">
        <v>8030.087527352297</v>
      </c>
      <c r="AV73">
        <v>13.072709163346612</v>
      </c>
      <c r="AW73">
        <v>7310.2589641434251</v>
      </c>
      <c r="AX73">
        <v>11.705937794533458</v>
      </c>
      <c r="AY73">
        <v>6545.9604147031087</v>
      </c>
      <c r="AZ73">
        <v>21.826625386996906</v>
      </c>
      <c r="BA73">
        <v>12205.448916408668</v>
      </c>
      <c r="BB73">
        <v>17.979452054794521</v>
      </c>
      <c r="BC73">
        <v>10054.109589041094</v>
      </c>
      <c r="BD73">
        <v>6.3716814159292037</v>
      </c>
      <c r="BE73">
        <v>3563.0442477876104</v>
      </c>
      <c r="BF73">
        <v>28.830347734457323</v>
      </c>
      <c r="BG73">
        <v>16121.930453108533</v>
      </c>
      <c r="BH73">
        <v>7.0382165605095537</v>
      </c>
      <c r="BI73">
        <v>3935.7707006369419</v>
      </c>
      <c r="BJ73">
        <v>20.134680134680135</v>
      </c>
      <c r="BK73">
        <v>11259.313131313131</v>
      </c>
      <c r="BL73">
        <v>11.517367458866545</v>
      </c>
      <c r="BM73">
        <v>6440.5118829981711</v>
      </c>
      <c r="BN73">
        <v>21.13148479427549</v>
      </c>
      <c r="BO73">
        <v>11816.726296958852</v>
      </c>
      <c r="BP73">
        <v>20.292368681863231</v>
      </c>
      <c r="BQ73">
        <v>11347.492566897918</v>
      </c>
      <c r="BR73">
        <v>25.90909090909091</v>
      </c>
      <c r="BS73">
        <v>14488.363636363636</v>
      </c>
      <c r="BT73">
        <v>15.70469798657718</v>
      </c>
      <c r="BU73">
        <v>8782.0671140939576</v>
      </c>
      <c r="BV73">
        <v>9.8684210526315788</v>
      </c>
      <c r="BW73">
        <v>5518.4210526315783</v>
      </c>
      <c r="BX73">
        <v>15.428571428571429</v>
      </c>
      <c r="BY73">
        <v>8627.6571428571424</v>
      </c>
      <c r="BZ73">
        <v>21.447602131438721</v>
      </c>
      <c r="CA73">
        <v>11993.499111900532</v>
      </c>
      <c r="CB73">
        <v>20.336391437308869</v>
      </c>
      <c r="CC73">
        <v>11372.110091743118</v>
      </c>
      <c r="CD73">
        <v>24.543249797898142</v>
      </c>
      <c r="CE73">
        <v>13724.585286984639</v>
      </c>
      <c r="CF73">
        <v>9.9539170506912455</v>
      </c>
      <c r="CG73">
        <v>5566.2304147465438</v>
      </c>
      <c r="CH73">
        <v>20.078740157480315</v>
      </c>
      <c r="CI73">
        <v>11228.031496062991</v>
      </c>
      <c r="CJ73">
        <v>18.803571428571431</v>
      </c>
      <c r="CK73">
        <v>10514.957142857143</v>
      </c>
      <c r="CL73">
        <v>26.14987080103359</v>
      </c>
      <c r="CM73">
        <v>14623.007751937981</v>
      </c>
      <c r="CN73">
        <v>20.982142857142858</v>
      </c>
      <c r="CO73">
        <v>11733.214285714284</v>
      </c>
      <c r="CP73">
        <v>11.339641434262948</v>
      </c>
      <c r="CQ73">
        <v>6341.1274900398394</v>
      </c>
      <c r="CR73">
        <v>12.740141557128414</v>
      </c>
      <c r="CS73">
        <v>7124.2871587462087</v>
      </c>
      <c r="CT73">
        <v>20.502857142857142</v>
      </c>
      <c r="CU73">
        <v>11465.197714285712</v>
      </c>
    </row>
    <row r="74" spans="2:99" x14ac:dyDescent="0.2">
      <c r="C74" s="116" t="s">
        <v>240</v>
      </c>
      <c r="D74">
        <v>2.9241283244406313</v>
      </c>
      <c r="E74">
        <v>1179.0085404144625</v>
      </c>
      <c r="F74">
        <v>16.086857142857141</v>
      </c>
      <c r="G74">
        <v>6486.2207999999991</v>
      </c>
      <c r="H74">
        <v>9.6510520402010052</v>
      </c>
      <c r="I74">
        <v>3891.3041826090453</v>
      </c>
      <c r="J74">
        <v>19.463414634146339</v>
      </c>
      <c r="K74">
        <v>7847.6487804878034</v>
      </c>
      <c r="L74">
        <v>16.869522882181112</v>
      </c>
      <c r="M74">
        <v>6801.7916260954244</v>
      </c>
      <c r="N74">
        <v>29.721900347624569</v>
      </c>
      <c r="O74">
        <v>11983.870220162225</v>
      </c>
      <c r="P74">
        <v>5.1252847380410023</v>
      </c>
      <c r="Q74">
        <v>2066.5148063781321</v>
      </c>
      <c r="R74">
        <v>26.955128205128204</v>
      </c>
      <c r="S74">
        <v>10868.307692307691</v>
      </c>
      <c r="T74">
        <v>6.6753112033195023</v>
      </c>
      <c r="U74">
        <v>2691.4854771784235</v>
      </c>
      <c r="V74">
        <v>17.751024590163937</v>
      </c>
      <c r="W74">
        <v>7157.2131147540986</v>
      </c>
      <c r="X74">
        <v>36.353276353276357</v>
      </c>
      <c r="Y74">
        <v>14657.641025641027</v>
      </c>
      <c r="Z74">
        <v>10.792880258899677</v>
      </c>
      <c r="AA74">
        <v>4351.6893203883501</v>
      </c>
      <c r="AB74">
        <v>24.503475670307843</v>
      </c>
      <c r="AC74">
        <v>9879.8013902681214</v>
      </c>
      <c r="AD74">
        <v>10.366492146596858</v>
      </c>
      <c r="AE74">
        <v>4179.7696335078535</v>
      </c>
      <c r="AF74">
        <v>14.592760180995475</v>
      </c>
      <c r="AG74">
        <v>5883.8009049773755</v>
      </c>
      <c r="AH74">
        <v>26.564885496183205</v>
      </c>
      <c r="AI74">
        <v>10710.961832061068</v>
      </c>
      <c r="AJ74">
        <v>16.266025641025642</v>
      </c>
      <c r="AK74">
        <v>6558.461538461539</v>
      </c>
      <c r="AL74">
        <v>18.868921775898517</v>
      </c>
      <c r="AM74">
        <v>7607.9492600422818</v>
      </c>
      <c r="AN74">
        <v>7.3928571428571432</v>
      </c>
      <c r="AO74">
        <v>2980.8</v>
      </c>
      <c r="AP74">
        <v>21.807838179519592</v>
      </c>
      <c r="AQ74">
        <v>8792.9203539822993</v>
      </c>
      <c r="AR74">
        <v>25.264505119453926</v>
      </c>
      <c r="AS74">
        <v>10186.648464163822</v>
      </c>
      <c r="AT74">
        <v>16.083150984682714</v>
      </c>
      <c r="AU74">
        <v>6484.7264770240699</v>
      </c>
      <c r="AV74">
        <v>14.641434262948207</v>
      </c>
      <c r="AW74">
        <v>5903.426294820717</v>
      </c>
      <c r="AX74">
        <v>11.705937794533458</v>
      </c>
      <c r="AY74">
        <v>4719.8341187558899</v>
      </c>
      <c r="AZ74">
        <v>21.099071207430342</v>
      </c>
      <c r="BA74">
        <v>8507.1455108359132</v>
      </c>
      <c r="BB74">
        <v>21.061643835616437</v>
      </c>
      <c r="BC74">
        <v>8492.0547945205471</v>
      </c>
      <c r="BD74">
        <v>5.8407079646017701</v>
      </c>
      <c r="BE74">
        <v>2354.9734513274338</v>
      </c>
      <c r="BF74">
        <v>33.335089567966286</v>
      </c>
      <c r="BG74">
        <v>13440.708113804007</v>
      </c>
      <c r="BH74">
        <v>7.452229299363057</v>
      </c>
      <c r="BI74">
        <v>3004.7388535031846</v>
      </c>
      <c r="BJ74">
        <v>22.457912457912457</v>
      </c>
      <c r="BK74">
        <v>9055.0303030303021</v>
      </c>
      <c r="BL74">
        <v>13.162705667276052</v>
      </c>
      <c r="BM74">
        <v>5307.2029250457044</v>
      </c>
      <c r="BN74">
        <v>20.192307692307693</v>
      </c>
      <c r="BO74">
        <v>8141.5384615384619</v>
      </c>
      <c r="BP74">
        <v>21.333002973240831</v>
      </c>
      <c r="BQ74">
        <v>8601.466798810703</v>
      </c>
      <c r="BR74">
        <v>28.685064935064936</v>
      </c>
      <c r="BS74">
        <v>11565.818181818182</v>
      </c>
      <c r="BT74">
        <v>16.912751677852349</v>
      </c>
      <c r="BU74">
        <v>6819.2214765100671</v>
      </c>
      <c r="BV74">
        <v>10.263157894736842</v>
      </c>
      <c r="BW74">
        <v>4138.105263157895</v>
      </c>
      <c r="BX74">
        <v>13.821428571428573</v>
      </c>
      <c r="BY74">
        <v>5572.8</v>
      </c>
      <c r="BZ74">
        <v>23.312611012433393</v>
      </c>
      <c r="CA74">
        <v>9399.6447602131448</v>
      </c>
      <c r="CB74">
        <v>19.801223241590211</v>
      </c>
      <c r="CC74">
        <v>7983.8532110091728</v>
      </c>
      <c r="CD74">
        <v>25.658852061438964</v>
      </c>
      <c r="CE74">
        <v>10345.649151172191</v>
      </c>
      <c r="CF74">
        <v>9.5391705069124431</v>
      </c>
      <c r="CG74">
        <v>3846.1935483870971</v>
      </c>
      <c r="CH74">
        <v>18.740157480314959</v>
      </c>
      <c r="CI74">
        <v>7556.0314960629912</v>
      </c>
      <c r="CJ74">
        <v>23.142857142857142</v>
      </c>
      <c r="CK74">
        <v>9331.1999999999989</v>
      </c>
      <c r="CL74">
        <v>27.932816537467701</v>
      </c>
      <c r="CM74">
        <v>11262.511627906977</v>
      </c>
      <c r="CN74">
        <v>24.339285714285715</v>
      </c>
      <c r="CO74">
        <v>9813.6</v>
      </c>
      <c r="CP74">
        <v>10.652390438247012</v>
      </c>
      <c r="CQ74">
        <v>4295.0438247011953</v>
      </c>
      <c r="CR74">
        <v>12.012133468149646</v>
      </c>
      <c r="CS74">
        <v>4843.2922143579372</v>
      </c>
      <c r="CT74">
        <v>22.868571428571428</v>
      </c>
      <c r="CU74">
        <v>9220.6080000000002</v>
      </c>
    </row>
    <row r="75" spans="2:99" x14ac:dyDescent="0.2">
      <c r="C75" s="116" t="s">
        <v>241</v>
      </c>
      <c r="D75">
        <v>2.5801132274476162</v>
      </c>
      <c r="E75">
        <v>1659.5288278943065</v>
      </c>
      <c r="F75">
        <v>17.549298701298699</v>
      </c>
      <c r="G75">
        <v>11287.708924675322</v>
      </c>
      <c r="H75">
        <v>10.455306376884424</v>
      </c>
      <c r="I75">
        <v>6724.8530616120606</v>
      </c>
      <c r="J75">
        <v>16.902439024390244</v>
      </c>
      <c r="K75">
        <v>10871.648780487803</v>
      </c>
      <c r="L75">
        <v>16.869522882181112</v>
      </c>
      <c r="M75">
        <v>10850.477117818889</v>
      </c>
      <c r="N75">
        <v>27.740440324449594</v>
      </c>
      <c r="O75">
        <v>17842.651216685976</v>
      </c>
      <c r="P75">
        <v>5.1252847380410023</v>
      </c>
      <c r="Q75">
        <v>3296.5831435079722</v>
      </c>
      <c r="R75">
        <v>24.166666666666664</v>
      </c>
      <c r="S75">
        <v>15543.999999999996</v>
      </c>
      <c r="T75">
        <v>6.0684647302904562</v>
      </c>
      <c r="U75">
        <v>3903.2365145228209</v>
      </c>
      <c r="V75">
        <v>17.751024590163937</v>
      </c>
      <c r="W75">
        <v>11417.459016393443</v>
      </c>
      <c r="X75">
        <v>31.396011396011392</v>
      </c>
      <c r="Y75">
        <v>20193.914529914524</v>
      </c>
      <c r="Z75">
        <v>9.3042071197411005</v>
      </c>
      <c r="AA75">
        <v>5984.4660194174749</v>
      </c>
      <c r="AB75">
        <v>26.60377358490566</v>
      </c>
      <c r="AC75">
        <v>17111.547169811318</v>
      </c>
      <c r="AD75">
        <v>11.403141361256544</v>
      </c>
      <c r="AE75">
        <v>7334.5005235602084</v>
      </c>
      <c r="AF75">
        <v>12.55656108597285</v>
      </c>
      <c r="AG75">
        <v>8076.380090497737</v>
      </c>
      <c r="AH75">
        <v>23.71864776444929</v>
      </c>
      <c r="AI75">
        <v>15255.834242093782</v>
      </c>
      <c r="AJ75">
        <v>15.14423076923077</v>
      </c>
      <c r="AK75">
        <v>9740.7692307692305</v>
      </c>
      <c r="AL75">
        <v>17.20401691331924</v>
      </c>
      <c r="AM75">
        <v>11065.623678646934</v>
      </c>
      <c r="AN75">
        <v>6.5892857142857144</v>
      </c>
      <c r="AO75">
        <v>4238.2285714285708</v>
      </c>
      <c r="AP75">
        <v>19.190897597977244</v>
      </c>
      <c r="AQ75">
        <v>12343.585335018963</v>
      </c>
      <c r="AR75">
        <v>26.467576791808877</v>
      </c>
      <c r="AS75">
        <v>17023.945392491467</v>
      </c>
      <c r="AT75">
        <v>13.785557986870897</v>
      </c>
      <c r="AU75">
        <v>8866.8708971553606</v>
      </c>
      <c r="AV75">
        <v>13.072709163346612</v>
      </c>
      <c r="AW75">
        <v>8408.3665338645405</v>
      </c>
      <c r="AX75">
        <v>13.00659754948162</v>
      </c>
      <c r="AY75">
        <v>8365.8435438265769</v>
      </c>
      <c r="AZ75">
        <v>21.099071207430342</v>
      </c>
      <c r="BA75">
        <v>13570.922600619195</v>
      </c>
      <c r="BB75">
        <v>18.493150684931507</v>
      </c>
      <c r="BC75">
        <v>11894.794520547945</v>
      </c>
      <c r="BD75">
        <v>5.4867256637168147</v>
      </c>
      <c r="BE75">
        <v>3529.0619469026547</v>
      </c>
      <c r="BF75">
        <v>29.731296101159113</v>
      </c>
      <c r="BG75">
        <v>19123.16965226554</v>
      </c>
      <c r="BH75">
        <v>6.6242038216560513</v>
      </c>
      <c r="BI75">
        <v>4260.6878980891715</v>
      </c>
      <c r="BJ75">
        <v>19.36026936026936</v>
      </c>
      <c r="BK75">
        <v>12452.525252525251</v>
      </c>
      <c r="BL75">
        <v>12.504570383912249</v>
      </c>
      <c r="BM75">
        <v>8042.9396709323573</v>
      </c>
      <c r="BN75">
        <v>19.722719141323793</v>
      </c>
      <c r="BO75">
        <v>12685.652951699463</v>
      </c>
      <c r="BP75">
        <v>20.812685827552031</v>
      </c>
      <c r="BQ75">
        <v>13386.719524281465</v>
      </c>
      <c r="BR75">
        <v>26.834415584415584</v>
      </c>
      <c r="BS75">
        <v>17259.896103896102</v>
      </c>
      <c r="BT75">
        <v>18.120805369127517</v>
      </c>
      <c r="BU75">
        <v>11655.302013422817</v>
      </c>
      <c r="BV75">
        <v>9.8684210526315788</v>
      </c>
      <c r="BW75">
        <v>6347.3684210526308</v>
      </c>
      <c r="BX75">
        <v>15.749999999999998</v>
      </c>
      <c r="BY75">
        <v>10130.399999999998</v>
      </c>
      <c r="BZ75">
        <v>20.048845470692719</v>
      </c>
      <c r="CA75">
        <v>12895.417406749555</v>
      </c>
      <c r="CB75">
        <v>17.125382262996943</v>
      </c>
      <c r="CC75">
        <v>11015.045871559632</v>
      </c>
      <c r="CD75">
        <v>26.216653193209378</v>
      </c>
      <c r="CE75">
        <v>16862.55133387227</v>
      </c>
      <c r="CF75">
        <v>9.9539170506912455</v>
      </c>
      <c r="CG75">
        <v>6402.3594470046082</v>
      </c>
      <c r="CH75">
        <v>20.078740157480315</v>
      </c>
      <c r="CI75">
        <v>12914.645669291338</v>
      </c>
      <c r="CJ75">
        <v>19.767857142857142</v>
      </c>
      <c r="CK75">
        <v>12714.685714285713</v>
      </c>
      <c r="CL75">
        <v>24.366925064599485</v>
      </c>
      <c r="CM75">
        <v>15672.806201550387</v>
      </c>
      <c r="CN75">
        <v>20.982142857142858</v>
      </c>
      <c r="CO75">
        <v>13495.714285714284</v>
      </c>
      <c r="CP75">
        <v>9.2778884462151403</v>
      </c>
      <c r="CQ75">
        <v>5967.5378486055779</v>
      </c>
      <c r="CR75">
        <v>13.832153690596563</v>
      </c>
      <c r="CS75">
        <v>8896.8412537917084</v>
      </c>
      <c r="CT75">
        <v>19.714285714285715</v>
      </c>
      <c r="CU75">
        <v>12680.22857142857</v>
      </c>
    </row>
    <row r="76" spans="2:99" x14ac:dyDescent="0.2">
      <c r="C76" s="116" t="s">
        <v>242</v>
      </c>
      <c r="D76">
        <v>2.9241283244406313</v>
      </c>
      <c r="E76">
        <v>2277.3111390743634</v>
      </c>
      <c r="F76">
        <v>16.086857142857141</v>
      </c>
      <c r="G76">
        <v>12528.444342857141</v>
      </c>
      <c r="H76">
        <v>10.053179208542714</v>
      </c>
      <c r="I76">
        <v>7829.4159676130648</v>
      </c>
      <c r="J76">
        <v>16.390243902439025</v>
      </c>
      <c r="K76">
        <v>12764.721951219512</v>
      </c>
      <c r="L76">
        <v>16.358325219084712</v>
      </c>
      <c r="M76">
        <v>12739.863680623173</v>
      </c>
      <c r="N76">
        <v>24.768250289687138</v>
      </c>
      <c r="O76">
        <v>19289.513325608343</v>
      </c>
      <c r="P76">
        <v>4.9202733485193626</v>
      </c>
      <c r="Q76">
        <v>3831.9088838268794</v>
      </c>
      <c r="R76">
        <v>27.884615384615383</v>
      </c>
      <c r="S76">
        <v>21716.538461538461</v>
      </c>
      <c r="T76">
        <v>6.6753112033195023</v>
      </c>
      <c r="U76">
        <v>5198.732365145228</v>
      </c>
      <c r="V76">
        <v>16.137295081967213</v>
      </c>
      <c r="W76">
        <v>12567.725409836065</v>
      </c>
      <c r="X76">
        <v>33.048433048433047</v>
      </c>
      <c r="Y76">
        <v>25738.119658119656</v>
      </c>
      <c r="Z76">
        <v>9.3042071197411005</v>
      </c>
      <c r="AA76">
        <v>7246.1165048543689</v>
      </c>
      <c r="AB76">
        <v>24.503475670307843</v>
      </c>
      <c r="AC76">
        <v>19083.306852035748</v>
      </c>
      <c r="AD76">
        <v>10.366492146596858</v>
      </c>
      <c r="AE76">
        <v>8073.4240837696325</v>
      </c>
      <c r="AF76">
        <v>11.877828054298641</v>
      </c>
      <c r="AG76">
        <v>9250.4524886877807</v>
      </c>
      <c r="AH76">
        <v>25.616139585605232</v>
      </c>
      <c r="AI76">
        <v>19949.849509269352</v>
      </c>
      <c r="AJ76">
        <v>15.705128205128206</v>
      </c>
      <c r="AK76">
        <v>12231.153846153846</v>
      </c>
      <c r="AL76">
        <v>16.649048625792812</v>
      </c>
      <c r="AM76">
        <v>12966.279069767441</v>
      </c>
      <c r="AN76">
        <v>6.75</v>
      </c>
      <c r="AO76">
        <v>5256.9</v>
      </c>
      <c r="AP76">
        <v>21.807838179519592</v>
      </c>
      <c r="AQ76">
        <v>16983.944374209859</v>
      </c>
      <c r="AR76">
        <v>27.06911262798635</v>
      </c>
      <c r="AS76">
        <v>21081.424914675768</v>
      </c>
      <c r="AT76">
        <v>15.508752735229761</v>
      </c>
      <c r="AU76">
        <v>12078.216630196937</v>
      </c>
      <c r="AV76">
        <v>13.595617529880478</v>
      </c>
      <c r="AW76">
        <v>10588.266932270915</v>
      </c>
      <c r="AX76">
        <v>12.681432610744581</v>
      </c>
      <c r="AY76">
        <v>9876.299717247879</v>
      </c>
      <c r="AZ76">
        <v>19.643962848297214</v>
      </c>
      <c r="BA76">
        <v>15298.718266253869</v>
      </c>
      <c r="BB76">
        <v>19.520547945205479</v>
      </c>
      <c r="BC76">
        <v>15202.602739726026</v>
      </c>
      <c r="BD76">
        <v>5.8407079646017701</v>
      </c>
      <c r="BE76">
        <v>4548.7433628318586</v>
      </c>
      <c r="BF76">
        <v>29.731296101159113</v>
      </c>
      <c r="BG76">
        <v>23154.733403582715</v>
      </c>
      <c r="BH76">
        <v>7.452229299363057</v>
      </c>
      <c r="BI76">
        <v>5803.7961783439487</v>
      </c>
      <c r="BJ76">
        <v>20.90909090909091</v>
      </c>
      <c r="BK76">
        <v>16284</v>
      </c>
      <c r="BL76">
        <v>12.175502742230348</v>
      </c>
      <c r="BM76">
        <v>9482.2815356489937</v>
      </c>
      <c r="BN76">
        <v>19.253130590339893</v>
      </c>
      <c r="BO76">
        <v>14994.338103756709</v>
      </c>
      <c r="BP76">
        <v>21.853320118929634</v>
      </c>
      <c r="BQ76">
        <v>17019.365708622398</v>
      </c>
      <c r="BR76">
        <v>24.983766233766232</v>
      </c>
      <c r="BS76">
        <v>19457.357142857141</v>
      </c>
      <c r="BT76">
        <v>16.308724832214764</v>
      </c>
      <c r="BU76">
        <v>12701.234899328858</v>
      </c>
      <c r="BV76">
        <v>11.052631578947368</v>
      </c>
      <c r="BW76">
        <v>8607.78947368421</v>
      </c>
      <c r="BX76">
        <v>13.5</v>
      </c>
      <c r="BY76">
        <v>10513.8</v>
      </c>
      <c r="BZ76">
        <v>22.846358792184724</v>
      </c>
      <c r="CA76">
        <v>17792.744227353462</v>
      </c>
      <c r="CB76">
        <v>19.801223241590211</v>
      </c>
      <c r="CC76">
        <v>15421.192660550456</v>
      </c>
      <c r="CD76">
        <v>24.543249797898142</v>
      </c>
      <c r="CE76">
        <v>19114.282942603073</v>
      </c>
      <c r="CF76">
        <v>9.1244239631336406</v>
      </c>
      <c r="CG76">
        <v>7106.1013824884785</v>
      </c>
      <c r="CH76">
        <v>20.078740157480315</v>
      </c>
      <c r="CI76">
        <v>15637.322834645669</v>
      </c>
      <c r="CJ76">
        <v>19.285714285714285</v>
      </c>
      <c r="CK76">
        <v>15019.714285714284</v>
      </c>
      <c r="CL76">
        <v>26.744186046511629</v>
      </c>
      <c r="CM76">
        <v>20828.372093023256</v>
      </c>
      <c r="CN76">
        <v>22.660714285714285</v>
      </c>
      <c r="CO76">
        <v>17648.164285714283</v>
      </c>
      <c r="CP76">
        <v>10.996015936254979</v>
      </c>
      <c r="CQ76">
        <v>8563.6972111553769</v>
      </c>
      <c r="CR76">
        <v>12.012133468149646</v>
      </c>
      <c r="CS76">
        <v>9355.0495449949431</v>
      </c>
      <c r="CT76">
        <v>22.080000000000002</v>
      </c>
      <c r="CU76">
        <v>17195.903999999999</v>
      </c>
    </row>
    <row r="77" spans="2:99" x14ac:dyDescent="0.2">
      <c r="C77" s="116" t="s">
        <v>243</v>
      </c>
      <c r="D77">
        <v>3.0101320986888851</v>
      </c>
      <c r="E77">
        <v>838.02077627498556</v>
      </c>
      <c r="F77">
        <v>18.280519480519477</v>
      </c>
      <c r="G77">
        <v>5089.2966233766219</v>
      </c>
      <c r="H77">
        <v>11.25956071356784</v>
      </c>
      <c r="I77">
        <v>3134.6617026572862</v>
      </c>
      <c r="J77">
        <v>17.414634146341463</v>
      </c>
      <c r="K77">
        <v>4848.2341463414632</v>
      </c>
      <c r="L77">
        <v>15.847127555988315</v>
      </c>
      <c r="M77">
        <v>4411.840311587147</v>
      </c>
      <c r="N77">
        <v>27.740440324449594</v>
      </c>
      <c r="O77">
        <v>7722.9385863267662</v>
      </c>
      <c r="P77">
        <v>5.3302961275626428</v>
      </c>
      <c r="Q77">
        <v>1483.9544419134397</v>
      </c>
      <c r="R77">
        <v>26.955128205128204</v>
      </c>
      <c r="S77">
        <v>7504.3076923076915</v>
      </c>
      <c r="T77">
        <v>7.0798755186721998</v>
      </c>
      <c r="U77">
        <v>1971.0373443983403</v>
      </c>
      <c r="V77">
        <v>17.21311475409836</v>
      </c>
      <c r="W77">
        <v>4792.131147540983</v>
      </c>
      <c r="X77">
        <v>34.700854700854698</v>
      </c>
      <c r="Y77">
        <v>9660.7179487179474</v>
      </c>
      <c r="Z77">
        <v>10.420711974110032</v>
      </c>
      <c r="AA77">
        <v>2901.1262135922329</v>
      </c>
      <c r="AB77">
        <v>28.003972194637537</v>
      </c>
      <c r="AC77">
        <v>7796.3058589870898</v>
      </c>
      <c r="AD77">
        <v>11.05759162303665</v>
      </c>
      <c r="AE77">
        <v>3078.4335078534032</v>
      </c>
      <c r="AF77">
        <v>14.25339366515837</v>
      </c>
      <c r="AG77">
        <v>3968.1447963800897</v>
      </c>
      <c r="AH77">
        <v>24.667393675027263</v>
      </c>
      <c r="AI77">
        <v>6867.4023991275899</v>
      </c>
      <c r="AJ77">
        <v>17.387820512820515</v>
      </c>
      <c r="AK77">
        <v>4840.7692307692305</v>
      </c>
      <c r="AL77">
        <v>18.868921775898517</v>
      </c>
      <c r="AM77">
        <v>5253.1078224101466</v>
      </c>
      <c r="AN77">
        <v>7.3928571428571432</v>
      </c>
      <c r="AO77">
        <v>2058.1714285714284</v>
      </c>
      <c r="AP77">
        <v>20.93552465233881</v>
      </c>
      <c r="AQ77">
        <v>5828.450063211124</v>
      </c>
      <c r="AR77">
        <v>26.467576791808877</v>
      </c>
      <c r="AS77">
        <v>7368.573378839591</v>
      </c>
      <c r="AT77">
        <v>15.508752735229761</v>
      </c>
      <c r="AU77">
        <v>4317.6367614879655</v>
      </c>
      <c r="AV77">
        <v>14.118525896414344</v>
      </c>
      <c r="AW77">
        <v>3930.597609561753</v>
      </c>
      <c r="AX77">
        <v>12.681432610744581</v>
      </c>
      <c r="AY77">
        <v>3530.510838831291</v>
      </c>
      <c r="AZ77">
        <v>21.099071207430342</v>
      </c>
      <c r="BA77">
        <v>5873.9814241486065</v>
      </c>
      <c r="BB77">
        <v>19.520547945205479</v>
      </c>
      <c r="BC77">
        <v>5434.5205479452052</v>
      </c>
      <c r="BD77">
        <v>6.9026548672566372</v>
      </c>
      <c r="BE77">
        <v>1921.6991150442477</v>
      </c>
      <c r="BF77">
        <v>34.236037934668069</v>
      </c>
      <c r="BG77">
        <v>9531.3129610115902</v>
      </c>
      <c r="BH77">
        <v>7.0382165605095537</v>
      </c>
      <c r="BI77">
        <v>1959.4394904458595</v>
      </c>
      <c r="BJ77">
        <v>21.683501683501685</v>
      </c>
      <c r="BK77">
        <v>6036.6868686868684</v>
      </c>
      <c r="BL77">
        <v>13.162705667276052</v>
      </c>
      <c r="BM77">
        <v>3664.4972577696526</v>
      </c>
      <c r="BN77">
        <v>22.070661896243291</v>
      </c>
      <c r="BO77">
        <v>6144.4722719141319</v>
      </c>
      <c r="BP77">
        <v>20.292368681863231</v>
      </c>
      <c r="BQ77">
        <v>5649.3954410307233</v>
      </c>
      <c r="BR77">
        <v>27.759740259740258</v>
      </c>
      <c r="BS77">
        <v>7728.3116883116872</v>
      </c>
      <c r="BT77">
        <v>18.724832214765101</v>
      </c>
      <c r="BU77">
        <v>5212.9932885906037</v>
      </c>
      <c r="BV77">
        <v>11.052631578947368</v>
      </c>
      <c r="BW77">
        <v>3077.0526315789471</v>
      </c>
      <c r="BX77">
        <v>14.142857142857142</v>
      </c>
      <c r="BY77">
        <v>3937.3714285714282</v>
      </c>
      <c r="BZ77">
        <v>20.515097690941388</v>
      </c>
      <c r="CA77">
        <v>5711.4031971580816</v>
      </c>
      <c r="CB77">
        <v>20.871559633027523</v>
      </c>
      <c r="CC77">
        <v>5810.6422018348621</v>
      </c>
      <c r="CD77">
        <v>26.216653193209378</v>
      </c>
      <c r="CE77">
        <v>7298.7162489894899</v>
      </c>
      <c r="CF77">
        <v>10.368663594470046</v>
      </c>
      <c r="CG77">
        <v>2886.6359447004606</v>
      </c>
      <c r="CH77">
        <v>22.309711286089236</v>
      </c>
      <c r="CI77">
        <v>6211.0236220472425</v>
      </c>
      <c r="CJ77">
        <v>21.214285714285715</v>
      </c>
      <c r="CK77">
        <v>5906.0571428571429</v>
      </c>
      <c r="CL77">
        <v>31.498708010335918</v>
      </c>
      <c r="CM77">
        <v>8769.2403100775191</v>
      </c>
      <c r="CN77">
        <v>21.821428571428573</v>
      </c>
      <c r="CO77">
        <v>6075.0857142857139</v>
      </c>
      <c r="CP77">
        <v>10.996015936254979</v>
      </c>
      <c r="CQ77">
        <v>3061.2908366533861</v>
      </c>
      <c r="CR77">
        <v>12.376137512639028</v>
      </c>
      <c r="CS77">
        <v>3445.5166835187051</v>
      </c>
      <c r="CT77">
        <v>22.080000000000002</v>
      </c>
      <c r="CU77">
        <v>6147.0720000000001</v>
      </c>
    </row>
    <row r="78" spans="2:99" x14ac:dyDescent="0.2">
      <c r="C78" s="116" t="s">
        <v>244</v>
      </c>
      <c r="D78">
        <v>2.9241283244406313</v>
      </c>
      <c r="E78">
        <v>1614.1188350912284</v>
      </c>
      <c r="F78">
        <v>16.086857142857141</v>
      </c>
      <c r="G78">
        <v>8879.9451428571429</v>
      </c>
      <c r="H78">
        <v>10.857433545226131</v>
      </c>
      <c r="I78">
        <v>5993.3033169648243</v>
      </c>
      <c r="J78">
        <v>16.902439024390244</v>
      </c>
      <c r="K78">
        <v>9330.1463414634145</v>
      </c>
      <c r="L78">
        <v>17.380720545277505</v>
      </c>
      <c r="M78">
        <v>9594.1577409931833</v>
      </c>
      <c r="N78">
        <v>25.758980301274622</v>
      </c>
      <c r="O78">
        <v>14218.957126303592</v>
      </c>
      <c r="P78">
        <v>5.1252847380410023</v>
      </c>
      <c r="Q78">
        <v>2829.1571753986332</v>
      </c>
      <c r="R78">
        <v>27.884615384615383</v>
      </c>
      <c r="S78">
        <v>15392.307692307691</v>
      </c>
      <c r="T78">
        <v>7.0798755186721998</v>
      </c>
      <c r="U78">
        <v>3908.0912863070544</v>
      </c>
      <c r="V78">
        <v>17.21311475409836</v>
      </c>
      <c r="W78">
        <v>9501.6393442622939</v>
      </c>
      <c r="X78">
        <v>30.569800569800567</v>
      </c>
      <c r="Y78">
        <v>16874.529914529914</v>
      </c>
      <c r="Z78">
        <v>9.3042071197411005</v>
      </c>
      <c r="AA78">
        <v>5135.9223300970871</v>
      </c>
      <c r="AB78">
        <v>27.303872889771601</v>
      </c>
      <c r="AC78">
        <v>15071.737835153923</v>
      </c>
      <c r="AD78">
        <v>10.020942408376964</v>
      </c>
      <c r="AE78">
        <v>5531.560209424084</v>
      </c>
      <c r="AF78">
        <v>13.914027149321267</v>
      </c>
      <c r="AG78">
        <v>7680.5429864253392</v>
      </c>
      <c r="AH78">
        <v>26.564885496183205</v>
      </c>
      <c r="AI78">
        <v>14663.816793893129</v>
      </c>
      <c r="AJ78">
        <v>16.826923076923077</v>
      </c>
      <c r="AK78">
        <v>9288.461538461539</v>
      </c>
      <c r="AL78">
        <v>17.20401691331924</v>
      </c>
      <c r="AM78">
        <v>9496.6173361522197</v>
      </c>
      <c r="AN78">
        <v>7.0714285714285712</v>
      </c>
      <c r="AO78">
        <v>3903.4285714285711</v>
      </c>
      <c r="AP78">
        <v>20.93552465233881</v>
      </c>
      <c r="AQ78">
        <v>11556.409608091022</v>
      </c>
      <c r="AR78">
        <v>28.272184300341298</v>
      </c>
      <c r="AS78">
        <v>15606.245733788397</v>
      </c>
      <c r="AT78">
        <v>15.508752735229761</v>
      </c>
      <c r="AU78">
        <v>8560.8315098468283</v>
      </c>
      <c r="AV78">
        <v>15.164342629482071</v>
      </c>
      <c r="AW78">
        <v>8370.7171314741026</v>
      </c>
      <c r="AX78">
        <v>13.00659754948162</v>
      </c>
      <c r="AY78">
        <v>7179.6418473138547</v>
      </c>
      <c r="AZ78">
        <v>22.554179566563466</v>
      </c>
      <c r="BA78">
        <v>12449.907120743033</v>
      </c>
      <c r="BB78">
        <v>19.520547945205479</v>
      </c>
      <c r="BC78">
        <v>10775.342465753425</v>
      </c>
      <c r="BD78">
        <v>6.1946902654867264</v>
      </c>
      <c r="BE78">
        <v>3419.4690265486729</v>
      </c>
      <c r="BF78">
        <v>32.434141201264488</v>
      </c>
      <c r="BG78">
        <v>17903.645943097996</v>
      </c>
      <c r="BH78">
        <v>7.8662420382165603</v>
      </c>
      <c r="BI78">
        <v>4342.1656050955417</v>
      </c>
      <c r="BJ78">
        <v>23.232323232323232</v>
      </c>
      <c r="BK78">
        <v>12824.242424242424</v>
      </c>
      <c r="BL78">
        <v>12.175502742230348</v>
      </c>
      <c r="BM78">
        <v>6720.8775137111525</v>
      </c>
      <c r="BN78">
        <v>18.313953488372093</v>
      </c>
      <c r="BO78">
        <v>10109.302325581395</v>
      </c>
      <c r="BP78">
        <v>20.812685827552031</v>
      </c>
      <c r="BQ78">
        <v>11488.60257680872</v>
      </c>
      <c r="BR78">
        <v>26.834415584415584</v>
      </c>
      <c r="BS78">
        <v>14812.597402597403</v>
      </c>
      <c r="BT78">
        <v>18.120805369127517</v>
      </c>
      <c r="BU78">
        <v>10002.68456375839</v>
      </c>
      <c r="BV78">
        <v>10.263157894736842</v>
      </c>
      <c r="BW78">
        <v>5665.2631578947367</v>
      </c>
      <c r="BX78">
        <v>16.392857142857142</v>
      </c>
      <c r="BY78">
        <v>9048.8571428571431</v>
      </c>
      <c r="BZ78">
        <v>20.515097690941388</v>
      </c>
      <c r="CA78">
        <v>11324.333925399646</v>
      </c>
      <c r="CB78">
        <v>19.801223241590211</v>
      </c>
      <c r="CC78">
        <v>10930.275229357796</v>
      </c>
      <c r="CD78">
        <v>22.869846402586901</v>
      </c>
      <c r="CE78">
        <v>12624.155214227969</v>
      </c>
      <c r="CF78">
        <v>10.783410138248847</v>
      </c>
      <c r="CG78">
        <v>5952.4423963133631</v>
      </c>
      <c r="CH78">
        <v>21.863517060367457</v>
      </c>
      <c r="CI78">
        <v>12068.661417322835</v>
      </c>
      <c r="CJ78">
        <v>22.660714285714285</v>
      </c>
      <c r="CK78">
        <v>12508.714285714284</v>
      </c>
      <c r="CL78">
        <v>30.310077519379842</v>
      </c>
      <c r="CM78">
        <v>16731.162790697672</v>
      </c>
      <c r="CN78">
        <v>22.660714285714285</v>
      </c>
      <c r="CO78">
        <v>12508.714285714284</v>
      </c>
      <c r="CP78">
        <v>10.652390438247012</v>
      </c>
      <c r="CQ78">
        <v>5880.119521912351</v>
      </c>
      <c r="CR78">
        <v>13.468149646107179</v>
      </c>
      <c r="CS78">
        <v>7434.4186046511622</v>
      </c>
      <c r="CT78">
        <v>18.925714285714285</v>
      </c>
      <c r="CU78">
        <v>10446.994285714285</v>
      </c>
    </row>
    <row r="79" spans="2:99" x14ac:dyDescent="0.2">
      <c r="C79" s="116" t="s">
        <v>245</v>
      </c>
      <c r="D79">
        <v>2.7521207759441242</v>
      </c>
      <c r="E79">
        <v>2083.9058515448905</v>
      </c>
      <c r="F79">
        <v>16.818077922077922</v>
      </c>
      <c r="G79">
        <v>12734.648602597401</v>
      </c>
      <c r="H79">
        <v>10.857433545226131</v>
      </c>
      <c r="I79">
        <v>8221.2486804452255</v>
      </c>
      <c r="J79">
        <v>16.902439024390244</v>
      </c>
      <c r="K79">
        <v>12798.526829268292</v>
      </c>
      <c r="L79">
        <v>17.891918208373905</v>
      </c>
      <c r="M79">
        <v>13547.76046738072</v>
      </c>
      <c r="N79">
        <v>26.74971031286211</v>
      </c>
      <c r="O79">
        <v>20254.880648899187</v>
      </c>
      <c r="P79">
        <v>5.5353075170842825</v>
      </c>
      <c r="Q79">
        <v>4191.334851936218</v>
      </c>
      <c r="R79">
        <v>27.884615384615383</v>
      </c>
      <c r="S79">
        <v>21114.230769230766</v>
      </c>
      <c r="T79">
        <v>6.270746887966804</v>
      </c>
      <c r="U79">
        <v>4748.2095435684632</v>
      </c>
      <c r="V79">
        <v>16.137295081967213</v>
      </c>
      <c r="W79">
        <v>12219.159836065573</v>
      </c>
      <c r="X79">
        <v>33.048433048433047</v>
      </c>
      <c r="Y79">
        <v>25024.2735042735</v>
      </c>
      <c r="Z79">
        <v>9.3042071197411005</v>
      </c>
      <c r="AA79">
        <v>7045.1456310679605</v>
      </c>
      <c r="AB79">
        <v>26.60377358490566</v>
      </c>
      <c r="AC79">
        <v>20144.377358490565</v>
      </c>
      <c r="AD79">
        <v>10.020942408376964</v>
      </c>
      <c r="AE79">
        <v>7587.8575916230366</v>
      </c>
      <c r="AF79">
        <v>14.25339366515837</v>
      </c>
      <c r="AG79">
        <v>10792.669683257916</v>
      </c>
      <c r="AH79">
        <v>26.564885496183205</v>
      </c>
      <c r="AI79">
        <v>20114.931297709922</v>
      </c>
      <c r="AJ79">
        <v>14.583333333333332</v>
      </c>
      <c r="AK79">
        <v>11042.499999999998</v>
      </c>
      <c r="AL79">
        <v>15.539112050739957</v>
      </c>
      <c r="AM79">
        <v>11766.215644820295</v>
      </c>
      <c r="AN79">
        <v>6.5892857142857144</v>
      </c>
      <c r="AO79">
        <v>4989.4071428571424</v>
      </c>
      <c r="AP79">
        <v>20.063211125158031</v>
      </c>
      <c r="AQ79">
        <v>15191.863463969659</v>
      </c>
      <c r="AR79">
        <v>25.264505119453926</v>
      </c>
      <c r="AS79">
        <v>19130.283276450511</v>
      </c>
      <c r="AT79">
        <v>14.934354485776806</v>
      </c>
      <c r="AU79">
        <v>11308.293216630196</v>
      </c>
      <c r="AV79">
        <v>14.641434262948207</v>
      </c>
      <c r="AW79">
        <v>11086.494023904381</v>
      </c>
      <c r="AX79">
        <v>11.380772855796419</v>
      </c>
      <c r="AY79">
        <v>8617.5212064090483</v>
      </c>
      <c r="AZ79">
        <v>22.554179566563466</v>
      </c>
      <c r="BA79">
        <v>17078.024767801853</v>
      </c>
      <c r="BB79">
        <v>17.979452054794521</v>
      </c>
      <c r="BC79">
        <v>13614.04109589041</v>
      </c>
      <c r="BD79">
        <v>6.1946902654867264</v>
      </c>
      <c r="BE79">
        <v>4690.6194690265493</v>
      </c>
      <c r="BF79">
        <v>27.028451001053742</v>
      </c>
      <c r="BG79">
        <v>20465.943097997893</v>
      </c>
      <c r="BH79">
        <v>6.6242038216560513</v>
      </c>
      <c r="BI79">
        <v>5015.8471337579613</v>
      </c>
      <c r="BJ79">
        <v>20.90909090909091</v>
      </c>
      <c r="BK79">
        <v>15832.363636363636</v>
      </c>
      <c r="BL79">
        <v>10.859232175502742</v>
      </c>
      <c r="BM79">
        <v>8222.6106032906755</v>
      </c>
      <c r="BN79">
        <v>17.844364937388193</v>
      </c>
      <c r="BO79">
        <v>13511.753130590338</v>
      </c>
      <c r="BP79">
        <v>19.77205153617443</v>
      </c>
      <c r="BQ79">
        <v>14971.397423191278</v>
      </c>
      <c r="BR79">
        <v>23.133116883116884</v>
      </c>
      <c r="BS79">
        <v>17516.396103896102</v>
      </c>
      <c r="BT79">
        <v>17.516778523489933</v>
      </c>
      <c r="BU79">
        <v>13263.704697986575</v>
      </c>
      <c r="BV79">
        <v>9.473684210526315</v>
      </c>
      <c r="BW79">
        <v>7173.4736842105249</v>
      </c>
      <c r="BX79">
        <v>15.107142857142856</v>
      </c>
      <c r="BY79">
        <v>11439.12857142857</v>
      </c>
      <c r="BZ79">
        <v>20.048845470692719</v>
      </c>
      <c r="CA79">
        <v>15180.985790408526</v>
      </c>
      <c r="CB79">
        <v>19.26605504587156</v>
      </c>
      <c r="CC79">
        <v>14588.256880733945</v>
      </c>
      <c r="CD79">
        <v>26.216653193209378</v>
      </c>
      <c r="CE79">
        <v>19851.249797898141</v>
      </c>
      <c r="CF79">
        <v>9.9539170506912455</v>
      </c>
      <c r="CG79">
        <v>7537.1059907834106</v>
      </c>
      <c r="CH79">
        <v>21.41732283464567</v>
      </c>
      <c r="CI79">
        <v>16217.196850393701</v>
      </c>
      <c r="CJ79">
        <v>19.285714285714285</v>
      </c>
      <c r="CK79">
        <v>14603.142857142855</v>
      </c>
      <c r="CL79">
        <v>24.961240310077518</v>
      </c>
      <c r="CM79">
        <v>18900.651162790695</v>
      </c>
      <c r="CN79">
        <v>20.142857142857142</v>
      </c>
      <c r="CO79">
        <v>15252.171428571426</v>
      </c>
      <c r="CP79">
        <v>9.621513944223107</v>
      </c>
      <c r="CQ79">
        <v>7285.4103585657358</v>
      </c>
      <c r="CR79">
        <v>13.104145601617796</v>
      </c>
      <c r="CS79">
        <v>9922.4590495449938</v>
      </c>
      <c r="CT79">
        <v>21.291428571428572</v>
      </c>
      <c r="CU79">
        <v>16121.869714285713</v>
      </c>
    </row>
    <row r="80" spans="2:99" x14ac:dyDescent="0.2">
      <c r="C80" s="116" t="s">
        <v>246</v>
      </c>
      <c r="D80">
        <v>2.4941094531993624</v>
      </c>
      <c r="E80">
        <v>2008.2569317161265</v>
      </c>
      <c r="F80">
        <v>17.549298701298699</v>
      </c>
      <c r="G80">
        <v>14130.695314285711</v>
      </c>
      <c r="H80">
        <v>9.6510520402010052</v>
      </c>
      <c r="I80">
        <v>7771.0271027698491</v>
      </c>
      <c r="J80">
        <v>17.414634146341463</v>
      </c>
      <c r="K80">
        <v>14022.263414634144</v>
      </c>
      <c r="L80">
        <v>16.869522882181112</v>
      </c>
      <c r="M80">
        <v>13583.339824732231</v>
      </c>
      <c r="N80">
        <v>24.768250289687138</v>
      </c>
      <c r="O80">
        <v>19943.395133256083</v>
      </c>
      <c r="P80">
        <v>5.740318906605923</v>
      </c>
      <c r="Q80">
        <v>4622.1047835990885</v>
      </c>
      <c r="R80">
        <v>25.096153846153847</v>
      </c>
      <c r="S80">
        <v>20207.423076923074</v>
      </c>
      <c r="T80">
        <v>6.0684647302904562</v>
      </c>
      <c r="U80">
        <v>4886.3278008298748</v>
      </c>
      <c r="V80">
        <v>17.751024590163937</v>
      </c>
      <c r="W80">
        <v>14293.125</v>
      </c>
      <c r="X80">
        <v>29.743589743589748</v>
      </c>
      <c r="Y80">
        <v>23949.538461538465</v>
      </c>
      <c r="Z80">
        <v>9.6763754045307451</v>
      </c>
      <c r="AA80">
        <v>7791.4174757281553</v>
      </c>
      <c r="AB80">
        <v>23.803376365441906</v>
      </c>
      <c r="AC80">
        <v>19166.47864945382</v>
      </c>
      <c r="AD80">
        <v>10.366492146596858</v>
      </c>
      <c r="AE80">
        <v>8347.0994764397892</v>
      </c>
      <c r="AF80">
        <v>12.55656108597285</v>
      </c>
      <c r="AG80">
        <v>10110.542986425338</v>
      </c>
      <c r="AH80">
        <v>22.769901853871318</v>
      </c>
      <c r="AI80">
        <v>18334.324972737184</v>
      </c>
      <c r="AJ80">
        <v>16.826923076923077</v>
      </c>
      <c r="AK80">
        <v>13549.038461538461</v>
      </c>
      <c r="AL80">
        <v>17.20401691331924</v>
      </c>
      <c r="AM80">
        <v>13852.674418604651</v>
      </c>
      <c r="AN80">
        <v>6.75</v>
      </c>
      <c r="AO80">
        <v>5435.0999999999995</v>
      </c>
      <c r="AP80">
        <v>19.190897597977244</v>
      </c>
      <c r="AQ80">
        <v>15452.510745891275</v>
      </c>
      <c r="AR80">
        <v>28.272184300341298</v>
      </c>
      <c r="AS80">
        <v>22764.762798634812</v>
      </c>
      <c r="AT80">
        <v>14.359956236323852</v>
      </c>
      <c r="AU80">
        <v>11562.636761487964</v>
      </c>
      <c r="AV80">
        <v>12.549800796812749</v>
      </c>
      <c r="AW80">
        <v>10105.099601593623</v>
      </c>
      <c r="AX80">
        <v>11.705937794533458</v>
      </c>
      <c r="AY80">
        <v>9425.6211121583401</v>
      </c>
      <c r="AZ80">
        <v>19.643962848297214</v>
      </c>
      <c r="BA80">
        <v>15817.318885448914</v>
      </c>
      <c r="BB80">
        <v>19.520547945205479</v>
      </c>
      <c r="BC80">
        <v>15717.945205479451</v>
      </c>
      <c r="BD80">
        <v>5.663716814159292</v>
      </c>
      <c r="BE80">
        <v>4560.4247787610611</v>
      </c>
      <c r="BF80">
        <v>27.028451001053742</v>
      </c>
      <c r="BG80">
        <v>21763.308746048471</v>
      </c>
      <c r="BH80">
        <v>7.2452229299363058</v>
      </c>
      <c r="BI80">
        <v>5833.8535031847132</v>
      </c>
      <c r="BJ80">
        <v>20.134680134680135</v>
      </c>
      <c r="BK80">
        <v>16212.444444444443</v>
      </c>
      <c r="BL80">
        <v>12.504570383912249</v>
      </c>
      <c r="BM80">
        <v>10068.680073126143</v>
      </c>
      <c r="BN80">
        <v>17.844364937388193</v>
      </c>
      <c r="BO80">
        <v>14368.282647584971</v>
      </c>
      <c r="BP80">
        <v>19.77205153617443</v>
      </c>
      <c r="BQ80">
        <v>15920.45589692765</v>
      </c>
      <c r="BR80">
        <v>25.90909090909091</v>
      </c>
      <c r="BS80">
        <v>20862</v>
      </c>
      <c r="BT80">
        <v>15.70469798657718</v>
      </c>
      <c r="BU80">
        <v>12645.422818791945</v>
      </c>
      <c r="BV80">
        <v>9.473684210526315</v>
      </c>
      <c r="BW80">
        <v>7628.2105263157882</v>
      </c>
      <c r="BX80">
        <v>13.5</v>
      </c>
      <c r="BY80">
        <v>10870.199999999999</v>
      </c>
      <c r="BZ80">
        <v>20.515097690941388</v>
      </c>
      <c r="CA80">
        <v>16518.756660746003</v>
      </c>
      <c r="CB80">
        <v>16.590214067278289</v>
      </c>
      <c r="CC80">
        <v>13358.440366972478</v>
      </c>
      <c r="CD80">
        <v>22.312045270816494</v>
      </c>
      <c r="CE80">
        <v>17965.658852061439</v>
      </c>
      <c r="CF80">
        <v>9.5391705069124431</v>
      </c>
      <c r="CG80">
        <v>7680.9400921658989</v>
      </c>
      <c r="CH80">
        <v>20.971128608923884</v>
      </c>
      <c r="CI80">
        <v>16885.95275590551</v>
      </c>
      <c r="CJ80">
        <v>21.696428571428573</v>
      </c>
      <c r="CK80">
        <v>17469.964285714286</v>
      </c>
      <c r="CL80">
        <v>28.527131782945737</v>
      </c>
      <c r="CM80">
        <v>22970.046511627905</v>
      </c>
      <c r="CN80">
        <v>20.982142857142858</v>
      </c>
      <c r="CO80">
        <v>16894.821428571428</v>
      </c>
      <c r="CP80">
        <v>10.308764940239044</v>
      </c>
      <c r="CQ80">
        <v>8300.6175298804774</v>
      </c>
      <c r="CR80">
        <v>13.104145601617796</v>
      </c>
      <c r="CS80">
        <v>10551.458038422648</v>
      </c>
      <c r="CT80">
        <v>20.502857142857142</v>
      </c>
      <c r="CU80">
        <v>16508.90057142857</v>
      </c>
    </row>
    <row r="81" spans="2:99" x14ac:dyDescent="0.2">
      <c r="C81" s="116" t="s">
        <v>247</v>
      </c>
      <c r="D81">
        <v>2.7521207759441242</v>
      </c>
      <c r="E81">
        <v>2073.9982167514922</v>
      </c>
      <c r="F81">
        <v>15.355636363636362</v>
      </c>
      <c r="G81">
        <v>11572.007563636364</v>
      </c>
      <c r="H81">
        <v>10.053179208542714</v>
      </c>
      <c r="I81">
        <v>7576.0758515577891</v>
      </c>
      <c r="J81">
        <v>16.390243902439025</v>
      </c>
      <c r="K81">
        <v>12351.687804878049</v>
      </c>
      <c r="L81">
        <v>15.847127555988315</v>
      </c>
      <c r="M81">
        <v>11942.395326192795</v>
      </c>
      <c r="N81">
        <v>24.768250289687138</v>
      </c>
      <c r="O81">
        <v>18665.353418308227</v>
      </c>
      <c r="P81">
        <v>5.5353075170842825</v>
      </c>
      <c r="Q81">
        <v>4171.4077448747157</v>
      </c>
      <c r="R81">
        <v>26.955128205128204</v>
      </c>
      <c r="S81">
        <v>20313.384615384617</v>
      </c>
      <c r="T81">
        <v>5.8661825726141084</v>
      </c>
      <c r="U81">
        <v>4420.7551867219918</v>
      </c>
      <c r="V81">
        <v>17.21311475409836</v>
      </c>
      <c r="W81">
        <v>12971.803278688525</v>
      </c>
      <c r="X81">
        <v>29.743589743589748</v>
      </c>
      <c r="Y81">
        <v>22414.769230769234</v>
      </c>
      <c r="Z81">
        <v>8.9320388349514559</v>
      </c>
      <c r="AA81">
        <v>6731.1844660194174</v>
      </c>
      <c r="AB81">
        <v>27.303872889771601</v>
      </c>
      <c r="AC81">
        <v>20576.19860973188</v>
      </c>
      <c r="AD81">
        <v>9.3298429319371738</v>
      </c>
      <c r="AE81">
        <v>7030.9696335078543</v>
      </c>
      <c r="AF81">
        <v>12.895927601809955</v>
      </c>
      <c r="AG81">
        <v>9718.3710407239832</v>
      </c>
      <c r="AH81">
        <v>26.564885496183205</v>
      </c>
      <c r="AI81">
        <v>20019.297709923663</v>
      </c>
      <c r="AJ81">
        <v>16.826923076923077</v>
      </c>
      <c r="AK81">
        <v>12680.76923076923</v>
      </c>
      <c r="AL81">
        <v>16.649048625792812</v>
      </c>
      <c r="AM81">
        <v>12546.723044397464</v>
      </c>
      <c r="AN81">
        <v>6.5892857142857144</v>
      </c>
      <c r="AO81">
        <v>4965.6857142857143</v>
      </c>
      <c r="AP81">
        <v>20.93552465233881</v>
      </c>
      <c r="AQ81">
        <v>15777.011378002528</v>
      </c>
      <c r="AR81">
        <v>25.866040955631398</v>
      </c>
      <c r="AS81">
        <v>19492.648464163824</v>
      </c>
      <c r="AT81">
        <v>14.934354485776806</v>
      </c>
      <c r="AU81">
        <v>11254.529540481402</v>
      </c>
      <c r="AV81">
        <v>12.549800796812749</v>
      </c>
      <c r="AW81">
        <v>9457.5298804780869</v>
      </c>
      <c r="AX81">
        <v>12.031102733270501</v>
      </c>
      <c r="AY81">
        <v>9066.6390197926503</v>
      </c>
      <c r="AZ81">
        <v>21.099071207430342</v>
      </c>
      <c r="BA81">
        <v>15900.260061919505</v>
      </c>
      <c r="BB81">
        <v>16.43835616438356</v>
      </c>
      <c r="BC81">
        <v>12387.945205479451</v>
      </c>
      <c r="BD81">
        <v>5.4867256637168147</v>
      </c>
      <c r="BE81">
        <v>4134.7964601769918</v>
      </c>
      <c r="BF81">
        <v>31.533192834562698</v>
      </c>
      <c r="BG81">
        <v>23763.41412012645</v>
      </c>
      <c r="BH81">
        <v>7.452229299363057</v>
      </c>
      <c r="BI81">
        <v>5616</v>
      </c>
      <c r="BJ81">
        <v>22.457912457912457</v>
      </c>
      <c r="BK81">
        <v>16924.282828282827</v>
      </c>
      <c r="BL81">
        <v>11.517367458866545</v>
      </c>
      <c r="BM81">
        <v>8679.4881170018289</v>
      </c>
      <c r="BN81">
        <v>20.661896243291594</v>
      </c>
      <c r="BO81">
        <v>15570.805008944546</v>
      </c>
      <c r="BP81">
        <v>19.25173439048563</v>
      </c>
      <c r="BQ81">
        <v>14508.107036669971</v>
      </c>
      <c r="BR81">
        <v>24.983766233766232</v>
      </c>
      <c r="BS81">
        <v>18827.766233766233</v>
      </c>
      <c r="BT81">
        <v>16.308724832214764</v>
      </c>
      <c r="BU81">
        <v>12290.255033557047</v>
      </c>
      <c r="BV81">
        <v>11.052631578947368</v>
      </c>
      <c r="BW81">
        <v>8329.2631578947367</v>
      </c>
      <c r="BX81">
        <v>15.749999999999998</v>
      </c>
      <c r="BY81">
        <v>11869.199999999999</v>
      </c>
      <c r="BZ81">
        <v>22.380106571936057</v>
      </c>
      <c r="CA81">
        <v>16865.648312611014</v>
      </c>
      <c r="CB81">
        <v>19.801223241590211</v>
      </c>
      <c r="CC81">
        <v>14922.201834862384</v>
      </c>
      <c r="CD81">
        <v>25.101050929668553</v>
      </c>
      <c r="CE81">
        <v>18916.151980598221</v>
      </c>
      <c r="CF81">
        <v>10.368663594470046</v>
      </c>
      <c r="CG81">
        <v>7813.824884792627</v>
      </c>
      <c r="CH81">
        <v>18.293963254593173</v>
      </c>
      <c r="CI81">
        <v>13786.330708661415</v>
      </c>
      <c r="CJ81">
        <v>22.178571428571427</v>
      </c>
      <c r="CK81">
        <v>16713.771428571428</v>
      </c>
      <c r="CL81">
        <v>25.555555555555554</v>
      </c>
      <c r="CM81">
        <v>19258.666666666664</v>
      </c>
      <c r="CN81">
        <v>23.5</v>
      </c>
      <c r="CO81">
        <v>17709.600000000002</v>
      </c>
      <c r="CP81">
        <v>10.652390438247012</v>
      </c>
      <c r="CQ81">
        <v>8027.6414342629487</v>
      </c>
      <c r="CR81">
        <v>12.012133468149646</v>
      </c>
      <c r="CS81">
        <v>9052.343781597574</v>
      </c>
      <c r="CT81">
        <v>19.714285714285715</v>
      </c>
      <c r="CU81">
        <v>14856.685714285715</v>
      </c>
    </row>
    <row r="82" spans="2:99" x14ac:dyDescent="0.2">
      <c r="C82" s="116" t="s">
        <v>248</v>
      </c>
      <c r="D82">
        <v>2.66611700169587</v>
      </c>
      <c r="E82">
        <v>1356.5203304628583</v>
      </c>
      <c r="F82">
        <v>15.355636363636362</v>
      </c>
      <c r="G82">
        <v>7812.9477818181795</v>
      </c>
      <c r="H82">
        <v>9.6510520402010052</v>
      </c>
      <c r="I82">
        <v>4910.4552780542708</v>
      </c>
      <c r="J82">
        <v>17.414634146341463</v>
      </c>
      <c r="K82">
        <v>8860.5658536585343</v>
      </c>
      <c r="L82">
        <v>17.891918208373905</v>
      </c>
      <c r="M82">
        <v>9103.4079844206408</v>
      </c>
      <c r="N82">
        <v>25.758980301274622</v>
      </c>
      <c r="O82">
        <v>13106.169177288526</v>
      </c>
      <c r="P82">
        <v>4.9202733485193626</v>
      </c>
      <c r="Q82">
        <v>2503.4350797266511</v>
      </c>
      <c r="R82">
        <v>24.166666666666664</v>
      </c>
      <c r="S82">
        <v>12295.999999999996</v>
      </c>
      <c r="T82">
        <v>6.4730290456431536</v>
      </c>
      <c r="U82">
        <v>3293.4771784232357</v>
      </c>
      <c r="V82">
        <v>16.675204918032787</v>
      </c>
      <c r="W82">
        <v>8484.3442622950806</v>
      </c>
      <c r="X82">
        <v>33.874643874643873</v>
      </c>
      <c r="Y82">
        <v>17235.418803418797</v>
      </c>
      <c r="Z82">
        <v>9.6763754045307451</v>
      </c>
      <c r="AA82">
        <v>4923.3398058252424</v>
      </c>
      <c r="AB82">
        <v>27.303872889771601</v>
      </c>
      <c r="AC82">
        <v>13892.210526315788</v>
      </c>
      <c r="AD82">
        <v>10.020942408376964</v>
      </c>
      <c r="AE82">
        <v>5098.6554973821985</v>
      </c>
      <c r="AF82">
        <v>13.914027149321267</v>
      </c>
      <c r="AG82">
        <v>7079.457013574659</v>
      </c>
      <c r="AH82">
        <v>24.667393675027263</v>
      </c>
      <c r="AI82">
        <v>12550.76990185387</v>
      </c>
      <c r="AJ82">
        <v>17.387820512820515</v>
      </c>
      <c r="AK82">
        <v>8846.9230769230762</v>
      </c>
      <c r="AL82">
        <v>19.423890063424949</v>
      </c>
      <c r="AM82">
        <v>9882.8752642706113</v>
      </c>
      <c r="AN82">
        <v>6.4285714285714279</v>
      </c>
      <c r="AO82">
        <v>3270.8571428571418</v>
      </c>
      <c r="AP82">
        <v>20.93552465233881</v>
      </c>
      <c r="AQ82">
        <v>10651.994943109985</v>
      </c>
      <c r="AR82">
        <v>29.475255972696242</v>
      </c>
      <c r="AS82">
        <v>14997.010238907846</v>
      </c>
      <c r="AT82">
        <v>16.657549234135669</v>
      </c>
      <c r="AU82">
        <v>8475.3610503282271</v>
      </c>
      <c r="AV82">
        <v>13.595617529880478</v>
      </c>
      <c r="AW82">
        <v>6917.4501992031855</v>
      </c>
      <c r="AX82">
        <v>12.35626767200754</v>
      </c>
      <c r="AY82">
        <v>6286.8689915174355</v>
      </c>
      <c r="AZ82">
        <v>23.28173374613003</v>
      </c>
      <c r="BA82">
        <v>11845.746130030957</v>
      </c>
      <c r="BB82">
        <v>17.979452054794521</v>
      </c>
      <c r="BC82">
        <v>9147.945205479451</v>
      </c>
      <c r="BD82">
        <v>6.3716814159292037</v>
      </c>
      <c r="BE82">
        <v>3241.9115044247783</v>
      </c>
      <c r="BF82">
        <v>33.335089567966286</v>
      </c>
      <c r="BG82">
        <v>16960.893572181241</v>
      </c>
      <c r="BH82">
        <v>7.0382165605095537</v>
      </c>
      <c r="BI82">
        <v>3581.0445859872602</v>
      </c>
      <c r="BJ82">
        <v>21.683501683501685</v>
      </c>
      <c r="BK82">
        <v>11032.565656565655</v>
      </c>
      <c r="BL82">
        <v>12.504570383912249</v>
      </c>
      <c r="BM82">
        <v>6362.3254113345511</v>
      </c>
      <c r="BN82">
        <v>21.13148479427549</v>
      </c>
      <c r="BO82">
        <v>10751.699463327368</v>
      </c>
      <c r="BP82">
        <v>22.373637264618434</v>
      </c>
      <c r="BQ82">
        <v>11383.706640237857</v>
      </c>
      <c r="BR82">
        <v>25.90909090909091</v>
      </c>
      <c r="BS82">
        <v>13182.545454545452</v>
      </c>
      <c r="BT82">
        <v>16.912751677852349</v>
      </c>
      <c r="BU82">
        <v>8605.2080536912727</v>
      </c>
      <c r="BV82">
        <v>9.8684210526315788</v>
      </c>
      <c r="BW82">
        <v>5021.0526315789466</v>
      </c>
      <c r="BX82">
        <v>14.785714285714286</v>
      </c>
      <c r="BY82">
        <v>7522.9714285714272</v>
      </c>
      <c r="BZ82">
        <v>23.312611012433393</v>
      </c>
      <c r="CA82">
        <v>11861.456483126109</v>
      </c>
      <c r="CB82">
        <v>20.871559633027523</v>
      </c>
      <c r="CC82">
        <v>10619.449541284403</v>
      </c>
      <c r="CD82">
        <v>26.216653193209378</v>
      </c>
      <c r="CE82">
        <v>13339.033144704928</v>
      </c>
      <c r="CF82">
        <v>9.9539170506912455</v>
      </c>
      <c r="CG82">
        <v>5064.5529953917048</v>
      </c>
      <c r="CH82">
        <v>20.971128608923884</v>
      </c>
      <c r="CI82">
        <v>10670.110236220469</v>
      </c>
      <c r="CJ82">
        <v>20.732142857142858</v>
      </c>
      <c r="CK82">
        <v>10548.514285714284</v>
      </c>
      <c r="CL82">
        <v>26.14987080103359</v>
      </c>
      <c r="CM82">
        <v>13305.054263565888</v>
      </c>
      <c r="CN82">
        <v>20.142857142857142</v>
      </c>
      <c r="CO82">
        <v>10248.685714285712</v>
      </c>
      <c r="CP82">
        <v>10.652390438247012</v>
      </c>
      <c r="CQ82">
        <v>5419.936254980079</v>
      </c>
      <c r="CR82">
        <v>12.012133468149646</v>
      </c>
      <c r="CS82">
        <v>6111.7735085945387</v>
      </c>
      <c r="CT82">
        <v>18.925714285714285</v>
      </c>
      <c r="CU82">
        <v>9629.403428571426</v>
      </c>
    </row>
    <row r="83" spans="2:99" x14ac:dyDescent="0.2">
      <c r="C83" s="116" t="s">
        <v>249</v>
      </c>
      <c r="D83">
        <v>2.8381245501923775</v>
      </c>
      <c r="E83">
        <v>2441.9223629855214</v>
      </c>
      <c r="F83">
        <v>15.355636363636362</v>
      </c>
      <c r="G83">
        <v>13211.989527272726</v>
      </c>
      <c r="H83">
        <v>10.455306376884424</v>
      </c>
      <c r="I83">
        <v>8995.7456066713585</v>
      </c>
      <c r="J83">
        <v>19.463414634146339</v>
      </c>
      <c r="K83">
        <v>16746.32195121951</v>
      </c>
      <c r="L83">
        <v>16.358325219084712</v>
      </c>
      <c r="M83">
        <v>14074.703018500486</v>
      </c>
      <c r="N83">
        <v>25.758980301274622</v>
      </c>
      <c r="O83">
        <v>22163.026651216685</v>
      </c>
      <c r="P83">
        <v>5.5353075170842825</v>
      </c>
      <c r="Q83">
        <v>4762.5785876993168</v>
      </c>
      <c r="R83">
        <v>26.025641025641026</v>
      </c>
      <c r="S83">
        <v>22392.461538461539</v>
      </c>
      <c r="T83">
        <v>6.0684647302904562</v>
      </c>
      <c r="U83">
        <v>5221.3070539419086</v>
      </c>
      <c r="V83">
        <v>18.288934426229506</v>
      </c>
      <c r="W83">
        <v>15735.799180327867</v>
      </c>
      <c r="X83">
        <v>29.743589743589748</v>
      </c>
      <c r="Y83">
        <v>25591.384615384617</v>
      </c>
      <c r="Z83">
        <v>9.3042071197411005</v>
      </c>
      <c r="AA83">
        <v>8005.3398058252424</v>
      </c>
      <c r="AB83">
        <v>23.103277060575966</v>
      </c>
      <c r="AC83">
        <v>19878.059582919559</v>
      </c>
      <c r="AD83">
        <v>10.366492146596858</v>
      </c>
      <c r="AE83">
        <v>8919.3298429319366</v>
      </c>
      <c r="AF83">
        <v>13.235294117647058</v>
      </c>
      <c r="AG83">
        <v>11387.647058823528</v>
      </c>
      <c r="AH83">
        <v>23.71864776444929</v>
      </c>
      <c r="AI83">
        <v>20407.524536532168</v>
      </c>
      <c r="AJ83">
        <v>16.266025641025642</v>
      </c>
      <c r="AK83">
        <v>13995.288461538463</v>
      </c>
      <c r="AL83">
        <v>16.094080338266384</v>
      </c>
      <c r="AM83">
        <v>13847.346723044397</v>
      </c>
      <c r="AN83">
        <v>6.2678571428571432</v>
      </c>
      <c r="AO83">
        <v>5392.8642857142859</v>
      </c>
      <c r="AP83">
        <v>21.807838179519592</v>
      </c>
      <c r="AQ83">
        <v>18763.463969658656</v>
      </c>
      <c r="AR83">
        <v>28.87372013651877</v>
      </c>
      <c r="AS83">
        <v>24842.94880546075</v>
      </c>
      <c r="AT83">
        <v>14.934354485776806</v>
      </c>
      <c r="AU83">
        <v>12849.518599562363</v>
      </c>
      <c r="AV83">
        <v>14.118525896414344</v>
      </c>
      <c r="AW83">
        <v>12147.579681274901</v>
      </c>
      <c r="AX83">
        <v>11.055607917059378</v>
      </c>
      <c r="AY83">
        <v>9512.2450518378882</v>
      </c>
      <c r="AZ83">
        <v>21.099071207430342</v>
      </c>
      <c r="BA83">
        <v>18153.640866873066</v>
      </c>
      <c r="BB83">
        <v>19.006849315068493</v>
      </c>
      <c r="BC83">
        <v>16353.493150684932</v>
      </c>
      <c r="BD83">
        <v>6.3716814159292037</v>
      </c>
      <c r="BE83">
        <v>5482.1946902654863</v>
      </c>
      <c r="BF83">
        <v>27.929399367755529</v>
      </c>
      <c r="BG83">
        <v>24030.455216016857</v>
      </c>
      <c r="BH83">
        <v>7.2452229299363058</v>
      </c>
      <c r="BI83">
        <v>6233.7898089171977</v>
      </c>
      <c r="BJ83">
        <v>19.36026936026936</v>
      </c>
      <c r="BK83">
        <v>16657.575757575756</v>
      </c>
      <c r="BL83">
        <v>12.175502742230348</v>
      </c>
      <c r="BM83">
        <v>10475.802559414991</v>
      </c>
      <c r="BN83">
        <v>18.313953488372093</v>
      </c>
      <c r="BO83">
        <v>15757.325581395347</v>
      </c>
      <c r="BP83">
        <v>18.731417244796827</v>
      </c>
      <c r="BQ83">
        <v>16116.51139742319</v>
      </c>
      <c r="BR83">
        <v>25.90909090909091</v>
      </c>
      <c r="BS83">
        <v>22292.18181818182</v>
      </c>
      <c r="BT83">
        <v>15.70469798657718</v>
      </c>
      <c r="BU83">
        <v>13512.322147651006</v>
      </c>
      <c r="BV83">
        <v>9.8684210526315788</v>
      </c>
      <c r="BW83">
        <v>8490.78947368421</v>
      </c>
      <c r="BX83">
        <v>15.107142857142856</v>
      </c>
      <c r="BY83">
        <v>12998.185714285713</v>
      </c>
      <c r="BZ83">
        <v>22.380106571936057</v>
      </c>
      <c r="CA83">
        <v>19255.843694493782</v>
      </c>
      <c r="CB83">
        <v>19.26605504587156</v>
      </c>
      <c r="CC83">
        <v>16576.51376146789</v>
      </c>
      <c r="CD83">
        <v>24.543249797898142</v>
      </c>
      <c r="CE83">
        <v>21117.01212611156</v>
      </c>
      <c r="CF83">
        <v>11.198156682027649</v>
      </c>
      <c r="CG83">
        <v>9634.8940092165885</v>
      </c>
      <c r="CH83">
        <v>18.740157480314959</v>
      </c>
      <c r="CI83">
        <v>16124.031496062991</v>
      </c>
      <c r="CJ83">
        <v>20.25</v>
      </c>
      <c r="CK83">
        <v>17423.099999999999</v>
      </c>
      <c r="CL83">
        <v>26.744186046511629</v>
      </c>
      <c r="CM83">
        <v>23010.697674418607</v>
      </c>
      <c r="CN83">
        <v>23.5</v>
      </c>
      <c r="CO83">
        <v>20219.399999999998</v>
      </c>
      <c r="CP83">
        <v>10.652390438247012</v>
      </c>
      <c r="CQ83">
        <v>9165.3167330677297</v>
      </c>
      <c r="CR83">
        <v>12.376137512639028</v>
      </c>
      <c r="CS83">
        <v>10648.428715874619</v>
      </c>
      <c r="CT83">
        <v>20.502857142857142</v>
      </c>
      <c r="CU83">
        <v>17640.658285714286</v>
      </c>
    </row>
    <row r="84" spans="2:99" x14ac:dyDescent="0.2">
      <c r="C84" s="116" t="s">
        <v>250</v>
      </c>
      <c r="D84">
        <v>3.0101320986888851</v>
      </c>
      <c r="E84">
        <v>2351.5151954957569</v>
      </c>
      <c r="F84">
        <v>18.280519480519477</v>
      </c>
      <c r="G84">
        <v>14280.741818181814</v>
      </c>
      <c r="H84">
        <v>10.053179208542714</v>
      </c>
      <c r="I84">
        <v>7853.5435977135676</v>
      </c>
      <c r="J84">
        <v>17.926829268292686</v>
      </c>
      <c r="K84">
        <v>14004.439024390245</v>
      </c>
      <c r="L84">
        <v>15.847127555988315</v>
      </c>
      <c r="M84">
        <v>12379.77604673807</v>
      </c>
      <c r="N84">
        <v>28.731170336037081</v>
      </c>
      <c r="O84">
        <v>22444.790266512166</v>
      </c>
      <c r="P84">
        <v>5.3302961275626428</v>
      </c>
      <c r="Q84">
        <v>4164.0273348519358</v>
      </c>
      <c r="R84">
        <v>26.025641025641026</v>
      </c>
      <c r="S84">
        <v>20331.230769230766</v>
      </c>
      <c r="T84">
        <v>5.8661825726141084</v>
      </c>
      <c r="U84">
        <v>4582.6618257261407</v>
      </c>
      <c r="V84">
        <v>17.21311475409836</v>
      </c>
      <c r="W84">
        <v>13446.885245901638</v>
      </c>
      <c r="X84">
        <v>32.222222222222221</v>
      </c>
      <c r="Y84">
        <v>25171.999999999996</v>
      </c>
      <c r="Z84">
        <v>8.9320388349514559</v>
      </c>
      <c r="AA84">
        <v>6977.7087378640763</v>
      </c>
      <c r="AB84">
        <v>23.803376365441906</v>
      </c>
      <c r="AC84">
        <v>18595.197616683214</v>
      </c>
      <c r="AD84">
        <v>10.366492146596858</v>
      </c>
      <c r="AE84">
        <v>8098.3036649214646</v>
      </c>
      <c r="AF84">
        <v>13.235294117647058</v>
      </c>
      <c r="AG84">
        <v>10339.411764705881</v>
      </c>
      <c r="AH84">
        <v>27.513631406761181</v>
      </c>
      <c r="AI84">
        <v>21493.648854961833</v>
      </c>
      <c r="AJ84">
        <v>16.826923076923077</v>
      </c>
      <c r="AK84">
        <v>13145.192307692307</v>
      </c>
      <c r="AL84">
        <v>17.20401691331924</v>
      </c>
      <c r="AM84">
        <v>13439.778012684988</v>
      </c>
      <c r="AN84">
        <v>6.2678571428571432</v>
      </c>
      <c r="AO84">
        <v>4896.45</v>
      </c>
      <c r="AP84">
        <v>20.93552465233881</v>
      </c>
      <c r="AQ84">
        <v>16354.831858407077</v>
      </c>
      <c r="AR84">
        <v>27.06911262798635</v>
      </c>
      <c r="AS84">
        <v>21146.390784982934</v>
      </c>
      <c r="AT84">
        <v>15.508752735229761</v>
      </c>
      <c r="AU84">
        <v>12115.437636761488</v>
      </c>
      <c r="AV84">
        <v>14.118525896414344</v>
      </c>
      <c r="AW84">
        <v>11029.392430278884</v>
      </c>
      <c r="AX84">
        <v>11.055607917059378</v>
      </c>
      <c r="AY84">
        <v>8636.6409048067853</v>
      </c>
      <c r="AZ84">
        <v>20.371517027863778</v>
      </c>
      <c r="BA84">
        <v>15914.229102167183</v>
      </c>
      <c r="BB84">
        <v>16.952054794520546</v>
      </c>
      <c r="BC84">
        <v>13242.945205479449</v>
      </c>
      <c r="BD84">
        <v>5.663716814159292</v>
      </c>
      <c r="BE84">
        <v>4424.4955752212381</v>
      </c>
      <c r="BF84">
        <v>27.028451001053742</v>
      </c>
      <c r="BG84">
        <v>21114.62592202318</v>
      </c>
      <c r="BH84">
        <v>7.6592356687898082</v>
      </c>
      <c r="BI84">
        <v>5983.3949044585979</v>
      </c>
      <c r="BJ84">
        <v>22.457912457912457</v>
      </c>
      <c r="BK84">
        <v>17544.121212121208</v>
      </c>
      <c r="BL84">
        <v>11.846435100548446</v>
      </c>
      <c r="BM84">
        <v>9254.4351005484441</v>
      </c>
      <c r="BN84">
        <v>20.661896243291594</v>
      </c>
      <c r="BO84">
        <v>16141.073345259392</v>
      </c>
      <c r="BP84">
        <v>18.731417244796827</v>
      </c>
      <c r="BQ84">
        <v>14632.983151635281</v>
      </c>
      <c r="BR84">
        <v>25.90909090909091</v>
      </c>
      <c r="BS84">
        <v>20240.181818181816</v>
      </c>
      <c r="BT84">
        <v>16.912751677852349</v>
      </c>
      <c r="BU84">
        <v>13212.241610738254</v>
      </c>
      <c r="BV84">
        <v>10.657894736842106</v>
      </c>
      <c r="BW84">
        <v>8325.9473684210534</v>
      </c>
      <c r="BX84">
        <v>13.178571428571429</v>
      </c>
      <c r="BY84">
        <v>10295.099999999999</v>
      </c>
      <c r="BZ84">
        <v>20.515097690941388</v>
      </c>
      <c r="CA84">
        <v>16026.394316163411</v>
      </c>
      <c r="CB84">
        <v>19.26605504587156</v>
      </c>
      <c r="CC84">
        <v>15050.642201834862</v>
      </c>
      <c r="CD84">
        <v>24.543249797898142</v>
      </c>
      <c r="CE84">
        <v>19173.186742118025</v>
      </c>
      <c r="CF84">
        <v>9.9539170506912455</v>
      </c>
      <c r="CG84">
        <v>7776</v>
      </c>
      <c r="CH84">
        <v>18.740157480314959</v>
      </c>
      <c r="CI84">
        <v>14639.811023622045</v>
      </c>
      <c r="CJ84">
        <v>21.696428571428573</v>
      </c>
      <c r="CK84">
        <v>16949.25</v>
      </c>
      <c r="CL84">
        <v>26.14987080103359</v>
      </c>
      <c r="CM84">
        <v>20428.279069767439</v>
      </c>
      <c r="CN84">
        <v>21.821428571428573</v>
      </c>
      <c r="CO84">
        <v>17046.900000000001</v>
      </c>
      <c r="CP84">
        <v>10.308764940239044</v>
      </c>
      <c r="CQ84">
        <v>8053.2071713147407</v>
      </c>
      <c r="CR84">
        <v>13.104145601617796</v>
      </c>
      <c r="CS84">
        <v>10236.958543983821</v>
      </c>
      <c r="CT84">
        <v>21.291428571428572</v>
      </c>
      <c r="CU84">
        <v>16632.863999999998</v>
      </c>
    </row>
    <row r="85" spans="2:99" x14ac:dyDescent="0.2">
      <c r="C85" s="116" t="s">
        <v>251</v>
      </c>
      <c r="D85">
        <v>2.8381245501923775</v>
      </c>
      <c r="E85">
        <v>425.71868252885662</v>
      </c>
      <c r="F85">
        <v>19.011740259740257</v>
      </c>
      <c r="G85">
        <v>2851.7610389610386</v>
      </c>
      <c r="H85">
        <v>9.6510520402010052</v>
      </c>
      <c r="I85">
        <v>1447.6578060301508</v>
      </c>
      <c r="J85">
        <v>17.926829268292686</v>
      </c>
      <c r="K85">
        <v>2689.0243902439029</v>
      </c>
      <c r="L85">
        <v>15.847127555988315</v>
      </c>
      <c r="M85">
        <v>2377.0691333982472</v>
      </c>
      <c r="N85">
        <v>29.721900347624569</v>
      </c>
      <c r="O85">
        <v>4458.2850521436849</v>
      </c>
      <c r="P85">
        <v>5.1252847380410023</v>
      </c>
      <c r="Q85">
        <v>768.79271070615039</v>
      </c>
      <c r="R85">
        <v>26.955128205128204</v>
      </c>
      <c r="S85">
        <v>4043.2692307692305</v>
      </c>
      <c r="T85">
        <v>6.270746887966804</v>
      </c>
      <c r="U85">
        <v>940.61203319502056</v>
      </c>
      <c r="V85">
        <v>18.288934426229506</v>
      </c>
      <c r="W85">
        <v>2743.3401639344261</v>
      </c>
      <c r="X85">
        <v>38.005698005698008</v>
      </c>
      <c r="Y85">
        <v>5700.8547008547012</v>
      </c>
      <c r="Z85">
        <v>9.6763754045307451</v>
      </c>
      <c r="AA85">
        <v>1451.4563106796118</v>
      </c>
      <c r="AB85">
        <v>25.203574975173787</v>
      </c>
      <c r="AC85">
        <v>3780.5362462760681</v>
      </c>
      <c r="AD85">
        <v>11.403141361256544</v>
      </c>
      <c r="AE85">
        <v>1710.4712041884816</v>
      </c>
      <c r="AF85">
        <v>15.610859728506787</v>
      </c>
      <c r="AG85">
        <v>2341.6289592760181</v>
      </c>
      <c r="AH85">
        <v>28.462377317339151</v>
      </c>
      <c r="AI85">
        <v>4269.3565976008722</v>
      </c>
      <c r="AJ85">
        <v>18.509615384615383</v>
      </c>
      <c r="AK85">
        <v>2776.4423076923076</v>
      </c>
      <c r="AL85">
        <v>16.649048625792812</v>
      </c>
      <c r="AM85">
        <v>2497.3572938689217</v>
      </c>
      <c r="AN85">
        <v>7.2321428571428577</v>
      </c>
      <c r="AO85">
        <v>1084.8214285714287</v>
      </c>
      <c r="AP85">
        <v>23.552465233881161</v>
      </c>
      <c r="AQ85">
        <v>3532.8697850821741</v>
      </c>
      <c r="AR85">
        <v>30.076791808873722</v>
      </c>
      <c r="AS85">
        <v>4511.5187713310579</v>
      </c>
      <c r="AT85">
        <v>15.508752735229761</v>
      </c>
      <c r="AU85">
        <v>2326.3129102844641</v>
      </c>
      <c r="AV85">
        <v>15.687250996015937</v>
      </c>
      <c r="AW85">
        <v>2353.0876494023905</v>
      </c>
      <c r="AX85">
        <v>14.632422243166824</v>
      </c>
      <c r="AY85">
        <v>2194.8633364750235</v>
      </c>
      <c r="AZ85">
        <v>23.28173374613003</v>
      </c>
      <c r="BA85">
        <v>3492.2600619195046</v>
      </c>
      <c r="BB85">
        <v>21.575342465753423</v>
      </c>
      <c r="BC85">
        <v>3236.3013698630134</v>
      </c>
      <c r="BD85">
        <v>6.72566371681416</v>
      </c>
      <c r="BE85">
        <v>1008.849557522124</v>
      </c>
      <c r="BF85">
        <v>32.434141201264488</v>
      </c>
      <c r="BG85">
        <v>4865.1211801896734</v>
      </c>
      <c r="BH85">
        <v>7.0382165605095537</v>
      </c>
      <c r="BI85">
        <v>1055.7324840764331</v>
      </c>
      <c r="BJ85">
        <v>20.90909090909091</v>
      </c>
      <c r="BK85">
        <v>3136.3636363636365</v>
      </c>
      <c r="BL85">
        <v>12.504570383912249</v>
      </c>
      <c r="BM85">
        <v>1875.6855575868374</v>
      </c>
      <c r="BN85">
        <v>20.192307692307693</v>
      </c>
      <c r="BO85">
        <v>3028.8461538461538</v>
      </c>
      <c r="BP85">
        <v>21.333002973240831</v>
      </c>
      <c r="BQ85">
        <v>3199.9504459861246</v>
      </c>
      <c r="BR85">
        <v>27.759740259740258</v>
      </c>
      <c r="BS85">
        <v>4163.9610389610389</v>
      </c>
      <c r="BT85">
        <v>19.328859060402685</v>
      </c>
      <c r="BU85">
        <v>2899.3288590604029</v>
      </c>
      <c r="BV85">
        <v>10.263157894736842</v>
      </c>
      <c r="BW85">
        <v>1539.4736842105265</v>
      </c>
      <c r="BX85">
        <v>16.071428571428573</v>
      </c>
      <c r="BY85">
        <v>2410.7142857142858</v>
      </c>
      <c r="BZ85">
        <v>22.846358792184724</v>
      </c>
      <c r="CA85">
        <v>3426.9538188277083</v>
      </c>
      <c r="CB85">
        <v>21.406727828746178</v>
      </c>
      <c r="CC85">
        <v>3211.0091743119265</v>
      </c>
      <c r="CD85">
        <v>24.543249797898142</v>
      </c>
      <c r="CE85">
        <v>3681.4874696847214</v>
      </c>
      <c r="CF85">
        <v>11.198156682027649</v>
      </c>
      <c r="CG85">
        <v>1679.7235023041474</v>
      </c>
      <c r="CH85">
        <v>20.524934383202101</v>
      </c>
      <c r="CI85">
        <v>3078.7401574803152</v>
      </c>
      <c r="CJ85">
        <v>21.214285714285715</v>
      </c>
      <c r="CK85">
        <v>3182.1428571428573</v>
      </c>
      <c r="CL85">
        <v>26.744186046511629</v>
      </c>
      <c r="CM85">
        <v>4011.6279069767443</v>
      </c>
      <c r="CN85">
        <v>25.178571428571427</v>
      </c>
      <c r="CO85">
        <v>3776.7857142857142</v>
      </c>
      <c r="CP85">
        <v>10.652390438247012</v>
      </c>
      <c r="CQ85">
        <v>1597.8585657370518</v>
      </c>
      <c r="CR85">
        <v>13.104145601617796</v>
      </c>
      <c r="CS85">
        <v>1965.6218402426694</v>
      </c>
      <c r="CT85">
        <v>19.714285714285715</v>
      </c>
      <c r="CU85">
        <v>2957.1428571428573</v>
      </c>
    </row>
    <row r="86" spans="2:99" x14ac:dyDescent="0.2">
      <c r="C86" s="116" t="s">
        <v>252</v>
      </c>
      <c r="D86">
        <v>2.5801132274476162</v>
      </c>
      <c r="E86">
        <v>1393.2611428217128</v>
      </c>
      <c r="F86">
        <v>16.818077922077922</v>
      </c>
      <c r="G86">
        <v>9081.7620779220779</v>
      </c>
      <c r="H86">
        <v>11.25956071356784</v>
      </c>
      <c r="I86">
        <v>6080.1627853266336</v>
      </c>
      <c r="J86">
        <v>19.463414634146339</v>
      </c>
      <c r="K86">
        <v>10510.243902439022</v>
      </c>
      <c r="L86">
        <v>18.403115871470302</v>
      </c>
      <c r="M86">
        <v>9937.6825705939627</v>
      </c>
      <c r="N86">
        <v>26.74971031286211</v>
      </c>
      <c r="O86">
        <v>14444.84356894554</v>
      </c>
      <c r="P86">
        <v>5.5353075170842825</v>
      </c>
      <c r="Q86">
        <v>2989.0660592255126</v>
      </c>
      <c r="R86">
        <v>26.025641025641026</v>
      </c>
      <c r="S86">
        <v>14053.846153846154</v>
      </c>
      <c r="T86">
        <v>6.0684647302904562</v>
      </c>
      <c r="U86">
        <v>3276.9709543568465</v>
      </c>
      <c r="V86">
        <v>17.751024590163937</v>
      </c>
      <c r="W86">
        <v>9585.5532786885251</v>
      </c>
      <c r="X86">
        <v>31.396011396011392</v>
      </c>
      <c r="Y86">
        <v>16953.846153846152</v>
      </c>
      <c r="Z86">
        <v>10.792880258899677</v>
      </c>
      <c r="AA86">
        <v>5828.1553398058259</v>
      </c>
      <c r="AB86">
        <v>25.903674280039723</v>
      </c>
      <c r="AC86">
        <v>13987.984111221451</v>
      </c>
      <c r="AD86">
        <v>9.6753926701570681</v>
      </c>
      <c r="AE86">
        <v>5224.7120418848172</v>
      </c>
      <c r="AF86">
        <v>12.55656108597285</v>
      </c>
      <c r="AG86">
        <v>6780.5429864253392</v>
      </c>
      <c r="AH86">
        <v>24.667393675027263</v>
      </c>
      <c r="AI86">
        <v>13320.392584514722</v>
      </c>
      <c r="AJ86">
        <v>15.705128205128206</v>
      </c>
      <c r="AK86">
        <v>8480.7692307692305</v>
      </c>
      <c r="AL86">
        <v>18.313953488372093</v>
      </c>
      <c r="AM86">
        <v>9889.5348837209294</v>
      </c>
      <c r="AN86">
        <v>6.9107142857142865</v>
      </c>
      <c r="AO86">
        <v>3731.7857142857147</v>
      </c>
      <c r="AP86">
        <v>20.93552465233881</v>
      </c>
      <c r="AQ86">
        <v>11305.183312262958</v>
      </c>
      <c r="AR86">
        <v>25.264505119453926</v>
      </c>
      <c r="AS86">
        <v>13642.832764505119</v>
      </c>
      <c r="AT86">
        <v>16.083150984682714</v>
      </c>
      <c r="AU86">
        <v>8684.9015317286648</v>
      </c>
      <c r="AV86">
        <v>13.072709163346612</v>
      </c>
      <c r="AW86">
        <v>7059.2629482071707</v>
      </c>
      <c r="AX86">
        <v>13.656927426955702</v>
      </c>
      <c r="AY86">
        <v>7374.7408105560789</v>
      </c>
      <c r="AZ86">
        <v>21.826625386996906</v>
      </c>
      <c r="BA86">
        <v>11786.377708978329</v>
      </c>
      <c r="BB86">
        <v>20.547945205479451</v>
      </c>
      <c r="BC86">
        <v>11095.890410958904</v>
      </c>
      <c r="BD86">
        <v>5.663716814159292</v>
      </c>
      <c r="BE86">
        <v>3058.4070796460178</v>
      </c>
      <c r="BF86">
        <v>30.632244467860907</v>
      </c>
      <c r="BG86">
        <v>16541.412012644891</v>
      </c>
      <c r="BH86">
        <v>7.8662420382165603</v>
      </c>
      <c r="BI86">
        <v>4247.7707006369428</v>
      </c>
      <c r="BJ86">
        <v>22.457912457912457</v>
      </c>
      <c r="BK86">
        <v>12127.272727272726</v>
      </c>
      <c r="BL86">
        <v>11.188299817184644</v>
      </c>
      <c r="BM86">
        <v>6041.6819012797077</v>
      </c>
      <c r="BN86">
        <v>20.661896243291594</v>
      </c>
      <c r="BO86">
        <v>11157.42397137746</v>
      </c>
      <c r="BP86">
        <v>20.812685827552031</v>
      </c>
      <c r="BQ86">
        <v>11238.850346878096</v>
      </c>
      <c r="BR86">
        <v>24.983766233766232</v>
      </c>
      <c r="BS86">
        <v>13491.233766233765</v>
      </c>
      <c r="BT86">
        <v>17.516778523489933</v>
      </c>
      <c r="BU86">
        <v>9459.0604026845631</v>
      </c>
      <c r="BV86">
        <v>9.8684210526315788</v>
      </c>
      <c r="BW86">
        <v>5328.9473684210525</v>
      </c>
      <c r="BX86">
        <v>15.107142857142856</v>
      </c>
      <c r="BY86">
        <v>8157.8571428571422</v>
      </c>
      <c r="BZ86">
        <v>23.77886323268206</v>
      </c>
      <c r="CA86">
        <v>12840.586145648313</v>
      </c>
      <c r="CB86">
        <v>18.730886850152906</v>
      </c>
      <c r="CC86">
        <v>10114.67889908257</v>
      </c>
      <c r="CD86">
        <v>22.869846402586901</v>
      </c>
      <c r="CE86">
        <v>12349.717057396927</v>
      </c>
      <c r="CF86">
        <v>9.5391705069124431</v>
      </c>
      <c r="CG86">
        <v>5151.1520737327191</v>
      </c>
      <c r="CH86">
        <v>21.863517060367457</v>
      </c>
      <c r="CI86">
        <v>11806.299212598427</v>
      </c>
      <c r="CJ86">
        <v>21.696428571428573</v>
      </c>
      <c r="CK86">
        <v>11716.071428571429</v>
      </c>
      <c r="CL86">
        <v>24.961240310077518</v>
      </c>
      <c r="CM86">
        <v>13479.069767441859</v>
      </c>
      <c r="CN86">
        <v>22.660714285714285</v>
      </c>
      <c r="CO86">
        <v>12236.785714285714</v>
      </c>
      <c r="CP86">
        <v>10.652390438247012</v>
      </c>
      <c r="CQ86">
        <v>5752.2908366533866</v>
      </c>
      <c r="CR86">
        <v>12.012133468149646</v>
      </c>
      <c r="CS86">
        <v>6486.5520728008087</v>
      </c>
      <c r="CT86">
        <v>18.925714285714285</v>
      </c>
      <c r="CU86">
        <v>10219.885714285714</v>
      </c>
    </row>
    <row r="87" spans="2:99" x14ac:dyDescent="0.2">
      <c r="B87" s="116" t="s">
        <v>131</v>
      </c>
      <c r="C87" s="116" t="s">
        <v>253</v>
      </c>
      <c r="D87">
        <v>1.1180490652273003</v>
      </c>
      <c r="E87">
        <v>2185.5623127063268</v>
      </c>
      <c r="F87">
        <v>14.624415584415585</v>
      </c>
      <c r="G87">
        <v>28587.807584415586</v>
      </c>
      <c r="H87">
        <v>9.2489248718592965</v>
      </c>
      <c r="I87">
        <v>18079.798339510551</v>
      </c>
      <c r="J87">
        <v>9.7317073170731696</v>
      </c>
      <c r="K87">
        <v>19023.541463414633</v>
      </c>
      <c r="L87">
        <v>12.268743914313534</v>
      </c>
      <c r="M87">
        <v>23982.940603700095</v>
      </c>
      <c r="N87">
        <v>22.786790266512167</v>
      </c>
      <c r="O87">
        <v>44543.617612977985</v>
      </c>
      <c r="P87">
        <v>3.4851936218678818</v>
      </c>
      <c r="Q87">
        <v>6812.8564920273357</v>
      </c>
      <c r="R87">
        <v>15.801282051282053</v>
      </c>
      <c r="S87">
        <v>30888.346153846156</v>
      </c>
      <c r="T87">
        <v>2.4273858921161824</v>
      </c>
      <c r="U87">
        <v>4745.0539419087136</v>
      </c>
      <c r="V87">
        <v>11.834016393442623</v>
      </c>
      <c r="W87">
        <v>23133.135245901638</v>
      </c>
      <c r="X87">
        <v>12.393162393162394</v>
      </c>
      <c r="Y87">
        <v>24226.153846153848</v>
      </c>
      <c r="Z87">
        <v>7.4433656957928811</v>
      </c>
      <c r="AA87">
        <v>14550.291262135923</v>
      </c>
      <c r="AB87">
        <v>16.802383316782525</v>
      </c>
      <c r="AC87">
        <v>32845.29890764648</v>
      </c>
      <c r="AD87">
        <v>6.9109947643979064</v>
      </c>
      <c r="AE87">
        <v>13509.612565445028</v>
      </c>
      <c r="AF87">
        <v>7.4660633484162888</v>
      </c>
      <c r="AG87">
        <v>14594.660633484162</v>
      </c>
      <c r="AH87">
        <v>22.769901853871318</v>
      </c>
      <c r="AI87">
        <v>44510.604143947654</v>
      </c>
      <c r="AJ87">
        <v>14.022435897435896</v>
      </c>
      <c r="AK87">
        <v>27411.057692307688</v>
      </c>
      <c r="AL87">
        <v>9.4344608879492586</v>
      </c>
      <c r="AM87">
        <v>18442.484143763209</v>
      </c>
      <c r="AN87">
        <v>2.8928571428571423</v>
      </c>
      <c r="AO87">
        <v>5654.9571428571417</v>
      </c>
      <c r="AP87">
        <v>14.829329962073324</v>
      </c>
      <c r="AQ87">
        <v>28988.374209860933</v>
      </c>
      <c r="AR87">
        <v>14.436860068259385</v>
      </c>
      <c r="AS87">
        <v>28221.174061433445</v>
      </c>
      <c r="AT87">
        <v>7.4671772428884031</v>
      </c>
      <c r="AU87">
        <v>14596.838074398251</v>
      </c>
      <c r="AV87">
        <v>14.641434262948207</v>
      </c>
      <c r="AW87">
        <v>28621.075697211156</v>
      </c>
      <c r="AX87">
        <v>6.8284637134778512</v>
      </c>
      <c r="AY87">
        <v>13348.280867106503</v>
      </c>
      <c r="AZ87">
        <v>17.461300309597526</v>
      </c>
      <c r="BA87">
        <v>34133.349845201243</v>
      </c>
      <c r="BB87">
        <v>11.815068493150685</v>
      </c>
      <c r="BC87">
        <v>23096.095890410958</v>
      </c>
      <c r="BD87">
        <v>2.3008849557522124</v>
      </c>
      <c r="BE87">
        <v>4497.7699115044243</v>
      </c>
      <c r="BF87">
        <v>10.811380400421497</v>
      </c>
      <c r="BG87">
        <v>21134.08640674394</v>
      </c>
      <c r="BH87">
        <v>3.5191082802547768</v>
      </c>
      <c r="BI87">
        <v>6879.1528662420378</v>
      </c>
      <c r="BJ87">
        <v>12.390572390572391</v>
      </c>
      <c r="BK87">
        <v>24221.090909090908</v>
      </c>
      <c r="BL87">
        <v>6.581352833638026</v>
      </c>
      <c r="BM87">
        <v>12865.228519195613</v>
      </c>
      <c r="BN87">
        <v>9.3917710196779964</v>
      </c>
      <c r="BO87">
        <v>18359.033989266547</v>
      </c>
      <c r="BP87">
        <v>8.3250743310208133</v>
      </c>
      <c r="BQ87">
        <v>16273.855302279486</v>
      </c>
      <c r="BR87">
        <v>20.357142857142858</v>
      </c>
      <c r="BS87">
        <v>39794.142857142855</v>
      </c>
      <c r="BT87">
        <v>11.476510067114095</v>
      </c>
      <c r="BU87">
        <v>22434.281879194634</v>
      </c>
      <c r="BV87">
        <v>9.8684210526315788</v>
      </c>
      <c r="BW87">
        <v>19290.78947368421</v>
      </c>
      <c r="BX87">
        <v>6.4285714285714279</v>
      </c>
      <c r="BY87">
        <v>12566.571428571428</v>
      </c>
      <c r="BZ87">
        <v>7.9262877442273538</v>
      </c>
      <c r="CA87">
        <v>15494.307282415632</v>
      </c>
      <c r="CB87">
        <v>11.773700305810397</v>
      </c>
      <c r="CC87">
        <v>23015.229357798165</v>
      </c>
      <c r="CD87">
        <v>13.387227162489896</v>
      </c>
      <c r="CE87">
        <v>26169.351657235249</v>
      </c>
      <c r="CF87">
        <v>9.9539170506912455</v>
      </c>
      <c r="CG87">
        <v>19457.917050691245</v>
      </c>
      <c r="CH87">
        <v>7.1391076115485568</v>
      </c>
      <c r="CI87">
        <v>13955.527559055119</v>
      </c>
      <c r="CJ87">
        <v>8.1964285714285712</v>
      </c>
      <c r="CK87">
        <v>16022.378571428571</v>
      </c>
      <c r="CL87">
        <v>8.9147286821705425</v>
      </c>
      <c r="CM87">
        <v>17426.511627906977</v>
      </c>
      <c r="CN87">
        <v>12.589285714285714</v>
      </c>
      <c r="CO87">
        <v>24609.535714285714</v>
      </c>
      <c r="CP87">
        <v>8.2470119521912348</v>
      </c>
      <c r="CQ87">
        <v>16121.258964143426</v>
      </c>
      <c r="CR87">
        <v>7.2800808897876639</v>
      </c>
      <c r="CS87">
        <v>14231.102123356924</v>
      </c>
      <c r="CT87">
        <v>15.771428571428572</v>
      </c>
      <c r="CU87">
        <v>30829.988571428574</v>
      </c>
    </row>
    <row r="88" spans="2:99" x14ac:dyDescent="0.2">
      <c r="C88" s="116" t="s">
        <v>254</v>
      </c>
      <c r="D88">
        <v>1.3760603879720621</v>
      </c>
      <c r="E88">
        <v>2604.0566781983302</v>
      </c>
      <c r="F88">
        <v>18.280519480519477</v>
      </c>
      <c r="G88">
        <v>34594.055064935055</v>
      </c>
      <c r="H88">
        <v>8.8467977035175895</v>
      </c>
      <c r="I88">
        <v>16741.679974136685</v>
      </c>
      <c r="J88">
        <v>8.7073170731707314</v>
      </c>
      <c r="K88">
        <v>16477.726829268289</v>
      </c>
      <c r="L88">
        <v>12.779941577409932</v>
      </c>
      <c r="M88">
        <v>24184.761441090555</v>
      </c>
      <c r="N88">
        <v>24.768250289687138</v>
      </c>
      <c r="O88">
        <v>46871.436848203935</v>
      </c>
      <c r="P88">
        <v>3.4851936218678818</v>
      </c>
      <c r="Q88">
        <v>6595.380410022779</v>
      </c>
      <c r="R88">
        <v>14.871794871794874</v>
      </c>
      <c r="S88">
        <v>28143.384615384617</v>
      </c>
      <c r="T88">
        <v>2.8319502074688798</v>
      </c>
      <c r="U88">
        <v>5359.1825726141078</v>
      </c>
      <c r="V88">
        <v>12.909836065573771</v>
      </c>
      <c r="W88">
        <v>24430.573770491803</v>
      </c>
      <c r="X88">
        <v>12.393162393162394</v>
      </c>
      <c r="Y88">
        <v>23452.820512820512</v>
      </c>
      <c r="Z88">
        <v>6.6990291262135919</v>
      </c>
      <c r="AA88">
        <v>12677.2427184466</v>
      </c>
      <c r="AB88">
        <v>16.102284011916584</v>
      </c>
      <c r="AC88">
        <v>30471.962264150941</v>
      </c>
      <c r="AD88">
        <v>6.9109947643979064</v>
      </c>
      <c r="AE88">
        <v>13078.366492146597</v>
      </c>
      <c r="AF88">
        <v>7.1266968325791851</v>
      </c>
      <c r="AG88">
        <v>13486.561085972849</v>
      </c>
      <c r="AH88">
        <v>21.821155943293348</v>
      </c>
      <c r="AI88">
        <v>41294.35550708833</v>
      </c>
      <c r="AJ88">
        <v>15.14423076923077</v>
      </c>
      <c r="AK88">
        <v>28658.942307692309</v>
      </c>
      <c r="AL88">
        <v>9.9894291754756868</v>
      </c>
      <c r="AM88">
        <v>18903.995771670187</v>
      </c>
      <c r="AN88">
        <v>3.0535714285714284</v>
      </c>
      <c r="AO88">
        <v>5778.5785714285703</v>
      </c>
      <c r="AP88">
        <v>14.829329962073324</v>
      </c>
      <c r="AQ88">
        <v>28063.024020227556</v>
      </c>
      <c r="AR88">
        <v>15.038395904436861</v>
      </c>
      <c r="AS88">
        <v>28458.660409556313</v>
      </c>
      <c r="AT88">
        <v>8.6159737417943099</v>
      </c>
      <c r="AU88">
        <v>16304.868708971551</v>
      </c>
      <c r="AV88">
        <v>14.118525896414344</v>
      </c>
      <c r="AW88">
        <v>26717.898406374501</v>
      </c>
      <c r="AX88">
        <v>6.5032987747408102</v>
      </c>
      <c r="AY88">
        <v>12306.842601319508</v>
      </c>
      <c r="AZ88">
        <v>17.461300309597526</v>
      </c>
      <c r="BA88">
        <v>33043.764705882357</v>
      </c>
      <c r="BB88">
        <v>12.328767123287671</v>
      </c>
      <c r="BC88">
        <v>23330.958904109586</v>
      </c>
      <c r="BD88">
        <v>2.4778761061946901</v>
      </c>
      <c r="BE88">
        <v>4689.1327433628312</v>
      </c>
      <c r="BF88">
        <v>12.613277133825079</v>
      </c>
      <c r="BG88">
        <v>23869.365648050578</v>
      </c>
      <c r="BH88">
        <v>2.8980891719745223</v>
      </c>
      <c r="BI88">
        <v>5484.3439490445853</v>
      </c>
      <c r="BJ88">
        <v>10.841750841750843</v>
      </c>
      <c r="BK88">
        <v>20516.929292929293</v>
      </c>
      <c r="BL88">
        <v>7.2394881170018284</v>
      </c>
      <c r="BM88">
        <v>13700.00731261426</v>
      </c>
      <c r="BN88">
        <v>10.330948121645797</v>
      </c>
      <c r="BO88">
        <v>19550.286225402506</v>
      </c>
      <c r="BP88">
        <v>8.3250743310208133</v>
      </c>
      <c r="BQ88">
        <v>15754.370664023785</v>
      </c>
      <c r="BR88">
        <v>21.282467532467532</v>
      </c>
      <c r="BS88">
        <v>40274.941558441555</v>
      </c>
      <c r="BT88">
        <v>12.080536912751679</v>
      </c>
      <c r="BU88">
        <v>22861.208053691276</v>
      </c>
      <c r="BV88">
        <v>10.263157894736842</v>
      </c>
      <c r="BW88">
        <v>19422</v>
      </c>
      <c r="BX88">
        <v>6.4285714285714279</v>
      </c>
      <c r="BY88">
        <v>12165.428571428569</v>
      </c>
      <c r="BZ88">
        <v>6.9937833037300177</v>
      </c>
      <c r="CA88">
        <v>13235.035523978684</v>
      </c>
      <c r="CB88">
        <v>10.703363914373089</v>
      </c>
      <c r="CC88">
        <v>20255.045871559632</v>
      </c>
      <c r="CD88">
        <v>15.060630557801131</v>
      </c>
      <c r="CE88">
        <v>28500.737267582859</v>
      </c>
      <c r="CF88">
        <v>9.9539170506912455</v>
      </c>
      <c r="CG88">
        <v>18836.792626728111</v>
      </c>
      <c r="CH88">
        <v>7.5853018372703405</v>
      </c>
      <c r="CI88">
        <v>14354.42519685039</v>
      </c>
      <c r="CJ88">
        <v>7.7142857142857144</v>
      </c>
      <c r="CK88">
        <v>14598.514285714286</v>
      </c>
      <c r="CL88">
        <v>8.3204134366925064</v>
      </c>
      <c r="CM88">
        <v>15745.550387596899</v>
      </c>
      <c r="CN88">
        <v>11.75</v>
      </c>
      <c r="CO88">
        <v>22235.699999999997</v>
      </c>
      <c r="CP88">
        <v>7.9033864541832672</v>
      </c>
      <c r="CQ88">
        <v>14956.368525896414</v>
      </c>
      <c r="CR88">
        <v>7.644084934277048</v>
      </c>
      <c r="CS88">
        <v>14465.666329625885</v>
      </c>
      <c r="CT88">
        <v>14.194285714285714</v>
      </c>
      <c r="CU88">
        <v>26861.266285714282</v>
      </c>
    </row>
    <row r="89" spans="2:99" x14ac:dyDescent="0.2">
      <c r="C89" s="116" t="s">
        <v>255</v>
      </c>
      <c r="D89">
        <v>1.2040528394755541</v>
      </c>
      <c r="E89">
        <v>2886.8370879265885</v>
      </c>
      <c r="F89">
        <v>13.893194805194804</v>
      </c>
      <c r="G89">
        <v>33310.323864935061</v>
      </c>
      <c r="H89">
        <v>9.2489248718592965</v>
      </c>
      <c r="I89">
        <v>22175.22227276985</v>
      </c>
      <c r="J89">
        <v>9.2195121951219523</v>
      </c>
      <c r="K89">
        <v>22104.702439024393</v>
      </c>
      <c r="L89">
        <v>11.246348588120739</v>
      </c>
      <c r="M89">
        <v>26964.245374878283</v>
      </c>
      <c r="N89">
        <v>22.786790266512167</v>
      </c>
      <c r="O89">
        <v>54633.608342989566</v>
      </c>
      <c r="P89">
        <v>3.0751708428246016</v>
      </c>
      <c r="Q89">
        <v>7373.0296127562642</v>
      </c>
      <c r="R89">
        <v>13.942307692307692</v>
      </c>
      <c r="S89">
        <v>33428.076923076922</v>
      </c>
      <c r="T89">
        <v>2.4273858921161824</v>
      </c>
      <c r="U89">
        <v>5819.9004149377588</v>
      </c>
      <c r="V89">
        <v>11.834016393442623</v>
      </c>
      <c r="W89">
        <v>28373.237704918032</v>
      </c>
      <c r="X89">
        <v>13.219373219373219</v>
      </c>
      <c r="Y89">
        <v>31694.76923076923</v>
      </c>
      <c r="Z89">
        <v>6.6990291262135919</v>
      </c>
      <c r="AA89">
        <v>16061.592233009707</v>
      </c>
      <c r="AB89">
        <v>15.402184707050644</v>
      </c>
      <c r="AC89">
        <v>36928.278053624621</v>
      </c>
      <c r="AD89">
        <v>5.5287958115183251</v>
      </c>
      <c r="AE89">
        <v>13255.840837696336</v>
      </c>
      <c r="AF89">
        <v>7.4660633484162888</v>
      </c>
      <c r="AG89">
        <v>17900.633484162892</v>
      </c>
      <c r="AH89">
        <v>22.769901853871318</v>
      </c>
      <c r="AI89">
        <v>54593.116684841872</v>
      </c>
      <c r="AJ89">
        <v>11.778846153846153</v>
      </c>
      <c r="AK89">
        <v>28240.961538461535</v>
      </c>
      <c r="AL89">
        <v>8.8794926004228341</v>
      </c>
      <c r="AM89">
        <v>21289.471458773787</v>
      </c>
      <c r="AN89">
        <v>2.7321428571428572</v>
      </c>
      <c r="AO89">
        <v>6550.5857142857139</v>
      </c>
      <c r="AP89">
        <v>14.829329962073324</v>
      </c>
      <c r="AQ89">
        <v>35554.801517066997</v>
      </c>
      <c r="AR89">
        <v>12.030716723549489</v>
      </c>
      <c r="AS89">
        <v>28844.846416382254</v>
      </c>
      <c r="AT89">
        <v>8.0415754923413569</v>
      </c>
      <c r="AU89">
        <v>19280.481400437635</v>
      </c>
      <c r="AV89">
        <v>12.026892430278885</v>
      </c>
      <c r="AW89">
        <v>28835.677290836651</v>
      </c>
      <c r="AX89">
        <v>6.1781338360037701</v>
      </c>
      <c r="AY89">
        <v>14812.693685202639</v>
      </c>
      <c r="AZ89">
        <v>17.461300309597526</v>
      </c>
      <c r="BA89">
        <v>41865.213622291027</v>
      </c>
      <c r="BB89">
        <v>12.328767123287671</v>
      </c>
      <c r="BC89">
        <v>29559.452054794518</v>
      </c>
      <c r="BD89">
        <v>2.3008849557522124</v>
      </c>
      <c r="BE89">
        <v>5516.6017699115046</v>
      </c>
      <c r="BF89">
        <v>10.811380400421497</v>
      </c>
      <c r="BG89">
        <v>25921.365648050578</v>
      </c>
      <c r="BH89">
        <v>3.3121019108280256</v>
      </c>
      <c r="BI89">
        <v>7941.0955414012742</v>
      </c>
      <c r="BJ89">
        <v>10.841750841750843</v>
      </c>
      <c r="BK89">
        <v>25994.18181818182</v>
      </c>
      <c r="BL89">
        <v>6.9104204753199276</v>
      </c>
      <c r="BM89">
        <v>16568.424131627056</v>
      </c>
      <c r="BN89">
        <v>9.3917710196779964</v>
      </c>
      <c r="BO89">
        <v>22517.710196779964</v>
      </c>
      <c r="BP89">
        <v>8.8453914767096133</v>
      </c>
      <c r="BQ89">
        <v>21207.710604558968</v>
      </c>
      <c r="BR89">
        <v>20.357142857142858</v>
      </c>
      <c r="BS89">
        <v>48808.28571428571</v>
      </c>
      <c r="BT89">
        <v>10.872483221476509</v>
      </c>
      <c r="BU89">
        <v>26067.865771812078</v>
      </c>
      <c r="BV89">
        <v>9.8684210526315788</v>
      </c>
      <c r="BW89">
        <v>23660.526315789473</v>
      </c>
      <c r="BX89">
        <v>6.4285714285714279</v>
      </c>
      <c r="BY89">
        <v>15413.142857142855</v>
      </c>
      <c r="BZ89">
        <v>6.9937833037300177</v>
      </c>
      <c r="CA89">
        <v>16768.294849023088</v>
      </c>
      <c r="CB89">
        <v>10.168195718654435</v>
      </c>
      <c r="CC89">
        <v>24379.266055045871</v>
      </c>
      <c r="CD89">
        <v>12.271624898949071</v>
      </c>
      <c r="CE89">
        <v>29422.44785772029</v>
      </c>
      <c r="CF89">
        <v>9.1244239631336406</v>
      </c>
      <c r="CG89">
        <v>21876.718894009216</v>
      </c>
      <c r="CH89">
        <v>6.6929133858267713</v>
      </c>
      <c r="CI89">
        <v>16046.929133858266</v>
      </c>
      <c r="CJ89">
        <v>8.1964285714285712</v>
      </c>
      <c r="CK89">
        <v>19651.757142857143</v>
      </c>
      <c r="CL89">
        <v>7.7260981912144695</v>
      </c>
      <c r="CM89">
        <v>18524.093023255813</v>
      </c>
      <c r="CN89">
        <v>11.75</v>
      </c>
      <c r="CO89">
        <v>28171.8</v>
      </c>
      <c r="CP89">
        <v>7.9033864541832672</v>
      </c>
      <c r="CQ89">
        <v>18949.159362549803</v>
      </c>
      <c r="CR89">
        <v>6.5520728008088982</v>
      </c>
      <c r="CS89">
        <v>15709.249747219414</v>
      </c>
      <c r="CT89">
        <v>13.405714285714284</v>
      </c>
      <c r="CU89">
        <v>32141.540571428566</v>
      </c>
    </row>
    <row r="90" spans="2:99" x14ac:dyDescent="0.2">
      <c r="C90" s="116" t="s">
        <v>256</v>
      </c>
      <c r="D90">
        <v>1.2040528394755541</v>
      </c>
      <c r="E90">
        <v>2645.5448988956873</v>
      </c>
      <c r="F90">
        <v>16.086857142857141</v>
      </c>
      <c r="G90">
        <v>35346.042514285706</v>
      </c>
      <c r="H90">
        <v>8.4446705351758791</v>
      </c>
      <c r="I90">
        <v>18554.63009988844</v>
      </c>
      <c r="J90">
        <v>9.2195121951219523</v>
      </c>
      <c r="K90">
        <v>20257.11219512195</v>
      </c>
      <c r="L90">
        <v>10.735150925024342</v>
      </c>
      <c r="M90">
        <v>23587.273612463483</v>
      </c>
      <c r="N90">
        <v>23.777520278099651</v>
      </c>
      <c r="O90">
        <v>52243.967555040552</v>
      </c>
      <c r="P90">
        <v>3.2801822323462413</v>
      </c>
      <c r="Q90">
        <v>7207.2164009111611</v>
      </c>
      <c r="R90">
        <v>14.871794871794874</v>
      </c>
      <c r="S90">
        <v>32676.307692307695</v>
      </c>
      <c r="T90">
        <v>2.4273858921161824</v>
      </c>
      <c r="U90">
        <v>5333.4522821576757</v>
      </c>
      <c r="V90">
        <v>11.834016393442623</v>
      </c>
      <c r="W90">
        <v>26001.700819672129</v>
      </c>
      <c r="X90">
        <v>13.219373219373219</v>
      </c>
      <c r="Y90">
        <v>29045.606837606836</v>
      </c>
      <c r="Z90">
        <v>7.0711974110032365</v>
      </c>
      <c r="AA90">
        <v>15536.834951456311</v>
      </c>
      <c r="AB90">
        <v>16.102284011916584</v>
      </c>
      <c r="AC90">
        <v>35379.938430983115</v>
      </c>
      <c r="AD90">
        <v>5.8743455497382202</v>
      </c>
      <c r="AE90">
        <v>12907.112041884817</v>
      </c>
      <c r="AF90">
        <v>7.1266968325791851</v>
      </c>
      <c r="AG90">
        <v>15658.778280542983</v>
      </c>
      <c r="AH90">
        <v>19.923664122137403</v>
      </c>
      <c r="AI90">
        <v>43776.274809160299</v>
      </c>
      <c r="AJ90">
        <v>14.022435897435896</v>
      </c>
      <c r="AK90">
        <v>30810.096153846149</v>
      </c>
      <c r="AL90">
        <v>8.8794926004228341</v>
      </c>
      <c r="AM90">
        <v>19510.021141649049</v>
      </c>
      <c r="AN90">
        <v>2.8928571428571423</v>
      </c>
      <c r="AO90">
        <v>6356.1857142857125</v>
      </c>
      <c r="AP90">
        <v>16.573957016434893</v>
      </c>
      <c r="AQ90">
        <v>36416.298356510742</v>
      </c>
      <c r="AR90">
        <v>14.436860068259385</v>
      </c>
      <c r="AS90">
        <v>31720.668941979518</v>
      </c>
      <c r="AT90">
        <v>8.0415754923413569</v>
      </c>
      <c r="AU90">
        <v>17668.949671772429</v>
      </c>
      <c r="AV90">
        <v>13.072709163346612</v>
      </c>
      <c r="AW90">
        <v>28723.356573705176</v>
      </c>
      <c r="AX90">
        <v>7.1536286522148922</v>
      </c>
      <c r="AY90">
        <v>15717.95287464656</v>
      </c>
      <c r="AZ90">
        <v>16.733746130030962</v>
      </c>
      <c r="BA90">
        <v>36767.386996904024</v>
      </c>
      <c r="BB90">
        <v>12.842465753424657</v>
      </c>
      <c r="BC90">
        <v>28217.465753424654</v>
      </c>
      <c r="BD90">
        <v>2.3008849557522124</v>
      </c>
      <c r="BE90">
        <v>5055.5044247787609</v>
      </c>
      <c r="BF90">
        <v>12.613277133825079</v>
      </c>
      <c r="BG90">
        <v>27713.892518440462</v>
      </c>
      <c r="BH90">
        <v>3.105095541401274</v>
      </c>
      <c r="BI90">
        <v>6822.5159235668789</v>
      </c>
      <c r="BJ90">
        <v>10.841750841750843</v>
      </c>
      <c r="BK90">
        <v>23821.494949494951</v>
      </c>
      <c r="BL90">
        <v>6.581352833638026</v>
      </c>
      <c r="BM90">
        <v>14460.54844606947</v>
      </c>
      <c r="BN90">
        <v>8.9221824686940963</v>
      </c>
      <c r="BO90">
        <v>19603.819320214665</v>
      </c>
      <c r="BP90">
        <v>8.8453914767096133</v>
      </c>
      <c r="BQ90">
        <v>19435.09415262636</v>
      </c>
      <c r="BR90">
        <v>20.357142857142858</v>
      </c>
      <c r="BS90">
        <v>44728.714285714283</v>
      </c>
      <c r="BT90">
        <v>11.476510067114095</v>
      </c>
      <c r="BU90">
        <v>25216.187919463086</v>
      </c>
      <c r="BV90">
        <v>8.6842105263157894</v>
      </c>
      <c r="BW90">
        <v>19080.94736842105</v>
      </c>
      <c r="BX90">
        <v>6.4285714285714279</v>
      </c>
      <c r="BY90">
        <v>14124.857142857139</v>
      </c>
      <c r="BZ90">
        <v>7.9262877442273538</v>
      </c>
      <c r="CA90">
        <v>17415.639431616339</v>
      </c>
      <c r="CB90">
        <v>12.308868501529052</v>
      </c>
      <c r="CC90">
        <v>27045.045871559629</v>
      </c>
      <c r="CD90">
        <v>12.271624898949071</v>
      </c>
      <c r="CE90">
        <v>26963.214227970897</v>
      </c>
      <c r="CF90">
        <v>10.368663594470046</v>
      </c>
      <c r="CG90">
        <v>22782.027649769585</v>
      </c>
      <c r="CH90">
        <v>6.6929133858267713</v>
      </c>
      <c r="CI90">
        <v>14705.669291338581</v>
      </c>
      <c r="CJ90">
        <v>7.7142857142857144</v>
      </c>
      <c r="CK90">
        <v>16949.82857142857</v>
      </c>
      <c r="CL90">
        <v>8.3204134366925064</v>
      </c>
      <c r="CM90">
        <v>18281.612403100775</v>
      </c>
      <c r="CN90">
        <v>11.75</v>
      </c>
      <c r="CO90">
        <v>25817.1</v>
      </c>
      <c r="CP90">
        <v>7.9033864541832672</v>
      </c>
      <c r="CQ90">
        <v>17365.320717131472</v>
      </c>
      <c r="CR90">
        <v>8.0080889787664304</v>
      </c>
      <c r="CS90">
        <v>17595.373104145601</v>
      </c>
      <c r="CT90">
        <v>14.982857142857142</v>
      </c>
      <c r="CU90">
        <v>32920.333714285713</v>
      </c>
    </row>
    <row r="91" spans="2:99" x14ac:dyDescent="0.2">
      <c r="C91" s="116" t="s">
        <v>257</v>
      </c>
      <c r="D91">
        <v>1.2040528394755541</v>
      </c>
      <c r="E91">
        <v>2765.4685617074524</v>
      </c>
      <c r="F91">
        <v>16.818077922077922</v>
      </c>
      <c r="G91">
        <v>38627.761371428569</v>
      </c>
      <c r="H91">
        <v>9.2489248718592965</v>
      </c>
      <c r="I91">
        <v>21242.930645686429</v>
      </c>
      <c r="J91">
        <v>8.7073170731707314</v>
      </c>
      <c r="K91">
        <v>19998.965853658534</v>
      </c>
      <c r="L91">
        <v>10.223953261927946</v>
      </c>
      <c r="M91">
        <v>23482.375851996105</v>
      </c>
      <c r="N91">
        <v>23.777520278099651</v>
      </c>
      <c r="O91">
        <v>54612.20857473927</v>
      </c>
      <c r="P91">
        <v>3.2801822323462413</v>
      </c>
      <c r="Q91">
        <v>7533.9225512528465</v>
      </c>
      <c r="R91">
        <v>13.942307692307692</v>
      </c>
      <c r="S91">
        <v>32022.692307692301</v>
      </c>
      <c r="T91">
        <v>2.6296680497925311</v>
      </c>
      <c r="U91">
        <v>6039.8215767634847</v>
      </c>
      <c r="V91">
        <v>11.834016393442623</v>
      </c>
      <c r="W91">
        <v>27180.368852459011</v>
      </c>
      <c r="X91">
        <v>14.045584045584047</v>
      </c>
      <c r="Y91">
        <v>32259.897435897434</v>
      </c>
      <c r="Z91">
        <v>6.6990291262135919</v>
      </c>
      <c r="AA91">
        <v>15386.330097087377</v>
      </c>
      <c r="AB91">
        <v>14.702085402184707</v>
      </c>
      <c r="AC91">
        <v>33767.749751737829</v>
      </c>
      <c r="AD91">
        <v>6.2198952879581153</v>
      </c>
      <c r="AE91">
        <v>14285.855497382197</v>
      </c>
      <c r="AF91">
        <v>7.8054298642533935</v>
      </c>
      <c r="AG91">
        <v>17927.511312217193</v>
      </c>
      <c r="AH91">
        <v>19.923664122137403</v>
      </c>
      <c r="AI91">
        <v>45760.671755725183</v>
      </c>
      <c r="AJ91">
        <v>14.022435897435896</v>
      </c>
      <c r="AK91">
        <v>32206.730769230762</v>
      </c>
      <c r="AL91">
        <v>8.8794926004228341</v>
      </c>
      <c r="AM91">
        <v>20394.418604651164</v>
      </c>
      <c r="AN91">
        <v>2.7321428571428572</v>
      </c>
      <c r="AO91">
        <v>6275.1857142857134</v>
      </c>
      <c r="AP91">
        <v>13.957016434892543</v>
      </c>
      <c r="AQ91">
        <v>32056.475347661188</v>
      </c>
      <c r="AR91">
        <v>13.233788395904439</v>
      </c>
      <c r="AS91">
        <v>30395.365187713312</v>
      </c>
      <c r="AT91">
        <v>7.4671772428884031</v>
      </c>
      <c r="AU91">
        <v>17150.612691466082</v>
      </c>
      <c r="AV91">
        <v>12.026892430278885</v>
      </c>
      <c r="AW91">
        <v>27623.366533864541</v>
      </c>
      <c r="AX91">
        <v>6.8284637134778512</v>
      </c>
      <c r="AY91">
        <v>15683.615457115926</v>
      </c>
      <c r="AZ91">
        <v>17.461300309597526</v>
      </c>
      <c r="BA91">
        <v>40105.114551083592</v>
      </c>
      <c r="BB91">
        <v>11.301369863013697</v>
      </c>
      <c r="BC91">
        <v>25956.986301369856</v>
      </c>
      <c r="BD91">
        <v>2.4778761061946901</v>
      </c>
      <c r="BE91">
        <v>5691.1858407079635</v>
      </c>
      <c r="BF91">
        <v>12.613277133825079</v>
      </c>
      <c r="BG91">
        <v>28970.174920969439</v>
      </c>
      <c r="BH91">
        <v>2.8980891719745223</v>
      </c>
      <c r="BI91">
        <v>6656.3312101910824</v>
      </c>
      <c r="BJ91">
        <v>10.841750841750843</v>
      </c>
      <c r="BK91">
        <v>24901.333333333332</v>
      </c>
      <c r="BL91">
        <v>6.9104204753199276</v>
      </c>
      <c r="BM91">
        <v>15871.853747714807</v>
      </c>
      <c r="BN91">
        <v>8.9221824686940963</v>
      </c>
      <c r="BO91">
        <v>20492.468694096598</v>
      </c>
      <c r="BP91">
        <v>8.3250743310208133</v>
      </c>
      <c r="BQ91">
        <v>19121.030723488602</v>
      </c>
      <c r="BR91">
        <v>19.431818181818183</v>
      </c>
      <c r="BS91">
        <v>44631</v>
      </c>
      <c r="BT91">
        <v>9.6644295302013425</v>
      </c>
      <c r="BU91">
        <v>22197.261744966439</v>
      </c>
      <c r="BV91">
        <v>9.0789473684210513</v>
      </c>
      <c r="BW91">
        <v>20852.52631578947</v>
      </c>
      <c r="BX91">
        <v>6.1071428571428568</v>
      </c>
      <c r="BY91">
        <v>14026.885714285712</v>
      </c>
      <c r="BZ91">
        <v>7.4600355239786857</v>
      </c>
      <c r="CA91">
        <v>17134.209591474242</v>
      </c>
      <c r="CB91">
        <v>11.773700305810397</v>
      </c>
      <c r="CC91">
        <v>27041.834862385316</v>
      </c>
      <c r="CD91">
        <v>12.271624898949071</v>
      </c>
      <c r="CE91">
        <v>28185.468067906222</v>
      </c>
      <c r="CF91">
        <v>9.9539170506912455</v>
      </c>
      <c r="CG91">
        <v>22862.156682027649</v>
      </c>
      <c r="CH91">
        <v>7.1391076115485568</v>
      </c>
      <c r="CI91">
        <v>16397.102362204725</v>
      </c>
      <c r="CJ91">
        <v>7.2321428571428568</v>
      </c>
      <c r="CK91">
        <v>16610.78571428571</v>
      </c>
      <c r="CL91">
        <v>7.7260981912144695</v>
      </c>
      <c r="CM91">
        <v>17745.302325581393</v>
      </c>
      <c r="CN91">
        <v>11.75</v>
      </c>
      <c r="CO91">
        <v>26987.399999999998</v>
      </c>
      <c r="CP91">
        <v>8.5906374501992033</v>
      </c>
      <c r="CQ91">
        <v>19730.976095617527</v>
      </c>
      <c r="CR91">
        <v>7.644084934277048</v>
      </c>
      <c r="CS91">
        <v>17556.934277047523</v>
      </c>
      <c r="CT91">
        <v>13.405714285714284</v>
      </c>
      <c r="CU91">
        <v>30790.244571428564</v>
      </c>
    </row>
    <row r="92" spans="2:99" x14ac:dyDescent="0.2">
      <c r="C92" s="116" t="s">
        <v>258</v>
      </c>
      <c r="D92">
        <v>1.2040528394755541</v>
      </c>
      <c r="E92">
        <v>1710.7182743268672</v>
      </c>
      <c r="F92">
        <v>16.086857142857141</v>
      </c>
      <c r="G92">
        <v>22856.206628571425</v>
      </c>
      <c r="H92">
        <v>10.053179208542714</v>
      </c>
      <c r="I92">
        <v>14283.557019497488</v>
      </c>
      <c r="J92">
        <v>10.75609756097561</v>
      </c>
      <c r="K92">
        <v>15282.263414634146</v>
      </c>
      <c r="L92">
        <v>12.779941577409932</v>
      </c>
      <c r="M92">
        <v>18157.74099318403</v>
      </c>
      <c r="N92">
        <v>22.786790266512167</v>
      </c>
      <c r="O92">
        <v>32375.471610660486</v>
      </c>
      <c r="P92">
        <v>3.6902050113895215</v>
      </c>
      <c r="Q92">
        <v>5243.0432801822317</v>
      </c>
      <c r="R92">
        <v>15.801282051282053</v>
      </c>
      <c r="S92">
        <v>22450.461538461539</v>
      </c>
      <c r="T92">
        <v>3.0342323651452281</v>
      </c>
      <c r="U92">
        <v>4311.0373443983399</v>
      </c>
      <c r="V92">
        <v>13.447745901639344</v>
      </c>
      <c r="W92">
        <v>19106.557377049179</v>
      </c>
      <c r="X92">
        <v>14.871794871794874</v>
      </c>
      <c r="Y92">
        <v>21129.846153846156</v>
      </c>
      <c r="Z92">
        <v>7.8155339805825248</v>
      </c>
      <c r="AA92">
        <v>11104.310679611652</v>
      </c>
      <c r="AB92">
        <v>18.202581926514398</v>
      </c>
      <c r="AC92">
        <v>25862.228401191656</v>
      </c>
      <c r="AD92">
        <v>5.8743455497382202</v>
      </c>
      <c r="AE92">
        <v>8346.2701570680638</v>
      </c>
      <c r="AF92">
        <v>7.8054298642533935</v>
      </c>
      <c r="AG92">
        <v>11089.954751131221</v>
      </c>
      <c r="AH92">
        <v>25.616139585605232</v>
      </c>
      <c r="AI92">
        <v>36395.41112322791</v>
      </c>
      <c r="AJ92">
        <v>15.705128205128206</v>
      </c>
      <c r="AK92">
        <v>22313.846153846156</v>
      </c>
      <c r="AL92">
        <v>9.9894291754756868</v>
      </c>
      <c r="AM92">
        <v>14192.980972515856</v>
      </c>
      <c r="AN92">
        <v>3.0535714285714284</v>
      </c>
      <c r="AO92">
        <v>4338.5142857142855</v>
      </c>
      <c r="AP92">
        <v>16.573957016434893</v>
      </c>
      <c r="AQ92">
        <v>23548.278128950693</v>
      </c>
      <c r="AR92">
        <v>14.436860068259385</v>
      </c>
      <c r="AS92">
        <v>20511.890784982934</v>
      </c>
      <c r="AT92">
        <v>8.6159737417943099</v>
      </c>
      <c r="AU92">
        <v>12241.575492341355</v>
      </c>
      <c r="AV92">
        <v>15.164342629482071</v>
      </c>
      <c r="AW92">
        <v>21545.498007968126</v>
      </c>
      <c r="AX92">
        <v>6.8284637134778512</v>
      </c>
      <c r="AY92">
        <v>9701.8812441093305</v>
      </c>
      <c r="AZ92">
        <v>18.91640866873065</v>
      </c>
      <c r="BA92">
        <v>26876.433436532508</v>
      </c>
      <c r="BB92">
        <v>12.842465753424657</v>
      </c>
      <c r="BC92">
        <v>18246.575342465752</v>
      </c>
      <c r="BD92">
        <v>2.6548672566371683</v>
      </c>
      <c r="BE92">
        <v>3772.0353982300885</v>
      </c>
      <c r="BF92">
        <v>12.613277133825079</v>
      </c>
      <c r="BG92">
        <v>17920.944151738673</v>
      </c>
      <c r="BH92">
        <v>3.105095541401274</v>
      </c>
      <c r="BI92">
        <v>4411.7197452229302</v>
      </c>
      <c r="BJ92">
        <v>11.616161616161616</v>
      </c>
      <c r="BK92">
        <v>16504.242424242424</v>
      </c>
      <c r="BL92">
        <v>7.2394881170018284</v>
      </c>
      <c r="BM92">
        <v>10285.864716636197</v>
      </c>
      <c r="BN92">
        <v>10.330948121645797</v>
      </c>
      <c r="BO92">
        <v>14678.211091234347</v>
      </c>
      <c r="BP92">
        <v>8.8453914767096133</v>
      </c>
      <c r="BQ92">
        <v>12567.532210109019</v>
      </c>
      <c r="BR92">
        <v>21.282467532467532</v>
      </c>
      <c r="BS92">
        <v>30238.129870129869</v>
      </c>
      <c r="BT92">
        <v>12.080536912751679</v>
      </c>
      <c r="BU92">
        <v>17164.026845637585</v>
      </c>
      <c r="BV92">
        <v>10.263157894736842</v>
      </c>
      <c r="BW92">
        <v>14581.894736842105</v>
      </c>
      <c r="BX92">
        <v>7.0714285714285712</v>
      </c>
      <c r="BY92">
        <v>10047.085714285713</v>
      </c>
      <c r="BZ92">
        <v>7.9262877442273538</v>
      </c>
      <c r="CA92">
        <v>11261.669626998224</v>
      </c>
      <c r="CB92">
        <v>12.308868501529052</v>
      </c>
      <c r="CC92">
        <v>17488.440366972474</v>
      </c>
      <c r="CD92">
        <v>13.945028294260307</v>
      </c>
      <c r="CE92">
        <v>19813.096200485044</v>
      </c>
      <c r="CF92">
        <v>10.783410138248847</v>
      </c>
      <c r="CG92">
        <v>15321.069124423961</v>
      </c>
      <c r="CH92">
        <v>7.1391076115485568</v>
      </c>
      <c r="CI92">
        <v>10143.244094488189</v>
      </c>
      <c r="CJ92">
        <v>8.678571428571427</v>
      </c>
      <c r="CK92">
        <v>12330.514285714284</v>
      </c>
      <c r="CL92">
        <v>9.5090439276485785</v>
      </c>
      <c r="CM92">
        <v>13510.449612403099</v>
      </c>
      <c r="CN92">
        <v>10.910714285714286</v>
      </c>
      <c r="CO92">
        <v>15501.942857142858</v>
      </c>
      <c r="CP92">
        <v>8.2470119521912348</v>
      </c>
      <c r="CQ92">
        <v>11717.354581673306</v>
      </c>
      <c r="CR92">
        <v>8.736097067745197</v>
      </c>
      <c r="CS92">
        <v>12412.246713852375</v>
      </c>
      <c r="CT92">
        <v>15.771428571428572</v>
      </c>
      <c r="CU92">
        <v>22408.045714285716</v>
      </c>
    </row>
    <row r="93" spans="2:99" x14ac:dyDescent="0.2">
      <c r="C93" s="116" t="s">
        <v>259</v>
      </c>
      <c r="D93">
        <v>1.2040528394755541</v>
      </c>
      <c r="E93">
        <v>2134.063252686472</v>
      </c>
      <c r="F93">
        <v>16.818077922077922</v>
      </c>
      <c r="G93">
        <v>29808.361309090906</v>
      </c>
      <c r="H93">
        <v>8.8467977035175895</v>
      </c>
      <c r="I93">
        <v>15680.064249714575</v>
      </c>
      <c r="J93">
        <v>9.7317073170731696</v>
      </c>
      <c r="K93">
        <v>17248.478048780486</v>
      </c>
      <c r="L93">
        <v>12.779941577409932</v>
      </c>
      <c r="M93">
        <v>22651.168451801361</v>
      </c>
      <c r="N93">
        <v>21.796060254924679</v>
      </c>
      <c r="O93">
        <v>38631.337195828499</v>
      </c>
      <c r="P93">
        <v>3.4851936218678818</v>
      </c>
      <c r="Q93">
        <v>6177.1571753986336</v>
      </c>
      <c r="R93">
        <v>13.942307692307692</v>
      </c>
      <c r="S93">
        <v>24711.346153846152</v>
      </c>
      <c r="T93">
        <v>3.0342323651452281</v>
      </c>
      <c r="U93">
        <v>5377.8734439834016</v>
      </c>
      <c r="V93">
        <v>12.909836065573771</v>
      </c>
      <c r="W93">
        <v>22881.39344262295</v>
      </c>
      <c r="X93">
        <v>12.393162393162394</v>
      </c>
      <c r="Y93">
        <v>21965.641025641024</v>
      </c>
      <c r="Z93">
        <v>7.0711974110032365</v>
      </c>
      <c r="AA93">
        <v>12532.990291262135</v>
      </c>
      <c r="AB93">
        <v>17.502482621648461</v>
      </c>
      <c r="AC93">
        <v>31021.400198609732</v>
      </c>
      <c r="AD93">
        <v>5.8743455497382202</v>
      </c>
      <c r="AE93">
        <v>10411.69005235602</v>
      </c>
      <c r="AF93">
        <v>7.1266968325791851</v>
      </c>
      <c r="AG93">
        <v>12631.357466063346</v>
      </c>
      <c r="AH93">
        <v>21.821155943293348</v>
      </c>
      <c r="AI93">
        <v>38675.816793893129</v>
      </c>
      <c r="AJ93">
        <v>12.900641025641026</v>
      </c>
      <c r="AK93">
        <v>22865.096153846152</v>
      </c>
      <c r="AL93">
        <v>10.544397463002113</v>
      </c>
      <c r="AM93">
        <v>18688.890063424944</v>
      </c>
      <c r="AN93">
        <v>3.214285714285714</v>
      </c>
      <c r="AO93">
        <v>5696.9999999999991</v>
      </c>
      <c r="AP93">
        <v>16.573957016434893</v>
      </c>
      <c r="AQ93">
        <v>29375.681415929201</v>
      </c>
      <c r="AR93">
        <v>15.639931740614335</v>
      </c>
      <c r="AS93">
        <v>27720.215017064846</v>
      </c>
      <c r="AT93">
        <v>8.6159737417943099</v>
      </c>
      <c r="AU93">
        <v>15270.951859956234</v>
      </c>
      <c r="AV93">
        <v>14.118525896414344</v>
      </c>
      <c r="AW93">
        <v>25023.675298804781</v>
      </c>
      <c r="AX93">
        <v>7.4787935909519323</v>
      </c>
      <c r="AY93">
        <v>13255.413760603204</v>
      </c>
      <c r="AZ93">
        <v>18.91640866873065</v>
      </c>
      <c r="BA93">
        <v>33527.442724458204</v>
      </c>
      <c r="BB93">
        <v>13.356164383561643</v>
      </c>
      <c r="BC93">
        <v>23672.465753424654</v>
      </c>
      <c r="BD93">
        <v>2.6548672566371683</v>
      </c>
      <c r="BE93">
        <v>4705.4867256637162</v>
      </c>
      <c r="BF93">
        <v>12.613277133825079</v>
      </c>
      <c r="BG93">
        <v>22355.77239199157</v>
      </c>
      <c r="BH93">
        <v>2.8980891719745223</v>
      </c>
      <c r="BI93">
        <v>5136.5732484076434</v>
      </c>
      <c r="BJ93">
        <v>11.616161616161616</v>
      </c>
      <c r="BK93">
        <v>20588.484848484848</v>
      </c>
      <c r="BL93">
        <v>6.581352833638026</v>
      </c>
      <c r="BM93">
        <v>11664.789762340037</v>
      </c>
      <c r="BN93">
        <v>10.330948121645797</v>
      </c>
      <c r="BO93">
        <v>18310.572450805008</v>
      </c>
      <c r="BP93">
        <v>9.8860257680872152</v>
      </c>
      <c r="BQ93">
        <v>17521.992071357778</v>
      </c>
      <c r="BR93">
        <v>20.357142857142858</v>
      </c>
      <c r="BS93">
        <v>36081</v>
      </c>
      <c r="BT93">
        <v>10.872483221476509</v>
      </c>
      <c r="BU93">
        <v>19270.389261744964</v>
      </c>
      <c r="BV93">
        <v>9.8684210526315788</v>
      </c>
      <c r="BW93">
        <v>17490.78947368421</v>
      </c>
      <c r="BX93">
        <v>6.75</v>
      </c>
      <c r="BY93">
        <v>11963.699999999999</v>
      </c>
      <c r="BZ93">
        <v>7.4600355239786857</v>
      </c>
      <c r="CA93">
        <v>13222.166962699821</v>
      </c>
      <c r="CB93">
        <v>10.703363914373089</v>
      </c>
      <c r="CC93">
        <v>18970.64220183486</v>
      </c>
      <c r="CD93">
        <v>12.829426030719482</v>
      </c>
      <c r="CE93">
        <v>22738.874696847208</v>
      </c>
      <c r="CF93">
        <v>9.9539170506912455</v>
      </c>
      <c r="CG93">
        <v>17642.322580645163</v>
      </c>
      <c r="CH93">
        <v>7.1391076115485568</v>
      </c>
      <c r="CI93">
        <v>12653.35433070866</v>
      </c>
      <c r="CJ93">
        <v>8.1964285714285712</v>
      </c>
      <c r="CK93">
        <v>14527.349999999999</v>
      </c>
      <c r="CL93">
        <v>8.3204134366925064</v>
      </c>
      <c r="CM93">
        <v>14747.100775193798</v>
      </c>
      <c r="CN93">
        <v>13.428571428571431</v>
      </c>
      <c r="CO93">
        <v>23800.800000000003</v>
      </c>
      <c r="CP93">
        <v>8.5906374501992033</v>
      </c>
      <c r="CQ93">
        <v>15226.045816733067</v>
      </c>
      <c r="CR93">
        <v>7.644084934277048</v>
      </c>
      <c r="CS93">
        <v>13548.37613751264</v>
      </c>
      <c r="CT93">
        <v>14.982857142857142</v>
      </c>
      <c r="CU93">
        <v>26555.615999999998</v>
      </c>
    </row>
    <row r="94" spans="2:99" x14ac:dyDescent="0.2">
      <c r="C94" s="116" t="s">
        <v>260</v>
      </c>
      <c r="D94">
        <v>1.2900566137238081</v>
      </c>
      <c r="E94">
        <v>3089.9436011912649</v>
      </c>
      <c r="F94">
        <v>15.355636363636362</v>
      </c>
      <c r="G94">
        <v>36779.820218181812</v>
      </c>
      <c r="H94">
        <v>8.4446705351758791</v>
      </c>
      <c r="I94">
        <v>20226.674865853263</v>
      </c>
      <c r="J94">
        <v>8.7073170731707314</v>
      </c>
      <c r="K94">
        <v>20855.765853658533</v>
      </c>
      <c r="L94">
        <v>11.246348588120739</v>
      </c>
      <c r="M94">
        <v>26937.254138266791</v>
      </c>
      <c r="N94">
        <v>23.777520278099651</v>
      </c>
      <c r="O94">
        <v>56951.91657010428</v>
      </c>
      <c r="P94">
        <v>3.2801822323462413</v>
      </c>
      <c r="Q94">
        <v>7856.6924829157169</v>
      </c>
      <c r="R94">
        <v>13.942307692307692</v>
      </c>
      <c r="S94">
        <v>33394.615384615383</v>
      </c>
      <c r="T94">
        <v>2.2251037344398341</v>
      </c>
      <c r="U94">
        <v>5329.5684647302905</v>
      </c>
      <c r="V94">
        <v>12.371926229508196</v>
      </c>
      <c r="W94">
        <v>29633.237704918029</v>
      </c>
      <c r="X94">
        <v>11.566951566951566</v>
      </c>
      <c r="Y94">
        <v>27705.162393162391</v>
      </c>
      <c r="Z94">
        <v>6.3268608414239473</v>
      </c>
      <c r="AA94">
        <v>15154.097087378637</v>
      </c>
      <c r="AB94">
        <v>14.001986097318769</v>
      </c>
      <c r="AC94">
        <v>33537.557100297912</v>
      </c>
      <c r="AD94">
        <v>5.8743455497382202</v>
      </c>
      <c r="AE94">
        <v>14070.232460732985</v>
      </c>
      <c r="AF94">
        <v>6.7873303167420822</v>
      </c>
      <c r="AG94">
        <v>16257.013574660634</v>
      </c>
      <c r="AH94">
        <v>21.821155943293348</v>
      </c>
      <c r="AI94">
        <v>52266.032715376226</v>
      </c>
      <c r="AJ94">
        <v>14.022435897435896</v>
      </c>
      <c r="AK94">
        <v>33586.538461538454</v>
      </c>
      <c r="AL94">
        <v>9.4344608879492586</v>
      </c>
      <c r="AM94">
        <v>22597.420718816062</v>
      </c>
      <c r="AN94">
        <v>2.7321428571428572</v>
      </c>
      <c r="AO94">
        <v>6544.028571428571</v>
      </c>
      <c r="AP94">
        <v>16.573957016434893</v>
      </c>
      <c r="AQ94">
        <v>39697.94184576485</v>
      </c>
      <c r="AR94">
        <v>15.038395904436861</v>
      </c>
      <c r="AS94">
        <v>36019.965870307169</v>
      </c>
      <c r="AT94">
        <v>6.8927789934354484</v>
      </c>
      <c r="AU94">
        <v>16509.584245076585</v>
      </c>
      <c r="AV94">
        <v>13.595617529880478</v>
      </c>
      <c r="AW94">
        <v>32564.22310756972</v>
      </c>
      <c r="AX94">
        <v>6.1781338360037701</v>
      </c>
      <c r="AY94">
        <v>14797.866163996228</v>
      </c>
      <c r="AZ94">
        <v>15.278637770897832</v>
      </c>
      <c r="BA94">
        <v>36595.393188854483</v>
      </c>
      <c r="BB94">
        <v>12.328767123287671</v>
      </c>
      <c r="BC94">
        <v>29529.863013698628</v>
      </c>
      <c r="BD94">
        <v>2.4778761061946901</v>
      </c>
      <c r="BE94">
        <v>5935.008849557521</v>
      </c>
      <c r="BF94">
        <v>11.712328767123287</v>
      </c>
      <c r="BG94">
        <v>28053.369863013693</v>
      </c>
      <c r="BH94">
        <v>3.3121019108280256</v>
      </c>
      <c r="BI94">
        <v>7933.1464968152868</v>
      </c>
      <c r="BJ94">
        <v>12.390572390572391</v>
      </c>
      <c r="BK94">
        <v>29677.898989898989</v>
      </c>
      <c r="BL94">
        <v>6.2522851919561244</v>
      </c>
      <c r="BM94">
        <v>14975.473491773308</v>
      </c>
      <c r="BN94">
        <v>8.9221824686940963</v>
      </c>
      <c r="BO94">
        <v>21370.411449016097</v>
      </c>
      <c r="BP94">
        <v>9.3657086223984134</v>
      </c>
      <c r="BQ94">
        <v>22432.74529236868</v>
      </c>
      <c r="BR94">
        <v>21.282467532467532</v>
      </c>
      <c r="BS94">
        <v>50975.766233766226</v>
      </c>
      <c r="BT94">
        <v>11.476510067114095</v>
      </c>
      <c r="BU94">
        <v>27488.536912751679</v>
      </c>
      <c r="BV94">
        <v>9.473684210526315</v>
      </c>
      <c r="BW94">
        <v>22691.36842105263</v>
      </c>
      <c r="BX94">
        <v>6.1071428571428568</v>
      </c>
      <c r="BY94">
        <v>14627.82857142857</v>
      </c>
      <c r="BZ94">
        <v>7.4600355239786857</v>
      </c>
      <c r="CA94">
        <v>17868.277087033748</v>
      </c>
      <c r="CB94">
        <v>10.703363914373089</v>
      </c>
      <c r="CC94">
        <v>25636.697247706419</v>
      </c>
      <c r="CD94">
        <v>13.945028294260307</v>
      </c>
      <c r="CE94">
        <v>33401.131770412285</v>
      </c>
      <c r="CF94">
        <v>9.9539170506912455</v>
      </c>
      <c r="CG94">
        <v>23841.622119815671</v>
      </c>
      <c r="CH94">
        <v>6.6929133858267713</v>
      </c>
      <c r="CI94">
        <v>16030.866141732282</v>
      </c>
      <c r="CJ94">
        <v>8.1964285714285712</v>
      </c>
      <c r="CK94">
        <v>19632.085714285713</v>
      </c>
      <c r="CL94">
        <v>8.3204134366925064</v>
      </c>
      <c r="CM94">
        <v>19929.054263565889</v>
      </c>
      <c r="CN94">
        <v>10.910714285714286</v>
      </c>
      <c r="CO94">
        <v>26133.342857142856</v>
      </c>
      <c r="CP94">
        <v>8.5906374501992033</v>
      </c>
      <c r="CQ94">
        <v>20576.294820717128</v>
      </c>
      <c r="CR94">
        <v>7.644084934277048</v>
      </c>
      <c r="CS94">
        <v>18309.112234580385</v>
      </c>
      <c r="CT94">
        <v>13.405714285714284</v>
      </c>
      <c r="CU94">
        <v>32109.36685714285</v>
      </c>
    </row>
    <row r="95" spans="2:99" x14ac:dyDescent="0.2">
      <c r="B95" s="116" t="s">
        <v>132</v>
      </c>
      <c r="C95" s="116" t="s">
        <v>261</v>
      </c>
      <c r="D95">
        <v>1.806079259213331</v>
      </c>
      <c r="E95">
        <v>3129.5741403648599</v>
      </c>
      <c r="F95">
        <v>12.430753246753246</v>
      </c>
      <c r="G95">
        <v>21540.009225974023</v>
      </c>
      <c r="H95">
        <v>6.0319075251256278</v>
      </c>
      <c r="I95">
        <v>10452.089359537687</v>
      </c>
      <c r="J95">
        <v>14.341463414634147</v>
      </c>
      <c r="K95">
        <v>24850.88780487805</v>
      </c>
      <c r="L95">
        <v>12.268743914313534</v>
      </c>
      <c r="M95">
        <v>21259.279454722491</v>
      </c>
      <c r="N95">
        <v>15.851680185399768</v>
      </c>
      <c r="O95">
        <v>27467.791425260719</v>
      </c>
      <c r="P95">
        <v>5.3302961275626428</v>
      </c>
      <c r="Q95">
        <v>9236.3371298405473</v>
      </c>
      <c r="R95">
        <v>26.955128205128204</v>
      </c>
      <c r="S95">
        <v>46707.846153846149</v>
      </c>
      <c r="T95">
        <v>5.8661825726141084</v>
      </c>
      <c r="U95">
        <v>10164.921161825727</v>
      </c>
      <c r="V95">
        <v>10.758196721311474</v>
      </c>
      <c r="W95">
        <v>18641.803278688523</v>
      </c>
      <c r="X95">
        <v>18.176638176638178</v>
      </c>
      <c r="Y95">
        <v>31496.478632478636</v>
      </c>
      <c r="Z95">
        <v>11.537216828478964</v>
      </c>
      <c r="AA95">
        <v>19991.689320388348</v>
      </c>
      <c r="AB95">
        <v>11.901688182720953</v>
      </c>
      <c r="AC95">
        <v>20623.245283018867</v>
      </c>
      <c r="AD95">
        <v>8.6387434554973819</v>
      </c>
      <c r="AE95">
        <v>14969.214659685864</v>
      </c>
      <c r="AF95">
        <v>7.4660633484162888</v>
      </c>
      <c r="AG95">
        <v>12937.194570135745</v>
      </c>
      <c r="AH95">
        <v>20.872410032715376</v>
      </c>
      <c r="AI95">
        <v>36167.712104689199</v>
      </c>
      <c r="AJ95">
        <v>11.217948717948719</v>
      </c>
      <c r="AK95">
        <v>19438.461538461539</v>
      </c>
      <c r="AL95">
        <v>11.654334038054969</v>
      </c>
      <c r="AM95">
        <v>20194.630021141649</v>
      </c>
      <c r="AN95">
        <v>3.5357142857142856</v>
      </c>
      <c r="AO95">
        <v>6126.6857142857143</v>
      </c>
      <c r="AP95">
        <v>16.573957016434893</v>
      </c>
      <c r="AQ95">
        <v>28719.352718078382</v>
      </c>
      <c r="AR95">
        <v>12.030716723549489</v>
      </c>
      <c r="AS95">
        <v>20846.825938566555</v>
      </c>
      <c r="AT95">
        <v>17.806345733041578</v>
      </c>
      <c r="AU95">
        <v>30854.835886214445</v>
      </c>
      <c r="AV95">
        <v>15.687250996015937</v>
      </c>
      <c r="AW95">
        <v>27182.868525896414</v>
      </c>
      <c r="AX95">
        <v>7.8039585296889733</v>
      </c>
      <c r="AY95">
        <v>13522.699340245053</v>
      </c>
      <c r="AZ95">
        <v>20.371517027863778</v>
      </c>
      <c r="BA95">
        <v>35299.764705882357</v>
      </c>
      <c r="BB95">
        <v>8.2191780821917799</v>
      </c>
      <c r="BC95">
        <v>14242.191780821915</v>
      </c>
      <c r="BD95">
        <v>5.1327433628318584</v>
      </c>
      <c r="BE95">
        <v>8894.0176991150438</v>
      </c>
      <c r="BF95">
        <v>20.721812434141199</v>
      </c>
      <c r="BG95">
        <v>35906.75658587987</v>
      </c>
      <c r="BH95">
        <v>3.7261146496815285</v>
      </c>
      <c r="BI95">
        <v>6456.6114649681522</v>
      </c>
      <c r="BJ95">
        <v>19.36026936026936</v>
      </c>
      <c r="BK95">
        <v>33547.474747474749</v>
      </c>
      <c r="BL95">
        <v>8.555758683729433</v>
      </c>
      <c r="BM95">
        <v>14825.418647166362</v>
      </c>
      <c r="BN95">
        <v>9.8613595706618966</v>
      </c>
      <c r="BO95">
        <v>17087.763864042932</v>
      </c>
      <c r="BP95">
        <v>9.8860257680872152</v>
      </c>
      <c r="BQ95">
        <v>17130.505450941528</v>
      </c>
      <c r="BR95">
        <v>18.506493506493506</v>
      </c>
      <c r="BS95">
        <v>32068.051948051947</v>
      </c>
      <c r="BT95">
        <v>13.288590604026846</v>
      </c>
      <c r="BU95">
        <v>23026.469798657716</v>
      </c>
      <c r="BV95">
        <v>6.7105263157894735</v>
      </c>
      <c r="BW95">
        <v>11628</v>
      </c>
      <c r="BX95">
        <v>4.8214285714285712</v>
      </c>
      <c r="BY95">
        <v>8354.5714285714275</v>
      </c>
      <c r="BZ95">
        <v>7.9262877442273538</v>
      </c>
      <c r="CA95">
        <v>13734.671403197159</v>
      </c>
      <c r="CB95">
        <v>9.6330275229357802</v>
      </c>
      <c r="CC95">
        <v>16692.110091743121</v>
      </c>
      <c r="CD95">
        <v>14.50282942603072</v>
      </c>
      <c r="CE95">
        <v>25130.50282942603</v>
      </c>
      <c r="CF95">
        <v>9.1244239631336406</v>
      </c>
      <c r="CG95">
        <v>15810.801843317971</v>
      </c>
      <c r="CH95">
        <v>10.262467191601051</v>
      </c>
      <c r="CI95">
        <v>17782.803149606301</v>
      </c>
      <c r="CJ95">
        <v>10.607142857142858</v>
      </c>
      <c r="CK95">
        <v>18380.057142857142</v>
      </c>
      <c r="CL95">
        <v>13.669250645994833</v>
      </c>
      <c r="CM95">
        <v>23686.077519379844</v>
      </c>
      <c r="CN95">
        <v>20.982142857142858</v>
      </c>
      <c r="CO95">
        <v>36357.857142857145</v>
      </c>
      <c r="CP95">
        <v>8.9342629482071718</v>
      </c>
      <c r="CQ95">
        <v>15481.290836653387</v>
      </c>
      <c r="CR95">
        <v>7.644084934277048</v>
      </c>
      <c r="CS95">
        <v>13245.670374115269</v>
      </c>
      <c r="CT95">
        <v>17.348571428571429</v>
      </c>
      <c r="CU95">
        <v>30061.604571428572</v>
      </c>
    </row>
    <row r="96" spans="2:99" x14ac:dyDescent="0.2">
      <c r="C96" s="116" t="s">
        <v>262</v>
      </c>
      <c r="D96">
        <v>1.978086807709839</v>
      </c>
      <c r="E96">
        <v>1628.3610601067394</v>
      </c>
      <c r="F96">
        <v>13.893194805194804</v>
      </c>
      <c r="G96">
        <v>11436.877963636362</v>
      </c>
      <c r="H96">
        <v>6.0319075251256278</v>
      </c>
      <c r="I96">
        <v>4965.4662746834165</v>
      </c>
      <c r="J96">
        <v>16.902439024390244</v>
      </c>
      <c r="K96">
        <v>13914.087804878047</v>
      </c>
      <c r="L96">
        <v>14.313534566699124</v>
      </c>
      <c r="M96">
        <v>11782.901655306718</v>
      </c>
      <c r="N96">
        <v>18.823870220162224</v>
      </c>
      <c r="O96">
        <v>15495.809965237542</v>
      </c>
      <c r="P96">
        <v>5.740318906605923</v>
      </c>
      <c r="Q96">
        <v>4725.4305239179957</v>
      </c>
      <c r="R96">
        <v>27.884615384615383</v>
      </c>
      <c r="S96">
        <v>22954.615384615383</v>
      </c>
      <c r="T96">
        <v>6.4730290456431536</v>
      </c>
      <c r="U96">
        <v>5328.5975103734436</v>
      </c>
      <c r="V96">
        <v>13.985655737704917</v>
      </c>
      <c r="W96">
        <v>11512.991803278686</v>
      </c>
      <c r="X96">
        <v>19.82905982905983</v>
      </c>
      <c r="Y96">
        <v>16323.282051282051</v>
      </c>
      <c r="Z96">
        <v>11.16504854368932</v>
      </c>
      <c r="AA96">
        <v>9191.0679611650467</v>
      </c>
      <c r="AB96">
        <v>14.702085402184707</v>
      </c>
      <c r="AC96">
        <v>12102.75670307845</v>
      </c>
      <c r="AD96">
        <v>9.6753926701570681</v>
      </c>
      <c r="AE96">
        <v>7964.783246073298</v>
      </c>
      <c r="AF96">
        <v>8.8235294117647065</v>
      </c>
      <c r="AG96">
        <v>7263.5294117647054</v>
      </c>
      <c r="AH96">
        <v>25.616139585605232</v>
      </c>
      <c r="AI96">
        <v>21087.206106870224</v>
      </c>
      <c r="AJ96">
        <v>14.022435897435896</v>
      </c>
      <c r="AK96">
        <v>11543.269230769229</v>
      </c>
      <c r="AL96">
        <v>13.874207188160677</v>
      </c>
      <c r="AM96">
        <v>11421.247357293869</v>
      </c>
      <c r="AN96">
        <v>3.6964285714285716</v>
      </c>
      <c r="AO96">
        <v>3042.9</v>
      </c>
      <c r="AP96">
        <v>19.190897597977244</v>
      </c>
      <c r="AQ96">
        <v>15797.946902654867</v>
      </c>
      <c r="AR96">
        <v>13.835324232081911</v>
      </c>
      <c r="AS96">
        <v>11389.238907849829</v>
      </c>
      <c r="AT96">
        <v>19.529540481400439</v>
      </c>
      <c r="AU96">
        <v>16076.717724288839</v>
      </c>
      <c r="AV96">
        <v>16.210159362549803</v>
      </c>
      <c r="AW96">
        <v>13344.203187250996</v>
      </c>
      <c r="AX96">
        <v>8.4542884071630535</v>
      </c>
      <c r="AY96">
        <v>6959.5702167766249</v>
      </c>
      <c r="AZ96">
        <v>18.91640866873065</v>
      </c>
      <c r="BA96">
        <v>15571.98761609907</v>
      </c>
      <c r="BB96">
        <v>9.7602739726027394</v>
      </c>
      <c r="BC96">
        <v>8034.6575342465749</v>
      </c>
      <c r="BD96">
        <v>5.1327433628318584</v>
      </c>
      <c r="BE96">
        <v>4225.2743362831852</v>
      </c>
      <c r="BF96">
        <v>21.622760800842993</v>
      </c>
      <c r="BG96">
        <v>17799.85669125395</v>
      </c>
      <c r="BH96">
        <v>3.9331210191082802</v>
      </c>
      <c r="BI96">
        <v>3237.7452229299361</v>
      </c>
      <c r="BJ96">
        <v>22.457912457912457</v>
      </c>
      <c r="BK96">
        <v>18487.353535353534</v>
      </c>
      <c r="BL96">
        <v>9.2138939670932363</v>
      </c>
      <c r="BM96">
        <v>7584.8775137111516</v>
      </c>
      <c r="BN96">
        <v>9.3917710196779964</v>
      </c>
      <c r="BO96">
        <v>7731.3059033989257</v>
      </c>
      <c r="BP96">
        <v>8.8453914767096133</v>
      </c>
      <c r="BQ96">
        <v>7281.5262636273528</v>
      </c>
      <c r="BR96">
        <v>23.133116883116884</v>
      </c>
      <c r="BS96">
        <v>19043.181818181816</v>
      </c>
      <c r="BT96">
        <v>14.496644295302014</v>
      </c>
      <c r="BU96">
        <v>11933.637583892616</v>
      </c>
      <c r="BV96">
        <v>7.5</v>
      </c>
      <c r="BW96">
        <v>6173.9999999999991</v>
      </c>
      <c r="BX96">
        <v>5.4642857142857144</v>
      </c>
      <c r="BY96">
        <v>4498.2</v>
      </c>
      <c r="BZ96">
        <v>9.7912966252220244</v>
      </c>
      <c r="CA96">
        <v>8060.1953818827697</v>
      </c>
      <c r="CB96">
        <v>10.168195718654435</v>
      </c>
      <c r="CC96">
        <v>8370.4587155963291</v>
      </c>
      <c r="CD96">
        <v>17.291835084882781</v>
      </c>
      <c r="CE96">
        <v>14234.638641875505</v>
      </c>
      <c r="CF96">
        <v>9.5391705069124431</v>
      </c>
      <c r="CG96">
        <v>7852.6451612903229</v>
      </c>
      <c r="CH96">
        <v>10.708661417322835</v>
      </c>
      <c r="CI96">
        <v>8815.3700787401576</v>
      </c>
      <c r="CJ96">
        <v>11.089285714285714</v>
      </c>
      <c r="CK96">
        <v>9128.6999999999989</v>
      </c>
      <c r="CL96">
        <v>14.857881136950905</v>
      </c>
      <c r="CM96">
        <v>12231.007751937983</v>
      </c>
      <c r="CN96">
        <v>19.303571428571427</v>
      </c>
      <c r="CO96">
        <v>15890.699999999997</v>
      </c>
      <c r="CP96">
        <v>10.308764940239044</v>
      </c>
      <c r="CQ96">
        <v>8486.1752988047811</v>
      </c>
      <c r="CR96">
        <v>8.0080889787664304</v>
      </c>
      <c r="CS96">
        <v>6592.2588473205251</v>
      </c>
      <c r="CT96">
        <v>21.291428571428572</v>
      </c>
      <c r="CU96">
        <v>17527.103999999999</v>
      </c>
    </row>
    <row r="97" spans="2:99" x14ac:dyDescent="0.2">
      <c r="C97" s="116" t="s">
        <v>263</v>
      </c>
      <c r="D97">
        <v>1.892083033461585</v>
      </c>
      <c r="E97">
        <v>3460.2414515945466</v>
      </c>
      <c r="F97">
        <v>12.430753246753246</v>
      </c>
      <c r="G97">
        <v>22733.361537662335</v>
      </c>
      <c r="H97">
        <v>5.62978035678392</v>
      </c>
      <c r="I97">
        <v>10295.742316486432</v>
      </c>
      <c r="J97">
        <v>12.804878048780488</v>
      </c>
      <c r="K97">
        <v>23417.560975609755</v>
      </c>
      <c r="L97">
        <v>13.291139240506329</v>
      </c>
      <c r="M97">
        <v>24306.835443037973</v>
      </c>
      <c r="N97">
        <v>17.83314020857474</v>
      </c>
      <c r="O97">
        <v>32613.246813441485</v>
      </c>
      <c r="P97">
        <v>5.3302961275626428</v>
      </c>
      <c r="Q97">
        <v>9748.04555808656</v>
      </c>
      <c r="R97">
        <v>27.884615384615383</v>
      </c>
      <c r="S97">
        <v>50995.38461538461</v>
      </c>
      <c r="T97">
        <v>5.6639004149377596</v>
      </c>
      <c r="U97">
        <v>10358.141078838175</v>
      </c>
      <c r="V97">
        <v>11.834016393442623</v>
      </c>
      <c r="W97">
        <v>21642.049180327867</v>
      </c>
      <c r="X97">
        <v>19.002849002849004</v>
      </c>
      <c r="Y97">
        <v>34752.410256410258</v>
      </c>
      <c r="Z97">
        <v>10.420711974110032</v>
      </c>
      <c r="AA97">
        <v>19057.398058252427</v>
      </c>
      <c r="AB97">
        <v>11.901688182720953</v>
      </c>
      <c r="AC97">
        <v>21765.80734856008</v>
      </c>
      <c r="AD97">
        <v>8.2931937172774877</v>
      </c>
      <c r="AE97">
        <v>15166.59267015707</v>
      </c>
      <c r="AF97">
        <v>7.1266968325791851</v>
      </c>
      <c r="AG97">
        <v>13033.303167420814</v>
      </c>
      <c r="AH97">
        <v>22.769901853871318</v>
      </c>
      <c r="AI97">
        <v>41641.596510359865</v>
      </c>
      <c r="AJ97">
        <v>11.778846153846153</v>
      </c>
      <c r="AK97">
        <v>21541.153846153844</v>
      </c>
      <c r="AL97">
        <v>12.209302325581396</v>
      </c>
      <c r="AM97">
        <v>22328.372093023256</v>
      </c>
      <c r="AN97">
        <v>3.5357142857142856</v>
      </c>
      <c r="AO97">
        <v>6466.114285714285</v>
      </c>
      <c r="AP97">
        <v>16.573957016434893</v>
      </c>
      <c r="AQ97">
        <v>30310.452591656132</v>
      </c>
      <c r="AR97">
        <v>12.632252559726963</v>
      </c>
      <c r="AS97">
        <v>23101.863481228669</v>
      </c>
      <c r="AT97">
        <v>15.508752735229761</v>
      </c>
      <c r="AU97">
        <v>28362.407002188185</v>
      </c>
      <c r="AV97">
        <v>15.164342629482071</v>
      </c>
      <c r="AW97">
        <v>27732.549800796813</v>
      </c>
      <c r="AX97">
        <v>7.1536286522148922</v>
      </c>
      <c r="AY97">
        <v>13082.556079170594</v>
      </c>
      <c r="AZ97">
        <v>17.461300309597526</v>
      </c>
      <c r="BA97">
        <v>31933.226006191955</v>
      </c>
      <c r="BB97">
        <v>8.2191780821917799</v>
      </c>
      <c r="BC97">
        <v>15031.232876712327</v>
      </c>
      <c r="BD97">
        <v>4.6017699115044248</v>
      </c>
      <c r="BE97">
        <v>8415.716814159292</v>
      </c>
      <c r="BF97">
        <v>19.820864067439413</v>
      </c>
      <c r="BG97">
        <v>36248.396206533194</v>
      </c>
      <c r="BH97">
        <v>4.1401273885350314</v>
      </c>
      <c r="BI97">
        <v>7571.4649681528654</v>
      </c>
      <c r="BJ97">
        <v>23.232323232323232</v>
      </c>
      <c r="BK97">
        <v>42487.272727272728</v>
      </c>
      <c r="BL97">
        <v>9.2138939670932363</v>
      </c>
      <c r="BM97">
        <v>16850.369287020108</v>
      </c>
      <c r="BN97">
        <v>9.3917710196779964</v>
      </c>
      <c r="BO97">
        <v>17175.670840787119</v>
      </c>
      <c r="BP97">
        <v>8.3250743310208133</v>
      </c>
      <c r="BQ97">
        <v>15224.895936570863</v>
      </c>
      <c r="BR97">
        <v>21.282467532467532</v>
      </c>
      <c r="BS97">
        <v>38921.376623376622</v>
      </c>
      <c r="BT97">
        <v>11.476510067114095</v>
      </c>
      <c r="BU97">
        <v>20988.241610738256</v>
      </c>
      <c r="BV97">
        <v>6.7105263157894735</v>
      </c>
      <c r="BW97">
        <v>12272.210526315788</v>
      </c>
      <c r="BX97">
        <v>5.4642857142857144</v>
      </c>
      <c r="BY97">
        <v>9993.0857142857149</v>
      </c>
      <c r="BZ97">
        <v>8.3925399644760219</v>
      </c>
      <c r="CA97">
        <v>15348.277087033748</v>
      </c>
      <c r="CB97">
        <v>9.6330275229357802</v>
      </c>
      <c r="CC97">
        <v>17616.880733944956</v>
      </c>
      <c r="CD97">
        <v>13.387227162489896</v>
      </c>
      <c r="CE97">
        <v>24482.561034761522</v>
      </c>
      <c r="CF97">
        <v>9.5391705069124431</v>
      </c>
      <c r="CG97">
        <v>17445.235023041474</v>
      </c>
      <c r="CH97">
        <v>10.262467191601051</v>
      </c>
      <c r="CI97">
        <v>18768</v>
      </c>
      <c r="CJ97">
        <v>10.125</v>
      </c>
      <c r="CK97">
        <v>18516.599999999999</v>
      </c>
      <c r="CL97">
        <v>14.857881136950905</v>
      </c>
      <c r="CM97">
        <v>27172.093023255813</v>
      </c>
      <c r="CN97">
        <v>20.142857142857142</v>
      </c>
      <c r="CO97">
        <v>36837.257142857139</v>
      </c>
      <c r="CP97">
        <v>8.9342629482071718</v>
      </c>
      <c r="CQ97">
        <v>16338.980079681276</v>
      </c>
      <c r="CR97">
        <v>7.644084934277048</v>
      </c>
      <c r="CS97">
        <v>13979.502527805866</v>
      </c>
      <c r="CT97">
        <v>17.348571428571429</v>
      </c>
      <c r="CU97">
        <v>31727.067428571427</v>
      </c>
    </row>
    <row r="98" spans="2:99" x14ac:dyDescent="0.2">
      <c r="C98" s="116" t="s">
        <v>264</v>
      </c>
      <c r="D98">
        <v>1.978086807709839</v>
      </c>
      <c r="E98">
        <v>2499.5104902221524</v>
      </c>
      <c r="F98">
        <v>13.161974025974025</v>
      </c>
      <c r="G98">
        <v>16631.470379220777</v>
      </c>
      <c r="H98">
        <v>6.8361618618090452</v>
      </c>
      <c r="I98">
        <v>8638.174128581908</v>
      </c>
      <c r="J98">
        <v>13.317073170731708</v>
      </c>
      <c r="K98">
        <v>16827.453658536586</v>
      </c>
      <c r="L98">
        <v>12.779941577409932</v>
      </c>
      <c r="M98">
        <v>16148.734177215189</v>
      </c>
      <c r="N98">
        <v>15.851680185399768</v>
      </c>
      <c r="O98">
        <v>20030.183082271145</v>
      </c>
      <c r="P98">
        <v>5.740318906605923</v>
      </c>
      <c r="Q98">
        <v>7253.4669703872441</v>
      </c>
      <c r="R98">
        <v>26.025641025641026</v>
      </c>
      <c r="S98">
        <v>32886</v>
      </c>
      <c r="T98">
        <v>5.0570539419087144</v>
      </c>
      <c r="U98">
        <v>6390.0933609958511</v>
      </c>
      <c r="V98">
        <v>11.834016393442623</v>
      </c>
      <c r="W98">
        <v>14953.463114754097</v>
      </c>
      <c r="X98">
        <v>20.655270655270655</v>
      </c>
      <c r="Y98">
        <v>26099.999999999996</v>
      </c>
      <c r="Z98">
        <v>10.048543689320388</v>
      </c>
      <c r="AA98">
        <v>12697.339805825241</v>
      </c>
      <c r="AB98">
        <v>11.901688182720953</v>
      </c>
      <c r="AC98">
        <v>15038.973187686195</v>
      </c>
      <c r="AD98">
        <v>8.9842931937172779</v>
      </c>
      <c r="AE98">
        <v>11352.552879581152</v>
      </c>
      <c r="AF98">
        <v>8.8235294117647065</v>
      </c>
      <c r="AG98">
        <v>11149.411764705883</v>
      </c>
      <c r="AH98">
        <v>24.667393675027263</v>
      </c>
      <c r="AI98">
        <v>31169.718647764446</v>
      </c>
      <c r="AJ98">
        <v>12.339743589743589</v>
      </c>
      <c r="AK98">
        <v>15592.499999999998</v>
      </c>
      <c r="AL98">
        <v>13.319238900634248</v>
      </c>
      <c r="AM98">
        <v>16830.190274841436</v>
      </c>
      <c r="AN98">
        <v>3.6964285714285716</v>
      </c>
      <c r="AO98">
        <v>4670.8071428571429</v>
      </c>
      <c r="AP98">
        <v>17.446270543615675</v>
      </c>
      <c r="AQ98">
        <v>22045.107458912767</v>
      </c>
      <c r="AR98">
        <v>14.436860068259385</v>
      </c>
      <c r="AS98">
        <v>18242.416382252559</v>
      </c>
      <c r="AT98">
        <v>17.23194748358862</v>
      </c>
      <c r="AU98">
        <v>21774.288840262579</v>
      </c>
      <c r="AV98">
        <v>15.687250996015937</v>
      </c>
      <c r="AW98">
        <v>19822.410358565736</v>
      </c>
      <c r="AX98">
        <v>8.7794533459000945</v>
      </c>
      <c r="AY98">
        <v>11093.717247879358</v>
      </c>
      <c r="AZ98">
        <v>18.188854489164086</v>
      </c>
      <c r="BA98">
        <v>22983.436532507738</v>
      </c>
      <c r="BB98">
        <v>8.2191780821917799</v>
      </c>
      <c r="BC98">
        <v>10385.753424657532</v>
      </c>
      <c r="BD98">
        <v>5.663716814159292</v>
      </c>
      <c r="BE98">
        <v>7156.6725663716807</v>
      </c>
      <c r="BF98">
        <v>21.622760800842993</v>
      </c>
      <c r="BG98">
        <v>27322.520547945205</v>
      </c>
      <c r="BH98">
        <v>3.7261146496815285</v>
      </c>
      <c r="BI98">
        <v>4708.3184713375795</v>
      </c>
      <c r="BJ98">
        <v>24.006734006734007</v>
      </c>
      <c r="BK98">
        <v>30334.909090909088</v>
      </c>
      <c r="BL98">
        <v>8.2266910420475323</v>
      </c>
      <c r="BM98">
        <v>10395.246800731262</v>
      </c>
      <c r="BN98">
        <v>9.8613595706618966</v>
      </c>
      <c r="BO98">
        <v>12460.813953488372</v>
      </c>
      <c r="BP98">
        <v>10.406342913776015</v>
      </c>
      <c r="BQ98">
        <v>13149.454905847371</v>
      </c>
      <c r="BR98">
        <v>23.133116883116884</v>
      </c>
      <c r="BS98">
        <v>29231.006493506491</v>
      </c>
      <c r="BT98">
        <v>12.684563758389261</v>
      </c>
      <c r="BU98">
        <v>16028.214765100669</v>
      </c>
      <c r="BV98">
        <v>6.7105263157894735</v>
      </c>
      <c r="BW98">
        <v>8479.4210526315783</v>
      </c>
      <c r="BX98">
        <v>5.4642857142857144</v>
      </c>
      <c r="BY98">
        <v>6904.6714285714279</v>
      </c>
      <c r="BZ98">
        <v>8.3925399644760219</v>
      </c>
      <c r="CA98">
        <v>10604.8134991119</v>
      </c>
      <c r="CB98">
        <v>9.0978593272171242</v>
      </c>
      <c r="CC98">
        <v>11496.055045871557</v>
      </c>
      <c r="CD98">
        <v>15.618431689571542</v>
      </c>
      <c r="CE98">
        <v>19735.450282942598</v>
      </c>
      <c r="CF98">
        <v>10.368663594470046</v>
      </c>
      <c r="CG98">
        <v>13101.843317972349</v>
      </c>
      <c r="CH98">
        <v>9.8162729658792642</v>
      </c>
      <c r="CI98">
        <v>12403.842519685037</v>
      </c>
      <c r="CJ98">
        <v>11.089285714285714</v>
      </c>
      <c r="CK98">
        <v>14012.421428571426</v>
      </c>
      <c r="CL98">
        <v>16.046511627906977</v>
      </c>
      <c r="CM98">
        <v>20276.372093023256</v>
      </c>
      <c r="CN98">
        <v>20.142857142857142</v>
      </c>
      <c r="CO98">
        <v>25452.514285714282</v>
      </c>
      <c r="CP98">
        <v>8.5906374501992033</v>
      </c>
      <c r="CQ98">
        <v>10855.129482071712</v>
      </c>
      <c r="CR98">
        <v>8.3720930232558146</v>
      </c>
      <c r="CS98">
        <v>10578.976744186046</v>
      </c>
      <c r="CT98">
        <v>20.502857142857142</v>
      </c>
      <c r="CU98">
        <v>25907.410285714283</v>
      </c>
    </row>
    <row r="99" spans="2:99" x14ac:dyDescent="0.2">
      <c r="C99" s="116" t="s">
        <v>265</v>
      </c>
      <c r="D99">
        <v>1.4620641622203157</v>
      </c>
      <c r="E99">
        <v>8014.4509116268819</v>
      </c>
      <c r="F99">
        <v>8.7746493506493497</v>
      </c>
      <c r="G99">
        <v>48099.117880519472</v>
      </c>
      <c r="H99">
        <v>4.0212716834170861</v>
      </c>
      <c r="I99">
        <v>22043.002859819098</v>
      </c>
      <c r="J99">
        <v>10.24390243902439</v>
      </c>
      <c r="K99">
        <v>56152.975609756097</v>
      </c>
      <c r="L99">
        <v>9.2015579357351509</v>
      </c>
      <c r="M99">
        <v>50439.2599805258</v>
      </c>
      <c r="N99">
        <v>12.879490150637311</v>
      </c>
      <c r="O99">
        <v>70600.213209733483</v>
      </c>
      <c r="P99">
        <v>3.8952164009111616</v>
      </c>
      <c r="Q99">
        <v>21352.01822323462</v>
      </c>
      <c r="R99">
        <v>18.589743589743591</v>
      </c>
      <c r="S99">
        <v>101901.53846153845</v>
      </c>
      <c r="T99">
        <v>4.0456431535269708</v>
      </c>
      <c r="U99">
        <v>22176.597510373442</v>
      </c>
      <c r="V99">
        <v>8.0686475409836067</v>
      </c>
      <c r="W99">
        <v>44229.098360655735</v>
      </c>
      <c r="X99">
        <v>12.393162393162394</v>
      </c>
      <c r="Y99">
        <v>67934.358974358969</v>
      </c>
      <c r="Z99">
        <v>7.0711974110032365</v>
      </c>
      <c r="AA99">
        <v>38761.475728155339</v>
      </c>
      <c r="AB99">
        <v>8.4011916583912623</v>
      </c>
      <c r="AC99">
        <v>46051.972194637536</v>
      </c>
      <c r="AD99">
        <v>6.2198952879581153</v>
      </c>
      <c r="AE99">
        <v>34094.978010471204</v>
      </c>
      <c r="AF99">
        <v>5.7692307692307692</v>
      </c>
      <c r="AG99">
        <v>31624.615384615379</v>
      </c>
      <c r="AH99">
        <v>17.077426390403492</v>
      </c>
      <c r="AI99">
        <v>93611.620501635771</v>
      </c>
      <c r="AJ99">
        <v>7.8525641025641031</v>
      </c>
      <c r="AK99">
        <v>43044.615384615383</v>
      </c>
      <c r="AL99">
        <v>8.3245243128964059</v>
      </c>
      <c r="AM99">
        <v>45631.712473572938</v>
      </c>
      <c r="AN99">
        <v>2.4107142857142856</v>
      </c>
      <c r="AO99">
        <v>13214.571428571426</v>
      </c>
      <c r="AP99">
        <v>13.957016434892543</v>
      </c>
      <c r="AQ99">
        <v>76506.781289506951</v>
      </c>
      <c r="AR99">
        <v>9.0230375426621166</v>
      </c>
      <c r="AS99">
        <v>49460.682593856654</v>
      </c>
      <c r="AT99">
        <v>10.913566739606127</v>
      </c>
      <c r="AU99">
        <v>59823.807439824937</v>
      </c>
      <c r="AV99">
        <v>10.458167330677291</v>
      </c>
      <c r="AW99">
        <v>57327.490039840632</v>
      </c>
      <c r="AX99">
        <v>5.202639019792648</v>
      </c>
      <c r="AY99">
        <v>28518.786050895375</v>
      </c>
      <c r="AZ99">
        <v>11.640866873065015</v>
      </c>
      <c r="BA99">
        <v>63810.57585139318</v>
      </c>
      <c r="BB99">
        <v>5.6506849315068486</v>
      </c>
      <c r="BC99">
        <v>30974.794520547937</v>
      </c>
      <c r="BD99">
        <v>3.5398230088495573</v>
      </c>
      <c r="BE99">
        <v>19403.89380530973</v>
      </c>
      <c r="BF99">
        <v>13.514225500526871</v>
      </c>
      <c r="BG99">
        <v>74079.578503688084</v>
      </c>
      <c r="BH99">
        <v>2.4840764331210194</v>
      </c>
      <c r="BI99">
        <v>13616.713375796178</v>
      </c>
      <c r="BJ99">
        <v>14.713804713804715</v>
      </c>
      <c r="BK99">
        <v>80655.191919191915</v>
      </c>
      <c r="BL99">
        <v>5.9232175502742228</v>
      </c>
      <c r="BM99">
        <v>32468.709323583178</v>
      </c>
      <c r="BN99">
        <v>7.0438282647584973</v>
      </c>
      <c r="BO99">
        <v>38611.449016100174</v>
      </c>
      <c r="BP99">
        <v>5.7234886025768086</v>
      </c>
      <c r="BQ99">
        <v>31373.875123885031</v>
      </c>
      <c r="BR99">
        <v>12.954545454545455</v>
      </c>
      <c r="BS99">
        <v>71011.636363636353</v>
      </c>
      <c r="BT99">
        <v>8.4563758389261743</v>
      </c>
      <c r="BU99">
        <v>46354.469798657716</v>
      </c>
      <c r="BV99">
        <v>4.7368421052631575</v>
      </c>
      <c r="BW99">
        <v>25965.473684210523</v>
      </c>
      <c r="BX99">
        <v>3.8571428571428572</v>
      </c>
      <c r="BY99">
        <v>21143.314285714285</v>
      </c>
      <c r="BZ99">
        <v>5.5950266429840143</v>
      </c>
      <c r="CA99">
        <v>30669.698046181169</v>
      </c>
      <c r="CB99">
        <v>6.4220183486238529</v>
      </c>
      <c r="CC99">
        <v>35202.935779816507</v>
      </c>
      <c r="CD99">
        <v>10.598221503637832</v>
      </c>
      <c r="CE99">
        <v>58095.210994341134</v>
      </c>
      <c r="CF99">
        <v>7.0506912442396308</v>
      </c>
      <c r="CG99">
        <v>38649.069124423957</v>
      </c>
      <c r="CH99">
        <v>6.6929133858267713</v>
      </c>
      <c r="CI99">
        <v>36687.874015748028</v>
      </c>
      <c r="CJ99">
        <v>7.2321428571428568</v>
      </c>
      <c r="CK99">
        <v>39643.714285714283</v>
      </c>
      <c r="CL99">
        <v>8.9147286821705425</v>
      </c>
      <c r="CM99">
        <v>48866.976744186039</v>
      </c>
      <c r="CN99">
        <v>14.267857142857144</v>
      </c>
      <c r="CO99">
        <v>78210.685714285719</v>
      </c>
      <c r="CP99">
        <v>5.4980079681274896</v>
      </c>
      <c r="CQ99">
        <v>30137.880478087645</v>
      </c>
      <c r="CR99">
        <v>5.0960566228513651</v>
      </c>
      <c r="CS99">
        <v>27934.543983822041</v>
      </c>
      <c r="CT99">
        <v>13.405714285714284</v>
      </c>
      <c r="CU99">
        <v>73484.763428571416</v>
      </c>
    </row>
    <row r="100" spans="2:99" x14ac:dyDescent="0.2">
      <c r="C100" s="116" t="s">
        <v>266</v>
      </c>
      <c r="D100">
        <v>1.892083033461585</v>
      </c>
      <c r="E100">
        <v>3069.7155134880754</v>
      </c>
      <c r="F100">
        <v>13.161974025974025</v>
      </c>
      <c r="G100">
        <v>21353.986659740258</v>
      </c>
      <c r="H100">
        <v>5.62978035678392</v>
      </c>
      <c r="I100">
        <v>9133.7556508462312</v>
      </c>
      <c r="J100">
        <v>13.317073170731708</v>
      </c>
      <c r="K100">
        <v>21605.61951219512</v>
      </c>
      <c r="L100">
        <v>14.313534566699124</v>
      </c>
      <c r="M100">
        <v>23222.278481012658</v>
      </c>
      <c r="N100">
        <v>15.851680185399768</v>
      </c>
      <c r="O100">
        <v>25717.765932792583</v>
      </c>
      <c r="P100">
        <v>5.1252847380410023</v>
      </c>
      <c r="Q100">
        <v>8315.2619589977221</v>
      </c>
      <c r="R100">
        <v>25.096153846153847</v>
      </c>
      <c r="S100">
        <v>40716</v>
      </c>
      <c r="T100">
        <v>5.8661825726141084</v>
      </c>
      <c r="U100">
        <v>9517.2946058091293</v>
      </c>
      <c r="V100">
        <v>11.834016393442623</v>
      </c>
      <c r="W100">
        <v>19199.508196721308</v>
      </c>
      <c r="X100">
        <v>17.350427350427349</v>
      </c>
      <c r="Y100">
        <v>28149.333333333328</v>
      </c>
      <c r="Z100">
        <v>11.16504854368932</v>
      </c>
      <c r="AA100">
        <v>18114.174757281551</v>
      </c>
      <c r="AB100">
        <v>11.201588877855015</v>
      </c>
      <c r="AC100">
        <v>18173.457795431976</v>
      </c>
      <c r="AD100">
        <v>9.3298429319371738</v>
      </c>
      <c r="AE100">
        <v>15136.737172774869</v>
      </c>
      <c r="AF100">
        <v>8.1447963800904972</v>
      </c>
      <c r="AG100">
        <v>13214.117647058822</v>
      </c>
      <c r="AH100">
        <v>20.872410032715376</v>
      </c>
      <c r="AI100">
        <v>33863.398037077422</v>
      </c>
      <c r="AJ100">
        <v>11.778846153846153</v>
      </c>
      <c r="AK100">
        <v>19109.999999999996</v>
      </c>
      <c r="AL100">
        <v>13.874207188160677</v>
      </c>
      <c r="AM100">
        <v>22509.513742071878</v>
      </c>
      <c r="AN100">
        <v>3.375</v>
      </c>
      <c r="AO100">
        <v>5475.5999999999995</v>
      </c>
      <c r="AP100">
        <v>19.190897597977244</v>
      </c>
      <c r="AQ100">
        <v>31135.312262958279</v>
      </c>
      <c r="AR100">
        <v>12.030716723549489</v>
      </c>
      <c r="AS100">
        <v>19518.634812286688</v>
      </c>
      <c r="AT100">
        <v>16.083150984682714</v>
      </c>
      <c r="AU100">
        <v>26093.304157549232</v>
      </c>
      <c r="AV100">
        <v>15.687250996015937</v>
      </c>
      <c r="AW100">
        <v>25450.996015936253</v>
      </c>
      <c r="AX100">
        <v>8.4542884071630535</v>
      </c>
      <c r="AY100">
        <v>13716.237511781337</v>
      </c>
      <c r="AZ100">
        <v>19.643962848297214</v>
      </c>
      <c r="BA100">
        <v>31870.365325077397</v>
      </c>
      <c r="BB100">
        <v>8.2191780821917799</v>
      </c>
      <c r="BC100">
        <v>13334.794520547943</v>
      </c>
      <c r="BD100">
        <v>4.778761061946903</v>
      </c>
      <c r="BE100">
        <v>7753.0619469026551</v>
      </c>
      <c r="BF100">
        <v>18.018967334035828</v>
      </c>
      <c r="BG100">
        <v>29233.972602739726</v>
      </c>
      <c r="BH100">
        <v>3.7261146496815285</v>
      </c>
      <c r="BI100">
        <v>6045.2484076433111</v>
      </c>
      <c r="BJ100">
        <v>20.134680134680135</v>
      </c>
      <c r="BK100">
        <v>32666.505050505049</v>
      </c>
      <c r="BL100">
        <v>8.8848263254113355</v>
      </c>
      <c r="BM100">
        <v>14414.74223034735</v>
      </c>
      <c r="BN100">
        <v>10.330948121645797</v>
      </c>
      <c r="BO100">
        <v>16760.930232558138</v>
      </c>
      <c r="BP100">
        <v>9.3657086223984134</v>
      </c>
      <c r="BQ100">
        <v>15194.925668979186</v>
      </c>
      <c r="BR100">
        <v>19.431818181818183</v>
      </c>
      <c r="BS100">
        <v>31526.18181818182</v>
      </c>
      <c r="BT100">
        <v>13.288590604026846</v>
      </c>
      <c r="BU100">
        <v>21559.409395973151</v>
      </c>
      <c r="BV100">
        <v>7.1052631578947363</v>
      </c>
      <c r="BW100">
        <v>11527.57894736842</v>
      </c>
      <c r="BX100">
        <v>5.4642857142857144</v>
      </c>
      <c r="BY100">
        <v>8865.2571428571428</v>
      </c>
      <c r="BZ100">
        <v>8.3925399644760219</v>
      </c>
      <c r="CA100">
        <v>13616.056838365897</v>
      </c>
      <c r="CB100">
        <v>9.0978593272171242</v>
      </c>
      <c r="CC100">
        <v>14760.366972477061</v>
      </c>
      <c r="CD100">
        <v>15.618431689571542</v>
      </c>
      <c r="CE100">
        <v>25339.34357316087</v>
      </c>
      <c r="CF100">
        <v>8.7096774193548381</v>
      </c>
      <c r="CG100">
        <v>14130.580645161288</v>
      </c>
      <c r="CH100">
        <v>10.262467191601051</v>
      </c>
      <c r="CI100">
        <v>16649.826771653545</v>
      </c>
      <c r="CJ100">
        <v>10.607142857142858</v>
      </c>
      <c r="CK100">
        <v>17209.028571428571</v>
      </c>
      <c r="CL100">
        <v>13.669250645994833</v>
      </c>
      <c r="CM100">
        <v>22176.992248062015</v>
      </c>
      <c r="CN100">
        <v>19.303571428571427</v>
      </c>
      <c r="CO100">
        <v>31318.11428571428</v>
      </c>
      <c r="CP100">
        <v>9.2778884462151403</v>
      </c>
      <c r="CQ100">
        <v>15052.446215139442</v>
      </c>
      <c r="CR100">
        <v>7.644084934277048</v>
      </c>
      <c r="CS100">
        <v>12401.763397371082</v>
      </c>
      <c r="CT100">
        <v>17.348571428571429</v>
      </c>
      <c r="CU100">
        <v>28146.322285714283</v>
      </c>
    </row>
    <row r="101" spans="2:99" x14ac:dyDescent="0.2">
      <c r="C101" s="116" t="s">
        <v>267</v>
      </c>
      <c r="D101">
        <v>2.1500943562063468</v>
      </c>
      <c r="E101">
        <v>2559.4723216280349</v>
      </c>
      <c r="F101">
        <v>13.893194805194804</v>
      </c>
      <c r="G101">
        <v>16538.459096103892</v>
      </c>
      <c r="H101">
        <v>6.8361618618090452</v>
      </c>
      <c r="I101">
        <v>8137.7670802974862</v>
      </c>
      <c r="J101">
        <v>13.829268292682926</v>
      </c>
      <c r="K101">
        <v>16462.360975609754</v>
      </c>
      <c r="L101">
        <v>12.779941577409932</v>
      </c>
      <c r="M101">
        <v>15213.242453748782</v>
      </c>
      <c r="N101">
        <v>16.842410196987252</v>
      </c>
      <c r="O101">
        <v>20049.205098493621</v>
      </c>
      <c r="P101">
        <v>5.9453302961275627</v>
      </c>
      <c r="Q101">
        <v>7077.3211845102496</v>
      </c>
      <c r="R101">
        <v>26.955128205128204</v>
      </c>
      <c r="S101">
        <v>32087.38461538461</v>
      </c>
      <c r="T101">
        <v>6.0684647302904562</v>
      </c>
      <c r="U101">
        <v>7223.9004149377579</v>
      </c>
      <c r="V101">
        <v>11.834016393442623</v>
      </c>
      <c r="W101">
        <v>14087.213114754097</v>
      </c>
      <c r="X101">
        <v>19.002849002849004</v>
      </c>
      <c r="Y101">
        <v>22620.991452991453</v>
      </c>
      <c r="Z101">
        <v>10.420711974110032</v>
      </c>
      <c r="AA101">
        <v>12404.815533980582</v>
      </c>
      <c r="AB101">
        <v>11.901688182720953</v>
      </c>
      <c r="AC101">
        <v>14167.769612711021</v>
      </c>
      <c r="AD101">
        <v>10.020942408376964</v>
      </c>
      <c r="AE101">
        <v>11928.929842931937</v>
      </c>
      <c r="AF101">
        <v>7.8054298642533935</v>
      </c>
      <c r="AG101">
        <v>9291.583710407238</v>
      </c>
      <c r="AH101">
        <v>20.872410032715376</v>
      </c>
      <c r="AI101">
        <v>24846.516902944379</v>
      </c>
      <c r="AJ101">
        <v>11.778846153846153</v>
      </c>
      <c r="AK101">
        <v>14021.538461538459</v>
      </c>
      <c r="AL101">
        <v>13.319238900634248</v>
      </c>
      <c r="AM101">
        <v>15855.221987315008</v>
      </c>
      <c r="AN101">
        <v>3.375</v>
      </c>
      <c r="AO101">
        <v>4017.5999999999995</v>
      </c>
      <c r="AP101">
        <v>19.190897597977244</v>
      </c>
      <c r="AQ101">
        <v>22844.844500632109</v>
      </c>
      <c r="AR101">
        <v>12.632252559726963</v>
      </c>
      <c r="AS101">
        <v>15037.433447098974</v>
      </c>
      <c r="AT101">
        <v>18.380743982494529</v>
      </c>
      <c r="AU101">
        <v>21880.437636761486</v>
      </c>
      <c r="AV101">
        <v>15.687250996015937</v>
      </c>
      <c r="AW101">
        <v>18674.103585657369</v>
      </c>
      <c r="AX101">
        <v>7.4787935909519323</v>
      </c>
      <c r="AY101">
        <v>8902.7558906691793</v>
      </c>
      <c r="AZ101">
        <v>18.188854489164086</v>
      </c>
      <c r="BA101">
        <v>21652.012383900925</v>
      </c>
      <c r="BB101">
        <v>8.2191780821917799</v>
      </c>
      <c r="BC101">
        <v>9784.1095890410943</v>
      </c>
      <c r="BD101">
        <v>5.663716814159292</v>
      </c>
      <c r="BE101">
        <v>6742.0884955752208</v>
      </c>
      <c r="BF101">
        <v>20.721812434141199</v>
      </c>
      <c r="BG101">
        <v>24667.245521601682</v>
      </c>
      <c r="BH101">
        <v>3.9331210191082802</v>
      </c>
      <c r="BI101">
        <v>4681.9872611464962</v>
      </c>
      <c r="BJ101">
        <v>20.90909090909091</v>
      </c>
      <c r="BK101">
        <v>24890.181818181816</v>
      </c>
      <c r="BL101">
        <v>8.555758683729433</v>
      </c>
      <c r="BM101">
        <v>10184.775137111516</v>
      </c>
      <c r="BN101">
        <v>9.3917710196779964</v>
      </c>
      <c r="BO101">
        <v>11179.964221824686</v>
      </c>
      <c r="BP101">
        <v>10.406342913776015</v>
      </c>
      <c r="BQ101">
        <v>12387.710604558968</v>
      </c>
      <c r="BR101">
        <v>23.133116883116884</v>
      </c>
      <c r="BS101">
        <v>27537.662337662336</v>
      </c>
      <c r="BT101">
        <v>13.288590604026846</v>
      </c>
      <c r="BU101">
        <v>15818.738255033555</v>
      </c>
      <c r="BV101">
        <v>7.8947368421052628</v>
      </c>
      <c r="BW101">
        <v>9397.8947368421032</v>
      </c>
      <c r="BX101">
        <v>5.1428571428571423</v>
      </c>
      <c r="BY101">
        <v>6122.0571428571411</v>
      </c>
      <c r="BZ101">
        <v>8.8587921847246882</v>
      </c>
      <c r="CA101">
        <v>10545.506216696267</v>
      </c>
      <c r="CB101">
        <v>10.168195718654435</v>
      </c>
      <c r="CC101">
        <v>12104.220183486237</v>
      </c>
      <c r="CD101">
        <v>15.060630557801131</v>
      </c>
      <c r="CE101">
        <v>17928.174616006465</v>
      </c>
      <c r="CF101">
        <v>9.1244239631336406</v>
      </c>
      <c r="CG101">
        <v>10861.714285714284</v>
      </c>
      <c r="CH101">
        <v>11.154855643044618</v>
      </c>
      <c r="CI101">
        <v>13278.740157480312</v>
      </c>
      <c r="CJ101">
        <v>10.125</v>
      </c>
      <c r="CK101">
        <v>12052.8</v>
      </c>
      <c r="CL101">
        <v>16.046511627906977</v>
      </c>
      <c r="CM101">
        <v>19101.767441860462</v>
      </c>
      <c r="CN101">
        <v>19.303571428571427</v>
      </c>
      <c r="CO101">
        <v>22978.971428571425</v>
      </c>
      <c r="CP101">
        <v>8.9342629482071718</v>
      </c>
      <c r="CQ101">
        <v>10635.346613545817</v>
      </c>
      <c r="CR101">
        <v>7.644084934277048</v>
      </c>
      <c r="CS101">
        <v>9099.5187057633975</v>
      </c>
      <c r="CT101">
        <v>20.502857142857142</v>
      </c>
      <c r="CU101">
        <v>24406.60114285714</v>
      </c>
    </row>
    <row r="102" spans="2:99" x14ac:dyDescent="0.2">
      <c r="C102" s="116" t="s">
        <v>268</v>
      </c>
      <c r="D102">
        <v>1.806079259213331</v>
      </c>
      <c r="E102">
        <v>3502.3488994664913</v>
      </c>
      <c r="F102">
        <v>11.699532467532467</v>
      </c>
      <c r="G102">
        <v>22687.733361038958</v>
      </c>
      <c r="H102">
        <v>6.4340346934673374</v>
      </c>
      <c r="I102">
        <v>12476.880077571859</v>
      </c>
      <c r="J102">
        <v>13.317073170731708</v>
      </c>
      <c r="K102">
        <v>25824.468292682926</v>
      </c>
      <c r="L102">
        <v>13.291139240506329</v>
      </c>
      <c r="M102">
        <v>25774.177215189869</v>
      </c>
      <c r="N102">
        <v>15.851680185399768</v>
      </c>
      <c r="O102">
        <v>30739.578215527228</v>
      </c>
      <c r="P102">
        <v>5.740318906605923</v>
      </c>
      <c r="Q102">
        <v>11131.626423690204</v>
      </c>
      <c r="R102">
        <v>26.955128205128204</v>
      </c>
      <c r="S102">
        <v>52271.38461538461</v>
      </c>
      <c r="T102">
        <v>5.0570539419087144</v>
      </c>
      <c r="U102">
        <v>9806.6390041493778</v>
      </c>
      <c r="V102">
        <v>12.371926229508196</v>
      </c>
      <c r="W102">
        <v>23991.63934426229</v>
      </c>
      <c r="X102">
        <v>19.82905982905983</v>
      </c>
      <c r="Y102">
        <v>38452.51282051282</v>
      </c>
      <c r="Z102">
        <v>9.6763754045307451</v>
      </c>
      <c r="AA102">
        <v>18764.427184466018</v>
      </c>
      <c r="AB102">
        <v>11.901688182720953</v>
      </c>
      <c r="AC102">
        <v>23079.75372393247</v>
      </c>
      <c r="AD102">
        <v>8.2931937172774877</v>
      </c>
      <c r="AE102">
        <v>16082.161256544503</v>
      </c>
      <c r="AF102">
        <v>7.4660633484162888</v>
      </c>
      <c r="AG102">
        <v>14478.190045248866</v>
      </c>
      <c r="AH102">
        <v>19.923664122137403</v>
      </c>
      <c r="AI102">
        <v>38635.96946564885</v>
      </c>
      <c r="AJ102">
        <v>11.778846153846153</v>
      </c>
      <c r="AK102">
        <v>22841.538461538457</v>
      </c>
      <c r="AL102">
        <v>13.319238900634248</v>
      </c>
      <c r="AM102">
        <v>25828.668076109931</v>
      </c>
      <c r="AN102">
        <v>3.214285714285714</v>
      </c>
      <c r="AO102">
        <v>6233.142857142856</v>
      </c>
      <c r="AP102">
        <v>18.318584070796462</v>
      </c>
      <c r="AQ102">
        <v>35523.398230088496</v>
      </c>
      <c r="AR102">
        <v>11.429180887372013</v>
      </c>
      <c r="AS102">
        <v>22163.467576791805</v>
      </c>
      <c r="AT102">
        <v>16.657549234135669</v>
      </c>
      <c r="AU102">
        <v>32302.319474835884</v>
      </c>
      <c r="AV102">
        <v>14.641434262948207</v>
      </c>
      <c r="AW102">
        <v>28392.66932270916</v>
      </c>
      <c r="AX102">
        <v>7.8039585296889733</v>
      </c>
      <c r="AY102">
        <v>15133.436380772855</v>
      </c>
      <c r="AZ102">
        <v>17.461300309597526</v>
      </c>
      <c r="BA102">
        <v>33860.953560371519</v>
      </c>
      <c r="BB102">
        <v>7.1917808219178081</v>
      </c>
      <c r="BC102">
        <v>13946.301369863013</v>
      </c>
      <c r="BD102">
        <v>5.1327433628318584</v>
      </c>
      <c r="BE102">
        <v>9953.4159292035383</v>
      </c>
      <c r="BF102">
        <v>17.118018967334034</v>
      </c>
      <c r="BG102">
        <v>33195.262381454158</v>
      </c>
      <c r="BH102">
        <v>3.9331210191082802</v>
      </c>
      <c r="BI102">
        <v>7627.1082802547762</v>
      </c>
      <c r="BJ102">
        <v>21.683501683501685</v>
      </c>
      <c r="BK102">
        <v>42048.646464646466</v>
      </c>
      <c r="BL102">
        <v>8.555758683729433</v>
      </c>
      <c r="BM102">
        <v>16591.327239488113</v>
      </c>
      <c r="BN102">
        <v>8.9221824686940963</v>
      </c>
      <c r="BO102">
        <v>17301.896243291591</v>
      </c>
      <c r="BP102">
        <v>8.8453914767096133</v>
      </c>
      <c r="BQ102">
        <v>17152.983151635279</v>
      </c>
      <c r="BR102">
        <v>18.506493506493506</v>
      </c>
      <c r="BS102">
        <v>35887.792207792205</v>
      </c>
      <c r="BT102">
        <v>12.080536912751679</v>
      </c>
      <c r="BU102">
        <v>23426.577181208053</v>
      </c>
      <c r="BV102">
        <v>7.5</v>
      </c>
      <c r="BW102">
        <v>14543.999999999998</v>
      </c>
      <c r="BX102">
        <v>4.5</v>
      </c>
      <c r="BY102">
        <v>8726.4</v>
      </c>
      <c r="BZ102">
        <v>8.8587921847246882</v>
      </c>
      <c r="CA102">
        <v>17178.969804618115</v>
      </c>
      <c r="CB102">
        <v>9.0978593272171242</v>
      </c>
      <c r="CC102">
        <v>17642.568807339445</v>
      </c>
      <c r="CD102">
        <v>13.945028294260307</v>
      </c>
      <c r="CE102">
        <v>27042.198868229585</v>
      </c>
      <c r="CF102">
        <v>9.1244239631336406</v>
      </c>
      <c r="CG102">
        <v>17694.082949308755</v>
      </c>
      <c r="CH102">
        <v>11.154855643044618</v>
      </c>
      <c r="CI102">
        <v>21631.496062992122</v>
      </c>
      <c r="CJ102">
        <v>9.1607142857142847</v>
      </c>
      <c r="CK102">
        <v>17764.45714285714</v>
      </c>
      <c r="CL102">
        <v>14.857881136950905</v>
      </c>
      <c r="CM102">
        <v>28812.403100775191</v>
      </c>
      <c r="CN102">
        <v>17.625</v>
      </c>
      <c r="CO102">
        <v>34178.399999999994</v>
      </c>
      <c r="CP102">
        <v>8.9342629482071718</v>
      </c>
      <c r="CQ102">
        <v>17325.322709163345</v>
      </c>
      <c r="CR102">
        <v>7.644084934277048</v>
      </c>
      <c r="CS102">
        <v>14823.409504550051</v>
      </c>
      <c r="CT102">
        <v>18.925714285714285</v>
      </c>
      <c r="CU102">
        <v>36700.745142857137</v>
      </c>
    </row>
    <row r="103" spans="2:99" x14ac:dyDescent="0.2">
      <c r="C103" s="116" t="s">
        <v>269</v>
      </c>
      <c r="D103">
        <v>1.6340717107168234</v>
      </c>
      <c r="E103">
        <v>3313.8974293337178</v>
      </c>
      <c r="F103">
        <v>11.699532467532467</v>
      </c>
      <c r="G103">
        <v>23726.651844155844</v>
      </c>
      <c r="H103">
        <v>6.4340346934673374</v>
      </c>
      <c r="I103">
        <v>13048.222358351761</v>
      </c>
      <c r="J103">
        <v>13.829268292682926</v>
      </c>
      <c r="K103">
        <v>28045.756097560974</v>
      </c>
      <c r="L103">
        <v>13.802336903602727</v>
      </c>
      <c r="M103">
        <v>27991.139240506331</v>
      </c>
      <c r="N103">
        <v>16.842410196987252</v>
      </c>
      <c r="O103">
        <v>34156.407879490151</v>
      </c>
      <c r="P103">
        <v>5.3302961275626428</v>
      </c>
      <c r="Q103">
        <v>10809.84054669704</v>
      </c>
      <c r="R103">
        <v>25.096153846153847</v>
      </c>
      <c r="S103">
        <v>50895</v>
      </c>
      <c r="T103">
        <v>5.4616182572614109</v>
      </c>
      <c r="U103">
        <v>11076.161825726142</v>
      </c>
      <c r="V103">
        <v>11.834016393442623</v>
      </c>
      <c r="W103">
        <v>23999.385245901638</v>
      </c>
      <c r="X103">
        <v>17.350427350427349</v>
      </c>
      <c r="Y103">
        <v>35186.666666666664</v>
      </c>
      <c r="Z103">
        <v>9.6763754045307451</v>
      </c>
      <c r="AA103">
        <v>19623.689320388352</v>
      </c>
      <c r="AB103">
        <v>11.201588877855015</v>
      </c>
      <c r="AC103">
        <v>22716.822244289968</v>
      </c>
      <c r="AD103">
        <v>8.9842931937172779</v>
      </c>
      <c r="AE103">
        <v>18220.146596858638</v>
      </c>
      <c r="AF103">
        <v>7.8054298642533935</v>
      </c>
      <c r="AG103">
        <v>15829.411764705881</v>
      </c>
      <c r="AH103">
        <v>19.923664122137403</v>
      </c>
      <c r="AI103">
        <v>40405.190839694653</v>
      </c>
      <c r="AJ103">
        <v>12.339743589743589</v>
      </c>
      <c r="AK103">
        <v>25025</v>
      </c>
      <c r="AL103">
        <v>13.319238900634248</v>
      </c>
      <c r="AM103">
        <v>27011.416490486255</v>
      </c>
      <c r="AN103">
        <v>3.375</v>
      </c>
      <c r="AO103">
        <v>6844.5</v>
      </c>
      <c r="AP103">
        <v>19.190897597977244</v>
      </c>
      <c r="AQ103">
        <v>38919.140328697853</v>
      </c>
      <c r="AR103">
        <v>12.030716723549489</v>
      </c>
      <c r="AS103">
        <v>24398.293515358364</v>
      </c>
      <c r="AT103">
        <v>16.657549234135669</v>
      </c>
      <c r="AU103">
        <v>33781.509846827139</v>
      </c>
      <c r="AV103">
        <v>13.072709163346612</v>
      </c>
      <c r="AW103">
        <v>26511.454183266931</v>
      </c>
      <c r="AX103">
        <v>7.1536286522148922</v>
      </c>
      <c r="AY103">
        <v>14507.558906691802</v>
      </c>
      <c r="AZ103">
        <v>16.733746130030962</v>
      </c>
      <c r="BA103">
        <v>33936.037151702789</v>
      </c>
      <c r="BB103">
        <v>7.705479452054794</v>
      </c>
      <c r="BC103">
        <v>15626.712328767122</v>
      </c>
      <c r="BD103">
        <v>4.9557522123893802</v>
      </c>
      <c r="BE103">
        <v>10050.265486725662</v>
      </c>
      <c r="BF103">
        <v>19.820864067439413</v>
      </c>
      <c r="BG103">
        <v>40196.712328767127</v>
      </c>
      <c r="BH103">
        <v>4.1401273885350314</v>
      </c>
      <c r="BI103">
        <v>8396.1783439490428</v>
      </c>
      <c r="BJ103">
        <v>20.90909090909091</v>
      </c>
      <c r="BK103">
        <v>42403.636363636368</v>
      </c>
      <c r="BL103">
        <v>8.2266910420475323</v>
      </c>
      <c r="BM103">
        <v>16683.729433272394</v>
      </c>
      <c r="BN103">
        <v>9.8613595706618966</v>
      </c>
      <c r="BO103">
        <v>19998.837209302328</v>
      </c>
      <c r="BP103">
        <v>8.8453914767096133</v>
      </c>
      <c r="BQ103">
        <v>17938.453914767095</v>
      </c>
      <c r="BR103">
        <v>21.282467532467532</v>
      </c>
      <c r="BS103">
        <v>43160.844155844155</v>
      </c>
      <c r="BT103">
        <v>11.476510067114095</v>
      </c>
      <c r="BU103">
        <v>23274.362416107386</v>
      </c>
      <c r="BV103">
        <v>7.1052631578947363</v>
      </c>
      <c r="BW103">
        <v>14409.473684210525</v>
      </c>
      <c r="BX103">
        <v>5.1428571428571423</v>
      </c>
      <c r="BY103">
        <v>10429.714285714284</v>
      </c>
      <c r="BZ103">
        <v>7.4600355239786857</v>
      </c>
      <c r="CA103">
        <v>15128.952042628775</v>
      </c>
      <c r="CB103">
        <v>9.0978593272171242</v>
      </c>
      <c r="CC103">
        <v>18450.458715596327</v>
      </c>
      <c r="CD103">
        <v>13.945028294260307</v>
      </c>
      <c r="CE103">
        <v>28280.517380759902</v>
      </c>
      <c r="CF103">
        <v>9.1244239631336406</v>
      </c>
      <c r="CG103">
        <v>18504.331797235023</v>
      </c>
      <c r="CH103">
        <v>10.262467191601051</v>
      </c>
      <c r="CI103">
        <v>20812.283464566932</v>
      </c>
      <c r="CJ103">
        <v>9.1607142857142847</v>
      </c>
      <c r="CK103">
        <v>18577.928571428569</v>
      </c>
      <c r="CL103">
        <v>13.669250645994833</v>
      </c>
      <c r="CM103">
        <v>27721.240310077519</v>
      </c>
      <c r="CN103">
        <v>18.464285714285715</v>
      </c>
      <c r="CO103">
        <v>37445.571428571428</v>
      </c>
      <c r="CP103">
        <v>8.5906374501992033</v>
      </c>
      <c r="CQ103">
        <v>17421.812749003984</v>
      </c>
      <c r="CR103">
        <v>7.2800808897876639</v>
      </c>
      <c r="CS103">
        <v>14764.004044489382</v>
      </c>
      <c r="CT103">
        <v>18.925714285714285</v>
      </c>
      <c r="CU103">
        <v>38381.348571428571</v>
      </c>
    </row>
    <row r="104" spans="2:99" x14ac:dyDescent="0.2">
      <c r="C104" s="116" t="s">
        <v>270</v>
      </c>
      <c r="D104">
        <v>1.892083033461585</v>
      </c>
      <c r="E104">
        <v>3921.152878545789</v>
      </c>
      <c r="F104">
        <v>11.699532467532467</v>
      </c>
      <c r="G104">
        <v>24246.111085714285</v>
      </c>
      <c r="H104">
        <v>6.0319075251256278</v>
      </c>
      <c r="I104">
        <v>12500.525155070352</v>
      </c>
      <c r="J104">
        <v>12.292682926829269</v>
      </c>
      <c r="K104">
        <v>25475.356097560976</v>
      </c>
      <c r="L104">
        <v>11.757546251217137</v>
      </c>
      <c r="M104">
        <v>24366.338851022396</v>
      </c>
      <c r="N104">
        <v>16.842410196987252</v>
      </c>
      <c r="O104">
        <v>34904.210892236384</v>
      </c>
      <c r="P104">
        <v>4.9202733485193626</v>
      </c>
      <c r="Q104">
        <v>10196.774487471528</v>
      </c>
      <c r="R104">
        <v>24.166666666666664</v>
      </c>
      <c r="S104">
        <v>50083</v>
      </c>
      <c r="T104">
        <v>5.2593360995850622</v>
      </c>
      <c r="U104">
        <v>10899.448132780084</v>
      </c>
      <c r="V104">
        <v>11.296106557377049</v>
      </c>
      <c r="W104">
        <v>23410.051229508197</v>
      </c>
      <c r="X104">
        <v>19.002849002849004</v>
      </c>
      <c r="Y104">
        <v>39381.504273504281</v>
      </c>
      <c r="Z104">
        <v>10.048543689320388</v>
      </c>
      <c r="AA104">
        <v>20824.601941747573</v>
      </c>
      <c r="AB104">
        <v>10.501489572989076</v>
      </c>
      <c r="AC104">
        <v>21763.286991062563</v>
      </c>
      <c r="AD104">
        <v>7.9476439790575908</v>
      </c>
      <c r="AE104">
        <v>16470.697382198952</v>
      </c>
      <c r="AF104">
        <v>6.7873303167420822</v>
      </c>
      <c r="AG104">
        <v>14066.063348416292</v>
      </c>
      <c r="AH104">
        <v>19.923664122137403</v>
      </c>
      <c r="AI104">
        <v>41289.801526717558</v>
      </c>
      <c r="AJ104">
        <v>12.339743589743589</v>
      </c>
      <c r="AK104">
        <v>25572.884615384617</v>
      </c>
      <c r="AL104">
        <v>11.654334038054969</v>
      </c>
      <c r="AM104">
        <v>24152.441860465118</v>
      </c>
      <c r="AN104">
        <v>3.214285714285714</v>
      </c>
      <c r="AO104">
        <v>6661.2857142857138</v>
      </c>
      <c r="AP104">
        <v>18.318584070796462</v>
      </c>
      <c r="AQ104">
        <v>37963.433628318591</v>
      </c>
      <c r="AR104">
        <v>13.233788395904439</v>
      </c>
      <c r="AS104">
        <v>27425.70307167236</v>
      </c>
      <c r="AT104">
        <v>14.359956236323852</v>
      </c>
      <c r="AU104">
        <v>29759.573304157551</v>
      </c>
      <c r="AV104">
        <v>14.118525896414344</v>
      </c>
      <c r="AW104">
        <v>29259.233067729088</v>
      </c>
      <c r="AX104">
        <v>6.8284637134778512</v>
      </c>
      <c r="AY104">
        <v>14151.308199811499</v>
      </c>
      <c r="AZ104">
        <v>19.643962848297214</v>
      </c>
      <c r="BA104">
        <v>40710.148606811148</v>
      </c>
      <c r="BB104">
        <v>7.1917808219178081</v>
      </c>
      <c r="BC104">
        <v>14904.246575342466</v>
      </c>
      <c r="BD104">
        <v>4.9557522123893802</v>
      </c>
      <c r="BE104">
        <v>10270.300884955752</v>
      </c>
      <c r="BF104">
        <v>18.018967334035828</v>
      </c>
      <c r="BG104">
        <v>37342.507903055855</v>
      </c>
      <c r="BH104">
        <v>3.5191082802547768</v>
      </c>
      <c r="BI104">
        <v>7293</v>
      </c>
      <c r="BJ104">
        <v>20.90909090909091</v>
      </c>
      <c r="BK104">
        <v>43332.000000000007</v>
      </c>
      <c r="BL104">
        <v>7.8976234003656307</v>
      </c>
      <c r="BM104">
        <v>16367.034734917734</v>
      </c>
      <c r="BN104">
        <v>8.9221824686940963</v>
      </c>
      <c r="BO104">
        <v>18490.330948121646</v>
      </c>
      <c r="BP104">
        <v>9.3657086223984134</v>
      </c>
      <c r="BQ104">
        <v>19409.494549058472</v>
      </c>
      <c r="BR104">
        <v>19.431818181818183</v>
      </c>
      <c r="BS104">
        <v>40270.500000000007</v>
      </c>
      <c r="BT104">
        <v>12.080536912751679</v>
      </c>
      <c r="BU104">
        <v>25035.704697986581</v>
      </c>
      <c r="BV104">
        <v>6.3157894736842106</v>
      </c>
      <c r="BW104">
        <v>13088.842105263158</v>
      </c>
      <c r="BX104">
        <v>4.5</v>
      </c>
      <c r="BY104">
        <v>9325.8000000000011</v>
      </c>
      <c r="BZ104">
        <v>7.9262877442273538</v>
      </c>
      <c r="CA104">
        <v>16426.438721136768</v>
      </c>
      <c r="CB104">
        <v>9.0978593272171242</v>
      </c>
      <c r="CC104">
        <v>18854.403669724768</v>
      </c>
      <c r="CD104">
        <v>13.387227162489896</v>
      </c>
      <c r="CE104">
        <v>27743.689571544062</v>
      </c>
      <c r="CF104">
        <v>9.1244239631336406</v>
      </c>
      <c r="CG104">
        <v>18909.456221198157</v>
      </c>
      <c r="CH104">
        <v>8.9238845144356969</v>
      </c>
      <c r="CI104">
        <v>18493.85826771654</v>
      </c>
      <c r="CJ104">
        <v>10.125</v>
      </c>
      <c r="CK104">
        <v>20983.05</v>
      </c>
      <c r="CL104">
        <v>13.669250645994833</v>
      </c>
      <c r="CM104">
        <v>28328.155038759691</v>
      </c>
      <c r="CN104">
        <v>18.464285714285715</v>
      </c>
      <c r="CO104">
        <v>38265.385714285716</v>
      </c>
      <c r="CP104">
        <v>8.5906374501992033</v>
      </c>
      <c r="CQ104">
        <v>17803.237051792828</v>
      </c>
      <c r="CR104">
        <v>6.9160768452982815</v>
      </c>
      <c r="CS104">
        <v>14332.87765419616</v>
      </c>
      <c r="CT104">
        <v>15.771428571428572</v>
      </c>
      <c r="CU104">
        <v>32684.708571428575</v>
      </c>
    </row>
    <row r="105" spans="2:99" x14ac:dyDescent="0.2">
      <c r="C105" s="116" t="s">
        <v>271</v>
      </c>
      <c r="D105">
        <v>1.806079259213331</v>
      </c>
      <c r="E105">
        <v>3608.5463599082354</v>
      </c>
      <c r="F105">
        <v>12.430753246753246</v>
      </c>
      <c r="G105">
        <v>24836.644987012987</v>
      </c>
      <c r="H105">
        <v>5.62978035678392</v>
      </c>
      <c r="I105">
        <v>11248.301152854272</v>
      </c>
      <c r="J105">
        <v>13.829268292682926</v>
      </c>
      <c r="K105">
        <v>27630.878048780487</v>
      </c>
      <c r="L105">
        <v>13.291139240506329</v>
      </c>
      <c r="M105">
        <v>26555.696202531646</v>
      </c>
      <c r="N105">
        <v>16.842410196987252</v>
      </c>
      <c r="O105">
        <v>33651.135573580534</v>
      </c>
      <c r="P105">
        <v>5.3302961275626428</v>
      </c>
      <c r="Q105">
        <v>10649.93166287016</v>
      </c>
      <c r="R105">
        <v>24.166666666666664</v>
      </c>
      <c r="S105">
        <v>48284.999999999993</v>
      </c>
      <c r="T105">
        <v>5.6639004149377596</v>
      </c>
      <c r="U105">
        <v>11316.473029045645</v>
      </c>
      <c r="V105">
        <v>11.834016393442623</v>
      </c>
      <c r="W105">
        <v>23644.364754098358</v>
      </c>
      <c r="X105">
        <v>19.82905982905983</v>
      </c>
      <c r="Y105">
        <v>39618.461538461539</v>
      </c>
      <c r="Z105">
        <v>10.420711974110032</v>
      </c>
      <c r="AA105">
        <v>20820.582524271846</v>
      </c>
      <c r="AB105">
        <v>11.901688182720953</v>
      </c>
      <c r="AC105">
        <v>23779.572989076463</v>
      </c>
      <c r="AD105">
        <v>8.6387434554973819</v>
      </c>
      <c r="AE105">
        <v>17260.209424083769</v>
      </c>
      <c r="AF105">
        <v>7.4660633484162888</v>
      </c>
      <c r="AG105">
        <v>14917.194570135745</v>
      </c>
      <c r="AH105">
        <v>20.872410032715376</v>
      </c>
      <c r="AI105">
        <v>41703.075245365319</v>
      </c>
      <c r="AJ105">
        <v>11.217948717948719</v>
      </c>
      <c r="AK105">
        <v>22413.461538461539</v>
      </c>
      <c r="AL105">
        <v>13.319238900634248</v>
      </c>
      <c r="AM105">
        <v>26611.839323467229</v>
      </c>
      <c r="AN105">
        <v>3.375</v>
      </c>
      <c r="AO105">
        <v>6743.25</v>
      </c>
      <c r="AP105">
        <v>18.318584070796462</v>
      </c>
      <c r="AQ105">
        <v>36600.530973451328</v>
      </c>
      <c r="AR105">
        <v>11.429180887372013</v>
      </c>
      <c r="AS105">
        <v>22835.503412969283</v>
      </c>
      <c r="AT105">
        <v>14.934354485776806</v>
      </c>
      <c r="AU105">
        <v>29838.84026258206</v>
      </c>
      <c r="AV105">
        <v>15.164342629482071</v>
      </c>
      <c r="AW105">
        <v>30298.356573705179</v>
      </c>
      <c r="AX105">
        <v>7.1536286522148922</v>
      </c>
      <c r="AY105">
        <v>14292.950047125354</v>
      </c>
      <c r="AZ105">
        <v>16.733746130030962</v>
      </c>
      <c r="BA105">
        <v>33434.024767801864</v>
      </c>
      <c r="BB105">
        <v>8.7328767123287658</v>
      </c>
      <c r="BC105">
        <v>17448.287671232873</v>
      </c>
      <c r="BD105">
        <v>4.9557522123893802</v>
      </c>
      <c r="BE105">
        <v>9901.5929203539818</v>
      </c>
      <c r="BF105">
        <v>18.018967334035828</v>
      </c>
      <c r="BG105">
        <v>36001.896733403584</v>
      </c>
      <c r="BH105">
        <v>3.9331210191082802</v>
      </c>
      <c r="BI105">
        <v>7858.375796178344</v>
      </c>
      <c r="BJ105">
        <v>20.90909090909091</v>
      </c>
      <c r="BK105">
        <v>41776.36363636364</v>
      </c>
      <c r="BL105">
        <v>7.8976234003656307</v>
      </c>
      <c r="BM105">
        <v>15779.45155393053</v>
      </c>
      <c r="BN105">
        <v>9.3917710196779964</v>
      </c>
      <c r="BO105">
        <v>18764.758497316638</v>
      </c>
      <c r="BP105">
        <v>7.8047571853320115</v>
      </c>
      <c r="BQ105">
        <v>15593.904856293359</v>
      </c>
      <c r="BR105">
        <v>18.506493506493506</v>
      </c>
      <c r="BS105">
        <v>36975.974025974021</v>
      </c>
      <c r="BT105">
        <v>13.288590604026846</v>
      </c>
      <c r="BU105">
        <v>26550.604026845638</v>
      </c>
      <c r="BV105">
        <v>6.7105263157894735</v>
      </c>
      <c r="BW105">
        <v>13407.631578947368</v>
      </c>
      <c r="BX105">
        <v>4.8214285714285712</v>
      </c>
      <c r="BY105">
        <v>9633.2142857142844</v>
      </c>
      <c r="BZ105">
        <v>7.4600355239786857</v>
      </c>
      <c r="CA105">
        <v>14905.150976909414</v>
      </c>
      <c r="CB105">
        <v>8.5626911314984717</v>
      </c>
      <c r="CC105">
        <v>17108.256880733945</v>
      </c>
      <c r="CD105">
        <v>13.945028294260307</v>
      </c>
      <c r="CE105">
        <v>27862.166531932093</v>
      </c>
      <c r="CF105">
        <v>9.1244239631336406</v>
      </c>
      <c r="CG105">
        <v>18230.599078341013</v>
      </c>
      <c r="CH105">
        <v>9.8162729658792642</v>
      </c>
      <c r="CI105">
        <v>19612.913385826771</v>
      </c>
      <c r="CJ105">
        <v>10.125</v>
      </c>
      <c r="CK105">
        <v>20229.75</v>
      </c>
      <c r="CL105">
        <v>13.669250645994833</v>
      </c>
      <c r="CM105">
        <v>27311.162790697676</v>
      </c>
      <c r="CN105">
        <v>18.464285714285715</v>
      </c>
      <c r="CO105">
        <v>36891.642857142862</v>
      </c>
      <c r="CP105">
        <v>7.9033864541832672</v>
      </c>
      <c r="CQ105">
        <v>15790.966135458168</v>
      </c>
      <c r="CR105">
        <v>7.2800808897876639</v>
      </c>
      <c r="CS105">
        <v>14545.601617795752</v>
      </c>
      <c r="CT105">
        <v>16.559999999999999</v>
      </c>
      <c r="CU105">
        <v>33086.879999999997</v>
      </c>
    </row>
    <row r="107" spans="2:99" x14ac:dyDescent="0.2">
      <c r="B107" s="119" t="s">
        <v>276</v>
      </c>
    </row>
    <row r="108" spans="2:99" x14ac:dyDescent="0.2">
      <c r="C108" s="116" t="s">
        <v>277</v>
      </c>
      <c r="D108" s="116" t="s">
        <v>92</v>
      </c>
      <c r="E108" s="116" t="s">
        <v>93</v>
      </c>
      <c r="F108" s="116" t="s">
        <v>94</v>
      </c>
      <c r="G108" s="116" t="s">
        <v>95</v>
      </c>
      <c r="H108" s="116" t="s">
        <v>96</v>
      </c>
      <c r="I108" s="116" t="s">
        <v>97</v>
      </c>
      <c r="J108" s="116" t="s">
        <v>98</v>
      </c>
      <c r="K108" s="116" t="s">
        <v>99</v>
      </c>
      <c r="L108" s="116" t="s">
        <v>100</v>
      </c>
      <c r="M108" s="116" t="s">
        <v>101</v>
      </c>
      <c r="N108" s="116" t="s">
        <v>102</v>
      </c>
      <c r="O108" s="116" t="s">
        <v>103</v>
      </c>
    </row>
    <row r="109" spans="2:99" x14ac:dyDescent="0.2">
      <c r="C109" s="116" t="s">
        <v>126</v>
      </c>
      <c r="D109">
        <f>SUM(D$6:D$19)+SUM(F$6:F$19)+SUM(H$6:H$19)+SUM(J$6:J$19)</f>
        <v>1096</v>
      </c>
      <c r="E109">
        <f>SUM(L$6:L$19)+SUM(N$6:N$19)+SUM(P$6:P$19)+SUM(R$6:R$19)</f>
        <v>1272</v>
      </c>
      <c r="F109">
        <f>SUM(T$6:T$19)+SUM(V$6:V$19)+SUM(X$6:X$19)+SUM(Z$6:Z$19)</f>
        <v>1494</v>
      </c>
      <c r="G109">
        <f>SUM(AB$6:AB$19)+SUM(AD$6:AD$19)+SUM(AF$6:AF$19)+SUM(AH$6:AH$19)</f>
        <v>1421</v>
      </c>
      <c r="H109">
        <f>SUM(AJ$6:AJ$19)+SUM(AL$6:AL$19)+SUM(AN$6:AN$19)+SUM(AP$6:AP$19)</f>
        <v>1411</v>
      </c>
      <c r="I109">
        <f>SUM(AR$6:AR$19)+SUM(AT$6:AT$19)+SUM(AV$6:AV$19)+SUM(AX$6:AX$19)</f>
        <v>1366</v>
      </c>
      <c r="J109">
        <f>SUM(AZ$6:AZ$19)+SUM(BB$6:BB$19)+SUM(BD$6:BD$19)+SUM(BF$6:BF$19)</f>
        <v>1571</v>
      </c>
      <c r="K109">
        <f>SUM(BH$6:BH$19)+SUM(BJ$6:BJ$19)+SUM(BL$6:BL$19)+SUM(BN$6:BN$19)</f>
        <v>1457</v>
      </c>
      <c r="L109">
        <f>SUM(BP$6:BP$19)+SUM(BR$6:BR$19)+SUM(BT$6:BT$19)+SUM(BV$6:BV$19)</f>
        <v>1670</v>
      </c>
      <c r="M109">
        <f>SUM(BX$6:BX$19)+SUM(BZ$6:BZ$19)+SUM(CB$6:CB$19)+SUM(CD$6:CD$19)</f>
        <v>1673</v>
      </c>
      <c r="N109">
        <f>SUM(CF$6:CF$19)+SUM(CH$6:CH$19)+SUM(CJ$6:CJ$19)+SUM(CL$6:CL$19)</f>
        <v>1623</v>
      </c>
      <c r="O109">
        <f>SUM(CN$6:CN$19)+SUM(CP$6:CP$19)+SUM(CR$6:CR$19)+SUM(CT$6:CT$19)</f>
        <v>1738</v>
      </c>
    </row>
    <row r="110" spans="2:99" x14ac:dyDescent="0.2">
      <c r="C110" s="116" t="s">
        <v>127</v>
      </c>
      <c r="D110">
        <f>SUM(D$20:D$36)+SUM(F$20:F$36)+SUM(H$20:H$36)+SUM(J$20:J$36)</f>
        <v>2769</v>
      </c>
      <c r="E110">
        <f>SUM(L$20:L$36)+SUM(N$20:N$36)+SUM(P$20:P$36)+SUM(R$20:R$36)</f>
        <v>2905</v>
      </c>
      <c r="F110">
        <f>SUM(T$20:T$36)+SUM(V$20:V$36)+SUM(X$20:X$36)+SUM(Z$20:Z$36)</f>
        <v>3008</v>
      </c>
      <c r="G110">
        <f>SUM(AB$20:AB$36)+SUM(AD$20:AD$36)+SUM(AF$20:AF$36)+SUM(AH$20:AH$36)</f>
        <v>2575</v>
      </c>
      <c r="H110">
        <f>SUM(AJ$20:AJ$36)+SUM(AL$20:AL$36)+SUM(AN$20:AN$36)+SUM(AP$20:AP$36)</f>
        <v>3281</v>
      </c>
      <c r="I110">
        <f>SUM(AR$20:AR$36)+SUM(AT$20:AT$36)+SUM(AV$20:AV$36)+SUM(AX$20:AX$36)</f>
        <v>2773</v>
      </c>
      <c r="J110">
        <f>SUM(AZ$20:AZ$36)+SUM(BB$20:BB$36)+SUM(BD$20:BD$36)+SUM(BF$20:BF$36)</f>
        <v>2649</v>
      </c>
      <c r="K110">
        <f>SUM(BH$20:BH$36)+SUM(BJ$20:BJ$36)+SUM(BL$20:BL$36)+SUM(BN$20:BN$36)</f>
        <v>3131</v>
      </c>
      <c r="L110">
        <f>SUM(BP$20:BP$36)+SUM(BR$20:BR$36)+SUM(BT$20:BT$36)+SUM(BV$20:BV$36)</f>
        <v>3385</v>
      </c>
      <c r="M110">
        <f>SUM(BX$20:BX$36)+SUM(BZ$20:BZ$36)+SUM(CB$20:CB$36)+SUM(CD$20:CD$36)</f>
        <v>2536</v>
      </c>
      <c r="N110">
        <f>SUM(CF$20:CF$36)+SUM(CH$20:CH$36)+SUM(CJ$20:CJ$36)+SUM(CL$20:CL$36)</f>
        <v>3287</v>
      </c>
      <c r="O110">
        <f>SUM(CN$20:CN$36)+SUM(CP$20:CP$36)+SUM(CR$20:CR$36)+SUM(CT$20:CT$36)</f>
        <v>3309</v>
      </c>
    </row>
    <row r="111" spans="2:99" x14ac:dyDescent="0.2">
      <c r="C111" s="116" t="s">
        <v>128</v>
      </c>
      <c r="D111">
        <f>SUM(D$37:D$48)+SUM(F$37:F$48)+SUM(H$37:H$48)+SUM(J$37:J$48)</f>
        <v>1365</v>
      </c>
      <c r="E111">
        <f>SUM(L$37:L$48)+SUM(N$37:N$48)+SUM(P$37:P$48)+SUM(R$37:R$48)</f>
        <v>1648</v>
      </c>
      <c r="F111">
        <f>SUM(T$37:T$48)+SUM(V$37:V$48)+SUM(X$37:X$48)+SUM(Z$37:Z$48)</f>
        <v>1499</v>
      </c>
      <c r="G111">
        <f>SUM(AB$37:AB$48)+SUM(AD$37:AD$48)+SUM(AF$37:AF$48)+SUM(AH$37:AH$48)</f>
        <v>1471</v>
      </c>
      <c r="H111">
        <f>SUM(AJ$37:AJ$48)+SUM(AL$37:AL$48)+SUM(AN$37:AN$48)+SUM(AP$37:AP$48)</f>
        <v>1600</v>
      </c>
      <c r="I111">
        <f>SUM(AR$37:AR$48)+SUM(AT$37:AT$48)+SUM(AV$37:AV$48)+SUM(AX$37:AX$48)</f>
        <v>1625</v>
      </c>
      <c r="J111">
        <f>SUM(AZ$37:AZ$48)+SUM(BB$37:BB$48)+SUM(BD$37:BD$48)+SUM(BF$37:BF$48)</f>
        <v>1721</v>
      </c>
      <c r="K111">
        <f>SUM(BH$37:BH$48)+SUM(BJ$37:BJ$48)+SUM(BL$37:BL$48)+SUM(BN$37:BN$48)</f>
        <v>1419</v>
      </c>
      <c r="L111">
        <f>SUM(BP$37:BP$48)+SUM(BR$37:BR$48)+SUM(BT$37:BT$48)+SUM(BV$37:BV$48)</f>
        <v>1739</v>
      </c>
      <c r="M111">
        <f>SUM(BX$37:BX$48)+SUM(BZ$37:BZ$48)+SUM(CB$37:CB$48)+SUM(CD$37:CD$48)</f>
        <v>1617</v>
      </c>
      <c r="N111">
        <f>SUM(CF$37:CF$48)+SUM(CH$37:CH$48)+SUM(CJ$37:CJ$48)+SUM(CL$37:CL$48)</f>
        <v>1522</v>
      </c>
      <c r="O111">
        <f>SUM(CN$37:CN$48)+SUM(CP$37:CP$48)+SUM(CR$37:CR$48)+SUM(CT$37:CT$48)</f>
        <v>1528</v>
      </c>
    </row>
    <row r="112" spans="2:99" x14ac:dyDescent="0.2">
      <c r="C112" s="116" t="s">
        <v>129</v>
      </c>
      <c r="D112">
        <f>SUM(D$49:D$70)+SUM(F$49:F$70)+SUM(H$49:H$70)+SUM(J$49:J$70)</f>
        <v>1193.8849596642704</v>
      </c>
      <c r="E112">
        <f>SUM(L$49:L$70)+SUM(N$49:N$70)+SUM(P$49:P$70)+SUM(R$49:R$70)</f>
        <v>1379.1136056631237</v>
      </c>
      <c r="F112">
        <f>SUM(T$49:T$70)+SUM(V$49:V$70)+SUM(X$49:X$70)+SUM(Z$49:Z$70)</f>
        <v>1317.6991391713648</v>
      </c>
      <c r="G112">
        <f>SUM(AB$49:AB$70)+SUM(AD$49:AD$70)+SUM(AF$49:AF$70)+SUM(AH$49:AH$70)</f>
        <v>1442.0056332286088</v>
      </c>
      <c r="H112">
        <f>SUM(AJ$49:AJ$70)+SUM(AL$49:AL$70)+SUM(AN$49:AN$70)+SUM(AP$49:AP$70)</f>
        <v>1361.927724895671</v>
      </c>
      <c r="I112">
        <f>SUM(AR$49:AR$70)+SUM(AT$49:AT$70)+SUM(AV$49:AV$70)+SUM(AX$49:AX$70)</f>
        <v>1366.2448543474045</v>
      </c>
      <c r="J112">
        <f>SUM(AZ$49:AZ$70)+SUM(BB$49:BB$70)+SUM(BD$49:BD$70)+SUM(BF$49:BF$70)</f>
        <v>1531.6612029383948</v>
      </c>
      <c r="K112">
        <f>SUM(BH$49:BH$70)+SUM(BJ$49:BJ$70)+SUM(BL$49:BL$70)+SUM(BN$49:BN$70)</f>
        <v>1480.8897204008906</v>
      </c>
      <c r="L112">
        <f>SUM(BP$49:BP$70)+SUM(BR$49:BR$70)+SUM(BT$49:BT$70)+SUM(BV$49:BV$70)</f>
        <v>1729.1319949065164</v>
      </c>
      <c r="M112">
        <f>SUM(BX$49:BX$70)+SUM(BZ$49:BZ$70)+SUM(CB$49:CB$70)+SUM(CD$49:CD$70)</f>
        <v>1364.9776689273981</v>
      </c>
      <c r="N112">
        <f>SUM(CF$49:CF$70)+SUM(CH$49:CH$70)+SUM(CJ$49:CJ$70)+SUM(CL$49:CL$70)</f>
        <v>1402.527814520653</v>
      </c>
      <c r="O112">
        <f>SUM(CN$49:CN$70)+SUM(CP$49:CP$70)+SUM(CR$49:CR$70)+SUM(CT$49:CT$70)</f>
        <v>1378.5571622883017</v>
      </c>
    </row>
    <row r="113" spans="2:15" x14ac:dyDescent="0.2">
      <c r="C113" s="116" t="s">
        <v>130</v>
      </c>
      <c r="D113">
        <f>SUM(D$71:D$86)+SUM(F$71:F$86)+SUM(H$71:H$86)+SUM(J$71:J$86)</f>
        <v>762.12443279927083</v>
      </c>
      <c r="E113">
        <f>SUM(L$71:L$86)+SUM(N$71:N$86)+SUM(P$71:P$86)+SUM(R$71:R$86)</f>
        <v>1217.7845899536146</v>
      </c>
      <c r="F113">
        <f>SUM(T$71:T$86)+SUM(V$71:V$86)+SUM(X$71:X$86)+SUM(Z$71:Z$86)</f>
        <v>1062.3211656219039</v>
      </c>
      <c r="G113">
        <f>SUM(AB$71:AB$86)+SUM(AD$71:AD$86)+SUM(AF$71:AF$86)+SUM(AH$71:AH$86)</f>
        <v>1206.6109768473314</v>
      </c>
      <c r="H113">
        <f>SUM(AJ$71:AJ$86)+SUM(AL$71:AL$86)+SUM(AN$71:AN$86)+SUM(AP$71:AP$86)</f>
        <v>987.67189269535425</v>
      </c>
      <c r="I113">
        <f>SUM(AR$71:AR$86)+SUM(AT$71:AT$86)+SUM(AV$71:AV$86)+SUM(AX$71:AX$86)</f>
        <v>1099.3099116265996</v>
      </c>
      <c r="J113">
        <f>SUM(AZ$71:AZ$86)+SUM(BB$71:BB$86)+SUM(BD$71:BD$86)+SUM(BF$71:BF$86)</f>
        <v>1236.6104833739544</v>
      </c>
      <c r="K113">
        <f>SUM(BH$71:BH$86)+SUM(BJ$71:BJ$86)+SUM(BL$71:BL$86)+SUM(BN$71:BN$86)</f>
        <v>972.9010452282223</v>
      </c>
      <c r="L113">
        <f>SUM(BP$71:BP$86)+SUM(BR$71:BR$86)+SUM(BT$71:BT$86)+SUM(BV$71:BV$86)</f>
        <v>1186.0010483094838</v>
      </c>
      <c r="M113">
        <f>SUM(BX$71:BX$86)+SUM(BZ$71:BZ$86)+SUM(CB$71:CB$86)+SUM(CD$71:CD$86)</f>
        <v>1297.6267515786956</v>
      </c>
      <c r="N113">
        <f>SUM(CF$71:CF$86)+SUM(CH$71:CH$86)+SUM(CJ$71:CJ$86)+SUM(CL$71:CL$86)</f>
        <v>1261.2774278473069</v>
      </c>
      <c r="O113">
        <f>SUM(CN$71:CN$86)+SUM(CP$71:CP$86)+SUM(CR$71:CR$86)+SUM(CT$71:CT$86)</f>
        <v>1060.4891487466284</v>
      </c>
    </row>
    <row r="114" spans="2:15" x14ac:dyDescent="0.2">
      <c r="C114" s="116" t="s">
        <v>131</v>
      </c>
      <c r="D114">
        <f>SUM(D$87:D$94)+SUM(F$87:F$94)+SUM(H$87:H$94)+SUM(J$87:J$94)</f>
        <v>284.93144473432284</v>
      </c>
      <c r="E114">
        <f>SUM(L$87:L$94)+SUM(N$87:N$94)+SUM(P$87:P$94)+SUM(R$87:R$94)</f>
        <v>424.49450022042549</v>
      </c>
      <c r="F114">
        <f>SUM(T$87:T$94)+SUM(V$87:V$94)+SUM(X$87:X$94)+SUM(Z$87:Z$94)</f>
        <v>279.94056105541654</v>
      </c>
      <c r="G114">
        <f>SUM(AB$87:AB$94)+SUM(AD$87:AD$94)+SUM(AF$87:AF$94)+SUM(AH$87:AH$94)</f>
        <v>413.06348152987954</v>
      </c>
      <c r="H114">
        <f>SUM(AJ$87:AJ$94)+SUM(AL$87:AL$94)+SUM(AN$87:AN$94)+SUM(AP$87:AP$94)</f>
        <v>335.6936509501337</v>
      </c>
      <c r="I114">
        <f>SUM(AR$87:AR$94)+SUM(AT$87:AT$94)+SUM(AV$87:AV$94)+SUM(AX$87:AX$94)</f>
        <v>340.79233463239052</v>
      </c>
      <c r="J114">
        <f>SUM(AZ$87:AZ$94)+SUM(BB$87:BB$94)+SUM(BD$87:BD$94)+SUM(BF$87:BF$94)</f>
        <v>354.88173102942528</v>
      </c>
      <c r="K114">
        <f>SUM(BH$87:BH$94)+SUM(BJ$87:BJ$94)+SUM(BL$87:BL$94)+SUM(BN$87:BN$94)</f>
        <v>247.26733676899772</v>
      </c>
      <c r="L114">
        <f>SUM(BP$87:BP$94)+SUM(BR$87:BR$94)+SUM(BT$87:BT$94)+SUM(BV$87:BV$94)</f>
        <v>402.83934507410066</v>
      </c>
      <c r="M114">
        <f>SUM(BX$87:BX$94)+SUM(BZ$87:BZ$94)+SUM(CB$87:CB$94)+SUM(CD$87:CD$94)</f>
        <v>308.32217652490908</v>
      </c>
      <c r="N114">
        <f>SUM(CF$87:CF$94)+SUM(CH$87:CH$94)+SUM(CJ$87:CJ$94)+SUM(CL$87:CL$94)</f>
        <v>267.5491781292717</v>
      </c>
      <c r="O114">
        <f>SUM(CN$87:CN$94)+SUM(CP$87:CP$94)+SUM(CR$87:CR$94)+SUM(CT$87:CT$94)</f>
        <v>337.88806080603194</v>
      </c>
    </row>
    <row r="115" spans="2:15" x14ac:dyDescent="0.2">
      <c r="C115" s="116" t="s">
        <v>132</v>
      </c>
      <c r="D115">
        <f>SUM(D$95:D$105)+SUM(F$95:F$105)+SUM(H$95:H$105)+SUM(J$95:J$105)</f>
        <v>369.14385356203297</v>
      </c>
      <c r="E115">
        <f>SUM(L$95:L$105)+SUM(N$95:N$105)+SUM(P$95:P$105)+SUM(R$95:R$105)</f>
        <v>659.6073041628365</v>
      </c>
      <c r="F115">
        <f>SUM(T$95:T$105)+SUM(V$95:V$105)+SUM(X$95:X$105)+SUM(Z$95:Z$105)</f>
        <v>502.03913415131478</v>
      </c>
      <c r="G115">
        <f>SUM(AB$95:AB$105)+SUM(AD$95:AD$105)+SUM(AF$95:AF$105)+SUM(AH$95:AH$105)</f>
        <v>539.31990839418063</v>
      </c>
      <c r="H115">
        <f>SUM(AJ$95:AJ$105)+SUM(AL$95:AL$105)+SUM(AN$95:AN$105)+SUM(AP$95:AP$105)</f>
        <v>499.70673145884098</v>
      </c>
      <c r="I115">
        <f>SUM(AR$95:AR$105)+SUM(AT$95:AT$105)+SUM(AV$95:AV$105)+SUM(AX$95:AX$105)</f>
        <v>556.65289939360537</v>
      </c>
      <c r="J115">
        <f>SUM(AZ$95:AZ$105)+SUM(BB$95:BB$105)+SUM(BD$95:BD$105)+SUM(BF$95:BF$105)</f>
        <v>545.84658265822554</v>
      </c>
      <c r="K115">
        <f>SUM(BH$95:BH$105)+SUM(BJ$95:BJ$105)+SUM(BL$95:BL$105)+SUM(BN$95:BN$105)</f>
        <v>463.94189760188965</v>
      </c>
      <c r="L115">
        <f>SUM(BP$95:BP$105)+SUM(BR$95:BR$105)+SUM(BT$95:BT$105)+SUM(BV$95:BV$105)</f>
        <v>528.02761170989902</v>
      </c>
      <c r="M115">
        <f>SUM(BX$95:BX$105)+SUM(BZ$95:BZ$105)+SUM(CB$95:CB$105)+SUM(CD$95:CD$105)</f>
        <v>401.0734029689973</v>
      </c>
      <c r="N115">
        <f>SUM(CF$95:CF$105)+SUM(CH$95:CH$105)+SUM(CJ$95:CJ$105)+SUM(CL$95:CL$105)</f>
        <v>472.64557950276844</v>
      </c>
      <c r="O115">
        <f>SUM(CN$95:CN$105)+SUM(CP$95:CP$105)+SUM(CR$95:CR$105)+SUM(CT$95:CT$105)</f>
        <v>580.06562815903794</v>
      </c>
    </row>
    <row r="116" spans="2:15" x14ac:dyDescent="0.2">
      <c r="C116" s="116" t="s">
        <v>278</v>
      </c>
      <c r="D116">
        <f t="shared" ref="D116:O116" si="0">SUM(D$109:D$115)</f>
        <v>7840.0846907598971</v>
      </c>
      <c r="E116">
        <f t="shared" si="0"/>
        <v>9506.0000000000018</v>
      </c>
      <c r="F116">
        <f t="shared" si="0"/>
        <v>9163</v>
      </c>
      <c r="G116">
        <f t="shared" si="0"/>
        <v>9068</v>
      </c>
      <c r="H116">
        <f t="shared" si="0"/>
        <v>9477</v>
      </c>
      <c r="I116">
        <f t="shared" si="0"/>
        <v>9127</v>
      </c>
      <c r="J116">
        <f t="shared" si="0"/>
        <v>9610</v>
      </c>
      <c r="K116">
        <f t="shared" si="0"/>
        <v>9172.0000000000018</v>
      </c>
      <c r="L116">
        <f t="shared" si="0"/>
        <v>10639.999999999998</v>
      </c>
      <c r="M116">
        <f t="shared" si="0"/>
        <v>9198</v>
      </c>
      <c r="N116">
        <f t="shared" si="0"/>
        <v>9836</v>
      </c>
      <c r="O116">
        <f t="shared" si="0"/>
        <v>9932</v>
      </c>
    </row>
    <row r="118" spans="2:15" x14ac:dyDescent="0.2">
      <c r="B118" s="118" t="s">
        <v>279</v>
      </c>
    </row>
    <row r="119" spans="2:15" x14ac:dyDescent="0.2">
      <c r="C119" s="116" t="s">
        <v>277</v>
      </c>
      <c r="D119" s="116" t="s">
        <v>92</v>
      </c>
      <c r="E119" s="116" t="s">
        <v>93</v>
      </c>
      <c r="F119" s="116" t="s">
        <v>94</v>
      </c>
      <c r="G119" s="116" t="s">
        <v>95</v>
      </c>
      <c r="H119" s="116" t="s">
        <v>96</v>
      </c>
      <c r="I119" s="116" t="s">
        <v>97</v>
      </c>
      <c r="J119" s="116" t="s">
        <v>98</v>
      </c>
      <c r="K119" s="116" t="s">
        <v>99</v>
      </c>
      <c r="L119" s="116" t="s">
        <v>100</v>
      </c>
      <c r="M119" s="116" t="s">
        <v>101</v>
      </c>
      <c r="N119" s="116" t="s">
        <v>102</v>
      </c>
      <c r="O119" s="116" t="s">
        <v>103</v>
      </c>
    </row>
    <row r="120" spans="2:15" x14ac:dyDescent="0.2">
      <c r="C120" s="116" t="s">
        <v>126</v>
      </c>
      <c r="D120">
        <f>D109*pricing!D15*2000</f>
        <v>3983416.3409428569</v>
      </c>
      <c r="E120">
        <f>E109*pricing!E15*2000</f>
        <v>4623089.0380285708</v>
      </c>
      <c r="F120">
        <f>F109*pricing!F15*2000</f>
        <v>5429948.9173071422</v>
      </c>
      <c r="G120">
        <f>G109*pricing!G15*2000</f>
        <v>5164630.1281749997</v>
      </c>
      <c r="H120">
        <f>H109*pricing!H15*2000</f>
        <v>5128285.0885678576</v>
      </c>
      <c r="I120">
        <f>I109*pricing!I15*2000</f>
        <v>4964732.410335714</v>
      </c>
      <c r="J120">
        <f>J109*pricing!J15*2000</f>
        <v>5709805.7222821424</v>
      </c>
      <c r="K120">
        <f>K109*pricing!K15*2000</f>
        <v>5295472.2707607141</v>
      </c>
      <c r="L120">
        <f>L109*pricing!L15*2000</f>
        <v>6069621.6143928571</v>
      </c>
      <c r="M120">
        <f>M109*pricing!M15*2000</f>
        <v>6080525.1262750002</v>
      </c>
      <c r="N120">
        <f>N109*pricing!N15*2000</f>
        <v>5898799.9282392859</v>
      </c>
      <c r="O120">
        <f>O109*pricing!O15*2000</f>
        <v>6316767.883721428</v>
      </c>
    </row>
    <row r="121" spans="2:15" x14ac:dyDescent="0.2">
      <c r="C121" s="116" t="s">
        <v>127</v>
      </c>
      <c r="D121">
        <f>D110*pricing!D16*2000</f>
        <v>10869443.122200001</v>
      </c>
      <c r="E121">
        <f>E110*pricing!E16*2000</f>
        <v>11403298.039000001</v>
      </c>
      <c r="F121">
        <f>F110*pricing!F16*2000</f>
        <v>11807614.630400002</v>
      </c>
      <c r="G121">
        <f>G110*pricing!G16*2000</f>
        <v>10107914.785</v>
      </c>
      <c r="H121">
        <f>H110*pricing!H16*2000</f>
        <v>12879249.867800001</v>
      </c>
      <c r="I121">
        <f>I110*pricing!I16*2000</f>
        <v>10885144.737399999</v>
      </c>
      <c r="J121">
        <f>J110*pricing!J16*2000</f>
        <v>10398394.666199999</v>
      </c>
      <c r="K121">
        <f>K110*pricing!K16*2000</f>
        <v>12290439.297800001</v>
      </c>
      <c r="L121">
        <f>L110*pricing!L16*2000</f>
        <v>13287491.863000002</v>
      </c>
      <c r="M121">
        <f>M110*pricing!M16*2000</f>
        <v>9954824.0368000008</v>
      </c>
      <c r="N121">
        <f>N110*pricing!N16*2000</f>
        <v>12902802.2906</v>
      </c>
      <c r="O121">
        <f>O110*pricing!O16*2000</f>
        <v>12989161.1742</v>
      </c>
    </row>
    <row r="122" spans="2:15" x14ac:dyDescent="0.2">
      <c r="C122" s="116" t="s">
        <v>128</v>
      </c>
      <c r="D122">
        <f>D111*pricing!D17*2000</f>
        <v>5073433.1204374991</v>
      </c>
      <c r="E122">
        <f>E111*pricing!E17*2000</f>
        <v>6125287.752733333</v>
      </c>
      <c r="F122">
        <f>F111*pricing!F17*2000</f>
        <v>5571484.4304291662</v>
      </c>
      <c r="G122">
        <f>G111*pricing!G17*2000</f>
        <v>5467414.0074458327</v>
      </c>
      <c r="H122">
        <f>H111*pricing!H17*2000</f>
        <v>5946881.3133333325</v>
      </c>
      <c r="I122">
        <f>I111*pricing!I17*2000</f>
        <v>6039801.3338541659</v>
      </c>
      <c r="J122">
        <f>J111*pricing!J17*2000</f>
        <v>6396614.2126541659</v>
      </c>
      <c r="K122">
        <f>K111*pricing!K17*2000</f>
        <v>5274140.364762499</v>
      </c>
      <c r="L122">
        <f>L111*pricing!L17*2000</f>
        <v>6463516.6274291659</v>
      </c>
      <c r="M122">
        <f>M111*pricing!M17*2000</f>
        <v>6010066.9272874994</v>
      </c>
      <c r="N122">
        <f>N111*pricing!N17*2000</f>
        <v>5656970.8493083324</v>
      </c>
      <c r="O122">
        <f>O111*pricing!O17*2000</f>
        <v>5679271.6542333327</v>
      </c>
    </row>
    <row r="123" spans="2:15" x14ac:dyDescent="0.2">
      <c r="C123" s="116" t="s">
        <v>129</v>
      </c>
      <c r="D123">
        <f>D112*pricing!D18*2000</f>
        <v>5111216.1616985397</v>
      </c>
      <c r="E123">
        <f>E112*pricing!E18*2000</f>
        <v>5904210.1946454896</v>
      </c>
      <c r="F123">
        <f>F112*pricing!F18*2000</f>
        <v>5641284.8506634003</v>
      </c>
      <c r="G123">
        <f>G112*pricing!G18*2000</f>
        <v>6173461.2184837433</v>
      </c>
      <c r="H123">
        <f>H112*pricing!H18*2000</f>
        <v>5830634.6371174594</v>
      </c>
      <c r="I123">
        <f>I112*pricing!I18*2000</f>
        <v>5849116.9721592292</v>
      </c>
      <c r="J123">
        <f>J112*pricing!J18*2000</f>
        <v>6557291.329733165</v>
      </c>
      <c r="K123">
        <f>K112*pricing!K18*2000</f>
        <v>6339930.33527683</v>
      </c>
      <c r="L123">
        <f>L112*pricing!L18*2000</f>
        <v>7402695.985517337</v>
      </c>
      <c r="M123">
        <f>M112*pricing!M18*2000</f>
        <v>5843691.9447759995</v>
      </c>
      <c r="N123">
        <f>N112*pricing!N18*2000</f>
        <v>6004450.2401852561</v>
      </c>
      <c r="O123">
        <f>O112*pricing!O18*2000</f>
        <v>5901827.9698361075</v>
      </c>
    </row>
    <row r="124" spans="2:15" x14ac:dyDescent="0.2">
      <c r="C124" s="116" t="s">
        <v>130</v>
      </c>
      <c r="D124">
        <f>D113*pricing!D19*2000</f>
        <v>2728010.2983764275</v>
      </c>
      <c r="E124">
        <f>E113*pricing!E19*2000</f>
        <v>4359037.3955017412</v>
      </c>
      <c r="F124">
        <f>F113*pricing!F19*2000</f>
        <v>3802558.9461230258</v>
      </c>
      <c r="G124">
        <f>G113*pricing!G19*2000</f>
        <v>4319041.6542393127</v>
      </c>
      <c r="H124">
        <f>H113*pricing!H19*2000</f>
        <v>3535353.2556271064</v>
      </c>
      <c r="I124">
        <f>I113*pricing!I19*2000</f>
        <v>3934959.4776926739</v>
      </c>
      <c r="J124">
        <f>J113*pricing!J19*2000</f>
        <v>4426424.3324854951</v>
      </c>
      <c r="K124">
        <f>K113*pricing!K19*2000</f>
        <v>3482481.2805638211</v>
      </c>
      <c r="L124">
        <f>L113*pricing!L19*2000</f>
        <v>4245268.7965793898</v>
      </c>
      <c r="M124">
        <f>M113*pricing!M19*2000</f>
        <v>4644830.9349607015</v>
      </c>
      <c r="N124">
        <f>N113*pricing!N19*2000</f>
        <v>4514719.203581051</v>
      </c>
      <c r="O124">
        <f>O113*pricing!O19*2000</f>
        <v>3796001.2756331894</v>
      </c>
    </row>
    <row r="125" spans="2:15" x14ac:dyDescent="0.2">
      <c r="C125" s="116" t="s">
        <v>131</v>
      </c>
      <c r="D125">
        <f>D114*pricing!D20*2000</f>
        <v>1111067.9138148366</v>
      </c>
      <c r="E125">
        <f>E114*pricing!E20*2000</f>
        <v>1655283.1479359914</v>
      </c>
      <c r="F125">
        <f>F114*pricing!F20*2000</f>
        <v>1091606.3527281499</v>
      </c>
      <c r="G125">
        <f>G114*pricing!G20*2000</f>
        <v>1610708.7833862111</v>
      </c>
      <c r="H125">
        <f>H114*pricing!H20*2000</f>
        <v>1309011.172107822</v>
      </c>
      <c r="I125">
        <f>I114*pricing!I20*2000</f>
        <v>1328893.09088772</v>
      </c>
      <c r="J125">
        <f>J114*pricing!J20*2000</f>
        <v>1383833.5916680396</v>
      </c>
      <c r="K125">
        <f>K114*pricing!K20*2000</f>
        <v>964199.66660628421</v>
      </c>
      <c r="L125">
        <f>L114*pricing!L20*2000</f>
        <v>1570840.5618458593</v>
      </c>
      <c r="M125">
        <f>M114*pricing!M20*2000</f>
        <v>1202278.2454698826</v>
      </c>
      <c r="N125">
        <f>N114*pricing!N20*2000</f>
        <v>1043287.1228521008</v>
      </c>
      <c r="O125">
        <f>O114*pricing!O20*2000</f>
        <v>1317568.1019437723</v>
      </c>
    </row>
    <row r="126" spans="2:15" x14ac:dyDescent="0.2">
      <c r="C126" s="116" t="s">
        <v>132</v>
      </c>
      <c r="D126">
        <f>D115*pricing!D21*2000</f>
        <v>1467411.1923693186</v>
      </c>
      <c r="E126">
        <f>E115*pricing!E21*2000</f>
        <v>2622054.0620066044</v>
      </c>
      <c r="F126">
        <f>F115*pricing!F21*2000</f>
        <v>1995693.1081265919</v>
      </c>
      <c r="G126">
        <f>G115*pricing!G21*2000</f>
        <v>2143890.6870820327</v>
      </c>
      <c r="H126">
        <f>H115*pricing!H21*2000</f>
        <v>1986421.4006796922</v>
      </c>
      <c r="I126">
        <f>I115*pricing!I21*2000</f>
        <v>2212792.348979861</v>
      </c>
      <c r="J126">
        <f>J115*pricing!J21*2000</f>
        <v>2169835.3554588528</v>
      </c>
      <c r="K126">
        <f>K115*pricing!K21*2000</f>
        <v>1844249.9491209022</v>
      </c>
      <c r="L126">
        <f>L115*pricing!L21*2000</f>
        <v>2099001.8385148034</v>
      </c>
      <c r="M126">
        <f>M115*pricing!M21*2000</f>
        <v>1594336.7194097275</v>
      </c>
      <c r="N126">
        <f>N115*pricing!N21*2000</f>
        <v>1878848.6024993353</v>
      </c>
      <c r="O126">
        <f>O115*pricing!O21*2000</f>
        <v>2305862.0287342053</v>
      </c>
    </row>
    <row r="127" spans="2:15" x14ac:dyDescent="0.2">
      <c r="C127" s="116" t="s">
        <v>278</v>
      </c>
      <c r="D127">
        <f t="shared" ref="D127:O127" si="1">SUM(D$120:D$126)</f>
        <v>30343998.149839476</v>
      </c>
      <c r="E127">
        <f t="shared" si="1"/>
        <v>36692259.629851736</v>
      </c>
      <c r="F127">
        <f t="shared" si="1"/>
        <v>35340191.235777482</v>
      </c>
      <c r="G127">
        <f t="shared" si="1"/>
        <v>34987061.263812132</v>
      </c>
      <c r="H127">
        <f t="shared" si="1"/>
        <v>36615836.73523327</v>
      </c>
      <c r="I127">
        <f t="shared" si="1"/>
        <v>35215440.37130937</v>
      </c>
      <c r="J127">
        <f t="shared" si="1"/>
        <v>37042199.210481867</v>
      </c>
      <c r="K127">
        <f t="shared" si="1"/>
        <v>35490913.164891049</v>
      </c>
      <c r="L127">
        <f t="shared" si="1"/>
        <v>41138437.28727942</v>
      </c>
      <c r="M127">
        <f t="shared" si="1"/>
        <v>35330553.934978805</v>
      </c>
      <c r="N127">
        <f t="shared" si="1"/>
        <v>37899878.237265371</v>
      </c>
      <c r="O127">
        <f t="shared" si="1"/>
        <v>38306460.088302031</v>
      </c>
    </row>
    <row r="129" spans="2:15" x14ac:dyDescent="0.2">
      <c r="B129" s="118" t="s">
        <v>280</v>
      </c>
    </row>
    <row r="130" spans="2:15" x14ac:dyDescent="0.2">
      <c r="C130" s="120" t="s">
        <v>277</v>
      </c>
      <c r="D130" s="120" t="s">
        <v>92</v>
      </c>
      <c r="E130" s="120" t="s">
        <v>93</v>
      </c>
      <c r="F130" s="120" t="s">
        <v>94</v>
      </c>
      <c r="G130" s="120" t="s">
        <v>95</v>
      </c>
      <c r="H130" s="120" t="s">
        <v>96</v>
      </c>
      <c r="I130" s="120" t="s">
        <v>97</v>
      </c>
      <c r="J130" s="120" t="s">
        <v>98</v>
      </c>
      <c r="K130" s="120" t="s">
        <v>99</v>
      </c>
      <c r="L130" s="120" t="s">
        <v>100</v>
      </c>
      <c r="M130" s="120" t="s">
        <v>101</v>
      </c>
      <c r="N130" s="120" t="s">
        <v>102</v>
      </c>
      <c r="O130" s="120" t="s">
        <v>103</v>
      </c>
    </row>
    <row r="131" spans="2:15" x14ac:dyDescent="0.2">
      <c r="C131" s="120" t="s">
        <v>126</v>
      </c>
      <c r="D131" s="121">
        <f>SUM(E$6:E$19)+SUM(G$6:G$19)+SUM(I$6:I$19)+SUM(K$6:K$19)</f>
        <v>549704.39999999991</v>
      </c>
      <c r="E131" s="121">
        <f>SUM(M$6:M$19)+SUM(O$6:O$19)+SUM(Q$6:Q$19)+SUM(S$6:S$19)</f>
        <v>639909.6</v>
      </c>
      <c r="F131" s="121">
        <f>SUM(U$6:U$19)+SUM(W$6:W$19)+SUM(Y$6:Y$19)+SUM(AA$6:AA$19)</f>
        <v>748867.19999999984</v>
      </c>
      <c r="G131" s="121">
        <f>SUM(AC$6:AC$19)+SUM(AE$6:AE$19)+SUM(AG$6:AG$19)+SUM(AI$6:AI$19)</f>
        <v>715660.80000000005</v>
      </c>
      <c r="H131" s="121">
        <f>SUM(AK$6:AK$19)+SUM(AM$6:AM$19)+SUM(AO$6:AO$19)+SUM(AQ$6:AQ$19)</f>
        <v>706806</v>
      </c>
      <c r="I131" s="121">
        <f>SUM(AS$6:AS$19)+SUM(AU$6:AU$19)+SUM(AW$6:AW$19)+SUM(AY$6:AY$19)</f>
        <v>685228.8</v>
      </c>
      <c r="J131" s="121">
        <f>SUM(BA$6:BA$19)+SUM(BC$6:BC$19)+SUM(BE$6:BE$19)+SUM(BG$6:BG$19)</f>
        <v>787123.19999999995</v>
      </c>
      <c r="K131" s="121">
        <f>SUM(BI$6:BI$19)+SUM(BK$6:BK$19)+SUM(BM$6:BM$19)+SUM(BO$6:BO$19)</f>
        <v>734310</v>
      </c>
      <c r="L131" s="121">
        <f>SUM(BQ$6:BQ$19)+SUM(BS$6:BS$19)+SUM(BU$6:BU$19)+SUM(BW$6:BW$19)</f>
        <v>844736.39999999991</v>
      </c>
      <c r="M131" s="121">
        <f>SUM(BY$6:BY$19)+SUM(CA$6:CA$19)+SUM(CC$6:CC$19)+SUM(CE$6:CE$19)</f>
        <v>841970.39999999991</v>
      </c>
      <c r="N131" s="121">
        <f>SUM(CG$6:CG$19)+SUM(CI$6:CI$19)+SUM(CK$6:CK$19)+SUM(CM$6:CM$19)</f>
        <v>815748</v>
      </c>
      <c r="O131" s="121">
        <f>SUM(CO$6:CO$19)+SUM(CQ$6:CQ$19)+SUM(CS$6:CS$19)+SUM(CU$6:CU$19)</f>
        <v>876964.79999999993</v>
      </c>
    </row>
    <row r="132" spans="2:15" x14ac:dyDescent="0.2">
      <c r="C132" s="120" t="s">
        <v>127</v>
      </c>
      <c r="D132" s="121">
        <f>SUM(E$20:E$36)+SUM(G$20:G$36)+SUM(I$20:I$36)+SUM(K$20:K$36)</f>
        <v>1174069.2</v>
      </c>
      <c r="E132" s="121">
        <f>SUM(M$20:M$36)+SUM(O$20:O$36)+SUM(Q$20:Q$36)+SUM(S$20:S$36)</f>
        <v>1236717.6000000001</v>
      </c>
      <c r="F132" s="121">
        <f>SUM(U$20:U$36)+SUM(W$20:W$36)+SUM(Y$20:Y$36)+SUM(AA$20:AA$36)</f>
        <v>1280244</v>
      </c>
      <c r="G132" s="121">
        <f>SUM(AC$20:AC$36)+SUM(AE$20:AE$36)+SUM(AG$20:AG$36)+SUM(AI$20:AI$36)</f>
        <v>1090446</v>
      </c>
      <c r="H132" s="121">
        <f>SUM(AK$20:AK$36)+SUM(AM$20:AM$36)+SUM(AO$20:AO$36)+SUM(AQ$20:AQ$36)</f>
        <v>1395484.7999999998</v>
      </c>
      <c r="I132" s="121">
        <f>SUM(AS$20:AS$36)+SUM(AU$20:AU$36)+SUM(AW$20:AW$36)+SUM(AY$20:AY$36)</f>
        <v>1180154.3999999999</v>
      </c>
      <c r="J132" s="121">
        <f>SUM(BA$20:BA$36)+SUM(BC$20:BC$36)+SUM(BE$20:BE$36)+SUM(BG$20:BG$36)</f>
        <v>1130912.3999999999</v>
      </c>
      <c r="K132" s="121">
        <f>SUM(BI$20:BI$36)+SUM(BK$20:BK$36)+SUM(BM$20:BM$36)+SUM(BO$20:BO$36)</f>
        <v>1318550.3999999999</v>
      </c>
      <c r="L132" s="121">
        <f>SUM(BQ$20:BQ$36)+SUM(BS$20:BS$36)+SUM(BU$20:BU$36)+SUM(BW$20:BW$36)</f>
        <v>1441807.2</v>
      </c>
      <c r="M132" s="121">
        <f>SUM(BY$20:BY$36)+SUM(CA$20:CA$36)+SUM(CC$20:CC$36)+SUM(CE$20:CE$36)</f>
        <v>1074456</v>
      </c>
      <c r="N132" s="121">
        <f>SUM(CG$20:CG$36)+SUM(CI$20:CI$36)+SUM(CK$20:CK$36)+SUM(CM$20:CM$36)</f>
        <v>1396615.2</v>
      </c>
      <c r="O132" s="121">
        <f>SUM(CO$20:CO$36)+SUM(CQ$20:CQ$36)+SUM(CS$20:CS$36)+SUM(CU$20:CU$36)</f>
        <v>1413223.1999999997</v>
      </c>
    </row>
    <row r="133" spans="2:15" x14ac:dyDescent="0.2">
      <c r="C133" s="120" t="s">
        <v>128</v>
      </c>
      <c r="D133" s="121">
        <f>SUM(E$37:E$48)+SUM(G$37:G$48)+SUM(I$37:I$48)+SUM(K$37:K$48)</f>
        <v>1430496</v>
      </c>
      <c r="E133" s="121">
        <f>SUM(M$37:M$48)+SUM(O$37:O$48)+SUM(Q$37:Q$48)+SUM(S$37:S$48)</f>
        <v>1727074.7999999998</v>
      </c>
      <c r="F133" s="121">
        <f>SUM(U$37:U$48)+SUM(W$37:W$48)+SUM(Y$37:Y$48)+SUM(AA$37:AA$48)</f>
        <v>1566631.2000000002</v>
      </c>
      <c r="G133" s="121">
        <f>SUM(AC$37:AC$48)+SUM(AE$37:AE$48)+SUM(AG$37:AG$48)+SUM(AI$37:AI$48)</f>
        <v>1543195.1999999997</v>
      </c>
      <c r="H133" s="121">
        <f>SUM(AK$37:AK$48)+SUM(AM$37:AM$48)+SUM(AO$37:AO$48)+SUM(AQ$37:AQ$48)</f>
        <v>1677405.5999999999</v>
      </c>
      <c r="I133" s="121">
        <f>SUM(AS$37:AS$48)+SUM(AU$37:AU$48)+SUM(AW$37:AW$48)+SUM(AY$37:AY$48)</f>
        <v>1699728</v>
      </c>
      <c r="J133" s="121">
        <f>SUM(BA$37:BA$48)+SUM(BC$37:BC$48)+SUM(BE$37:BE$48)+SUM(BG$37:BG$48)</f>
        <v>1804788</v>
      </c>
      <c r="K133" s="121">
        <f>SUM(BI$37:BI$48)+SUM(BK$37:BK$48)+SUM(BM$37:BM$48)+SUM(BO$37:BO$48)</f>
        <v>1481612.4</v>
      </c>
      <c r="L133" s="121">
        <f>SUM(BQ$37:BQ$48)+SUM(BS$37:BS$48)+SUM(BU$37:BU$48)+SUM(BW$37:BW$48)</f>
        <v>1818260.4</v>
      </c>
      <c r="M133" s="121">
        <f>SUM(BY$37:BY$48)+SUM(CA$37:CA$48)+SUM(CC$37:CC$48)+SUM(CE$37:CE$48)</f>
        <v>1690084.8</v>
      </c>
      <c r="N133" s="121">
        <f>SUM(CG$37:CG$48)+SUM(CI$37:CI$48)+SUM(CK$37:CK$48)+SUM(CM$37:CM$48)</f>
        <v>1590555.5999999999</v>
      </c>
      <c r="O133" s="121">
        <f>SUM(CO$37:CO$48)+SUM(CQ$37:CQ$48)+SUM(CS$37:CS$48)+SUM(CU$37:CU$48)</f>
        <v>1600823.9999999998</v>
      </c>
    </row>
    <row r="134" spans="2:15" x14ac:dyDescent="0.2">
      <c r="C134" s="120" t="s">
        <v>129</v>
      </c>
      <c r="D134" s="121">
        <f>SUM(E$49:E$70)+SUM(G$49:G$70)+SUM(I$49:I$70)+SUM(K$49:K$70)</f>
        <v>983763.95183325151</v>
      </c>
      <c r="E134" s="121">
        <f>SUM(M$49:M$70)+SUM(O$49:O$70)+SUM(Q$49:Q$70)+SUM(S$49:S$70)</f>
        <v>1149385.562803335</v>
      </c>
      <c r="F134" s="121">
        <f>SUM(U$49:U$70)+SUM(W$49:W$70)+SUM(Y$49:Y$70)+SUM(AA$49:AA$70)</f>
        <v>1091851.0295705805</v>
      </c>
      <c r="G134" s="121">
        <f>SUM(AC$49:AC$70)+SUM(AE$49:AE$70)+SUM(AG$49:AG$70)+SUM(AI$49:AI$70)</f>
        <v>1200295.6193747942</v>
      </c>
      <c r="H134" s="121">
        <f>SUM(AK$49:AK$70)+SUM(AM$49:AM$70)+SUM(AO$49:AO$70)+SUM(AQ$49:AQ$70)</f>
        <v>1127814.1734788776</v>
      </c>
      <c r="I134" s="121">
        <f>SUM(AS$49:AS$70)+SUM(AU$49:AU$70)+SUM(AW$49:AW$70)+SUM(AY$49:AY$70)</f>
        <v>1127813.0299321199</v>
      </c>
      <c r="J134" s="121">
        <f>SUM(BA$49:BA$70)+SUM(BC$49:BC$70)+SUM(BE$49:BE$70)+SUM(BG$49:BG$70)</f>
        <v>1275371.9843958656</v>
      </c>
      <c r="K134" s="121">
        <f>SUM(BI$49:BI$70)+SUM(BK$49:BK$70)+SUM(BM$49:BM$70)+SUM(BO$49:BO$70)</f>
        <v>1220133.194712769</v>
      </c>
      <c r="L134" s="121">
        <f>SUM(BQ$49:BQ$70)+SUM(BS$49:BS$70)+SUM(BU$49:BU$70)+SUM(BW$49:BW$70)</f>
        <v>1439859.8888106048</v>
      </c>
      <c r="M134" s="121">
        <f>SUM(BY$49:BY$70)+SUM(CA$49:CA$70)+SUM(CC$49:CC$70)+SUM(CE$49:CE$70)</f>
        <v>1128246.6454614596</v>
      </c>
      <c r="N134" s="121">
        <f>SUM(CG$49:CG$70)+SUM(CI$49:CI$70)+SUM(CK$49:CK$70)+SUM(CM$49:CM$70)</f>
        <v>1158609.5448563909</v>
      </c>
      <c r="O134" s="121">
        <f>SUM(CO$49:CO$70)+SUM(CQ$49:CQ$70)+SUM(CS$49:CS$70)+SUM(CU$49:CU$70)</f>
        <v>1150239.9137368365</v>
      </c>
    </row>
    <row r="135" spans="2:15" x14ac:dyDescent="0.2">
      <c r="C135" s="120" t="s">
        <v>130</v>
      </c>
      <c r="D135" s="121">
        <f>SUM(E$71:E$86)+SUM(G$71:G$86)+SUM(I$71:I$86)+SUM(K$71:K$86)</f>
        <v>426205.89792161586</v>
      </c>
      <c r="E135" s="121">
        <f>SUM(M$71:M$86)+SUM(O$71:O$86)+SUM(Q$71:Q$86)+SUM(S$71:S$86)</f>
        <v>680565.21951390558</v>
      </c>
      <c r="F135" s="121">
        <f>SUM(U$71:U$86)+SUM(W$71:W$86)+SUM(Y$71:Y$86)+SUM(AA$71:AA$86)</f>
        <v>588614.24750516901</v>
      </c>
      <c r="G135" s="121">
        <f>SUM(AC$71:AC$86)+SUM(AE$71:AE$86)+SUM(AG$71:AG$86)+SUM(AI$71:AI$86)</f>
        <v>671481.4138006221</v>
      </c>
      <c r="H135" s="121">
        <f>SUM(AK$71:AK$86)+SUM(AM$71:AM$86)+SUM(AO$71:AO$86)+SUM(AQ$71:AQ$86)</f>
        <v>548601.74241802655</v>
      </c>
      <c r="I135" s="121">
        <f>SUM(AS$71:AS$86)+SUM(AU$71:AU$86)+SUM(AW$71:AW$86)+SUM(AY$71:AY$86)</f>
        <v>612324.39797597693</v>
      </c>
      <c r="J135" s="121">
        <f>SUM(BA$71:BA$86)+SUM(BC$71:BC$86)+SUM(BE$71:BE$86)+SUM(BG$71:BG$86)</f>
        <v>683330.54004652356</v>
      </c>
      <c r="K135" s="121">
        <f>SUM(BI$71:BI$86)+SUM(BK$71:BK$86)+SUM(BM$71:BM$86)+SUM(BO$71:BO$86)</f>
        <v>542628.86233376653</v>
      </c>
      <c r="L135" s="121">
        <f>SUM(BQ$71:BQ$86)+SUM(BS$71:BS$86)+SUM(BU$71:BU$86)+SUM(BW$71:BW$86)</f>
        <v>657829.63250934973</v>
      </c>
      <c r="M135" s="121">
        <f>SUM(BY$71:BY$86)+SUM(CA$71:CA$86)+SUM(CC$71:CC$86)+SUM(CE$71:CE$86)</f>
        <v>722816.63000647957</v>
      </c>
      <c r="N135" s="121">
        <f>SUM(CG$71:CG$86)+SUM(CI$71:CI$86)+SUM(CK$71:CK$86)+SUM(CM$71:CM$86)</f>
        <v>702713.41890635761</v>
      </c>
      <c r="O135" s="121">
        <f>SUM(CO$71:CO$86)+SUM(CQ$71:CQ$86)+SUM(CS$71:CS$86)+SUM(CU$71:CU$86)</f>
        <v>591932.20316705387</v>
      </c>
    </row>
    <row r="136" spans="2:15" x14ac:dyDescent="0.2">
      <c r="C136" s="120" t="s">
        <v>131</v>
      </c>
      <c r="D136" s="121">
        <f>SUM(E$87:E$94)+SUM(G$87:G$94)+SUM(I$87:I$94)+SUM(K$87:K$94)</f>
        <v>578165.68678810145</v>
      </c>
      <c r="E136" s="121">
        <f>SUM(M$87:M$94)+SUM(O$87:O$94)+SUM(Q$87:Q$94)+SUM(S$87:S$94)</f>
        <v>863325.85395262309</v>
      </c>
      <c r="F136" s="121">
        <f>SUM(U$87:U$94)+SUM(W$87:W$94)+SUM(Y$87:Y$94)+SUM(AA$87:AA$94)</f>
        <v>567539.6817158123</v>
      </c>
      <c r="G136" s="121">
        <f>SUM(AC$87:AC$94)+SUM(AE$87:AE$94)+SUM(AG$87:AG$94)+SUM(AI$87:AI$94)</f>
        <v>836498.14733445016</v>
      </c>
      <c r="H136" s="121">
        <f>SUM(AK$87:AK$94)+SUM(AM$87:AM$94)+SUM(AO$87:AO$94)+SUM(AQ$87:AQ$94)</f>
        <v>681008.86266229127</v>
      </c>
      <c r="I136" s="121">
        <f>SUM(AS$87:AS$94)+SUM(AU$87:AU$94)+SUM(AW$87:AW$94)+SUM(AY$87:AY$94)</f>
        <v>690195.96640427457</v>
      </c>
      <c r="J136" s="121">
        <f>SUM(BA$87:BA$94)+SUM(BC$87:BC$94)+SUM(BE$87:BE$94)+SUM(BG$87:BG$94)</f>
        <v>720325.65929762181</v>
      </c>
      <c r="K136" s="121">
        <f>SUM(BI$87:BI$94)+SUM(BK$87:BK$94)+SUM(BM$87:BM$94)+SUM(BO$87:BO$94)</f>
        <v>502765.23909133475</v>
      </c>
      <c r="L136" s="121">
        <f>SUM(BQ$87:BQ$94)+SUM(BS$87:BS$94)+SUM(BU$87:BU$94)+SUM(BW$87:BW$94)</f>
        <v>819616.91203481809</v>
      </c>
      <c r="M136" s="121">
        <f>SUM(BY$87:BY$94)+SUM(CA$87:CA$94)+SUM(CC$87:CC$94)+SUM(CE$87:CE$94)</f>
        <v>626361.62393626221</v>
      </c>
      <c r="N136" s="121">
        <f>SUM(CG$87:CG$94)+SUM(CI$87:CI$94)+SUM(CK$87:CK$94)+SUM(CM$87:CM$94)</f>
        <v>543140.63354266575</v>
      </c>
      <c r="O136" s="121">
        <f>SUM(CO$87:CO$94)+SUM(CQ$87:CQ$94)+SUM(CS$87:CS$94)+SUM(CU$87:CU$94)</f>
        <v>686344.86326608853</v>
      </c>
    </row>
    <row r="137" spans="2:15" x14ac:dyDescent="0.2">
      <c r="C137" s="120" t="s">
        <v>132</v>
      </c>
      <c r="D137" s="121">
        <f>SUM(E$95:E$105)+SUM(G$95:G$105)+SUM(I$95:I$105)+SUM(K$95:K$105)</f>
        <v>695685.02676921396</v>
      </c>
      <c r="E137" s="121">
        <f>SUM(M$95:M$105)+SUM(O$95:O$105)+SUM(Q$95:Q$105)+SUM(S$95:S$105)</f>
        <v>1252764.6397587424</v>
      </c>
      <c r="F137" s="121">
        <f>SUM(U$95:U$105)+SUM(W$95:W$105)+SUM(Y$95:Y$105)+SUM(AA$95:AA$105)</f>
        <v>943837.09739372798</v>
      </c>
      <c r="G137" s="121">
        <f>SUM(AC$95:AC$105)+SUM(AE$95:AE$105)+SUM(AG$95:AG$105)+SUM(AI$95:AI$105)</f>
        <v>1020136.8424882299</v>
      </c>
      <c r="H137" s="121">
        <f>SUM(AK$95:AK$105)+SUM(AM$95:AM$105)+SUM(AO$95:AO$105)+SUM(AQ$95:AQ$105)</f>
        <v>944382.43480452453</v>
      </c>
      <c r="I137" s="121">
        <f>SUM(AS$95:AS$105)+SUM(AU$95:AU$105)+SUM(AW$95:AW$105)+SUM(AY$95:AY$105)</f>
        <v>1042846.0152485976</v>
      </c>
      <c r="J137" s="121">
        <f>SUM(BA$95:BA$105)+SUM(BC$95:BC$105)+SUM(BE$95:BE$105)+SUM(BG$95:BG$105)</f>
        <v>1023536.621590799</v>
      </c>
      <c r="K137" s="121">
        <f>SUM(BI$95:BI$105)+SUM(BK$95:BK$105)+SUM(BM$95:BM$105)+SUM(BO$95:BO$105)</f>
        <v>877831.6897774043</v>
      </c>
      <c r="L137" s="121">
        <f>SUM(BQ$95:BQ$105)+SUM(BS$95:BS$105)+SUM(BU$95:BU$105)+SUM(BW$95:BW$105)</f>
        <v>982362.89406436309</v>
      </c>
      <c r="M137" s="121">
        <f>SUM(BY$95:BY$105)+SUM(CA$95:CA$105)+SUM(CC$95:CC$105)+SUM(CE$95:CE$105)</f>
        <v>754388.18565335777</v>
      </c>
      <c r="N137" s="121">
        <f>SUM(CG$95:CG$105)+SUM(CI$95:CI$105)+SUM(CK$95:CK$105)+SUM(CM$95:CM$105)</f>
        <v>888310.12252589292</v>
      </c>
      <c r="O137" s="121">
        <f>SUM(CO$95:CO$105)+SUM(CQ$95:CQ$105)+SUM(CS$95:CS$105)+SUM(CU$95:CU$105)</f>
        <v>1093568.3704793893</v>
      </c>
    </row>
    <row r="138" spans="2:15" x14ac:dyDescent="0.2">
      <c r="C138" s="120" t="s">
        <v>278</v>
      </c>
      <c r="D138">
        <f t="shared" ref="D138:O138" si="2">SUM(D$131:D$137)</f>
        <v>5838090.1633121828</v>
      </c>
      <c r="E138">
        <f t="shared" si="2"/>
        <v>7549743.2760286061</v>
      </c>
      <c r="F138">
        <f t="shared" si="2"/>
        <v>6787584.4561852897</v>
      </c>
      <c r="G138">
        <f t="shared" si="2"/>
        <v>7077714.0229980964</v>
      </c>
      <c r="H138">
        <f t="shared" si="2"/>
        <v>7081503.6133637195</v>
      </c>
      <c r="I138">
        <f t="shared" si="2"/>
        <v>7038290.6095609693</v>
      </c>
      <c r="J138">
        <f t="shared" si="2"/>
        <v>7425388.4053308088</v>
      </c>
      <c r="K138">
        <f t="shared" si="2"/>
        <v>6677831.7859152742</v>
      </c>
      <c r="L138">
        <f t="shared" si="2"/>
        <v>8004473.3274191357</v>
      </c>
      <c r="M138">
        <f t="shared" si="2"/>
        <v>6838324.2850575587</v>
      </c>
      <c r="N138">
        <f t="shared" si="2"/>
        <v>7095692.5198313072</v>
      </c>
      <c r="O138">
        <f t="shared" si="2"/>
        <v>7413097.3506493671</v>
      </c>
    </row>
  </sheetData>
  <pageMargins left="0.75" right="0.75" top="1" bottom="1" header="0.5" footer="0.5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CU138"/>
  <sheetViews>
    <sheetView workbookViewId="0"/>
  </sheetViews>
  <sheetFormatPr defaultRowHeight="12.75" x14ac:dyDescent="0.2"/>
  <sheetData>
    <row r="2" spans="1:99" x14ac:dyDescent="0.2">
      <c r="B2" s="1" t="s">
        <v>272</v>
      </c>
    </row>
    <row r="3" spans="1:99" x14ac:dyDescent="0.2">
      <c r="B3" s="118" t="s">
        <v>281</v>
      </c>
    </row>
    <row r="4" spans="1:99" x14ac:dyDescent="0.2">
      <c r="A4" s="117"/>
      <c r="B4" s="117"/>
      <c r="C4" s="116" t="s">
        <v>274</v>
      </c>
      <c r="D4" s="116" t="s">
        <v>92</v>
      </c>
      <c r="E4" s="117"/>
      <c r="F4" s="117"/>
      <c r="G4" s="117"/>
      <c r="H4" s="117"/>
      <c r="I4" s="117"/>
      <c r="J4" s="117"/>
      <c r="K4" s="117"/>
      <c r="L4" s="116" t="s">
        <v>93</v>
      </c>
      <c r="M4" s="117"/>
      <c r="N4" s="117"/>
      <c r="O4" s="117"/>
      <c r="P4" s="117"/>
      <c r="Q4" s="117"/>
      <c r="R4" s="117"/>
      <c r="S4" s="117"/>
      <c r="T4" s="116" t="s">
        <v>94</v>
      </c>
      <c r="U4" s="117"/>
      <c r="V4" s="117"/>
      <c r="W4" s="117"/>
      <c r="X4" s="117"/>
      <c r="Y4" s="117"/>
      <c r="Z4" s="117"/>
      <c r="AA4" s="117"/>
      <c r="AB4" s="116" t="s">
        <v>95</v>
      </c>
      <c r="AC4" s="117"/>
      <c r="AD4" s="117"/>
      <c r="AE4" s="117"/>
      <c r="AF4" s="117"/>
      <c r="AG4" s="117"/>
      <c r="AH4" s="117"/>
      <c r="AI4" s="117"/>
      <c r="AJ4" s="116" t="s">
        <v>96</v>
      </c>
      <c r="AK4" s="117"/>
      <c r="AL4" s="117"/>
      <c r="AM4" s="117"/>
      <c r="AN4" s="117"/>
      <c r="AO4" s="117"/>
      <c r="AP4" s="117"/>
      <c r="AQ4" s="117"/>
      <c r="AR4" s="116" t="s">
        <v>97</v>
      </c>
      <c r="AS4" s="117"/>
      <c r="AT4" s="117"/>
      <c r="AU4" s="117"/>
      <c r="AV4" s="117"/>
      <c r="AW4" s="117"/>
      <c r="AX4" s="117"/>
      <c r="AY4" s="117"/>
      <c r="AZ4" s="116" t="s">
        <v>98</v>
      </c>
      <c r="BA4" s="117"/>
      <c r="BB4" s="117"/>
      <c r="BC4" s="117"/>
      <c r="BD4" s="117"/>
      <c r="BE4" s="117"/>
      <c r="BF4" s="117"/>
      <c r="BG4" s="117"/>
      <c r="BH4" s="116" t="s">
        <v>99</v>
      </c>
      <c r="BI4" s="117"/>
      <c r="BJ4" s="117"/>
      <c r="BK4" s="117"/>
      <c r="BL4" s="117"/>
      <c r="BM4" s="117"/>
      <c r="BN4" s="117"/>
      <c r="BO4" s="117"/>
      <c r="BP4" s="116" t="s">
        <v>100</v>
      </c>
      <c r="BQ4" s="117"/>
      <c r="BR4" s="117"/>
      <c r="BS4" s="117"/>
      <c r="BT4" s="117"/>
      <c r="BU4" s="117"/>
      <c r="BV4" s="117"/>
      <c r="BW4" s="117"/>
      <c r="BX4" s="116" t="s">
        <v>101</v>
      </c>
      <c r="BY4" s="117"/>
      <c r="BZ4" s="117"/>
      <c r="CA4" s="117"/>
      <c r="CB4" s="117"/>
      <c r="CC4" s="117"/>
      <c r="CD4" s="117"/>
      <c r="CE4" s="117"/>
      <c r="CF4" s="116" t="s">
        <v>102</v>
      </c>
      <c r="CG4" s="117"/>
      <c r="CH4" s="117"/>
      <c r="CI4" s="117"/>
      <c r="CJ4" s="117"/>
      <c r="CK4" s="117"/>
      <c r="CL4" s="117"/>
      <c r="CM4" s="117"/>
      <c r="CN4" s="116" t="s">
        <v>103</v>
      </c>
      <c r="CO4" s="117"/>
      <c r="CP4" s="117"/>
      <c r="CQ4" s="117"/>
      <c r="CR4" s="117"/>
      <c r="CS4" s="117"/>
      <c r="CT4" s="117"/>
      <c r="CU4" s="117"/>
    </row>
    <row r="5" spans="1:99" x14ac:dyDescent="0.2">
      <c r="B5" s="116" t="s">
        <v>167</v>
      </c>
      <c r="C5" s="116" t="s">
        <v>275</v>
      </c>
      <c r="D5" s="116">
        <v>1</v>
      </c>
      <c r="E5" s="116"/>
      <c r="F5" s="116">
        <v>2</v>
      </c>
      <c r="G5" s="116"/>
      <c r="H5" s="116">
        <v>3</v>
      </c>
      <c r="I5" s="116"/>
      <c r="J5" s="116">
        <v>4</v>
      </c>
      <c r="K5" s="116"/>
      <c r="L5" s="116">
        <v>1</v>
      </c>
      <c r="M5" s="116"/>
      <c r="N5" s="116">
        <v>2</v>
      </c>
      <c r="O5" s="116"/>
      <c r="P5" s="116">
        <v>3</v>
      </c>
      <c r="Q5" s="116"/>
      <c r="R5" s="116">
        <v>4</v>
      </c>
      <c r="S5" s="116"/>
      <c r="T5" s="116">
        <v>1</v>
      </c>
      <c r="U5" s="116"/>
      <c r="V5" s="116">
        <v>2</v>
      </c>
      <c r="W5" s="116"/>
      <c r="X5" s="116">
        <v>3</v>
      </c>
      <c r="Y5" s="116"/>
      <c r="Z5" s="116">
        <v>4</v>
      </c>
      <c r="AA5" s="116"/>
      <c r="AB5" s="116">
        <v>1</v>
      </c>
      <c r="AC5" s="116"/>
      <c r="AD5" s="116">
        <v>2</v>
      </c>
      <c r="AE5" s="116"/>
      <c r="AF5" s="116">
        <v>3</v>
      </c>
      <c r="AG5" s="116"/>
      <c r="AH5" s="116">
        <v>4</v>
      </c>
      <c r="AI5" s="116"/>
      <c r="AJ5" s="116">
        <v>1</v>
      </c>
      <c r="AK5" s="116"/>
      <c r="AL5" s="116">
        <v>2</v>
      </c>
      <c r="AM5" s="116"/>
      <c r="AN5" s="116">
        <v>3</v>
      </c>
      <c r="AO5" s="116"/>
      <c r="AP5" s="116">
        <v>4</v>
      </c>
      <c r="AQ5" s="116"/>
      <c r="AR5" s="116">
        <v>1</v>
      </c>
      <c r="AS5" s="116"/>
      <c r="AT5" s="116">
        <v>2</v>
      </c>
      <c r="AU5" s="116"/>
      <c r="AV5" s="116">
        <v>3</v>
      </c>
      <c r="AW5" s="116"/>
      <c r="AX5" s="116">
        <v>4</v>
      </c>
      <c r="AY5" s="116"/>
      <c r="AZ5" s="116">
        <v>1</v>
      </c>
      <c r="BA5" s="116"/>
      <c r="BB5" s="116">
        <v>2</v>
      </c>
      <c r="BC5" s="116"/>
      <c r="BD5" s="116">
        <v>3</v>
      </c>
      <c r="BE5" s="116"/>
      <c r="BF5" s="116">
        <v>4</v>
      </c>
      <c r="BG5" s="116"/>
      <c r="BH5" s="116">
        <v>1</v>
      </c>
      <c r="BI5" s="116"/>
      <c r="BJ5" s="116">
        <v>2</v>
      </c>
      <c r="BK5" s="116"/>
      <c r="BL5" s="116">
        <v>3</v>
      </c>
      <c r="BM5" s="116"/>
      <c r="BN5" s="116">
        <v>4</v>
      </c>
      <c r="BO5" s="116"/>
      <c r="BP5" s="116">
        <v>1</v>
      </c>
      <c r="BQ5" s="116"/>
      <c r="BR5" s="116">
        <v>2</v>
      </c>
      <c r="BS5" s="116"/>
      <c r="BT5" s="116">
        <v>3</v>
      </c>
      <c r="BU5" s="116"/>
      <c r="BV5" s="116">
        <v>4</v>
      </c>
      <c r="BW5" s="116"/>
      <c r="BX5" s="116">
        <v>1</v>
      </c>
      <c r="BY5" s="116"/>
      <c r="BZ5" s="116">
        <v>2</v>
      </c>
      <c r="CA5" s="116"/>
      <c r="CB5" s="116">
        <v>3</v>
      </c>
      <c r="CC5" s="116"/>
      <c r="CD5" s="116">
        <v>4</v>
      </c>
      <c r="CE5" s="116"/>
      <c r="CF5" s="116">
        <v>1</v>
      </c>
      <c r="CG5" s="116"/>
      <c r="CH5" s="116">
        <v>2</v>
      </c>
      <c r="CI5" s="116"/>
      <c r="CJ5" s="116">
        <v>3</v>
      </c>
      <c r="CK5" s="116"/>
      <c r="CL5" s="116">
        <v>4</v>
      </c>
      <c r="CM5" s="116"/>
      <c r="CN5" s="116">
        <v>1</v>
      </c>
      <c r="CO5" s="116"/>
      <c r="CP5" s="116">
        <v>2</v>
      </c>
      <c r="CQ5" s="116"/>
      <c r="CR5" s="116">
        <v>3</v>
      </c>
      <c r="CS5" s="116"/>
      <c r="CT5" s="116">
        <v>4</v>
      </c>
      <c r="CU5" s="116"/>
    </row>
    <row r="6" spans="1:99" x14ac:dyDescent="0.2">
      <c r="B6" s="116" t="s">
        <v>126</v>
      </c>
      <c r="C6" s="116" t="s">
        <v>172</v>
      </c>
      <c r="D6">
        <v>16</v>
      </c>
      <c r="E6">
        <v>9254.4</v>
      </c>
      <c r="F6">
        <v>13</v>
      </c>
      <c r="G6">
        <v>7519.2</v>
      </c>
      <c r="H6">
        <v>8</v>
      </c>
      <c r="I6">
        <v>4627.2</v>
      </c>
      <c r="J6">
        <v>14</v>
      </c>
      <c r="K6">
        <v>8097.5999999999995</v>
      </c>
      <c r="L6">
        <v>13</v>
      </c>
      <c r="M6">
        <v>7519.2</v>
      </c>
      <c r="N6">
        <v>10</v>
      </c>
      <c r="O6">
        <v>5784</v>
      </c>
      <c r="P6">
        <v>15</v>
      </c>
      <c r="Q6">
        <v>8676</v>
      </c>
      <c r="R6">
        <v>10</v>
      </c>
      <c r="S6">
        <v>5784</v>
      </c>
      <c r="T6">
        <v>15</v>
      </c>
      <c r="U6">
        <v>8676</v>
      </c>
      <c r="V6">
        <v>10</v>
      </c>
      <c r="W6">
        <v>5784</v>
      </c>
      <c r="X6">
        <v>13</v>
      </c>
      <c r="Y6">
        <v>7519.2</v>
      </c>
      <c r="Z6">
        <v>8</v>
      </c>
      <c r="AA6">
        <v>4627.2</v>
      </c>
      <c r="AB6">
        <v>14</v>
      </c>
      <c r="AC6">
        <v>8097.5999999999995</v>
      </c>
      <c r="AD6">
        <v>13</v>
      </c>
      <c r="AE6">
        <v>7519.2</v>
      </c>
      <c r="AF6">
        <v>10</v>
      </c>
      <c r="AG6">
        <v>5784</v>
      </c>
      <c r="AH6">
        <v>8</v>
      </c>
      <c r="AI6">
        <v>4627.2</v>
      </c>
      <c r="AJ6">
        <v>11</v>
      </c>
      <c r="AK6">
        <v>6362.4</v>
      </c>
      <c r="AL6">
        <v>14</v>
      </c>
      <c r="AM6">
        <v>8097.5999999999995</v>
      </c>
      <c r="AN6">
        <v>15</v>
      </c>
      <c r="AO6">
        <v>8676</v>
      </c>
      <c r="AP6">
        <v>10</v>
      </c>
      <c r="AQ6">
        <v>5784</v>
      </c>
      <c r="AR6">
        <v>13</v>
      </c>
      <c r="AS6">
        <v>7519.2</v>
      </c>
      <c r="AT6">
        <v>10</v>
      </c>
      <c r="AU6">
        <v>5784</v>
      </c>
      <c r="AV6">
        <v>12</v>
      </c>
      <c r="AW6">
        <v>6940.7999999999993</v>
      </c>
      <c r="AX6">
        <v>13</v>
      </c>
      <c r="AY6">
        <v>7519.2</v>
      </c>
      <c r="AZ6">
        <v>14</v>
      </c>
      <c r="BA6">
        <v>8097.5999999999995</v>
      </c>
      <c r="BB6">
        <v>12</v>
      </c>
      <c r="BC6">
        <v>6940.7999999999993</v>
      </c>
      <c r="BD6">
        <v>18</v>
      </c>
      <c r="BE6">
        <v>10411.199999999999</v>
      </c>
      <c r="BF6">
        <v>10</v>
      </c>
      <c r="BG6">
        <v>5784</v>
      </c>
      <c r="BH6">
        <v>16</v>
      </c>
      <c r="BI6">
        <v>9254.4</v>
      </c>
      <c r="BJ6">
        <v>10</v>
      </c>
      <c r="BK6">
        <v>5784</v>
      </c>
      <c r="BL6">
        <v>14</v>
      </c>
      <c r="BM6">
        <v>8097.5999999999995</v>
      </c>
      <c r="BN6">
        <v>19</v>
      </c>
      <c r="BO6">
        <v>10989.6</v>
      </c>
      <c r="BP6">
        <v>14</v>
      </c>
      <c r="BQ6">
        <v>8097.5999999999995</v>
      </c>
      <c r="BR6">
        <v>14</v>
      </c>
      <c r="BS6">
        <v>8097.5999999999995</v>
      </c>
      <c r="BT6">
        <v>11</v>
      </c>
      <c r="BU6">
        <v>6362.4</v>
      </c>
      <c r="BV6">
        <v>12</v>
      </c>
      <c r="BW6">
        <v>6940.7999999999993</v>
      </c>
      <c r="BX6">
        <v>15</v>
      </c>
      <c r="BY6">
        <v>8676</v>
      </c>
      <c r="BZ6">
        <v>12</v>
      </c>
      <c r="CA6">
        <v>6940.7999999999993</v>
      </c>
      <c r="CB6">
        <v>17</v>
      </c>
      <c r="CC6">
        <v>9832.7999999999993</v>
      </c>
      <c r="CD6">
        <v>15</v>
      </c>
      <c r="CE6">
        <v>8676</v>
      </c>
      <c r="CF6">
        <v>11</v>
      </c>
      <c r="CG6">
        <v>6362.4</v>
      </c>
      <c r="CH6">
        <v>11</v>
      </c>
      <c r="CI6">
        <v>6362.4</v>
      </c>
      <c r="CJ6">
        <v>14</v>
      </c>
      <c r="CK6">
        <v>8097.5999999999995</v>
      </c>
      <c r="CL6">
        <v>12</v>
      </c>
      <c r="CM6">
        <v>6940.7999999999993</v>
      </c>
      <c r="CN6">
        <v>11</v>
      </c>
      <c r="CO6">
        <v>6362.4</v>
      </c>
      <c r="CP6">
        <v>17</v>
      </c>
      <c r="CQ6">
        <v>9832.7999999999993</v>
      </c>
      <c r="CR6">
        <v>12</v>
      </c>
      <c r="CS6">
        <v>6940.7999999999993</v>
      </c>
      <c r="CT6">
        <v>13</v>
      </c>
      <c r="CU6">
        <v>7519.2</v>
      </c>
    </row>
    <row r="7" spans="1:99" x14ac:dyDescent="0.2">
      <c r="C7" s="116" t="s">
        <v>173</v>
      </c>
      <c r="D7">
        <v>16</v>
      </c>
      <c r="E7">
        <v>12614.4</v>
      </c>
      <c r="F7">
        <v>12</v>
      </c>
      <c r="G7">
        <v>9460.7999999999993</v>
      </c>
      <c r="H7">
        <v>8</v>
      </c>
      <c r="I7">
        <v>6307.2</v>
      </c>
      <c r="J7">
        <v>13</v>
      </c>
      <c r="K7">
        <v>10249.199999999999</v>
      </c>
      <c r="L7">
        <v>16</v>
      </c>
      <c r="M7">
        <v>12614.4</v>
      </c>
      <c r="N7">
        <v>10</v>
      </c>
      <c r="O7">
        <v>7884</v>
      </c>
      <c r="P7">
        <v>14</v>
      </c>
      <c r="Q7">
        <v>11037.6</v>
      </c>
      <c r="R7">
        <v>11</v>
      </c>
      <c r="S7">
        <v>8672.4</v>
      </c>
      <c r="T7">
        <v>15</v>
      </c>
      <c r="U7">
        <v>11826</v>
      </c>
      <c r="V7">
        <v>9</v>
      </c>
      <c r="W7">
        <v>7095.5999999999995</v>
      </c>
      <c r="X7">
        <v>11</v>
      </c>
      <c r="Y7">
        <v>8672.4</v>
      </c>
      <c r="Z7">
        <v>9</v>
      </c>
      <c r="AA7">
        <v>7095.5999999999995</v>
      </c>
      <c r="AB7">
        <v>14</v>
      </c>
      <c r="AC7">
        <v>11037.6</v>
      </c>
      <c r="AD7">
        <v>13</v>
      </c>
      <c r="AE7">
        <v>10249.199999999999</v>
      </c>
      <c r="AF7">
        <v>10</v>
      </c>
      <c r="AG7">
        <v>7884</v>
      </c>
      <c r="AH7">
        <v>8</v>
      </c>
      <c r="AI7">
        <v>6307.2</v>
      </c>
      <c r="AJ7">
        <v>12</v>
      </c>
      <c r="AK7">
        <v>9460.7999999999993</v>
      </c>
      <c r="AL7">
        <v>12</v>
      </c>
      <c r="AM7">
        <v>9460.7999999999993</v>
      </c>
      <c r="AN7">
        <v>17</v>
      </c>
      <c r="AO7">
        <v>13402.8</v>
      </c>
      <c r="AP7">
        <v>9</v>
      </c>
      <c r="AQ7">
        <v>7095.5999999999995</v>
      </c>
      <c r="AR7">
        <v>12</v>
      </c>
      <c r="AS7">
        <v>9460.7999999999993</v>
      </c>
      <c r="AT7">
        <v>10</v>
      </c>
      <c r="AU7">
        <v>7884</v>
      </c>
      <c r="AV7">
        <v>11</v>
      </c>
      <c r="AW7">
        <v>8672.4</v>
      </c>
      <c r="AX7">
        <v>15</v>
      </c>
      <c r="AY7">
        <v>11826</v>
      </c>
      <c r="AZ7">
        <v>15</v>
      </c>
      <c r="BA7">
        <v>11826</v>
      </c>
      <c r="BB7">
        <v>13</v>
      </c>
      <c r="BC7">
        <v>10249.199999999999</v>
      </c>
      <c r="BD7">
        <v>15</v>
      </c>
      <c r="BE7">
        <v>11826</v>
      </c>
      <c r="BF7">
        <v>10</v>
      </c>
      <c r="BG7">
        <v>7884</v>
      </c>
      <c r="BH7">
        <v>17</v>
      </c>
      <c r="BI7">
        <v>13402.8</v>
      </c>
      <c r="BJ7">
        <v>9</v>
      </c>
      <c r="BK7">
        <v>7095.5999999999995</v>
      </c>
      <c r="BL7">
        <v>12</v>
      </c>
      <c r="BM7">
        <v>9460.7999999999993</v>
      </c>
      <c r="BN7">
        <v>17</v>
      </c>
      <c r="BO7">
        <v>13402.8</v>
      </c>
      <c r="BP7">
        <v>15</v>
      </c>
      <c r="BQ7">
        <v>11826</v>
      </c>
      <c r="BR7">
        <v>13</v>
      </c>
      <c r="BS7">
        <v>10249.199999999999</v>
      </c>
      <c r="BT7">
        <v>10</v>
      </c>
      <c r="BU7">
        <v>7884</v>
      </c>
      <c r="BV7">
        <v>12</v>
      </c>
      <c r="BW7">
        <v>9460.7999999999993</v>
      </c>
      <c r="BX7">
        <v>13</v>
      </c>
      <c r="BY7">
        <v>10249.199999999999</v>
      </c>
      <c r="BZ7">
        <v>12</v>
      </c>
      <c r="CA7">
        <v>9460.7999999999993</v>
      </c>
      <c r="CB7">
        <v>15</v>
      </c>
      <c r="CC7">
        <v>11826</v>
      </c>
      <c r="CD7">
        <v>16</v>
      </c>
      <c r="CE7">
        <v>12614.4</v>
      </c>
      <c r="CF7">
        <v>11</v>
      </c>
      <c r="CG7">
        <v>8672.4</v>
      </c>
      <c r="CH7">
        <v>12</v>
      </c>
      <c r="CI7">
        <v>9460.7999999999993</v>
      </c>
      <c r="CJ7">
        <v>14</v>
      </c>
      <c r="CK7">
        <v>11037.6</v>
      </c>
      <c r="CL7">
        <v>11</v>
      </c>
      <c r="CM7">
        <v>8672.4</v>
      </c>
      <c r="CN7">
        <v>9</v>
      </c>
      <c r="CO7">
        <v>7095.5999999999995</v>
      </c>
      <c r="CP7">
        <v>18</v>
      </c>
      <c r="CQ7">
        <v>14191.199999999999</v>
      </c>
      <c r="CR7">
        <v>11</v>
      </c>
      <c r="CS7">
        <v>8672.4</v>
      </c>
      <c r="CT7">
        <v>13</v>
      </c>
      <c r="CU7">
        <v>10249.199999999999</v>
      </c>
    </row>
    <row r="8" spans="1:99" x14ac:dyDescent="0.2">
      <c r="C8" s="116" t="s">
        <v>174</v>
      </c>
      <c r="D8">
        <v>14</v>
      </c>
      <c r="E8">
        <v>4334.3999999999996</v>
      </c>
      <c r="F8">
        <v>12</v>
      </c>
      <c r="G8">
        <v>3715.2</v>
      </c>
      <c r="H8">
        <v>9</v>
      </c>
      <c r="I8">
        <v>2786.3999999999996</v>
      </c>
      <c r="J8">
        <v>14</v>
      </c>
      <c r="K8">
        <v>4334.3999999999996</v>
      </c>
      <c r="L8">
        <v>14</v>
      </c>
      <c r="M8">
        <v>4334.3999999999996</v>
      </c>
      <c r="N8">
        <v>11</v>
      </c>
      <c r="O8">
        <v>3405.5999999999995</v>
      </c>
      <c r="P8">
        <v>16</v>
      </c>
      <c r="Q8">
        <v>4953.5999999999995</v>
      </c>
      <c r="R8">
        <v>12</v>
      </c>
      <c r="S8">
        <v>3715.2</v>
      </c>
      <c r="T8">
        <v>16</v>
      </c>
      <c r="U8">
        <v>4953.5999999999995</v>
      </c>
      <c r="V8">
        <v>8</v>
      </c>
      <c r="W8">
        <v>2476.7999999999997</v>
      </c>
      <c r="X8">
        <v>13</v>
      </c>
      <c r="Y8">
        <v>4024.7999999999997</v>
      </c>
      <c r="Z8">
        <v>9</v>
      </c>
      <c r="AA8">
        <v>2786.3999999999996</v>
      </c>
      <c r="AB8">
        <v>13</v>
      </c>
      <c r="AC8">
        <v>4024.7999999999997</v>
      </c>
      <c r="AD8">
        <v>13</v>
      </c>
      <c r="AE8">
        <v>4024.7999999999997</v>
      </c>
      <c r="AF8">
        <v>11</v>
      </c>
      <c r="AG8">
        <v>3405.5999999999995</v>
      </c>
      <c r="AH8">
        <v>9</v>
      </c>
      <c r="AI8">
        <v>2786.3999999999996</v>
      </c>
      <c r="AJ8">
        <v>13</v>
      </c>
      <c r="AK8">
        <v>4024.7999999999997</v>
      </c>
      <c r="AL8">
        <v>12</v>
      </c>
      <c r="AM8">
        <v>3715.2</v>
      </c>
      <c r="AN8">
        <v>18</v>
      </c>
      <c r="AO8">
        <v>5572.7999999999993</v>
      </c>
      <c r="AP8">
        <v>10</v>
      </c>
      <c r="AQ8">
        <v>3095.9999999999995</v>
      </c>
      <c r="AR8">
        <v>13</v>
      </c>
      <c r="AS8">
        <v>4024.7999999999997</v>
      </c>
      <c r="AT8">
        <v>9</v>
      </c>
      <c r="AU8">
        <v>2786.3999999999996</v>
      </c>
      <c r="AV8">
        <v>14</v>
      </c>
      <c r="AW8">
        <v>4334.3999999999996</v>
      </c>
      <c r="AX8">
        <v>16</v>
      </c>
      <c r="AY8">
        <v>4953.5999999999995</v>
      </c>
      <c r="AZ8">
        <v>15</v>
      </c>
      <c r="BA8">
        <v>4643.9999999999991</v>
      </c>
      <c r="BB8">
        <v>13</v>
      </c>
      <c r="BC8">
        <v>4024.7999999999997</v>
      </c>
      <c r="BD8">
        <v>16</v>
      </c>
      <c r="BE8">
        <v>4953.5999999999995</v>
      </c>
      <c r="BF8">
        <v>11</v>
      </c>
      <c r="BG8">
        <v>3405.5999999999995</v>
      </c>
      <c r="BH8">
        <v>17</v>
      </c>
      <c r="BI8">
        <v>5263.2</v>
      </c>
      <c r="BJ8">
        <v>9</v>
      </c>
      <c r="BK8">
        <v>2786.3999999999996</v>
      </c>
      <c r="BL8">
        <v>12</v>
      </c>
      <c r="BM8">
        <v>3715.2</v>
      </c>
      <c r="BN8">
        <v>17</v>
      </c>
      <c r="BO8">
        <v>5263.2</v>
      </c>
      <c r="BP8">
        <v>14</v>
      </c>
      <c r="BQ8">
        <v>4334.3999999999996</v>
      </c>
      <c r="BR8">
        <v>14</v>
      </c>
      <c r="BS8">
        <v>4334.3999999999996</v>
      </c>
      <c r="BT8">
        <v>11</v>
      </c>
      <c r="BU8">
        <v>3405.5999999999995</v>
      </c>
      <c r="BV8">
        <v>11</v>
      </c>
      <c r="BW8">
        <v>3405.5999999999995</v>
      </c>
      <c r="BX8">
        <v>15</v>
      </c>
      <c r="BY8">
        <v>4643.9999999999991</v>
      </c>
      <c r="BZ8">
        <v>11</v>
      </c>
      <c r="CA8">
        <v>3405.5999999999995</v>
      </c>
      <c r="CB8">
        <v>17</v>
      </c>
      <c r="CC8">
        <v>5263.2</v>
      </c>
      <c r="CD8">
        <v>17</v>
      </c>
      <c r="CE8">
        <v>5263.2</v>
      </c>
      <c r="CF8">
        <v>11</v>
      </c>
      <c r="CG8">
        <v>3405.5999999999995</v>
      </c>
      <c r="CH8">
        <v>12</v>
      </c>
      <c r="CI8">
        <v>3715.2</v>
      </c>
      <c r="CJ8">
        <v>13</v>
      </c>
      <c r="CK8">
        <v>4024.7999999999997</v>
      </c>
      <c r="CL8">
        <v>12</v>
      </c>
      <c r="CM8">
        <v>3715.2</v>
      </c>
      <c r="CN8">
        <v>9</v>
      </c>
      <c r="CO8">
        <v>2786.3999999999996</v>
      </c>
      <c r="CP8">
        <v>17</v>
      </c>
      <c r="CQ8">
        <v>5263.2</v>
      </c>
      <c r="CR8">
        <v>13</v>
      </c>
      <c r="CS8">
        <v>4024.7999999999997</v>
      </c>
      <c r="CT8">
        <v>15</v>
      </c>
      <c r="CU8">
        <v>4643.9999999999991</v>
      </c>
    </row>
    <row r="9" spans="1:99" x14ac:dyDescent="0.2">
      <c r="C9" s="116" t="s">
        <v>175</v>
      </c>
      <c r="D9">
        <v>16</v>
      </c>
      <c r="E9">
        <v>11232</v>
      </c>
      <c r="F9">
        <v>11</v>
      </c>
      <c r="G9">
        <v>7722</v>
      </c>
      <c r="H9">
        <v>9</v>
      </c>
      <c r="I9">
        <v>6318</v>
      </c>
      <c r="J9">
        <v>14</v>
      </c>
      <c r="K9">
        <v>9828</v>
      </c>
      <c r="L9">
        <v>15</v>
      </c>
      <c r="M9">
        <v>10530</v>
      </c>
      <c r="N9">
        <v>10</v>
      </c>
      <c r="O9">
        <v>7020</v>
      </c>
      <c r="P9">
        <v>13</v>
      </c>
      <c r="Q9">
        <v>9126</v>
      </c>
      <c r="R9">
        <v>12</v>
      </c>
      <c r="S9">
        <v>8424</v>
      </c>
      <c r="T9">
        <v>15</v>
      </c>
      <c r="U9">
        <v>10530</v>
      </c>
      <c r="V9">
        <v>8</v>
      </c>
      <c r="W9">
        <v>5616</v>
      </c>
      <c r="X9">
        <v>12</v>
      </c>
      <c r="Y9">
        <v>8424</v>
      </c>
      <c r="Z9">
        <v>9</v>
      </c>
      <c r="AA9">
        <v>6318</v>
      </c>
      <c r="AB9">
        <v>13</v>
      </c>
      <c r="AC9">
        <v>9126</v>
      </c>
      <c r="AD9">
        <v>14</v>
      </c>
      <c r="AE9">
        <v>9828</v>
      </c>
      <c r="AF9">
        <v>11</v>
      </c>
      <c r="AG9">
        <v>7722</v>
      </c>
      <c r="AH9">
        <v>9</v>
      </c>
      <c r="AI9">
        <v>6318</v>
      </c>
      <c r="AJ9">
        <v>12</v>
      </c>
      <c r="AK9">
        <v>8424</v>
      </c>
      <c r="AL9">
        <v>13</v>
      </c>
      <c r="AM9">
        <v>9126</v>
      </c>
      <c r="AN9">
        <v>15</v>
      </c>
      <c r="AO9">
        <v>10530</v>
      </c>
      <c r="AP9">
        <v>9</v>
      </c>
      <c r="AQ9">
        <v>6318</v>
      </c>
      <c r="AR9">
        <v>14</v>
      </c>
      <c r="AS9">
        <v>9828</v>
      </c>
      <c r="AT9">
        <v>9</v>
      </c>
      <c r="AU9">
        <v>6318</v>
      </c>
      <c r="AV9">
        <v>13</v>
      </c>
      <c r="AW9">
        <v>9126</v>
      </c>
      <c r="AX9">
        <v>13</v>
      </c>
      <c r="AY9">
        <v>9126</v>
      </c>
      <c r="AZ9">
        <v>14</v>
      </c>
      <c r="BA9">
        <v>9828</v>
      </c>
      <c r="BB9">
        <v>13</v>
      </c>
      <c r="BC9">
        <v>9126</v>
      </c>
      <c r="BD9">
        <v>17</v>
      </c>
      <c r="BE9">
        <v>11934</v>
      </c>
      <c r="BF9">
        <v>11</v>
      </c>
      <c r="BG9">
        <v>7722</v>
      </c>
      <c r="BH9">
        <v>15</v>
      </c>
      <c r="BI9">
        <v>10530</v>
      </c>
      <c r="BJ9">
        <v>9</v>
      </c>
      <c r="BK9">
        <v>6318</v>
      </c>
      <c r="BL9">
        <v>13</v>
      </c>
      <c r="BM9">
        <v>9126</v>
      </c>
      <c r="BN9">
        <v>16</v>
      </c>
      <c r="BO9">
        <v>11232</v>
      </c>
      <c r="BP9">
        <v>15</v>
      </c>
      <c r="BQ9">
        <v>10530</v>
      </c>
      <c r="BR9">
        <v>14</v>
      </c>
      <c r="BS9">
        <v>9828</v>
      </c>
      <c r="BT9">
        <v>9</v>
      </c>
      <c r="BU9">
        <v>6318</v>
      </c>
      <c r="BV9">
        <v>10</v>
      </c>
      <c r="BW9">
        <v>7020</v>
      </c>
      <c r="BX9">
        <v>15</v>
      </c>
      <c r="BY9">
        <v>10530</v>
      </c>
      <c r="BZ9">
        <v>10</v>
      </c>
      <c r="CA9">
        <v>7020</v>
      </c>
      <c r="CB9">
        <v>14</v>
      </c>
      <c r="CC9">
        <v>9828</v>
      </c>
      <c r="CD9">
        <v>16</v>
      </c>
      <c r="CE9">
        <v>11232</v>
      </c>
      <c r="CF9">
        <v>11</v>
      </c>
      <c r="CG9">
        <v>7722</v>
      </c>
      <c r="CH9">
        <v>11</v>
      </c>
      <c r="CI9">
        <v>7722</v>
      </c>
      <c r="CJ9">
        <v>13</v>
      </c>
      <c r="CK9">
        <v>9126</v>
      </c>
      <c r="CL9">
        <v>11</v>
      </c>
      <c r="CM9">
        <v>7722</v>
      </c>
      <c r="CN9">
        <v>9</v>
      </c>
      <c r="CO9">
        <v>6318</v>
      </c>
      <c r="CP9">
        <v>19</v>
      </c>
      <c r="CQ9">
        <v>13338</v>
      </c>
      <c r="CR9">
        <v>12</v>
      </c>
      <c r="CS9">
        <v>8424</v>
      </c>
      <c r="CT9">
        <v>15</v>
      </c>
      <c r="CU9">
        <v>10530</v>
      </c>
    </row>
    <row r="10" spans="1:99" x14ac:dyDescent="0.2">
      <c r="C10" s="116" t="s">
        <v>176</v>
      </c>
      <c r="D10">
        <v>15</v>
      </c>
      <c r="E10">
        <v>8171.9999999999991</v>
      </c>
      <c r="F10">
        <v>11</v>
      </c>
      <c r="G10">
        <v>5992.7999999999993</v>
      </c>
      <c r="H10">
        <v>8</v>
      </c>
      <c r="I10">
        <v>4358.3999999999996</v>
      </c>
      <c r="J10">
        <v>12</v>
      </c>
      <c r="K10">
        <v>6537.5999999999995</v>
      </c>
      <c r="L10">
        <v>15</v>
      </c>
      <c r="M10">
        <v>8171.9999999999991</v>
      </c>
      <c r="N10">
        <v>11</v>
      </c>
      <c r="O10">
        <v>5992.7999999999993</v>
      </c>
      <c r="P10">
        <v>13</v>
      </c>
      <c r="Q10">
        <v>7082.4</v>
      </c>
      <c r="R10">
        <v>12</v>
      </c>
      <c r="S10">
        <v>6537.5999999999995</v>
      </c>
      <c r="T10">
        <v>15</v>
      </c>
      <c r="U10">
        <v>8171.9999999999991</v>
      </c>
      <c r="V10">
        <v>9</v>
      </c>
      <c r="W10">
        <v>4903.2</v>
      </c>
      <c r="X10">
        <v>12</v>
      </c>
      <c r="Y10">
        <v>6537.5999999999995</v>
      </c>
      <c r="Z10">
        <v>9</v>
      </c>
      <c r="AA10">
        <v>4903.2</v>
      </c>
      <c r="AB10">
        <v>13</v>
      </c>
      <c r="AC10">
        <v>7082.4</v>
      </c>
      <c r="AD10">
        <v>15</v>
      </c>
      <c r="AE10">
        <v>8171.9999999999991</v>
      </c>
      <c r="AF10">
        <v>11</v>
      </c>
      <c r="AG10">
        <v>5992.7999999999993</v>
      </c>
      <c r="AH10">
        <v>9</v>
      </c>
      <c r="AI10">
        <v>4903.2</v>
      </c>
      <c r="AJ10">
        <v>12</v>
      </c>
      <c r="AK10">
        <v>6537.5999999999995</v>
      </c>
      <c r="AL10">
        <v>14</v>
      </c>
      <c r="AM10">
        <v>7627.1999999999989</v>
      </c>
      <c r="AN10">
        <v>15</v>
      </c>
      <c r="AO10">
        <v>8171.9999999999991</v>
      </c>
      <c r="AP10">
        <v>10</v>
      </c>
      <c r="AQ10">
        <v>5448</v>
      </c>
      <c r="AR10">
        <v>12</v>
      </c>
      <c r="AS10">
        <v>6537.5999999999995</v>
      </c>
      <c r="AT10">
        <v>10</v>
      </c>
      <c r="AU10">
        <v>5448</v>
      </c>
      <c r="AV10">
        <v>14</v>
      </c>
      <c r="AW10">
        <v>7627.1999999999989</v>
      </c>
      <c r="AX10">
        <v>15</v>
      </c>
      <c r="AY10">
        <v>8171.9999999999991</v>
      </c>
      <c r="AZ10">
        <v>14</v>
      </c>
      <c r="BA10">
        <v>7627.1999999999989</v>
      </c>
      <c r="BB10">
        <v>12</v>
      </c>
      <c r="BC10">
        <v>6537.5999999999995</v>
      </c>
      <c r="BD10">
        <v>16</v>
      </c>
      <c r="BE10">
        <v>8716.7999999999993</v>
      </c>
      <c r="BF10">
        <v>11</v>
      </c>
      <c r="BG10">
        <v>5992.7999999999993</v>
      </c>
      <c r="BH10">
        <v>16</v>
      </c>
      <c r="BI10">
        <v>8716.7999999999993</v>
      </c>
      <c r="BJ10">
        <v>10</v>
      </c>
      <c r="BK10">
        <v>5448</v>
      </c>
      <c r="BL10">
        <v>13</v>
      </c>
      <c r="BM10">
        <v>7082.4</v>
      </c>
      <c r="BN10">
        <v>17</v>
      </c>
      <c r="BO10">
        <v>9261.5999999999985</v>
      </c>
      <c r="BP10">
        <v>14</v>
      </c>
      <c r="BQ10">
        <v>7627.1999999999989</v>
      </c>
      <c r="BR10">
        <v>14</v>
      </c>
      <c r="BS10">
        <v>7627.1999999999989</v>
      </c>
      <c r="BT10">
        <v>11</v>
      </c>
      <c r="BU10">
        <v>5992.7999999999993</v>
      </c>
      <c r="BV10">
        <v>10</v>
      </c>
      <c r="BW10">
        <v>5448</v>
      </c>
      <c r="BX10">
        <v>13</v>
      </c>
      <c r="BY10">
        <v>7082.4</v>
      </c>
      <c r="BZ10">
        <v>10</v>
      </c>
      <c r="CA10">
        <v>5448</v>
      </c>
      <c r="CB10">
        <v>17</v>
      </c>
      <c r="CC10">
        <v>9261.5999999999985</v>
      </c>
      <c r="CD10">
        <v>15</v>
      </c>
      <c r="CE10">
        <v>8171.9999999999991</v>
      </c>
      <c r="CF10">
        <v>11</v>
      </c>
      <c r="CG10">
        <v>5992.7999999999993</v>
      </c>
      <c r="CH10">
        <v>11</v>
      </c>
      <c r="CI10">
        <v>5992.7999999999993</v>
      </c>
      <c r="CJ10">
        <v>14</v>
      </c>
      <c r="CK10">
        <v>7627.1999999999989</v>
      </c>
      <c r="CL10">
        <v>11</v>
      </c>
      <c r="CM10">
        <v>5992.7999999999993</v>
      </c>
      <c r="CN10">
        <v>9</v>
      </c>
      <c r="CO10">
        <v>4903.2</v>
      </c>
      <c r="CP10">
        <v>16</v>
      </c>
      <c r="CQ10">
        <v>8716.7999999999993</v>
      </c>
      <c r="CR10">
        <v>13</v>
      </c>
      <c r="CS10">
        <v>7082.4</v>
      </c>
      <c r="CT10">
        <v>15</v>
      </c>
      <c r="CU10">
        <v>8171.9999999999991</v>
      </c>
    </row>
    <row r="11" spans="1:99" x14ac:dyDescent="0.2">
      <c r="C11" s="116" t="s">
        <v>177</v>
      </c>
      <c r="D11">
        <v>15</v>
      </c>
      <c r="E11">
        <v>7991.9999999999991</v>
      </c>
      <c r="F11">
        <v>11</v>
      </c>
      <c r="G11">
        <v>5860.7999999999993</v>
      </c>
      <c r="H11">
        <v>9</v>
      </c>
      <c r="I11">
        <v>4795.2</v>
      </c>
      <c r="J11">
        <v>12</v>
      </c>
      <c r="K11">
        <v>6393.5999999999995</v>
      </c>
      <c r="L11">
        <v>13</v>
      </c>
      <c r="M11">
        <v>6926.4</v>
      </c>
      <c r="N11">
        <v>10</v>
      </c>
      <c r="O11">
        <v>5328</v>
      </c>
      <c r="P11">
        <v>13</v>
      </c>
      <c r="Q11">
        <v>6926.4</v>
      </c>
      <c r="R11">
        <v>10</v>
      </c>
      <c r="S11">
        <v>5328</v>
      </c>
      <c r="T11">
        <v>15</v>
      </c>
      <c r="U11">
        <v>7991.9999999999991</v>
      </c>
      <c r="V11">
        <v>10</v>
      </c>
      <c r="W11">
        <v>5328</v>
      </c>
      <c r="X11">
        <v>12</v>
      </c>
      <c r="Y11">
        <v>6393.5999999999995</v>
      </c>
      <c r="Z11">
        <v>9</v>
      </c>
      <c r="AA11">
        <v>4795.2</v>
      </c>
      <c r="AB11">
        <v>13</v>
      </c>
      <c r="AC11">
        <v>6926.4</v>
      </c>
      <c r="AD11">
        <v>15</v>
      </c>
      <c r="AE11">
        <v>7991.9999999999991</v>
      </c>
      <c r="AF11">
        <v>11</v>
      </c>
      <c r="AG11">
        <v>5860.7999999999993</v>
      </c>
      <c r="AH11">
        <v>9</v>
      </c>
      <c r="AI11">
        <v>4795.2</v>
      </c>
      <c r="AJ11">
        <v>11</v>
      </c>
      <c r="AK11">
        <v>5860.7999999999993</v>
      </c>
      <c r="AL11">
        <v>12</v>
      </c>
      <c r="AM11">
        <v>6393.5999999999995</v>
      </c>
      <c r="AN11">
        <v>15</v>
      </c>
      <c r="AO11">
        <v>7991.9999999999991</v>
      </c>
      <c r="AP11">
        <v>10</v>
      </c>
      <c r="AQ11">
        <v>5328</v>
      </c>
      <c r="AR11">
        <v>13</v>
      </c>
      <c r="AS11">
        <v>6926.4</v>
      </c>
      <c r="AT11">
        <v>10</v>
      </c>
      <c r="AU11">
        <v>5328</v>
      </c>
      <c r="AV11">
        <v>12</v>
      </c>
      <c r="AW11">
        <v>6393.5999999999995</v>
      </c>
      <c r="AX11">
        <v>15</v>
      </c>
      <c r="AY11">
        <v>7991.9999999999991</v>
      </c>
      <c r="AZ11">
        <v>16</v>
      </c>
      <c r="BA11">
        <v>8524.7999999999993</v>
      </c>
      <c r="BB11">
        <v>12</v>
      </c>
      <c r="BC11">
        <v>6393.5999999999995</v>
      </c>
      <c r="BD11">
        <v>16</v>
      </c>
      <c r="BE11">
        <v>8524.7999999999993</v>
      </c>
      <c r="BF11">
        <v>10</v>
      </c>
      <c r="BG11">
        <v>5328</v>
      </c>
      <c r="BH11">
        <v>17</v>
      </c>
      <c r="BI11">
        <v>9057.5999999999985</v>
      </c>
      <c r="BJ11">
        <v>10</v>
      </c>
      <c r="BK11">
        <v>5328</v>
      </c>
      <c r="BL11">
        <v>12</v>
      </c>
      <c r="BM11">
        <v>6393.5999999999995</v>
      </c>
      <c r="BN11">
        <v>17</v>
      </c>
      <c r="BO11">
        <v>9057.5999999999985</v>
      </c>
      <c r="BP11">
        <v>15</v>
      </c>
      <c r="BQ11">
        <v>7991.9999999999991</v>
      </c>
      <c r="BR11">
        <v>13</v>
      </c>
      <c r="BS11">
        <v>6926.4</v>
      </c>
      <c r="BT11">
        <v>10</v>
      </c>
      <c r="BU11">
        <v>5328</v>
      </c>
      <c r="BV11">
        <v>11</v>
      </c>
      <c r="BW11">
        <v>5860.7999999999993</v>
      </c>
      <c r="BX11">
        <v>15</v>
      </c>
      <c r="BY11">
        <v>7991.9999999999991</v>
      </c>
      <c r="BZ11">
        <v>12</v>
      </c>
      <c r="CA11">
        <v>6393.5999999999995</v>
      </c>
      <c r="CB11">
        <v>17</v>
      </c>
      <c r="CC11">
        <v>9057.5999999999985</v>
      </c>
      <c r="CD11">
        <v>17</v>
      </c>
      <c r="CE11">
        <v>9057.5999999999985</v>
      </c>
      <c r="CF11">
        <v>13</v>
      </c>
      <c r="CG11">
        <v>6926.4</v>
      </c>
      <c r="CH11">
        <v>11</v>
      </c>
      <c r="CI11">
        <v>5860.7999999999993</v>
      </c>
      <c r="CJ11">
        <v>14</v>
      </c>
      <c r="CK11">
        <v>7459.1999999999989</v>
      </c>
      <c r="CL11">
        <v>12</v>
      </c>
      <c r="CM11">
        <v>6393.5999999999995</v>
      </c>
      <c r="CN11">
        <v>11</v>
      </c>
      <c r="CO11">
        <v>5860.7999999999993</v>
      </c>
      <c r="CP11">
        <v>18</v>
      </c>
      <c r="CQ11">
        <v>9590.4</v>
      </c>
      <c r="CR11">
        <v>13</v>
      </c>
      <c r="CS11">
        <v>6926.4</v>
      </c>
      <c r="CT11">
        <v>14</v>
      </c>
      <c r="CU11">
        <v>7459.1999999999989</v>
      </c>
    </row>
    <row r="12" spans="1:99" x14ac:dyDescent="0.2">
      <c r="C12" s="116" t="s">
        <v>178</v>
      </c>
      <c r="D12">
        <v>16</v>
      </c>
      <c r="E12">
        <v>9004.7999999999993</v>
      </c>
      <c r="F12">
        <v>12</v>
      </c>
      <c r="G12">
        <v>6753.5999999999995</v>
      </c>
      <c r="H12">
        <v>9</v>
      </c>
      <c r="I12">
        <v>5065.2</v>
      </c>
      <c r="J12">
        <v>14</v>
      </c>
      <c r="K12">
        <v>7879.1999999999989</v>
      </c>
      <c r="L12">
        <v>14</v>
      </c>
      <c r="M12">
        <v>7879.1999999999989</v>
      </c>
      <c r="N12">
        <v>11</v>
      </c>
      <c r="O12">
        <v>6190.7999999999993</v>
      </c>
      <c r="P12">
        <v>14</v>
      </c>
      <c r="Q12">
        <v>7879.1999999999989</v>
      </c>
      <c r="R12">
        <v>11</v>
      </c>
      <c r="S12">
        <v>6190.7999999999993</v>
      </c>
      <c r="T12">
        <v>15</v>
      </c>
      <c r="U12">
        <v>8442</v>
      </c>
      <c r="V12">
        <v>8</v>
      </c>
      <c r="W12">
        <v>4502.3999999999996</v>
      </c>
      <c r="X12">
        <v>13</v>
      </c>
      <c r="Y12">
        <v>7316.4</v>
      </c>
      <c r="Z12">
        <v>8</v>
      </c>
      <c r="AA12">
        <v>4502.3999999999996</v>
      </c>
      <c r="AB12">
        <v>12</v>
      </c>
      <c r="AC12">
        <v>6753.5999999999995</v>
      </c>
      <c r="AD12">
        <v>14</v>
      </c>
      <c r="AE12">
        <v>7879.1999999999989</v>
      </c>
      <c r="AF12">
        <v>12</v>
      </c>
      <c r="AG12">
        <v>6753.5999999999995</v>
      </c>
      <c r="AH12">
        <v>8</v>
      </c>
      <c r="AI12">
        <v>4502.3999999999996</v>
      </c>
      <c r="AJ12">
        <v>11</v>
      </c>
      <c r="AK12">
        <v>6190.7999999999993</v>
      </c>
      <c r="AL12">
        <v>13</v>
      </c>
      <c r="AM12">
        <v>7316.4</v>
      </c>
      <c r="AN12">
        <v>18</v>
      </c>
      <c r="AO12">
        <v>10130.4</v>
      </c>
      <c r="AP12">
        <v>9</v>
      </c>
      <c r="AQ12">
        <v>5065.2</v>
      </c>
      <c r="AR12">
        <v>14</v>
      </c>
      <c r="AS12">
        <v>7879.1999999999989</v>
      </c>
      <c r="AT12">
        <v>9</v>
      </c>
      <c r="AU12">
        <v>5065.2</v>
      </c>
      <c r="AV12">
        <v>14</v>
      </c>
      <c r="AW12">
        <v>7879.1999999999989</v>
      </c>
      <c r="AX12">
        <v>15</v>
      </c>
      <c r="AY12">
        <v>8442</v>
      </c>
      <c r="AZ12">
        <v>14</v>
      </c>
      <c r="BA12">
        <v>7879.1999999999989</v>
      </c>
      <c r="BB12">
        <v>13</v>
      </c>
      <c r="BC12">
        <v>7316.4</v>
      </c>
      <c r="BD12">
        <v>15</v>
      </c>
      <c r="BE12">
        <v>8442</v>
      </c>
      <c r="BF12">
        <v>11</v>
      </c>
      <c r="BG12">
        <v>6190.7999999999993</v>
      </c>
      <c r="BH12">
        <v>17</v>
      </c>
      <c r="BI12">
        <v>9567.5999999999985</v>
      </c>
      <c r="BJ12">
        <v>9</v>
      </c>
      <c r="BK12">
        <v>5065.2</v>
      </c>
      <c r="BL12">
        <v>13</v>
      </c>
      <c r="BM12">
        <v>7316.4</v>
      </c>
      <c r="BN12">
        <v>18</v>
      </c>
      <c r="BO12">
        <v>10130.4</v>
      </c>
      <c r="BP12">
        <v>15</v>
      </c>
      <c r="BQ12">
        <v>8442</v>
      </c>
      <c r="BR12">
        <v>14</v>
      </c>
      <c r="BS12">
        <v>7879.1999999999989</v>
      </c>
      <c r="BT12">
        <v>11</v>
      </c>
      <c r="BU12">
        <v>6190.7999999999993</v>
      </c>
      <c r="BV12">
        <v>11</v>
      </c>
      <c r="BW12">
        <v>6190.7999999999993</v>
      </c>
      <c r="BX12">
        <v>14</v>
      </c>
      <c r="BY12">
        <v>7879.1999999999989</v>
      </c>
      <c r="BZ12">
        <v>11</v>
      </c>
      <c r="CA12">
        <v>6190.7999999999993</v>
      </c>
      <c r="CB12">
        <v>15</v>
      </c>
      <c r="CC12">
        <v>8442</v>
      </c>
      <c r="CD12">
        <v>15</v>
      </c>
      <c r="CE12">
        <v>8442</v>
      </c>
      <c r="CF12">
        <v>11</v>
      </c>
      <c r="CG12">
        <v>6190.7999999999993</v>
      </c>
      <c r="CH12">
        <v>11</v>
      </c>
      <c r="CI12">
        <v>6190.7999999999993</v>
      </c>
      <c r="CJ12">
        <v>13</v>
      </c>
      <c r="CK12">
        <v>7316.4</v>
      </c>
      <c r="CL12">
        <v>12</v>
      </c>
      <c r="CM12">
        <v>6753.5999999999995</v>
      </c>
      <c r="CN12">
        <v>9</v>
      </c>
      <c r="CO12">
        <v>5065.2</v>
      </c>
      <c r="CP12">
        <v>17</v>
      </c>
      <c r="CQ12">
        <v>9567.5999999999985</v>
      </c>
      <c r="CR12">
        <v>13</v>
      </c>
      <c r="CS12">
        <v>7316.4</v>
      </c>
      <c r="CT12">
        <v>16</v>
      </c>
      <c r="CU12">
        <v>9004.7999999999993</v>
      </c>
    </row>
    <row r="13" spans="1:99" x14ac:dyDescent="0.2">
      <c r="C13" s="116" t="s">
        <v>179</v>
      </c>
      <c r="D13">
        <v>16</v>
      </c>
      <c r="E13">
        <v>1363.2</v>
      </c>
      <c r="F13">
        <v>12</v>
      </c>
      <c r="G13">
        <v>1022.4000000000001</v>
      </c>
      <c r="H13">
        <v>10</v>
      </c>
      <c r="I13">
        <v>852</v>
      </c>
      <c r="J13">
        <v>13</v>
      </c>
      <c r="K13">
        <v>1107.6000000000001</v>
      </c>
      <c r="L13">
        <v>15</v>
      </c>
      <c r="M13">
        <v>1278</v>
      </c>
      <c r="N13">
        <v>12</v>
      </c>
      <c r="O13">
        <v>1022.4000000000001</v>
      </c>
      <c r="P13">
        <v>13</v>
      </c>
      <c r="Q13">
        <v>1107.6000000000001</v>
      </c>
      <c r="R13">
        <v>11</v>
      </c>
      <c r="S13">
        <v>937.2</v>
      </c>
      <c r="T13">
        <v>17</v>
      </c>
      <c r="U13">
        <v>1448.4</v>
      </c>
      <c r="V13">
        <v>9</v>
      </c>
      <c r="W13">
        <v>766.80000000000007</v>
      </c>
      <c r="X13">
        <v>12</v>
      </c>
      <c r="Y13">
        <v>1022.4000000000001</v>
      </c>
      <c r="Z13">
        <v>9</v>
      </c>
      <c r="AA13">
        <v>766.80000000000007</v>
      </c>
      <c r="AB13">
        <v>13</v>
      </c>
      <c r="AC13">
        <v>1107.6000000000001</v>
      </c>
      <c r="AD13">
        <v>14</v>
      </c>
      <c r="AE13">
        <v>1192.8</v>
      </c>
      <c r="AF13">
        <v>10</v>
      </c>
      <c r="AG13">
        <v>852</v>
      </c>
      <c r="AH13">
        <v>9</v>
      </c>
      <c r="AI13">
        <v>766.80000000000007</v>
      </c>
      <c r="AJ13">
        <v>13</v>
      </c>
      <c r="AK13">
        <v>1107.6000000000001</v>
      </c>
      <c r="AL13">
        <v>13</v>
      </c>
      <c r="AM13">
        <v>1107.6000000000001</v>
      </c>
      <c r="AN13">
        <v>16</v>
      </c>
      <c r="AO13">
        <v>1363.2</v>
      </c>
      <c r="AP13">
        <v>10</v>
      </c>
      <c r="AQ13">
        <v>852</v>
      </c>
      <c r="AR13">
        <v>14</v>
      </c>
      <c r="AS13">
        <v>1192.8</v>
      </c>
      <c r="AT13">
        <v>9</v>
      </c>
      <c r="AU13">
        <v>766.80000000000007</v>
      </c>
      <c r="AV13">
        <v>13</v>
      </c>
      <c r="AW13">
        <v>1107.6000000000001</v>
      </c>
      <c r="AX13">
        <v>15</v>
      </c>
      <c r="AY13">
        <v>1278</v>
      </c>
      <c r="AZ13">
        <v>15</v>
      </c>
      <c r="BA13">
        <v>1278</v>
      </c>
      <c r="BB13">
        <v>13</v>
      </c>
      <c r="BC13">
        <v>1107.6000000000001</v>
      </c>
      <c r="BD13">
        <v>19</v>
      </c>
      <c r="BE13">
        <v>1618.8</v>
      </c>
      <c r="BF13">
        <v>11</v>
      </c>
      <c r="BG13">
        <v>937.2</v>
      </c>
      <c r="BH13">
        <v>17</v>
      </c>
      <c r="BI13">
        <v>1448.4</v>
      </c>
      <c r="BJ13">
        <v>9</v>
      </c>
      <c r="BK13">
        <v>766.80000000000007</v>
      </c>
      <c r="BL13">
        <v>14</v>
      </c>
      <c r="BM13">
        <v>1192.8</v>
      </c>
      <c r="BN13">
        <v>19</v>
      </c>
      <c r="BO13">
        <v>1618.8</v>
      </c>
      <c r="BP13">
        <v>14</v>
      </c>
      <c r="BQ13">
        <v>1192.8</v>
      </c>
      <c r="BR13">
        <v>13</v>
      </c>
      <c r="BS13">
        <v>1107.6000000000001</v>
      </c>
      <c r="BT13">
        <v>10</v>
      </c>
      <c r="BU13">
        <v>852</v>
      </c>
      <c r="BV13">
        <v>12</v>
      </c>
      <c r="BW13">
        <v>1022.4000000000001</v>
      </c>
      <c r="BX13">
        <v>14</v>
      </c>
      <c r="BY13">
        <v>1192.8</v>
      </c>
      <c r="BZ13">
        <v>12</v>
      </c>
      <c r="CA13">
        <v>1022.4000000000001</v>
      </c>
      <c r="CB13">
        <v>17</v>
      </c>
      <c r="CC13">
        <v>1448.4</v>
      </c>
      <c r="CD13">
        <v>18</v>
      </c>
      <c r="CE13">
        <v>1533.6000000000001</v>
      </c>
      <c r="CF13">
        <v>13</v>
      </c>
      <c r="CG13">
        <v>1107.6000000000001</v>
      </c>
      <c r="CH13">
        <v>13</v>
      </c>
      <c r="CI13">
        <v>1107.6000000000001</v>
      </c>
      <c r="CJ13">
        <v>14</v>
      </c>
      <c r="CK13">
        <v>1192.8</v>
      </c>
      <c r="CL13">
        <v>13</v>
      </c>
      <c r="CM13">
        <v>1107.6000000000001</v>
      </c>
      <c r="CN13">
        <v>10</v>
      </c>
      <c r="CO13">
        <v>852</v>
      </c>
      <c r="CP13">
        <v>20</v>
      </c>
      <c r="CQ13">
        <v>1704</v>
      </c>
      <c r="CR13">
        <v>13</v>
      </c>
      <c r="CS13">
        <v>1107.6000000000001</v>
      </c>
      <c r="CT13">
        <v>13</v>
      </c>
      <c r="CU13">
        <v>1107.6000000000001</v>
      </c>
    </row>
    <row r="14" spans="1:99" x14ac:dyDescent="0.2">
      <c r="C14" s="116" t="s">
        <v>180</v>
      </c>
      <c r="D14">
        <v>15</v>
      </c>
      <c r="E14">
        <v>7326</v>
      </c>
      <c r="F14">
        <v>11</v>
      </c>
      <c r="G14">
        <v>5372.4</v>
      </c>
      <c r="H14">
        <v>9</v>
      </c>
      <c r="I14">
        <v>4395.5999999999995</v>
      </c>
      <c r="J14">
        <v>14</v>
      </c>
      <c r="K14">
        <v>6837.5999999999995</v>
      </c>
      <c r="L14">
        <v>14</v>
      </c>
      <c r="M14">
        <v>6837.5999999999995</v>
      </c>
      <c r="N14">
        <v>11</v>
      </c>
      <c r="O14">
        <v>5372.4</v>
      </c>
      <c r="P14">
        <v>14</v>
      </c>
      <c r="Q14">
        <v>6837.5999999999995</v>
      </c>
      <c r="R14">
        <v>12</v>
      </c>
      <c r="S14">
        <v>5860.7999999999993</v>
      </c>
      <c r="T14">
        <v>15</v>
      </c>
      <c r="U14">
        <v>7326</v>
      </c>
      <c r="V14">
        <v>9</v>
      </c>
      <c r="W14">
        <v>4395.5999999999995</v>
      </c>
      <c r="X14">
        <v>13</v>
      </c>
      <c r="Y14">
        <v>6349.2</v>
      </c>
      <c r="Z14">
        <v>9</v>
      </c>
      <c r="AA14">
        <v>4395.5999999999995</v>
      </c>
      <c r="AB14">
        <v>12</v>
      </c>
      <c r="AC14">
        <v>5860.7999999999993</v>
      </c>
      <c r="AD14">
        <v>15</v>
      </c>
      <c r="AE14">
        <v>7326</v>
      </c>
      <c r="AF14">
        <v>10</v>
      </c>
      <c r="AG14">
        <v>4884</v>
      </c>
      <c r="AH14">
        <v>9</v>
      </c>
      <c r="AI14">
        <v>4395.5999999999995</v>
      </c>
      <c r="AJ14">
        <v>11</v>
      </c>
      <c r="AK14">
        <v>5372.4</v>
      </c>
      <c r="AL14">
        <v>13</v>
      </c>
      <c r="AM14">
        <v>6349.2</v>
      </c>
      <c r="AN14">
        <v>17</v>
      </c>
      <c r="AO14">
        <v>8302.7999999999993</v>
      </c>
      <c r="AP14">
        <v>9</v>
      </c>
      <c r="AQ14">
        <v>4395.5999999999995</v>
      </c>
      <c r="AR14">
        <v>14</v>
      </c>
      <c r="AS14">
        <v>6837.5999999999995</v>
      </c>
      <c r="AT14">
        <v>9</v>
      </c>
      <c r="AU14">
        <v>4395.5999999999995</v>
      </c>
      <c r="AV14">
        <v>13</v>
      </c>
      <c r="AW14">
        <v>6349.2</v>
      </c>
      <c r="AX14">
        <v>14</v>
      </c>
      <c r="AY14">
        <v>6837.5999999999995</v>
      </c>
      <c r="AZ14">
        <v>16</v>
      </c>
      <c r="BA14">
        <v>7814.4</v>
      </c>
      <c r="BB14">
        <v>13</v>
      </c>
      <c r="BC14">
        <v>6349.2</v>
      </c>
      <c r="BD14">
        <v>18</v>
      </c>
      <c r="BE14">
        <v>8791.1999999999989</v>
      </c>
      <c r="BF14">
        <v>10</v>
      </c>
      <c r="BG14">
        <v>4884</v>
      </c>
      <c r="BH14">
        <v>18</v>
      </c>
      <c r="BI14">
        <v>8791.1999999999989</v>
      </c>
      <c r="BJ14">
        <v>10</v>
      </c>
      <c r="BK14">
        <v>4884</v>
      </c>
      <c r="BL14">
        <v>14</v>
      </c>
      <c r="BM14">
        <v>6837.5999999999995</v>
      </c>
      <c r="BN14">
        <v>16</v>
      </c>
      <c r="BO14">
        <v>7814.4</v>
      </c>
      <c r="BP14">
        <v>14</v>
      </c>
      <c r="BQ14">
        <v>6837.5999999999995</v>
      </c>
      <c r="BR14">
        <v>14</v>
      </c>
      <c r="BS14">
        <v>6837.5999999999995</v>
      </c>
      <c r="BT14">
        <v>11</v>
      </c>
      <c r="BU14">
        <v>5372.4</v>
      </c>
      <c r="BV14">
        <v>11</v>
      </c>
      <c r="BW14">
        <v>5372.4</v>
      </c>
      <c r="BX14">
        <v>14</v>
      </c>
      <c r="BY14">
        <v>6837.5999999999995</v>
      </c>
      <c r="BZ14">
        <v>11</v>
      </c>
      <c r="CA14">
        <v>5372.4</v>
      </c>
      <c r="CB14">
        <v>15</v>
      </c>
      <c r="CC14">
        <v>7326</v>
      </c>
      <c r="CD14">
        <v>15</v>
      </c>
      <c r="CE14">
        <v>7326</v>
      </c>
      <c r="CF14">
        <v>12</v>
      </c>
      <c r="CG14">
        <v>5860.7999999999993</v>
      </c>
      <c r="CH14">
        <v>12</v>
      </c>
      <c r="CI14">
        <v>5860.7999999999993</v>
      </c>
      <c r="CJ14">
        <v>14</v>
      </c>
      <c r="CK14">
        <v>6837.5999999999995</v>
      </c>
      <c r="CL14">
        <v>12</v>
      </c>
      <c r="CM14">
        <v>5860.7999999999993</v>
      </c>
      <c r="CN14">
        <v>10</v>
      </c>
      <c r="CO14">
        <v>4884</v>
      </c>
      <c r="CP14">
        <v>18</v>
      </c>
      <c r="CQ14">
        <v>8791.1999999999989</v>
      </c>
      <c r="CR14">
        <v>12</v>
      </c>
      <c r="CS14">
        <v>5860.7999999999993</v>
      </c>
      <c r="CT14">
        <v>15</v>
      </c>
      <c r="CU14">
        <v>7326</v>
      </c>
    </row>
    <row r="15" spans="1:99" x14ac:dyDescent="0.2">
      <c r="C15" s="116" t="s">
        <v>181</v>
      </c>
      <c r="D15">
        <v>14</v>
      </c>
      <c r="E15">
        <v>10684.8</v>
      </c>
      <c r="F15">
        <v>12</v>
      </c>
      <c r="G15">
        <v>9158.4</v>
      </c>
      <c r="H15">
        <v>8</v>
      </c>
      <c r="I15">
        <v>6105.5999999999995</v>
      </c>
      <c r="J15">
        <v>13</v>
      </c>
      <c r="K15">
        <v>9921.5999999999985</v>
      </c>
      <c r="L15">
        <v>16</v>
      </c>
      <c r="M15">
        <v>12211.199999999999</v>
      </c>
      <c r="N15">
        <v>10</v>
      </c>
      <c r="O15">
        <v>7631.9999999999991</v>
      </c>
      <c r="P15">
        <v>13</v>
      </c>
      <c r="Q15">
        <v>9921.5999999999985</v>
      </c>
      <c r="R15">
        <v>10</v>
      </c>
      <c r="S15">
        <v>7631.9999999999991</v>
      </c>
      <c r="T15">
        <v>14</v>
      </c>
      <c r="U15">
        <v>10684.8</v>
      </c>
      <c r="V15">
        <v>8</v>
      </c>
      <c r="W15">
        <v>6105.5999999999995</v>
      </c>
      <c r="X15">
        <v>12</v>
      </c>
      <c r="Y15">
        <v>9158.4</v>
      </c>
      <c r="Z15">
        <v>9</v>
      </c>
      <c r="AA15">
        <v>6868.7999999999993</v>
      </c>
      <c r="AB15">
        <v>12</v>
      </c>
      <c r="AC15">
        <v>9158.4</v>
      </c>
      <c r="AD15">
        <v>14</v>
      </c>
      <c r="AE15">
        <v>10684.8</v>
      </c>
      <c r="AF15">
        <v>11</v>
      </c>
      <c r="AG15">
        <v>8395.1999999999989</v>
      </c>
      <c r="AH15">
        <v>8</v>
      </c>
      <c r="AI15">
        <v>6105.5999999999995</v>
      </c>
      <c r="AJ15">
        <v>11</v>
      </c>
      <c r="AK15">
        <v>8395.1999999999989</v>
      </c>
      <c r="AL15">
        <v>13</v>
      </c>
      <c r="AM15">
        <v>9921.5999999999985</v>
      </c>
      <c r="AN15">
        <v>16</v>
      </c>
      <c r="AO15">
        <v>12211.199999999999</v>
      </c>
      <c r="AP15">
        <v>9</v>
      </c>
      <c r="AQ15">
        <v>6868.7999999999993</v>
      </c>
      <c r="AR15">
        <v>14</v>
      </c>
      <c r="AS15">
        <v>10684.8</v>
      </c>
      <c r="AT15">
        <v>9</v>
      </c>
      <c r="AU15">
        <v>6868.7999999999993</v>
      </c>
      <c r="AV15">
        <v>12</v>
      </c>
      <c r="AW15">
        <v>9158.4</v>
      </c>
      <c r="AX15">
        <v>15</v>
      </c>
      <c r="AY15">
        <v>11447.999999999998</v>
      </c>
      <c r="AZ15">
        <v>14</v>
      </c>
      <c r="BA15">
        <v>10684.8</v>
      </c>
      <c r="BB15">
        <v>12</v>
      </c>
      <c r="BC15">
        <v>9158.4</v>
      </c>
      <c r="BD15">
        <v>16</v>
      </c>
      <c r="BE15">
        <v>12211.199999999999</v>
      </c>
      <c r="BF15">
        <v>11</v>
      </c>
      <c r="BG15">
        <v>8395.1999999999989</v>
      </c>
      <c r="BH15">
        <v>18</v>
      </c>
      <c r="BI15">
        <v>13737.599999999999</v>
      </c>
      <c r="BJ15">
        <v>10</v>
      </c>
      <c r="BK15">
        <v>7631.9999999999991</v>
      </c>
      <c r="BL15">
        <v>12</v>
      </c>
      <c r="BM15">
        <v>9158.4</v>
      </c>
      <c r="BN15">
        <v>19</v>
      </c>
      <c r="BO15">
        <v>14500.8</v>
      </c>
      <c r="BP15">
        <v>14</v>
      </c>
      <c r="BQ15">
        <v>10684.8</v>
      </c>
      <c r="BR15">
        <v>12</v>
      </c>
      <c r="BS15">
        <v>9158.4</v>
      </c>
      <c r="BT15">
        <v>9</v>
      </c>
      <c r="BU15">
        <v>6868.7999999999993</v>
      </c>
      <c r="BV15">
        <v>10</v>
      </c>
      <c r="BW15">
        <v>7631.9999999999991</v>
      </c>
      <c r="BX15">
        <v>14</v>
      </c>
      <c r="BY15">
        <v>10684.8</v>
      </c>
      <c r="BZ15">
        <v>12</v>
      </c>
      <c r="CA15">
        <v>9158.4</v>
      </c>
      <c r="CB15">
        <v>17</v>
      </c>
      <c r="CC15">
        <v>12974.4</v>
      </c>
      <c r="CD15">
        <v>15</v>
      </c>
      <c r="CE15">
        <v>11447.999999999998</v>
      </c>
      <c r="CF15">
        <v>10</v>
      </c>
      <c r="CG15">
        <v>7631.9999999999991</v>
      </c>
      <c r="CH15">
        <v>11</v>
      </c>
      <c r="CI15">
        <v>8395.1999999999989</v>
      </c>
      <c r="CJ15">
        <v>12</v>
      </c>
      <c r="CK15">
        <v>9158.4</v>
      </c>
      <c r="CL15">
        <v>11</v>
      </c>
      <c r="CM15">
        <v>8395.1999999999989</v>
      </c>
      <c r="CN15">
        <v>9</v>
      </c>
      <c r="CO15">
        <v>6868.7999999999993</v>
      </c>
      <c r="CP15">
        <v>19</v>
      </c>
      <c r="CQ15">
        <v>14500.8</v>
      </c>
      <c r="CR15">
        <v>14</v>
      </c>
      <c r="CS15">
        <v>10684.8</v>
      </c>
      <c r="CT15">
        <v>14</v>
      </c>
      <c r="CU15">
        <v>10684.8</v>
      </c>
    </row>
    <row r="16" spans="1:99" x14ac:dyDescent="0.2">
      <c r="C16" s="116" t="s">
        <v>182</v>
      </c>
      <c r="D16">
        <v>14</v>
      </c>
      <c r="E16">
        <v>4771.2</v>
      </c>
      <c r="F16">
        <v>11</v>
      </c>
      <c r="G16">
        <v>3748.8</v>
      </c>
      <c r="H16">
        <v>8</v>
      </c>
      <c r="I16">
        <v>2726.4</v>
      </c>
      <c r="J16">
        <v>12</v>
      </c>
      <c r="K16">
        <v>4089.6000000000004</v>
      </c>
      <c r="L16">
        <v>14</v>
      </c>
      <c r="M16">
        <v>4771.2</v>
      </c>
      <c r="N16">
        <v>10</v>
      </c>
      <c r="O16">
        <v>3408</v>
      </c>
      <c r="P16">
        <v>14</v>
      </c>
      <c r="Q16">
        <v>4771.2</v>
      </c>
      <c r="R16">
        <v>12</v>
      </c>
      <c r="S16">
        <v>4089.6000000000004</v>
      </c>
      <c r="T16">
        <v>15</v>
      </c>
      <c r="U16">
        <v>5112</v>
      </c>
      <c r="V16">
        <v>9</v>
      </c>
      <c r="W16">
        <v>3067.2000000000003</v>
      </c>
      <c r="X16">
        <v>12</v>
      </c>
      <c r="Y16">
        <v>4089.6000000000004</v>
      </c>
      <c r="Z16">
        <v>9</v>
      </c>
      <c r="AA16">
        <v>3067.2000000000003</v>
      </c>
      <c r="AB16">
        <v>13</v>
      </c>
      <c r="AC16">
        <v>4430.4000000000005</v>
      </c>
      <c r="AD16">
        <v>13</v>
      </c>
      <c r="AE16">
        <v>4430.4000000000005</v>
      </c>
      <c r="AF16">
        <v>11</v>
      </c>
      <c r="AG16">
        <v>3748.8</v>
      </c>
      <c r="AH16">
        <v>9</v>
      </c>
      <c r="AI16">
        <v>3067.2000000000003</v>
      </c>
      <c r="AJ16">
        <v>12</v>
      </c>
      <c r="AK16">
        <v>4089.6000000000004</v>
      </c>
      <c r="AL16">
        <v>14</v>
      </c>
      <c r="AM16">
        <v>4771.2</v>
      </c>
      <c r="AN16">
        <v>17</v>
      </c>
      <c r="AO16">
        <v>5793.6</v>
      </c>
      <c r="AP16">
        <v>10</v>
      </c>
      <c r="AQ16">
        <v>3408</v>
      </c>
      <c r="AR16">
        <v>12</v>
      </c>
      <c r="AS16">
        <v>4089.6000000000004</v>
      </c>
      <c r="AT16">
        <v>10</v>
      </c>
      <c r="AU16">
        <v>3408</v>
      </c>
      <c r="AV16">
        <v>12</v>
      </c>
      <c r="AW16">
        <v>4089.6000000000004</v>
      </c>
      <c r="AX16">
        <v>15</v>
      </c>
      <c r="AY16">
        <v>5112</v>
      </c>
      <c r="AZ16">
        <v>14</v>
      </c>
      <c r="BA16">
        <v>4771.2</v>
      </c>
      <c r="BB16">
        <v>13</v>
      </c>
      <c r="BC16">
        <v>4430.4000000000005</v>
      </c>
      <c r="BD16">
        <v>18</v>
      </c>
      <c r="BE16">
        <v>6134.4000000000005</v>
      </c>
      <c r="BF16">
        <v>10</v>
      </c>
      <c r="BG16">
        <v>3408</v>
      </c>
      <c r="BH16">
        <v>18</v>
      </c>
      <c r="BI16">
        <v>6134.4000000000005</v>
      </c>
      <c r="BJ16">
        <v>9</v>
      </c>
      <c r="BK16">
        <v>3067.2000000000003</v>
      </c>
      <c r="BL16">
        <v>13</v>
      </c>
      <c r="BM16">
        <v>4430.4000000000005</v>
      </c>
      <c r="BN16">
        <v>18</v>
      </c>
      <c r="BO16">
        <v>6134.4000000000005</v>
      </c>
      <c r="BP16">
        <v>14</v>
      </c>
      <c r="BQ16">
        <v>4771.2</v>
      </c>
      <c r="BR16">
        <v>14</v>
      </c>
      <c r="BS16">
        <v>4771.2</v>
      </c>
      <c r="BT16">
        <v>11</v>
      </c>
      <c r="BU16">
        <v>3748.8</v>
      </c>
      <c r="BV16">
        <v>10</v>
      </c>
      <c r="BW16">
        <v>3408</v>
      </c>
      <c r="BX16">
        <v>16</v>
      </c>
      <c r="BY16">
        <v>5452.8</v>
      </c>
      <c r="BZ16">
        <v>13</v>
      </c>
      <c r="CA16">
        <v>4430.4000000000005</v>
      </c>
      <c r="CB16">
        <v>16</v>
      </c>
      <c r="CC16">
        <v>5452.8</v>
      </c>
      <c r="CD16">
        <v>15</v>
      </c>
      <c r="CE16">
        <v>5112</v>
      </c>
      <c r="CF16">
        <v>12</v>
      </c>
      <c r="CG16">
        <v>4089.6000000000004</v>
      </c>
      <c r="CH16">
        <v>11</v>
      </c>
      <c r="CI16">
        <v>3748.8</v>
      </c>
      <c r="CJ16">
        <v>13</v>
      </c>
      <c r="CK16">
        <v>4430.4000000000005</v>
      </c>
      <c r="CL16">
        <v>13</v>
      </c>
      <c r="CM16">
        <v>4430.4000000000005</v>
      </c>
      <c r="CN16">
        <v>9</v>
      </c>
      <c r="CO16">
        <v>3067.2000000000003</v>
      </c>
      <c r="CP16">
        <v>18</v>
      </c>
      <c r="CQ16">
        <v>6134.4000000000005</v>
      </c>
      <c r="CR16">
        <v>14</v>
      </c>
      <c r="CS16">
        <v>4771.2</v>
      </c>
      <c r="CT16">
        <v>15</v>
      </c>
      <c r="CU16">
        <v>5112</v>
      </c>
    </row>
    <row r="17" spans="2:99" x14ac:dyDescent="0.2">
      <c r="C17" s="116" t="s">
        <v>183</v>
      </c>
      <c r="D17">
        <v>15</v>
      </c>
      <c r="E17">
        <v>6336</v>
      </c>
      <c r="F17">
        <v>11</v>
      </c>
      <c r="G17">
        <v>4646.3999999999996</v>
      </c>
      <c r="H17">
        <v>9</v>
      </c>
      <c r="I17">
        <v>3801.6</v>
      </c>
      <c r="J17">
        <v>13</v>
      </c>
      <c r="K17">
        <v>5491.2</v>
      </c>
      <c r="L17">
        <v>16</v>
      </c>
      <c r="M17">
        <v>6758.4</v>
      </c>
      <c r="N17">
        <v>11</v>
      </c>
      <c r="O17">
        <v>4646.3999999999996</v>
      </c>
      <c r="P17">
        <v>13</v>
      </c>
      <c r="Q17">
        <v>5491.2</v>
      </c>
      <c r="R17">
        <v>11</v>
      </c>
      <c r="S17">
        <v>4646.3999999999996</v>
      </c>
      <c r="T17">
        <v>14</v>
      </c>
      <c r="U17">
        <v>5913.5999999999995</v>
      </c>
      <c r="V17">
        <v>8</v>
      </c>
      <c r="W17">
        <v>3379.2</v>
      </c>
      <c r="X17">
        <v>13</v>
      </c>
      <c r="Y17">
        <v>5491.2</v>
      </c>
      <c r="Z17">
        <v>9</v>
      </c>
      <c r="AA17">
        <v>3801.6</v>
      </c>
      <c r="AB17">
        <v>13</v>
      </c>
      <c r="AC17">
        <v>5491.2</v>
      </c>
      <c r="AD17">
        <v>15</v>
      </c>
      <c r="AE17">
        <v>6336</v>
      </c>
      <c r="AF17">
        <v>11</v>
      </c>
      <c r="AG17">
        <v>4646.3999999999996</v>
      </c>
      <c r="AH17">
        <v>9</v>
      </c>
      <c r="AI17">
        <v>3801.6</v>
      </c>
      <c r="AJ17">
        <v>11</v>
      </c>
      <c r="AK17">
        <v>4646.3999999999996</v>
      </c>
      <c r="AL17">
        <v>14</v>
      </c>
      <c r="AM17">
        <v>5913.5999999999995</v>
      </c>
      <c r="AN17">
        <v>17</v>
      </c>
      <c r="AO17">
        <v>7180.7999999999993</v>
      </c>
      <c r="AP17">
        <v>9</v>
      </c>
      <c r="AQ17">
        <v>3801.6</v>
      </c>
      <c r="AR17">
        <v>13</v>
      </c>
      <c r="AS17">
        <v>5491.2</v>
      </c>
      <c r="AT17">
        <v>10</v>
      </c>
      <c r="AU17">
        <v>4224</v>
      </c>
      <c r="AV17">
        <v>13</v>
      </c>
      <c r="AW17">
        <v>5491.2</v>
      </c>
      <c r="AX17">
        <v>15</v>
      </c>
      <c r="AY17">
        <v>6336</v>
      </c>
      <c r="AZ17">
        <v>14</v>
      </c>
      <c r="BA17">
        <v>5913.5999999999995</v>
      </c>
      <c r="BB17">
        <v>12</v>
      </c>
      <c r="BC17">
        <v>5068.7999999999993</v>
      </c>
      <c r="BD17">
        <v>16</v>
      </c>
      <c r="BE17">
        <v>6758.4</v>
      </c>
      <c r="BF17">
        <v>10</v>
      </c>
      <c r="BG17">
        <v>4224</v>
      </c>
      <c r="BH17">
        <v>18</v>
      </c>
      <c r="BI17">
        <v>7603.2</v>
      </c>
      <c r="BJ17">
        <v>9</v>
      </c>
      <c r="BK17">
        <v>3801.6</v>
      </c>
      <c r="BL17">
        <v>14</v>
      </c>
      <c r="BM17">
        <v>5913.5999999999995</v>
      </c>
      <c r="BN17">
        <v>18</v>
      </c>
      <c r="BO17">
        <v>7603.2</v>
      </c>
      <c r="BP17">
        <v>16</v>
      </c>
      <c r="BQ17">
        <v>6758.4</v>
      </c>
      <c r="BR17">
        <v>13</v>
      </c>
      <c r="BS17">
        <v>5491.2</v>
      </c>
      <c r="BT17">
        <v>11</v>
      </c>
      <c r="BU17">
        <v>4646.3999999999996</v>
      </c>
      <c r="BV17">
        <v>11</v>
      </c>
      <c r="BW17">
        <v>4646.3999999999996</v>
      </c>
      <c r="BX17">
        <v>15</v>
      </c>
      <c r="BY17">
        <v>6336</v>
      </c>
      <c r="BZ17">
        <v>11</v>
      </c>
      <c r="CA17">
        <v>4646.3999999999996</v>
      </c>
      <c r="CB17">
        <v>17</v>
      </c>
      <c r="CC17">
        <v>7180.7999999999993</v>
      </c>
      <c r="CD17">
        <v>16</v>
      </c>
      <c r="CE17">
        <v>6758.4</v>
      </c>
      <c r="CF17">
        <v>11</v>
      </c>
      <c r="CG17">
        <v>4646.3999999999996</v>
      </c>
      <c r="CH17">
        <v>11</v>
      </c>
      <c r="CI17">
        <v>4646.3999999999996</v>
      </c>
      <c r="CJ17">
        <v>13</v>
      </c>
      <c r="CK17">
        <v>5491.2</v>
      </c>
      <c r="CL17">
        <v>11</v>
      </c>
      <c r="CM17">
        <v>4646.3999999999996</v>
      </c>
      <c r="CN17">
        <v>11</v>
      </c>
      <c r="CO17">
        <v>4646.3999999999996</v>
      </c>
      <c r="CP17">
        <v>16</v>
      </c>
      <c r="CQ17">
        <v>6758.4</v>
      </c>
      <c r="CR17">
        <v>13</v>
      </c>
      <c r="CS17">
        <v>5491.2</v>
      </c>
      <c r="CT17">
        <v>14</v>
      </c>
      <c r="CU17">
        <v>5913.5999999999995</v>
      </c>
    </row>
    <row r="18" spans="2:99" x14ac:dyDescent="0.2">
      <c r="C18" s="116" t="s">
        <v>184</v>
      </c>
      <c r="D18">
        <v>14</v>
      </c>
      <c r="E18">
        <v>9139.1999999999989</v>
      </c>
      <c r="F18">
        <v>11</v>
      </c>
      <c r="G18">
        <v>7180.7999999999993</v>
      </c>
      <c r="H18">
        <v>8</v>
      </c>
      <c r="I18">
        <v>5222.3999999999996</v>
      </c>
      <c r="J18">
        <v>12</v>
      </c>
      <c r="K18">
        <v>7833.5999999999995</v>
      </c>
      <c r="L18">
        <v>14</v>
      </c>
      <c r="M18">
        <v>9139.1999999999989</v>
      </c>
      <c r="N18">
        <v>11</v>
      </c>
      <c r="O18">
        <v>7180.7999999999993</v>
      </c>
      <c r="P18">
        <v>14</v>
      </c>
      <c r="Q18">
        <v>9139.1999999999989</v>
      </c>
      <c r="R18">
        <v>11</v>
      </c>
      <c r="S18">
        <v>7180.7999999999993</v>
      </c>
      <c r="T18">
        <v>16</v>
      </c>
      <c r="U18">
        <v>10444.799999999999</v>
      </c>
      <c r="V18">
        <v>9</v>
      </c>
      <c r="W18">
        <v>5875.2</v>
      </c>
      <c r="X18">
        <v>12</v>
      </c>
      <c r="Y18">
        <v>7833.5999999999995</v>
      </c>
      <c r="Z18">
        <v>9</v>
      </c>
      <c r="AA18">
        <v>5875.2</v>
      </c>
      <c r="AB18">
        <v>13</v>
      </c>
      <c r="AC18">
        <v>8486.4</v>
      </c>
      <c r="AD18">
        <v>14</v>
      </c>
      <c r="AE18">
        <v>9139.1999999999989</v>
      </c>
      <c r="AF18">
        <v>11</v>
      </c>
      <c r="AG18">
        <v>7180.7999999999993</v>
      </c>
      <c r="AH18">
        <v>9</v>
      </c>
      <c r="AI18">
        <v>5875.2</v>
      </c>
      <c r="AJ18">
        <v>11</v>
      </c>
      <c r="AK18">
        <v>7180.7999999999993</v>
      </c>
      <c r="AL18">
        <v>12</v>
      </c>
      <c r="AM18">
        <v>7833.5999999999995</v>
      </c>
      <c r="AN18">
        <v>16</v>
      </c>
      <c r="AO18">
        <v>10444.799999999999</v>
      </c>
      <c r="AP18">
        <v>10</v>
      </c>
      <c r="AQ18">
        <v>6528</v>
      </c>
      <c r="AR18">
        <v>12</v>
      </c>
      <c r="AS18">
        <v>7833.5999999999995</v>
      </c>
      <c r="AT18">
        <v>9</v>
      </c>
      <c r="AU18">
        <v>5875.2</v>
      </c>
      <c r="AV18">
        <v>14</v>
      </c>
      <c r="AW18">
        <v>9139.1999999999989</v>
      </c>
      <c r="AX18">
        <v>16</v>
      </c>
      <c r="AY18">
        <v>10444.799999999999</v>
      </c>
      <c r="AZ18">
        <v>14</v>
      </c>
      <c r="BA18">
        <v>9139.1999999999989</v>
      </c>
      <c r="BB18">
        <v>12</v>
      </c>
      <c r="BC18">
        <v>7833.5999999999995</v>
      </c>
      <c r="BD18">
        <v>17</v>
      </c>
      <c r="BE18">
        <v>11097.599999999999</v>
      </c>
      <c r="BF18">
        <v>10</v>
      </c>
      <c r="BG18">
        <v>6528</v>
      </c>
      <c r="BH18">
        <v>17</v>
      </c>
      <c r="BI18">
        <v>11097.599999999999</v>
      </c>
      <c r="BJ18">
        <v>9</v>
      </c>
      <c r="BK18">
        <v>5875.2</v>
      </c>
      <c r="BL18">
        <v>14</v>
      </c>
      <c r="BM18">
        <v>9139.1999999999989</v>
      </c>
      <c r="BN18">
        <v>17</v>
      </c>
      <c r="BO18">
        <v>11097.599999999999</v>
      </c>
      <c r="BP18">
        <v>13</v>
      </c>
      <c r="BQ18">
        <v>8486.4</v>
      </c>
      <c r="BR18">
        <v>14</v>
      </c>
      <c r="BS18">
        <v>9139.1999999999989</v>
      </c>
      <c r="BT18">
        <v>9</v>
      </c>
      <c r="BU18">
        <v>5875.2</v>
      </c>
      <c r="BV18">
        <v>10</v>
      </c>
      <c r="BW18">
        <v>6528</v>
      </c>
      <c r="BX18">
        <v>15</v>
      </c>
      <c r="BY18">
        <v>9792</v>
      </c>
      <c r="BZ18">
        <v>11</v>
      </c>
      <c r="CA18">
        <v>7180.7999999999993</v>
      </c>
      <c r="CB18">
        <v>17</v>
      </c>
      <c r="CC18">
        <v>11097.599999999999</v>
      </c>
      <c r="CD18">
        <v>15</v>
      </c>
      <c r="CE18">
        <v>9792</v>
      </c>
      <c r="CF18">
        <v>11</v>
      </c>
      <c r="CG18">
        <v>7180.7999999999993</v>
      </c>
      <c r="CH18">
        <v>11</v>
      </c>
      <c r="CI18">
        <v>7180.7999999999993</v>
      </c>
      <c r="CJ18">
        <v>15</v>
      </c>
      <c r="CK18">
        <v>9792</v>
      </c>
      <c r="CL18">
        <v>11</v>
      </c>
      <c r="CM18">
        <v>7180.7999999999993</v>
      </c>
      <c r="CN18">
        <v>10</v>
      </c>
      <c r="CO18">
        <v>6528</v>
      </c>
      <c r="CP18">
        <v>17</v>
      </c>
      <c r="CQ18">
        <v>11097.599999999999</v>
      </c>
      <c r="CR18">
        <v>13</v>
      </c>
      <c r="CS18">
        <v>8486.4</v>
      </c>
      <c r="CT18">
        <v>15</v>
      </c>
      <c r="CU18">
        <v>9792</v>
      </c>
    </row>
    <row r="19" spans="2:99" x14ac:dyDescent="0.2">
      <c r="C19" s="116" t="s">
        <v>185</v>
      </c>
      <c r="D19">
        <v>14</v>
      </c>
      <c r="E19">
        <v>4620</v>
      </c>
      <c r="F19">
        <v>11</v>
      </c>
      <c r="G19">
        <v>3630</v>
      </c>
      <c r="H19">
        <v>8</v>
      </c>
      <c r="I19">
        <v>2640</v>
      </c>
      <c r="J19">
        <v>12</v>
      </c>
      <c r="K19">
        <v>3960</v>
      </c>
      <c r="L19">
        <v>15</v>
      </c>
      <c r="M19">
        <v>4950</v>
      </c>
      <c r="N19">
        <v>10</v>
      </c>
      <c r="O19">
        <v>3300</v>
      </c>
      <c r="P19">
        <v>14</v>
      </c>
      <c r="Q19">
        <v>4620</v>
      </c>
      <c r="R19">
        <v>10</v>
      </c>
      <c r="S19">
        <v>3300</v>
      </c>
      <c r="T19">
        <v>15</v>
      </c>
      <c r="U19">
        <v>4950</v>
      </c>
      <c r="V19">
        <v>10</v>
      </c>
      <c r="W19">
        <v>3300</v>
      </c>
      <c r="X19">
        <v>13</v>
      </c>
      <c r="Y19">
        <v>4290</v>
      </c>
      <c r="Z19">
        <v>10</v>
      </c>
      <c r="AA19">
        <v>3300</v>
      </c>
      <c r="AB19">
        <v>14</v>
      </c>
      <c r="AC19">
        <v>4620</v>
      </c>
      <c r="AD19">
        <v>15</v>
      </c>
      <c r="AE19">
        <v>4950</v>
      </c>
      <c r="AF19">
        <v>10</v>
      </c>
      <c r="AG19">
        <v>3300</v>
      </c>
      <c r="AH19">
        <v>9</v>
      </c>
      <c r="AI19">
        <v>2970</v>
      </c>
      <c r="AJ19">
        <v>12</v>
      </c>
      <c r="AK19">
        <v>3960</v>
      </c>
      <c r="AL19">
        <v>13</v>
      </c>
      <c r="AM19">
        <v>4290</v>
      </c>
      <c r="AN19">
        <v>17</v>
      </c>
      <c r="AO19">
        <v>5610</v>
      </c>
      <c r="AP19">
        <v>9</v>
      </c>
      <c r="AQ19">
        <v>2970</v>
      </c>
      <c r="AR19">
        <v>12</v>
      </c>
      <c r="AS19">
        <v>3960</v>
      </c>
      <c r="AT19">
        <v>9</v>
      </c>
      <c r="AU19">
        <v>2970</v>
      </c>
      <c r="AV19">
        <v>12</v>
      </c>
      <c r="AW19">
        <v>3960</v>
      </c>
      <c r="AX19">
        <v>16</v>
      </c>
      <c r="AY19">
        <v>5280</v>
      </c>
      <c r="AZ19">
        <v>15</v>
      </c>
      <c r="BA19">
        <v>4950</v>
      </c>
      <c r="BB19">
        <v>12</v>
      </c>
      <c r="BC19">
        <v>3960</v>
      </c>
      <c r="BD19">
        <v>17</v>
      </c>
      <c r="BE19">
        <v>5610</v>
      </c>
      <c r="BF19">
        <v>10</v>
      </c>
      <c r="BG19">
        <v>3300</v>
      </c>
      <c r="BH19">
        <v>17</v>
      </c>
      <c r="BI19">
        <v>5610</v>
      </c>
      <c r="BJ19">
        <v>10</v>
      </c>
      <c r="BK19">
        <v>3300</v>
      </c>
      <c r="BL19">
        <v>12</v>
      </c>
      <c r="BM19">
        <v>3960</v>
      </c>
      <c r="BN19">
        <v>19</v>
      </c>
      <c r="BO19">
        <v>6270</v>
      </c>
      <c r="BP19">
        <v>15</v>
      </c>
      <c r="BQ19">
        <v>4950</v>
      </c>
      <c r="BR19">
        <v>14</v>
      </c>
      <c r="BS19">
        <v>4620</v>
      </c>
      <c r="BT19">
        <v>11</v>
      </c>
      <c r="BU19">
        <v>3630</v>
      </c>
      <c r="BV19">
        <v>10</v>
      </c>
      <c r="BW19">
        <v>3300</v>
      </c>
      <c r="BX19">
        <v>13</v>
      </c>
      <c r="BY19">
        <v>4290</v>
      </c>
      <c r="BZ19">
        <v>11</v>
      </c>
      <c r="CA19">
        <v>3630</v>
      </c>
      <c r="CB19">
        <v>15</v>
      </c>
      <c r="CC19">
        <v>4950</v>
      </c>
      <c r="CD19">
        <v>16</v>
      </c>
      <c r="CE19">
        <v>5280</v>
      </c>
      <c r="CF19">
        <v>11</v>
      </c>
      <c r="CG19">
        <v>3630</v>
      </c>
      <c r="CH19">
        <v>13</v>
      </c>
      <c r="CI19">
        <v>4290</v>
      </c>
      <c r="CJ19">
        <v>13</v>
      </c>
      <c r="CK19">
        <v>4290</v>
      </c>
      <c r="CL19">
        <v>13</v>
      </c>
      <c r="CM19">
        <v>4290</v>
      </c>
      <c r="CN19">
        <v>9</v>
      </c>
      <c r="CO19">
        <v>2970</v>
      </c>
      <c r="CP19">
        <v>19</v>
      </c>
      <c r="CQ19">
        <v>6270</v>
      </c>
      <c r="CR19">
        <v>12</v>
      </c>
      <c r="CS19">
        <v>3960</v>
      </c>
      <c r="CT19">
        <v>16</v>
      </c>
      <c r="CU19">
        <v>5280</v>
      </c>
    </row>
    <row r="20" spans="2:99" x14ac:dyDescent="0.2">
      <c r="B20" s="116" t="s">
        <v>127</v>
      </c>
      <c r="C20" s="116" t="s">
        <v>186</v>
      </c>
      <c r="D20">
        <v>31</v>
      </c>
      <c r="E20">
        <v>8890.8000000000011</v>
      </c>
      <c r="F20">
        <v>35</v>
      </c>
      <c r="G20">
        <v>10038</v>
      </c>
      <c r="H20">
        <v>37</v>
      </c>
      <c r="I20">
        <v>10611.6</v>
      </c>
      <c r="J20">
        <v>35</v>
      </c>
      <c r="K20">
        <v>10038</v>
      </c>
      <c r="L20">
        <v>30</v>
      </c>
      <c r="M20">
        <v>8604</v>
      </c>
      <c r="N20">
        <v>29</v>
      </c>
      <c r="O20">
        <v>8317.2000000000007</v>
      </c>
      <c r="P20">
        <v>31</v>
      </c>
      <c r="Q20">
        <v>8890.8000000000011</v>
      </c>
      <c r="R20">
        <v>23</v>
      </c>
      <c r="S20">
        <v>6596.4000000000005</v>
      </c>
      <c r="T20">
        <v>30</v>
      </c>
      <c r="U20">
        <v>8604</v>
      </c>
      <c r="V20">
        <v>37</v>
      </c>
      <c r="W20">
        <v>10611.6</v>
      </c>
      <c r="X20">
        <v>29</v>
      </c>
      <c r="Y20">
        <v>8317.2000000000007</v>
      </c>
      <c r="Z20">
        <v>31</v>
      </c>
      <c r="AA20">
        <v>8890.8000000000011</v>
      </c>
      <c r="AB20">
        <v>41</v>
      </c>
      <c r="AC20">
        <v>11758.800000000001</v>
      </c>
      <c r="AD20">
        <v>26</v>
      </c>
      <c r="AE20">
        <v>7456.8</v>
      </c>
      <c r="AF20">
        <v>40</v>
      </c>
      <c r="AG20">
        <v>11472</v>
      </c>
      <c r="AH20">
        <v>38</v>
      </c>
      <c r="AI20">
        <v>10898.4</v>
      </c>
      <c r="AJ20">
        <v>20</v>
      </c>
      <c r="AK20">
        <v>5736</v>
      </c>
      <c r="AL20">
        <v>30</v>
      </c>
      <c r="AM20">
        <v>8604</v>
      </c>
      <c r="AN20">
        <v>38</v>
      </c>
      <c r="AO20">
        <v>10898.4</v>
      </c>
      <c r="AP20">
        <v>39</v>
      </c>
      <c r="AQ20">
        <v>11185.2</v>
      </c>
      <c r="AR20">
        <v>33</v>
      </c>
      <c r="AS20">
        <v>9464.4</v>
      </c>
      <c r="AT20">
        <v>32</v>
      </c>
      <c r="AU20">
        <v>9177.6</v>
      </c>
      <c r="AV20">
        <v>31</v>
      </c>
      <c r="AW20">
        <v>8890.8000000000011</v>
      </c>
      <c r="AX20">
        <v>32</v>
      </c>
      <c r="AY20">
        <v>9177.6</v>
      </c>
      <c r="AZ20">
        <v>24</v>
      </c>
      <c r="BA20">
        <v>6883.2000000000007</v>
      </c>
      <c r="BB20">
        <v>35</v>
      </c>
      <c r="BC20">
        <v>10038</v>
      </c>
      <c r="BD20">
        <v>27</v>
      </c>
      <c r="BE20">
        <v>7743.6</v>
      </c>
      <c r="BF20">
        <v>23</v>
      </c>
      <c r="BG20">
        <v>6596.4000000000005</v>
      </c>
      <c r="BH20">
        <v>40</v>
      </c>
      <c r="BI20">
        <v>11472</v>
      </c>
      <c r="BJ20">
        <v>29</v>
      </c>
      <c r="BK20">
        <v>8317.2000000000007</v>
      </c>
      <c r="BL20">
        <v>41</v>
      </c>
      <c r="BM20">
        <v>11758.800000000001</v>
      </c>
      <c r="BN20">
        <v>32</v>
      </c>
      <c r="BO20">
        <v>9177.6</v>
      </c>
      <c r="BP20">
        <v>27</v>
      </c>
      <c r="BQ20">
        <v>7743.6</v>
      </c>
      <c r="BR20">
        <v>23</v>
      </c>
      <c r="BS20">
        <v>6596.4000000000005</v>
      </c>
      <c r="BT20">
        <v>26</v>
      </c>
      <c r="BU20">
        <v>7456.8</v>
      </c>
      <c r="BV20">
        <v>33</v>
      </c>
      <c r="BW20">
        <v>9464.4</v>
      </c>
      <c r="BX20">
        <v>43</v>
      </c>
      <c r="BY20">
        <v>12332.4</v>
      </c>
      <c r="BZ20">
        <v>22</v>
      </c>
      <c r="CA20">
        <v>6309.6</v>
      </c>
      <c r="CB20">
        <v>33</v>
      </c>
      <c r="CC20">
        <v>9464.4</v>
      </c>
      <c r="CD20">
        <v>30</v>
      </c>
      <c r="CE20">
        <v>8604</v>
      </c>
      <c r="CF20">
        <v>26</v>
      </c>
      <c r="CG20">
        <v>7456.8</v>
      </c>
      <c r="CH20">
        <v>33</v>
      </c>
      <c r="CI20">
        <v>9464.4</v>
      </c>
      <c r="CJ20">
        <v>27</v>
      </c>
      <c r="CK20">
        <v>7743.6</v>
      </c>
      <c r="CL20">
        <v>39</v>
      </c>
      <c r="CM20">
        <v>11185.2</v>
      </c>
      <c r="CN20">
        <v>38</v>
      </c>
      <c r="CO20">
        <v>10898.4</v>
      </c>
      <c r="CP20">
        <v>33</v>
      </c>
      <c r="CQ20">
        <v>9464.4</v>
      </c>
      <c r="CR20">
        <v>38</v>
      </c>
      <c r="CS20">
        <v>10898.4</v>
      </c>
      <c r="CT20">
        <v>24</v>
      </c>
      <c r="CU20">
        <v>6883.2000000000007</v>
      </c>
    </row>
    <row r="21" spans="2:99" x14ac:dyDescent="0.2">
      <c r="C21" s="116" t="s">
        <v>187</v>
      </c>
      <c r="D21">
        <v>32</v>
      </c>
      <c r="E21">
        <v>1996.8</v>
      </c>
      <c r="F21">
        <v>39</v>
      </c>
      <c r="G21">
        <v>2433.6</v>
      </c>
      <c r="H21">
        <v>39</v>
      </c>
      <c r="I21">
        <v>2433.6</v>
      </c>
      <c r="J21">
        <v>34</v>
      </c>
      <c r="K21">
        <v>2121.6</v>
      </c>
      <c r="L21">
        <v>33</v>
      </c>
      <c r="M21">
        <v>2059.1999999999998</v>
      </c>
      <c r="N21">
        <v>31</v>
      </c>
      <c r="O21">
        <v>1934.3999999999999</v>
      </c>
      <c r="P21">
        <v>36</v>
      </c>
      <c r="Q21">
        <v>2246.4</v>
      </c>
      <c r="R21">
        <v>25</v>
      </c>
      <c r="S21">
        <v>1560</v>
      </c>
      <c r="T21">
        <v>28</v>
      </c>
      <c r="U21">
        <v>1747.2</v>
      </c>
      <c r="V21">
        <v>40</v>
      </c>
      <c r="W21">
        <v>2496</v>
      </c>
      <c r="X21">
        <v>29</v>
      </c>
      <c r="Y21">
        <v>1809.6</v>
      </c>
      <c r="Z21">
        <v>29</v>
      </c>
      <c r="AA21">
        <v>1809.6</v>
      </c>
      <c r="AB21">
        <v>36</v>
      </c>
      <c r="AC21">
        <v>2246.4</v>
      </c>
      <c r="AD21">
        <v>23</v>
      </c>
      <c r="AE21">
        <v>1435.2</v>
      </c>
      <c r="AF21">
        <v>37</v>
      </c>
      <c r="AG21">
        <v>2308.7999999999997</v>
      </c>
      <c r="AH21">
        <v>36</v>
      </c>
      <c r="AI21">
        <v>2246.4</v>
      </c>
      <c r="AJ21">
        <v>22</v>
      </c>
      <c r="AK21">
        <v>1372.8</v>
      </c>
      <c r="AL21">
        <v>31</v>
      </c>
      <c r="AM21">
        <v>1934.3999999999999</v>
      </c>
      <c r="AN21">
        <v>40</v>
      </c>
      <c r="AO21">
        <v>2496</v>
      </c>
      <c r="AP21">
        <v>34</v>
      </c>
      <c r="AQ21">
        <v>2121.6</v>
      </c>
      <c r="AR21">
        <v>34</v>
      </c>
      <c r="AS21">
        <v>2121.6</v>
      </c>
      <c r="AT21">
        <v>34</v>
      </c>
      <c r="AU21">
        <v>2121.6</v>
      </c>
      <c r="AV21">
        <v>36</v>
      </c>
      <c r="AW21">
        <v>2246.4</v>
      </c>
      <c r="AX21">
        <v>31</v>
      </c>
      <c r="AY21">
        <v>1934.3999999999999</v>
      </c>
      <c r="AZ21">
        <v>23</v>
      </c>
      <c r="BA21">
        <v>1435.2</v>
      </c>
      <c r="BB21">
        <v>35</v>
      </c>
      <c r="BC21">
        <v>2184</v>
      </c>
      <c r="BD21">
        <v>26</v>
      </c>
      <c r="BE21">
        <v>1622.3999999999999</v>
      </c>
      <c r="BF21">
        <v>26</v>
      </c>
      <c r="BG21">
        <v>1622.3999999999999</v>
      </c>
      <c r="BH21">
        <v>40</v>
      </c>
      <c r="BI21">
        <v>2496</v>
      </c>
      <c r="BJ21">
        <v>30</v>
      </c>
      <c r="BK21">
        <v>1872</v>
      </c>
      <c r="BL21">
        <v>39</v>
      </c>
      <c r="BM21">
        <v>2433.6</v>
      </c>
      <c r="BN21">
        <v>31</v>
      </c>
      <c r="BO21">
        <v>1934.3999999999999</v>
      </c>
      <c r="BP21">
        <v>27</v>
      </c>
      <c r="BQ21">
        <v>1684.8</v>
      </c>
      <c r="BR21">
        <v>24</v>
      </c>
      <c r="BS21">
        <v>1497.6</v>
      </c>
      <c r="BT21">
        <v>24</v>
      </c>
      <c r="BU21">
        <v>1497.6</v>
      </c>
      <c r="BV21">
        <v>33</v>
      </c>
      <c r="BW21">
        <v>2059.1999999999998</v>
      </c>
      <c r="BX21">
        <v>45</v>
      </c>
      <c r="BY21">
        <v>2808</v>
      </c>
      <c r="BZ21">
        <v>21</v>
      </c>
      <c r="CA21">
        <v>1310.3999999999999</v>
      </c>
      <c r="CB21">
        <v>40</v>
      </c>
      <c r="CC21">
        <v>2496</v>
      </c>
      <c r="CD21">
        <v>28</v>
      </c>
      <c r="CE21">
        <v>1747.2</v>
      </c>
      <c r="CF21">
        <v>28</v>
      </c>
      <c r="CG21">
        <v>1747.2</v>
      </c>
      <c r="CH21">
        <v>34</v>
      </c>
      <c r="CI21">
        <v>2121.6</v>
      </c>
      <c r="CJ21">
        <v>27</v>
      </c>
      <c r="CK21">
        <v>1684.8</v>
      </c>
      <c r="CL21">
        <v>41</v>
      </c>
      <c r="CM21">
        <v>2558.4</v>
      </c>
      <c r="CN21">
        <v>40</v>
      </c>
      <c r="CO21">
        <v>2496</v>
      </c>
      <c r="CP21">
        <v>34</v>
      </c>
      <c r="CQ21">
        <v>2121.6</v>
      </c>
      <c r="CR21">
        <v>37</v>
      </c>
      <c r="CS21">
        <v>2308.7999999999997</v>
      </c>
      <c r="CT21">
        <v>24</v>
      </c>
      <c r="CU21">
        <v>1497.6</v>
      </c>
    </row>
    <row r="22" spans="2:99" x14ac:dyDescent="0.2">
      <c r="C22" s="116" t="s">
        <v>188</v>
      </c>
      <c r="D22">
        <v>36</v>
      </c>
      <c r="E22">
        <v>6739.2</v>
      </c>
      <c r="F22">
        <v>37</v>
      </c>
      <c r="G22">
        <v>6926.4</v>
      </c>
      <c r="H22">
        <v>34</v>
      </c>
      <c r="I22">
        <v>6364.7999999999993</v>
      </c>
      <c r="J22">
        <v>38</v>
      </c>
      <c r="K22">
        <v>7113.5999999999995</v>
      </c>
      <c r="L22">
        <v>35</v>
      </c>
      <c r="M22">
        <v>6552</v>
      </c>
      <c r="N22">
        <v>27</v>
      </c>
      <c r="O22">
        <v>5054.3999999999996</v>
      </c>
      <c r="P22">
        <v>36</v>
      </c>
      <c r="Q22">
        <v>6739.2</v>
      </c>
      <c r="R22">
        <v>24</v>
      </c>
      <c r="S22">
        <v>4492.7999999999993</v>
      </c>
      <c r="T22">
        <v>31</v>
      </c>
      <c r="U22">
        <v>5803.2</v>
      </c>
      <c r="V22">
        <v>38</v>
      </c>
      <c r="W22">
        <v>7113.5999999999995</v>
      </c>
      <c r="X22">
        <v>29</v>
      </c>
      <c r="Y22">
        <v>5428.7999999999993</v>
      </c>
      <c r="Z22">
        <v>28</v>
      </c>
      <c r="AA22">
        <v>5241.5999999999995</v>
      </c>
      <c r="AB22">
        <v>38</v>
      </c>
      <c r="AC22">
        <v>7113.5999999999995</v>
      </c>
      <c r="AD22">
        <v>26</v>
      </c>
      <c r="AE22">
        <v>4867.2</v>
      </c>
      <c r="AF22">
        <v>35</v>
      </c>
      <c r="AG22">
        <v>6552</v>
      </c>
      <c r="AH22">
        <v>37</v>
      </c>
      <c r="AI22">
        <v>6926.4</v>
      </c>
      <c r="AJ22">
        <v>22</v>
      </c>
      <c r="AK22">
        <v>4118.3999999999996</v>
      </c>
      <c r="AL22">
        <v>29</v>
      </c>
      <c r="AM22">
        <v>5428.7999999999993</v>
      </c>
      <c r="AN22">
        <v>34</v>
      </c>
      <c r="AO22">
        <v>6364.7999999999993</v>
      </c>
      <c r="AP22">
        <v>33</v>
      </c>
      <c r="AQ22">
        <v>6177.5999999999995</v>
      </c>
      <c r="AR22">
        <v>33</v>
      </c>
      <c r="AS22">
        <v>6177.5999999999995</v>
      </c>
      <c r="AT22">
        <v>30</v>
      </c>
      <c r="AU22">
        <v>5616</v>
      </c>
      <c r="AV22">
        <v>33</v>
      </c>
      <c r="AW22">
        <v>6177.5999999999995</v>
      </c>
      <c r="AX22">
        <v>32</v>
      </c>
      <c r="AY22">
        <v>5990.4</v>
      </c>
      <c r="AZ22">
        <v>24</v>
      </c>
      <c r="BA22">
        <v>4492.7999999999993</v>
      </c>
      <c r="BB22">
        <v>37</v>
      </c>
      <c r="BC22">
        <v>6926.4</v>
      </c>
      <c r="BD22">
        <v>28</v>
      </c>
      <c r="BE22">
        <v>5241.5999999999995</v>
      </c>
      <c r="BF22">
        <v>25</v>
      </c>
      <c r="BG22">
        <v>4680</v>
      </c>
      <c r="BH22">
        <v>41</v>
      </c>
      <c r="BI22">
        <v>7675.2</v>
      </c>
      <c r="BJ22">
        <v>28</v>
      </c>
      <c r="BK22">
        <v>5241.5999999999995</v>
      </c>
      <c r="BL22">
        <v>39</v>
      </c>
      <c r="BM22">
        <v>7300.7999999999993</v>
      </c>
      <c r="BN22">
        <v>32</v>
      </c>
      <c r="BO22">
        <v>5990.4</v>
      </c>
      <c r="BP22">
        <v>26</v>
      </c>
      <c r="BQ22">
        <v>4867.2</v>
      </c>
      <c r="BR22">
        <v>22</v>
      </c>
      <c r="BS22">
        <v>4118.3999999999996</v>
      </c>
      <c r="BT22">
        <v>26</v>
      </c>
      <c r="BU22">
        <v>4867.2</v>
      </c>
      <c r="BV22">
        <v>36</v>
      </c>
      <c r="BW22">
        <v>6739.2</v>
      </c>
      <c r="BX22">
        <v>43</v>
      </c>
      <c r="BY22">
        <v>8049.5999999999995</v>
      </c>
      <c r="BZ22">
        <v>21</v>
      </c>
      <c r="CA22">
        <v>3931.2</v>
      </c>
      <c r="CB22">
        <v>35</v>
      </c>
      <c r="CC22">
        <v>6552</v>
      </c>
      <c r="CD22">
        <v>28</v>
      </c>
      <c r="CE22">
        <v>5241.5999999999995</v>
      </c>
      <c r="CF22">
        <v>29</v>
      </c>
      <c r="CG22">
        <v>5428.7999999999993</v>
      </c>
      <c r="CH22">
        <v>35</v>
      </c>
      <c r="CI22">
        <v>6552</v>
      </c>
      <c r="CJ22">
        <v>26</v>
      </c>
      <c r="CK22">
        <v>4867.2</v>
      </c>
      <c r="CL22">
        <v>39</v>
      </c>
      <c r="CM22">
        <v>7300.7999999999993</v>
      </c>
      <c r="CN22">
        <v>36</v>
      </c>
      <c r="CO22">
        <v>6739.2</v>
      </c>
      <c r="CP22">
        <v>37</v>
      </c>
      <c r="CQ22">
        <v>6926.4</v>
      </c>
      <c r="CR22">
        <v>41</v>
      </c>
      <c r="CS22">
        <v>7675.2</v>
      </c>
      <c r="CT22">
        <v>25</v>
      </c>
      <c r="CU22">
        <v>4680</v>
      </c>
    </row>
    <row r="23" spans="2:99" x14ac:dyDescent="0.2">
      <c r="C23" s="116" t="s">
        <v>189</v>
      </c>
      <c r="D23">
        <v>32</v>
      </c>
      <c r="E23">
        <v>9408</v>
      </c>
      <c r="F23">
        <v>36</v>
      </c>
      <c r="G23">
        <v>10584</v>
      </c>
      <c r="H23">
        <v>36</v>
      </c>
      <c r="I23">
        <v>10584</v>
      </c>
      <c r="J23">
        <v>33</v>
      </c>
      <c r="K23">
        <v>9702</v>
      </c>
      <c r="L23">
        <v>34</v>
      </c>
      <c r="M23">
        <v>9996</v>
      </c>
      <c r="N23">
        <v>31</v>
      </c>
      <c r="O23">
        <v>9114</v>
      </c>
      <c r="P23">
        <v>32</v>
      </c>
      <c r="Q23">
        <v>9408</v>
      </c>
      <c r="R23">
        <v>26</v>
      </c>
      <c r="S23">
        <v>7644</v>
      </c>
      <c r="T23">
        <v>26</v>
      </c>
      <c r="U23">
        <v>7644</v>
      </c>
      <c r="V23">
        <v>39</v>
      </c>
      <c r="W23">
        <v>11466</v>
      </c>
      <c r="X23">
        <v>32</v>
      </c>
      <c r="Y23">
        <v>9408</v>
      </c>
      <c r="Z23">
        <v>31</v>
      </c>
      <c r="AA23">
        <v>9114</v>
      </c>
      <c r="AB23">
        <v>36</v>
      </c>
      <c r="AC23">
        <v>10584</v>
      </c>
      <c r="AD23">
        <v>24</v>
      </c>
      <c r="AE23">
        <v>7056</v>
      </c>
      <c r="AF23">
        <v>40</v>
      </c>
      <c r="AG23">
        <v>11760</v>
      </c>
      <c r="AH23">
        <v>34</v>
      </c>
      <c r="AI23">
        <v>9996</v>
      </c>
      <c r="AJ23">
        <v>22</v>
      </c>
      <c r="AK23">
        <v>6468</v>
      </c>
      <c r="AL23">
        <v>27</v>
      </c>
      <c r="AM23">
        <v>7938</v>
      </c>
      <c r="AN23">
        <v>33</v>
      </c>
      <c r="AO23">
        <v>9702</v>
      </c>
      <c r="AP23">
        <v>34</v>
      </c>
      <c r="AQ23">
        <v>9996</v>
      </c>
      <c r="AR23">
        <v>35</v>
      </c>
      <c r="AS23">
        <v>10290</v>
      </c>
      <c r="AT23">
        <v>35</v>
      </c>
      <c r="AU23">
        <v>10290</v>
      </c>
      <c r="AV23">
        <v>35</v>
      </c>
      <c r="AW23">
        <v>10290</v>
      </c>
      <c r="AX23">
        <v>32</v>
      </c>
      <c r="AY23">
        <v>9408</v>
      </c>
      <c r="AZ23">
        <v>24</v>
      </c>
      <c r="BA23">
        <v>7056</v>
      </c>
      <c r="BB23">
        <v>37</v>
      </c>
      <c r="BC23">
        <v>10878</v>
      </c>
      <c r="BD23">
        <v>24</v>
      </c>
      <c r="BE23">
        <v>7056</v>
      </c>
      <c r="BF23">
        <v>26</v>
      </c>
      <c r="BG23">
        <v>7644</v>
      </c>
      <c r="BH23">
        <v>37</v>
      </c>
      <c r="BI23">
        <v>10878</v>
      </c>
      <c r="BJ23">
        <v>28</v>
      </c>
      <c r="BK23">
        <v>8232</v>
      </c>
      <c r="BL23">
        <v>36</v>
      </c>
      <c r="BM23">
        <v>10584</v>
      </c>
      <c r="BN23">
        <v>30</v>
      </c>
      <c r="BO23">
        <v>8820</v>
      </c>
      <c r="BP23">
        <v>27</v>
      </c>
      <c r="BQ23">
        <v>7938</v>
      </c>
      <c r="BR23">
        <v>24</v>
      </c>
      <c r="BS23">
        <v>7056</v>
      </c>
      <c r="BT23">
        <v>24</v>
      </c>
      <c r="BU23">
        <v>7056</v>
      </c>
      <c r="BV23">
        <v>35</v>
      </c>
      <c r="BW23">
        <v>10290</v>
      </c>
      <c r="BX23">
        <v>43</v>
      </c>
      <c r="BY23">
        <v>12642</v>
      </c>
      <c r="BZ23">
        <v>23</v>
      </c>
      <c r="CA23">
        <v>6762</v>
      </c>
      <c r="CB23">
        <v>36</v>
      </c>
      <c r="CC23">
        <v>10584</v>
      </c>
      <c r="CD23">
        <v>30</v>
      </c>
      <c r="CE23">
        <v>8820</v>
      </c>
      <c r="CF23">
        <v>25</v>
      </c>
      <c r="CG23">
        <v>7350</v>
      </c>
      <c r="CH23">
        <v>32</v>
      </c>
      <c r="CI23">
        <v>9408</v>
      </c>
      <c r="CJ23">
        <v>29</v>
      </c>
      <c r="CK23">
        <v>8526</v>
      </c>
      <c r="CL23">
        <v>40</v>
      </c>
      <c r="CM23">
        <v>11760</v>
      </c>
      <c r="CN23">
        <v>40</v>
      </c>
      <c r="CO23">
        <v>11760</v>
      </c>
      <c r="CP23">
        <v>37</v>
      </c>
      <c r="CQ23">
        <v>10878</v>
      </c>
      <c r="CR23">
        <v>38</v>
      </c>
      <c r="CS23">
        <v>11172</v>
      </c>
      <c r="CT23">
        <v>26</v>
      </c>
      <c r="CU23">
        <v>7644</v>
      </c>
    </row>
    <row r="24" spans="2:99" x14ac:dyDescent="0.2">
      <c r="C24" s="116" t="s">
        <v>190</v>
      </c>
      <c r="D24">
        <v>34</v>
      </c>
      <c r="E24">
        <v>12484.8</v>
      </c>
      <c r="F24">
        <v>32</v>
      </c>
      <c r="G24">
        <v>11750.4</v>
      </c>
      <c r="H24">
        <v>32</v>
      </c>
      <c r="I24">
        <v>11750.4</v>
      </c>
      <c r="J24">
        <v>37</v>
      </c>
      <c r="K24">
        <v>13586.4</v>
      </c>
      <c r="L24">
        <v>34</v>
      </c>
      <c r="M24">
        <v>12484.8</v>
      </c>
      <c r="N24">
        <v>28</v>
      </c>
      <c r="O24">
        <v>10281.6</v>
      </c>
      <c r="P24">
        <v>34</v>
      </c>
      <c r="Q24">
        <v>12484.8</v>
      </c>
      <c r="R24">
        <v>25</v>
      </c>
      <c r="S24">
        <v>9180</v>
      </c>
      <c r="T24">
        <v>28</v>
      </c>
      <c r="U24">
        <v>10281.6</v>
      </c>
      <c r="V24">
        <v>37</v>
      </c>
      <c r="W24">
        <v>13586.4</v>
      </c>
      <c r="X24">
        <v>28</v>
      </c>
      <c r="Y24">
        <v>10281.6</v>
      </c>
      <c r="Z24">
        <v>32</v>
      </c>
      <c r="AA24">
        <v>11750.4</v>
      </c>
      <c r="AB24">
        <v>40</v>
      </c>
      <c r="AC24">
        <v>14688</v>
      </c>
      <c r="AD24">
        <v>22</v>
      </c>
      <c r="AE24">
        <v>8078.4</v>
      </c>
      <c r="AF24">
        <v>35</v>
      </c>
      <c r="AG24">
        <v>12852</v>
      </c>
      <c r="AH24">
        <v>34</v>
      </c>
      <c r="AI24">
        <v>12484.8</v>
      </c>
      <c r="AJ24">
        <v>20</v>
      </c>
      <c r="AK24">
        <v>7344</v>
      </c>
      <c r="AL24">
        <v>27</v>
      </c>
      <c r="AM24">
        <v>9914.4</v>
      </c>
      <c r="AN24">
        <v>33</v>
      </c>
      <c r="AO24">
        <v>12117.6</v>
      </c>
      <c r="AP24">
        <v>33</v>
      </c>
      <c r="AQ24">
        <v>12117.6</v>
      </c>
      <c r="AR24">
        <v>33</v>
      </c>
      <c r="AS24">
        <v>12117.6</v>
      </c>
      <c r="AT24">
        <v>32</v>
      </c>
      <c r="AU24">
        <v>11750.4</v>
      </c>
      <c r="AV24">
        <v>30</v>
      </c>
      <c r="AW24">
        <v>11016</v>
      </c>
      <c r="AX24">
        <v>35</v>
      </c>
      <c r="AY24">
        <v>12852</v>
      </c>
      <c r="AZ24">
        <v>24</v>
      </c>
      <c r="BA24">
        <v>8812.7999999999993</v>
      </c>
      <c r="BB24">
        <v>35</v>
      </c>
      <c r="BC24">
        <v>12852</v>
      </c>
      <c r="BD24">
        <v>26</v>
      </c>
      <c r="BE24">
        <v>9547.1999999999989</v>
      </c>
      <c r="BF24">
        <v>23</v>
      </c>
      <c r="BG24">
        <v>8445.6</v>
      </c>
      <c r="BH24">
        <v>36</v>
      </c>
      <c r="BI24">
        <v>13219.199999999999</v>
      </c>
      <c r="BJ24">
        <v>30</v>
      </c>
      <c r="BK24">
        <v>11016</v>
      </c>
      <c r="BL24">
        <v>35</v>
      </c>
      <c r="BM24">
        <v>12852</v>
      </c>
      <c r="BN24">
        <v>30</v>
      </c>
      <c r="BO24">
        <v>11016</v>
      </c>
      <c r="BP24">
        <v>24</v>
      </c>
      <c r="BQ24">
        <v>8812.7999999999993</v>
      </c>
      <c r="BR24">
        <v>24</v>
      </c>
      <c r="BS24">
        <v>8812.7999999999993</v>
      </c>
      <c r="BT24">
        <v>25</v>
      </c>
      <c r="BU24">
        <v>9180</v>
      </c>
      <c r="BV24">
        <v>33</v>
      </c>
      <c r="BW24">
        <v>12117.6</v>
      </c>
      <c r="BX24">
        <v>45</v>
      </c>
      <c r="BY24">
        <v>16524</v>
      </c>
      <c r="BZ24">
        <v>23</v>
      </c>
      <c r="CA24">
        <v>8445.6</v>
      </c>
      <c r="CB24">
        <v>38</v>
      </c>
      <c r="CC24">
        <v>13953.6</v>
      </c>
      <c r="CD24">
        <v>31</v>
      </c>
      <c r="CE24">
        <v>11383.199999999999</v>
      </c>
      <c r="CF24">
        <v>28</v>
      </c>
      <c r="CG24">
        <v>10281.6</v>
      </c>
      <c r="CH24">
        <v>32</v>
      </c>
      <c r="CI24">
        <v>11750.4</v>
      </c>
      <c r="CJ24">
        <v>25</v>
      </c>
      <c r="CK24">
        <v>9180</v>
      </c>
      <c r="CL24">
        <v>35</v>
      </c>
      <c r="CM24">
        <v>12852</v>
      </c>
      <c r="CN24">
        <v>35</v>
      </c>
      <c r="CO24">
        <v>12852</v>
      </c>
      <c r="CP24">
        <v>33</v>
      </c>
      <c r="CQ24">
        <v>12117.6</v>
      </c>
      <c r="CR24">
        <v>39</v>
      </c>
      <c r="CS24">
        <v>14320.8</v>
      </c>
      <c r="CT24">
        <v>25</v>
      </c>
      <c r="CU24">
        <v>9180</v>
      </c>
    </row>
    <row r="25" spans="2:99" x14ac:dyDescent="0.2">
      <c r="C25" s="116" t="s">
        <v>191</v>
      </c>
      <c r="D25">
        <v>33</v>
      </c>
      <c r="E25">
        <v>17503.2</v>
      </c>
      <c r="F25">
        <v>34</v>
      </c>
      <c r="G25">
        <v>18033.599999999999</v>
      </c>
      <c r="H25">
        <v>35</v>
      </c>
      <c r="I25">
        <v>18564</v>
      </c>
      <c r="J25">
        <v>34</v>
      </c>
      <c r="K25">
        <v>18033.599999999999</v>
      </c>
      <c r="L25">
        <v>34</v>
      </c>
      <c r="M25">
        <v>18033.599999999999</v>
      </c>
      <c r="N25">
        <v>30</v>
      </c>
      <c r="O25">
        <v>15912</v>
      </c>
      <c r="P25">
        <v>29</v>
      </c>
      <c r="Q25">
        <v>15381.599999999999</v>
      </c>
      <c r="R25">
        <v>25</v>
      </c>
      <c r="S25">
        <v>13260</v>
      </c>
      <c r="T25">
        <v>28</v>
      </c>
      <c r="U25">
        <v>14851.199999999999</v>
      </c>
      <c r="V25">
        <v>38</v>
      </c>
      <c r="W25">
        <v>20155.2</v>
      </c>
      <c r="X25">
        <v>27</v>
      </c>
      <c r="Y25">
        <v>14320.8</v>
      </c>
      <c r="Z25">
        <v>30</v>
      </c>
      <c r="AA25">
        <v>15912</v>
      </c>
      <c r="AB25">
        <v>35</v>
      </c>
      <c r="AC25">
        <v>18564</v>
      </c>
      <c r="AD25">
        <v>25</v>
      </c>
      <c r="AE25">
        <v>13260</v>
      </c>
      <c r="AF25">
        <v>37</v>
      </c>
      <c r="AG25">
        <v>19624.8</v>
      </c>
      <c r="AH25">
        <v>31</v>
      </c>
      <c r="AI25">
        <v>16442.399999999998</v>
      </c>
      <c r="AJ25">
        <v>20</v>
      </c>
      <c r="AK25">
        <v>10608</v>
      </c>
      <c r="AL25">
        <v>30</v>
      </c>
      <c r="AM25">
        <v>15912</v>
      </c>
      <c r="AN25">
        <v>34</v>
      </c>
      <c r="AO25">
        <v>18033.599999999999</v>
      </c>
      <c r="AP25">
        <v>33</v>
      </c>
      <c r="AQ25">
        <v>17503.2</v>
      </c>
      <c r="AR25">
        <v>34</v>
      </c>
      <c r="AS25">
        <v>18033.599999999999</v>
      </c>
      <c r="AT25">
        <v>33</v>
      </c>
      <c r="AU25">
        <v>17503.2</v>
      </c>
      <c r="AV25">
        <v>35</v>
      </c>
      <c r="AW25">
        <v>18564</v>
      </c>
      <c r="AX25">
        <v>34</v>
      </c>
      <c r="AY25">
        <v>18033.599999999999</v>
      </c>
      <c r="AZ25">
        <v>23</v>
      </c>
      <c r="BA25">
        <v>12199.199999999999</v>
      </c>
      <c r="BB25">
        <v>34</v>
      </c>
      <c r="BC25">
        <v>18033.599999999999</v>
      </c>
      <c r="BD25">
        <v>25</v>
      </c>
      <c r="BE25">
        <v>13260</v>
      </c>
      <c r="BF25">
        <v>25</v>
      </c>
      <c r="BG25">
        <v>13260</v>
      </c>
      <c r="BH25">
        <v>36</v>
      </c>
      <c r="BI25">
        <v>19094.399999999998</v>
      </c>
      <c r="BJ25">
        <v>31</v>
      </c>
      <c r="BK25">
        <v>16442.399999999998</v>
      </c>
      <c r="BL25">
        <v>33</v>
      </c>
      <c r="BM25">
        <v>17503.2</v>
      </c>
      <c r="BN25">
        <v>29</v>
      </c>
      <c r="BO25">
        <v>15381.599999999999</v>
      </c>
      <c r="BP25">
        <v>25</v>
      </c>
      <c r="BQ25">
        <v>13260</v>
      </c>
      <c r="BR25">
        <v>20</v>
      </c>
      <c r="BS25">
        <v>10608</v>
      </c>
      <c r="BT25">
        <v>22</v>
      </c>
      <c r="BU25">
        <v>11668.8</v>
      </c>
      <c r="BV25">
        <v>32</v>
      </c>
      <c r="BW25">
        <v>16972.8</v>
      </c>
      <c r="BX25">
        <v>43</v>
      </c>
      <c r="BY25">
        <v>22807.200000000001</v>
      </c>
      <c r="BZ25">
        <v>22</v>
      </c>
      <c r="CA25">
        <v>11668.8</v>
      </c>
      <c r="CB25">
        <v>35</v>
      </c>
      <c r="CC25">
        <v>18564</v>
      </c>
      <c r="CD25">
        <v>31</v>
      </c>
      <c r="CE25">
        <v>16442.399999999998</v>
      </c>
      <c r="CF25">
        <v>27</v>
      </c>
      <c r="CG25">
        <v>14320.8</v>
      </c>
      <c r="CH25">
        <v>36</v>
      </c>
      <c r="CI25">
        <v>19094.399999999998</v>
      </c>
      <c r="CJ25">
        <v>25</v>
      </c>
      <c r="CK25">
        <v>13260</v>
      </c>
      <c r="CL25">
        <v>35</v>
      </c>
      <c r="CM25">
        <v>18564</v>
      </c>
      <c r="CN25">
        <v>34</v>
      </c>
      <c r="CO25">
        <v>18033.599999999999</v>
      </c>
      <c r="CP25">
        <v>34</v>
      </c>
      <c r="CQ25">
        <v>18033.599999999999</v>
      </c>
      <c r="CR25">
        <v>40</v>
      </c>
      <c r="CS25">
        <v>21216</v>
      </c>
      <c r="CT25">
        <v>24</v>
      </c>
      <c r="CU25">
        <v>12729.599999999999</v>
      </c>
    </row>
    <row r="26" spans="2:99" x14ac:dyDescent="0.2">
      <c r="C26" s="116" t="s">
        <v>192</v>
      </c>
      <c r="D26">
        <v>34</v>
      </c>
      <c r="E26">
        <v>16524</v>
      </c>
      <c r="F26">
        <v>34</v>
      </c>
      <c r="G26">
        <v>16524</v>
      </c>
      <c r="H26">
        <v>34</v>
      </c>
      <c r="I26">
        <v>16524</v>
      </c>
      <c r="J26">
        <v>36</v>
      </c>
      <c r="K26">
        <v>17496</v>
      </c>
      <c r="L26">
        <v>33</v>
      </c>
      <c r="M26">
        <v>16038</v>
      </c>
      <c r="N26">
        <v>27</v>
      </c>
      <c r="O26">
        <v>13122</v>
      </c>
      <c r="P26">
        <v>30</v>
      </c>
      <c r="Q26">
        <v>14580</v>
      </c>
      <c r="R26">
        <v>22</v>
      </c>
      <c r="S26">
        <v>10692</v>
      </c>
      <c r="T26">
        <v>28</v>
      </c>
      <c r="U26">
        <v>13608</v>
      </c>
      <c r="V26">
        <v>40</v>
      </c>
      <c r="W26">
        <v>19440</v>
      </c>
      <c r="X26">
        <v>32</v>
      </c>
      <c r="Y26">
        <v>15552</v>
      </c>
      <c r="Z26">
        <v>33</v>
      </c>
      <c r="AA26">
        <v>16038</v>
      </c>
      <c r="AB26">
        <v>36</v>
      </c>
      <c r="AC26">
        <v>17496</v>
      </c>
      <c r="AD26">
        <v>23</v>
      </c>
      <c r="AE26">
        <v>11178</v>
      </c>
      <c r="AF26">
        <v>35</v>
      </c>
      <c r="AG26">
        <v>17010</v>
      </c>
      <c r="AH26">
        <v>33</v>
      </c>
      <c r="AI26">
        <v>16038</v>
      </c>
      <c r="AJ26">
        <v>21</v>
      </c>
      <c r="AK26">
        <v>10206</v>
      </c>
      <c r="AL26">
        <v>29</v>
      </c>
      <c r="AM26">
        <v>14094</v>
      </c>
      <c r="AN26">
        <v>34</v>
      </c>
      <c r="AO26">
        <v>16524</v>
      </c>
      <c r="AP26">
        <v>36</v>
      </c>
      <c r="AQ26">
        <v>17496</v>
      </c>
      <c r="AR26">
        <v>33</v>
      </c>
      <c r="AS26">
        <v>16038</v>
      </c>
      <c r="AT26">
        <v>34</v>
      </c>
      <c r="AU26">
        <v>16524</v>
      </c>
      <c r="AV26">
        <v>32</v>
      </c>
      <c r="AW26">
        <v>15552</v>
      </c>
      <c r="AX26">
        <v>33</v>
      </c>
      <c r="AY26">
        <v>16038</v>
      </c>
      <c r="AZ26">
        <v>23</v>
      </c>
      <c r="BA26">
        <v>11178</v>
      </c>
      <c r="BB26">
        <v>39</v>
      </c>
      <c r="BC26">
        <v>18954</v>
      </c>
      <c r="BD26">
        <v>25</v>
      </c>
      <c r="BE26">
        <v>12150</v>
      </c>
      <c r="BF26">
        <v>23</v>
      </c>
      <c r="BG26">
        <v>11178</v>
      </c>
      <c r="BH26">
        <v>33</v>
      </c>
      <c r="BI26">
        <v>16038</v>
      </c>
      <c r="BJ26">
        <v>28</v>
      </c>
      <c r="BK26">
        <v>13608</v>
      </c>
      <c r="BL26">
        <v>40</v>
      </c>
      <c r="BM26">
        <v>19440</v>
      </c>
      <c r="BN26">
        <v>31</v>
      </c>
      <c r="BO26">
        <v>15066</v>
      </c>
      <c r="BP26">
        <v>25</v>
      </c>
      <c r="BQ26">
        <v>12150</v>
      </c>
      <c r="BR26">
        <v>22</v>
      </c>
      <c r="BS26">
        <v>10692</v>
      </c>
      <c r="BT26">
        <v>24</v>
      </c>
      <c r="BU26">
        <v>11664</v>
      </c>
      <c r="BV26">
        <v>32</v>
      </c>
      <c r="BW26">
        <v>15552</v>
      </c>
      <c r="BX26">
        <v>38</v>
      </c>
      <c r="BY26">
        <v>18468</v>
      </c>
      <c r="BZ26">
        <v>23</v>
      </c>
      <c r="CA26">
        <v>11178</v>
      </c>
      <c r="CB26">
        <v>32</v>
      </c>
      <c r="CC26">
        <v>15552</v>
      </c>
      <c r="CD26">
        <v>28</v>
      </c>
      <c r="CE26">
        <v>13608</v>
      </c>
      <c r="CF26">
        <v>29</v>
      </c>
      <c r="CG26">
        <v>14094</v>
      </c>
      <c r="CH26">
        <v>35</v>
      </c>
      <c r="CI26">
        <v>17010</v>
      </c>
      <c r="CJ26">
        <v>28</v>
      </c>
      <c r="CK26">
        <v>13608</v>
      </c>
      <c r="CL26">
        <v>34</v>
      </c>
      <c r="CM26">
        <v>16524</v>
      </c>
      <c r="CN26">
        <v>35</v>
      </c>
      <c r="CO26">
        <v>17010</v>
      </c>
      <c r="CP26">
        <v>38</v>
      </c>
      <c r="CQ26">
        <v>18468</v>
      </c>
      <c r="CR26">
        <v>34</v>
      </c>
      <c r="CS26">
        <v>16524</v>
      </c>
      <c r="CT26">
        <v>24</v>
      </c>
      <c r="CU26">
        <v>11664</v>
      </c>
    </row>
    <row r="27" spans="2:99" x14ac:dyDescent="0.2">
      <c r="C27" s="116" t="s">
        <v>193</v>
      </c>
      <c r="D27">
        <v>32</v>
      </c>
      <c r="E27">
        <v>13670.4</v>
      </c>
      <c r="F27">
        <v>38</v>
      </c>
      <c r="G27">
        <v>16233.6</v>
      </c>
      <c r="H27">
        <v>35</v>
      </c>
      <c r="I27">
        <v>14952</v>
      </c>
      <c r="J27">
        <v>34</v>
      </c>
      <c r="K27">
        <v>14524.8</v>
      </c>
      <c r="L27">
        <v>34</v>
      </c>
      <c r="M27">
        <v>14524.8</v>
      </c>
      <c r="N27">
        <v>28</v>
      </c>
      <c r="O27">
        <v>11961.6</v>
      </c>
      <c r="P27">
        <v>35</v>
      </c>
      <c r="Q27">
        <v>14952</v>
      </c>
      <c r="R27">
        <v>25</v>
      </c>
      <c r="S27">
        <v>10680</v>
      </c>
      <c r="T27">
        <v>28</v>
      </c>
      <c r="U27">
        <v>11961.6</v>
      </c>
      <c r="V27">
        <v>40</v>
      </c>
      <c r="W27">
        <v>17088</v>
      </c>
      <c r="X27">
        <v>31</v>
      </c>
      <c r="Y27">
        <v>13243.199999999999</v>
      </c>
      <c r="Z27">
        <v>31</v>
      </c>
      <c r="AA27">
        <v>13243.199999999999</v>
      </c>
      <c r="AB27">
        <v>38</v>
      </c>
      <c r="AC27">
        <v>16233.6</v>
      </c>
      <c r="AD27">
        <v>22</v>
      </c>
      <c r="AE27">
        <v>9398.4</v>
      </c>
      <c r="AF27">
        <v>32</v>
      </c>
      <c r="AG27">
        <v>13670.4</v>
      </c>
      <c r="AH27">
        <v>33</v>
      </c>
      <c r="AI27">
        <v>14097.6</v>
      </c>
      <c r="AJ27">
        <v>20</v>
      </c>
      <c r="AK27">
        <v>8544</v>
      </c>
      <c r="AL27">
        <v>28</v>
      </c>
      <c r="AM27">
        <v>11961.6</v>
      </c>
      <c r="AN27">
        <v>33</v>
      </c>
      <c r="AO27">
        <v>14097.6</v>
      </c>
      <c r="AP27">
        <v>36</v>
      </c>
      <c r="AQ27">
        <v>15379.199999999999</v>
      </c>
      <c r="AR27">
        <v>32</v>
      </c>
      <c r="AS27">
        <v>13670.4</v>
      </c>
      <c r="AT27">
        <v>31</v>
      </c>
      <c r="AU27">
        <v>13243.199999999999</v>
      </c>
      <c r="AV27">
        <v>33</v>
      </c>
      <c r="AW27">
        <v>14097.6</v>
      </c>
      <c r="AX27">
        <v>32</v>
      </c>
      <c r="AY27">
        <v>13670.4</v>
      </c>
      <c r="AZ27">
        <v>24</v>
      </c>
      <c r="BA27">
        <v>10252.799999999999</v>
      </c>
      <c r="BB27">
        <v>33</v>
      </c>
      <c r="BC27">
        <v>14097.6</v>
      </c>
      <c r="BD27">
        <v>27</v>
      </c>
      <c r="BE27">
        <v>11534.4</v>
      </c>
      <c r="BF27">
        <v>27</v>
      </c>
      <c r="BG27">
        <v>11534.4</v>
      </c>
      <c r="BH27">
        <v>37</v>
      </c>
      <c r="BI27">
        <v>15806.4</v>
      </c>
      <c r="BJ27">
        <v>27</v>
      </c>
      <c r="BK27">
        <v>11534.4</v>
      </c>
      <c r="BL27">
        <v>37</v>
      </c>
      <c r="BM27">
        <v>15806.4</v>
      </c>
      <c r="BN27">
        <v>31</v>
      </c>
      <c r="BO27">
        <v>13243.199999999999</v>
      </c>
      <c r="BP27">
        <v>28</v>
      </c>
      <c r="BQ27">
        <v>11961.6</v>
      </c>
      <c r="BR27">
        <v>23</v>
      </c>
      <c r="BS27">
        <v>9825.6</v>
      </c>
      <c r="BT27">
        <v>23</v>
      </c>
      <c r="BU27">
        <v>9825.6</v>
      </c>
      <c r="BV27">
        <v>38</v>
      </c>
      <c r="BW27">
        <v>16233.6</v>
      </c>
      <c r="BX27">
        <v>40</v>
      </c>
      <c r="BY27">
        <v>17088</v>
      </c>
      <c r="BZ27">
        <v>23</v>
      </c>
      <c r="CA27">
        <v>9825.6</v>
      </c>
      <c r="CB27">
        <v>33</v>
      </c>
      <c r="CC27">
        <v>14097.6</v>
      </c>
      <c r="CD27">
        <v>28</v>
      </c>
      <c r="CE27">
        <v>11961.6</v>
      </c>
      <c r="CF27">
        <v>26</v>
      </c>
      <c r="CG27">
        <v>11107.199999999999</v>
      </c>
      <c r="CH27">
        <v>33</v>
      </c>
      <c r="CI27">
        <v>14097.6</v>
      </c>
      <c r="CJ27">
        <v>28</v>
      </c>
      <c r="CK27">
        <v>11961.6</v>
      </c>
      <c r="CL27">
        <v>39</v>
      </c>
      <c r="CM27">
        <v>16660.8</v>
      </c>
      <c r="CN27">
        <v>39</v>
      </c>
      <c r="CO27">
        <v>16660.8</v>
      </c>
      <c r="CP27">
        <v>33</v>
      </c>
      <c r="CQ27">
        <v>14097.6</v>
      </c>
      <c r="CR27">
        <v>39</v>
      </c>
      <c r="CS27">
        <v>16660.8</v>
      </c>
      <c r="CT27">
        <v>27</v>
      </c>
      <c r="CU27">
        <v>11534.4</v>
      </c>
    </row>
    <row r="28" spans="2:99" x14ac:dyDescent="0.2">
      <c r="C28" s="116" t="s">
        <v>194</v>
      </c>
      <c r="D28">
        <v>30</v>
      </c>
      <c r="E28">
        <v>22140</v>
      </c>
      <c r="F28">
        <v>34</v>
      </c>
      <c r="G28">
        <v>25092</v>
      </c>
      <c r="H28">
        <v>34</v>
      </c>
      <c r="I28">
        <v>25092</v>
      </c>
      <c r="J28">
        <v>30</v>
      </c>
      <c r="K28">
        <v>22140</v>
      </c>
      <c r="L28">
        <v>34</v>
      </c>
      <c r="M28">
        <v>25092</v>
      </c>
      <c r="N28">
        <v>28</v>
      </c>
      <c r="O28">
        <v>20664</v>
      </c>
      <c r="P28">
        <v>31</v>
      </c>
      <c r="Q28">
        <v>22878</v>
      </c>
      <c r="R28">
        <v>22</v>
      </c>
      <c r="S28">
        <v>16236</v>
      </c>
      <c r="T28">
        <v>27</v>
      </c>
      <c r="U28">
        <v>19926</v>
      </c>
      <c r="V28">
        <v>36</v>
      </c>
      <c r="W28">
        <v>26568</v>
      </c>
      <c r="X28">
        <v>28</v>
      </c>
      <c r="Y28">
        <v>20664</v>
      </c>
      <c r="Z28">
        <v>31</v>
      </c>
      <c r="AA28">
        <v>22878</v>
      </c>
      <c r="AB28">
        <v>34</v>
      </c>
      <c r="AC28">
        <v>25092</v>
      </c>
      <c r="AD28">
        <v>22</v>
      </c>
      <c r="AE28">
        <v>16236</v>
      </c>
      <c r="AF28">
        <v>32</v>
      </c>
      <c r="AG28">
        <v>23616</v>
      </c>
      <c r="AH28">
        <v>33</v>
      </c>
      <c r="AI28">
        <v>24354</v>
      </c>
      <c r="AJ28">
        <v>20</v>
      </c>
      <c r="AK28">
        <v>14760</v>
      </c>
      <c r="AL28">
        <v>29</v>
      </c>
      <c r="AM28">
        <v>21402</v>
      </c>
      <c r="AN28">
        <v>33</v>
      </c>
      <c r="AO28">
        <v>24354</v>
      </c>
      <c r="AP28">
        <v>37</v>
      </c>
      <c r="AQ28">
        <v>27306</v>
      </c>
      <c r="AR28">
        <v>29</v>
      </c>
      <c r="AS28">
        <v>21402</v>
      </c>
      <c r="AT28">
        <v>34</v>
      </c>
      <c r="AU28">
        <v>25092</v>
      </c>
      <c r="AV28">
        <v>29</v>
      </c>
      <c r="AW28">
        <v>21402</v>
      </c>
      <c r="AX28">
        <v>32</v>
      </c>
      <c r="AY28">
        <v>23616</v>
      </c>
      <c r="AZ28">
        <v>24</v>
      </c>
      <c r="BA28">
        <v>17712</v>
      </c>
      <c r="BB28">
        <v>32</v>
      </c>
      <c r="BC28">
        <v>23616</v>
      </c>
      <c r="BD28">
        <v>23</v>
      </c>
      <c r="BE28">
        <v>16974</v>
      </c>
      <c r="BF28">
        <v>25</v>
      </c>
      <c r="BG28">
        <v>18450</v>
      </c>
      <c r="BH28">
        <v>37</v>
      </c>
      <c r="BI28">
        <v>27306</v>
      </c>
      <c r="BJ28">
        <v>31</v>
      </c>
      <c r="BK28">
        <v>22878</v>
      </c>
      <c r="BL28">
        <v>39</v>
      </c>
      <c r="BM28">
        <v>28782</v>
      </c>
      <c r="BN28">
        <v>30</v>
      </c>
      <c r="BO28">
        <v>22140</v>
      </c>
      <c r="BP28">
        <v>26</v>
      </c>
      <c r="BQ28">
        <v>19188</v>
      </c>
      <c r="BR28">
        <v>20</v>
      </c>
      <c r="BS28">
        <v>14760</v>
      </c>
      <c r="BT28">
        <v>21</v>
      </c>
      <c r="BU28">
        <v>15498</v>
      </c>
      <c r="BV28">
        <v>37</v>
      </c>
      <c r="BW28">
        <v>27306</v>
      </c>
      <c r="BX28">
        <v>38</v>
      </c>
      <c r="BY28">
        <v>28044</v>
      </c>
      <c r="BZ28">
        <v>23</v>
      </c>
      <c r="CA28">
        <v>16974</v>
      </c>
      <c r="CB28">
        <v>32</v>
      </c>
      <c r="CC28">
        <v>23616</v>
      </c>
      <c r="CD28">
        <v>29</v>
      </c>
      <c r="CE28">
        <v>21402</v>
      </c>
      <c r="CF28">
        <v>24</v>
      </c>
      <c r="CG28">
        <v>17712</v>
      </c>
      <c r="CH28">
        <v>35</v>
      </c>
      <c r="CI28">
        <v>25830</v>
      </c>
      <c r="CJ28">
        <v>25</v>
      </c>
      <c r="CK28">
        <v>18450</v>
      </c>
      <c r="CL28">
        <v>37</v>
      </c>
      <c r="CM28">
        <v>27306</v>
      </c>
      <c r="CN28">
        <v>38</v>
      </c>
      <c r="CO28">
        <v>28044</v>
      </c>
      <c r="CP28">
        <v>34</v>
      </c>
      <c r="CQ28">
        <v>25092</v>
      </c>
      <c r="CR28">
        <v>32</v>
      </c>
      <c r="CS28">
        <v>23616</v>
      </c>
      <c r="CT28">
        <v>25</v>
      </c>
      <c r="CU28">
        <v>18450</v>
      </c>
    </row>
    <row r="29" spans="2:99" x14ac:dyDescent="0.2">
      <c r="C29" s="116" t="s">
        <v>195</v>
      </c>
      <c r="D29">
        <v>36</v>
      </c>
      <c r="E29">
        <v>12182.4</v>
      </c>
      <c r="F29">
        <v>34</v>
      </c>
      <c r="G29">
        <v>11505.599999999999</v>
      </c>
      <c r="H29">
        <v>35</v>
      </c>
      <c r="I29">
        <v>11844</v>
      </c>
      <c r="J29">
        <v>36</v>
      </c>
      <c r="K29">
        <v>12182.4</v>
      </c>
      <c r="L29">
        <v>33</v>
      </c>
      <c r="M29">
        <v>11167.199999999999</v>
      </c>
      <c r="N29">
        <v>31</v>
      </c>
      <c r="O29">
        <v>10490.4</v>
      </c>
      <c r="P29">
        <v>32</v>
      </c>
      <c r="Q29">
        <v>10828.8</v>
      </c>
      <c r="R29">
        <v>23</v>
      </c>
      <c r="S29">
        <v>7783.2</v>
      </c>
      <c r="T29">
        <v>30</v>
      </c>
      <c r="U29">
        <v>10152</v>
      </c>
      <c r="V29">
        <v>34</v>
      </c>
      <c r="W29">
        <v>11505.599999999999</v>
      </c>
      <c r="X29">
        <v>29</v>
      </c>
      <c r="Y29">
        <v>9813.5999999999985</v>
      </c>
      <c r="Z29">
        <v>30</v>
      </c>
      <c r="AA29">
        <v>10152</v>
      </c>
      <c r="AB29">
        <v>37</v>
      </c>
      <c r="AC29">
        <v>12520.8</v>
      </c>
      <c r="AD29">
        <v>23</v>
      </c>
      <c r="AE29">
        <v>7783.2</v>
      </c>
      <c r="AF29">
        <v>34</v>
      </c>
      <c r="AG29">
        <v>11505.599999999999</v>
      </c>
      <c r="AH29">
        <v>34</v>
      </c>
      <c r="AI29">
        <v>11505.599999999999</v>
      </c>
      <c r="AJ29">
        <v>22</v>
      </c>
      <c r="AK29">
        <v>7444.7999999999993</v>
      </c>
      <c r="AL29">
        <v>28</v>
      </c>
      <c r="AM29">
        <v>9475.1999999999989</v>
      </c>
      <c r="AN29">
        <v>34</v>
      </c>
      <c r="AO29">
        <v>11505.599999999999</v>
      </c>
      <c r="AP29">
        <v>36</v>
      </c>
      <c r="AQ29">
        <v>12182.4</v>
      </c>
      <c r="AR29">
        <v>35</v>
      </c>
      <c r="AS29">
        <v>11844</v>
      </c>
      <c r="AT29">
        <v>35</v>
      </c>
      <c r="AU29">
        <v>11844</v>
      </c>
      <c r="AV29">
        <v>31</v>
      </c>
      <c r="AW29">
        <v>10490.4</v>
      </c>
      <c r="AX29">
        <v>35</v>
      </c>
      <c r="AY29">
        <v>11844</v>
      </c>
      <c r="AZ29">
        <v>24</v>
      </c>
      <c r="BA29">
        <v>8121.5999999999995</v>
      </c>
      <c r="BB29">
        <v>34</v>
      </c>
      <c r="BC29">
        <v>11505.599999999999</v>
      </c>
      <c r="BD29">
        <v>26</v>
      </c>
      <c r="BE29">
        <v>8798.4</v>
      </c>
      <c r="BF29">
        <v>27</v>
      </c>
      <c r="BG29">
        <v>9136.7999999999993</v>
      </c>
      <c r="BH29">
        <v>39</v>
      </c>
      <c r="BI29">
        <v>13197.599999999999</v>
      </c>
      <c r="BJ29">
        <v>27</v>
      </c>
      <c r="BK29">
        <v>9136.7999999999993</v>
      </c>
      <c r="BL29">
        <v>36</v>
      </c>
      <c r="BM29">
        <v>12182.4</v>
      </c>
      <c r="BN29">
        <v>30</v>
      </c>
      <c r="BO29">
        <v>10152</v>
      </c>
      <c r="BP29">
        <v>28</v>
      </c>
      <c r="BQ29">
        <v>9475.1999999999989</v>
      </c>
      <c r="BR29">
        <v>22</v>
      </c>
      <c r="BS29">
        <v>7444.7999999999993</v>
      </c>
      <c r="BT29">
        <v>27</v>
      </c>
      <c r="BU29">
        <v>9136.7999999999993</v>
      </c>
      <c r="BV29">
        <v>35</v>
      </c>
      <c r="BW29">
        <v>11844</v>
      </c>
      <c r="BX29">
        <v>38</v>
      </c>
      <c r="BY29">
        <v>12859.199999999999</v>
      </c>
      <c r="BZ29">
        <v>22</v>
      </c>
      <c r="CA29">
        <v>7444.7999999999993</v>
      </c>
      <c r="CB29">
        <v>35</v>
      </c>
      <c r="CC29">
        <v>11844</v>
      </c>
      <c r="CD29">
        <v>29</v>
      </c>
      <c r="CE29">
        <v>9813.5999999999985</v>
      </c>
      <c r="CF29">
        <v>27</v>
      </c>
      <c r="CG29">
        <v>9136.7999999999993</v>
      </c>
      <c r="CH29">
        <v>34</v>
      </c>
      <c r="CI29">
        <v>11505.599999999999</v>
      </c>
      <c r="CJ29">
        <v>27</v>
      </c>
      <c r="CK29">
        <v>9136.7999999999993</v>
      </c>
      <c r="CL29">
        <v>35</v>
      </c>
      <c r="CM29">
        <v>11844</v>
      </c>
      <c r="CN29">
        <v>37</v>
      </c>
      <c r="CO29">
        <v>12520.8</v>
      </c>
      <c r="CP29">
        <v>38</v>
      </c>
      <c r="CQ29">
        <v>12859.199999999999</v>
      </c>
      <c r="CR29">
        <v>40</v>
      </c>
      <c r="CS29">
        <v>13536</v>
      </c>
      <c r="CT29">
        <v>27</v>
      </c>
      <c r="CU29">
        <v>9136.7999999999993</v>
      </c>
    </row>
    <row r="30" spans="2:99" x14ac:dyDescent="0.2">
      <c r="C30" s="116" t="s">
        <v>196</v>
      </c>
      <c r="D30">
        <v>33</v>
      </c>
      <c r="E30">
        <v>4593.5999999999995</v>
      </c>
      <c r="F30">
        <v>37</v>
      </c>
      <c r="G30">
        <v>5150.3999999999996</v>
      </c>
      <c r="H30">
        <v>35</v>
      </c>
      <c r="I30">
        <v>4872</v>
      </c>
      <c r="J30">
        <v>34</v>
      </c>
      <c r="K30">
        <v>4732.7999999999993</v>
      </c>
      <c r="L30">
        <v>33</v>
      </c>
      <c r="M30">
        <v>4593.5999999999995</v>
      </c>
      <c r="N30">
        <v>26</v>
      </c>
      <c r="O30">
        <v>3619.2</v>
      </c>
      <c r="P30">
        <v>33</v>
      </c>
      <c r="Q30">
        <v>4593.5999999999995</v>
      </c>
      <c r="R30">
        <v>27</v>
      </c>
      <c r="S30">
        <v>3758.3999999999996</v>
      </c>
      <c r="T30">
        <v>27</v>
      </c>
      <c r="U30">
        <v>3758.3999999999996</v>
      </c>
      <c r="V30">
        <v>42</v>
      </c>
      <c r="W30">
        <v>5846.4</v>
      </c>
      <c r="X30">
        <v>29</v>
      </c>
      <c r="Y30">
        <v>4036.7999999999997</v>
      </c>
      <c r="Z30">
        <v>32</v>
      </c>
      <c r="AA30">
        <v>4454.3999999999996</v>
      </c>
      <c r="AB30">
        <v>36</v>
      </c>
      <c r="AC30">
        <v>5011.2</v>
      </c>
      <c r="AD30">
        <v>22</v>
      </c>
      <c r="AE30">
        <v>3062.3999999999996</v>
      </c>
      <c r="AF30">
        <v>39</v>
      </c>
      <c r="AG30">
        <v>5428.7999999999993</v>
      </c>
      <c r="AH30">
        <v>36</v>
      </c>
      <c r="AI30">
        <v>5011.2</v>
      </c>
      <c r="AJ30">
        <v>21</v>
      </c>
      <c r="AK30">
        <v>2923.2</v>
      </c>
      <c r="AL30">
        <v>28</v>
      </c>
      <c r="AM30">
        <v>3897.5999999999995</v>
      </c>
      <c r="AN30">
        <v>34</v>
      </c>
      <c r="AO30">
        <v>4732.7999999999993</v>
      </c>
      <c r="AP30">
        <v>34</v>
      </c>
      <c r="AQ30">
        <v>4732.7999999999993</v>
      </c>
      <c r="AR30">
        <v>37</v>
      </c>
      <c r="AS30">
        <v>5150.3999999999996</v>
      </c>
      <c r="AT30">
        <v>33</v>
      </c>
      <c r="AU30">
        <v>4593.5999999999995</v>
      </c>
      <c r="AV30">
        <v>36</v>
      </c>
      <c r="AW30">
        <v>5011.2</v>
      </c>
      <c r="AX30">
        <v>35</v>
      </c>
      <c r="AY30">
        <v>4872</v>
      </c>
      <c r="AZ30">
        <v>21</v>
      </c>
      <c r="BA30">
        <v>2923.2</v>
      </c>
      <c r="BB30">
        <v>36</v>
      </c>
      <c r="BC30">
        <v>5011.2</v>
      </c>
      <c r="BD30">
        <v>28</v>
      </c>
      <c r="BE30">
        <v>3897.5999999999995</v>
      </c>
      <c r="BF30">
        <v>26</v>
      </c>
      <c r="BG30">
        <v>3619.2</v>
      </c>
      <c r="BH30">
        <v>42</v>
      </c>
      <c r="BI30">
        <v>5846.4</v>
      </c>
      <c r="BJ30">
        <v>28</v>
      </c>
      <c r="BK30">
        <v>3897.5999999999995</v>
      </c>
      <c r="BL30">
        <v>35</v>
      </c>
      <c r="BM30">
        <v>4872</v>
      </c>
      <c r="BN30">
        <v>30</v>
      </c>
      <c r="BO30">
        <v>4176</v>
      </c>
      <c r="BP30">
        <v>24</v>
      </c>
      <c r="BQ30">
        <v>3340.7999999999997</v>
      </c>
      <c r="BR30">
        <v>23</v>
      </c>
      <c r="BS30">
        <v>3201.6</v>
      </c>
      <c r="BT30">
        <v>23</v>
      </c>
      <c r="BU30">
        <v>3201.6</v>
      </c>
      <c r="BV30">
        <v>34</v>
      </c>
      <c r="BW30">
        <v>4732.7999999999993</v>
      </c>
      <c r="BX30">
        <v>38</v>
      </c>
      <c r="BY30">
        <v>5289.5999999999995</v>
      </c>
      <c r="BZ30">
        <v>22</v>
      </c>
      <c r="CA30">
        <v>3062.3999999999996</v>
      </c>
      <c r="CB30">
        <v>37</v>
      </c>
      <c r="CC30">
        <v>5150.3999999999996</v>
      </c>
      <c r="CD30">
        <v>27</v>
      </c>
      <c r="CE30">
        <v>3758.3999999999996</v>
      </c>
      <c r="CF30">
        <v>30</v>
      </c>
      <c r="CG30">
        <v>4176</v>
      </c>
      <c r="CH30">
        <v>32</v>
      </c>
      <c r="CI30">
        <v>4454.3999999999996</v>
      </c>
      <c r="CJ30">
        <v>27</v>
      </c>
      <c r="CK30">
        <v>3758.3999999999996</v>
      </c>
      <c r="CL30">
        <v>34</v>
      </c>
      <c r="CM30">
        <v>4732.7999999999993</v>
      </c>
      <c r="CN30">
        <v>42</v>
      </c>
      <c r="CO30">
        <v>5846.4</v>
      </c>
      <c r="CP30">
        <v>35</v>
      </c>
      <c r="CQ30">
        <v>4872</v>
      </c>
      <c r="CR30">
        <v>42</v>
      </c>
      <c r="CS30">
        <v>5846.4</v>
      </c>
      <c r="CT30">
        <v>25</v>
      </c>
      <c r="CU30">
        <v>3479.9999999999995</v>
      </c>
    </row>
    <row r="31" spans="2:99" x14ac:dyDescent="0.2">
      <c r="C31" s="116" t="s">
        <v>197</v>
      </c>
      <c r="D31">
        <v>35</v>
      </c>
      <c r="E31">
        <v>11928</v>
      </c>
      <c r="F31">
        <v>37</v>
      </c>
      <c r="G31">
        <v>12609.6</v>
      </c>
      <c r="H31">
        <v>37</v>
      </c>
      <c r="I31">
        <v>12609.6</v>
      </c>
      <c r="J31">
        <v>32</v>
      </c>
      <c r="K31">
        <v>10905.6</v>
      </c>
      <c r="L31">
        <v>33</v>
      </c>
      <c r="M31">
        <v>11246.4</v>
      </c>
      <c r="N31">
        <v>27</v>
      </c>
      <c r="O31">
        <v>9201.6</v>
      </c>
      <c r="P31">
        <v>34</v>
      </c>
      <c r="Q31">
        <v>11587.2</v>
      </c>
      <c r="R31">
        <v>23</v>
      </c>
      <c r="S31">
        <v>7838.4000000000005</v>
      </c>
      <c r="T31">
        <v>29</v>
      </c>
      <c r="U31">
        <v>9883.2000000000007</v>
      </c>
      <c r="V31">
        <v>37</v>
      </c>
      <c r="W31">
        <v>12609.6</v>
      </c>
      <c r="X31">
        <v>29</v>
      </c>
      <c r="Y31">
        <v>9883.2000000000007</v>
      </c>
      <c r="Z31">
        <v>30</v>
      </c>
      <c r="AA31">
        <v>10224</v>
      </c>
      <c r="AB31">
        <v>36</v>
      </c>
      <c r="AC31">
        <v>12268.800000000001</v>
      </c>
      <c r="AD31">
        <v>25</v>
      </c>
      <c r="AE31">
        <v>8520</v>
      </c>
      <c r="AF31">
        <v>39</v>
      </c>
      <c r="AG31">
        <v>13291.2</v>
      </c>
      <c r="AH31">
        <v>38</v>
      </c>
      <c r="AI31">
        <v>12950.4</v>
      </c>
      <c r="AJ31">
        <v>19</v>
      </c>
      <c r="AK31">
        <v>6475.2</v>
      </c>
      <c r="AL31">
        <v>31</v>
      </c>
      <c r="AM31">
        <v>10564.800000000001</v>
      </c>
      <c r="AN31">
        <v>36</v>
      </c>
      <c r="AO31">
        <v>12268.800000000001</v>
      </c>
      <c r="AP31">
        <v>33</v>
      </c>
      <c r="AQ31">
        <v>11246.4</v>
      </c>
      <c r="AR31">
        <v>31</v>
      </c>
      <c r="AS31">
        <v>10564.800000000001</v>
      </c>
      <c r="AT31">
        <v>32</v>
      </c>
      <c r="AU31">
        <v>10905.6</v>
      </c>
      <c r="AV31">
        <v>36</v>
      </c>
      <c r="AW31">
        <v>12268.800000000001</v>
      </c>
      <c r="AX31">
        <v>31</v>
      </c>
      <c r="AY31">
        <v>10564.800000000001</v>
      </c>
      <c r="AZ31">
        <v>25</v>
      </c>
      <c r="BA31">
        <v>8520</v>
      </c>
      <c r="BB31">
        <v>35</v>
      </c>
      <c r="BC31">
        <v>11928</v>
      </c>
      <c r="BD31">
        <v>27</v>
      </c>
      <c r="BE31">
        <v>9201.6</v>
      </c>
      <c r="BF31">
        <v>24</v>
      </c>
      <c r="BG31">
        <v>8179.2000000000007</v>
      </c>
      <c r="BH31">
        <v>34</v>
      </c>
      <c r="BI31">
        <v>11587.2</v>
      </c>
      <c r="BJ31">
        <v>27</v>
      </c>
      <c r="BK31">
        <v>9201.6</v>
      </c>
      <c r="BL31">
        <v>40</v>
      </c>
      <c r="BM31">
        <v>13632</v>
      </c>
      <c r="BN31">
        <v>31</v>
      </c>
      <c r="BO31">
        <v>10564.800000000001</v>
      </c>
      <c r="BP31">
        <v>28</v>
      </c>
      <c r="BQ31">
        <v>9542.4</v>
      </c>
      <c r="BR31">
        <v>22</v>
      </c>
      <c r="BS31">
        <v>7497.6</v>
      </c>
      <c r="BT31">
        <v>25</v>
      </c>
      <c r="BU31">
        <v>8520</v>
      </c>
      <c r="BV31">
        <v>38</v>
      </c>
      <c r="BW31">
        <v>12950.4</v>
      </c>
      <c r="BX31">
        <v>38</v>
      </c>
      <c r="BY31">
        <v>12950.4</v>
      </c>
      <c r="BZ31">
        <v>22</v>
      </c>
      <c r="CA31">
        <v>7497.6</v>
      </c>
      <c r="CB31">
        <v>35</v>
      </c>
      <c r="CC31">
        <v>11928</v>
      </c>
      <c r="CD31">
        <v>30</v>
      </c>
      <c r="CE31">
        <v>10224</v>
      </c>
      <c r="CF31">
        <v>27</v>
      </c>
      <c r="CG31">
        <v>9201.6</v>
      </c>
      <c r="CH31">
        <v>34</v>
      </c>
      <c r="CI31">
        <v>11587.2</v>
      </c>
      <c r="CJ31">
        <v>29</v>
      </c>
      <c r="CK31">
        <v>9883.2000000000007</v>
      </c>
      <c r="CL31">
        <v>38</v>
      </c>
      <c r="CM31">
        <v>12950.4</v>
      </c>
      <c r="CN31">
        <v>39</v>
      </c>
      <c r="CO31">
        <v>13291.2</v>
      </c>
      <c r="CP31">
        <v>37</v>
      </c>
      <c r="CQ31">
        <v>12609.6</v>
      </c>
      <c r="CR31">
        <v>38</v>
      </c>
      <c r="CS31">
        <v>12950.4</v>
      </c>
      <c r="CT31">
        <v>27</v>
      </c>
      <c r="CU31">
        <v>9201.6</v>
      </c>
    </row>
    <row r="32" spans="2:99" x14ac:dyDescent="0.2">
      <c r="C32" s="116" t="s">
        <v>198</v>
      </c>
      <c r="D32">
        <v>29</v>
      </c>
      <c r="E32">
        <v>24360</v>
      </c>
      <c r="F32">
        <v>37</v>
      </c>
      <c r="G32">
        <v>31080</v>
      </c>
      <c r="H32">
        <v>32</v>
      </c>
      <c r="I32">
        <v>26880</v>
      </c>
      <c r="J32">
        <v>32</v>
      </c>
      <c r="K32">
        <v>26880</v>
      </c>
      <c r="L32">
        <v>29</v>
      </c>
      <c r="M32">
        <v>24360</v>
      </c>
      <c r="N32">
        <v>27</v>
      </c>
      <c r="O32">
        <v>22680</v>
      </c>
      <c r="P32">
        <v>28</v>
      </c>
      <c r="Q32">
        <v>23520</v>
      </c>
      <c r="R32">
        <v>22</v>
      </c>
      <c r="S32">
        <v>18480</v>
      </c>
      <c r="T32">
        <v>28</v>
      </c>
      <c r="U32">
        <v>23520</v>
      </c>
      <c r="V32">
        <v>36</v>
      </c>
      <c r="W32">
        <v>30240</v>
      </c>
      <c r="X32">
        <v>29</v>
      </c>
      <c r="Y32">
        <v>24360</v>
      </c>
      <c r="Z32">
        <v>28</v>
      </c>
      <c r="AA32">
        <v>23520</v>
      </c>
      <c r="AB32">
        <v>36</v>
      </c>
      <c r="AC32">
        <v>30240</v>
      </c>
      <c r="AD32">
        <v>23</v>
      </c>
      <c r="AE32">
        <v>19320</v>
      </c>
      <c r="AF32">
        <v>36</v>
      </c>
      <c r="AG32">
        <v>30240</v>
      </c>
      <c r="AH32">
        <v>34</v>
      </c>
      <c r="AI32">
        <v>28560</v>
      </c>
      <c r="AJ32">
        <v>21</v>
      </c>
      <c r="AK32">
        <v>17640</v>
      </c>
      <c r="AL32">
        <v>28</v>
      </c>
      <c r="AM32">
        <v>23520</v>
      </c>
      <c r="AN32">
        <v>34</v>
      </c>
      <c r="AO32">
        <v>28560</v>
      </c>
      <c r="AP32">
        <v>31</v>
      </c>
      <c r="AQ32">
        <v>26040</v>
      </c>
      <c r="AR32">
        <v>34</v>
      </c>
      <c r="AS32">
        <v>28560</v>
      </c>
      <c r="AT32">
        <v>33</v>
      </c>
      <c r="AU32">
        <v>27720</v>
      </c>
      <c r="AV32">
        <v>34</v>
      </c>
      <c r="AW32">
        <v>28560</v>
      </c>
      <c r="AX32">
        <v>28</v>
      </c>
      <c r="AY32">
        <v>23520</v>
      </c>
      <c r="AZ32">
        <v>23</v>
      </c>
      <c r="BA32">
        <v>19320</v>
      </c>
      <c r="BB32">
        <v>35</v>
      </c>
      <c r="BC32">
        <v>29400</v>
      </c>
      <c r="BD32">
        <v>25</v>
      </c>
      <c r="BE32">
        <v>21000</v>
      </c>
      <c r="BF32">
        <v>24</v>
      </c>
      <c r="BG32">
        <v>20160</v>
      </c>
      <c r="BH32">
        <v>39</v>
      </c>
      <c r="BI32">
        <v>32760</v>
      </c>
      <c r="BJ32">
        <v>29</v>
      </c>
      <c r="BK32">
        <v>24360</v>
      </c>
      <c r="BL32">
        <v>37</v>
      </c>
      <c r="BM32">
        <v>31080</v>
      </c>
      <c r="BN32">
        <v>30</v>
      </c>
      <c r="BO32">
        <v>25200</v>
      </c>
      <c r="BP32">
        <v>22</v>
      </c>
      <c r="BQ32">
        <v>18480</v>
      </c>
      <c r="BR32">
        <v>20</v>
      </c>
      <c r="BS32">
        <v>16800</v>
      </c>
      <c r="BT32">
        <v>21</v>
      </c>
      <c r="BU32">
        <v>17640</v>
      </c>
      <c r="BV32">
        <v>36</v>
      </c>
      <c r="BW32">
        <v>30240</v>
      </c>
      <c r="BX32">
        <v>39</v>
      </c>
      <c r="BY32">
        <v>32760</v>
      </c>
      <c r="BZ32">
        <v>21</v>
      </c>
      <c r="CA32">
        <v>17640</v>
      </c>
      <c r="CB32">
        <v>32</v>
      </c>
      <c r="CC32">
        <v>26880</v>
      </c>
      <c r="CD32">
        <v>28</v>
      </c>
      <c r="CE32">
        <v>23520</v>
      </c>
      <c r="CF32">
        <v>24</v>
      </c>
      <c r="CG32">
        <v>20160</v>
      </c>
      <c r="CH32">
        <v>35</v>
      </c>
      <c r="CI32">
        <v>29400</v>
      </c>
      <c r="CJ32">
        <v>26</v>
      </c>
      <c r="CK32">
        <v>21840</v>
      </c>
      <c r="CL32">
        <v>38</v>
      </c>
      <c r="CM32">
        <v>31920</v>
      </c>
      <c r="CN32">
        <v>36</v>
      </c>
      <c r="CO32">
        <v>30240</v>
      </c>
      <c r="CP32">
        <v>33</v>
      </c>
      <c r="CQ32">
        <v>27720</v>
      </c>
      <c r="CR32">
        <v>37</v>
      </c>
      <c r="CS32">
        <v>31080</v>
      </c>
      <c r="CT32">
        <v>25</v>
      </c>
      <c r="CU32">
        <v>21000</v>
      </c>
    </row>
    <row r="33" spans="2:99" x14ac:dyDescent="0.2">
      <c r="C33" s="116" t="s">
        <v>199</v>
      </c>
      <c r="D33">
        <v>36</v>
      </c>
      <c r="E33">
        <v>17064</v>
      </c>
      <c r="F33">
        <v>35</v>
      </c>
      <c r="G33">
        <v>16590</v>
      </c>
      <c r="H33">
        <v>34</v>
      </c>
      <c r="I33">
        <v>16116</v>
      </c>
      <c r="J33">
        <v>36</v>
      </c>
      <c r="K33">
        <v>17064</v>
      </c>
      <c r="L33">
        <v>35</v>
      </c>
      <c r="M33">
        <v>16590</v>
      </c>
      <c r="N33">
        <v>29</v>
      </c>
      <c r="O33">
        <v>13746</v>
      </c>
      <c r="P33">
        <v>35</v>
      </c>
      <c r="Q33">
        <v>16590</v>
      </c>
      <c r="R33">
        <v>23</v>
      </c>
      <c r="S33">
        <v>10902</v>
      </c>
      <c r="T33">
        <v>26</v>
      </c>
      <c r="U33">
        <v>12324</v>
      </c>
      <c r="V33">
        <v>34</v>
      </c>
      <c r="W33">
        <v>16116</v>
      </c>
      <c r="X33">
        <v>29</v>
      </c>
      <c r="Y33">
        <v>13746</v>
      </c>
      <c r="Z33">
        <v>32</v>
      </c>
      <c r="AA33">
        <v>15168</v>
      </c>
      <c r="AB33">
        <v>38</v>
      </c>
      <c r="AC33">
        <v>18012</v>
      </c>
      <c r="AD33">
        <v>22</v>
      </c>
      <c r="AE33">
        <v>10428</v>
      </c>
      <c r="AF33">
        <v>38</v>
      </c>
      <c r="AG33">
        <v>18012</v>
      </c>
      <c r="AH33">
        <v>34</v>
      </c>
      <c r="AI33">
        <v>16116</v>
      </c>
      <c r="AJ33">
        <v>21</v>
      </c>
      <c r="AK33">
        <v>9954</v>
      </c>
      <c r="AL33">
        <v>28</v>
      </c>
      <c r="AM33">
        <v>13272</v>
      </c>
      <c r="AN33">
        <v>33</v>
      </c>
      <c r="AO33">
        <v>15642</v>
      </c>
      <c r="AP33">
        <v>34</v>
      </c>
      <c r="AQ33">
        <v>16116</v>
      </c>
      <c r="AR33">
        <v>33</v>
      </c>
      <c r="AS33">
        <v>15642</v>
      </c>
      <c r="AT33">
        <v>30</v>
      </c>
      <c r="AU33">
        <v>14220</v>
      </c>
      <c r="AV33">
        <v>32</v>
      </c>
      <c r="AW33">
        <v>15168</v>
      </c>
      <c r="AX33">
        <v>34</v>
      </c>
      <c r="AY33">
        <v>16116</v>
      </c>
      <c r="AZ33">
        <v>23</v>
      </c>
      <c r="BA33">
        <v>10902</v>
      </c>
      <c r="BB33">
        <v>39</v>
      </c>
      <c r="BC33">
        <v>18486</v>
      </c>
      <c r="BD33">
        <v>26</v>
      </c>
      <c r="BE33">
        <v>12324</v>
      </c>
      <c r="BF33">
        <v>23</v>
      </c>
      <c r="BG33">
        <v>10902</v>
      </c>
      <c r="BH33">
        <v>39</v>
      </c>
      <c r="BI33">
        <v>18486</v>
      </c>
      <c r="BJ33">
        <v>27</v>
      </c>
      <c r="BK33">
        <v>12798</v>
      </c>
      <c r="BL33">
        <v>37</v>
      </c>
      <c r="BM33">
        <v>17538</v>
      </c>
      <c r="BN33">
        <v>29</v>
      </c>
      <c r="BO33">
        <v>13746</v>
      </c>
      <c r="BP33">
        <v>25</v>
      </c>
      <c r="BQ33">
        <v>11850</v>
      </c>
      <c r="BR33">
        <v>20</v>
      </c>
      <c r="BS33">
        <v>9480</v>
      </c>
      <c r="BT33">
        <v>24</v>
      </c>
      <c r="BU33">
        <v>11376</v>
      </c>
      <c r="BV33">
        <v>36</v>
      </c>
      <c r="BW33">
        <v>17064</v>
      </c>
      <c r="BX33">
        <v>36</v>
      </c>
      <c r="BY33">
        <v>17064</v>
      </c>
      <c r="BZ33">
        <v>23</v>
      </c>
      <c r="CA33">
        <v>10902</v>
      </c>
      <c r="CB33">
        <v>35</v>
      </c>
      <c r="CC33">
        <v>16590</v>
      </c>
      <c r="CD33">
        <v>31</v>
      </c>
      <c r="CE33">
        <v>14694</v>
      </c>
      <c r="CF33">
        <v>26</v>
      </c>
      <c r="CG33">
        <v>12324</v>
      </c>
      <c r="CH33">
        <v>37</v>
      </c>
      <c r="CI33">
        <v>17538</v>
      </c>
      <c r="CJ33">
        <v>27</v>
      </c>
      <c r="CK33">
        <v>12798</v>
      </c>
      <c r="CL33">
        <v>35</v>
      </c>
      <c r="CM33">
        <v>16590</v>
      </c>
      <c r="CN33">
        <v>35</v>
      </c>
      <c r="CO33">
        <v>16590</v>
      </c>
      <c r="CP33">
        <v>34</v>
      </c>
      <c r="CQ33">
        <v>16116</v>
      </c>
      <c r="CR33">
        <v>34</v>
      </c>
      <c r="CS33">
        <v>16116</v>
      </c>
      <c r="CT33">
        <v>25</v>
      </c>
      <c r="CU33">
        <v>11850</v>
      </c>
    </row>
    <row r="34" spans="2:99" x14ac:dyDescent="0.2">
      <c r="C34" s="116" t="s">
        <v>200</v>
      </c>
      <c r="D34">
        <v>30</v>
      </c>
      <c r="E34">
        <v>16452</v>
      </c>
      <c r="F34">
        <v>36</v>
      </c>
      <c r="G34">
        <v>19742.399999999998</v>
      </c>
      <c r="H34">
        <v>38</v>
      </c>
      <c r="I34">
        <v>20839.2</v>
      </c>
      <c r="J34">
        <v>32</v>
      </c>
      <c r="K34">
        <v>17548.8</v>
      </c>
      <c r="L34">
        <v>31</v>
      </c>
      <c r="M34">
        <v>17000.399999999998</v>
      </c>
      <c r="N34">
        <v>29</v>
      </c>
      <c r="O34">
        <v>15903.599999999999</v>
      </c>
      <c r="P34">
        <v>29</v>
      </c>
      <c r="Q34">
        <v>15903.599999999999</v>
      </c>
      <c r="R34">
        <v>23</v>
      </c>
      <c r="S34">
        <v>12613.199999999999</v>
      </c>
      <c r="T34">
        <v>26</v>
      </c>
      <c r="U34">
        <v>14258.4</v>
      </c>
      <c r="V34">
        <v>36</v>
      </c>
      <c r="W34">
        <v>19742.399999999998</v>
      </c>
      <c r="X34">
        <v>28</v>
      </c>
      <c r="Y34">
        <v>15355.199999999999</v>
      </c>
      <c r="Z34">
        <v>29</v>
      </c>
      <c r="AA34">
        <v>15903.599999999999</v>
      </c>
      <c r="AB34">
        <v>37</v>
      </c>
      <c r="AC34">
        <v>20290.8</v>
      </c>
      <c r="AD34">
        <v>24</v>
      </c>
      <c r="AE34">
        <v>13161.599999999999</v>
      </c>
      <c r="AF34">
        <v>38</v>
      </c>
      <c r="AG34">
        <v>20839.2</v>
      </c>
      <c r="AH34">
        <v>35</v>
      </c>
      <c r="AI34">
        <v>19194</v>
      </c>
      <c r="AJ34">
        <v>20</v>
      </c>
      <c r="AK34">
        <v>10968</v>
      </c>
      <c r="AL34">
        <v>31</v>
      </c>
      <c r="AM34">
        <v>17000.399999999998</v>
      </c>
      <c r="AN34">
        <v>35</v>
      </c>
      <c r="AO34">
        <v>19194</v>
      </c>
      <c r="AP34">
        <v>34</v>
      </c>
      <c r="AQ34">
        <v>18645.599999999999</v>
      </c>
      <c r="AR34">
        <v>32</v>
      </c>
      <c r="AS34">
        <v>17548.8</v>
      </c>
      <c r="AT34">
        <v>32</v>
      </c>
      <c r="AU34">
        <v>17548.8</v>
      </c>
      <c r="AV34">
        <v>34</v>
      </c>
      <c r="AW34">
        <v>18645.599999999999</v>
      </c>
      <c r="AX34">
        <v>29</v>
      </c>
      <c r="AY34">
        <v>15903.599999999999</v>
      </c>
      <c r="AZ34">
        <v>20</v>
      </c>
      <c r="BA34">
        <v>10968</v>
      </c>
      <c r="BB34">
        <v>36</v>
      </c>
      <c r="BC34">
        <v>19742.399999999998</v>
      </c>
      <c r="BD34">
        <v>24</v>
      </c>
      <c r="BE34">
        <v>13161.599999999999</v>
      </c>
      <c r="BF34">
        <v>24</v>
      </c>
      <c r="BG34">
        <v>13161.599999999999</v>
      </c>
      <c r="BH34">
        <v>36</v>
      </c>
      <c r="BI34">
        <v>19742.399999999998</v>
      </c>
      <c r="BJ34">
        <v>27</v>
      </c>
      <c r="BK34">
        <v>14806.8</v>
      </c>
      <c r="BL34">
        <v>38</v>
      </c>
      <c r="BM34">
        <v>20839.2</v>
      </c>
      <c r="BN34">
        <v>32</v>
      </c>
      <c r="BO34">
        <v>17548.8</v>
      </c>
      <c r="BP34">
        <v>27</v>
      </c>
      <c r="BQ34">
        <v>14806.8</v>
      </c>
      <c r="BR34">
        <v>21</v>
      </c>
      <c r="BS34">
        <v>11516.4</v>
      </c>
      <c r="BT34">
        <v>26</v>
      </c>
      <c r="BU34">
        <v>14258.4</v>
      </c>
      <c r="BV34">
        <v>34</v>
      </c>
      <c r="BW34">
        <v>18645.599999999999</v>
      </c>
      <c r="BX34">
        <v>39</v>
      </c>
      <c r="BY34">
        <v>21387.599999999999</v>
      </c>
      <c r="BZ34">
        <v>21</v>
      </c>
      <c r="CA34">
        <v>11516.4</v>
      </c>
      <c r="CB34">
        <v>37</v>
      </c>
      <c r="CC34">
        <v>20290.8</v>
      </c>
      <c r="CD34">
        <v>31</v>
      </c>
      <c r="CE34">
        <v>17000.399999999998</v>
      </c>
      <c r="CF34">
        <v>25</v>
      </c>
      <c r="CG34">
        <v>13710</v>
      </c>
      <c r="CH34">
        <v>35</v>
      </c>
      <c r="CI34">
        <v>19194</v>
      </c>
      <c r="CJ34">
        <v>26</v>
      </c>
      <c r="CK34">
        <v>14258.4</v>
      </c>
      <c r="CL34">
        <v>39</v>
      </c>
      <c r="CM34">
        <v>21387.599999999999</v>
      </c>
      <c r="CN34">
        <v>40</v>
      </c>
      <c r="CO34">
        <v>21936</v>
      </c>
      <c r="CP34">
        <v>32</v>
      </c>
      <c r="CQ34">
        <v>17548.8</v>
      </c>
      <c r="CR34">
        <v>37</v>
      </c>
      <c r="CS34">
        <v>20290.8</v>
      </c>
      <c r="CT34">
        <v>26</v>
      </c>
      <c r="CU34">
        <v>14258.4</v>
      </c>
    </row>
    <row r="35" spans="2:99" x14ac:dyDescent="0.2">
      <c r="C35" s="116" t="s">
        <v>201</v>
      </c>
      <c r="D35">
        <v>31</v>
      </c>
      <c r="E35">
        <v>15586.799999999997</v>
      </c>
      <c r="F35">
        <v>35</v>
      </c>
      <c r="G35">
        <v>17597.999999999996</v>
      </c>
      <c r="H35">
        <v>32</v>
      </c>
      <c r="I35">
        <v>16089.599999999997</v>
      </c>
      <c r="J35">
        <v>34</v>
      </c>
      <c r="K35">
        <v>17095.199999999997</v>
      </c>
      <c r="L35">
        <v>35</v>
      </c>
      <c r="M35">
        <v>17597.999999999996</v>
      </c>
      <c r="N35">
        <v>30</v>
      </c>
      <c r="O35">
        <v>15083.999999999996</v>
      </c>
      <c r="P35">
        <v>31</v>
      </c>
      <c r="Q35">
        <v>15586.799999999997</v>
      </c>
      <c r="R35">
        <v>23</v>
      </c>
      <c r="S35">
        <v>11564.399999999998</v>
      </c>
      <c r="T35">
        <v>26</v>
      </c>
      <c r="U35">
        <v>13072.799999999997</v>
      </c>
      <c r="V35">
        <v>39</v>
      </c>
      <c r="W35">
        <v>19609.199999999997</v>
      </c>
      <c r="X35">
        <v>28</v>
      </c>
      <c r="Y35">
        <v>14078.399999999998</v>
      </c>
      <c r="Z35">
        <v>31</v>
      </c>
      <c r="AA35">
        <v>15586.799999999997</v>
      </c>
      <c r="AB35">
        <v>33</v>
      </c>
      <c r="AC35">
        <v>16592.399999999998</v>
      </c>
      <c r="AD35">
        <v>23</v>
      </c>
      <c r="AE35">
        <v>11564.399999999998</v>
      </c>
      <c r="AF35">
        <v>33</v>
      </c>
      <c r="AG35">
        <v>16592.399999999998</v>
      </c>
      <c r="AH35">
        <v>32</v>
      </c>
      <c r="AI35">
        <v>16089.599999999997</v>
      </c>
      <c r="AJ35">
        <v>19</v>
      </c>
      <c r="AK35">
        <v>9553.1999999999989</v>
      </c>
      <c r="AL35">
        <v>26</v>
      </c>
      <c r="AM35">
        <v>13072.799999999997</v>
      </c>
      <c r="AN35">
        <v>34</v>
      </c>
      <c r="AO35">
        <v>17095.199999999997</v>
      </c>
      <c r="AP35">
        <v>34</v>
      </c>
      <c r="AQ35">
        <v>17095.199999999997</v>
      </c>
      <c r="AR35">
        <v>33</v>
      </c>
      <c r="AS35">
        <v>16592.399999999998</v>
      </c>
      <c r="AT35">
        <v>33</v>
      </c>
      <c r="AU35">
        <v>16592.399999999998</v>
      </c>
      <c r="AV35">
        <v>32</v>
      </c>
      <c r="AW35">
        <v>16089.599999999997</v>
      </c>
      <c r="AX35">
        <v>30</v>
      </c>
      <c r="AY35">
        <v>15083.999999999996</v>
      </c>
      <c r="AZ35">
        <v>23</v>
      </c>
      <c r="BA35">
        <v>11564.399999999998</v>
      </c>
      <c r="BB35">
        <v>37</v>
      </c>
      <c r="BC35">
        <v>18603.599999999995</v>
      </c>
      <c r="BD35">
        <v>24</v>
      </c>
      <c r="BE35">
        <v>12067.199999999997</v>
      </c>
      <c r="BF35">
        <v>24</v>
      </c>
      <c r="BG35">
        <v>12067.199999999997</v>
      </c>
      <c r="BH35">
        <v>40</v>
      </c>
      <c r="BI35">
        <v>20111.999999999996</v>
      </c>
      <c r="BJ35">
        <v>30</v>
      </c>
      <c r="BK35">
        <v>15083.999999999996</v>
      </c>
      <c r="BL35">
        <v>40</v>
      </c>
      <c r="BM35">
        <v>20111.999999999996</v>
      </c>
      <c r="BN35">
        <v>34</v>
      </c>
      <c r="BO35">
        <v>17095.199999999997</v>
      </c>
      <c r="BP35">
        <v>24</v>
      </c>
      <c r="BQ35">
        <v>12067.199999999997</v>
      </c>
      <c r="BR35">
        <v>24</v>
      </c>
      <c r="BS35">
        <v>12067.199999999997</v>
      </c>
      <c r="BT35">
        <v>22</v>
      </c>
      <c r="BU35">
        <v>11061.599999999999</v>
      </c>
      <c r="BV35">
        <v>36</v>
      </c>
      <c r="BW35">
        <v>18100.799999999996</v>
      </c>
      <c r="BX35">
        <v>40</v>
      </c>
      <c r="BY35">
        <v>20111.999999999996</v>
      </c>
      <c r="BZ35">
        <v>23</v>
      </c>
      <c r="CA35">
        <v>11564.399999999998</v>
      </c>
      <c r="CB35">
        <v>39</v>
      </c>
      <c r="CC35">
        <v>19609.199999999997</v>
      </c>
      <c r="CD35">
        <v>27</v>
      </c>
      <c r="CE35">
        <v>13575.599999999997</v>
      </c>
      <c r="CF35">
        <v>26</v>
      </c>
      <c r="CG35">
        <v>13072.799999999997</v>
      </c>
      <c r="CH35">
        <v>33</v>
      </c>
      <c r="CI35">
        <v>16592.399999999998</v>
      </c>
      <c r="CJ35">
        <v>28</v>
      </c>
      <c r="CK35">
        <v>14078.399999999998</v>
      </c>
      <c r="CL35">
        <v>36</v>
      </c>
      <c r="CM35">
        <v>18100.799999999996</v>
      </c>
      <c r="CN35">
        <v>39</v>
      </c>
      <c r="CO35">
        <v>19609.199999999997</v>
      </c>
      <c r="CP35">
        <v>33</v>
      </c>
      <c r="CQ35">
        <v>16592.399999999998</v>
      </c>
      <c r="CR35">
        <v>40</v>
      </c>
      <c r="CS35">
        <v>20111.999999999996</v>
      </c>
      <c r="CT35">
        <v>26</v>
      </c>
      <c r="CU35">
        <v>13072.799999999997</v>
      </c>
    </row>
    <row r="36" spans="2:99" x14ac:dyDescent="0.2">
      <c r="C36" s="116" t="s">
        <v>202</v>
      </c>
      <c r="D36">
        <v>34</v>
      </c>
      <c r="E36">
        <v>25867.199999999997</v>
      </c>
      <c r="F36">
        <v>32</v>
      </c>
      <c r="G36">
        <v>24345.599999999999</v>
      </c>
      <c r="H36">
        <v>31</v>
      </c>
      <c r="I36">
        <v>23584.799999999999</v>
      </c>
      <c r="J36">
        <v>34</v>
      </c>
      <c r="K36">
        <v>25867.199999999997</v>
      </c>
      <c r="L36">
        <v>33</v>
      </c>
      <c r="M36">
        <v>25106.399999999998</v>
      </c>
      <c r="N36">
        <v>26</v>
      </c>
      <c r="O36">
        <v>19780.8</v>
      </c>
      <c r="P36">
        <v>34</v>
      </c>
      <c r="Q36">
        <v>25867.199999999997</v>
      </c>
      <c r="R36">
        <v>24</v>
      </c>
      <c r="S36">
        <v>18259.199999999997</v>
      </c>
      <c r="T36">
        <v>29</v>
      </c>
      <c r="U36">
        <v>22063.199999999997</v>
      </c>
      <c r="V36">
        <v>33</v>
      </c>
      <c r="W36">
        <v>25106.399999999998</v>
      </c>
      <c r="X36">
        <v>27</v>
      </c>
      <c r="Y36">
        <v>20541.599999999999</v>
      </c>
      <c r="Z36">
        <v>31</v>
      </c>
      <c r="AA36">
        <v>23584.799999999999</v>
      </c>
      <c r="AB36">
        <v>32</v>
      </c>
      <c r="AC36">
        <v>24345.599999999999</v>
      </c>
      <c r="AD36">
        <v>24</v>
      </c>
      <c r="AE36">
        <v>18259.199999999997</v>
      </c>
      <c r="AF36">
        <v>35</v>
      </c>
      <c r="AG36">
        <v>26628</v>
      </c>
      <c r="AH36">
        <v>35</v>
      </c>
      <c r="AI36">
        <v>26628</v>
      </c>
      <c r="AJ36">
        <v>19</v>
      </c>
      <c r="AK36">
        <v>14455.199999999999</v>
      </c>
      <c r="AL36">
        <v>29</v>
      </c>
      <c r="AM36">
        <v>22063.199999999997</v>
      </c>
      <c r="AN36">
        <v>32</v>
      </c>
      <c r="AO36">
        <v>24345.599999999999</v>
      </c>
      <c r="AP36">
        <v>31</v>
      </c>
      <c r="AQ36">
        <v>23584.799999999999</v>
      </c>
      <c r="AR36">
        <v>33</v>
      </c>
      <c r="AS36">
        <v>25106.399999999998</v>
      </c>
      <c r="AT36">
        <v>29</v>
      </c>
      <c r="AU36">
        <v>22063.199999999997</v>
      </c>
      <c r="AV36">
        <v>34</v>
      </c>
      <c r="AW36">
        <v>25867.199999999997</v>
      </c>
      <c r="AX36">
        <v>34</v>
      </c>
      <c r="AY36">
        <v>25867.199999999997</v>
      </c>
      <c r="AZ36">
        <v>22</v>
      </c>
      <c r="BA36">
        <v>16737.599999999999</v>
      </c>
      <c r="BB36">
        <v>32</v>
      </c>
      <c r="BC36">
        <v>24345.599999999999</v>
      </c>
      <c r="BD36">
        <v>24</v>
      </c>
      <c r="BE36">
        <v>18259.199999999997</v>
      </c>
      <c r="BF36">
        <v>25</v>
      </c>
      <c r="BG36">
        <v>19020</v>
      </c>
      <c r="BH36">
        <v>36</v>
      </c>
      <c r="BI36">
        <v>27388.799999999999</v>
      </c>
      <c r="BJ36">
        <v>26</v>
      </c>
      <c r="BK36">
        <v>19780.8</v>
      </c>
      <c r="BL36">
        <v>34</v>
      </c>
      <c r="BM36">
        <v>25867.199999999997</v>
      </c>
      <c r="BN36">
        <v>33</v>
      </c>
      <c r="BO36">
        <v>25106.399999999998</v>
      </c>
      <c r="BP36">
        <v>25</v>
      </c>
      <c r="BQ36">
        <v>19020</v>
      </c>
      <c r="BR36">
        <v>20</v>
      </c>
      <c r="BS36">
        <v>15216</v>
      </c>
      <c r="BT36">
        <v>22</v>
      </c>
      <c r="BU36">
        <v>16737.599999999999</v>
      </c>
      <c r="BV36">
        <v>35</v>
      </c>
      <c r="BW36">
        <v>26628</v>
      </c>
      <c r="BX36">
        <v>37</v>
      </c>
      <c r="BY36">
        <v>28149.599999999999</v>
      </c>
      <c r="BZ36">
        <v>19</v>
      </c>
      <c r="CA36">
        <v>14455.199999999999</v>
      </c>
      <c r="CB36">
        <v>34</v>
      </c>
      <c r="CC36">
        <v>25867.199999999997</v>
      </c>
      <c r="CD36">
        <v>27</v>
      </c>
      <c r="CE36">
        <v>20541.599999999999</v>
      </c>
      <c r="CF36">
        <v>26</v>
      </c>
      <c r="CG36">
        <v>19780.8</v>
      </c>
      <c r="CH36">
        <v>37</v>
      </c>
      <c r="CI36">
        <v>28149.599999999999</v>
      </c>
      <c r="CJ36">
        <v>25</v>
      </c>
      <c r="CK36">
        <v>19020</v>
      </c>
      <c r="CL36">
        <v>38</v>
      </c>
      <c r="CM36">
        <v>28910.399999999998</v>
      </c>
      <c r="CN36">
        <v>39</v>
      </c>
      <c r="CO36">
        <v>29671.199999999997</v>
      </c>
      <c r="CP36">
        <v>34</v>
      </c>
      <c r="CQ36">
        <v>25867.199999999997</v>
      </c>
      <c r="CR36">
        <v>37</v>
      </c>
      <c r="CS36">
        <v>28149.599999999999</v>
      </c>
      <c r="CT36">
        <v>26</v>
      </c>
      <c r="CU36">
        <v>19780.8</v>
      </c>
    </row>
    <row r="37" spans="2:99" x14ac:dyDescent="0.2">
      <c r="B37" s="116" t="s">
        <v>128</v>
      </c>
      <c r="C37" s="116" t="s">
        <v>203</v>
      </c>
      <c r="D37">
        <v>25</v>
      </c>
      <c r="E37">
        <v>21510</v>
      </c>
      <c r="F37">
        <v>21</v>
      </c>
      <c r="G37">
        <v>18068.399999999998</v>
      </c>
      <c r="H37">
        <v>23</v>
      </c>
      <c r="I37">
        <v>19789.2</v>
      </c>
      <c r="J37">
        <v>22</v>
      </c>
      <c r="K37">
        <v>18928.8</v>
      </c>
      <c r="L37">
        <v>22</v>
      </c>
      <c r="M37">
        <v>18928.8</v>
      </c>
      <c r="N37">
        <v>15</v>
      </c>
      <c r="O37">
        <v>12906</v>
      </c>
      <c r="P37">
        <v>23</v>
      </c>
      <c r="Q37">
        <v>19789.2</v>
      </c>
      <c r="R37">
        <v>14</v>
      </c>
      <c r="S37">
        <v>12045.6</v>
      </c>
      <c r="T37">
        <v>25</v>
      </c>
      <c r="U37">
        <v>21510</v>
      </c>
      <c r="V37">
        <v>15</v>
      </c>
      <c r="W37">
        <v>12906</v>
      </c>
      <c r="X37">
        <v>17</v>
      </c>
      <c r="Y37">
        <v>14626.8</v>
      </c>
      <c r="Z37">
        <v>21</v>
      </c>
      <c r="AA37">
        <v>18068.399999999998</v>
      </c>
      <c r="AB37">
        <v>16</v>
      </c>
      <c r="AC37">
        <v>13766.4</v>
      </c>
      <c r="AD37">
        <v>26</v>
      </c>
      <c r="AE37">
        <v>22370.399999999998</v>
      </c>
      <c r="AF37">
        <v>20</v>
      </c>
      <c r="AG37">
        <v>17208</v>
      </c>
      <c r="AH37">
        <v>28</v>
      </c>
      <c r="AI37">
        <v>24091.200000000001</v>
      </c>
      <c r="AJ37">
        <v>17</v>
      </c>
      <c r="AK37">
        <v>14626.8</v>
      </c>
      <c r="AL37">
        <v>14</v>
      </c>
      <c r="AM37">
        <v>12045.6</v>
      </c>
      <c r="AN37">
        <v>20</v>
      </c>
      <c r="AO37">
        <v>17208</v>
      </c>
      <c r="AP37">
        <v>23</v>
      </c>
      <c r="AQ37">
        <v>19789.2</v>
      </c>
      <c r="AR37">
        <v>23</v>
      </c>
      <c r="AS37">
        <v>19789.2</v>
      </c>
      <c r="AT37">
        <v>19</v>
      </c>
      <c r="AU37">
        <v>16347.6</v>
      </c>
      <c r="AV37">
        <v>26</v>
      </c>
      <c r="AW37">
        <v>22370.399999999998</v>
      </c>
      <c r="AX37">
        <v>18</v>
      </c>
      <c r="AY37">
        <v>15487.199999999999</v>
      </c>
      <c r="AZ37">
        <v>18</v>
      </c>
      <c r="BA37">
        <v>15487.199999999999</v>
      </c>
      <c r="BB37">
        <v>21</v>
      </c>
      <c r="BC37">
        <v>18068.399999999998</v>
      </c>
      <c r="BD37">
        <v>17</v>
      </c>
      <c r="BE37">
        <v>14626.8</v>
      </c>
      <c r="BF37">
        <v>15</v>
      </c>
      <c r="BG37">
        <v>12906</v>
      </c>
      <c r="BH37">
        <v>23</v>
      </c>
      <c r="BI37">
        <v>19789.2</v>
      </c>
      <c r="BJ37">
        <v>17</v>
      </c>
      <c r="BK37">
        <v>14626.8</v>
      </c>
      <c r="BL37">
        <v>20</v>
      </c>
      <c r="BM37">
        <v>17208</v>
      </c>
      <c r="BN37">
        <v>28</v>
      </c>
      <c r="BO37">
        <v>24091.200000000001</v>
      </c>
      <c r="BP37">
        <v>25</v>
      </c>
      <c r="BQ37">
        <v>21510</v>
      </c>
      <c r="BR37">
        <v>22</v>
      </c>
      <c r="BS37">
        <v>18928.8</v>
      </c>
      <c r="BT37">
        <v>18</v>
      </c>
      <c r="BU37">
        <v>15487.199999999999</v>
      </c>
      <c r="BV37">
        <v>15</v>
      </c>
      <c r="BW37">
        <v>12906</v>
      </c>
      <c r="BX37">
        <v>24</v>
      </c>
      <c r="BY37">
        <v>20649.599999999999</v>
      </c>
      <c r="BZ37">
        <v>21</v>
      </c>
      <c r="CA37">
        <v>18068.399999999998</v>
      </c>
      <c r="CB37">
        <v>29</v>
      </c>
      <c r="CC37">
        <v>24951.599999999999</v>
      </c>
      <c r="CD37">
        <v>14</v>
      </c>
      <c r="CE37">
        <v>12045.6</v>
      </c>
      <c r="CF37">
        <v>22</v>
      </c>
      <c r="CG37">
        <v>18928.8</v>
      </c>
      <c r="CH37">
        <v>29</v>
      </c>
      <c r="CI37">
        <v>24951.599999999999</v>
      </c>
      <c r="CJ37">
        <v>20</v>
      </c>
      <c r="CK37">
        <v>17208</v>
      </c>
      <c r="CL37">
        <v>22</v>
      </c>
      <c r="CM37">
        <v>18928.8</v>
      </c>
      <c r="CN37">
        <v>18</v>
      </c>
      <c r="CO37">
        <v>15487.199999999999</v>
      </c>
      <c r="CP37">
        <v>20</v>
      </c>
      <c r="CQ37">
        <v>17208</v>
      </c>
      <c r="CR37">
        <v>30</v>
      </c>
      <c r="CS37">
        <v>25812</v>
      </c>
      <c r="CT37">
        <v>24</v>
      </c>
      <c r="CU37">
        <v>20649.599999999999</v>
      </c>
    </row>
    <row r="38" spans="2:99" x14ac:dyDescent="0.2">
      <c r="C38" s="116" t="s">
        <v>204</v>
      </c>
      <c r="D38">
        <v>24</v>
      </c>
      <c r="E38">
        <v>29808</v>
      </c>
      <c r="F38">
        <v>20</v>
      </c>
      <c r="G38">
        <v>24840</v>
      </c>
      <c r="H38">
        <v>23</v>
      </c>
      <c r="I38">
        <v>28566</v>
      </c>
      <c r="J38">
        <v>24</v>
      </c>
      <c r="K38">
        <v>29808</v>
      </c>
      <c r="L38">
        <v>22</v>
      </c>
      <c r="M38">
        <v>27324</v>
      </c>
      <c r="N38">
        <v>14</v>
      </c>
      <c r="O38">
        <v>17388</v>
      </c>
      <c r="P38">
        <v>21</v>
      </c>
      <c r="Q38">
        <v>26082</v>
      </c>
      <c r="R38">
        <v>13</v>
      </c>
      <c r="S38">
        <v>16146</v>
      </c>
      <c r="T38">
        <v>21</v>
      </c>
      <c r="U38">
        <v>26082</v>
      </c>
      <c r="V38">
        <v>14</v>
      </c>
      <c r="W38">
        <v>17388</v>
      </c>
      <c r="X38">
        <v>17</v>
      </c>
      <c r="Y38">
        <v>21114</v>
      </c>
      <c r="Z38">
        <v>22</v>
      </c>
      <c r="AA38">
        <v>27324</v>
      </c>
      <c r="AB38">
        <v>16</v>
      </c>
      <c r="AC38">
        <v>19872</v>
      </c>
      <c r="AD38">
        <v>24</v>
      </c>
      <c r="AE38">
        <v>29808</v>
      </c>
      <c r="AF38">
        <v>17</v>
      </c>
      <c r="AG38">
        <v>21114</v>
      </c>
      <c r="AH38">
        <v>24</v>
      </c>
      <c r="AI38">
        <v>29808</v>
      </c>
      <c r="AJ38">
        <v>15</v>
      </c>
      <c r="AK38">
        <v>18630</v>
      </c>
      <c r="AL38">
        <v>14</v>
      </c>
      <c r="AM38">
        <v>17388</v>
      </c>
      <c r="AN38">
        <v>20</v>
      </c>
      <c r="AO38">
        <v>24840</v>
      </c>
      <c r="AP38">
        <v>19</v>
      </c>
      <c r="AQ38">
        <v>23598</v>
      </c>
      <c r="AR38">
        <v>21</v>
      </c>
      <c r="AS38">
        <v>26082</v>
      </c>
      <c r="AT38">
        <v>17</v>
      </c>
      <c r="AU38">
        <v>21114</v>
      </c>
      <c r="AV38">
        <v>26</v>
      </c>
      <c r="AW38">
        <v>32292</v>
      </c>
      <c r="AX38">
        <v>15</v>
      </c>
      <c r="AY38">
        <v>18630</v>
      </c>
      <c r="AZ38">
        <v>17</v>
      </c>
      <c r="BA38">
        <v>21114</v>
      </c>
      <c r="BB38">
        <v>21</v>
      </c>
      <c r="BC38">
        <v>26082</v>
      </c>
      <c r="BD38">
        <v>17</v>
      </c>
      <c r="BE38">
        <v>21114</v>
      </c>
      <c r="BF38">
        <v>15</v>
      </c>
      <c r="BG38">
        <v>18630</v>
      </c>
      <c r="BH38">
        <v>21</v>
      </c>
      <c r="BI38">
        <v>26082</v>
      </c>
      <c r="BJ38">
        <v>16</v>
      </c>
      <c r="BK38">
        <v>19872</v>
      </c>
      <c r="BL38">
        <v>21</v>
      </c>
      <c r="BM38">
        <v>26082</v>
      </c>
      <c r="BN38">
        <v>27</v>
      </c>
      <c r="BO38">
        <v>33534</v>
      </c>
      <c r="BP38">
        <v>22</v>
      </c>
      <c r="BQ38">
        <v>27324</v>
      </c>
      <c r="BR38">
        <v>19</v>
      </c>
      <c r="BS38">
        <v>23598</v>
      </c>
      <c r="BT38">
        <v>17</v>
      </c>
      <c r="BU38">
        <v>21114</v>
      </c>
      <c r="BV38">
        <v>14</v>
      </c>
      <c r="BW38">
        <v>17388</v>
      </c>
      <c r="BX38">
        <v>25</v>
      </c>
      <c r="BY38">
        <v>31050</v>
      </c>
      <c r="BZ38">
        <v>19</v>
      </c>
      <c r="CA38">
        <v>23598</v>
      </c>
      <c r="CB38">
        <v>28</v>
      </c>
      <c r="CC38">
        <v>34776</v>
      </c>
      <c r="CD38">
        <v>15</v>
      </c>
      <c r="CE38">
        <v>18630</v>
      </c>
      <c r="CF38">
        <v>23</v>
      </c>
      <c r="CG38">
        <v>28566</v>
      </c>
      <c r="CH38">
        <v>24</v>
      </c>
      <c r="CI38">
        <v>29808</v>
      </c>
      <c r="CJ38">
        <v>21</v>
      </c>
      <c r="CK38">
        <v>26082</v>
      </c>
      <c r="CL38">
        <v>25</v>
      </c>
      <c r="CM38">
        <v>31050</v>
      </c>
      <c r="CN38">
        <v>16</v>
      </c>
      <c r="CO38">
        <v>19872</v>
      </c>
      <c r="CP38">
        <v>17</v>
      </c>
      <c r="CQ38">
        <v>21114</v>
      </c>
      <c r="CR38">
        <v>24</v>
      </c>
      <c r="CS38">
        <v>29808</v>
      </c>
      <c r="CT38">
        <v>21</v>
      </c>
      <c r="CU38">
        <v>26082</v>
      </c>
    </row>
    <row r="39" spans="2:99" x14ac:dyDescent="0.2">
      <c r="C39" s="116" t="s">
        <v>205</v>
      </c>
      <c r="D39">
        <v>21</v>
      </c>
      <c r="E39">
        <v>29887.200000000001</v>
      </c>
      <c r="F39">
        <v>17</v>
      </c>
      <c r="G39">
        <v>24194.400000000001</v>
      </c>
      <c r="H39">
        <v>25</v>
      </c>
      <c r="I39">
        <v>35580</v>
      </c>
      <c r="J39">
        <v>20</v>
      </c>
      <c r="K39">
        <v>28464</v>
      </c>
      <c r="L39">
        <v>21</v>
      </c>
      <c r="M39">
        <v>29887.200000000001</v>
      </c>
      <c r="N39">
        <v>16</v>
      </c>
      <c r="O39">
        <v>22771.200000000001</v>
      </c>
      <c r="P39">
        <v>22</v>
      </c>
      <c r="Q39">
        <v>31310.400000000001</v>
      </c>
      <c r="R39">
        <v>15</v>
      </c>
      <c r="S39">
        <v>21348</v>
      </c>
      <c r="T39">
        <v>23</v>
      </c>
      <c r="U39">
        <v>32733.600000000002</v>
      </c>
      <c r="V39">
        <v>14</v>
      </c>
      <c r="W39">
        <v>19924.8</v>
      </c>
      <c r="X39">
        <v>17</v>
      </c>
      <c r="Y39">
        <v>24194.400000000001</v>
      </c>
      <c r="Z39">
        <v>21</v>
      </c>
      <c r="AA39">
        <v>29887.200000000001</v>
      </c>
      <c r="AB39">
        <v>17</v>
      </c>
      <c r="AC39">
        <v>24194.400000000001</v>
      </c>
      <c r="AD39">
        <v>21</v>
      </c>
      <c r="AE39">
        <v>29887.200000000001</v>
      </c>
      <c r="AF39">
        <v>17</v>
      </c>
      <c r="AG39">
        <v>24194.400000000001</v>
      </c>
      <c r="AH39">
        <v>25</v>
      </c>
      <c r="AI39">
        <v>35580</v>
      </c>
      <c r="AJ39">
        <v>17</v>
      </c>
      <c r="AK39">
        <v>24194.400000000001</v>
      </c>
      <c r="AL39">
        <v>15</v>
      </c>
      <c r="AM39">
        <v>21348</v>
      </c>
      <c r="AN39">
        <v>19</v>
      </c>
      <c r="AO39">
        <v>27040.799999999999</v>
      </c>
      <c r="AP39">
        <v>19</v>
      </c>
      <c r="AQ39">
        <v>27040.799999999999</v>
      </c>
      <c r="AR39">
        <v>20</v>
      </c>
      <c r="AS39">
        <v>28464</v>
      </c>
      <c r="AT39">
        <v>15</v>
      </c>
      <c r="AU39">
        <v>21348</v>
      </c>
      <c r="AV39">
        <v>24</v>
      </c>
      <c r="AW39">
        <v>34156.800000000003</v>
      </c>
      <c r="AX39">
        <v>16</v>
      </c>
      <c r="AY39">
        <v>22771.200000000001</v>
      </c>
      <c r="AZ39">
        <v>19</v>
      </c>
      <c r="BA39">
        <v>27040.799999999999</v>
      </c>
      <c r="BB39">
        <v>20</v>
      </c>
      <c r="BC39">
        <v>28464</v>
      </c>
      <c r="BD39">
        <v>16</v>
      </c>
      <c r="BE39">
        <v>22771.200000000001</v>
      </c>
      <c r="BF39">
        <v>14</v>
      </c>
      <c r="BG39">
        <v>19924.8</v>
      </c>
      <c r="BH39">
        <v>19</v>
      </c>
      <c r="BI39">
        <v>27040.799999999999</v>
      </c>
      <c r="BJ39">
        <v>15</v>
      </c>
      <c r="BK39">
        <v>21348</v>
      </c>
      <c r="BL39">
        <v>17</v>
      </c>
      <c r="BM39">
        <v>24194.400000000001</v>
      </c>
      <c r="BN39">
        <v>26</v>
      </c>
      <c r="BO39">
        <v>37003.200000000004</v>
      </c>
      <c r="BP39">
        <v>23</v>
      </c>
      <c r="BQ39">
        <v>32733.600000000002</v>
      </c>
      <c r="BR39">
        <v>20</v>
      </c>
      <c r="BS39">
        <v>28464</v>
      </c>
      <c r="BT39">
        <v>15</v>
      </c>
      <c r="BU39">
        <v>21348</v>
      </c>
      <c r="BV39">
        <v>14</v>
      </c>
      <c r="BW39">
        <v>19924.8</v>
      </c>
      <c r="BX39">
        <v>21</v>
      </c>
      <c r="BY39">
        <v>29887.200000000001</v>
      </c>
      <c r="BZ39">
        <v>18</v>
      </c>
      <c r="CA39">
        <v>25617.600000000002</v>
      </c>
      <c r="CB39">
        <v>28</v>
      </c>
      <c r="CC39">
        <v>39849.599999999999</v>
      </c>
      <c r="CD39">
        <v>14</v>
      </c>
      <c r="CE39">
        <v>19924.8</v>
      </c>
      <c r="CF39">
        <v>23</v>
      </c>
      <c r="CG39">
        <v>32733.600000000002</v>
      </c>
      <c r="CH39">
        <v>25</v>
      </c>
      <c r="CI39">
        <v>35580</v>
      </c>
      <c r="CJ39">
        <v>21</v>
      </c>
      <c r="CK39">
        <v>29887.200000000001</v>
      </c>
      <c r="CL39">
        <v>21</v>
      </c>
      <c r="CM39">
        <v>29887.200000000001</v>
      </c>
      <c r="CN39">
        <v>14</v>
      </c>
      <c r="CO39">
        <v>19924.8</v>
      </c>
      <c r="CP39">
        <v>17</v>
      </c>
      <c r="CQ39">
        <v>24194.400000000001</v>
      </c>
      <c r="CR39">
        <v>28</v>
      </c>
      <c r="CS39">
        <v>39849.599999999999</v>
      </c>
      <c r="CT39">
        <v>24</v>
      </c>
      <c r="CU39">
        <v>34156.800000000003</v>
      </c>
    </row>
    <row r="40" spans="2:99" x14ac:dyDescent="0.2">
      <c r="C40" s="116" t="s">
        <v>206</v>
      </c>
      <c r="D40">
        <v>23</v>
      </c>
      <c r="E40">
        <v>16670.399999999998</v>
      </c>
      <c r="F40">
        <v>20</v>
      </c>
      <c r="G40">
        <v>14496</v>
      </c>
      <c r="H40">
        <v>24</v>
      </c>
      <c r="I40">
        <v>17395.199999999997</v>
      </c>
      <c r="J40">
        <v>25</v>
      </c>
      <c r="K40">
        <v>18120</v>
      </c>
      <c r="L40">
        <v>23</v>
      </c>
      <c r="M40">
        <v>16670.399999999998</v>
      </c>
      <c r="N40">
        <v>15</v>
      </c>
      <c r="O40">
        <v>10872</v>
      </c>
      <c r="P40">
        <v>22</v>
      </c>
      <c r="Q40">
        <v>15945.599999999999</v>
      </c>
      <c r="R40">
        <v>16</v>
      </c>
      <c r="S40">
        <v>11596.8</v>
      </c>
      <c r="T40">
        <v>23</v>
      </c>
      <c r="U40">
        <v>16670.399999999998</v>
      </c>
      <c r="V40">
        <v>15</v>
      </c>
      <c r="W40">
        <v>10872</v>
      </c>
      <c r="X40">
        <v>20</v>
      </c>
      <c r="Y40">
        <v>14496</v>
      </c>
      <c r="Z40">
        <v>21</v>
      </c>
      <c r="AA40">
        <v>15220.8</v>
      </c>
      <c r="AB40">
        <v>17</v>
      </c>
      <c r="AC40">
        <v>12321.599999999999</v>
      </c>
      <c r="AD40">
        <v>23</v>
      </c>
      <c r="AE40">
        <v>16670.399999999998</v>
      </c>
      <c r="AF40">
        <v>19</v>
      </c>
      <c r="AG40">
        <v>13771.199999999999</v>
      </c>
      <c r="AH40">
        <v>29</v>
      </c>
      <c r="AI40">
        <v>21019.199999999997</v>
      </c>
      <c r="AJ40">
        <v>16</v>
      </c>
      <c r="AK40">
        <v>11596.8</v>
      </c>
      <c r="AL40">
        <v>14</v>
      </c>
      <c r="AM40">
        <v>10147.199999999999</v>
      </c>
      <c r="AN40">
        <v>21</v>
      </c>
      <c r="AO40">
        <v>15220.8</v>
      </c>
      <c r="AP40">
        <v>21</v>
      </c>
      <c r="AQ40">
        <v>15220.8</v>
      </c>
      <c r="AR40">
        <v>21</v>
      </c>
      <c r="AS40">
        <v>15220.8</v>
      </c>
      <c r="AT40">
        <v>17</v>
      </c>
      <c r="AU40">
        <v>12321.599999999999</v>
      </c>
      <c r="AV40">
        <v>23</v>
      </c>
      <c r="AW40">
        <v>16670.399999999998</v>
      </c>
      <c r="AX40">
        <v>17</v>
      </c>
      <c r="AY40">
        <v>12321.599999999999</v>
      </c>
      <c r="AZ40">
        <v>19</v>
      </c>
      <c r="BA40">
        <v>13771.199999999999</v>
      </c>
      <c r="BB40">
        <v>25</v>
      </c>
      <c r="BC40">
        <v>18120</v>
      </c>
      <c r="BD40">
        <v>20</v>
      </c>
      <c r="BE40">
        <v>14496</v>
      </c>
      <c r="BF40">
        <v>17</v>
      </c>
      <c r="BG40">
        <v>12321.599999999999</v>
      </c>
      <c r="BH40">
        <v>23</v>
      </c>
      <c r="BI40">
        <v>16670.399999999998</v>
      </c>
      <c r="BJ40">
        <v>18</v>
      </c>
      <c r="BK40">
        <v>13046.4</v>
      </c>
      <c r="BL40">
        <v>22</v>
      </c>
      <c r="BM40">
        <v>15945.599999999999</v>
      </c>
      <c r="BN40">
        <v>28</v>
      </c>
      <c r="BO40">
        <v>20294.399999999998</v>
      </c>
      <c r="BP40">
        <v>25</v>
      </c>
      <c r="BQ40">
        <v>18120</v>
      </c>
      <c r="BR40">
        <v>20</v>
      </c>
      <c r="BS40">
        <v>14496</v>
      </c>
      <c r="BT40">
        <v>18</v>
      </c>
      <c r="BU40">
        <v>13046.4</v>
      </c>
      <c r="BV40">
        <v>16</v>
      </c>
      <c r="BW40">
        <v>11596.8</v>
      </c>
      <c r="BX40">
        <v>27</v>
      </c>
      <c r="BY40">
        <v>19569.599999999999</v>
      </c>
      <c r="BZ40">
        <v>19</v>
      </c>
      <c r="CA40">
        <v>13771.199999999999</v>
      </c>
      <c r="CB40">
        <v>28</v>
      </c>
      <c r="CC40">
        <v>20294.399999999998</v>
      </c>
      <c r="CD40">
        <v>16</v>
      </c>
      <c r="CE40">
        <v>11596.8</v>
      </c>
      <c r="CF40">
        <v>25</v>
      </c>
      <c r="CG40">
        <v>18120</v>
      </c>
      <c r="CH40">
        <v>29</v>
      </c>
      <c r="CI40">
        <v>21019.199999999997</v>
      </c>
      <c r="CJ40">
        <v>20</v>
      </c>
      <c r="CK40">
        <v>14496</v>
      </c>
      <c r="CL40">
        <v>25</v>
      </c>
      <c r="CM40">
        <v>18120</v>
      </c>
      <c r="CN40">
        <v>16</v>
      </c>
      <c r="CO40">
        <v>11596.8</v>
      </c>
      <c r="CP40">
        <v>20</v>
      </c>
      <c r="CQ40">
        <v>14496</v>
      </c>
      <c r="CR40">
        <v>30</v>
      </c>
      <c r="CS40">
        <v>21744</v>
      </c>
      <c r="CT40">
        <v>26</v>
      </c>
      <c r="CU40">
        <v>18844.8</v>
      </c>
    </row>
    <row r="41" spans="2:99" x14ac:dyDescent="0.2">
      <c r="C41" s="116" t="s">
        <v>207</v>
      </c>
      <c r="D41">
        <v>22</v>
      </c>
      <c r="E41">
        <v>14520</v>
      </c>
      <c r="F41">
        <v>19</v>
      </c>
      <c r="G41">
        <v>12540</v>
      </c>
      <c r="H41">
        <v>27</v>
      </c>
      <c r="I41">
        <v>17820</v>
      </c>
      <c r="J41">
        <v>25</v>
      </c>
      <c r="K41">
        <v>16500</v>
      </c>
      <c r="L41">
        <v>22</v>
      </c>
      <c r="M41">
        <v>14520</v>
      </c>
      <c r="N41">
        <v>17</v>
      </c>
      <c r="O41">
        <v>11220</v>
      </c>
      <c r="P41">
        <v>25</v>
      </c>
      <c r="Q41">
        <v>16500</v>
      </c>
      <c r="R41">
        <v>16</v>
      </c>
      <c r="S41">
        <v>10560</v>
      </c>
      <c r="T41">
        <v>25</v>
      </c>
      <c r="U41">
        <v>16500</v>
      </c>
      <c r="V41">
        <v>15</v>
      </c>
      <c r="W41">
        <v>9900</v>
      </c>
      <c r="X41">
        <v>20</v>
      </c>
      <c r="Y41">
        <v>13200</v>
      </c>
      <c r="Z41">
        <v>23</v>
      </c>
      <c r="AA41">
        <v>15180</v>
      </c>
      <c r="AB41">
        <v>18</v>
      </c>
      <c r="AC41">
        <v>11880</v>
      </c>
      <c r="AD41">
        <v>27</v>
      </c>
      <c r="AE41">
        <v>17820</v>
      </c>
      <c r="AF41">
        <v>18</v>
      </c>
      <c r="AG41">
        <v>11880</v>
      </c>
      <c r="AH41">
        <v>29</v>
      </c>
      <c r="AI41">
        <v>19140</v>
      </c>
      <c r="AJ41">
        <v>16</v>
      </c>
      <c r="AK41">
        <v>10560</v>
      </c>
      <c r="AL41">
        <v>16</v>
      </c>
      <c r="AM41">
        <v>10560</v>
      </c>
      <c r="AN41">
        <v>20</v>
      </c>
      <c r="AO41">
        <v>13200</v>
      </c>
      <c r="AP41">
        <v>24</v>
      </c>
      <c r="AQ41">
        <v>15840</v>
      </c>
      <c r="AR41">
        <v>24</v>
      </c>
      <c r="AS41">
        <v>15840</v>
      </c>
      <c r="AT41">
        <v>17</v>
      </c>
      <c r="AU41">
        <v>11220</v>
      </c>
      <c r="AV41">
        <v>26</v>
      </c>
      <c r="AW41">
        <v>17160</v>
      </c>
      <c r="AX41">
        <v>16</v>
      </c>
      <c r="AY41">
        <v>10560</v>
      </c>
      <c r="AZ41">
        <v>18</v>
      </c>
      <c r="BA41">
        <v>11880</v>
      </c>
      <c r="BB41">
        <v>23</v>
      </c>
      <c r="BC41">
        <v>15180</v>
      </c>
      <c r="BD41">
        <v>18</v>
      </c>
      <c r="BE41">
        <v>11880</v>
      </c>
      <c r="BF41">
        <v>18</v>
      </c>
      <c r="BG41">
        <v>11880</v>
      </c>
      <c r="BH41">
        <v>23</v>
      </c>
      <c r="BI41">
        <v>15180</v>
      </c>
      <c r="BJ41">
        <v>17</v>
      </c>
      <c r="BK41">
        <v>11220</v>
      </c>
      <c r="BL41">
        <v>21</v>
      </c>
      <c r="BM41">
        <v>13860</v>
      </c>
      <c r="BN41">
        <v>29</v>
      </c>
      <c r="BO41">
        <v>19140</v>
      </c>
      <c r="BP41">
        <v>26</v>
      </c>
      <c r="BQ41">
        <v>17160</v>
      </c>
      <c r="BR41">
        <v>21</v>
      </c>
      <c r="BS41">
        <v>13860</v>
      </c>
      <c r="BT41">
        <v>18</v>
      </c>
      <c r="BU41">
        <v>11880</v>
      </c>
      <c r="BV41">
        <v>15</v>
      </c>
      <c r="BW41">
        <v>9900</v>
      </c>
      <c r="BX41">
        <v>23</v>
      </c>
      <c r="BY41">
        <v>15180</v>
      </c>
      <c r="BZ41">
        <v>20</v>
      </c>
      <c r="CA41">
        <v>13200</v>
      </c>
      <c r="CB41">
        <v>28</v>
      </c>
      <c r="CC41">
        <v>18480</v>
      </c>
      <c r="CD41">
        <v>16</v>
      </c>
      <c r="CE41">
        <v>10560</v>
      </c>
      <c r="CF41">
        <v>26</v>
      </c>
      <c r="CG41">
        <v>17160</v>
      </c>
      <c r="CH41">
        <v>30</v>
      </c>
      <c r="CI41">
        <v>19800</v>
      </c>
      <c r="CJ41">
        <v>23</v>
      </c>
      <c r="CK41">
        <v>15180</v>
      </c>
      <c r="CL41">
        <v>26</v>
      </c>
      <c r="CM41">
        <v>17160</v>
      </c>
      <c r="CN41">
        <v>15</v>
      </c>
      <c r="CO41">
        <v>9900</v>
      </c>
      <c r="CP41">
        <v>21</v>
      </c>
      <c r="CQ41">
        <v>13860</v>
      </c>
      <c r="CR41">
        <v>31</v>
      </c>
      <c r="CS41">
        <v>20460</v>
      </c>
      <c r="CT41">
        <v>24</v>
      </c>
      <c r="CU41">
        <v>15840</v>
      </c>
    </row>
    <row r="42" spans="2:99" x14ac:dyDescent="0.2">
      <c r="C42" s="116" t="s">
        <v>208</v>
      </c>
      <c r="D42">
        <v>24</v>
      </c>
      <c r="E42">
        <v>20304</v>
      </c>
      <c r="F42">
        <v>19</v>
      </c>
      <c r="G42">
        <v>16074</v>
      </c>
      <c r="H42">
        <v>23</v>
      </c>
      <c r="I42">
        <v>19458</v>
      </c>
      <c r="J42">
        <v>22</v>
      </c>
      <c r="K42">
        <v>18612</v>
      </c>
      <c r="L42">
        <v>23</v>
      </c>
      <c r="M42">
        <v>19458</v>
      </c>
      <c r="N42">
        <v>16</v>
      </c>
      <c r="O42">
        <v>13536</v>
      </c>
      <c r="P42">
        <v>24</v>
      </c>
      <c r="Q42">
        <v>20304</v>
      </c>
      <c r="R42">
        <v>14</v>
      </c>
      <c r="S42">
        <v>11844</v>
      </c>
      <c r="T42">
        <v>25</v>
      </c>
      <c r="U42">
        <v>21150</v>
      </c>
      <c r="V42">
        <v>13</v>
      </c>
      <c r="W42">
        <v>10998</v>
      </c>
      <c r="X42">
        <v>17</v>
      </c>
      <c r="Y42">
        <v>14382</v>
      </c>
      <c r="Z42">
        <v>22</v>
      </c>
      <c r="AA42">
        <v>18612</v>
      </c>
      <c r="AB42">
        <v>19</v>
      </c>
      <c r="AC42">
        <v>16074</v>
      </c>
      <c r="AD42">
        <v>26</v>
      </c>
      <c r="AE42">
        <v>21996</v>
      </c>
      <c r="AF42">
        <v>20</v>
      </c>
      <c r="AG42">
        <v>16920</v>
      </c>
      <c r="AH42">
        <v>26</v>
      </c>
      <c r="AI42">
        <v>21996</v>
      </c>
      <c r="AJ42">
        <v>17</v>
      </c>
      <c r="AK42">
        <v>14382</v>
      </c>
      <c r="AL42">
        <v>16</v>
      </c>
      <c r="AM42">
        <v>13536</v>
      </c>
      <c r="AN42">
        <v>19</v>
      </c>
      <c r="AO42">
        <v>16074</v>
      </c>
      <c r="AP42">
        <v>22</v>
      </c>
      <c r="AQ42">
        <v>18612</v>
      </c>
      <c r="AR42">
        <v>23</v>
      </c>
      <c r="AS42">
        <v>19458</v>
      </c>
      <c r="AT42">
        <v>19</v>
      </c>
      <c r="AU42">
        <v>16074</v>
      </c>
      <c r="AV42">
        <v>25</v>
      </c>
      <c r="AW42">
        <v>21150</v>
      </c>
      <c r="AX42">
        <v>17</v>
      </c>
      <c r="AY42">
        <v>14382</v>
      </c>
      <c r="AZ42">
        <v>17</v>
      </c>
      <c r="BA42">
        <v>14382</v>
      </c>
      <c r="BB42">
        <v>21</v>
      </c>
      <c r="BC42">
        <v>17766</v>
      </c>
      <c r="BD42">
        <v>18</v>
      </c>
      <c r="BE42">
        <v>15228</v>
      </c>
      <c r="BF42">
        <v>15</v>
      </c>
      <c r="BG42">
        <v>12690</v>
      </c>
      <c r="BH42">
        <v>22</v>
      </c>
      <c r="BI42">
        <v>18612</v>
      </c>
      <c r="BJ42">
        <v>17</v>
      </c>
      <c r="BK42">
        <v>14382</v>
      </c>
      <c r="BL42">
        <v>19</v>
      </c>
      <c r="BM42">
        <v>16074</v>
      </c>
      <c r="BN42">
        <v>27</v>
      </c>
      <c r="BO42">
        <v>22842</v>
      </c>
      <c r="BP42">
        <v>23</v>
      </c>
      <c r="BQ42">
        <v>19458</v>
      </c>
      <c r="BR42">
        <v>20</v>
      </c>
      <c r="BS42">
        <v>16920</v>
      </c>
      <c r="BT42">
        <v>16</v>
      </c>
      <c r="BU42">
        <v>13536</v>
      </c>
      <c r="BV42">
        <v>15</v>
      </c>
      <c r="BW42">
        <v>12690</v>
      </c>
      <c r="BX42">
        <v>24</v>
      </c>
      <c r="BY42">
        <v>20304</v>
      </c>
      <c r="BZ42">
        <v>20</v>
      </c>
      <c r="CA42">
        <v>16920</v>
      </c>
      <c r="CB42">
        <v>27</v>
      </c>
      <c r="CC42">
        <v>22842</v>
      </c>
      <c r="CD42">
        <v>14</v>
      </c>
      <c r="CE42">
        <v>11844</v>
      </c>
      <c r="CF42">
        <v>22</v>
      </c>
      <c r="CG42">
        <v>18612</v>
      </c>
      <c r="CH42">
        <v>25</v>
      </c>
      <c r="CI42">
        <v>21150</v>
      </c>
      <c r="CJ42">
        <v>24</v>
      </c>
      <c r="CK42">
        <v>20304</v>
      </c>
      <c r="CL42">
        <v>24</v>
      </c>
      <c r="CM42">
        <v>20304</v>
      </c>
      <c r="CN42">
        <v>17</v>
      </c>
      <c r="CO42">
        <v>14382</v>
      </c>
      <c r="CP42">
        <v>19</v>
      </c>
      <c r="CQ42">
        <v>16074</v>
      </c>
      <c r="CR42">
        <v>26</v>
      </c>
      <c r="CS42">
        <v>21996</v>
      </c>
      <c r="CT42">
        <v>25</v>
      </c>
      <c r="CU42">
        <v>21150</v>
      </c>
    </row>
    <row r="43" spans="2:99" x14ac:dyDescent="0.2">
      <c r="C43" s="116" t="s">
        <v>209</v>
      </c>
      <c r="D43">
        <v>25</v>
      </c>
      <c r="E43">
        <v>25560</v>
      </c>
      <c r="F43">
        <v>21</v>
      </c>
      <c r="G43">
        <v>21470.399999999998</v>
      </c>
      <c r="H43">
        <v>26</v>
      </c>
      <c r="I43">
        <v>26582.399999999998</v>
      </c>
      <c r="J43">
        <v>24</v>
      </c>
      <c r="K43">
        <v>24537.599999999999</v>
      </c>
      <c r="L43">
        <v>20</v>
      </c>
      <c r="M43">
        <v>20448</v>
      </c>
      <c r="N43">
        <v>16</v>
      </c>
      <c r="O43">
        <v>16358.4</v>
      </c>
      <c r="P43">
        <v>22</v>
      </c>
      <c r="Q43">
        <v>22492.799999999999</v>
      </c>
      <c r="R43">
        <v>15</v>
      </c>
      <c r="S43">
        <v>15336</v>
      </c>
      <c r="T43">
        <v>24</v>
      </c>
      <c r="U43">
        <v>24537.599999999999</v>
      </c>
      <c r="V43">
        <v>12</v>
      </c>
      <c r="W43">
        <v>12268.8</v>
      </c>
      <c r="X43">
        <v>17</v>
      </c>
      <c r="Y43">
        <v>17380.8</v>
      </c>
      <c r="Z43">
        <v>22</v>
      </c>
      <c r="AA43">
        <v>22492.799999999999</v>
      </c>
      <c r="AB43">
        <v>18</v>
      </c>
      <c r="AC43">
        <v>18403.2</v>
      </c>
      <c r="AD43">
        <v>22</v>
      </c>
      <c r="AE43">
        <v>22492.799999999999</v>
      </c>
      <c r="AF43">
        <v>17</v>
      </c>
      <c r="AG43">
        <v>17380.8</v>
      </c>
      <c r="AH43">
        <v>25</v>
      </c>
      <c r="AI43">
        <v>25560</v>
      </c>
      <c r="AJ43">
        <v>17</v>
      </c>
      <c r="AK43">
        <v>17380.8</v>
      </c>
      <c r="AL43">
        <v>14</v>
      </c>
      <c r="AM43">
        <v>14313.6</v>
      </c>
      <c r="AN43">
        <v>20</v>
      </c>
      <c r="AO43">
        <v>20448</v>
      </c>
      <c r="AP43">
        <v>21</v>
      </c>
      <c r="AQ43">
        <v>21470.399999999998</v>
      </c>
      <c r="AR43">
        <v>22</v>
      </c>
      <c r="AS43">
        <v>22492.799999999999</v>
      </c>
      <c r="AT43">
        <v>16</v>
      </c>
      <c r="AU43">
        <v>16358.4</v>
      </c>
      <c r="AV43">
        <v>24</v>
      </c>
      <c r="AW43">
        <v>24537.599999999999</v>
      </c>
      <c r="AX43">
        <v>16</v>
      </c>
      <c r="AY43">
        <v>16358.4</v>
      </c>
      <c r="AZ43">
        <v>20</v>
      </c>
      <c r="BA43">
        <v>20448</v>
      </c>
      <c r="BB43">
        <v>21</v>
      </c>
      <c r="BC43">
        <v>21470.399999999998</v>
      </c>
      <c r="BD43">
        <v>17</v>
      </c>
      <c r="BE43">
        <v>17380.8</v>
      </c>
      <c r="BF43">
        <v>15</v>
      </c>
      <c r="BG43">
        <v>15336</v>
      </c>
      <c r="BH43">
        <v>21</v>
      </c>
      <c r="BI43">
        <v>21470.399999999998</v>
      </c>
      <c r="BJ43">
        <v>17</v>
      </c>
      <c r="BK43">
        <v>17380.8</v>
      </c>
      <c r="BL43">
        <v>20</v>
      </c>
      <c r="BM43">
        <v>20448</v>
      </c>
      <c r="BN43">
        <v>27</v>
      </c>
      <c r="BO43">
        <v>27604.799999999999</v>
      </c>
      <c r="BP43">
        <v>24</v>
      </c>
      <c r="BQ43">
        <v>24537.599999999999</v>
      </c>
      <c r="BR43">
        <v>21</v>
      </c>
      <c r="BS43">
        <v>21470.399999999998</v>
      </c>
      <c r="BT43">
        <v>15</v>
      </c>
      <c r="BU43">
        <v>15336</v>
      </c>
      <c r="BV43">
        <v>13</v>
      </c>
      <c r="BW43">
        <v>13291.199999999999</v>
      </c>
      <c r="BX43">
        <v>22</v>
      </c>
      <c r="BY43">
        <v>22492.799999999999</v>
      </c>
      <c r="BZ43">
        <v>20</v>
      </c>
      <c r="CA43">
        <v>20448</v>
      </c>
      <c r="CB43">
        <v>29</v>
      </c>
      <c r="CC43">
        <v>29649.599999999999</v>
      </c>
      <c r="CD43">
        <v>16</v>
      </c>
      <c r="CE43">
        <v>16358.4</v>
      </c>
      <c r="CF43">
        <v>24</v>
      </c>
      <c r="CG43">
        <v>24537.599999999999</v>
      </c>
      <c r="CH43">
        <v>27</v>
      </c>
      <c r="CI43">
        <v>27604.799999999999</v>
      </c>
      <c r="CJ43">
        <v>24</v>
      </c>
      <c r="CK43">
        <v>24537.599999999999</v>
      </c>
      <c r="CL43">
        <v>22</v>
      </c>
      <c r="CM43">
        <v>22492.799999999999</v>
      </c>
      <c r="CN43">
        <v>14</v>
      </c>
      <c r="CO43">
        <v>14313.6</v>
      </c>
      <c r="CP43">
        <v>20</v>
      </c>
      <c r="CQ43">
        <v>20448</v>
      </c>
      <c r="CR43">
        <v>28</v>
      </c>
      <c r="CS43">
        <v>28627.200000000001</v>
      </c>
      <c r="CT43">
        <v>22</v>
      </c>
      <c r="CU43">
        <v>22492.799999999999</v>
      </c>
    </row>
    <row r="44" spans="2:99" x14ac:dyDescent="0.2">
      <c r="C44" s="116" t="s">
        <v>210</v>
      </c>
      <c r="D44">
        <v>24</v>
      </c>
      <c r="E44">
        <v>24537.599999999999</v>
      </c>
      <c r="F44">
        <v>20</v>
      </c>
      <c r="G44">
        <v>20448</v>
      </c>
      <c r="H44">
        <v>25</v>
      </c>
      <c r="I44">
        <v>25560</v>
      </c>
      <c r="J44">
        <v>23</v>
      </c>
      <c r="K44">
        <v>23515.200000000001</v>
      </c>
      <c r="L44">
        <v>19</v>
      </c>
      <c r="M44">
        <v>19425.599999999999</v>
      </c>
      <c r="N44">
        <v>15</v>
      </c>
      <c r="O44">
        <v>15336</v>
      </c>
      <c r="P44">
        <v>20</v>
      </c>
      <c r="Q44">
        <v>20448</v>
      </c>
      <c r="R44">
        <v>16</v>
      </c>
      <c r="S44">
        <v>16358.4</v>
      </c>
      <c r="T44">
        <v>24</v>
      </c>
      <c r="U44">
        <v>24537.599999999999</v>
      </c>
      <c r="V44">
        <v>12</v>
      </c>
      <c r="W44">
        <v>12268.8</v>
      </c>
      <c r="X44">
        <v>17</v>
      </c>
      <c r="Y44">
        <v>17380.8</v>
      </c>
      <c r="Z44">
        <v>21</v>
      </c>
      <c r="AA44">
        <v>21470.399999999998</v>
      </c>
      <c r="AB44">
        <v>19</v>
      </c>
      <c r="AC44">
        <v>19425.599999999999</v>
      </c>
      <c r="AD44">
        <v>25</v>
      </c>
      <c r="AE44">
        <v>25560</v>
      </c>
      <c r="AF44">
        <v>19</v>
      </c>
      <c r="AG44">
        <v>19425.599999999999</v>
      </c>
      <c r="AH44">
        <v>25</v>
      </c>
      <c r="AI44">
        <v>25560</v>
      </c>
      <c r="AJ44">
        <v>18</v>
      </c>
      <c r="AK44">
        <v>18403.2</v>
      </c>
      <c r="AL44">
        <v>15</v>
      </c>
      <c r="AM44">
        <v>15336</v>
      </c>
      <c r="AN44">
        <v>22</v>
      </c>
      <c r="AO44">
        <v>22492.799999999999</v>
      </c>
      <c r="AP44">
        <v>20</v>
      </c>
      <c r="AQ44">
        <v>20448</v>
      </c>
      <c r="AR44">
        <v>24</v>
      </c>
      <c r="AS44">
        <v>24537.599999999999</v>
      </c>
      <c r="AT44">
        <v>18</v>
      </c>
      <c r="AU44">
        <v>18403.2</v>
      </c>
      <c r="AV44">
        <v>25</v>
      </c>
      <c r="AW44">
        <v>25560</v>
      </c>
      <c r="AX44">
        <v>15</v>
      </c>
      <c r="AY44">
        <v>15336</v>
      </c>
      <c r="AZ44">
        <v>18</v>
      </c>
      <c r="BA44">
        <v>18403.2</v>
      </c>
      <c r="BB44">
        <v>23</v>
      </c>
      <c r="BC44">
        <v>23515.200000000001</v>
      </c>
      <c r="BD44">
        <v>18</v>
      </c>
      <c r="BE44">
        <v>18403.2</v>
      </c>
      <c r="BF44">
        <v>16</v>
      </c>
      <c r="BG44">
        <v>16358.4</v>
      </c>
      <c r="BH44">
        <v>23</v>
      </c>
      <c r="BI44">
        <v>23515.200000000001</v>
      </c>
      <c r="BJ44">
        <v>15</v>
      </c>
      <c r="BK44">
        <v>15336</v>
      </c>
      <c r="BL44">
        <v>21</v>
      </c>
      <c r="BM44">
        <v>21470.399999999998</v>
      </c>
      <c r="BN44">
        <v>25</v>
      </c>
      <c r="BO44">
        <v>25560</v>
      </c>
      <c r="BP44">
        <v>22</v>
      </c>
      <c r="BQ44">
        <v>22492.799999999999</v>
      </c>
      <c r="BR44">
        <v>21</v>
      </c>
      <c r="BS44">
        <v>21470.399999999998</v>
      </c>
      <c r="BT44">
        <v>15</v>
      </c>
      <c r="BU44">
        <v>15336</v>
      </c>
      <c r="BV44">
        <v>15</v>
      </c>
      <c r="BW44">
        <v>15336</v>
      </c>
      <c r="BX44">
        <v>24</v>
      </c>
      <c r="BY44">
        <v>24537.599999999999</v>
      </c>
      <c r="BZ44">
        <v>19</v>
      </c>
      <c r="CA44">
        <v>19425.599999999999</v>
      </c>
      <c r="CB44">
        <v>27</v>
      </c>
      <c r="CC44">
        <v>27604.799999999999</v>
      </c>
      <c r="CD44">
        <v>16</v>
      </c>
      <c r="CE44">
        <v>16358.4</v>
      </c>
      <c r="CF44">
        <v>25</v>
      </c>
      <c r="CG44">
        <v>25560</v>
      </c>
      <c r="CH44">
        <v>27</v>
      </c>
      <c r="CI44">
        <v>27604.799999999999</v>
      </c>
      <c r="CJ44">
        <v>21</v>
      </c>
      <c r="CK44">
        <v>21470.399999999998</v>
      </c>
      <c r="CL44">
        <v>26</v>
      </c>
      <c r="CM44">
        <v>26582.399999999998</v>
      </c>
      <c r="CN44">
        <v>15</v>
      </c>
      <c r="CO44">
        <v>15336</v>
      </c>
      <c r="CP44">
        <v>20</v>
      </c>
      <c r="CQ44">
        <v>20448</v>
      </c>
      <c r="CR44">
        <v>30</v>
      </c>
      <c r="CS44">
        <v>30672</v>
      </c>
      <c r="CT44">
        <v>24</v>
      </c>
      <c r="CU44">
        <v>24537.599999999999</v>
      </c>
    </row>
    <row r="45" spans="2:99" x14ac:dyDescent="0.2">
      <c r="C45" s="116" t="s">
        <v>211</v>
      </c>
      <c r="D45">
        <v>24</v>
      </c>
      <c r="E45">
        <v>29980.800000000003</v>
      </c>
      <c r="F45">
        <v>18</v>
      </c>
      <c r="G45">
        <v>22485.600000000002</v>
      </c>
      <c r="H45">
        <v>27</v>
      </c>
      <c r="I45">
        <v>33728.400000000001</v>
      </c>
      <c r="J45">
        <v>22</v>
      </c>
      <c r="K45">
        <v>27482.400000000001</v>
      </c>
      <c r="L45">
        <v>21</v>
      </c>
      <c r="M45">
        <v>26233.200000000001</v>
      </c>
      <c r="N45">
        <v>15</v>
      </c>
      <c r="O45">
        <v>18738</v>
      </c>
      <c r="P45">
        <v>21</v>
      </c>
      <c r="Q45">
        <v>26233.200000000001</v>
      </c>
      <c r="R45">
        <v>15</v>
      </c>
      <c r="S45">
        <v>18738</v>
      </c>
      <c r="T45">
        <v>21</v>
      </c>
      <c r="U45">
        <v>26233.200000000001</v>
      </c>
      <c r="V45">
        <v>13</v>
      </c>
      <c r="W45">
        <v>16239.6</v>
      </c>
      <c r="X45">
        <v>17</v>
      </c>
      <c r="Y45">
        <v>21236.400000000001</v>
      </c>
      <c r="Z45">
        <v>21</v>
      </c>
      <c r="AA45">
        <v>26233.200000000001</v>
      </c>
      <c r="AB45">
        <v>16</v>
      </c>
      <c r="AC45">
        <v>19987.2</v>
      </c>
      <c r="AD45">
        <v>24</v>
      </c>
      <c r="AE45">
        <v>29980.800000000003</v>
      </c>
      <c r="AF45">
        <v>17</v>
      </c>
      <c r="AG45">
        <v>21236.400000000001</v>
      </c>
      <c r="AH45">
        <v>24</v>
      </c>
      <c r="AI45">
        <v>29980.800000000003</v>
      </c>
      <c r="AJ45">
        <v>16</v>
      </c>
      <c r="AK45">
        <v>19987.2</v>
      </c>
      <c r="AL45">
        <v>15</v>
      </c>
      <c r="AM45">
        <v>18738</v>
      </c>
      <c r="AN45">
        <v>18</v>
      </c>
      <c r="AO45">
        <v>22485.600000000002</v>
      </c>
      <c r="AP45">
        <v>22</v>
      </c>
      <c r="AQ45">
        <v>27482.400000000001</v>
      </c>
      <c r="AR45">
        <v>23</v>
      </c>
      <c r="AS45">
        <v>28731.600000000002</v>
      </c>
      <c r="AT45">
        <v>19</v>
      </c>
      <c r="AU45">
        <v>23734.799999999999</v>
      </c>
      <c r="AV45">
        <v>22</v>
      </c>
      <c r="AW45">
        <v>27482.400000000001</v>
      </c>
      <c r="AX45">
        <v>16</v>
      </c>
      <c r="AY45">
        <v>19987.2</v>
      </c>
      <c r="AZ45">
        <v>19</v>
      </c>
      <c r="BA45">
        <v>23734.799999999999</v>
      </c>
      <c r="BB45">
        <v>24</v>
      </c>
      <c r="BC45">
        <v>29980.800000000003</v>
      </c>
      <c r="BD45">
        <v>17</v>
      </c>
      <c r="BE45">
        <v>21236.400000000001</v>
      </c>
      <c r="BF45">
        <v>16</v>
      </c>
      <c r="BG45">
        <v>19987.2</v>
      </c>
      <c r="BH45">
        <v>21</v>
      </c>
      <c r="BI45">
        <v>26233.200000000001</v>
      </c>
      <c r="BJ45">
        <v>16</v>
      </c>
      <c r="BK45">
        <v>19987.2</v>
      </c>
      <c r="BL45">
        <v>20</v>
      </c>
      <c r="BM45">
        <v>24984</v>
      </c>
      <c r="BN45">
        <v>23</v>
      </c>
      <c r="BO45">
        <v>28731.600000000002</v>
      </c>
      <c r="BP45">
        <v>20</v>
      </c>
      <c r="BQ45">
        <v>24984</v>
      </c>
      <c r="BR45">
        <v>21</v>
      </c>
      <c r="BS45">
        <v>26233.200000000001</v>
      </c>
      <c r="BT45">
        <v>15</v>
      </c>
      <c r="BU45">
        <v>18738</v>
      </c>
      <c r="BV45">
        <v>13</v>
      </c>
      <c r="BW45">
        <v>16239.6</v>
      </c>
      <c r="BX45">
        <v>21</v>
      </c>
      <c r="BY45">
        <v>26233.200000000001</v>
      </c>
      <c r="BZ45">
        <v>21</v>
      </c>
      <c r="CA45">
        <v>26233.200000000001</v>
      </c>
      <c r="CB45">
        <v>28</v>
      </c>
      <c r="CC45">
        <v>34977.599999999999</v>
      </c>
      <c r="CD45">
        <v>17</v>
      </c>
      <c r="CE45">
        <v>21236.400000000001</v>
      </c>
      <c r="CF45">
        <v>22</v>
      </c>
      <c r="CG45">
        <v>27482.400000000001</v>
      </c>
      <c r="CH45">
        <v>25</v>
      </c>
      <c r="CI45">
        <v>31230</v>
      </c>
      <c r="CJ45">
        <v>21</v>
      </c>
      <c r="CK45">
        <v>26233.200000000001</v>
      </c>
      <c r="CL45">
        <v>25</v>
      </c>
      <c r="CM45">
        <v>31230</v>
      </c>
      <c r="CN45">
        <v>15</v>
      </c>
      <c r="CO45">
        <v>18738</v>
      </c>
      <c r="CP45">
        <v>18</v>
      </c>
      <c r="CQ45">
        <v>22485.600000000002</v>
      </c>
      <c r="CR45">
        <v>27</v>
      </c>
      <c r="CS45">
        <v>33728.400000000001</v>
      </c>
      <c r="CT45">
        <v>25</v>
      </c>
      <c r="CU45">
        <v>31230</v>
      </c>
    </row>
    <row r="46" spans="2:99" x14ac:dyDescent="0.2">
      <c r="C46" s="116" t="s">
        <v>212</v>
      </c>
      <c r="D46">
        <v>25</v>
      </c>
      <c r="E46">
        <v>30300</v>
      </c>
      <c r="F46">
        <v>19</v>
      </c>
      <c r="G46">
        <v>23028</v>
      </c>
      <c r="H46">
        <v>25</v>
      </c>
      <c r="I46">
        <v>30300</v>
      </c>
      <c r="J46">
        <v>22</v>
      </c>
      <c r="K46">
        <v>26664</v>
      </c>
      <c r="L46">
        <v>20</v>
      </c>
      <c r="M46">
        <v>24240</v>
      </c>
      <c r="N46">
        <v>13</v>
      </c>
      <c r="O46">
        <v>15756</v>
      </c>
      <c r="P46">
        <v>24</v>
      </c>
      <c r="Q46">
        <v>29088</v>
      </c>
      <c r="R46">
        <v>14</v>
      </c>
      <c r="S46">
        <v>16968</v>
      </c>
      <c r="T46">
        <v>23</v>
      </c>
      <c r="U46">
        <v>27876</v>
      </c>
      <c r="V46">
        <v>14</v>
      </c>
      <c r="W46">
        <v>16968</v>
      </c>
      <c r="X46">
        <v>18</v>
      </c>
      <c r="Y46">
        <v>21816</v>
      </c>
      <c r="Z46">
        <v>20</v>
      </c>
      <c r="AA46">
        <v>24240</v>
      </c>
      <c r="AB46">
        <v>17</v>
      </c>
      <c r="AC46">
        <v>20604</v>
      </c>
      <c r="AD46">
        <v>22</v>
      </c>
      <c r="AE46">
        <v>26664</v>
      </c>
      <c r="AF46">
        <v>19</v>
      </c>
      <c r="AG46">
        <v>23028</v>
      </c>
      <c r="AH46">
        <v>25</v>
      </c>
      <c r="AI46">
        <v>30300</v>
      </c>
      <c r="AJ46">
        <v>16</v>
      </c>
      <c r="AK46">
        <v>19392</v>
      </c>
      <c r="AL46">
        <v>14</v>
      </c>
      <c r="AM46">
        <v>16968</v>
      </c>
      <c r="AN46">
        <v>18</v>
      </c>
      <c r="AO46">
        <v>21816</v>
      </c>
      <c r="AP46">
        <v>22</v>
      </c>
      <c r="AQ46">
        <v>26664</v>
      </c>
      <c r="AR46">
        <v>19</v>
      </c>
      <c r="AS46">
        <v>23028</v>
      </c>
      <c r="AT46">
        <v>18</v>
      </c>
      <c r="AU46">
        <v>21816</v>
      </c>
      <c r="AV46">
        <v>22</v>
      </c>
      <c r="AW46">
        <v>26664</v>
      </c>
      <c r="AX46">
        <v>16</v>
      </c>
      <c r="AY46">
        <v>19392</v>
      </c>
      <c r="AZ46">
        <v>17</v>
      </c>
      <c r="BA46">
        <v>20604</v>
      </c>
      <c r="BB46">
        <v>22</v>
      </c>
      <c r="BC46">
        <v>26664</v>
      </c>
      <c r="BD46">
        <v>17</v>
      </c>
      <c r="BE46">
        <v>20604</v>
      </c>
      <c r="BF46">
        <v>14</v>
      </c>
      <c r="BG46">
        <v>16968</v>
      </c>
      <c r="BH46">
        <v>22</v>
      </c>
      <c r="BI46">
        <v>26664</v>
      </c>
      <c r="BJ46">
        <v>15</v>
      </c>
      <c r="BK46">
        <v>18180</v>
      </c>
      <c r="BL46">
        <v>19</v>
      </c>
      <c r="BM46">
        <v>23028</v>
      </c>
      <c r="BN46">
        <v>24</v>
      </c>
      <c r="BO46">
        <v>29088</v>
      </c>
      <c r="BP46">
        <v>21</v>
      </c>
      <c r="BQ46">
        <v>25452</v>
      </c>
      <c r="BR46">
        <v>20</v>
      </c>
      <c r="BS46">
        <v>24240</v>
      </c>
      <c r="BT46">
        <v>17</v>
      </c>
      <c r="BU46">
        <v>20604</v>
      </c>
      <c r="BV46">
        <v>14</v>
      </c>
      <c r="BW46">
        <v>16968</v>
      </c>
      <c r="BX46">
        <v>24</v>
      </c>
      <c r="BY46">
        <v>29088</v>
      </c>
      <c r="BZ46">
        <v>20</v>
      </c>
      <c r="CA46">
        <v>24240</v>
      </c>
      <c r="CB46">
        <v>25</v>
      </c>
      <c r="CC46">
        <v>30300</v>
      </c>
      <c r="CD46">
        <v>15</v>
      </c>
      <c r="CE46">
        <v>18180</v>
      </c>
      <c r="CF46">
        <v>23</v>
      </c>
      <c r="CG46">
        <v>27876</v>
      </c>
      <c r="CH46">
        <v>27</v>
      </c>
      <c r="CI46">
        <v>32724</v>
      </c>
      <c r="CJ46">
        <v>22</v>
      </c>
      <c r="CK46">
        <v>26664</v>
      </c>
      <c r="CL46">
        <v>26</v>
      </c>
      <c r="CM46">
        <v>31512</v>
      </c>
      <c r="CN46">
        <v>16</v>
      </c>
      <c r="CO46">
        <v>19392</v>
      </c>
      <c r="CP46">
        <v>20</v>
      </c>
      <c r="CQ46">
        <v>24240</v>
      </c>
      <c r="CR46">
        <v>26</v>
      </c>
      <c r="CS46">
        <v>31512</v>
      </c>
      <c r="CT46">
        <v>22</v>
      </c>
      <c r="CU46">
        <v>26664</v>
      </c>
    </row>
    <row r="47" spans="2:99" x14ac:dyDescent="0.2">
      <c r="C47" s="116" t="s">
        <v>213</v>
      </c>
      <c r="D47">
        <v>23</v>
      </c>
      <c r="E47">
        <v>35134.799999999996</v>
      </c>
      <c r="F47">
        <v>17</v>
      </c>
      <c r="G47">
        <v>25969.199999999997</v>
      </c>
      <c r="H47">
        <v>24</v>
      </c>
      <c r="I47">
        <v>36662.399999999994</v>
      </c>
      <c r="J47">
        <v>23</v>
      </c>
      <c r="K47">
        <v>35134.799999999996</v>
      </c>
      <c r="L47">
        <v>20</v>
      </c>
      <c r="M47">
        <v>30552</v>
      </c>
      <c r="N47">
        <v>15</v>
      </c>
      <c r="O47">
        <v>22914</v>
      </c>
      <c r="P47">
        <v>20</v>
      </c>
      <c r="Q47">
        <v>30552</v>
      </c>
      <c r="R47">
        <v>14</v>
      </c>
      <c r="S47">
        <v>21386.399999999998</v>
      </c>
      <c r="T47">
        <v>21</v>
      </c>
      <c r="U47">
        <v>32079.599999999999</v>
      </c>
      <c r="V47">
        <v>12</v>
      </c>
      <c r="W47">
        <v>18331.199999999997</v>
      </c>
      <c r="X47">
        <v>18</v>
      </c>
      <c r="Y47">
        <v>27496.799999999999</v>
      </c>
      <c r="Z47">
        <v>21</v>
      </c>
      <c r="AA47">
        <v>32079.599999999999</v>
      </c>
      <c r="AB47">
        <v>18</v>
      </c>
      <c r="AC47">
        <v>27496.799999999999</v>
      </c>
      <c r="AD47">
        <v>21</v>
      </c>
      <c r="AE47">
        <v>32079.599999999999</v>
      </c>
      <c r="AF47">
        <v>18</v>
      </c>
      <c r="AG47">
        <v>27496.799999999999</v>
      </c>
      <c r="AH47">
        <v>25</v>
      </c>
      <c r="AI47">
        <v>38190</v>
      </c>
      <c r="AJ47">
        <v>16</v>
      </c>
      <c r="AK47">
        <v>24441.599999999999</v>
      </c>
      <c r="AL47">
        <v>13</v>
      </c>
      <c r="AM47">
        <v>19858.8</v>
      </c>
      <c r="AN47">
        <v>19</v>
      </c>
      <c r="AO47">
        <v>29024.399999999998</v>
      </c>
      <c r="AP47">
        <v>19</v>
      </c>
      <c r="AQ47">
        <v>29024.399999999998</v>
      </c>
      <c r="AR47">
        <v>20</v>
      </c>
      <c r="AS47">
        <v>30552</v>
      </c>
      <c r="AT47">
        <v>18</v>
      </c>
      <c r="AU47">
        <v>27496.799999999999</v>
      </c>
      <c r="AV47">
        <v>24</v>
      </c>
      <c r="AW47">
        <v>36662.399999999994</v>
      </c>
      <c r="AX47">
        <v>14</v>
      </c>
      <c r="AY47">
        <v>21386.399999999998</v>
      </c>
      <c r="AZ47">
        <v>19</v>
      </c>
      <c r="BA47">
        <v>29024.399999999998</v>
      </c>
      <c r="BB47">
        <v>20</v>
      </c>
      <c r="BC47">
        <v>30552</v>
      </c>
      <c r="BD47">
        <v>18</v>
      </c>
      <c r="BE47">
        <v>27496.799999999999</v>
      </c>
      <c r="BF47">
        <v>14</v>
      </c>
      <c r="BG47">
        <v>21386.399999999998</v>
      </c>
      <c r="BH47">
        <v>20</v>
      </c>
      <c r="BI47">
        <v>30552</v>
      </c>
      <c r="BJ47">
        <v>16</v>
      </c>
      <c r="BK47">
        <v>24441.599999999999</v>
      </c>
      <c r="BL47">
        <v>18</v>
      </c>
      <c r="BM47">
        <v>27496.799999999999</v>
      </c>
      <c r="BN47">
        <v>26</v>
      </c>
      <c r="BO47">
        <v>39717.599999999999</v>
      </c>
      <c r="BP47">
        <v>21</v>
      </c>
      <c r="BQ47">
        <v>32079.599999999999</v>
      </c>
      <c r="BR47">
        <v>18</v>
      </c>
      <c r="BS47">
        <v>27496.799999999999</v>
      </c>
      <c r="BT47">
        <v>16</v>
      </c>
      <c r="BU47">
        <v>24441.599999999999</v>
      </c>
      <c r="BV47">
        <v>13</v>
      </c>
      <c r="BW47">
        <v>19858.8</v>
      </c>
      <c r="BX47">
        <v>23</v>
      </c>
      <c r="BY47">
        <v>35134.799999999996</v>
      </c>
      <c r="BZ47">
        <v>19</v>
      </c>
      <c r="CA47">
        <v>29024.399999999998</v>
      </c>
      <c r="CB47">
        <v>27</v>
      </c>
      <c r="CC47">
        <v>41245.199999999997</v>
      </c>
      <c r="CD47">
        <v>13</v>
      </c>
      <c r="CE47">
        <v>19858.8</v>
      </c>
      <c r="CF47">
        <v>21</v>
      </c>
      <c r="CG47">
        <v>32079.599999999999</v>
      </c>
      <c r="CH47">
        <v>27</v>
      </c>
      <c r="CI47">
        <v>41245.199999999997</v>
      </c>
      <c r="CJ47">
        <v>20</v>
      </c>
      <c r="CK47">
        <v>30552</v>
      </c>
      <c r="CL47">
        <v>24</v>
      </c>
      <c r="CM47">
        <v>36662.399999999994</v>
      </c>
      <c r="CN47">
        <v>15</v>
      </c>
      <c r="CO47">
        <v>22914</v>
      </c>
      <c r="CP47">
        <v>17</v>
      </c>
      <c r="CQ47">
        <v>25969.199999999997</v>
      </c>
      <c r="CR47">
        <v>24</v>
      </c>
      <c r="CS47">
        <v>36662.399999999994</v>
      </c>
      <c r="CT47">
        <v>23</v>
      </c>
      <c r="CU47">
        <v>35134.799999999996</v>
      </c>
    </row>
    <row r="48" spans="2:99" x14ac:dyDescent="0.2">
      <c r="C48" s="116" t="s">
        <v>214</v>
      </c>
      <c r="D48">
        <v>22</v>
      </c>
      <c r="E48">
        <v>19087.2</v>
      </c>
      <c r="F48">
        <v>20</v>
      </c>
      <c r="G48">
        <v>17352</v>
      </c>
      <c r="H48">
        <v>23</v>
      </c>
      <c r="I48">
        <v>19954.8</v>
      </c>
      <c r="J48">
        <v>25</v>
      </c>
      <c r="K48">
        <v>21690</v>
      </c>
      <c r="L48">
        <v>23</v>
      </c>
      <c r="M48">
        <v>19954.8</v>
      </c>
      <c r="N48">
        <v>15</v>
      </c>
      <c r="O48">
        <v>13014</v>
      </c>
      <c r="P48">
        <v>21</v>
      </c>
      <c r="Q48">
        <v>18219.600000000002</v>
      </c>
      <c r="R48">
        <v>16</v>
      </c>
      <c r="S48">
        <v>13881.6</v>
      </c>
      <c r="T48">
        <v>22</v>
      </c>
      <c r="U48">
        <v>19087.2</v>
      </c>
      <c r="V48">
        <v>14</v>
      </c>
      <c r="W48">
        <v>12146.4</v>
      </c>
      <c r="X48">
        <v>20</v>
      </c>
      <c r="Y48">
        <v>17352</v>
      </c>
      <c r="Z48">
        <v>20</v>
      </c>
      <c r="AA48">
        <v>17352</v>
      </c>
      <c r="AB48">
        <v>18</v>
      </c>
      <c r="AC48">
        <v>15616.800000000001</v>
      </c>
      <c r="AD48">
        <v>24</v>
      </c>
      <c r="AE48">
        <v>20822.400000000001</v>
      </c>
      <c r="AF48">
        <v>20</v>
      </c>
      <c r="AG48">
        <v>17352</v>
      </c>
      <c r="AH48">
        <v>27</v>
      </c>
      <c r="AI48">
        <v>23425.200000000001</v>
      </c>
      <c r="AJ48">
        <v>17</v>
      </c>
      <c r="AK48">
        <v>14749.2</v>
      </c>
      <c r="AL48">
        <v>15</v>
      </c>
      <c r="AM48">
        <v>13014</v>
      </c>
      <c r="AN48">
        <v>20</v>
      </c>
      <c r="AO48">
        <v>17352</v>
      </c>
      <c r="AP48">
        <v>23</v>
      </c>
      <c r="AQ48">
        <v>19954.8</v>
      </c>
      <c r="AR48">
        <v>24</v>
      </c>
      <c r="AS48">
        <v>20822.400000000001</v>
      </c>
      <c r="AT48">
        <v>20</v>
      </c>
      <c r="AU48">
        <v>17352</v>
      </c>
      <c r="AV48">
        <v>26</v>
      </c>
      <c r="AW48">
        <v>22557.600000000002</v>
      </c>
      <c r="AX48">
        <v>18</v>
      </c>
      <c r="AY48">
        <v>15616.800000000001</v>
      </c>
      <c r="AZ48">
        <v>21</v>
      </c>
      <c r="BA48">
        <v>18219.600000000002</v>
      </c>
      <c r="BB48">
        <v>23</v>
      </c>
      <c r="BC48">
        <v>19954.8</v>
      </c>
      <c r="BD48">
        <v>17</v>
      </c>
      <c r="BE48">
        <v>14749.2</v>
      </c>
      <c r="BF48">
        <v>16</v>
      </c>
      <c r="BG48">
        <v>13881.6</v>
      </c>
      <c r="BH48">
        <v>23</v>
      </c>
      <c r="BI48">
        <v>19954.8</v>
      </c>
      <c r="BJ48">
        <v>16</v>
      </c>
      <c r="BK48">
        <v>13881.6</v>
      </c>
      <c r="BL48">
        <v>21</v>
      </c>
      <c r="BM48">
        <v>18219.600000000002</v>
      </c>
      <c r="BN48">
        <v>27</v>
      </c>
      <c r="BO48">
        <v>23425.200000000001</v>
      </c>
      <c r="BP48">
        <v>23</v>
      </c>
      <c r="BQ48">
        <v>19954.8</v>
      </c>
      <c r="BR48">
        <v>20</v>
      </c>
      <c r="BS48">
        <v>17352</v>
      </c>
      <c r="BT48">
        <v>18</v>
      </c>
      <c r="BU48">
        <v>15616.800000000001</v>
      </c>
      <c r="BV48">
        <v>15</v>
      </c>
      <c r="BW48">
        <v>13014</v>
      </c>
      <c r="BX48">
        <v>24</v>
      </c>
      <c r="BY48">
        <v>20822.400000000001</v>
      </c>
      <c r="BZ48">
        <v>19</v>
      </c>
      <c r="CA48">
        <v>16484.400000000001</v>
      </c>
      <c r="CB48">
        <v>26</v>
      </c>
      <c r="CC48">
        <v>22557.600000000002</v>
      </c>
      <c r="CD48">
        <v>17</v>
      </c>
      <c r="CE48">
        <v>14749.2</v>
      </c>
      <c r="CF48">
        <v>23</v>
      </c>
      <c r="CG48">
        <v>19954.8</v>
      </c>
      <c r="CH48">
        <v>28</v>
      </c>
      <c r="CI48">
        <v>24292.799999999999</v>
      </c>
      <c r="CJ48">
        <v>22</v>
      </c>
      <c r="CK48">
        <v>19087.2</v>
      </c>
      <c r="CL48">
        <v>25</v>
      </c>
      <c r="CM48">
        <v>21690</v>
      </c>
      <c r="CN48">
        <v>16</v>
      </c>
      <c r="CO48">
        <v>13881.6</v>
      </c>
      <c r="CP48">
        <v>19</v>
      </c>
      <c r="CQ48">
        <v>16484.400000000001</v>
      </c>
      <c r="CR48">
        <v>26</v>
      </c>
      <c r="CS48">
        <v>22557.600000000002</v>
      </c>
      <c r="CT48">
        <v>25</v>
      </c>
      <c r="CU48">
        <v>21690</v>
      </c>
    </row>
    <row r="49" spans="2:99" x14ac:dyDescent="0.2">
      <c r="B49" s="116" t="s">
        <v>129</v>
      </c>
      <c r="C49" s="116" t="s">
        <v>215</v>
      </c>
      <c r="D49">
        <v>20.251542800202589</v>
      </c>
      <c r="E49">
        <v>19951.819966759591</v>
      </c>
      <c r="F49">
        <v>17</v>
      </c>
      <c r="G49">
        <v>16748.399999999998</v>
      </c>
      <c r="H49">
        <v>20.721262726469565</v>
      </c>
      <c r="I49">
        <v>20414.588038117814</v>
      </c>
      <c r="J49">
        <v>18.549672813801308</v>
      </c>
      <c r="K49">
        <v>18275.137656157047</v>
      </c>
      <c r="L49">
        <v>14.649673992087067</v>
      </c>
      <c r="M49">
        <v>14432.858817004177</v>
      </c>
      <c r="N49">
        <v>13</v>
      </c>
      <c r="O49">
        <v>12807.599999999999</v>
      </c>
      <c r="P49">
        <v>10.488945159064139</v>
      </c>
      <c r="Q49">
        <v>10333.708770709989</v>
      </c>
      <c r="R49">
        <v>12</v>
      </c>
      <c r="S49">
        <v>11822.4</v>
      </c>
      <c r="T49">
        <v>19.484092259086449</v>
      </c>
      <c r="U49">
        <v>19195.727693651967</v>
      </c>
      <c r="V49">
        <v>19.596550826390754</v>
      </c>
      <c r="W49">
        <v>19306.521874160167</v>
      </c>
      <c r="X49">
        <v>22.459476789961119</v>
      </c>
      <c r="Y49">
        <v>22127.076533469692</v>
      </c>
      <c r="Z49">
        <v>13.841172589310963</v>
      </c>
      <c r="AA49">
        <v>13636.32323498916</v>
      </c>
      <c r="AB49">
        <v>18.629880804576505</v>
      </c>
      <c r="AC49">
        <v>18354.158568668772</v>
      </c>
      <c r="AD49">
        <v>13.233941545032568</v>
      </c>
      <c r="AE49">
        <v>13038.079210166085</v>
      </c>
      <c r="AF49">
        <v>2.5127373313833661</v>
      </c>
      <c r="AG49">
        <v>2475.5488188788922</v>
      </c>
      <c r="AH49">
        <v>1.9407284463581207</v>
      </c>
      <c r="AI49">
        <v>1912.0056653520203</v>
      </c>
      <c r="AJ49">
        <v>1.9560239100442112</v>
      </c>
      <c r="AK49">
        <v>1927.0747561755568</v>
      </c>
      <c r="AL49">
        <v>2.2136641090878215</v>
      </c>
      <c r="AM49">
        <v>2180.9018802733217</v>
      </c>
      <c r="AN49">
        <v>1.5525932201574415</v>
      </c>
      <c r="AO49">
        <v>1529.6148404991113</v>
      </c>
      <c r="AP49">
        <v>2.7426869930430335</v>
      </c>
      <c r="AQ49">
        <v>2702.0952255459965</v>
      </c>
      <c r="AR49">
        <v>1.8157069201352023</v>
      </c>
      <c r="AS49">
        <v>1788.8344577172011</v>
      </c>
      <c r="AT49">
        <v>2.5626201129885322</v>
      </c>
      <c r="AU49">
        <v>2524.6933353163017</v>
      </c>
      <c r="AV49">
        <v>2.2063571317500075</v>
      </c>
      <c r="AW49">
        <v>2173.7030462001071</v>
      </c>
      <c r="AX49">
        <v>2.583005876641157</v>
      </c>
      <c r="AY49">
        <v>2544.7773896668677</v>
      </c>
      <c r="AZ49">
        <v>1.5979654590177006</v>
      </c>
      <c r="BA49">
        <v>1574.3155702242386</v>
      </c>
      <c r="BB49">
        <v>2.1475770467220259</v>
      </c>
      <c r="BC49">
        <v>2115.7929064305399</v>
      </c>
      <c r="BD49">
        <v>1.7738931027649465</v>
      </c>
      <c r="BE49">
        <v>1747.6394848440252</v>
      </c>
      <c r="BF49">
        <v>1.3658421860600007</v>
      </c>
      <c r="BG49">
        <v>1345.6277217063127</v>
      </c>
      <c r="BH49">
        <v>2.3926825600794004</v>
      </c>
      <c r="BI49">
        <v>2357.2708581902252</v>
      </c>
      <c r="BJ49">
        <v>2.7077412000147745</v>
      </c>
      <c r="BK49">
        <v>2667.6666302545555</v>
      </c>
      <c r="BL49">
        <v>2.1008468543639292</v>
      </c>
      <c r="BM49">
        <v>2069.7543209193427</v>
      </c>
      <c r="BN49">
        <v>2.614101136215941</v>
      </c>
      <c r="BO49">
        <v>2575.412439399945</v>
      </c>
      <c r="BP49">
        <v>2.8789877364252079</v>
      </c>
      <c r="BQ49">
        <v>2836.3787179261144</v>
      </c>
      <c r="BR49">
        <v>1.9309829392267122</v>
      </c>
      <c r="BS49">
        <v>1902.4043917261567</v>
      </c>
      <c r="BT49">
        <v>2.1226840504763027</v>
      </c>
      <c r="BU49">
        <v>2091.2683265292535</v>
      </c>
      <c r="BV49">
        <v>1.2119994063636512</v>
      </c>
      <c r="BW49">
        <v>1194.0618151494691</v>
      </c>
      <c r="BX49">
        <v>2.3169509117798084</v>
      </c>
      <c r="BY49">
        <v>2282.6600382854672</v>
      </c>
      <c r="BZ49">
        <v>2.0067656106841705</v>
      </c>
      <c r="CA49">
        <v>1977.0654796460447</v>
      </c>
      <c r="CB49">
        <v>2.6394814003094824</v>
      </c>
      <c r="CC49">
        <v>2600.4170755849018</v>
      </c>
      <c r="CD49">
        <v>1.9430272560538315</v>
      </c>
      <c r="CE49">
        <v>1914.2704526642347</v>
      </c>
      <c r="CF49">
        <v>2.4154753863749212</v>
      </c>
      <c r="CG49">
        <v>2379.7263506565723</v>
      </c>
      <c r="CH49">
        <v>1.765446259230242</v>
      </c>
      <c r="CI49">
        <v>1739.3176545936344</v>
      </c>
      <c r="CJ49">
        <v>1.5119822684726205</v>
      </c>
      <c r="CK49">
        <v>1489.6049308992256</v>
      </c>
      <c r="CL49">
        <v>1.9622638955450762</v>
      </c>
      <c r="CM49">
        <v>1933.222389891009</v>
      </c>
      <c r="CN49">
        <v>1.3377899336798849</v>
      </c>
      <c r="CO49">
        <v>1317.9906426614225</v>
      </c>
      <c r="CP49">
        <v>1.7960400542968811</v>
      </c>
      <c r="CQ49">
        <v>1769.4586614932871</v>
      </c>
      <c r="CR49">
        <v>2.4269712970130186</v>
      </c>
      <c r="CS49">
        <v>2391.0521218172257</v>
      </c>
      <c r="CT49">
        <v>2.0894833850492716</v>
      </c>
      <c r="CU49">
        <v>2058.5590309505424</v>
      </c>
    </row>
    <row r="50" spans="2:99" x14ac:dyDescent="0.2">
      <c r="C50" s="116" t="s">
        <v>216</v>
      </c>
      <c r="D50">
        <v>22</v>
      </c>
      <c r="E50">
        <v>6204</v>
      </c>
      <c r="F50">
        <v>18</v>
      </c>
      <c r="G50">
        <v>5076</v>
      </c>
      <c r="H50">
        <v>20</v>
      </c>
      <c r="I50">
        <v>5640</v>
      </c>
      <c r="J50">
        <v>22</v>
      </c>
      <c r="K50">
        <v>6204</v>
      </c>
      <c r="L50">
        <v>15</v>
      </c>
      <c r="M50">
        <v>4230</v>
      </c>
      <c r="N50">
        <v>15</v>
      </c>
      <c r="O50">
        <v>4230</v>
      </c>
      <c r="P50">
        <v>13</v>
      </c>
      <c r="Q50">
        <v>3666</v>
      </c>
      <c r="R50">
        <v>12</v>
      </c>
      <c r="S50">
        <v>3384</v>
      </c>
      <c r="T50">
        <v>19</v>
      </c>
      <c r="U50">
        <v>5358</v>
      </c>
      <c r="V50">
        <v>19</v>
      </c>
      <c r="W50">
        <v>5358</v>
      </c>
      <c r="X50">
        <v>20</v>
      </c>
      <c r="Y50">
        <v>5640</v>
      </c>
      <c r="Z50">
        <v>15</v>
      </c>
      <c r="AA50">
        <v>4230</v>
      </c>
      <c r="AB50">
        <v>19</v>
      </c>
      <c r="AC50">
        <v>5358</v>
      </c>
      <c r="AD50">
        <v>14</v>
      </c>
      <c r="AE50">
        <v>3948</v>
      </c>
      <c r="AF50">
        <v>17</v>
      </c>
      <c r="AG50">
        <v>4794</v>
      </c>
      <c r="AH50">
        <v>20</v>
      </c>
      <c r="AI50">
        <v>5640</v>
      </c>
      <c r="AJ50">
        <v>16</v>
      </c>
      <c r="AK50">
        <v>4512</v>
      </c>
      <c r="AL50">
        <v>18</v>
      </c>
      <c r="AM50">
        <v>5076</v>
      </c>
      <c r="AN50">
        <v>12</v>
      </c>
      <c r="AO50">
        <v>3384</v>
      </c>
      <c r="AP50">
        <v>23</v>
      </c>
      <c r="AQ50">
        <v>6486</v>
      </c>
      <c r="AR50">
        <v>13</v>
      </c>
      <c r="AS50">
        <v>3666</v>
      </c>
      <c r="AT50">
        <v>18</v>
      </c>
      <c r="AU50">
        <v>5076</v>
      </c>
      <c r="AV50">
        <v>14</v>
      </c>
      <c r="AW50">
        <v>3948</v>
      </c>
      <c r="AX50">
        <v>21</v>
      </c>
      <c r="AY50">
        <v>5922</v>
      </c>
      <c r="AZ50">
        <v>16</v>
      </c>
      <c r="BA50">
        <v>4512</v>
      </c>
      <c r="BB50">
        <v>21</v>
      </c>
      <c r="BC50">
        <v>5922</v>
      </c>
      <c r="BD50">
        <v>14</v>
      </c>
      <c r="BE50">
        <v>3948</v>
      </c>
      <c r="BF50">
        <v>11</v>
      </c>
      <c r="BG50">
        <v>3102</v>
      </c>
      <c r="BH50">
        <v>13</v>
      </c>
      <c r="BI50">
        <v>3666</v>
      </c>
      <c r="BJ50">
        <v>19</v>
      </c>
      <c r="BK50">
        <v>5358</v>
      </c>
      <c r="BL50">
        <v>17</v>
      </c>
      <c r="BM50">
        <v>4794</v>
      </c>
      <c r="BN50">
        <v>21</v>
      </c>
      <c r="BO50">
        <v>5922</v>
      </c>
      <c r="BP50">
        <v>21</v>
      </c>
      <c r="BQ50">
        <v>5922</v>
      </c>
      <c r="BR50">
        <v>20</v>
      </c>
      <c r="BS50">
        <v>5640</v>
      </c>
      <c r="BT50">
        <v>19</v>
      </c>
      <c r="BU50">
        <v>5358</v>
      </c>
      <c r="BV50">
        <v>11</v>
      </c>
      <c r="BW50">
        <v>3102</v>
      </c>
      <c r="BX50">
        <v>20</v>
      </c>
      <c r="BY50">
        <v>5640</v>
      </c>
      <c r="BZ50">
        <v>16</v>
      </c>
      <c r="CA50">
        <v>4512</v>
      </c>
      <c r="CB50">
        <v>17</v>
      </c>
      <c r="CC50">
        <v>4794</v>
      </c>
      <c r="CD50">
        <v>18</v>
      </c>
      <c r="CE50">
        <v>5076</v>
      </c>
      <c r="CF50">
        <v>20</v>
      </c>
      <c r="CG50">
        <v>5640</v>
      </c>
      <c r="CH50">
        <v>14</v>
      </c>
      <c r="CI50">
        <v>3948</v>
      </c>
      <c r="CJ50">
        <v>13</v>
      </c>
      <c r="CK50">
        <v>3666</v>
      </c>
      <c r="CL50">
        <v>20</v>
      </c>
      <c r="CM50">
        <v>5640</v>
      </c>
      <c r="CN50">
        <v>13</v>
      </c>
      <c r="CO50">
        <v>3666</v>
      </c>
      <c r="CP50">
        <v>15</v>
      </c>
      <c r="CQ50">
        <v>4230</v>
      </c>
      <c r="CR50">
        <v>18</v>
      </c>
      <c r="CS50">
        <v>5076</v>
      </c>
      <c r="CT50">
        <v>15</v>
      </c>
      <c r="CU50">
        <v>4230</v>
      </c>
    </row>
    <row r="51" spans="2:99" x14ac:dyDescent="0.2">
      <c r="C51" s="116" t="s">
        <v>217</v>
      </c>
      <c r="D51">
        <v>19</v>
      </c>
      <c r="E51">
        <v>16233.6</v>
      </c>
      <c r="F51">
        <v>18</v>
      </c>
      <c r="G51">
        <v>15379.199999999999</v>
      </c>
      <c r="H51">
        <v>22</v>
      </c>
      <c r="I51">
        <v>18796.8</v>
      </c>
      <c r="J51">
        <v>18</v>
      </c>
      <c r="K51">
        <v>15379.199999999999</v>
      </c>
      <c r="L51">
        <v>12</v>
      </c>
      <c r="M51">
        <v>10252.799999999999</v>
      </c>
      <c r="N51">
        <v>15</v>
      </c>
      <c r="O51">
        <v>12816</v>
      </c>
      <c r="P51">
        <v>11</v>
      </c>
      <c r="Q51">
        <v>9398.4</v>
      </c>
      <c r="R51">
        <v>12</v>
      </c>
      <c r="S51">
        <v>10252.799999999999</v>
      </c>
      <c r="T51">
        <v>17</v>
      </c>
      <c r="U51">
        <v>14524.8</v>
      </c>
      <c r="V51">
        <v>17</v>
      </c>
      <c r="W51">
        <v>14524.8</v>
      </c>
      <c r="X51">
        <v>22</v>
      </c>
      <c r="Y51">
        <v>18796.8</v>
      </c>
      <c r="Z51">
        <v>13</v>
      </c>
      <c r="AA51">
        <v>11107.199999999999</v>
      </c>
      <c r="AB51">
        <v>18</v>
      </c>
      <c r="AC51">
        <v>15379.199999999999</v>
      </c>
      <c r="AD51">
        <v>14</v>
      </c>
      <c r="AE51">
        <v>11961.6</v>
      </c>
      <c r="AF51">
        <v>16</v>
      </c>
      <c r="AG51">
        <v>13670.4</v>
      </c>
      <c r="AH51">
        <v>17</v>
      </c>
      <c r="AI51">
        <v>14524.8</v>
      </c>
      <c r="AJ51">
        <v>15</v>
      </c>
      <c r="AK51">
        <v>12816</v>
      </c>
      <c r="AL51">
        <v>19</v>
      </c>
      <c r="AM51">
        <v>16233.6</v>
      </c>
      <c r="AN51">
        <v>11</v>
      </c>
      <c r="AO51">
        <v>9398.4</v>
      </c>
      <c r="AP51">
        <v>19</v>
      </c>
      <c r="AQ51">
        <v>16233.6</v>
      </c>
      <c r="AR51">
        <v>13</v>
      </c>
      <c r="AS51">
        <v>11107.199999999999</v>
      </c>
      <c r="AT51">
        <v>20</v>
      </c>
      <c r="AU51">
        <v>17088</v>
      </c>
      <c r="AV51">
        <v>13</v>
      </c>
      <c r="AW51">
        <v>11107.199999999999</v>
      </c>
      <c r="AX51">
        <v>16</v>
      </c>
      <c r="AY51">
        <v>13670.4</v>
      </c>
      <c r="AZ51">
        <v>16</v>
      </c>
      <c r="BA51">
        <v>13670.4</v>
      </c>
      <c r="BB51">
        <v>19</v>
      </c>
      <c r="BC51">
        <v>16233.6</v>
      </c>
      <c r="BD51">
        <v>13</v>
      </c>
      <c r="BE51">
        <v>11107.199999999999</v>
      </c>
      <c r="BF51">
        <v>11</v>
      </c>
      <c r="BG51">
        <v>9398.4</v>
      </c>
      <c r="BH51">
        <v>12</v>
      </c>
      <c r="BI51">
        <v>10252.799999999999</v>
      </c>
      <c r="BJ51">
        <v>17</v>
      </c>
      <c r="BK51">
        <v>14524.8</v>
      </c>
      <c r="BL51">
        <v>16</v>
      </c>
      <c r="BM51">
        <v>13670.4</v>
      </c>
      <c r="BN51">
        <v>22</v>
      </c>
      <c r="BO51">
        <v>18796.8</v>
      </c>
      <c r="BP51">
        <v>19</v>
      </c>
      <c r="BQ51">
        <v>16233.6</v>
      </c>
      <c r="BR51">
        <v>17</v>
      </c>
      <c r="BS51">
        <v>14524.8</v>
      </c>
      <c r="BT51">
        <v>18</v>
      </c>
      <c r="BU51">
        <v>15379.199999999999</v>
      </c>
      <c r="BV51">
        <v>11</v>
      </c>
      <c r="BW51">
        <v>9398.4</v>
      </c>
      <c r="BX51">
        <v>18</v>
      </c>
      <c r="BY51">
        <v>15379.199999999999</v>
      </c>
      <c r="BZ51">
        <v>17</v>
      </c>
      <c r="CA51">
        <v>14524.8</v>
      </c>
      <c r="CB51">
        <v>17</v>
      </c>
      <c r="CC51">
        <v>14524.8</v>
      </c>
      <c r="CD51">
        <v>17</v>
      </c>
      <c r="CE51">
        <v>14524.8</v>
      </c>
      <c r="CF51">
        <v>21</v>
      </c>
      <c r="CG51">
        <v>17942.399999999998</v>
      </c>
      <c r="CH51">
        <v>13</v>
      </c>
      <c r="CI51">
        <v>11107.199999999999</v>
      </c>
      <c r="CJ51">
        <v>11</v>
      </c>
      <c r="CK51">
        <v>9398.4</v>
      </c>
      <c r="CL51">
        <v>18</v>
      </c>
      <c r="CM51">
        <v>15379.199999999999</v>
      </c>
      <c r="CN51">
        <v>13</v>
      </c>
      <c r="CO51">
        <v>11107.199999999999</v>
      </c>
      <c r="CP51">
        <v>15</v>
      </c>
      <c r="CQ51">
        <v>12816</v>
      </c>
      <c r="CR51">
        <v>17</v>
      </c>
      <c r="CS51">
        <v>14524.8</v>
      </c>
      <c r="CT51">
        <v>14</v>
      </c>
      <c r="CU51">
        <v>11961.6</v>
      </c>
    </row>
    <row r="52" spans="2:99" x14ac:dyDescent="0.2">
      <c r="C52" s="116" t="s">
        <v>218</v>
      </c>
      <c r="D52">
        <v>21</v>
      </c>
      <c r="E52">
        <v>11340</v>
      </c>
      <c r="F52">
        <v>17</v>
      </c>
      <c r="G52">
        <v>9180</v>
      </c>
      <c r="H52">
        <v>23</v>
      </c>
      <c r="I52">
        <v>12420</v>
      </c>
      <c r="J52">
        <v>20</v>
      </c>
      <c r="K52">
        <v>10800</v>
      </c>
      <c r="L52">
        <v>15</v>
      </c>
      <c r="M52">
        <v>8100</v>
      </c>
      <c r="N52">
        <v>14</v>
      </c>
      <c r="O52">
        <v>7560</v>
      </c>
      <c r="P52">
        <v>11</v>
      </c>
      <c r="Q52">
        <v>5940</v>
      </c>
      <c r="R52">
        <v>11</v>
      </c>
      <c r="S52">
        <v>5940</v>
      </c>
      <c r="T52">
        <v>21</v>
      </c>
      <c r="U52">
        <v>11340</v>
      </c>
      <c r="V52">
        <v>17</v>
      </c>
      <c r="W52">
        <v>9180</v>
      </c>
      <c r="X52">
        <v>23</v>
      </c>
      <c r="Y52">
        <v>12420</v>
      </c>
      <c r="Z52">
        <v>14</v>
      </c>
      <c r="AA52">
        <v>7560</v>
      </c>
      <c r="AB52">
        <v>20</v>
      </c>
      <c r="AC52">
        <v>10800</v>
      </c>
      <c r="AD52">
        <v>14</v>
      </c>
      <c r="AE52">
        <v>7560</v>
      </c>
      <c r="AF52">
        <v>16</v>
      </c>
      <c r="AG52">
        <v>8640</v>
      </c>
      <c r="AH52">
        <v>17</v>
      </c>
      <c r="AI52">
        <v>9180</v>
      </c>
      <c r="AJ52">
        <v>16</v>
      </c>
      <c r="AK52">
        <v>8640</v>
      </c>
      <c r="AL52">
        <v>20</v>
      </c>
      <c r="AM52">
        <v>10800</v>
      </c>
      <c r="AN52">
        <v>12</v>
      </c>
      <c r="AO52">
        <v>6480</v>
      </c>
      <c r="AP52">
        <v>21</v>
      </c>
      <c r="AQ52">
        <v>11340</v>
      </c>
      <c r="AR52">
        <v>14</v>
      </c>
      <c r="AS52">
        <v>7560</v>
      </c>
      <c r="AT52">
        <v>19</v>
      </c>
      <c r="AU52">
        <v>10260</v>
      </c>
      <c r="AV52">
        <v>15</v>
      </c>
      <c r="AW52">
        <v>8100</v>
      </c>
      <c r="AX52">
        <v>19</v>
      </c>
      <c r="AY52">
        <v>10260</v>
      </c>
      <c r="AZ52">
        <v>15</v>
      </c>
      <c r="BA52">
        <v>8100</v>
      </c>
      <c r="BB52">
        <v>18</v>
      </c>
      <c r="BC52">
        <v>9720</v>
      </c>
      <c r="BD52">
        <v>14</v>
      </c>
      <c r="BE52">
        <v>7560</v>
      </c>
      <c r="BF52">
        <v>10</v>
      </c>
      <c r="BG52">
        <v>5400</v>
      </c>
      <c r="BH52">
        <v>13</v>
      </c>
      <c r="BI52">
        <v>7020</v>
      </c>
      <c r="BJ52">
        <v>16</v>
      </c>
      <c r="BK52">
        <v>8640</v>
      </c>
      <c r="BL52">
        <v>16</v>
      </c>
      <c r="BM52">
        <v>8640</v>
      </c>
      <c r="BN52">
        <v>19</v>
      </c>
      <c r="BO52">
        <v>10260</v>
      </c>
      <c r="BP52">
        <v>19</v>
      </c>
      <c r="BQ52">
        <v>10260</v>
      </c>
      <c r="BR52">
        <v>17</v>
      </c>
      <c r="BS52">
        <v>9180</v>
      </c>
      <c r="BT52">
        <v>21</v>
      </c>
      <c r="BU52">
        <v>11340</v>
      </c>
      <c r="BV52">
        <v>11</v>
      </c>
      <c r="BW52">
        <v>5940</v>
      </c>
      <c r="BX52">
        <v>17</v>
      </c>
      <c r="BY52">
        <v>9180</v>
      </c>
      <c r="BZ52">
        <v>17</v>
      </c>
      <c r="CA52">
        <v>9180</v>
      </c>
      <c r="CB52">
        <v>18</v>
      </c>
      <c r="CC52">
        <v>9720</v>
      </c>
      <c r="CD52">
        <v>18</v>
      </c>
      <c r="CE52">
        <v>9720</v>
      </c>
      <c r="CF52">
        <v>21</v>
      </c>
      <c r="CG52">
        <v>11340</v>
      </c>
      <c r="CH52">
        <v>15</v>
      </c>
      <c r="CI52">
        <v>8100</v>
      </c>
      <c r="CJ52">
        <v>13</v>
      </c>
      <c r="CK52">
        <v>7020</v>
      </c>
      <c r="CL52">
        <v>20</v>
      </c>
      <c r="CM52">
        <v>10800</v>
      </c>
      <c r="CN52">
        <v>14</v>
      </c>
      <c r="CO52">
        <v>7560</v>
      </c>
      <c r="CP52">
        <v>15</v>
      </c>
      <c r="CQ52">
        <v>8100</v>
      </c>
      <c r="CR52">
        <v>18</v>
      </c>
      <c r="CS52">
        <v>9720</v>
      </c>
      <c r="CT52">
        <v>14</v>
      </c>
      <c r="CU52">
        <v>7560</v>
      </c>
    </row>
    <row r="53" spans="2:99" x14ac:dyDescent="0.2">
      <c r="C53" s="116" t="s">
        <v>219</v>
      </c>
      <c r="D53">
        <v>21</v>
      </c>
      <c r="E53">
        <v>8542.8000000000011</v>
      </c>
      <c r="F53">
        <v>17</v>
      </c>
      <c r="G53">
        <v>6915.6</v>
      </c>
      <c r="H53">
        <v>23</v>
      </c>
      <c r="I53">
        <v>9356.4</v>
      </c>
      <c r="J53">
        <v>22</v>
      </c>
      <c r="K53">
        <v>8949.6</v>
      </c>
      <c r="L53">
        <v>15</v>
      </c>
      <c r="M53">
        <v>6102</v>
      </c>
      <c r="N53">
        <v>16</v>
      </c>
      <c r="O53">
        <v>6508.8</v>
      </c>
      <c r="P53">
        <v>12</v>
      </c>
      <c r="Q53">
        <v>4881.6000000000004</v>
      </c>
      <c r="R53">
        <v>12</v>
      </c>
      <c r="S53">
        <v>4881.6000000000004</v>
      </c>
      <c r="T53">
        <v>20</v>
      </c>
      <c r="U53">
        <v>8136</v>
      </c>
      <c r="V53">
        <v>17</v>
      </c>
      <c r="W53">
        <v>6915.6</v>
      </c>
      <c r="X53">
        <v>23</v>
      </c>
      <c r="Y53">
        <v>9356.4</v>
      </c>
      <c r="Z53">
        <v>13</v>
      </c>
      <c r="AA53">
        <v>5288.4000000000005</v>
      </c>
      <c r="AB53">
        <v>20</v>
      </c>
      <c r="AC53">
        <v>8136</v>
      </c>
      <c r="AD53">
        <v>15</v>
      </c>
      <c r="AE53">
        <v>6102</v>
      </c>
      <c r="AF53">
        <v>19</v>
      </c>
      <c r="AG53">
        <v>7729.2</v>
      </c>
      <c r="AH53">
        <v>19</v>
      </c>
      <c r="AI53">
        <v>7729.2</v>
      </c>
      <c r="AJ53">
        <v>16</v>
      </c>
      <c r="AK53">
        <v>6508.8</v>
      </c>
      <c r="AL53">
        <v>19</v>
      </c>
      <c r="AM53">
        <v>7729.2</v>
      </c>
      <c r="AN53">
        <v>12</v>
      </c>
      <c r="AO53">
        <v>4881.6000000000004</v>
      </c>
      <c r="AP53">
        <v>19</v>
      </c>
      <c r="AQ53">
        <v>7729.2</v>
      </c>
      <c r="AR53">
        <v>12</v>
      </c>
      <c r="AS53">
        <v>4881.6000000000004</v>
      </c>
      <c r="AT53">
        <v>21</v>
      </c>
      <c r="AU53">
        <v>8542.8000000000011</v>
      </c>
      <c r="AV53">
        <v>15</v>
      </c>
      <c r="AW53">
        <v>6102</v>
      </c>
      <c r="AX53">
        <v>19</v>
      </c>
      <c r="AY53">
        <v>7729.2</v>
      </c>
      <c r="AZ53">
        <v>16</v>
      </c>
      <c r="BA53">
        <v>6508.8</v>
      </c>
      <c r="BB53">
        <v>19</v>
      </c>
      <c r="BC53">
        <v>7729.2</v>
      </c>
      <c r="BD53">
        <v>13</v>
      </c>
      <c r="BE53">
        <v>5288.4000000000005</v>
      </c>
      <c r="BF53">
        <v>10</v>
      </c>
      <c r="BG53">
        <v>4068</v>
      </c>
      <c r="BH53">
        <v>12</v>
      </c>
      <c r="BI53">
        <v>4881.6000000000004</v>
      </c>
      <c r="BJ53">
        <v>18</v>
      </c>
      <c r="BK53">
        <v>7322.4000000000005</v>
      </c>
      <c r="BL53">
        <v>16</v>
      </c>
      <c r="BM53">
        <v>6508.8</v>
      </c>
      <c r="BN53">
        <v>23</v>
      </c>
      <c r="BO53">
        <v>9356.4</v>
      </c>
      <c r="BP53">
        <v>18</v>
      </c>
      <c r="BQ53">
        <v>7322.4000000000005</v>
      </c>
      <c r="BR53">
        <v>18</v>
      </c>
      <c r="BS53">
        <v>7322.4000000000005</v>
      </c>
      <c r="BT53">
        <v>20</v>
      </c>
      <c r="BU53">
        <v>8136</v>
      </c>
      <c r="BV53">
        <v>11</v>
      </c>
      <c r="BW53">
        <v>4474.8</v>
      </c>
      <c r="BX53">
        <v>18</v>
      </c>
      <c r="BY53">
        <v>7322.4000000000005</v>
      </c>
      <c r="BZ53">
        <v>18</v>
      </c>
      <c r="CA53">
        <v>7322.4000000000005</v>
      </c>
      <c r="CB53">
        <v>18</v>
      </c>
      <c r="CC53">
        <v>7322.4000000000005</v>
      </c>
      <c r="CD53">
        <v>17</v>
      </c>
      <c r="CE53">
        <v>6915.6</v>
      </c>
      <c r="CF53">
        <v>20</v>
      </c>
      <c r="CG53">
        <v>8136</v>
      </c>
      <c r="CH53">
        <v>14</v>
      </c>
      <c r="CI53">
        <v>5695.2</v>
      </c>
      <c r="CJ53">
        <v>13</v>
      </c>
      <c r="CK53">
        <v>5288.4000000000005</v>
      </c>
      <c r="CL53">
        <v>19</v>
      </c>
      <c r="CM53">
        <v>7729.2</v>
      </c>
      <c r="CN53">
        <v>13</v>
      </c>
      <c r="CO53">
        <v>5288.4000000000005</v>
      </c>
      <c r="CP53">
        <v>17</v>
      </c>
      <c r="CQ53">
        <v>6915.6</v>
      </c>
      <c r="CR53">
        <v>20</v>
      </c>
      <c r="CS53">
        <v>8136</v>
      </c>
      <c r="CT53">
        <v>14</v>
      </c>
      <c r="CU53">
        <v>5695.2</v>
      </c>
    </row>
    <row r="54" spans="2:99" x14ac:dyDescent="0.2">
      <c r="C54" s="116" t="s">
        <v>220</v>
      </c>
      <c r="D54">
        <v>19</v>
      </c>
      <c r="E54">
        <v>6361.2</v>
      </c>
      <c r="F54">
        <v>18</v>
      </c>
      <c r="G54">
        <v>6026.4000000000005</v>
      </c>
      <c r="H54">
        <v>23</v>
      </c>
      <c r="I54">
        <v>7700.4000000000005</v>
      </c>
      <c r="J54">
        <v>23</v>
      </c>
      <c r="K54">
        <v>7700.4000000000005</v>
      </c>
      <c r="L54">
        <v>14</v>
      </c>
      <c r="M54">
        <v>4687.2</v>
      </c>
      <c r="N54">
        <v>15</v>
      </c>
      <c r="O54">
        <v>5022</v>
      </c>
      <c r="P54">
        <v>13</v>
      </c>
      <c r="Q54">
        <v>4352.4000000000005</v>
      </c>
      <c r="R54">
        <v>14</v>
      </c>
      <c r="S54">
        <v>4687.2</v>
      </c>
      <c r="T54">
        <v>19</v>
      </c>
      <c r="U54">
        <v>6361.2</v>
      </c>
      <c r="V54">
        <v>21</v>
      </c>
      <c r="W54">
        <v>7030.8</v>
      </c>
      <c r="X54">
        <v>23</v>
      </c>
      <c r="Y54">
        <v>7700.4000000000005</v>
      </c>
      <c r="Z54">
        <v>14</v>
      </c>
      <c r="AA54">
        <v>4687.2</v>
      </c>
      <c r="AB54">
        <v>20</v>
      </c>
      <c r="AC54">
        <v>6696</v>
      </c>
      <c r="AD54">
        <v>13</v>
      </c>
      <c r="AE54">
        <v>4352.4000000000005</v>
      </c>
      <c r="AF54">
        <v>17</v>
      </c>
      <c r="AG54">
        <v>5691.6</v>
      </c>
      <c r="AH54">
        <v>20</v>
      </c>
      <c r="AI54">
        <v>6696</v>
      </c>
      <c r="AJ54">
        <v>15</v>
      </c>
      <c r="AK54">
        <v>5022</v>
      </c>
      <c r="AL54">
        <v>21</v>
      </c>
      <c r="AM54">
        <v>7030.8</v>
      </c>
      <c r="AN54">
        <v>12</v>
      </c>
      <c r="AO54">
        <v>4017.6000000000004</v>
      </c>
      <c r="AP54">
        <v>20</v>
      </c>
      <c r="AQ54">
        <v>6696</v>
      </c>
      <c r="AR54">
        <v>14</v>
      </c>
      <c r="AS54">
        <v>4687.2</v>
      </c>
      <c r="AT54">
        <v>20</v>
      </c>
      <c r="AU54">
        <v>6696</v>
      </c>
      <c r="AV54">
        <v>14</v>
      </c>
      <c r="AW54">
        <v>4687.2</v>
      </c>
      <c r="AX54">
        <v>19</v>
      </c>
      <c r="AY54">
        <v>6361.2</v>
      </c>
      <c r="AZ54">
        <v>16</v>
      </c>
      <c r="BA54">
        <v>5356.8</v>
      </c>
      <c r="BB54">
        <v>20</v>
      </c>
      <c r="BC54">
        <v>6696</v>
      </c>
      <c r="BD54">
        <v>14</v>
      </c>
      <c r="BE54">
        <v>4687.2</v>
      </c>
      <c r="BF54">
        <v>11</v>
      </c>
      <c r="BG54">
        <v>3682.8</v>
      </c>
      <c r="BH54">
        <v>12</v>
      </c>
      <c r="BI54">
        <v>4017.6000000000004</v>
      </c>
      <c r="BJ54">
        <v>18</v>
      </c>
      <c r="BK54">
        <v>6026.4000000000005</v>
      </c>
      <c r="BL54">
        <v>15</v>
      </c>
      <c r="BM54">
        <v>5022</v>
      </c>
      <c r="BN54">
        <v>21</v>
      </c>
      <c r="BO54">
        <v>7030.8</v>
      </c>
      <c r="BP54">
        <v>19</v>
      </c>
      <c r="BQ54">
        <v>6361.2</v>
      </c>
      <c r="BR54">
        <v>18</v>
      </c>
      <c r="BS54">
        <v>6026.4000000000005</v>
      </c>
      <c r="BT54">
        <v>19</v>
      </c>
      <c r="BU54">
        <v>6361.2</v>
      </c>
      <c r="BV54">
        <v>11</v>
      </c>
      <c r="BW54">
        <v>3682.8</v>
      </c>
      <c r="BX54">
        <v>18</v>
      </c>
      <c r="BY54">
        <v>6026.4000000000005</v>
      </c>
      <c r="BZ54">
        <v>18</v>
      </c>
      <c r="CA54">
        <v>6026.4000000000005</v>
      </c>
      <c r="CB54">
        <v>16</v>
      </c>
      <c r="CC54">
        <v>5356.8</v>
      </c>
      <c r="CD54">
        <v>19</v>
      </c>
      <c r="CE54">
        <v>6361.2</v>
      </c>
      <c r="CF54">
        <v>21</v>
      </c>
      <c r="CG54">
        <v>7030.8</v>
      </c>
      <c r="CH54">
        <v>14</v>
      </c>
      <c r="CI54">
        <v>4687.2</v>
      </c>
      <c r="CJ54">
        <v>12</v>
      </c>
      <c r="CK54">
        <v>4017.6000000000004</v>
      </c>
      <c r="CL54">
        <v>19</v>
      </c>
      <c r="CM54">
        <v>6361.2</v>
      </c>
      <c r="CN54">
        <v>14</v>
      </c>
      <c r="CO54">
        <v>4687.2</v>
      </c>
      <c r="CP54">
        <v>17</v>
      </c>
      <c r="CQ54">
        <v>5691.6</v>
      </c>
      <c r="CR54">
        <v>21</v>
      </c>
      <c r="CS54">
        <v>7030.8</v>
      </c>
      <c r="CT54">
        <v>13</v>
      </c>
      <c r="CU54">
        <v>4352.4000000000005</v>
      </c>
    </row>
    <row r="55" spans="2:99" x14ac:dyDescent="0.2">
      <c r="C55" s="116" t="s">
        <v>221</v>
      </c>
      <c r="D55">
        <v>20</v>
      </c>
      <c r="E55">
        <v>13272</v>
      </c>
      <c r="F55">
        <v>16</v>
      </c>
      <c r="G55">
        <v>10617.6</v>
      </c>
      <c r="H55">
        <v>22</v>
      </c>
      <c r="I55">
        <v>14599.2</v>
      </c>
      <c r="J55">
        <v>18</v>
      </c>
      <c r="K55">
        <v>11944.800000000001</v>
      </c>
      <c r="L55">
        <v>14</v>
      </c>
      <c r="M55">
        <v>9290.4</v>
      </c>
      <c r="N55">
        <v>14</v>
      </c>
      <c r="O55">
        <v>9290.4</v>
      </c>
      <c r="P55">
        <v>12</v>
      </c>
      <c r="Q55">
        <v>7963.2000000000007</v>
      </c>
      <c r="R55">
        <v>13</v>
      </c>
      <c r="S55">
        <v>8626.8000000000011</v>
      </c>
      <c r="T55">
        <v>18</v>
      </c>
      <c r="U55">
        <v>11944.800000000001</v>
      </c>
      <c r="V55">
        <v>18</v>
      </c>
      <c r="W55">
        <v>11944.800000000001</v>
      </c>
      <c r="X55">
        <v>22</v>
      </c>
      <c r="Y55">
        <v>14599.2</v>
      </c>
      <c r="Z55">
        <v>12</v>
      </c>
      <c r="AA55">
        <v>7963.2000000000007</v>
      </c>
      <c r="AB55">
        <v>20</v>
      </c>
      <c r="AC55">
        <v>13272</v>
      </c>
      <c r="AD55">
        <v>13</v>
      </c>
      <c r="AE55">
        <v>8626.8000000000011</v>
      </c>
      <c r="AF55">
        <v>18</v>
      </c>
      <c r="AG55">
        <v>11944.800000000001</v>
      </c>
      <c r="AH55">
        <v>20</v>
      </c>
      <c r="AI55">
        <v>13272</v>
      </c>
      <c r="AJ55">
        <v>16</v>
      </c>
      <c r="AK55">
        <v>10617.6</v>
      </c>
      <c r="AL55">
        <v>19</v>
      </c>
      <c r="AM55">
        <v>12608.4</v>
      </c>
      <c r="AN55">
        <v>12</v>
      </c>
      <c r="AO55">
        <v>7963.2000000000007</v>
      </c>
      <c r="AP55">
        <v>19</v>
      </c>
      <c r="AQ55">
        <v>12608.4</v>
      </c>
      <c r="AR55">
        <v>14</v>
      </c>
      <c r="AS55">
        <v>9290.4</v>
      </c>
      <c r="AT55">
        <v>19</v>
      </c>
      <c r="AU55">
        <v>12608.4</v>
      </c>
      <c r="AV55">
        <v>14</v>
      </c>
      <c r="AW55">
        <v>9290.4</v>
      </c>
      <c r="AX55">
        <v>19</v>
      </c>
      <c r="AY55">
        <v>12608.4</v>
      </c>
      <c r="AZ55">
        <v>15</v>
      </c>
      <c r="BA55">
        <v>9954</v>
      </c>
      <c r="BB55">
        <v>19</v>
      </c>
      <c r="BC55">
        <v>12608.4</v>
      </c>
      <c r="BD55">
        <v>12</v>
      </c>
      <c r="BE55">
        <v>7963.2000000000007</v>
      </c>
      <c r="BF55">
        <v>10</v>
      </c>
      <c r="BG55">
        <v>6636</v>
      </c>
      <c r="BH55">
        <v>14</v>
      </c>
      <c r="BI55">
        <v>9290.4</v>
      </c>
      <c r="BJ55">
        <v>18</v>
      </c>
      <c r="BK55">
        <v>11944.800000000001</v>
      </c>
      <c r="BL55">
        <v>17</v>
      </c>
      <c r="BM55">
        <v>11281.2</v>
      </c>
      <c r="BN55">
        <v>19</v>
      </c>
      <c r="BO55">
        <v>12608.4</v>
      </c>
      <c r="BP55">
        <v>19</v>
      </c>
      <c r="BQ55">
        <v>12608.4</v>
      </c>
      <c r="BR55">
        <v>19</v>
      </c>
      <c r="BS55">
        <v>12608.4</v>
      </c>
      <c r="BT55">
        <v>20</v>
      </c>
      <c r="BU55">
        <v>13272</v>
      </c>
      <c r="BV55">
        <v>11</v>
      </c>
      <c r="BW55">
        <v>7299.6</v>
      </c>
      <c r="BX55">
        <v>18</v>
      </c>
      <c r="BY55">
        <v>11944.800000000001</v>
      </c>
      <c r="BZ55">
        <v>17</v>
      </c>
      <c r="CA55">
        <v>11281.2</v>
      </c>
      <c r="CB55">
        <v>18</v>
      </c>
      <c r="CC55">
        <v>11944.800000000001</v>
      </c>
      <c r="CD55">
        <v>17</v>
      </c>
      <c r="CE55">
        <v>11281.2</v>
      </c>
      <c r="CF55">
        <v>20</v>
      </c>
      <c r="CG55">
        <v>13272</v>
      </c>
      <c r="CH55">
        <v>14</v>
      </c>
      <c r="CI55">
        <v>9290.4</v>
      </c>
      <c r="CJ55">
        <v>13</v>
      </c>
      <c r="CK55">
        <v>8626.8000000000011</v>
      </c>
      <c r="CL55">
        <v>20</v>
      </c>
      <c r="CM55">
        <v>13272</v>
      </c>
      <c r="CN55">
        <v>14</v>
      </c>
      <c r="CO55">
        <v>9290.4</v>
      </c>
      <c r="CP55">
        <v>15</v>
      </c>
      <c r="CQ55">
        <v>9954</v>
      </c>
      <c r="CR55">
        <v>17</v>
      </c>
      <c r="CS55">
        <v>11281.2</v>
      </c>
      <c r="CT55">
        <v>13</v>
      </c>
      <c r="CU55">
        <v>8626.8000000000011</v>
      </c>
    </row>
    <row r="56" spans="2:99" x14ac:dyDescent="0.2">
      <c r="C56" s="116" t="s">
        <v>222</v>
      </c>
      <c r="D56">
        <v>18.235821375189929</v>
      </c>
      <c r="E56">
        <v>20985.783238568569</v>
      </c>
      <c r="F56">
        <v>17.589610853769607</v>
      </c>
      <c r="G56">
        <v>20242.124170518062</v>
      </c>
      <c r="H56">
        <v>20.769346908234201</v>
      </c>
      <c r="I56">
        <v>23901.364421995917</v>
      </c>
      <c r="J56">
        <v>21.549672813801308</v>
      </c>
      <c r="K56">
        <v>24799.363474122543</v>
      </c>
      <c r="L56">
        <v>12.599699069618831</v>
      </c>
      <c r="M56">
        <v>14499.733689317351</v>
      </c>
      <c r="N56">
        <v>14</v>
      </c>
      <c r="O56">
        <v>16111.199999999999</v>
      </c>
      <c r="P56">
        <v>11.488945159064139</v>
      </c>
      <c r="Q56">
        <v>13221.47808905101</v>
      </c>
      <c r="R56">
        <v>11</v>
      </c>
      <c r="S56">
        <v>12658.8</v>
      </c>
      <c r="T56">
        <v>17.484092259086449</v>
      </c>
      <c r="U56">
        <v>20120.693371756683</v>
      </c>
      <c r="V56">
        <v>18.64626339525665</v>
      </c>
      <c r="W56">
        <v>21458.119915261352</v>
      </c>
      <c r="X56">
        <v>22.488194089333689</v>
      </c>
      <c r="Y56">
        <v>25879.413758005208</v>
      </c>
      <c r="Z56">
        <v>13.794440778793687</v>
      </c>
      <c r="AA56">
        <v>15874.642448235774</v>
      </c>
      <c r="AB56">
        <v>17</v>
      </c>
      <c r="AC56">
        <v>19563.599999999999</v>
      </c>
      <c r="AD56">
        <v>13.276989104237352</v>
      </c>
      <c r="AE56">
        <v>15279.159061156344</v>
      </c>
      <c r="AF56">
        <v>2.4992217862302426</v>
      </c>
      <c r="AG56">
        <v>2876.1044315937629</v>
      </c>
      <c r="AH56">
        <v>1.9407284463581207</v>
      </c>
      <c r="AI56">
        <v>2233.3902960689252</v>
      </c>
      <c r="AJ56">
        <v>1.8158378342192596</v>
      </c>
      <c r="AK56">
        <v>2089.666179619524</v>
      </c>
      <c r="AL56">
        <v>2.4537132191550812</v>
      </c>
      <c r="AM56">
        <v>2823.7331726036673</v>
      </c>
      <c r="AN56">
        <v>1.5525932201574415</v>
      </c>
      <c r="AO56">
        <v>1786.7242777571837</v>
      </c>
      <c r="AP56">
        <v>2.9048529985725646</v>
      </c>
      <c r="AQ56">
        <v>3342.9048307573071</v>
      </c>
      <c r="AR56">
        <v>1.8157069201352023</v>
      </c>
      <c r="AS56">
        <v>2089.5155236915907</v>
      </c>
      <c r="AT56">
        <v>2.7049878970434507</v>
      </c>
      <c r="AU56">
        <v>3112.9000719176029</v>
      </c>
      <c r="AV56">
        <v>2.052418080985424</v>
      </c>
      <c r="AW56">
        <v>2361.9227275980256</v>
      </c>
      <c r="AX56">
        <v>2.3102822216496381</v>
      </c>
      <c r="AY56">
        <v>2658.6727806744034</v>
      </c>
      <c r="AZ56">
        <v>1.7127310280951271</v>
      </c>
      <c r="BA56">
        <v>1971.0108671318721</v>
      </c>
      <c r="BB56">
        <v>2.3875150229276598</v>
      </c>
      <c r="BC56">
        <v>2747.5522883851509</v>
      </c>
      <c r="BD56">
        <v>1.7854562271052736</v>
      </c>
      <c r="BE56">
        <v>2054.7030261527489</v>
      </c>
      <c r="BF56">
        <v>1.3658421860600007</v>
      </c>
      <c r="BG56">
        <v>1571.8111877178487</v>
      </c>
      <c r="BH56">
        <v>2.3754676901311287</v>
      </c>
      <c r="BI56">
        <v>2733.6882178029027</v>
      </c>
      <c r="BJ56">
        <v>2.5370668763183817</v>
      </c>
      <c r="BK56">
        <v>2919.6565612671934</v>
      </c>
      <c r="BL56">
        <v>2.1008468543639292</v>
      </c>
      <c r="BM56">
        <v>2417.6545600020095</v>
      </c>
      <c r="BN56">
        <v>2.5955388239512329</v>
      </c>
      <c r="BO56">
        <v>2986.9460786030786</v>
      </c>
      <c r="BP56">
        <v>2.8862099694846135</v>
      </c>
      <c r="BQ56">
        <v>3321.450432882893</v>
      </c>
      <c r="BR56">
        <v>2.0816908611904412</v>
      </c>
      <c r="BS56">
        <v>2395.6098430579596</v>
      </c>
      <c r="BT56">
        <v>2.233818056863905</v>
      </c>
      <c r="BU56">
        <v>2570.6778198389816</v>
      </c>
      <c r="BV56">
        <v>1.2068260095780594</v>
      </c>
      <c r="BW56">
        <v>1388.8153718224307</v>
      </c>
      <c r="BX56">
        <v>2.4478671879297282</v>
      </c>
      <c r="BY56">
        <v>2817.0055598695312</v>
      </c>
      <c r="BZ56">
        <v>1.6620726468858238</v>
      </c>
      <c r="CA56">
        <v>1912.713202036206</v>
      </c>
      <c r="CB56">
        <v>2.6394814003094824</v>
      </c>
      <c r="CC56">
        <v>3037.5151954761523</v>
      </c>
      <c r="CD56">
        <v>2.0468634547395479</v>
      </c>
      <c r="CE56">
        <v>2355.5304637142717</v>
      </c>
      <c r="CF56">
        <v>2.163415510636725</v>
      </c>
      <c r="CG56">
        <v>2489.6585696407428</v>
      </c>
      <c r="CH56">
        <v>1.8948543423446942</v>
      </c>
      <c r="CI56">
        <v>2180.598377170274</v>
      </c>
      <c r="CJ56">
        <v>1.385983746099902</v>
      </c>
      <c r="CK56">
        <v>1594.9900950117672</v>
      </c>
      <c r="CL56">
        <v>1.9728266484135697</v>
      </c>
      <c r="CM56">
        <v>2270.3289069943357</v>
      </c>
      <c r="CN56">
        <v>1.4492724281532086</v>
      </c>
      <c r="CO56">
        <v>1667.8227103187123</v>
      </c>
      <c r="CP56">
        <v>2.0352679405058982</v>
      </c>
      <c r="CQ56">
        <v>2342.1863459341876</v>
      </c>
      <c r="CR56">
        <v>2.1736126694800566</v>
      </c>
      <c r="CS56">
        <v>2501.3934600376492</v>
      </c>
      <c r="CT56">
        <v>1.9422704806960673</v>
      </c>
      <c r="CU56">
        <v>2235.1648691850341</v>
      </c>
    </row>
    <row r="57" spans="2:99" x14ac:dyDescent="0.2">
      <c r="C57" s="116" t="s">
        <v>223</v>
      </c>
      <c r="D57">
        <v>17</v>
      </c>
      <c r="E57">
        <v>23990.400000000001</v>
      </c>
      <c r="F57">
        <v>15</v>
      </c>
      <c r="G57">
        <v>21168</v>
      </c>
      <c r="H57">
        <v>18</v>
      </c>
      <c r="I57">
        <v>25401.600000000002</v>
      </c>
      <c r="J57">
        <v>18</v>
      </c>
      <c r="K57">
        <v>25401.600000000002</v>
      </c>
      <c r="L57">
        <v>12</v>
      </c>
      <c r="M57">
        <v>16934.400000000001</v>
      </c>
      <c r="N57">
        <v>12</v>
      </c>
      <c r="O57">
        <v>16934.400000000001</v>
      </c>
      <c r="P57">
        <v>10</v>
      </c>
      <c r="Q57">
        <v>14112</v>
      </c>
      <c r="R57">
        <v>11</v>
      </c>
      <c r="S57">
        <v>15523.2</v>
      </c>
      <c r="T57">
        <v>19</v>
      </c>
      <c r="U57">
        <v>26812.799999999999</v>
      </c>
      <c r="V57">
        <v>17</v>
      </c>
      <c r="W57">
        <v>23990.400000000001</v>
      </c>
      <c r="X57">
        <v>19</v>
      </c>
      <c r="Y57">
        <v>26812.799999999999</v>
      </c>
      <c r="Z57">
        <v>13</v>
      </c>
      <c r="AA57">
        <v>18345.600000000002</v>
      </c>
      <c r="AB57">
        <v>15</v>
      </c>
      <c r="AC57">
        <v>21168</v>
      </c>
      <c r="AD57">
        <v>13</v>
      </c>
      <c r="AE57">
        <v>18345.600000000002</v>
      </c>
      <c r="AF57">
        <v>14</v>
      </c>
      <c r="AG57">
        <v>19756.8</v>
      </c>
      <c r="AH57">
        <v>18</v>
      </c>
      <c r="AI57">
        <v>25401.600000000002</v>
      </c>
      <c r="AJ57">
        <v>14</v>
      </c>
      <c r="AK57">
        <v>19756.8</v>
      </c>
      <c r="AL57">
        <v>16</v>
      </c>
      <c r="AM57">
        <v>22579.200000000001</v>
      </c>
      <c r="AN57">
        <v>11</v>
      </c>
      <c r="AO57">
        <v>15523.2</v>
      </c>
      <c r="AP57">
        <v>19</v>
      </c>
      <c r="AQ57">
        <v>26812.799999999999</v>
      </c>
      <c r="AR57">
        <v>13</v>
      </c>
      <c r="AS57">
        <v>18345.600000000002</v>
      </c>
      <c r="AT57">
        <v>17</v>
      </c>
      <c r="AU57">
        <v>23990.400000000001</v>
      </c>
      <c r="AV57">
        <v>14</v>
      </c>
      <c r="AW57">
        <v>19756.8</v>
      </c>
      <c r="AX57">
        <v>18</v>
      </c>
      <c r="AY57">
        <v>25401.600000000002</v>
      </c>
      <c r="AZ57">
        <v>14</v>
      </c>
      <c r="BA57">
        <v>19756.8</v>
      </c>
      <c r="BB57">
        <v>16</v>
      </c>
      <c r="BC57">
        <v>22579.200000000001</v>
      </c>
      <c r="BD57">
        <v>13</v>
      </c>
      <c r="BE57">
        <v>18345.600000000002</v>
      </c>
      <c r="BF57">
        <v>9</v>
      </c>
      <c r="BG57">
        <v>12700.800000000001</v>
      </c>
      <c r="BH57">
        <v>11</v>
      </c>
      <c r="BI57">
        <v>15523.2</v>
      </c>
      <c r="BJ57">
        <v>17</v>
      </c>
      <c r="BK57">
        <v>23990.400000000001</v>
      </c>
      <c r="BL57">
        <v>15</v>
      </c>
      <c r="BM57">
        <v>21168</v>
      </c>
      <c r="BN57">
        <v>20</v>
      </c>
      <c r="BO57">
        <v>28224</v>
      </c>
      <c r="BP57">
        <v>17</v>
      </c>
      <c r="BQ57">
        <v>23990.400000000001</v>
      </c>
      <c r="BR57">
        <v>15</v>
      </c>
      <c r="BS57">
        <v>21168</v>
      </c>
      <c r="BT57">
        <v>18</v>
      </c>
      <c r="BU57">
        <v>25401.600000000002</v>
      </c>
      <c r="BV57">
        <v>10</v>
      </c>
      <c r="BW57">
        <v>14112</v>
      </c>
      <c r="BX57">
        <v>16</v>
      </c>
      <c r="BY57">
        <v>22579.200000000001</v>
      </c>
      <c r="BZ57">
        <v>15</v>
      </c>
      <c r="CA57">
        <v>21168</v>
      </c>
      <c r="CB57">
        <v>17</v>
      </c>
      <c r="CC57">
        <v>23990.400000000001</v>
      </c>
      <c r="CD57">
        <v>14</v>
      </c>
      <c r="CE57">
        <v>19756.8</v>
      </c>
      <c r="CF57">
        <v>19</v>
      </c>
      <c r="CG57">
        <v>26812.799999999999</v>
      </c>
      <c r="CH57">
        <v>12</v>
      </c>
      <c r="CI57">
        <v>16934.400000000001</v>
      </c>
      <c r="CJ57">
        <v>11</v>
      </c>
      <c r="CK57">
        <v>15523.2</v>
      </c>
      <c r="CL57">
        <v>17</v>
      </c>
      <c r="CM57">
        <v>23990.400000000001</v>
      </c>
      <c r="CN57">
        <v>12</v>
      </c>
      <c r="CO57">
        <v>16934.400000000001</v>
      </c>
      <c r="CP57">
        <v>13</v>
      </c>
      <c r="CQ57">
        <v>18345.600000000002</v>
      </c>
      <c r="CR57">
        <v>17</v>
      </c>
      <c r="CS57">
        <v>23990.400000000001</v>
      </c>
      <c r="CT57">
        <v>13</v>
      </c>
      <c r="CU57">
        <v>18345.600000000002</v>
      </c>
    </row>
    <row r="58" spans="2:99" x14ac:dyDescent="0.2">
      <c r="C58" s="116" t="s">
        <v>224</v>
      </c>
      <c r="D58">
        <v>20.251542800202589</v>
      </c>
      <c r="E58">
        <v>23840.116184398488</v>
      </c>
      <c r="F58">
        <v>17.510996073266991</v>
      </c>
      <c r="G58">
        <v>20613.944577449904</v>
      </c>
      <c r="H58">
        <v>20.721262726469565</v>
      </c>
      <c r="I58">
        <v>24393.070481599974</v>
      </c>
      <c r="J58">
        <v>21.549672813801308</v>
      </c>
      <c r="K58">
        <v>25368.274836406901</v>
      </c>
      <c r="L58">
        <v>12.599699069618831</v>
      </c>
      <c r="M58">
        <v>14832.365744755289</v>
      </c>
      <c r="N58">
        <v>13</v>
      </c>
      <c r="O58">
        <v>15303.6</v>
      </c>
      <c r="P58">
        <v>10.488945159064139</v>
      </c>
      <c r="Q58">
        <v>12347.586241250305</v>
      </c>
      <c r="R58">
        <v>11.196622287968442</v>
      </c>
      <c r="S58">
        <v>13180.663757396451</v>
      </c>
      <c r="T58">
        <v>17.516365076358877</v>
      </c>
      <c r="U58">
        <v>20620.264967889671</v>
      </c>
      <c r="V58">
        <v>17.64626339525665</v>
      </c>
      <c r="W58">
        <v>20773.181268896129</v>
      </c>
      <c r="X58">
        <v>20.459476789961119</v>
      </c>
      <c r="Y58">
        <v>24084.896077142232</v>
      </c>
      <c r="Z58">
        <v>14.934636210345515</v>
      </c>
      <c r="AA58">
        <v>17581.053746818739</v>
      </c>
      <c r="AB58">
        <v>19.67187285821494</v>
      </c>
      <c r="AC58">
        <v>23157.728728690628</v>
      </c>
      <c r="AD58">
        <v>13.233941545032568</v>
      </c>
      <c r="AE58">
        <v>15578.995986812341</v>
      </c>
      <c r="AF58">
        <v>2.362026659962432</v>
      </c>
      <c r="AG58">
        <v>2780.5777841077752</v>
      </c>
      <c r="AH58">
        <v>2.1833195021528859</v>
      </c>
      <c r="AI58">
        <v>2570.2037179343774</v>
      </c>
      <c r="AJ58">
        <v>1.8224189857243716</v>
      </c>
      <c r="AK58">
        <v>2145.3516299947305</v>
      </c>
      <c r="AL58">
        <v>2.0723636467802824</v>
      </c>
      <c r="AM58">
        <v>2439.5864849897484</v>
      </c>
      <c r="AN58">
        <v>1.6759613872901471</v>
      </c>
      <c r="AO58">
        <v>1972.9417451179613</v>
      </c>
      <c r="AP58">
        <v>3.2185836839123887</v>
      </c>
      <c r="AQ58">
        <v>3788.916712701664</v>
      </c>
      <c r="AR58">
        <v>1.6819557210426097</v>
      </c>
      <c r="AS58">
        <v>1979.9982748113603</v>
      </c>
      <c r="AT58">
        <v>2.2778845448786953</v>
      </c>
      <c r="AU58">
        <v>2681.5256862312003</v>
      </c>
      <c r="AV58">
        <v>2.052418080985424</v>
      </c>
      <c r="AW58">
        <v>2416.1065649360412</v>
      </c>
      <c r="AX58">
        <v>2.7285457742595938</v>
      </c>
      <c r="AY58">
        <v>3212.044085458394</v>
      </c>
      <c r="AZ58">
        <v>1.5979654590177006</v>
      </c>
      <c r="BA58">
        <v>1881.1249383556371</v>
      </c>
      <c r="BB58">
        <v>2.0212489851501423</v>
      </c>
      <c r="BC58">
        <v>2379.4143053187477</v>
      </c>
      <c r="BD58">
        <v>1.7777474775450557</v>
      </c>
      <c r="BE58">
        <v>2092.7643305660395</v>
      </c>
      <c r="BF58">
        <v>1.3658421860600007</v>
      </c>
      <c r="BG58">
        <v>1607.869421429833</v>
      </c>
      <c r="BH58">
        <v>2.0201634816189098</v>
      </c>
      <c r="BI58">
        <v>2378.1364505617807</v>
      </c>
      <c r="BJ58">
        <v>2.7019792052328979</v>
      </c>
      <c r="BK58">
        <v>3180.7699204001674</v>
      </c>
      <c r="BL58">
        <v>2.2149598606920482</v>
      </c>
      <c r="BM58">
        <v>2607.4507480066791</v>
      </c>
      <c r="BN58">
        <v>2.7259345088909517</v>
      </c>
      <c r="BO58">
        <v>3208.9701038664284</v>
      </c>
      <c r="BP58">
        <v>2.8862099694846135</v>
      </c>
      <c r="BQ58">
        <v>3397.6463760772872</v>
      </c>
      <c r="BR58">
        <v>1.9610044274887717</v>
      </c>
      <c r="BS58">
        <v>2308.4944120397822</v>
      </c>
      <c r="BT58">
        <v>2.1120517082589583</v>
      </c>
      <c r="BU58">
        <v>2486.3072709624457</v>
      </c>
      <c r="BV58">
        <v>1.191305819221284</v>
      </c>
      <c r="BW58">
        <v>1402.4052103872955</v>
      </c>
      <c r="BX58">
        <v>2.4535780765066768</v>
      </c>
      <c r="BY58">
        <v>2888.3521116636603</v>
      </c>
      <c r="BZ58">
        <v>1.8844878895338881</v>
      </c>
      <c r="CA58">
        <v>2218.4191435592934</v>
      </c>
      <c r="CB58">
        <v>2.2240859699218727</v>
      </c>
      <c r="CC58">
        <v>2618.1940037920285</v>
      </c>
      <c r="CD58">
        <v>1.7138019037252286</v>
      </c>
      <c r="CE58">
        <v>2017.487601065339</v>
      </c>
      <c r="CF58">
        <v>2.4154753863749212</v>
      </c>
      <c r="CG58">
        <v>2843.4976248405574</v>
      </c>
      <c r="CH58">
        <v>1.6232472255400416</v>
      </c>
      <c r="CI58">
        <v>1910.8866339057372</v>
      </c>
      <c r="CJ58">
        <v>1.6378200784443531</v>
      </c>
      <c r="CK58">
        <v>1928.0417963446926</v>
      </c>
      <c r="CL58">
        <v>2.0876325979827803</v>
      </c>
      <c r="CM58">
        <v>2457.5610943453289</v>
      </c>
      <c r="CN58">
        <v>1.4492724281532086</v>
      </c>
      <c r="CO58">
        <v>1706.0835024219573</v>
      </c>
      <c r="CP58">
        <v>1.8015602747893247</v>
      </c>
      <c r="CQ58">
        <v>2120.7967554819929</v>
      </c>
      <c r="CR58">
        <v>2.3088909841536283</v>
      </c>
      <c r="CS58">
        <v>2718.0264665456511</v>
      </c>
      <c r="CT58">
        <v>1.9422704806960673</v>
      </c>
      <c r="CU58">
        <v>2286.4408098754107</v>
      </c>
    </row>
    <row r="59" spans="2:99" x14ac:dyDescent="0.2">
      <c r="C59" s="116" t="s">
        <v>225</v>
      </c>
      <c r="D59">
        <v>21</v>
      </c>
      <c r="E59">
        <v>6375.5999999999995</v>
      </c>
      <c r="F59">
        <v>19</v>
      </c>
      <c r="G59">
        <v>5768.4</v>
      </c>
      <c r="H59">
        <v>21</v>
      </c>
      <c r="I59">
        <v>6375.5999999999995</v>
      </c>
      <c r="J59">
        <v>21</v>
      </c>
      <c r="K59">
        <v>6375.5999999999995</v>
      </c>
      <c r="L59">
        <v>15</v>
      </c>
      <c r="M59">
        <v>4553.9999999999991</v>
      </c>
      <c r="N59">
        <v>15</v>
      </c>
      <c r="O59">
        <v>4553.9999999999991</v>
      </c>
      <c r="P59">
        <v>11</v>
      </c>
      <c r="Q59">
        <v>3339.5999999999995</v>
      </c>
      <c r="R59">
        <v>13</v>
      </c>
      <c r="S59">
        <v>3946.7999999999997</v>
      </c>
      <c r="T59">
        <v>22</v>
      </c>
      <c r="U59">
        <v>6679.1999999999989</v>
      </c>
      <c r="V59">
        <v>18</v>
      </c>
      <c r="W59">
        <v>5464.7999999999993</v>
      </c>
      <c r="X59">
        <v>22</v>
      </c>
      <c r="Y59">
        <v>6679.1999999999989</v>
      </c>
      <c r="Z59">
        <v>15</v>
      </c>
      <c r="AA59">
        <v>4553.9999999999991</v>
      </c>
      <c r="AB59">
        <v>21</v>
      </c>
      <c r="AC59">
        <v>6375.5999999999995</v>
      </c>
      <c r="AD59">
        <v>13</v>
      </c>
      <c r="AE59">
        <v>3946.7999999999997</v>
      </c>
      <c r="AF59">
        <v>18</v>
      </c>
      <c r="AG59">
        <v>5464.7999999999993</v>
      </c>
      <c r="AH59">
        <v>18</v>
      </c>
      <c r="AI59">
        <v>5464.7999999999993</v>
      </c>
      <c r="AJ59">
        <v>16</v>
      </c>
      <c r="AK59">
        <v>4857.5999999999995</v>
      </c>
      <c r="AL59">
        <v>20</v>
      </c>
      <c r="AM59">
        <v>6071.9999999999991</v>
      </c>
      <c r="AN59">
        <v>11</v>
      </c>
      <c r="AO59">
        <v>3339.5999999999995</v>
      </c>
      <c r="AP59">
        <v>22</v>
      </c>
      <c r="AQ59">
        <v>6679.1999999999989</v>
      </c>
      <c r="AR59">
        <v>14</v>
      </c>
      <c r="AS59">
        <v>4250.3999999999996</v>
      </c>
      <c r="AT59">
        <v>22</v>
      </c>
      <c r="AU59">
        <v>6679.1999999999989</v>
      </c>
      <c r="AV59">
        <v>14</v>
      </c>
      <c r="AW59">
        <v>4250.3999999999996</v>
      </c>
      <c r="AX59">
        <v>19</v>
      </c>
      <c r="AY59">
        <v>5768.4</v>
      </c>
      <c r="AZ59">
        <v>16</v>
      </c>
      <c r="BA59">
        <v>4857.5999999999995</v>
      </c>
      <c r="BB59">
        <v>18</v>
      </c>
      <c r="BC59">
        <v>5464.7999999999993</v>
      </c>
      <c r="BD59">
        <v>13</v>
      </c>
      <c r="BE59">
        <v>3946.7999999999997</v>
      </c>
      <c r="BF59">
        <v>11</v>
      </c>
      <c r="BG59">
        <v>3339.5999999999995</v>
      </c>
      <c r="BH59">
        <v>14</v>
      </c>
      <c r="BI59">
        <v>4250.3999999999996</v>
      </c>
      <c r="BJ59">
        <v>19</v>
      </c>
      <c r="BK59">
        <v>5768.4</v>
      </c>
      <c r="BL59">
        <v>18</v>
      </c>
      <c r="BM59">
        <v>5464.7999999999993</v>
      </c>
      <c r="BN59">
        <v>21</v>
      </c>
      <c r="BO59">
        <v>6375.5999999999995</v>
      </c>
      <c r="BP59">
        <v>18</v>
      </c>
      <c r="BQ59">
        <v>5464.7999999999993</v>
      </c>
      <c r="BR59">
        <v>18</v>
      </c>
      <c r="BS59">
        <v>5464.7999999999993</v>
      </c>
      <c r="BT59">
        <v>19</v>
      </c>
      <c r="BU59">
        <v>5768.4</v>
      </c>
      <c r="BV59">
        <v>11</v>
      </c>
      <c r="BW59">
        <v>3339.5999999999995</v>
      </c>
      <c r="BX59">
        <v>19</v>
      </c>
      <c r="BY59">
        <v>5768.4</v>
      </c>
      <c r="BZ59">
        <v>17</v>
      </c>
      <c r="CA59">
        <v>5161.2</v>
      </c>
      <c r="CB59">
        <v>16</v>
      </c>
      <c r="CC59">
        <v>4857.5999999999995</v>
      </c>
      <c r="CD59">
        <v>16</v>
      </c>
      <c r="CE59">
        <v>4857.5999999999995</v>
      </c>
      <c r="CF59">
        <v>19</v>
      </c>
      <c r="CG59">
        <v>5768.4</v>
      </c>
      <c r="CH59">
        <v>13</v>
      </c>
      <c r="CI59">
        <v>3946.7999999999997</v>
      </c>
      <c r="CJ59">
        <v>12</v>
      </c>
      <c r="CK59">
        <v>3643.2</v>
      </c>
      <c r="CL59">
        <v>21</v>
      </c>
      <c r="CM59">
        <v>6375.5999999999995</v>
      </c>
      <c r="CN59">
        <v>13</v>
      </c>
      <c r="CO59">
        <v>3946.7999999999997</v>
      </c>
      <c r="CP59">
        <v>16</v>
      </c>
      <c r="CQ59">
        <v>4857.5999999999995</v>
      </c>
      <c r="CR59">
        <v>20</v>
      </c>
      <c r="CS59">
        <v>6071.9999999999991</v>
      </c>
      <c r="CT59">
        <v>14</v>
      </c>
      <c r="CU59">
        <v>4250.3999999999996</v>
      </c>
    </row>
    <row r="60" spans="2:99" x14ac:dyDescent="0.2">
      <c r="C60" s="116" t="s">
        <v>226</v>
      </c>
      <c r="D60">
        <v>20</v>
      </c>
      <c r="E60">
        <v>13032</v>
      </c>
      <c r="F60">
        <v>18</v>
      </c>
      <c r="G60">
        <v>11728.800000000001</v>
      </c>
      <c r="H60">
        <v>22</v>
      </c>
      <c r="I60">
        <v>14335.2</v>
      </c>
      <c r="J60">
        <v>18</v>
      </c>
      <c r="K60">
        <v>11728.800000000001</v>
      </c>
      <c r="L60">
        <v>14</v>
      </c>
      <c r="M60">
        <v>9122.4</v>
      </c>
      <c r="N60">
        <v>15</v>
      </c>
      <c r="O60">
        <v>9774</v>
      </c>
      <c r="P60">
        <v>12</v>
      </c>
      <c r="Q60">
        <v>7819.2000000000007</v>
      </c>
      <c r="R60">
        <v>12</v>
      </c>
      <c r="S60">
        <v>7819.2000000000007</v>
      </c>
      <c r="T60">
        <v>19</v>
      </c>
      <c r="U60">
        <v>12380.4</v>
      </c>
      <c r="V60">
        <v>18</v>
      </c>
      <c r="W60">
        <v>11728.800000000001</v>
      </c>
      <c r="X60">
        <v>23</v>
      </c>
      <c r="Y60">
        <v>14986.800000000001</v>
      </c>
      <c r="Z60">
        <v>14</v>
      </c>
      <c r="AA60">
        <v>9122.4</v>
      </c>
      <c r="AB60">
        <v>20</v>
      </c>
      <c r="AC60">
        <v>13032</v>
      </c>
      <c r="AD60">
        <v>14</v>
      </c>
      <c r="AE60">
        <v>9122.4</v>
      </c>
      <c r="AF60">
        <v>16</v>
      </c>
      <c r="AG60">
        <v>10425.6</v>
      </c>
      <c r="AH60">
        <v>17</v>
      </c>
      <c r="AI60">
        <v>11077.2</v>
      </c>
      <c r="AJ60">
        <v>14</v>
      </c>
      <c r="AK60">
        <v>9122.4</v>
      </c>
      <c r="AL60">
        <v>18</v>
      </c>
      <c r="AM60">
        <v>11728.800000000001</v>
      </c>
      <c r="AN60">
        <v>12</v>
      </c>
      <c r="AO60">
        <v>7819.2000000000007</v>
      </c>
      <c r="AP60">
        <v>20</v>
      </c>
      <c r="AQ60">
        <v>13032</v>
      </c>
      <c r="AR60">
        <v>14</v>
      </c>
      <c r="AS60">
        <v>9122.4</v>
      </c>
      <c r="AT60">
        <v>18</v>
      </c>
      <c r="AU60">
        <v>11728.800000000001</v>
      </c>
      <c r="AV60">
        <v>13</v>
      </c>
      <c r="AW60">
        <v>8470.8000000000011</v>
      </c>
      <c r="AX60">
        <v>20</v>
      </c>
      <c r="AY60">
        <v>13032</v>
      </c>
      <c r="AZ60">
        <v>15</v>
      </c>
      <c r="BA60">
        <v>9774</v>
      </c>
      <c r="BB60">
        <v>20</v>
      </c>
      <c r="BC60">
        <v>13032</v>
      </c>
      <c r="BD60">
        <v>12</v>
      </c>
      <c r="BE60">
        <v>7819.2000000000007</v>
      </c>
      <c r="BF60">
        <v>12</v>
      </c>
      <c r="BG60">
        <v>7819.2000000000007</v>
      </c>
      <c r="BH60">
        <v>12</v>
      </c>
      <c r="BI60">
        <v>7819.2000000000007</v>
      </c>
      <c r="BJ60">
        <v>16</v>
      </c>
      <c r="BK60">
        <v>10425.6</v>
      </c>
      <c r="BL60">
        <v>15</v>
      </c>
      <c r="BM60">
        <v>9774</v>
      </c>
      <c r="BN60">
        <v>23</v>
      </c>
      <c r="BO60">
        <v>14986.800000000001</v>
      </c>
      <c r="BP60">
        <v>18</v>
      </c>
      <c r="BQ60">
        <v>11728.800000000001</v>
      </c>
      <c r="BR60">
        <v>16</v>
      </c>
      <c r="BS60">
        <v>10425.6</v>
      </c>
      <c r="BT60">
        <v>18</v>
      </c>
      <c r="BU60">
        <v>11728.800000000001</v>
      </c>
      <c r="BV60">
        <v>11</v>
      </c>
      <c r="BW60">
        <v>7167.6</v>
      </c>
      <c r="BX60">
        <v>17</v>
      </c>
      <c r="BY60">
        <v>11077.2</v>
      </c>
      <c r="BZ60">
        <v>16</v>
      </c>
      <c r="CA60">
        <v>10425.6</v>
      </c>
      <c r="CB60">
        <v>18</v>
      </c>
      <c r="CC60">
        <v>11728.800000000001</v>
      </c>
      <c r="CD60">
        <v>16</v>
      </c>
      <c r="CE60">
        <v>10425.6</v>
      </c>
      <c r="CF60">
        <v>18</v>
      </c>
      <c r="CG60">
        <v>11728.800000000001</v>
      </c>
      <c r="CH60">
        <v>14</v>
      </c>
      <c r="CI60">
        <v>9122.4</v>
      </c>
      <c r="CJ60">
        <v>11</v>
      </c>
      <c r="CK60">
        <v>7167.6</v>
      </c>
      <c r="CL60">
        <v>20</v>
      </c>
      <c r="CM60">
        <v>13032</v>
      </c>
      <c r="CN60">
        <v>12</v>
      </c>
      <c r="CO60">
        <v>7819.2000000000007</v>
      </c>
      <c r="CP60">
        <v>16</v>
      </c>
      <c r="CQ60">
        <v>10425.6</v>
      </c>
      <c r="CR60">
        <v>18</v>
      </c>
      <c r="CS60">
        <v>11728.800000000001</v>
      </c>
      <c r="CT60">
        <v>14</v>
      </c>
      <c r="CU60">
        <v>9122.4</v>
      </c>
    </row>
    <row r="61" spans="2:99" x14ac:dyDescent="0.2">
      <c r="C61" s="116" t="s">
        <v>227</v>
      </c>
      <c r="D61">
        <v>20</v>
      </c>
      <c r="E61">
        <v>19032</v>
      </c>
      <c r="F61">
        <v>17</v>
      </c>
      <c r="G61">
        <v>16177.199999999999</v>
      </c>
      <c r="H61">
        <v>22</v>
      </c>
      <c r="I61">
        <v>20935.199999999997</v>
      </c>
      <c r="J61">
        <v>18</v>
      </c>
      <c r="K61">
        <v>17128.8</v>
      </c>
      <c r="L61">
        <v>12</v>
      </c>
      <c r="M61">
        <v>11419.199999999999</v>
      </c>
      <c r="N61">
        <v>14</v>
      </c>
      <c r="O61">
        <v>13322.399999999998</v>
      </c>
      <c r="P61">
        <v>10</v>
      </c>
      <c r="Q61">
        <v>9516</v>
      </c>
      <c r="R61">
        <v>11</v>
      </c>
      <c r="S61">
        <v>10467.599999999999</v>
      </c>
      <c r="T61">
        <v>18</v>
      </c>
      <c r="U61">
        <v>17128.8</v>
      </c>
      <c r="V61">
        <v>18</v>
      </c>
      <c r="W61">
        <v>17128.8</v>
      </c>
      <c r="X61">
        <v>21</v>
      </c>
      <c r="Y61">
        <v>19983.599999999999</v>
      </c>
      <c r="Z61">
        <v>13</v>
      </c>
      <c r="AA61">
        <v>12370.8</v>
      </c>
      <c r="AB61">
        <v>19</v>
      </c>
      <c r="AC61">
        <v>18080.399999999998</v>
      </c>
      <c r="AD61">
        <v>13</v>
      </c>
      <c r="AE61">
        <v>12370.8</v>
      </c>
      <c r="AF61">
        <v>17</v>
      </c>
      <c r="AG61">
        <v>16177.199999999999</v>
      </c>
      <c r="AH61">
        <v>18</v>
      </c>
      <c r="AI61">
        <v>17128.8</v>
      </c>
      <c r="AJ61">
        <v>15</v>
      </c>
      <c r="AK61">
        <v>14273.999999999998</v>
      </c>
      <c r="AL61">
        <v>18</v>
      </c>
      <c r="AM61">
        <v>17128.8</v>
      </c>
      <c r="AN61">
        <v>11</v>
      </c>
      <c r="AO61">
        <v>10467.599999999999</v>
      </c>
      <c r="AP61">
        <v>19</v>
      </c>
      <c r="AQ61">
        <v>18080.399999999998</v>
      </c>
      <c r="AR61">
        <v>14</v>
      </c>
      <c r="AS61">
        <v>13322.399999999998</v>
      </c>
      <c r="AT61">
        <v>20</v>
      </c>
      <c r="AU61">
        <v>19032</v>
      </c>
      <c r="AV61">
        <v>12</v>
      </c>
      <c r="AW61">
        <v>11419.199999999999</v>
      </c>
      <c r="AX61">
        <v>18</v>
      </c>
      <c r="AY61">
        <v>17128.8</v>
      </c>
      <c r="AZ61">
        <v>16</v>
      </c>
      <c r="BA61">
        <v>15225.599999999999</v>
      </c>
      <c r="BB61">
        <v>18</v>
      </c>
      <c r="BC61">
        <v>17128.8</v>
      </c>
      <c r="BD61">
        <v>13</v>
      </c>
      <c r="BE61">
        <v>12370.8</v>
      </c>
      <c r="BF61">
        <v>10</v>
      </c>
      <c r="BG61">
        <v>9516</v>
      </c>
      <c r="BH61">
        <v>12</v>
      </c>
      <c r="BI61">
        <v>11419.199999999999</v>
      </c>
      <c r="BJ61">
        <v>19</v>
      </c>
      <c r="BK61">
        <v>18080.399999999998</v>
      </c>
      <c r="BL61">
        <v>16</v>
      </c>
      <c r="BM61">
        <v>15225.599999999999</v>
      </c>
      <c r="BN61">
        <v>18</v>
      </c>
      <c r="BO61">
        <v>17128.8</v>
      </c>
      <c r="BP61">
        <v>20</v>
      </c>
      <c r="BQ61">
        <v>19032</v>
      </c>
      <c r="BR61">
        <v>16</v>
      </c>
      <c r="BS61">
        <v>15225.599999999999</v>
      </c>
      <c r="BT61">
        <v>19</v>
      </c>
      <c r="BU61">
        <v>18080.399999999998</v>
      </c>
      <c r="BV61">
        <v>10</v>
      </c>
      <c r="BW61">
        <v>9516</v>
      </c>
      <c r="BX61">
        <v>17</v>
      </c>
      <c r="BY61">
        <v>16177.199999999999</v>
      </c>
      <c r="BZ61">
        <v>17</v>
      </c>
      <c r="CA61">
        <v>16177.199999999999</v>
      </c>
      <c r="CB61">
        <v>16</v>
      </c>
      <c r="CC61">
        <v>15225.599999999999</v>
      </c>
      <c r="CD61">
        <v>15</v>
      </c>
      <c r="CE61">
        <v>14273.999999999998</v>
      </c>
      <c r="CF61">
        <v>18</v>
      </c>
      <c r="CG61">
        <v>17128.8</v>
      </c>
      <c r="CH61">
        <v>14</v>
      </c>
      <c r="CI61">
        <v>13322.399999999998</v>
      </c>
      <c r="CJ61">
        <v>11</v>
      </c>
      <c r="CK61">
        <v>10467.599999999999</v>
      </c>
      <c r="CL61">
        <v>20</v>
      </c>
      <c r="CM61">
        <v>19032</v>
      </c>
      <c r="CN61">
        <v>12</v>
      </c>
      <c r="CO61">
        <v>11419.199999999999</v>
      </c>
      <c r="CP61">
        <v>15</v>
      </c>
      <c r="CQ61">
        <v>14273.999999999998</v>
      </c>
      <c r="CR61">
        <v>19</v>
      </c>
      <c r="CS61">
        <v>18080.399999999998</v>
      </c>
      <c r="CT61">
        <v>13</v>
      </c>
      <c r="CU61">
        <v>12370.8</v>
      </c>
    </row>
    <row r="62" spans="2:99" x14ac:dyDescent="0.2">
      <c r="C62" s="116" t="s">
        <v>228</v>
      </c>
      <c r="D62">
        <v>17</v>
      </c>
      <c r="E62">
        <v>28988.400000000001</v>
      </c>
      <c r="F62">
        <v>15</v>
      </c>
      <c r="G62">
        <v>25578</v>
      </c>
      <c r="H62">
        <v>19</v>
      </c>
      <c r="I62">
        <v>32398.799999999999</v>
      </c>
      <c r="J62">
        <v>17</v>
      </c>
      <c r="K62">
        <v>28988.400000000001</v>
      </c>
      <c r="L62">
        <v>11</v>
      </c>
      <c r="M62">
        <v>18757.2</v>
      </c>
      <c r="N62">
        <v>12</v>
      </c>
      <c r="O62">
        <v>20462.400000000001</v>
      </c>
      <c r="P62">
        <v>10</v>
      </c>
      <c r="Q62">
        <v>17052</v>
      </c>
      <c r="R62">
        <v>11</v>
      </c>
      <c r="S62">
        <v>18757.2</v>
      </c>
      <c r="T62">
        <v>19</v>
      </c>
      <c r="U62">
        <v>32398.799999999999</v>
      </c>
      <c r="V62">
        <v>15</v>
      </c>
      <c r="W62">
        <v>25578</v>
      </c>
      <c r="X62">
        <v>21</v>
      </c>
      <c r="Y62">
        <v>35809.200000000004</v>
      </c>
      <c r="Z62">
        <v>13</v>
      </c>
      <c r="AA62">
        <v>22167.600000000002</v>
      </c>
      <c r="AB62">
        <v>18</v>
      </c>
      <c r="AC62">
        <v>30693.600000000002</v>
      </c>
      <c r="AD62">
        <v>13</v>
      </c>
      <c r="AE62">
        <v>22167.600000000002</v>
      </c>
      <c r="AF62">
        <v>16</v>
      </c>
      <c r="AG62">
        <v>27283.200000000001</v>
      </c>
      <c r="AH62">
        <v>15</v>
      </c>
      <c r="AI62">
        <v>25578</v>
      </c>
      <c r="AJ62">
        <v>14</v>
      </c>
      <c r="AK62">
        <v>23872.799999999999</v>
      </c>
      <c r="AL62">
        <v>15</v>
      </c>
      <c r="AM62">
        <v>25578</v>
      </c>
      <c r="AN62">
        <v>11</v>
      </c>
      <c r="AO62">
        <v>18757.2</v>
      </c>
      <c r="AP62">
        <v>17</v>
      </c>
      <c r="AQ62">
        <v>28988.400000000001</v>
      </c>
      <c r="AR62">
        <v>13</v>
      </c>
      <c r="AS62">
        <v>22167.600000000002</v>
      </c>
      <c r="AT62">
        <v>17</v>
      </c>
      <c r="AU62">
        <v>28988.400000000001</v>
      </c>
      <c r="AV62">
        <v>13</v>
      </c>
      <c r="AW62">
        <v>22167.600000000002</v>
      </c>
      <c r="AX62">
        <v>15</v>
      </c>
      <c r="AY62">
        <v>25578</v>
      </c>
      <c r="AZ62">
        <v>12</v>
      </c>
      <c r="BA62">
        <v>20462.400000000001</v>
      </c>
      <c r="BB62">
        <v>15</v>
      </c>
      <c r="BC62">
        <v>25578</v>
      </c>
      <c r="BD62">
        <v>11</v>
      </c>
      <c r="BE62">
        <v>18757.2</v>
      </c>
      <c r="BF62">
        <v>10</v>
      </c>
      <c r="BG62">
        <v>17052</v>
      </c>
      <c r="BH62">
        <v>10</v>
      </c>
      <c r="BI62">
        <v>17052</v>
      </c>
      <c r="BJ62">
        <v>14</v>
      </c>
      <c r="BK62">
        <v>23872.799999999999</v>
      </c>
      <c r="BL62">
        <v>14</v>
      </c>
      <c r="BM62">
        <v>23872.799999999999</v>
      </c>
      <c r="BN62">
        <v>20</v>
      </c>
      <c r="BO62">
        <v>34104</v>
      </c>
      <c r="BP62">
        <v>16</v>
      </c>
      <c r="BQ62">
        <v>27283.200000000001</v>
      </c>
      <c r="BR62">
        <v>15</v>
      </c>
      <c r="BS62">
        <v>25578</v>
      </c>
      <c r="BT62">
        <v>16</v>
      </c>
      <c r="BU62">
        <v>27283.200000000001</v>
      </c>
      <c r="BV62">
        <v>9</v>
      </c>
      <c r="BW62">
        <v>15346.800000000001</v>
      </c>
      <c r="BX62">
        <v>16</v>
      </c>
      <c r="BY62">
        <v>27283.200000000001</v>
      </c>
      <c r="BZ62">
        <v>14</v>
      </c>
      <c r="CA62">
        <v>23872.799999999999</v>
      </c>
      <c r="CB62">
        <v>16</v>
      </c>
      <c r="CC62">
        <v>27283.200000000001</v>
      </c>
      <c r="CD62">
        <v>14</v>
      </c>
      <c r="CE62">
        <v>23872.799999999999</v>
      </c>
      <c r="CF62">
        <v>19</v>
      </c>
      <c r="CG62">
        <v>32398.799999999999</v>
      </c>
      <c r="CH62">
        <v>11</v>
      </c>
      <c r="CI62">
        <v>18757.2</v>
      </c>
      <c r="CJ62">
        <v>11</v>
      </c>
      <c r="CK62">
        <v>18757.2</v>
      </c>
      <c r="CL62">
        <v>15</v>
      </c>
      <c r="CM62">
        <v>25578</v>
      </c>
      <c r="CN62">
        <v>11</v>
      </c>
      <c r="CO62">
        <v>18757.2</v>
      </c>
      <c r="CP62">
        <v>13</v>
      </c>
      <c r="CQ62">
        <v>22167.600000000002</v>
      </c>
      <c r="CR62">
        <v>16</v>
      </c>
      <c r="CS62">
        <v>27283.200000000001</v>
      </c>
      <c r="CT62">
        <v>14</v>
      </c>
      <c r="CU62">
        <v>23872.799999999999</v>
      </c>
    </row>
    <row r="63" spans="2:99" x14ac:dyDescent="0.2">
      <c r="C63" s="116" t="s">
        <v>229</v>
      </c>
      <c r="D63">
        <v>18</v>
      </c>
      <c r="E63">
        <v>14320.800000000001</v>
      </c>
      <c r="F63">
        <v>17</v>
      </c>
      <c r="G63">
        <v>13525.2</v>
      </c>
      <c r="H63">
        <v>22</v>
      </c>
      <c r="I63">
        <v>17503.2</v>
      </c>
      <c r="J63">
        <v>21</v>
      </c>
      <c r="K63">
        <v>16707.600000000002</v>
      </c>
      <c r="L63">
        <v>13</v>
      </c>
      <c r="M63">
        <v>10342.800000000001</v>
      </c>
      <c r="N63">
        <v>14</v>
      </c>
      <c r="O63">
        <v>11138.4</v>
      </c>
      <c r="P63">
        <v>12</v>
      </c>
      <c r="Q63">
        <v>9547.2000000000007</v>
      </c>
      <c r="R63">
        <v>13</v>
      </c>
      <c r="S63">
        <v>10342.800000000001</v>
      </c>
      <c r="T63">
        <v>21</v>
      </c>
      <c r="U63">
        <v>16707.600000000002</v>
      </c>
      <c r="V63">
        <v>19</v>
      </c>
      <c r="W63">
        <v>15116.4</v>
      </c>
      <c r="X63">
        <v>23</v>
      </c>
      <c r="Y63">
        <v>18298.8</v>
      </c>
      <c r="Z63">
        <v>13</v>
      </c>
      <c r="AA63">
        <v>10342.800000000001</v>
      </c>
      <c r="AB63">
        <v>18</v>
      </c>
      <c r="AC63">
        <v>14320.800000000001</v>
      </c>
      <c r="AD63">
        <v>13</v>
      </c>
      <c r="AE63">
        <v>10342.800000000001</v>
      </c>
      <c r="AF63">
        <v>15</v>
      </c>
      <c r="AG63">
        <v>11934</v>
      </c>
      <c r="AH63">
        <v>17</v>
      </c>
      <c r="AI63">
        <v>13525.2</v>
      </c>
      <c r="AJ63">
        <v>15</v>
      </c>
      <c r="AK63">
        <v>11934</v>
      </c>
      <c r="AL63">
        <v>20</v>
      </c>
      <c r="AM63">
        <v>15912</v>
      </c>
      <c r="AN63">
        <v>12</v>
      </c>
      <c r="AO63">
        <v>9547.2000000000007</v>
      </c>
      <c r="AP63">
        <v>19</v>
      </c>
      <c r="AQ63">
        <v>15116.4</v>
      </c>
      <c r="AR63">
        <v>14</v>
      </c>
      <c r="AS63">
        <v>11138.4</v>
      </c>
      <c r="AT63">
        <v>19</v>
      </c>
      <c r="AU63">
        <v>15116.4</v>
      </c>
      <c r="AV63">
        <v>15</v>
      </c>
      <c r="AW63">
        <v>11934</v>
      </c>
      <c r="AX63">
        <v>19</v>
      </c>
      <c r="AY63">
        <v>15116.4</v>
      </c>
      <c r="AZ63">
        <v>17</v>
      </c>
      <c r="BA63">
        <v>13525.2</v>
      </c>
      <c r="BB63">
        <v>19</v>
      </c>
      <c r="BC63">
        <v>15116.4</v>
      </c>
      <c r="BD63">
        <v>12</v>
      </c>
      <c r="BE63">
        <v>9547.2000000000007</v>
      </c>
      <c r="BF63">
        <v>11</v>
      </c>
      <c r="BG63">
        <v>8751.6</v>
      </c>
      <c r="BH63">
        <v>13</v>
      </c>
      <c r="BI63">
        <v>10342.800000000001</v>
      </c>
      <c r="BJ63">
        <v>17</v>
      </c>
      <c r="BK63">
        <v>13525.2</v>
      </c>
      <c r="BL63">
        <v>15</v>
      </c>
      <c r="BM63">
        <v>11934</v>
      </c>
      <c r="BN63">
        <v>20</v>
      </c>
      <c r="BO63">
        <v>15912</v>
      </c>
      <c r="BP63">
        <v>19</v>
      </c>
      <c r="BQ63">
        <v>15116.4</v>
      </c>
      <c r="BR63">
        <v>16</v>
      </c>
      <c r="BS63">
        <v>12729.6</v>
      </c>
      <c r="BT63">
        <v>19</v>
      </c>
      <c r="BU63">
        <v>15116.4</v>
      </c>
      <c r="BV63">
        <v>11</v>
      </c>
      <c r="BW63">
        <v>8751.6</v>
      </c>
      <c r="BX63">
        <v>19</v>
      </c>
      <c r="BY63">
        <v>15116.4</v>
      </c>
      <c r="BZ63">
        <v>17</v>
      </c>
      <c r="CA63">
        <v>13525.2</v>
      </c>
      <c r="CB63">
        <v>17</v>
      </c>
      <c r="CC63">
        <v>13525.2</v>
      </c>
      <c r="CD63">
        <v>18</v>
      </c>
      <c r="CE63">
        <v>14320.800000000001</v>
      </c>
      <c r="CF63">
        <v>19</v>
      </c>
      <c r="CG63">
        <v>15116.4</v>
      </c>
      <c r="CH63">
        <v>12</v>
      </c>
      <c r="CI63">
        <v>9547.2000000000007</v>
      </c>
      <c r="CJ63">
        <v>12</v>
      </c>
      <c r="CK63">
        <v>9547.2000000000007</v>
      </c>
      <c r="CL63">
        <v>17</v>
      </c>
      <c r="CM63">
        <v>13525.2</v>
      </c>
      <c r="CN63">
        <v>14</v>
      </c>
      <c r="CO63">
        <v>11138.4</v>
      </c>
      <c r="CP63">
        <v>14</v>
      </c>
      <c r="CQ63">
        <v>11138.4</v>
      </c>
      <c r="CR63">
        <v>19</v>
      </c>
      <c r="CS63">
        <v>15116.4</v>
      </c>
      <c r="CT63">
        <v>14</v>
      </c>
      <c r="CU63">
        <v>11138.4</v>
      </c>
    </row>
    <row r="64" spans="2:99" x14ac:dyDescent="0.2">
      <c r="C64" s="116" t="s">
        <v>230</v>
      </c>
      <c r="D64">
        <v>19</v>
      </c>
      <c r="E64">
        <v>19174.799999999996</v>
      </c>
      <c r="F64">
        <v>17</v>
      </c>
      <c r="G64">
        <v>17156.399999999998</v>
      </c>
      <c r="H64">
        <v>19</v>
      </c>
      <c r="I64">
        <v>19174.799999999996</v>
      </c>
      <c r="J64">
        <v>19</v>
      </c>
      <c r="K64">
        <v>19174.799999999996</v>
      </c>
      <c r="L64">
        <v>14</v>
      </c>
      <c r="M64">
        <v>14128.799999999997</v>
      </c>
      <c r="N64">
        <v>13</v>
      </c>
      <c r="O64">
        <v>13119.599999999999</v>
      </c>
      <c r="P64">
        <v>11</v>
      </c>
      <c r="Q64">
        <v>11101.199999999997</v>
      </c>
      <c r="R64">
        <v>12</v>
      </c>
      <c r="S64">
        <v>12110.399999999998</v>
      </c>
      <c r="T64">
        <v>19</v>
      </c>
      <c r="U64">
        <v>19174.799999999996</v>
      </c>
      <c r="V64">
        <v>19</v>
      </c>
      <c r="W64">
        <v>19174.799999999996</v>
      </c>
      <c r="X64">
        <v>19</v>
      </c>
      <c r="Y64">
        <v>19174.799999999996</v>
      </c>
      <c r="Z64">
        <v>14</v>
      </c>
      <c r="AA64">
        <v>14128.799999999997</v>
      </c>
      <c r="AB64">
        <v>18</v>
      </c>
      <c r="AC64">
        <v>18165.599999999999</v>
      </c>
      <c r="AD64">
        <v>13</v>
      </c>
      <c r="AE64">
        <v>13119.599999999999</v>
      </c>
      <c r="AF64">
        <v>16</v>
      </c>
      <c r="AG64">
        <v>16147.199999999997</v>
      </c>
      <c r="AH64">
        <v>17</v>
      </c>
      <c r="AI64">
        <v>17156.399999999998</v>
      </c>
      <c r="AJ64">
        <v>14</v>
      </c>
      <c r="AK64">
        <v>14128.799999999997</v>
      </c>
      <c r="AL64">
        <v>18</v>
      </c>
      <c r="AM64">
        <v>18165.599999999999</v>
      </c>
      <c r="AN64">
        <v>10</v>
      </c>
      <c r="AO64">
        <v>10091.999999999998</v>
      </c>
      <c r="AP64">
        <v>21</v>
      </c>
      <c r="AQ64">
        <v>21193.199999999997</v>
      </c>
      <c r="AR64">
        <v>14</v>
      </c>
      <c r="AS64">
        <v>14128.799999999997</v>
      </c>
      <c r="AT64">
        <v>19</v>
      </c>
      <c r="AU64">
        <v>19174.799999999996</v>
      </c>
      <c r="AV64">
        <v>13</v>
      </c>
      <c r="AW64">
        <v>13119.599999999999</v>
      </c>
      <c r="AX64">
        <v>18</v>
      </c>
      <c r="AY64">
        <v>18165.599999999999</v>
      </c>
      <c r="AZ64">
        <v>15</v>
      </c>
      <c r="BA64">
        <v>15137.999999999996</v>
      </c>
      <c r="BB64">
        <v>16</v>
      </c>
      <c r="BC64">
        <v>16147.199999999997</v>
      </c>
      <c r="BD64">
        <v>13</v>
      </c>
      <c r="BE64">
        <v>13119.599999999999</v>
      </c>
      <c r="BF64">
        <v>11</v>
      </c>
      <c r="BG64">
        <v>11101.199999999997</v>
      </c>
      <c r="BH64">
        <v>13</v>
      </c>
      <c r="BI64">
        <v>13119.599999999999</v>
      </c>
      <c r="BJ64">
        <v>17</v>
      </c>
      <c r="BK64">
        <v>17156.399999999998</v>
      </c>
      <c r="BL64">
        <v>15</v>
      </c>
      <c r="BM64">
        <v>15137.999999999996</v>
      </c>
      <c r="BN64">
        <v>18</v>
      </c>
      <c r="BO64">
        <v>18165.599999999999</v>
      </c>
      <c r="BP64">
        <v>17</v>
      </c>
      <c r="BQ64">
        <v>17156.399999999998</v>
      </c>
      <c r="BR64">
        <v>17</v>
      </c>
      <c r="BS64">
        <v>17156.399999999998</v>
      </c>
      <c r="BT64">
        <v>19</v>
      </c>
      <c r="BU64">
        <v>19174.799999999996</v>
      </c>
      <c r="BV64">
        <v>10</v>
      </c>
      <c r="BW64">
        <v>10091.999999999998</v>
      </c>
      <c r="BX64">
        <v>16</v>
      </c>
      <c r="BY64">
        <v>16147.199999999997</v>
      </c>
      <c r="BZ64">
        <v>16</v>
      </c>
      <c r="CA64">
        <v>16147.199999999997</v>
      </c>
      <c r="CB64">
        <v>16</v>
      </c>
      <c r="CC64">
        <v>16147.199999999997</v>
      </c>
      <c r="CD64">
        <v>16</v>
      </c>
      <c r="CE64">
        <v>16147.199999999997</v>
      </c>
      <c r="CF64">
        <v>19</v>
      </c>
      <c r="CG64">
        <v>19174.799999999996</v>
      </c>
      <c r="CH64">
        <v>12</v>
      </c>
      <c r="CI64">
        <v>12110.399999999998</v>
      </c>
      <c r="CJ64">
        <v>11</v>
      </c>
      <c r="CK64">
        <v>11101.199999999997</v>
      </c>
      <c r="CL64">
        <v>16</v>
      </c>
      <c r="CM64">
        <v>16147.199999999997</v>
      </c>
      <c r="CN64">
        <v>13</v>
      </c>
      <c r="CO64">
        <v>13119.599999999999</v>
      </c>
      <c r="CP64">
        <v>14</v>
      </c>
      <c r="CQ64">
        <v>14128.799999999997</v>
      </c>
      <c r="CR64">
        <v>16</v>
      </c>
      <c r="CS64">
        <v>16147.199999999997</v>
      </c>
      <c r="CT64">
        <v>13</v>
      </c>
      <c r="CU64">
        <v>13119.599999999999</v>
      </c>
    </row>
    <row r="65" spans="2:99" x14ac:dyDescent="0.2">
      <c r="C65" s="116" t="s">
        <v>231</v>
      </c>
      <c r="D65">
        <v>20</v>
      </c>
      <c r="E65">
        <v>20520</v>
      </c>
      <c r="F65">
        <v>17</v>
      </c>
      <c r="G65">
        <v>17442</v>
      </c>
      <c r="H65">
        <v>21</v>
      </c>
      <c r="I65">
        <v>21546</v>
      </c>
      <c r="J65">
        <v>20</v>
      </c>
      <c r="K65">
        <v>20520</v>
      </c>
      <c r="L65">
        <v>12</v>
      </c>
      <c r="M65">
        <v>12312</v>
      </c>
      <c r="N65">
        <v>13</v>
      </c>
      <c r="O65">
        <v>13338</v>
      </c>
      <c r="P65">
        <v>11</v>
      </c>
      <c r="Q65">
        <v>11286</v>
      </c>
      <c r="R65">
        <v>11</v>
      </c>
      <c r="S65">
        <v>11286</v>
      </c>
      <c r="T65">
        <v>20</v>
      </c>
      <c r="U65">
        <v>20520</v>
      </c>
      <c r="V65">
        <v>17</v>
      </c>
      <c r="W65">
        <v>17442</v>
      </c>
      <c r="X65">
        <v>20</v>
      </c>
      <c r="Y65">
        <v>20520</v>
      </c>
      <c r="Z65">
        <v>14</v>
      </c>
      <c r="AA65">
        <v>14364</v>
      </c>
      <c r="AB65">
        <v>16</v>
      </c>
      <c r="AC65">
        <v>16416</v>
      </c>
      <c r="AD65">
        <v>13</v>
      </c>
      <c r="AE65">
        <v>13338</v>
      </c>
      <c r="AF65">
        <v>16</v>
      </c>
      <c r="AG65">
        <v>16416</v>
      </c>
      <c r="AH65">
        <v>16</v>
      </c>
      <c r="AI65">
        <v>16416</v>
      </c>
      <c r="AJ65">
        <v>16</v>
      </c>
      <c r="AK65">
        <v>16416</v>
      </c>
      <c r="AL65">
        <v>19</v>
      </c>
      <c r="AM65">
        <v>19494</v>
      </c>
      <c r="AN65">
        <v>10</v>
      </c>
      <c r="AO65">
        <v>10260</v>
      </c>
      <c r="AP65">
        <v>18</v>
      </c>
      <c r="AQ65">
        <v>18468</v>
      </c>
      <c r="AR65">
        <v>14</v>
      </c>
      <c r="AS65">
        <v>14364</v>
      </c>
      <c r="AT65">
        <v>20</v>
      </c>
      <c r="AU65">
        <v>20520</v>
      </c>
      <c r="AV65">
        <v>14</v>
      </c>
      <c r="AW65">
        <v>14364</v>
      </c>
      <c r="AX65">
        <v>19</v>
      </c>
      <c r="AY65">
        <v>19494</v>
      </c>
      <c r="AZ65">
        <v>16</v>
      </c>
      <c r="BA65">
        <v>16416</v>
      </c>
      <c r="BB65">
        <v>18</v>
      </c>
      <c r="BC65">
        <v>18468</v>
      </c>
      <c r="BD65">
        <v>12</v>
      </c>
      <c r="BE65">
        <v>12312</v>
      </c>
      <c r="BF65">
        <v>10</v>
      </c>
      <c r="BG65">
        <v>10260</v>
      </c>
      <c r="BH65">
        <v>13</v>
      </c>
      <c r="BI65">
        <v>13338</v>
      </c>
      <c r="BJ65">
        <v>17</v>
      </c>
      <c r="BK65">
        <v>17442</v>
      </c>
      <c r="BL65">
        <v>16</v>
      </c>
      <c r="BM65">
        <v>16416</v>
      </c>
      <c r="BN65">
        <v>18</v>
      </c>
      <c r="BO65">
        <v>18468</v>
      </c>
      <c r="BP65">
        <v>18</v>
      </c>
      <c r="BQ65">
        <v>18468</v>
      </c>
      <c r="BR65">
        <v>16</v>
      </c>
      <c r="BS65">
        <v>16416</v>
      </c>
      <c r="BT65">
        <v>18</v>
      </c>
      <c r="BU65">
        <v>18468</v>
      </c>
      <c r="BV65">
        <v>10</v>
      </c>
      <c r="BW65">
        <v>10260</v>
      </c>
      <c r="BX65">
        <v>16</v>
      </c>
      <c r="BY65">
        <v>16416</v>
      </c>
      <c r="BZ65">
        <v>15</v>
      </c>
      <c r="CA65">
        <v>15390</v>
      </c>
      <c r="CB65">
        <v>15</v>
      </c>
      <c r="CC65">
        <v>15390</v>
      </c>
      <c r="CD65">
        <v>17</v>
      </c>
      <c r="CE65">
        <v>17442</v>
      </c>
      <c r="CF65">
        <v>17</v>
      </c>
      <c r="CG65">
        <v>17442</v>
      </c>
      <c r="CH65">
        <v>14</v>
      </c>
      <c r="CI65">
        <v>14364</v>
      </c>
      <c r="CJ65">
        <v>11</v>
      </c>
      <c r="CK65">
        <v>11286</v>
      </c>
      <c r="CL65">
        <v>19</v>
      </c>
      <c r="CM65">
        <v>19494</v>
      </c>
      <c r="CN65">
        <v>12</v>
      </c>
      <c r="CO65">
        <v>12312</v>
      </c>
      <c r="CP65">
        <v>15</v>
      </c>
      <c r="CQ65">
        <v>15390</v>
      </c>
      <c r="CR65">
        <v>18</v>
      </c>
      <c r="CS65">
        <v>18468</v>
      </c>
      <c r="CT65">
        <v>14</v>
      </c>
      <c r="CU65">
        <v>14364</v>
      </c>
    </row>
    <row r="66" spans="2:99" x14ac:dyDescent="0.2">
      <c r="C66" s="116" t="s">
        <v>232</v>
      </c>
      <c r="D66">
        <v>18</v>
      </c>
      <c r="E66">
        <v>21427.199999999997</v>
      </c>
      <c r="F66">
        <v>16</v>
      </c>
      <c r="G66">
        <v>19046.399999999998</v>
      </c>
      <c r="H66">
        <v>21</v>
      </c>
      <c r="I66">
        <v>24998.399999999998</v>
      </c>
      <c r="J66">
        <v>20</v>
      </c>
      <c r="K66">
        <v>23807.999999999996</v>
      </c>
      <c r="L66">
        <v>14</v>
      </c>
      <c r="M66">
        <v>16665.599999999999</v>
      </c>
      <c r="N66">
        <v>14</v>
      </c>
      <c r="O66">
        <v>16665.599999999999</v>
      </c>
      <c r="P66">
        <v>12</v>
      </c>
      <c r="Q66">
        <v>14284.8</v>
      </c>
      <c r="R66">
        <v>11</v>
      </c>
      <c r="S66">
        <v>13094.399999999998</v>
      </c>
      <c r="T66">
        <v>18</v>
      </c>
      <c r="U66">
        <v>21427.199999999997</v>
      </c>
      <c r="V66">
        <v>17</v>
      </c>
      <c r="W66">
        <v>20236.8</v>
      </c>
      <c r="X66">
        <v>19</v>
      </c>
      <c r="Y66">
        <v>22617.599999999999</v>
      </c>
      <c r="Z66">
        <v>13</v>
      </c>
      <c r="AA66">
        <v>15475.199999999999</v>
      </c>
      <c r="AB66">
        <v>19</v>
      </c>
      <c r="AC66">
        <v>22617.599999999999</v>
      </c>
      <c r="AD66">
        <v>14</v>
      </c>
      <c r="AE66">
        <v>16665.599999999999</v>
      </c>
      <c r="AF66">
        <v>16</v>
      </c>
      <c r="AG66">
        <v>19046.399999999998</v>
      </c>
      <c r="AH66">
        <v>16</v>
      </c>
      <c r="AI66">
        <v>19046.399999999998</v>
      </c>
      <c r="AJ66">
        <v>13</v>
      </c>
      <c r="AK66">
        <v>15475.199999999999</v>
      </c>
      <c r="AL66">
        <v>17</v>
      </c>
      <c r="AM66">
        <v>20236.8</v>
      </c>
      <c r="AN66">
        <v>11</v>
      </c>
      <c r="AO66">
        <v>13094.399999999998</v>
      </c>
      <c r="AP66">
        <v>18</v>
      </c>
      <c r="AQ66">
        <v>21427.199999999997</v>
      </c>
      <c r="AR66">
        <v>13</v>
      </c>
      <c r="AS66">
        <v>15475.199999999999</v>
      </c>
      <c r="AT66">
        <v>17</v>
      </c>
      <c r="AU66">
        <v>20236.8</v>
      </c>
      <c r="AV66">
        <v>12</v>
      </c>
      <c r="AW66">
        <v>14284.8</v>
      </c>
      <c r="AX66">
        <v>19</v>
      </c>
      <c r="AY66">
        <v>22617.599999999999</v>
      </c>
      <c r="AZ66">
        <v>15</v>
      </c>
      <c r="BA66">
        <v>17855.999999999996</v>
      </c>
      <c r="BB66">
        <v>17</v>
      </c>
      <c r="BC66">
        <v>20236.8</v>
      </c>
      <c r="BD66">
        <v>13</v>
      </c>
      <c r="BE66">
        <v>15475.199999999999</v>
      </c>
      <c r="BF66">
        <v>9</v>
      </c>
      <c r="BG66">
        <v>10713.599999999999</v>
      </c>
      <c r="BH66">
        <v>12</v>
      </c>
      <c r="BI66">
        <v>14284.8</v>
      </c>
      <c r="BJ66">
        <v>15</v>
      </c>
      <c r="BK66">
        <v>17855.999999999996</v>
      </c>
      <c r="BL66">
        <v>15</v>
      </c>
      <c r="BM66">
        <v>17855.999999999996</v>
      </c>
      <c r="BN66">
        <v>20</v>
      </c>
      <c r="BO66">
        <v>23807.999999999996</v>
      </c>
      <c r="BP66">
        <v>18</v>
      </c>
      <c r="BQ66">
        <v>21427.199999999997</v>
      </c>
      <c r="BR66">
        <v>16</v>
      </c>
      <c r="BS66">
        <v>19046.399999999998</v>
      </c>
      <c r="BT66">
        <v>18</v>
      </c>
      <c r="BU66">
        <v>21427.199999999997</v>
      </c>
      <c r="BV66">
        <v>11</v>
      </c>
      <c r="BW66">
        <v>13094.399999999998</v>
      </c>
      <c r="BX66">
        <v>16</v>
      </c>
      <c r="BY66">
        <v>19046.399999999998</v>
      </c>
      <c r="BZ66">
        <v>16</v>
      </c>
      <c r="CA66">
        <v>19046.399999999998</v>
      </c>
      <c r="CB66">
        <v>15</v>
      </c>
      <c r="CC66">
        <v>17855.999999999996</v>
      </c>
      <c r="CD66">
        <v>15</v>
      </c>
      <c r="CE66">
        <v>17855.999999999996</v>
      </c>
      <c r="CF66">
        <v>19</v>
      </c>
      <c r="CG66">
        <v>22617.599999999999</v>
      </c>
      <c r="CH66">
        <v>12</v>
      </c>
      <c r="CI66">
        <v>14284.8</v>
      </c>
      <c r="CJ66">
        <v>11</v>
      </c>
      <c r="CK66">
        <v>13094.399999999998</v>
      </c>
      <c r="CL66">
        <v>17</v>
      </c>
      <c r="CM66">
        <v>20236.8</v>
      </c>
      <c r="CN66">
        <v>11</v>
      </c>
      <c r="CO66">
        <v>13094.399999999998</v>
      </c>
      <c r="CP66">
        <v>14</v>
      </c>
      <c r="CQ66">
        <v>16665.599999999999</v>
      </c>
      <c r="CR66">
        <v>18</v>
      </c>
      <c r="CS66">
        <v>21427.199999999997</v>
      </c>
      <c r="CT66">
        <v>15</v>
      </c>
      <c r="CU66">
        <v>17855.999999999996</v>
      </c>
    </row>
    <row r="67" spans="2:99" x14ac:dyDescent="0.2">
      <c r="C67" s="116" t="s">
        <v>233</v>
      </c>
      <c r="D67">
        <v>20</v>
      </c>
      <c r="E67">
        <v>22464</v>
      </c>
      <c r="F67">
        <v>16</v>
      </c>
      <c r="G67">
        <v>17971.2</v>
      </c>
      <c r="H67">
        <v>21</v>
      </c>
      <c r="I67">
        <v>23587.200000000001</v>
      </c>
      <c r="J67">
        <v>20</v>
      </c>
      <c r="K67">
        <v>22464</v>
      </c>
      <c r="L67">
        <v>12</v>
      </c>
      <c r="M67">
        <v>13478.400000000001</v>
      </c>
      <c r="N67">
        <v>13</v>
      </c>
      <c r="O67">
        <v>14601.6</v>
      </c>
      <c r="P67">
        <v>11</v>
      </c>
      <c r="Q67">
        <v>12355.2</v>
      </c>
      <c r="R67">
        <v>12</v>
      </c>
      <c r="S67">
        <v>13478.400000000001</v>
      </c>
      <c r="T67">
        <v>17</v>
      </c>
      <c r="U67">
        <v>19094.400000000001</v>
      </c>
      <c r="V67">
        <v>17</v>
      </c>
      <c r="W67">
        <v>19094.400000000001</v>
      </c>
      <c r="X67">
        <v>22</v>
      </c>
      <c r="Y67">
        <v>24710.400000000001</v>
      </c>
      <c r="Z67">
        <v>12</v>
      </c>
      <c r="AA67">
        <v>13478.400000000001</v>
      </c>
      <c r="AB67">
        <v>18</v>
      </c>
      <c r="AC67">
        <v>20217.600000000002</v>
      </c>
      <c r="AD67">
        <v>14</v>
      </c>
      <c r="AE67">
        <v>15724.800000000001</v>
      </c>
      <c r="AF67">
        <v>16</v>
      </c>
      <c r="AG67">
        <v>17971.2</v>
      </c>
      <c r="AH67">
        <v>18</v>
      </c>
      <c r="AI67">
        <v>20217.600000000002</v>
      </c>
      <c r="AJ67">
        <v>14</v>
      </c>
      <c r="AK67">
        <v>15724.800000000001</v>
      </c>
      <c r="AL67">
        <v>19</v>
      </c>
      <c r="AM67">
        <v>21340.799999999999</v>
      </c>
      <c r="AN67">
        <v>11</v>
      </c>
      <c r="AO67">
        <v>12355.2</v>
      </c>
      <c r="AP67">
        <v>20</v>
      </c>
      <c r="AQ67">
        <v>22464</v>
      </c>
      <c r="AR67">
        <v>12</v>
      </c>
      <c r="AS67">
        <v>13478.400000000001</v>
      </c>
      <c r="AT67">
        <v>19</v>
      </c>
      <c r="AU67">
        <v>21340.799999999999</v>
      </c>
      <c r="AV67">
        <v>12</v>
      </c>
      <c r="AW67">
        <v>13478.400000000001</v>
      </c>
      <c r="AX67">
        <v>18</v>
      </c>
      <c r="AY67">
        <v>20217.600000000002</v>
      </c>
      <c r="AZ67">
        <v>15</v>
      </c>
      <c r="BA67">
        <v>16848</v>
      </c>
      <c r="BB67">
        <v>17</v>
      </c>
      <c r="BC67">
        <v>19094.400000000001</v>
      </c>
      <c r="BD67">
        <v>13</v>
      </c>
      <c r="BE67">
        <v>14601.6</v>
      </c>
      <c r="BF67">
        <v>11</v>
      </c>
      <c r="BG67">
        <v>12355.2</v>
      </c>
      <c r="BH67">
        <v>12</v>
      </c>
      <c r="BI67">
        <v>13478.400000000001</v>
      </c>
      <c r="BJ67">
        <v>15</v>
      </c>
      <c r="BK67">
        <v>16848</v>
      </c>
      <c r="BL67">
        <v>15</v>
      </c>
      <c r="BM67">
        <v>16848</v>
      </c>
      <c r="BN67">
        <v>20</v>
      </c>
      <c r="BO67">
        <v>22464</v>
      </c>
      <c r="BP67">
        <v>19</v>
      </c>
      <c r="BQ67">
        <v>21340.799999999999</v>
      </c>
      <c r="BR67">
        <v>16</v>
      </c>
      <c r="BS67">
        <v>17971.2</v>
      </c>
      <c r="BT67">
        <v>19</v>
      </c>
      <c r="BU67">
        <v>21340.799999999999</v>
      </c>
      <c r="BV67">
        <v>11</v>
      </c>
      <c r="BW67">
        <v>12355.2</v>
      </c>
      <c r="BX67">
        <v>19</v>
      </c>
      <c r="BY67">
        <v>21340.799999999999</v>
      </c>
      <c r="BZ67">
        <v>16</v>
      </c>
      <c r="CA67">
        <v>17971.2</v>
      </c>
      <c r="CB67">
        <v>16</v>
      </c>
      <c r="CC67">
        <v>17971.2</v>
      </c>
      <c r="CD67">
        <v>16</v>
      </c>
      <c r="CE67">
        <v>17971.2</v>
      </c>
      <c r="CF67">
        <v>20</v>
      </c>
      <c r="CG67">
        <v>22464</v>
      </c>
      <c r="CH67">
        <v>14</v>
      </c>
      <c r="CI67">
        <v>15724.800000000001</v>
      </c>
      <c r="CJ67">
        <v>11</v>
      </c>
      <c r="CK67">
        <v>12355.2</v>
      </c>
      <c r="CL67">
        <v>17</v>
      </c>
      <c r="CM67">
        <v>19094.400000000001</v>
      </c>
      <c r="CN67">
        <v>12</v>
      </c>
      <c r="CO67">
        <v>13478.400000000001</v>
      </c>
      <c r="CP67">
        <v>14</v>
      </c>
      <c r="CQ67">
        <v>15724.800000000001</v>
      </c>
      <c r="CR67">
        <v>16</v>
      </c>
      <c r="CS67">
        <v>17971.2</v>
      </c>
      <c r="CT67">
        <v>15</v>
      </c>
      <c r="CU67">
        <v>16848</v>
      </c>
    </row>
    <row r="68" spans="2:99" x14ac:dyDescent="0.2">
      <c r="C68" s="116" t="s">
        <v>234</v>
      </c>
      <c r="D68">
        <v>19</v>
      </c>
      <c r="E68">
        <v>19630.8</v>
      </c>
      <c r="F68">
        <v>15</v>
      </c>
      <c r="G68">
        <v>15498</v>
      </c>
      <c r="H68">
        <v>21</v>
      </c>
      <c r="I68">
        <v>21697.200000000001</v>
      </c>
      <c r="J68">
        <v>20</v>
      </c>
      <c r="K68">
        <v>20664</v>
      </c>
      <c r="L68">
        <v>13</v>
      </c>
      <c r="M68">
        <v>13431.6</v>
      </c>
      <c r="N68">
        <v>15</v>
      </c>
      <c r="O68">
        <v>15498</v>
      </c>
      <c r="P68">
        <v>10</v>
      </c>
      <c r="Q68">
        <v>10332</v>
      </c>
      <c r="R68">
        <v>11</v>
      </c>
      <c r="S68">
        <v>11365.2</v>
      </c>
      <c r="T68">
        <v>20</v>
      </c>
      <c r="U68">
        <v>20664</v>
      </c>
      <c r="V68">
        <v>17</v>
      </c>
      <c r="W68">
        <v>17564.400000000001</v>
      </c>
      <c r="X68">
        <v>19</v>
      </c>
      <c r="Y68">
        <v>19630.8</v>
      </c>
      <c r="Z68">
        <v>14</v>
      </c>
      <c r="AA68">
        <v>14464.800000000001</v>
      </c>
      <c r="AB68">
        <v>18</v>
      </c>
      <c r="AC68">
        <v>18597.600000000002</v>
      </c>
      <c r="AD68">
        <v>12</v>
      </c>
      <c r="AE68">
        <v>12398.400000000001</v>
      </c>
      <c r="AF68">
        <v>15</v>
      </c>
      <c r="AG68">
        <v>15498</v>
      </c>
      <c r="AH68">
        <v>16</v>
      </c>
      <c r="AI68">
        <v>16531.2</v>
      </c>
      <c r="AJ68">
        <v>14</v>
      </c>
      <c r="AK68">
        <v>14464.800000000001</v>
      </c>
      <c r="AL68">
        <v>16</v>
      </c>
      <c r="AM68">
        <v>16531.2</v>
      </c>
      <c r="AN68">
        <v>12</v>
      </c>
      <c r="AO68">
        <v>12398.400000000001</v>
      </c>
      <c r="AP68">
        <v>17</v>
      </c>
      <c r="AQ68">
        <v>17564.400000000001</v>
      </c>
      <c r="AR68">
        <v>13</v>
      </c>
      <c r="AS68">
        <v>13431.6</v>
      </c>
      <c r="AT68">
        <v>19</v>
      </c>
      <c r="AU68">
        <v>19630.8</v>
      </c>
      <c r="AV68">
        <v>14</v>
      </c>
      <c r="AW68">
        <v>14464.800000000001</v>
      </c>
      <c r="AX68">
        <v>18</v>
      </c>
      <c r="AY68">
        <v>18597.600000000002</v>
      </c>
      <c r="AZ68">
        <v>14</v>
      </c>
      <c r="BA68">
        <v>14464.800000000001</v>
      </c>
      <c r="BB68">
        <v>18</v>
      </c>
      <c r="BC68">
        <v>18597.600000000002</v>
      </c>
      <c r="BD68">
        <v>13</v>
      </c>
      <c r="BE68">
        <v>13431.6</v>
      </c>
      <c r="BF68">
        <v>11</v>
      </c>
      <c r="BG68">
        <v>11365.2</v>
      </c>
      <c r="BH68">
        <v>12</v>
      </c>
      <c r="BI68">
        <v>12398.400000000001</v>
      </c>
      <c r="BJ68">
        <v>18</v>
      </c>
      <c r="BK68">
        <v>18597.600000000002</v>
      </c>
      <c r="BL68">
        <v>15</v>
      </c>
      <c r="BM68">
        <v>15498</v>
      </c>
      <c r="BN68">
        <v>19</v>
      </c>
      <c r="BO68">
        <v>19630.8</v>
      </c>
      <c r="BP68">
        <v>19</v>
      </c>
      <c r="BQ68">
        <v>19630.8</v>
      </c>
      <c r="BR68">
        <v>17</v>
      </c>
      <c r="BS68">
        <v>17564.400000000001</v>
      </c>
      <c r="BT68">
        <v>17</v>
      </c>
      <c r="BU68">
        <v>17564.400000000001</v>
      </c>
      <c r="BV68">
        <v>10</v>
      </c>
      <c r="BW68">
        <v>10332</v>
      </c>
      <c r="BX68">
        <v>16</v>
      </c>
      <c r="BY68">
        <v>16531.2</v>
      </c>
      <c r="BZ68">
        <v>17</v>
      </c>
      <c r="CA68">
        <v>17564.400000000001</v>
      </c>
      <c r="CB68">
        <v>15</v>
      </c>
      <c r="CC68">
        <v>15498</v>
      </c>
      <c r="CD68">
        <v>18</v>
      </c>
      <c r="CE68">
        <v>18597.600000000002</v>
      </c>
      <c r="CF68">
        <v>20</v>
      </c>
      <c r="CG68">
        <v>20664</v>
      </c>
      <c r="CH68">
        <v>12</v>
      </c>
      <c r="CI68">
        <v>12398.400000000001</v>
      </c>
      <c r="CJ68">
        <v>12</v>
      </c>
      <c r="CK68">
        <v>12398.400000000001</v>
      </c>
      <c r="CL68">
        <v>17</v>
      </c>
      <c r="CM68">
        <v>17564.400000000001</v>
      </c>
      <c r="CN68">
        <v>13</v>
      </c>
      <c r="CO68">
        <v>13431.6</v>
      </c>
      <c r="CP68">
        <v>14</v>
      </c>
      <c r="CQ68">
        <v>14464.800000000001</v>
      </c>
      <c r="CR68">
        <v>17</v>
      </c>
      <c r="CS68">
        <v>17564.400000000001</v>
      </c>
      <c r="CT68">
        <v>13</v>
      </c>
      <c r="CU68">
        <v>13431.6</v>
      </c>
    </row>
    <row r="69" spans="2:99" x14ac:dyDescent="0.2">
      <c r="C69" s="116" t="s">
        <v>235</v>
      </c>
      <c r="D69">
        <v>18</v>
      </c>
      <c r="E69">
        <v>13651.199999999999</v>
      </c>
      <c r="F69">
        <v>18</v>
      </c>
      <c r="G69">
        <v>13651.199999999999</v>
      </c>
      <c r="H69">
        <v>20</v>
      </c>
      <c r="I69">
        <v>15168</v>
      </c>
      <c r="J69">
        <v>18</v>
      </c>
      <c r="K69">
        <v>13651.199999999999</v>
      </c>
      <c r="L69">
        <v>14</v>
      </c>
      <c r="M69">
        <v>10617.6</v>
      </c>
      <c r="N69">
        <v>13</v>
      </c>
      <c r="O69">
        <v>9859.1999999999989</v>
      </c>
      <c r="P69">
        <v>12</v>
      </c>
      <c r="Q69">
        <v>9100.7999999999993</v>
      </c>
      <c r="R69">
        <v>11</v>
      </c>
      <c r="S69">
        <v>8342.4</v>
      </c>
      <c r="T69">
        <v>19</v>
      </c>
      <c r="U69">
        <v>14409.6</v>
      </c>
      <c r="V69">
        <v>19</v>
      </c>
      <c r="W69">
        <v>14409.6</v>
      </c>
      <c r="X69">
        <v>23</v>
      </c>
      <c r="Y69">
        <v>17443.2</v>
      </c>
      <c r="Z69">
        <v>13</v>
      </c>
      <c r="AA69">
        <v>9859.1999999999989</v>
      </c>
      <c r="AB69">
        <v>20</v>
      </c>
      <c r="AC69">
        <v>15168</v>
      </c>
      <c r="AD69">
        <v>13</v>
      </c>
      <c r="AE69">
        <v>9859.1999999999989</v>
      </c>
      <c r="AF69">
        <v>16</v>
      </c>
      <c r="AG69">
        <v>12134.4</v>
      </c>
      <c r="AH69">
        <v>18</v>
      </c>
      <c r="AI69">
        <v>13651.199999999999</v>
      </c>
      <c r="AJ69">
        <v>14</v>
      </c>
      <c r="AK69">
        <v>10617.6</v>
      </c>
      <c r="AL69">
        <v>19</v>
      </c>
      <c r="AM69">
        <v>14409.6</v>
      </c>
      <c r="AN69">
        <v>11</v>
      </c>
      <c r="AO69">
        <v>8342.4</v>
      </c>
      <c r="AP69">
        <v>22</v>
      </c>
      <c r="AQ69">
        <v>16684.8</v>
      </c>
      <c r="AR69">
        <v>14</v>
      </c>
      <c r="AS69">
        <v>10617.6</v>
      </c>
      <c r="AT69">
        <v>17</v>
      </c>
      <c r="AU69">
        <v>12892.8</v>
      </c>
      <c r="AV69">
        <v>14</v>
      </c>
      <c r="AW69">
        <v>10617.6</v>
      </c>
      <c r="AX69">
        <v>18</v>
      </c>
      <c r="AY69">
        <v>13651.199999999999</v>
      </c>
      <c r="AZ69">
        <v>16</v>
      </c>
      <c r="BA69">
        <v>12134.4</v>
      </c>
      <c r="BB69">
        <v>16</v>
      </c>
      <c r="BC69">
        <v>12134.4</v>
      </c>
      <c r="BD69">
        <v>14</v>
      </c>
      <c r="BE69">
        <v>10617.6</v>
      </c>
      <c r="BF69">
        <v>10</v>
      </c>
      <c r="BG69">
        <v>7584</v>
      </c>
      <c r="BH69">
        <v>14</v>
      </c>
      <c r="BI69">
        <v>10617.6</v>
      </c>
      <c r="BJ69">
        <v>18</v>
      </c>
      <c r="BK69">
        <v>13651.199999999999</v>
      </c>
      <c r="BL69">
        <v>16</v>
      </c>
      <c r="BM69">
        <v>12134.4</v>
      </c>
      <c r="BN69">
        <v>20</v>
      </c>
      <c r="BO69">
        <v>15168</v>
      </c>
      <c r="BP69">
        <v>18</v>
      </c>
      <c r="BQ69">
        <v>13651.199999999999</v>
      </c>
      <c r="BR69">
        <v>17</v>
      </c>
      <c r="BS69">
        <v>12892.8</v>
      </c>
      <c r="BT69">
        <v>21</v>
      </c>
      <c r="BU69">
        <v>15926.4</v>
      </c>
      <c r="BV69">
        <v>10</v>
      </c>
      <c r="BW69">
        <v>7584</v>
      </c>
      <c r="BX69">
        <v>16</v>
      </c>
      <c r="BY69">
        <v>12134.4</v>
      </c>
      <c r="BZ69">
        <v>17</v>
      </c>
      <c r="CA69">
        <v>12892.8</v>
      </c>
      <c r="CB69">
        <v>16</v>
      </c>
      <c r="CC69">
        <v>12134.4</v>
      </c>
      <c r="CD69">
        <v>18</v>
      </c>
      <c r="CE69">
        <v>13651.199999999999</v>
      </c>
      <c r="CF69">
        <v>21</v>
      </c>
      <c r="CG69">
        <v>15926.4</v>
      </c>
      <c r="CH69">
        <v>12</v>
      </c>
      <c r="CI69">
        <v>9100.7999999999993</v>
      </c>
      <c r="CJ69">
        <v>11</v>
      </c>
      <c r="CK69">
        <v>8342.4</v>
      </c>
      <c r="CL69">
        <v>19</v>
      </c>
      <c r="CM69">
        <v>14409.6</v>
      </c>
      <c r="CN69">
        <v>12</v>
      </c>
      <c r="CO69">
        <v>9100.7999999999993</v>
      </c>
      <c r="CP69">
        <v>17</v>
      </c>
      <c r="CQ69">
        <v>12892.8</v>
      </c>
      <c r="CR69">
        <v>17</v>
      </c>
      <c r="CS69">
        <v>12892.8</v>
      </c>
      <c r="CT69">
        <v>15</v>
      </c>
      <c r="CU69">
        <v>11376</v>
      </c>
    </row>
    <row r="70" spans="2:99" x14ac:dyDescent="0.2">
      <c r="C70" s="116" t="s">
        <v>236</v>
      </c>
      <c r="D70">
        <v>22</v>
      </c>
      <c r="E70">
        <v>11774.399999999998</v>
      </c>
      <c r="F70">
        <v>19</v>
      </c>
      <c r="G70">
        <v>10168.799999999999</v>
      </c>
      <c r="H70">
        <v>19</v>
      </c>
      <c r="I70">
        <v>10168.799999999999</v>
      </c>
      <c r="J70">
        <v>19</v>
      </c>
      <c r="K70">
        <v>10168.799999999999</v>
      </c>
      <c r="L70">
        <v>14</v>
      </c>
      <c r="M70">
        <v>7492.7999999999993</v>
      </c>
      <c r="N70">
        <v>15</v>
      </c>
      <c r="O70">
        <v>8027.9999999999991</v>
      </c>
      <c r="P70">
        <v>11</v>
      </c>
      <c r="Q70">
        <v>5887.1999999999989</v>
      </c>
      <c r="R70">
        <v>13</v>
      </c>
      <c r="S70">
        <v>6957.5999999999995</v>
      </c>
      <c r="T70">
        <v>21</v>
      </c>
      <c r="U70">
        <v>11239.199999999999</v>
      </c>
      <c r="V70">
        <v>17</v>
      </c>
      <c r="W70">
        <v>9098.4</v>
      </c>
      <c r="X70">
        <v>24</v>
      </c>
      <c r="Y70">
        <v>12844.8</v>
      </c>
      <c r="Z70">
        <v>13</v>
      </c>
      <c r="AA70">
        <v>6957.5999999999995</v>
      </c>
      <c r="AB70">
        <v>19</v>
      </c>
      <c r="AC70">
        <v>10168.799999999999</v>
      </c>
      <c r="AD70">
        <v>14</v>
      </c>
      <c r="AE70">
        <v>7492.7999999999993</v>
      </c>
      <c r="AF70">
        <v>17</v>
      </c>
      <c r="AG70">
        <v>9098.4</v>
      </c>
      <c r="AH70">
        <v>19</v>
      </c>
      <c r="AI70">
        <v>10168.799999999999</v>
      </c>
      <c r="AJ70">
        <v>15</v>
      </c>
      <c r="AK70">
        <v>8027.9999999999991</v>
      </c>
      <c r="AL70">
        <v>19</v>
      </c>
      <c r="AM70">
        <v>10168.799999999999</v>
      </c>
      <c r="AN70">
        <v>12</v>
      </c>
      <c r="AO70">
        <v>6422.4</v>
      </c>
      <c r="AP70">
        <v>20</v>
      </c>
      <c r="AQ70">
        <v>10703.999999999998</v>
      </c>
      <c r="AR70">
        <v>13</v>
      </c>
      <c r="AS70">
        <v>6957.5999999999995</v>
      </c>
      <c r="AT70">
        <v>20</v>
      </c>
      <c r="AU70">
        <v>10703.999999999998</v>
      </c>
      <c r="AV70">
        <v>15</v>
      </c>
      <c r="AW70">
        <v>8027.9999999999991</v>
      </c>
      <c r="AX70">
        <v>19</v>
      </c>
      <c r="AY70">
        <v>10168.799999999999</v>
      </c>
      <c r="AZ70">
        <v>15</v>
      </c>
      <c r="BA70">
        <v>8027.9999999999991</v>
      </c>
      <c r="BB70">
        <v>17</v>
      </c>
      <c r="BC70">
        <v>9098.4</v>
      </c>
      <c r="BD70">
        <v>14</v>
      </c>
      <c r="BE70">
        <v>7492.7999999999993</v>
      </c>
      <c r="BF70">
        <v>12</v>
      </c>
      <c r="BG70">
        <v>6422.4</v>
      </c>
      <c r="BH70">
        <v>13</v>
      </c>
      <c r="BI70">
        <v>6957.5999999999995</v>
      </c>
      <c r="BJ70">
        <v>18</v>
      </c>
      <c r="BK70">
        <v>9633.5999999999985</v>
      </c>
      <c r="BL70">
        <v>17</v>
      </c>
      <c r="BM70">
        <v>9098.4</v>
      </c>
      <c r="BN70">
        <v>19</v>
      </c>
      <c r="BO70">
        <v>10168.799999999999</v>
      </c>
      <c r="BP70">
        <v>21</v>
      </c>
      <c r="BQ70">
        <v>11239.199999999999</v>
      </c>
      <c r="BR70">
        <v>17</v>
      </c>
      <c r="BS70">
        <v>9098.4</v>
      </c>
      <c r="BT70">
        <v>18</v>
      </c>
      <c r="BU70">
        <v>9633.5999999999985</v>
      </c>
      <c r="BV70">
        <v>11</v>
      </c>
      <c r="BW70">
        <v>5887.1999999999989</v>
      </c>
      <c r="BX70">
        <v>18</v>
      </c>
      <c r="BY70">
        <v>9633.5999999999985</v>
      </c>
      <c r="BZ70">
        <v>18</v>
      </c>
      <c r="CA70">
        <v>9633.5999999999985</v>
      </c>
      <c r="CB70">
        <v>18</v>
      </c>
      <c r="CC70">
        <v>9633.5999999999985</v>
      </c>
      <c r="CD70">
        <v>17</v>
      </c>
      <c r="CE70">
        <v>9098.4</v>
      </c>
      <c r="CF70">
        <v>20</v>
      </c>
      <c r="CG70">
        <v>10703.999999999998</v>
      </c>
      <c r="CH70">
        <v>12</v>
      </c>
      <c r="CI70">
        <v>6422.4</v>
      </c>
      <c r="CJ70">
        <v>13</v>
      </c>
      <c r="CK70">
        <v>6957.5999999999995</v>
      </c>
      <c r="CL70">
        <v>19</v>
      </c>
      <c r="CM70">
        <v>10168.799999999999</v>
      </c>
      <c r="CN70">
        <v>13</v>
      </c>
      <c r="CO70">
        <v>6957.5999999999995</v>
      </c>
      <c r="CP70">
        <v>16</v>
      </c>
      <c r="CQ70">
        <v>8563.1999999999989</v>
      </c>
      <c r="CR70">
        <v>19</v>
      </c>
      <c r="CS70">
        <v>10168.799999999999</v>
      </c>
      <c r="CT70">
        <v>13</v>
      </c>
      <c r="CU70">
        <v>6957.5999999999995</v>
      </c>
    </row>
    <row r="71" spans="2:99" x14ac:dyDescent="0.2">
      <c r="B71" s="116" t="s">
        <v>130</v>
      </c>
      <c r="C71" s="116" t="s">
        <v>237</v>
      </c>
      <c r="D71">
        <v>19.534528450430503</v>
      </c>
      <c r="E71">
        <v>11017.474046042804</v>
      </c>
      <c r="F71">
        <v>15</v>
      </c>
      <c r="G71">
        <v>8460</v>
      </c>
      <c r="H71">
        <v>23</v>
      </c>
      <c r="I71">
        <v>12972</v>
      </c>
      <c r="J71">
        <v>12</v>
      </c>
      <c r="K71">
        <v>6768</v>
      </c>
      <c r="L71">
        <v>13</v>
      </c>
      <c r="M71">
        <v>7332</v>
      </c>
      <c r="N71">
        <v>19</v>
      </c>
      <c r="O71">
        <v>10716</v>
      </c>
      <c r="P71">
        <v>15.945293974190669</v>
      </c>
      <c r="Q71">
        <v>8993.1458014435375</v>
      </c>
      <c r="R71">
        <v>20</v>
      </c>
      <c r="S71">
        <v>11280</v>
      </c>
      <c r="T71">
        <v>16.129548604535046</v>
      </c>
      <c r="U71">
        <v>9097.0654129577651</v>
      </c>
      <c r="V71">
        <v>18</v>
      </c>
      <c r="W71">
        <v>10152</v>
      </c>
      <c r="X71">
        <v>13</v>
      </c>
      <c r="Y71">
        <v>7332</v>
      </c>
      <c r="Z71">
        <v>12.355222505000995</v>
      </c>
      <c r="AA71">
        <v>6968.345492820561</v>
      </c>
      <c r="AB71">
        <v>19</v>
      </c>
      <c r="AC71">
        <v>10716</v>
      </c>
      <c r="AD71">
        <v>19.245885395283086</v>
      </c>
      <c r="AE71">
        <v>10854.67936293966</v>
      </c>
      <c r="AF71">
        <v>1.9592387284721402</v>
      </c>
      <c r="AG71">
        <v>1105.0106428582872</v>
      </c>
      <c r="AH71">
        <v>2.7897971416397986</v>
      </c>
      <c r="AI71">
        <v>1573.4455878848464</v>
      </c>
      <c r="AJ71">
        <v>2.2712837134372728</v>
      </c>
      <c r="AK71">
        <v>1281.0040143786218</v>
      </c>
      <c r="AL71">
        <v>2.5843433775279538</v>
      </c>
      <c r="AM71">
        <v>1457.5696649257659</v>
      </c>
      <c r="AN71">
        <v>2.1764281431533838</v>
      </c>
      <c r="AO71">
        <v>1227.5054727385084</v>
      </c>
      <c r="AP71">
        <v>2.696747914926346</v>
      </c>
      <c r="AQ71">
        <v>1520.9658240184592</v>
      </c>
      <c r="AR71">
        <v>2.5412727827592554</v>
      </c>
      <c r="AS71">
        <v>1433.2778494762201</v>
      </c>
      <c r="AT71">
        <v>1.8507811927139399</v>
      </c>
      <c r="AU71">
        <v>1043.8405926906621</v>
      </c>
      <c r="AV71">
        <v>2.1993491449419835</v>
      </c>
      <c r="AW71">
        <v>1240.4329177472787</v>
      </c>
      <c r="AX71">
        <v>2.1660515483756106</v>
      </c>
      <c r="AY71">
        <v>1221.6530732838444</v>
      </c>
      <c r="AZ71">
        <v>2.2077863008857901</v>
      </c>
      <c r="BA71">
        <v>1245.1914736995857</v>
      </c>
      <c r="BB71">
        <v>1.7685928620063742</v>
      </c>
      <c r="BC71">
        <v>997.48637417159512</v>
      </c>
      <c r="BD71">
        <v>2.9055458271829688</v>
      </c>
      <c r="BE71">
        <v>1638.7278465311945</v>
      </c>
      <c r="BF71">
        <v>2.1853474976960015</v>
      </c>
      <c r="BG71">
        <v>1232.5359887005447</v>
      </c>
      <c r="BH71">
        <v>2.4902334897862732</v>
      </c>
      <c r="BI71">
        <v>1404.4916882394582</v>
      </c>
      <c r="BJ71">
        <v>2.4736849337177405</v>
      </c>
      <c r="BK71">
        <v>1395.1583026168057</v>
      </c>
      <c r="BL71">
        <v>1.7933572466728993</v>
      </c>
      <c r="BM71">
        <v>1011.4534871235152</v>
      </c>
      <c r="BN71">
        <v>2.4841649503629859</v>
      </c>
      <c r="BO71">
        <v>1401.069032004724</v>
      </c>
      <c r="BP71">
        <v>2.0255697673148756</v>
      </c>
      <c r="BQ71">
        <v>1142.4213487655898</v>
      </c>
      <c r="BR71">
        <v>2.1723558066300512</v>
      </c>
      <c r="BS71">
        <v>1225.2086749393488</v>
      </c>
      <c r="BT71">
        <v>2.4449481405272495</v>
      </c>
      <c r="BU71">
        <v>1378.9507512573687</v>
      </c>
      <c r="BV71">
        <v>2.6194632391046633</v>
      </c>
      <c r="BW71">
        <v>1477.37726685503</v>
      </c>
      <c r="BX71">
        <v>2.5963502909303773</v>
      </c>
      <c r="BY71">
        <v>1464.3415640847327</v>
      </c>
      <c r="BZ71">
        <v>1.8905295625085488</v>
      </c>
      <c r="CA71">
        <v>1066.2586732548216</v>
      </c>
      <c r="CB71">
        <v>1.8304026528509061</v>
      </c>
      <c r="CC71">
        <v>1032.3470962079111</v>
      </c>
      <c r="CD71">
        <v>2.2937131859251898</v>
      </c>
      <c r="CE71">
        <v>1293.654236861807</v>
      </c>
      <c r="CF71">
        <v>2.2147791382841966</v>
      </c>
      <c r="CG71">
        <v>1249.1354339922868</v>
      </c>
      <c r="CH71">
        <v>2.4587535791745938</v>
      </c>
      <c r="CI71">
        <v>1386.7370186544708</v>
      </c>
      <c r="CJ71">
        <v>1.7639793132180572</v>
      </c>
      <c r="CK71">
        <v>994.88433265498429</v>
      </c>
      <c r="CL71">
        <v>2.4095406089692064</v>
      </c>
      <c r="CM71">
        <v>1358.9809034586324</v>
      </c>
      <c r="CN71">
        <v>2.4526148784131223</v>
      </c>
      <c r="CO71">
        <v>1383.274791425001</v>
      </c>
      <c r="CP71">
        <v>2.3683395750864573</v>
      </c>
      <c r="CQ71">
        <v>1335.7435203487619</v>
      </c>
      <c r="CR71">
        <v>2.104820662223331</v>
      </c>
      <c r="CS71">
        <v>1187.1188534939586</v>
      </c>
      <c r="CT71">
        <v>2.9917114570518613</v>
      </c>
      <c r="CU71">
        <v>1687.3252617772498</v>
      </c>
    </row>
    <row r="72" spans="2:99" x14ac:dyDescent="0.2">
      <c r="C72" s="116" t="s">
        <v>238</v>
      </c>
      <c r="D72">
        <v>18.518807025417843</v>
      </c>
      <c r="E72">
        <v>1377.7992426910873</v>
      </c>
      <c r="F72">
        <v>19</v>
      </c>
      <c r="G72">
        <v>1413.6</v>
      </c>
      <c r="H72">
        <v>21</v>
      </c>
      <c r="I72">
        <v>1562.3999999999999</v>
      </c>
      <c r="J72">
        <v>14</v>
      </c>
      <c r="K72">
        <v>1041.5999999999999</v>
      </c>
      <c r="L72">
        <v>13</v>
      </c>
      <c r="M72">
        <v>967.19999999999993</v>
      </c>
      <c r="N72">
        <v>21</v>
      </c>
      <c r="O72">
        <v>1562.3999999999999</v>
      </c>
      <c r="P72">
        <v>15.847504942377842</v>
      </c>
      <c r="Q72">
        <v>1179.0543677129112</v>
      </c>
      <c r="R72">
        <v>21</v>
      </c>
      <c r="S72">
        <v>1562.3999999999999</v>
      </c>
      <c r="T72">
        <v>16.194094239079906</v>
      </c>
      <c r="U72">
        <v>1204.8406113875449</v>
      </c>
      <c r="V72">
        <v>19</v>
      </c>
      <c r="W72">
        <v>1413.6</v>
      </c>
      <c r="X72">
        <v>16</v>
      </c>
      <c r="Y72">
        <v>1190.3999999999999</v>
      </c>
      <c r="Z72">
        <v>12.401954315518271</v>
      </c>
      <c r="AA72">
        <v>922.70540107455929</v>
      </c>
      <c r="AB72">
        <v>20</v>
      </c>
      <c r="AC72">
        <v>1487.9999999999998</v>
      </c>
      <c r="AD72">
        <v>22.273381100010731</v>
      </c>
      <c r="AE72">
        <v>1657.1395538407983</v>
      </c>
      <c r="AF72">
        <v>2.4113707427349418</v>
      </c>
      <c r="AG72">
        <v>179.40598325947965</v>
      </c>
      <c r="AH72">
        <v>2.6685016137424156</v>
      </c>
      <c r="AI72">
        <v>198.5365200624357</v>
      </c>
      <c r="AJ72">
        <v>2.4048886377571121</v>
      </c>
      <c r="AK72">
        <v>178.92371464912912</v>
      </c>
      <c r="AL72">
        <v>2.4612794071694797</v>
      </c>
      <c r="AM72">
        <v>183.11918789340928</v>
      </c>
      <c r="AN72">
        <v>2.4485126935647905</v>
      </c>
      <c r="AO72">
        <v>182.1693444012204</v>
      </c>
      <c r="AP72">
        <v>2.5381156846365607</v>
      </c>
      <c r="AQ72">
        <v>188.8358069369601</v>
      </c>
      <c r="AR72">
        <v>2.9425263800370325</v>
      </c>
      <c r="AS72">
        <v>218.92396267475519</v>
      </c>
      <c r="AT72">
        <v>1.7084134086590215</v>
      </c>
      <c r="AU72">
        <v>127.10595760423118</v>
      </c>
      <c r="AV72">
        <v>2.1993491449419835</v>
      </c>
      <c r="AW72">
        <v>163.63157638368355</v>
      </c>
      <c r="AX72">
        <v>2.3238288728242851</v>
      </c>
      <c r="AY72">
        <v>172.8928681381268</v>
      </c>
      <c r="AZ72">
        <v>2.5389542460186583</v>
      </c>
      <c r="BA72">
        <v>188.89819590378815</v>
      </c>
      <c r="BB72">
        <v>2.0212489851501423</v>
      </c>
      <c r="BC72">
        <v>150.38092449517058</v>
      </c>
      <c r="BD72">
        <v>2.9325264506437314</v>
      </c>
      <c r="BE72">
        <v>218.17996792789359</v>
      </c>
      <c r="BF72">
        <v>2.4585159349080019</v>
      </c>
      <c r="BG72">
        <v>182.91358555715533</v>
      </c>
      <c r="BH72">
        <v>2.659278159068247</v>
      </c>
      <c r="BI72">
        <v>197.85029503467757</v>
      </c>
      <c r="BJ72">
        <v>2.6385972626322567</v>
      </c>
      <c r="BK72">
        <v>196.31163633983988</v>
      </c>
      <c r="BL72">
        <v>1.9190867234321269</v>
      </c>
      <c r="BM72">
        <v>142.78005222335022</v>
      </c>
      <c r="BN72">
        <v>2.4841649503629859</v>
      </c>
      <c r="BO72">
        <v>184.82187230700612</v>
      </c>
      <c r="BP72">
        <v>2.4596204317394919</v>
      </c>
      <c r="BQ72">
        <v>182.99576012141819</v>
      </c>
      <c r="BR72">
        <v>2.293042240331721</v>
      </c>
      <c r="BS72">
        <v>170.60234268068001</v>
      </c>
      <c r="BT72">
        <v>2.6672161533024537</v>
      </c>
      <c r="BU72">
        <v>198.44088180570253</v>
      </c>
      <c r="BV72">
        <v>2.5422371711458287</v>
      </c>
      <c r="BW72">
        <v>189.14244553324963</v>
      </c>
      <c r="BX72">
        <v>2.6183255229983997</v>
      </c>
      <c r="BY72">
        <v>194.80341891108091</v>
      </c>
      <c r="BZ72">
        <v>2.001737183832581</v>
      </c>
      <c r="CA72">
        <v>148.92924647714401</v>
      </c>
      <c r="CB72">
        <v>2.3936034691127235</v>
      </c>
      <c r="CC72">
        <v>178.0840981019866</v>
      </c>
      <c r="CD72">
        <v>2.4029376233501991</v>
      </c>
      <c r="CE72">
        <v>178.77855917725481</v>
      </c>
      <c r="CF72">
        <v>2.8299955655853628</v>
      </c>
      <c r="CG72">
        <v>210.55167007955097</v>
      </c>
      <c r="CH72">
        <v>2.4587535791745938</v>
      </c>
      <c r="CI72">
        <v>182.93126629058975</v>
      </c>
      <c r="CJ72">
        <v>2.0159763579634942</v>
      </c>
      <c r="CK72">
        <v>149.98864103248394</v>
      </c>
      <c r="CL72">
        <v>2.1904914626992786</v>
      </c>
      <c r="CM72">
        <v>162.97256482482632</v>
      </c>
      <c r="CN72">
        <v>2.564097372886446</v>
      </c>
      <c r="CO72">
        <v>190.76884454275157</v>
      </c>
      <c r="CP72">
        <v>2.8743964499667101</v>
      </c>
      <c r="CQ72">
        <v>213.85509587752321</v>
      </c>
      <c r="CR72">
        <v>2.104820662223331</v>
      </c>
      <c r="CS72">
        <v>156.59865726941581</v>
      </c>
      <c r="CT72">
        <v>2.7067865563802558</v>
      </c>
      <c r="CU72">
        <v>201.384919794691</v>
      </c>
    </row>
    <row r="73" spans="2:99" x14ac:dyDescent="0.2">
      <c r="C73" s="116" t="s">
        <v>239</v>
      </c>
      <c r="D73">
        <v>19.503085600405178</v>
      </c>
      <c r="E73">
        <v>10906.125467746575</v>
      </c>
      <c r="F73">
        <v>18</v>
      </c>
      <c r="G73">
        <v>10065.599999999999</v>
      </c>
      <c r="H73">
        <v>23</v>
      </c>
      <c r="I73">
        <v>12861.599999999999</v>
      </c>
      <c r="J73">
        <v>13</v>
      </c>
      <c r="K73">
        <v>7269.5999999999995</v>
      </c>
      <c r="L73">
        <v>14</v>
      </c>
      <c r="M73">
        <v>7828.7999999999993</v>
      </c>
      <c r="N73">
        <v>20</v>
      </c>
      <c r="O73">
        <v>11183.999999999998</v>
      </c>
      <c r="P73">
        <v>16.814908598440233</v>
      </c>
      <c r="Q73">
        <v>9402.8968882477766</v>
      </c>
      <c r="R73">
        <v>19</v>
      </c>
      <c r="S73">
        <v>10624.8</v>
      </c>
      <c r="T73">
        <v>14.129548604535046</v>
      </c>
      <c r="U73">
        <v>7901.2435796559967</v>
      </c>
      <c r="V73">
        <v>20</v>
      </c>
      <c r="W73">
        <v>11183.999999999998</v>
      </c>
      <c r="X73">
        <v>13</v>
      </c>
      <c r="Y73">
        <v>7269.5999999999995</v>
      </c>
      <c r="Z73">
        <v>12.215027073449168</v>
      </c>
      <c r="AA73">
        <v>6830.6431394727733</v>
      </c>
      <c r="AB73">
        <v>20</v>
      </c>
      <c r="AC73">
        <v>11183.999999999998</v>
      </c>
      <c r="AD73">
        <v>19.331980513692653</v>
      </c>
      <c r="AE73">
        <v>10810.443503256931</v>
      </c>
      <c r="AF73">
        <v>2.1099493998930741</v>
      </c>
      <c r="AG73">
        <v>1179.8837044202069</v>
      </c>
      <c r="AH73">
        <v>2.5472060858450334</v>
      </c>
      <c r="AI73">
        <v>1424.3976432045424</v>
      </c>
      <c r="AJ73">
        <v>2.2712837134372728</v>
      </c>
      <c r="AK73">
        <v>1270.1018525541228</v>
      </c>
      <c r="AL73">
        <v>2.3382154368110055</v>
      </c>
      <c r="AM73">
        <v>1307.5300722647141</v>
      </c>
      <c r="AN73">
        <v>2.180049316888526</v>
      </c>
      <c r="AO73">
        <v>1219.0835780040636</v>
      </c>
      <c r="AP73">
        <v>2.696747914926346</v>
      </c>
      <c r="AQ73">
        <v>1508.0214340268126</v>
      </c>
      <c r="AR73">
        <v>2.6750239818518478</v>
      </c>
      <c r="AS73">
        <v>1495.8734106515531</v>
      </c>
      <c r="AT73">
        <v>1.8507811927139399</v>
      </c>
      <c r="AU73">
        <v>1034.9568429656351</v>
      </c>
      <c r="AV73">
        <v>2.052725868612518</v>
      </c>
      <c r="AW73">
        <v>1147.8843057281199</v>
      </c>
      <c r="AX73">
        <v>1.8124753946431407</v>
      </c>
      <c r="AY73">
        <v>1013.5362406844441</v>
      </c>
      <c r="AZ73">
        <v>2.4285649309743689</v>
      </c>
      <c r="BA73">
        <v>1358.0535094008669</v>
      </c>
      <c r="BB73">
        <v>1.7685928620063742</v>
      </c>
      <c r="BC73">
        <v>988.99712843396435</v>
      </c>
      <c r="BD73">
        <v>2.513746558540384</v>
      </c>
      <c r="BE73">
        <v>1405.6870755357825</v>
      </c>
      <c r="BF73">
        <v>2.0487632790900014</v>
      </c>
      <c r="BG73">
        <v>1145.6684256671288</v>
      </c>
      <c r="BH73">
        <v>2.2924973705905138</v>
      </c>
      <c r="BI73">
        <v>1281.9645296342151</v>
      </c>
      <c r="BJ73">
        <v>2.6385972626322567</v>
      </c>
      <c r="BK73">
        <v>1475.5035892639578</v>
      </c>
      <c r="BL73">
        <v>1.7817407762417903</v>
      </c>
      <c r="BM73">
        <v>996.34944207440901</v>
      </c>
      <c r="BN73">
        <v>2.2357484553266871</v>
      </c>
      <c r="BO73">
        <v>1250.2305362186833</v>
      </c>
      <c r="BP73">
        <v>2.0255697673148756</v>
      </c>
      <c r="BQ73">
        <v>1132.6986138824782</v>
      </c>
      <c r="BR73">
        <v>1.9309829392267122</v>
      </c>
      <c r="BS73">
        <v>1079.8056596155773</v>
      </c>
      <c r="BT73">
        <v>2.2226801277520449</v>
      </c>
      <c r="BU73">
        <v>1242.9227274389434</v>
      </c>
      <c r="BV73">
        <v>2.6194632391046633</v>
      </c>
      <c r="BW73">
        <v>1464.8038433073275</v>
      </c>
      <c r="BX73">
        <v>2.6183255229983997</v>
      </c>
      <c r="BY73">
        <v>1464.1676324607049</v>
      </c>
      <c r="BZ73">
        <v>2.2241524264806456</v>
      </c>
      <c r="CA73">
        <v>1243.746036887977</v>
      </c>
      <c r="CB73">
        <v>2.2528032650472691</v>
      </c>
      <c r="CC73">
        <v>1259.7675858144328</v>
      </c>
      <c r="CD73">
        <v>2.2937131859251898</v>
      </c>
      <c r="CE73">
        <v>1282.644413569366</v>
      </c>
      <c r="CF73">
        <v>2.2147791382841966</v>
      </c>
      <c r="CG73">
        <v>1238.5044941285225</v>
      </c>
      <c r="CH73">
        <v>2.4587535791745938</v>
      </c>
      <c r="CI73">
        <v>1374.9350014744327</v>
      </c>
      <c r="CJ73">
        <v>2.0159763579634942</v>
      </c>
      <c r="CK73">
        <v>1127.3339793731859</v>
      </c>
      <c r="CL73">
        <v>2.0809668895643147</v>
      </c>
      <c r="CM73">
        <v>1163.6766846443647</v>
      </c>
      <c r="CN73">
        <v>2.3411323839397986</v>
      </c>
      <c r="CO73">
        <v>1309.1612290991352</v>
      </c>
      <c r="CP73">
        <v>2.4474810670146092</v>
      </c>
      <c r="CQ73">
        <v>1368.6314126745692</v>
      </c>
      <c r="CR73">
        <v>2.2286336423541151</v>
      </c>
      <c r="CS73">
        <v>1246.2519328044209</v>
      </c>
      <c r="CT73">
        <v>2.5643241060444524</v>
      </c>
      <c r="CU73">
        <v>1433.9700401000575</v>
      </c>
    </row>
    <row r="74" spans="2:99" x14ac:dyDescent="0.2">
      <c r="C74" s="116" t="s">
        <v>240</v>
      </c>
      <c r="D74">
        <v>19.534528450430503</v>
      </c>
      <c r="E74">
        <v>7876.3218712135786</v>
      </c>
      <c r="F74">
        <v>15</v>
      </c>
      <c r="G74">
        <v>6048</v>
      </c>
      <c r="H74">
        <v>20</v>
      </c>
      <c r="I74">
        <v>8064</v>
      </c>
      <c r="J74">
        <v>12</v>
      </c>
      <c r="K74">
        <v>4838.3999999999996</v>
      </c>
      <c r="L74">
        <v>13</v>
      </c>
      <c r="M74">
        <v>5241.5999999999995</v>
      </c>
      <c r="N74">
        <v>18</v>
      </c>
      <c r="O74">
        <v>7257.5999999999995</v>
      </c>
      <c r="P74">
        <v>16.814908598440233</v>
      </c>
      <c r="Q74">
        <v>6779.771146891102</v>
      </c>
      <c r="R74">
        <v>18</v>
      </c>
      <c r="S74">
        <v>7257.5999999999995</v>
      </c>
      <c r="T74">
        <v>16.065002969990186</v>
      </c>
      <c r="U74">
        <v>6477.4091975000429</v>
      </c>
      <c r="V74">
        <v>17</v>
      </c>
      <c r="W74">
        <v>6854.4</v>
      </c>
      <c r="X74">
        <v>13</v>
      </c>
      <c r="Y74">
        <v>5241.5999999999995</v>
      </c>
      <c r="Z74">
        <v>13.355222505000995</v>
      </c>
      <c r="AA74">
        <v>5384.8257140164014</v>
      </c>
      <c r="AB74">
        <v>20</v>
      </c>
      <c r="AC74">
        <v>8064</v>
      </c>
      <c r="AD74">
        <v>22.230333540805955</v>
      </c>
      <c r="AE74">
        <v>8963.270483652961</v>
      </c>
      <c r="AF74">
        <v>2.2606600713140081</v>
      </c>
      <c r="AG74">
        <v>911.498140753808</v>
      </c>
      <c r="AH74">
        <v>2.7897971416397986</v>
      </c>
      <c r="AI74">
        <v>1124.8462075091668</v>
      </c>
      <c r="AJ74">
        <v>2.2712837134372728</v>
      </c>
      <c r="AK74">
        <v>915.7815932579083</v>
      </c>
      <c r="AL74">
        <v>2.4612794071694797</v>
      </c>
      <c r="AM74">
        <v>992.38785697073422</v>
      </c>
      <c r="AN74">
        <v>2.180049316888526</v>
      </c>
      <c r="AO74">
        <v>878.99588456945366</v>
      </c>
      <c r="AP74">
        <v>2.5381156846365607</v>
      </c>
      <c r="AQ74">
        <v>1023.3682440454612</v>
      </c>
      <c r="AR74">
        <v>2.5412727827592554</v>
      </c>
      <c r="AS74">
        <v>1024.6411860085318</v>
      </c>
      <c r="AT74">
        <v>1.7084134086590215</v>
      </c>
      <c r="AU74">
        <v>688.83228637131742</v>
      </c>
      <c r="AV74">
        <v>2.4925956976009149</v>
      </c>
      <c r="AW74">
        <v>1005.0145852726889</v>
      </c>
      <c r="AX74">
        <v>1.8124753946431407</v>
      </c>
      <c r="AY74">
        <v>730.79007912011434</v>
      </c>
      <c r="AZ74">
        <v>2.3181756159300795</v>
      </c>
      <c r="BA74">
        <v>934.68840834300806</v>
      </c>
      <c r="BB74">
        <v>1.894920923578258</v>
      </c>
      <c r="BC74">
        <v>764.03211638675361</v>
      </c>
      <c r="BD74">
        <v>2.7732433767334745</v>
      </c>
      <c r="BE74">
        <v>1118.1717294989369</v>
      </c>
      <c r="BF74">
        <v>2.3219317163020015</v>
      </c>
      <c r="BG74">
        <v>936.20286801296697</v>
      </c>
      <c r="BH74">
        <v>2.1291909912912979</v>
      </c>
      <c r="BI74">
        <v>858.48980768865124</v>
      </c>
      <c r="BJ74">
        <v>2.4736849337177405</v>
      </c>
      <c r="BK74">
        <v>997.3897652749929</v>
      </c>
      <c r="BL74">
        <v>1.9423196642943446</v>
      </c>
      <c r="BM74">
        <v>783.14328864347965</v>
      </c>
      <c r="BN74">
        <v>2.3599567028448365</v>
      </c>
      <c r="BO74">
        <v>951.534542587038</v>
      </c>
      <c r="BP74">
        <v>2.1702533221230809</v>
      </c>
      <c r="BQ74">
        <v>875.04613948002623</v>
      </c>
      <c r="BR74">
        <v>2.0516693729283815</v>
      </c>
      <c r="BS74">
        <v>827.23309116472342</v>
      </c>
      <c r="BT74">
        <v>2.3338141341396468</v>
      </c>
      <c r="BU74">
        <v>940.99385888510551</v>
      </c>
      <c r="BV74">
        <v>2.6246366358902553</v>
      </c>
      <c r="BW74">
        <v>1058.2534915909509</v>
      </c>
      <c r="BX74">
        <v>2.35649297069856</v>
      </c>
      <c r="BY74">
        <v>950.13796578565939</v>
      </c>
      <c r="BZ74">
        <v>1.8905295625085488</v>
      </c>
      <c r="CA74">
        <v>762.2615196034468</v>
      </c>
      <c r="CB74">
        <v>2.2528032650472691</v>
      </c>
      <c r="CC74">
        <v>908.33027646705887</v>
      </c>
      <c r="CD74">
        <v>2.4029376233501991</v>
      </c>
      <c r="CE74">
        <v>968.86444973480025</v>
      </c>
      <c r="CF74">
        <v>2.8443382909329222</v>
      </c>
      <c r="CG74">
        <v>1146.8371989041543</v>
      </c>
      <c r="CH74">
        <v>2.5881616622890458</v>
      </c>
      <c r="CI74">
        <v>1043.5467822349433</v>
      </c>
      <c r="CJ74">
        <v>2.0159763579634942</v>
      </c>
      <c r="CK74">
        <v>812.84166753088084</v>
      </c>
      <c r="CL74">
        <v>2.3000160358342425</v>
      </c>
      <c r="CM74">
        <v>927.36646564836656</v>
      </c>
      <c r="CN74">
        <v>2.7870623618330939</v>
      </c>
      <c r="CO74">
        <v>1123.7435442911035</v>
      </c>
      <c r="CP74">
        <v>2.7409819556310926</v>
      </c>
      <c r="CQ74">
        <v>1105.1639245104566</v>
      </c>
      <c r="CR74">
        <v>2.3524466224848997</v>
      </c>
      <c r="CS74">
        <v>948.50647818591153</v>
      </c>
      <c r="CT74">
        <v>2.5643241060444524</v>
      </c>
      <c r="CU74">
        <v>1033.9354795571232</v>
      </c>
    </row>
    <row r="75" spans="2:99" x14ac:dyDescent="0.2">
      <c r="C75" s="116" t="s">
        <v>241</v>
      </c>
      <c r="D75">
        <v>19.471642750379857</v>
      </c>
      <c r="E75">
        <v>12524.160617044323</v>
      </c>
      <c r="F75">
        <v>15</v>
      </c>
      <c r="G75">
        <v>9647.9999999999982</v>
      </c>
      <c r="H75">
        <v>19</v>
      </c>
      <c r="I75">
        <v>12220.8</v>
      </c>
      <c r="J75">
        <v>12</v>
      </c>
      <c r="K75">
        <v>7718.4</v>
      </c>
      <c r="L75">
        <v>12</v>
      </c>
      <c r="M75">
        <v>7718.4</v>
      </c>
      <c r="N75">
        <v>21</v>
      </c>
      <c r="O75">
        <v>13507.199999999999</v>
      </c>
      <c r="P75">
        <v>14.814908598440232</v>
      </c>
      <c r="Q75">
        <v>9528.9492105167556</v>
      </c>
      <c r="R75">
        <v>21</v>
      </c>
      <c r="S75">
        <v>13507.199999999999</v>
      </c>
      <c r="T75">
        <v>15.968184518172896</v>
      </c>
      <c r="U75">
        <v>10270.736282088805</v>
      </c>
      <c r="V75">
        <v>18</v>
      </c>
      <c r="W75">
        <v>11577.599999999999</v>
      </c>
      <c r="X75">
        <v>14</v>
      </c>
      <c r="Y75">
        <v>9004.7999999999993</v>
      </c>
      <c r="Z75">
        <v>13.168295262931892</v>
      </c>
      <c r="AA75">
        <v>8469.8475131177911</v>
      </c>
      <c r="AB75">
        <v>20</v>
      </c>
      <c r="AC75">
        <v>12863.999999999998</v>
      </c>
      <c r="AD75">
        <v>20.455939239814622</v>
      </c>
      <c r="AE75">
        <v>13157.260119048764</v>
      </c>
      <c r="AF75">
        <v>2.1099493998930741</v>
      </c>
      <c r="AG75">
        <v>1357.1194540112251</v>
      </c>
      <c r="AH75">
        <v>2.7897971416397986</v>
      </c>
      <c r="AI75">
        <v>1794.3975215027183</v>
      </c>
      <c r="AJ75">
        <v>2.004073864797594</v>
      </c>
      <c r="AK75">
        <v>1289.0203098378124</v>
      </c>
      <c r="AL75">
        <v>2.4612794071694797</v>
      </c>
      <c r="AM75">
        <v>1583.0949146914093</v>
      </c>
      <c r="AN75">
        <v>2.0277117598746828</v>
      </c>
      <c r="AO75">
        <v>1304.2242039513958</v>
      </c>
      <c r="AP75">
        <v>2.3794834543467758</v>
      </c>
      <c r="AQ75">
        <v>1530.4837578358461</v>
      </c>
      <c r="AR75">
        <v>2.407521583666663</v>
      </c>
      <c r="AS75">
        <v>1548.5178826143974</v>
      </c>
      <c r="AT75">
        <v>1.7084134086590215</v>
      </c>
      <c r="AU75">
        <v>1098.8515044494825</v>
      </c>
      <c r="AV75">
        <v>2.1993491449419835</v>
      </c>
      <c r="AW75">
        <v>1414.6213700266837</v>
      </c>
      <c r="AX75">
        <v>2.0913177630497777</v>
      </c>
      <c r="AY75">
        <v>1345.1355851936169</v>
      </c>
      <c r="AZ75">
        <v>2.2077863008857901</v>
      </c>
      <c r="BA75">
        <v>1420.04814872974</v>
      </c>
      <c r="BB75">
        <v>1.7685928620063742</v>
      </c>
      <c r="BC75">
        <v>1137.5589288424999</v>
      </c>
      <c r="BD75">
        <v>2.6332321767237623</v>
      </c>
      <c r="BE75">
        <v>1693.6949360687238</v>
      </c>
      <c r="BF75">
        <v>2.1853474976960015</v>
      </c>
      <c r="BG75">
        <v>1405.615510518068</v>
      </c>
      <c r="BH75">
        <v>2.4558037498897298</v>
      </c>
      <c r="BI75">
        <v>1579.5729719290741</v>
      </c>
      <c r="BJ75">
        <v>2.4736849337177405</v>
      </c>
      <c r="BK75">
        <v>1591.0741493672506</v>
      </c>
      <c r="BL75">
        <v>1.7991654818884537</v>
      </c>
      <c r="BM75">
        <v>1157.2232379506534</v>
      </c>
      <c r="BN75">
        <v>2.2357484553266871</v>
      </c>
      <c r="BO75">
        <v>1438.0334064661249</v>
      </c>
      <c r="BP75">
        <v>2.1702533221230809</v>
      </c>
      <c r="BQ75">
        <v>1395.9069367895654</v>
      </c>
      <c r="BR75">
        <v>2.293042240331721</v>
      </c>
      <c r="BS75">
        <v>1474.8847689813629</v>
      </c>
      <c r="BT75">
        <v>2.2226801277520449</v>
      </c>
      <c r="BU75">
        <v>1429.6278581701151</v>
      </c>
      <c r="BV75">
        <v>2.8359961364494346</v>
      </c>
      <c r="BW75">
        <v>1824.1127149642762</v>
      </c>
      <c r="BX75">
        <v>2.35649297069856</v>
      </c>
      <c r="BY75">
        <v>1515.6962787533137</v>
      </c>
      <c r="BZ75">
        <v>1.7793219411845165</v>
      </c>
      <c r="CA75">
        <v>1144.4598725698809</v>
      </c>
      <c r="CB75">
        <v>2.2528032650472691</v>
      </c>
      <c r="CC75">
        <v>1449.0030600784035</v>
      </c>
      <c r="CD75">
        <v>2.4029376233501991</v>
      </c>
      <c r="CE75">
        <v>1545.5694793388479</v>
      </c>
      <c r="CF75">
        <v>2.3378224237444298</v>
      </c>
      <c r="CG75">
        <v>1503.687382952417</v>
      </c>
      <c r="CH75">
        <v>2.3293454960601414</v>
      </c>
      <c r="CI75">
        <v>1498.2350230658828</v>
      </c>
      <c r="CJ75">
        <v>1.8899778355907757</v>
      </c>
      <c r="CK75">
        <v>1215.6337438519868</v>
      </c>
      <c r="CL75">
        <v>2.3000160358342425</v>
      </c>
      <c r="CM75">
        <v>1479.3703142485847</v>
      </c>
      <c r="CN75">
        <v>2.7870623618330939</v>
      </c>
      <c r="CO75">
        <v>1792.6385111310458</v>
      </c>
      <c r="CP75">
        <v>2.2294048602583962</v>
      </c>
      <c r="CQ75">
        <v>1433.9532061182003</v>
      </c>
      <c r="CR75">
        <v>1.9810076820925469</v>
      </c>
      <c r="CS75">
        <v>1274.1841411219259</v>
      </c>
      <c r="CT75">
        <v>2.5643241060444524</v>
      </c>
      <c r="CU75">
        <v>1649.3732650077916</v>
      </c>
    </row>
    <row r="76" spans="2:99" x14ac:dyDescent="0.2">
      <c r="C76" s="116" t="s">
        <v>242</v>
      </c>
      <c r="D76">
        <v>16.534528450430503</v>
      </c>
      <c r="E76">
        <v>12877.090757195276</v>
      </c>
      <c r="F76">
        <v>16</v>
      </c>
      <c r="G76">
        <v>12460.8</v>
      </c>
      <c r="H76">
        <v>22</v>
      </c>
      <c r="I76">
        <v>17133.599999999999</v>
      </c>
      <c r="J76">
        <v>11</v>
      </c>
      <c r="K76">
        <v>8566.7999999999993</v>
      </c>
      <c r="L76">
        <v>13</v>
      </c>
      <c r="M76">
        <v>10124.4</v>
      </c>
      <c r="N76">
        <v>20</v>
      </c>
      <c r="O76">
        <v>15576</v>
      </c>
      <c r="P76">
        <v>16.782312254502624</v>
      </c>
      <c r="Q76">
        <v>13070.064783806643</v>
      </c>
      <c r="R76">
        <v>20</v>
      </c>
      <c r="S76">
        <v>15576</v>
      </c>
      <c r="T76">
        <v>14.065002969990186</v>
      </c>
      <c r="U76">
        <v>10953.824313028355</v>
      </c>
      <c r="V76">
        <v>16</v>
      </c>
      <c r="W76">
        <v>12460.8</v>
      </c>
      <c r="X76">
        <v>14</v>
      </c>
      <c r="Y76">
        <v>10903.199999999999</v>
      </c>
      <c r="Z76">
        <v>12.168295262931892</v>
      </c>
      <c r="AA76">
        <v>9476.6683507713569</v>
      </c>
      <c r="AB76">
        <v>19</v>
      </c>
      <c r="AC76">
        <v>14797.199999999999</v>
      </c>
      <c r="AD76">
        <v>18.423259583594596</v>
      </c>
      <c r="AE76">
        <v>14348.034563703472</v>
      </c>
      <c r="AF76">
        <v>2.1099493998930741</v>
      </c>
      <c r="AG76">
        <v>1643.228592636726</v>
      </c>
      <c r="AH76">
        <v>2.5472060858450334</v>
      </c>
      <c r="AI76">
        <v>1983.764099656112</v>
      </c>
      <c r="AJ76">
        <v>2.1376787891174334</v>
      </c>
      <c r="AK76">
        <v>1664.8242409646571</v>
      </c>
      <c r="AL76">
        <v>2.2151514664525318</v>
      </c>
      <c r="AM76">
        <v>1725.1599620732316</v>
      </c>
      <c r="AN76">
        <v>2.165564621947957</v>
      </c>
      <c r="AO76">
        <v>1686.5417275730688</v>
      </c>
      <c r="AP76">
        <v>2.3794834543467758</v>
      </c>
      <c r="AQ76">
        <v>1853.1417142452688</v>
      </c>
      <c r="AR76">
        <v>2.407521583666663</v>
      </c>
      <c r="AS76">
        <v>1874.9778093595971</v>
      </c>
      <c r="AT76">
        <v>1.7084134086590215</v>
      </c>
      <c r="AU76">
        <v>1330.5123626636459</v>
      </c>
      <c r="AV76">
        <v>2.4925956976009149</v>
      </c>
      <c r="AW76">
        <v>1941.2335292915925</v>
      </c>
      <c r="AX76">
        <v>1.9518965788464591</v>
      </c>
      <c r="AY76">
        <v>1520.1370556056222</v>
      </c>
      <c r="AZ76">
        <v>2.4285649309743689</v>
      </c>
      <c r="BA76">
        <v>1891.3663682428385</v>
      </c>
      <c r="BB76">
        <v>1.6422648004344904</v>
      </c>
      <c r="BC76">
        <v>1278.995826578381</v>
      </c>
      <c r="BD76">
        <v>2.7732433767334745</v>
      </c>
      <c r="BE76">
        <v>2159.8019418000299</v>
      </c>
      <c r="BF76">
        <v>2.0487632790900014</v>
      </c>
      <c r="BG76">
        <v>1595.5768417552931</v>
      </c>
      <c r="BH76">
        <v>2.3039739505560282</v>
      </c>
      <c r="BI76">
        <v>1794.3349126930345</v>
      </c>
      <c r="BJ76">
        <v>2.3087726048032247</v>
      </c>
      <c r="BK76">
        <v>1798.0721046207514</v>
      </c>
      <c r="BL76">
        <v>1.9248949586476816</v>
      </c>
      <c r="BM76">
        <v>1499.1081937948143</v>
      </c>
      <c r="BN76">
        <v>2.6083731978811353</v>
      </c>
      <c r="BO76">
        <v>2031.4010465098281</v>
      </c>
      <c r="BP76">
        <v>2.1702533221230809</v>
      </c>
      <c r="BQ76">
        <v>1690.1932872694554</v>
      </c>
      <c r="BR76">
        <v>1.9309829392267122</v>
      </c>
      <c r="BS76">
        <v>1503.8495130697634</v>
      </c>
      <c r="BT76">
        <v>2.3338141341396468</v>
      </c>
      <c r="BU76">
        <v>1817.5744476679567</v>
      </c>
      <c r="BV76">
        <v>2.4184505321166676</v>
      </c>
      <c r="BW76">
        <v>1883.4892744124606</v>
      </c>
      <c r="BX76">
        <v>2.4654340147804574</v>
      </c>
      <c r="BY76">
        <v>1920.0800107110201</v>
      </c>
      <c r="BZ76">
        <v>1.8905295625085488</v>
      </c>
      <c r="CA76">
        <v>1472.3444232816578</v>
      </c>
      <c r="CB76">
        <v>1.8304026528509061</v>
      </c>
      <c r="CC76">
        <v>1425.5175860402856</v>
      </c>
      <c r="CD76">
        <v>2.1844887485001809</v>
      </c>
      <c r="CE76">
        <v>1701.2798373319408</v>
      </c>
      <c r="CF76">
        <v>2.3461918442742591</v>
      </c>
      <c r="CG76">
        <v>1827.214208320793</v>
      </c>
      <c r="CH76">
        <v>2.3293454960601414</v>
      </c>
      <c r="CI76">
        <v>1814.094272331638</v>
      </c>
      <c r="CJ76">
        <v>1.7639793132180572</v>
      </c>
      <c r="CK76">
        <v>1373.7870891342229</v>
      </c>
      <c r="CL76">
        <v>2.3000160358342425</v>
      </c>
      <c r="CM76">
        <v>1791.2524887077079</v>
      </c>
      <c r="CN76">
        <v>2.564097372886446</v>
      </c>
      <c r="CO76">
        <v>1996.919034003964</v>
      </c>
      <c r="CP76">
        <v>2.2027329603131482</v>
      </c>
      <c r="CQ76">
        <v>1715.4884294918797</v>
      </c>
      <c r="CR76">
        <v>2.2286336423541151</v>
      </c>
      <c r="CS76">
        <v>1735.6598806653847</v>
      </c>
      <c r="CT76">
        <v>2.7067865563802558</v>
      </c>
      <c r="CU76">
        <v>2108.0453701089432</v>
      </c>
    </row>
    <row r="77" spans="2:99" x14ac:dyDescent="0.2">
      <c r="C77" s="116" t="s">
        <v>243</v>
      </c>
      <c r="D77">
        <v>20.550249875443164</v>
      </c>
      <c r="E77">
        <v>5721.1895653233769</v>
      </c>
      <c r="F77">
        <v>17</v>
      </c>
      <c r="G77">
        <v>4732.7999999999993</v>
      </c>
      <c r="H77">
        <v>23</v>
      </c>
      <c r="I77">
        <v>6403.2</v>
      </c>
      <c r="J77">
        <v>12</v>
      </c>
      <c r="K77">
        <v>3340.7999999999997</v>
      </c>
      <c r="L77">
        <v>13</v>
      </c>
      <c r="M77">
        <v>3619.2</v>
      </c>
      <c r="N77">
        <v>22</v>
      </c>
      <c r="O77">
        <v>6124.7999999999993</v>
      </c>
      <c r="P77">
        <v>17.847504942377842</v>
      </c>
      <c r="Q77">
        <v>4968.7453759579912</v>
      </c>
      <c r="R77">
        <v>20</v>
      </c>
      <c r="S77">
        <v>5568</v>
      </c>
      <c r="T77">
        <v>16.129548604535046</v>
      </c>
      <c r="U77">
        <v>4490.4663315025564</v>
      </c>
      <c r="V77">
        <v>18</v>
      </c>
      <c r="W77">
        <v>5011.2</v>
      </c>
      <c r="X77">
        <v>13</v>
      </c>
      <c r="Y77">
        <v>3619.2</v>
      </c>
      <c r="Z77">
        <v>12.308490694483719</v>
      </c>
      <c r="AA77">
        <v>3426.683809344267</v>
      </c>
      <c r="AB77">
        <v>21</v>
      </c>
      <c r="AC77">
        <v>5846.4</v>
      </c>
      <c r="AD77">
        <v>22.316428659215518</v>
      </c>
      <c r="AE77">
        <v>6212.8937387256001</v>
      </c>
      <c r="AF77">
        <v>1.9592387284721402</v>
      </c>
      <c r="AG77">
        <v>545.45206200664381</v>
      </c>
      <c r="AH77">
        <v>2.7897971416397986</v>
      </c>
      <c r="AI77">
        <v>776.67952423251984</v>
      </c>
      <c r="AJ77">
        <v>2.2712837134372728</v>
      </c>
      <c r="AK77">
        <v>632.32538582093673</v>
      </c>
      <c r="AL77">
        <v>2.707407347886428</v>
      </c>
      <c r="AM77">
        <v>753.74220565158146</v>
      </c>
      <c r="AN77">
        <v>2.3142810052266585</v>
      </c>
      <c r="AO77">
        <v>644.29583185510171</v>
      </c>
      <c r="AP77">
        <v>2.5381156846365607</v>
      </c>
      <c r="AQ77">
        <v>706.61140660281842</v>
      </c>
      <c r="AR77">
        <v>2.407521583666663</v>
      </c>
      <c r="AS77">
        <v>670.25400889279888</v>
      </c>
      <c r="AT77">
        <v>1.7084134086590215</v>
      </c>
      <c r="AU77">
        <v>475.62229297067154</v>
      </c>
      <c r="AV77">
        <v>2.6392189739303804</v>
      </c>
      <c r="AW77">
        <v>734.75856234221783</v>
      </c>
      <c r="AX77">
        <v>1.9518965788464591</v>
      </c>
      <c r="AY77">
        <v>543.40800755085411</v>
      </c>
      <c r="AZ77">
        <v>2.3181756159300795</v>
      </c>
      <c r="BA77">
        <v>645.38009147493403</v>
      </c>
      <c r="BB77">
        <v>1.894920923578258</v>
      </c>
      <c r="BC77">
        <v>527.54598512418704</v>
      </c>
      <c r="BD77">
        <v>2.6460490089898778</v>
      </c>
      <c r="BE77">
        <v>736.66004410278197</v>
      </c>
      <c r="BF77">
        <v>1.9121790604840012</v>
      </c>
      <c r="BG77">
        <v>532.3506504387459</v>
      </c>
      <c r="BH77">
        <v>2.2924973705905138</v>
      </c>
      <c r="BI77">
        <v>638.231267972399</v>
      </c>
      <c r="BJ77">
        <v>2.6385972626322567</v>
      </c>
      <c r="BK77">
        <v>734.5854779168202</v>
      </c>
      <c r="BL77">
        <v>1.9423196642943446</v>
      </c>
      <c r="BM77">
        <v>540.74179453954548</v>
      </c>
      <c r="BN77">
        <v>2.2357484553266871</v>
      </c>
      <c r="BO77">
        <v>622.43236996294968</v>
      </c>
      <c r="BP77">
        <v>2.1702533221230809</v>
      </c>
      <c r="BQ77">
        <v>604.19852487906564</v>
      </c>
      <c r="BR77">
        <v>2.1723558066300512</v>
      </c>
      <c r="BS77">
        <v>604.78385656580622</v>
      </c>
      <c r="BT77">
        <v>2.5560821469148514</v>
      </c>
      <c r="BU77">
        <v>711.61326970109451</v>
      </c>
      <c r="BV77">
        <v>2.526716980789053</v>
      </c>
      <c r="BW77">
        <v>703.43800745167232</v>
      </c>
      <c r="BX77">
        <v>2.6183255229983997</v>
      </c>
      <c r="BY77">
        <v>728.94182560275442</v>
      </c>
      <c r="BZ77">
        <v>1.8905295625085488</v>
      </c>
      <c r="CA77">
        <v>526.32343020237988</v>
      </c>
      <c r="CB77">
        <v>2.2528032650472691</v>
      </c>
      <c r="CC77">
        <v>627.18042898915962</v>
      </c>
      <c r="CD77">
        <v>2.0752643110751721</v>
      </c>
      <c r="CE77">
        <v>577.75358420332782</v>
      </c>
      <c r="CF77">
        <v>2.8299955655853628</v>
      </c>
      <c r="CG77">
        <v>787.87076545896491</v>
      </c>
      <c r="CH77">
        <v>2.5881616622890458</v>
      </c>
      <c r="CI77">
        <v>720.5442067812703</v>
      </c>
      <c r="CJ77">
        <v>2.1419748803362122</v>
      </c>
      <c r="CK77">
        <v>596.32580668560138</v>
      </c>
      <c r="CL77">
        <v>2.4095406089692064</v>
      </c>
      <c r="CM77">
        <v>670.81610553702706</v>
      </c>
      <c r="CN77">
        <v>2.7870623618330939</v>
      </c>
      <c r="CO77">
        <v>775.91816153433331</v>
      </c>
      <c r="CP77">
        <v>2.2027329603131482</v>
      </c>
      <c r="CQ77">
        <v>613.24085615118042</v>
      </c>
      <c r="CR77">
        <v>2.4762596026156838</v>
      </c>
      <c r="CS77">
        <v>689.39067336820631</v>
      </c>
      <c r="CT77">
        <v>3.1341739073876642</v>
      </c>
      <c r="CU77">
        <v>872.55401581672561</v>
      </c>
    </row>
    <row r="78" spans="2:99" x14ac:dyDescent="0.2">
      <c r="C78" s="116" t="s">
        <v>244</v>
      </c>
      <c r="D78">
        <v>17.534528450430503</v>
      </c>
      <c r="E78">
        <v>9679.0597046376388</v>
      </c>
      <c r="F78">
        <v>18</v>
      </c>
      <c r="G78">
        <v>9936</v>
      </c>
      <c r="H78">
        <v>21</v>
      </c>
      <c r="I78">
        <v>11592</v>
      </c>
      <c r="J78">
        <v>12</v>
      </c>
      <c r="K78">
        <v>6624</v>
      </c>
      <c r="L78">
        <v>13</v>
      </c>
      <c r="M78">
        <v>7176</v>
      </c>
      <c r="N78">
        <v>21</v>
      </c>
      <c r="O78">
        <v>11592</v>
      </c>
      <c r="P78">
        <v>14.814908598440232</v>
      </c>
      <c r="Q78">
        <v>8177.8295463390077</v>
      </c>
      <c r="R78">
        <v>18</v>
      </c>
      <c r="S78">
        <v>9936</v>
      </c>
      <c r="T78">
        <v>15.129548604535046</v>
      </c>
      <c r="U78">
        <v>8351.5108297033457</v>
      </c>
      <c r="V78">
        <v>18</v>
      </c>
      <c r="W78">
        <v>9936</v>
      </c>
      <c r="X78">
        <v>15</v>
      </c>
      <c r="Y78">
        <v>8280</v>
      </c>
      <c r="Z78">
        <v>11.168295262931892</v>
      </c>
      <c r="AA78">
        <v>6164.898985138404</v>
      </c>
      <c r="AB78">
        <v>19</v>
      </c>
      <c r="AC78">
        <v>10488</v>
      </c>
      <c r="AD78">
        <v>20.283749002995489</v>
      </c>
      <c r="AE78">
        <v>11196.62944965351</v>
      </c>
      <c r="AF78">
        <v>2.1099493998930741</v>
      </c>
      <c r="AG78">
        <v>1164.692068740977</v>
      </c>
      <c r="AH78">
        <v>2.9110926695371808</v>
      </c>
      <c r="AI78">
        <v>1606.9231535845238</v>
      </c>
      <c r="AJ78">
        <v>2.004073864797594</v>
      </c>
      <c r="AK78">
        <v>1106.2487733682719</v>
      </c>
      <c r="AL78">
        <v>2.4612794071694797</v>
      </c>
      <c r="AM78">
        <v>1358.6262327575528</v>
      </c>
      <c r="AN78">
        <v>2.1728069694182413</v>
      </c>
      <c r="AO78">
        <v>1199.3894471188692</v>
      </c>
      <c r="AP78">
        <v>2.5381156846365607</v>
      </c>
      <c r="AQ78">
        <v>1401.0398579193816</v>
      </c>
      <c r="AR78">
        <v>2.5412727827592554</v>
      </c>
      <c r="AS78">
        <v>1402.782576083109</v>
      </c>
      <c r="AT78">
        <v>1.9931489767688584</v>
      </c>
      <c r="AU78">
        <v>1100.2182351764097</v>
      </c>
      <c r="AV78">
        <v>2.3459724212714494</v>
      </c>
      <c r="AW78">
        <v>1294.9767765418401</v>
      </c>
      <c r="AX78">
        <v>2.1966451154512039</v>
      </c>
      <c r="AY78">
        <v>1212.5481037290645</v>
      </c>
      <c r="AZ78">
        <v>2.5389542460186583</v>
      </c>
      <c r="BA78">
        <v>1401.5027438022994</v>
      </c>
      <c r="BB78">
        <v>1.7685928620063742</v>
      </c>
      <c r="BC78">
        <v>976.2632598275186</v>
      </c>
      <c r="BD78">
        <v>3.0455570271926806</v>
      </c>
      <c r="BE78">
        <v>1681.1474790103598</v>
      </c>
      <c r="BF78">
        <v>1.9121790604840012</v>
      </c>
      <c r="BG78">
        <v>1055.5228413871687</v>
      </c>
      <c r="BH78">
        <v>2.3154505305215429</v>
      </c>
      <c r="BI78">
        <v>1278.1286928478917</v>
      </c>
      <c r="BJ78">
        <v>2.3087726048032247</v>
      </c>
      <c r="BK78">
        <v>1274.4424778513801</v>
      </c>
      <c r="BL78">
        <v>1.7933572466728993</v>
      </c>
      <c r="BM78">
        <v>989.93320016344046</v>
      </c>
      <c r="BN78">
        <v>2.2357484553266871</v>
      </c>
      <c r="BO78">
        <v>1234.1331473403313</v>
      </c>
      <c r="BP78">
        <v>2.0255697673148756</v>
      </c>
      <c r="BQ78">
        <v>1118.1145115578113</v>
      </c>
      <c r="BR78">
        <v>2.0516693729283815</v>
      </c>
      <c r="BS78">
        <v>1132.5214938564666</v>
      </c>
      <c r="BT78">
        <v>2.3338141341396468</v>
      </c>
      <c r="BU78">
        <v>1288.265402045085</v>
      </c>
      <c r="BV78">
        <v>2.6246366358902553</v>
      </c>
      <c r="BW78">
        <v>1448.7994230114209</v>
      </c>
      <c r="BX78">
        <v>2.6183255229983997</v>
      </c>
      <c r="BY78">
        <v>1445.3156886951167</v>
      </c>
      <c r="BZ78">
        <v>2.1129448051566131</v>
      </c>
      <c r="CA78">
        <v>1166.3455324464505</v>
      </c>
      <c r="CB78">
        <v>1.9712028569163604</v>
      </c>
      <c r="CC78">
        <v>1088.1039770178309</v>
      </c>
      <c r="CD78">
        <v>2.1844887485001809</v>
      </c>
      <c r="CE78">
        <v>1205.8377891721</v>
      </c>
      <c r="CF78">
        <v>2.5839089946648959</v>
      </c>
      <c r="CG78">
        <v>1426.3177650550226</v>
      </c>
      <c r="CH78">
        <v>2.3293454960601414</v>
      </c>
      <c r="CI78">
        <v>1285.7987138251981</v>
      </c>
      <c r="CJ78">
        <v>1.7639793132180572</v>
      </c>
      <c r="CK78">
        <v>973.71658089636765</v>
      </c>
      <c r="CL78">
        <v>2.3000160358342425</v>
      </c>
      <c r="CM78">
        <v>1269.6088517805019</v>
      </c>
      <c r="CN78">
        <v>2.4526148784131223</v>
      </c>
      <c r="CO78">
        <v>1353.8434128840436</v>
      </c>
      <c r="CP78">
        <v>2.6186079022803619</v>
      </c>
      <c r="CQ78">
        <v>1445.4715620587597</v>
      </c>
      <c r="CR78">
        <v>2.2286336423541151</v>
      </c>
      <c r="CS78">
        <v>1230.2057705794716</v>
      </c>
      <c r="CT78">
        <v>2.7067865563802558</v>
      </c>
      <c r="CU78">
        <v>1494.1461791219012</v>
      </c>
    </row>
    <row r="79" spans="2:99" x14ac:dyDescent="0.2">
      <c r="C79" s="116" t="s">
        <v>245</v>
      </c>
      <c r="D79">
        <v>16.503085600405178</v>
      </c>
      <c r="E79">
        <v>12496.136416626799</v>
      </c>
      <c r="F79">
        <v>16</v>
      </c>
      <c r="G79">
        <v>12115.199999999999</v>
      </c>
      <c r="H79">
        <v>19</v>
      </c>
      <c r="I79">
        <v>14386.8</v>
      </c>
      <c r="J79">
        <v>12</v>
      </c>
      <c r="K79">
        <v>9086.4</v>
      </c>
      <c r="L79">
        <v>12</v>
      </c>
      <c r="M79">
        <v>9086.4</v>
      </c>
      <c r="N79">
        <v>20</v>
      </c>
      <c r="O79">
        <v>15143.999999999998</v>
      </c>
      <c r="P79">
        <v>13.880101286315451</v>
      </c>
      <c r="Q79">
        <v>10510.012693998058</v>
      </c>
      <c r="R79">
        <v>19</v>
      </c>
      <c r="S79">
        <v>14386.8</v>
      </c>
      <c r="T79">
        <v>16.000457335445326</v>
      </c>
      <c r="U79">
        <v>12115.546294399199</v>
      </c>
      <c r="V79">
        <v>16</v>
      </c>
      <c r="W79">
        <v>12115.199999999999</v>
      </c>
      <c r="X79">
        <v>13</v>
      </c>
      <c r="Y79">
        <v>9843.5999999999985</v>
      </c>
      <c r="Z79">
        <v>12.168295262931892</v>
      </c>
      <c r="AA79">
        <v>9213.8331730920272</v>
      </c>
      <c r="AB79">
        <v>21</v>
      </c>
      <c r="AC79">
        <v>15901.199999999999</v>
      </c>
      <c r="AD79">
        <v>19.331980513692653</v>
      </c>
      <c r="AE79">
        <v>14638.175644968076</v>
      </c>
      <c r="AF79">
        <v>2.1099493998930741</v>
      </c>
      <c r="AG79">
        <v>1597.6536855990355</v>
      </c>
      <c r="AH79">
        <v>2.7897971416397986</v>
      </c>
      <c r="AI79">
        <v>2112.4343956496555</v>
      </c>
      <c r="AJ79">
        <v>2.2712837134372728</v>
      </c>
      <c r="AK79">
        <v>1719.8160278147027</v>
      </c>
      <c r="AL79">
        <v>2.5843433775279538</v>
      </c>
      <c r="AM79">
        <v>1956.8648054641665</v>
      </c>
      <c r="AN79">
        <v>1.8934800715365501</v>
      </c>
      <c r="AO79">
        <v>1433.7431101674756</v>
      </c>
      <c r="AP79">
        <v>2.3794834543467758</v>
      </c>
      <c r="AQ79">
        <v>1801.7448716313784</v>
      </c>
      <c r="AR79">
        <v>2.2737703845740707</v>
      </c>
      <c r="AS79">
        <v>1721.6989351994862</v>
      </c>
      <c r="AT79">
        <v>1.9931489767688584</v>
      </c>
      <c r="AU79">
        <v>1509.2124052093795</v>
      </c>
      <c r="AV79">
        <v>2.3459724212714494</v>
      </c>
      <c r="AW79">
        <v>1776.3703173867414</v>
      </c>
      <c r="AX79">
        <v>2.0266303641722923</v>
      </c>
      <c r="AY79">
        <v>1534.5645117512595</v>
      </c>
      <c r="AZ79">
        <v>2.3181756159300795</v>
      </c>
      <c r="BA79">
        <v>1755.3225763822561</v>
      </c>
      <c r="BB79">
        <v>1.6422648004344904</v>
      </c>
      <c r="BC79">
        <v>1243.522906888996</v>
      </c>
      <c r="BD79">
        <v>2.6486496758441991</v>
      </c>
      <c r="BE79">
        <v>2005.5575345492273</v>
      </c>
      <c r="BF79">
        <v>2.0487632790900014</v>
      </c>
      <c r="BG79">
        <v>1551.3235549269489</v>
      </c>
      <c r="BH79">
        <v>2.1062378313602688</v>
      </c>
      <c r="BI79">
        <v>1594.8432859059953</v>
      </c>
      <c r="BJ79">
        <v>2.4736849337177405</v>
      </c>
      <c r="BK79">
        <v>1873.0742318110729</v>
      </c>
      <c r="BL79">
        <v>1.7701243058106817</v>
      </c>
      <c r="BM79">
        <v>1340.3381243598481</v>
      </c>
      <c r="BN79">
        <v>2.4841649503629859</v>
      </c>
      <c r="BO79">
        <v>1881.0097004148527</v>
      </c>
      <c r="BP79">
        <v>1.8808862125066701</v>
      </c>
      <c r="BQ79">
        <v>1424.2070401100505</v>
      </c>
      <c r="BR79">
        <v>2.0516693729283815</v>
      </c>
      <c r="BS79">
        <v>1553.5240491813704</v>
      </c>
      <c r="BT79">
        <v>2.3338141341396468</v>
      </c>
      <c r="BU79">
        <v>1767.1640623705405</v>
      </c>
      <c r="BV79">
        <v>2.5060233936466858</v>
      </c>
      <c r="BW79">
        <v>1897.5609136692703</v>
      </c>
      <c r="BX79">
        <v>2.35649297069856</v>
      </c>
      <c r="BY79">
        <v>1784.3364774129495</v>
      </c>
      <c r="BZ79">
        <v>2.001737183832581</v>
      </c>
      <c r="CA79">
        <v>1515.7153955980302</v>
      </c>
      <c r="CB79">
        <v>2.1120030609818148</v>
      </c>
      <c r="CC79">
        <v>1599.2087177754299</v>
      </c>
      <c r="CD79">
        <v>2.0752643110751721</v>
      </c>
      <c r="CE79">
        <v>1571.3901363461202</v>
      </c>
      <c r="CF79">
        <v>2.4608657092046631</v>
      </c>
      <c r="CG79">
        <v>1863.3675150097706</v>
      </c>
      <c r="CH79">
        <v>2.3293454960601414</v>
      </c>
      <c r="CI79">
        <v>1763.780409616739</v>
      </c>
      <c r="CJ79">
        <v>2.0159763579634942</v>
      </c>
      <c r="CK79">
        <v>1526.4972982499576</v>
      </c>
      <c r="CL79">
        <v>2.4095406089692064</v>
      </c>
      <c r="CM79">
        <v>1824.504149111483</v>
      </c>
      <c r="CN79">
        <v>2.564097372886446</v>
      </c>
      <c r="CO79">
        <v>1941.5345307496168</v>
      </c>
      <c r="CP79">
        <v>2.3572991341015701</v>
      </c>
      <c r="CQ79">
        <v>1784.9469043417087</v>
      </c>
      <c r="CR79">
        <v>2.104820662223331</v>
      </c>
      <c r="CS79">
        <v>1593.7702054355061</v>
      </c>
      <c r="CT79">
        <v>2.4218616557086499</v>
      </c>
      <c r="CU79">
        <v>1833.8336457025896</v>
      </c>
    </row>
    <row r="80" spans="2:99" x14ac:dyDescent="0.2">
      <c r="C80" s="116" t="s">
        <v>246</v>
      </c>
      <c r="D80">
        <v>16.455921325367193</v>
      </c>
      <c r="E80">
        <v>13250.307851185662</v>
      </c>
      <c r="F80">
        <v>16</v>
      </c>
      <c r="G80">
        <v>12883.199999999999</v>
      </c>
      <c r="H80">
        <v>21</v>
      </c>
      <c r="I80">
        <v>16909.199999999997</v>
      </c>
      <c r="J80">
        <v>12</v>
      </c>
      <c r="K80">
        <v>9662.4</v>
      </c>
      <c r="L80">
        <v>14</v>
      </c>
      <c r="M80">
        <v>11272.8</v>
      </c>
      <c r="N80">
        <v>20</v>
      </c>
      <c r="O80">
        <v>16103.999999999998</v>
      </c>
      <c r="P80">
        <v>14.91269763025306</v>
      </c>
      <c r="Q80">
        <v>12007.704131879764</v>
      </c>
      <c r="R80">
        <v>19</v>
      </c>
      <c r="S80">
        <v>15298.8</v>
      </c>
      <c r="T80">
        <v>13.968184518172896</v>
      </c>
      <c r="U80">
        <v>11247.182174032814</v>
      </c>
      <c r="V80">
        <v>18</v>
      </c>
      <c r="W80">
        <v>14493.599999999999</v>
      </c>
      <c r="X80">
        <v>15</v>
      </c>
      <c r="Y80">
        <v>12077.999999999998</v>
      </c>
      <c r="Z80">
        <v>11.215027073449168</v>
      </c>
      <c r="AA80">
        <v>9030.3397995412688</v>
      </c>
      <c r="AB80">
        <v>20</v>
      </c>
      <c r="AC80">
        <v>16103.999999999998</v>
      </c>
      <c r="AD80">
        <v>19.375028072897436</v>
      </c>
      <c r="AE80">
        <v>15600.772604297013</v>
      </c>
      <c r="AF80">
        <v>1.8085280570512063</v>
      </c>
      <c r="AG80">
        <v>1456.2267915376312</v>
      </c>
      <c r="AH80">
        <v>2.6685016137424156</v>
      </c>
      <c r="AI80">
        <v>2148.6774993853928</v>
      </c>
      <c r="AJ80">
        <v>1.8704689404777539</v>
      </c>
      <c r="AK80">
        <v>1506.1015908726874</v>
      </c>
      <c r="AL80">
        <v>2.3382154368110055</v>
      </c>
      <c r="AM80">
        <v>1882.7310697202215</v>
      </c>
      <c r="AN80">
        <v>2.2997963102860894</v>
      </c>
      <c r="AO80">
        <v>1851.795989042359</v>
      </c>
      <c r="AP80">
        <v>2.5381156846365607</v>
      </c>
      <c r="AQ80">
        <v>2043.6907492693585</v>
      </c>
      <c r="AR80">
        <v>2.2737703845740707</v>
      </c>
      <c r="AS80">
        <v>1830.8399136590415</v>
      </c>
      <c r="AT80">
        <v>1.8507811927139399</v>
      </c>
      <c r="AU80">
        <v>1490.2490163732643</v>
      </c>
      <c r="AV80">
        <v>2.052725868612518</v>
      </c>
      <c r="AW80">
        <v>1652.8548694067995</v>
      </c>
      <c r="AX80">
        <v>2.1721702617907295</v>
      </c>
      <c r="AY80">
        <v>1749.0314947938953</v>
      </c>
      <c r="AZ80">
        <v>2.4285649309743689</v>
      </c>
      <c r="BA80">
        <v>1955.4804824205617</v>
      </c>
      <c r="BB80">
        <v>1.894920923578258</v>
      </c>
      <c r="BC80">
        <v>1525.7903276652132</v>
      </c>
      <c r="BD80">
        <v>2.9016914524028596</v>
      </c>
      <c r="BE80">
        <v>2336.4419574747822</v>
      </c>
      <c r="BF80">
        <v>1.9121790604840012</v>
      </c>
      <c r="BG80">
        <v>1539.6865795017177</v>
      </c>
      <c r="BH80">
        <v>2.473018619838002</v>
      </c>
      <c r="BI80">
        <v>1991.274592693559</v>
      </c>
      <c r="BJ80">
        <v>2.4736849337177405</v>
      </c>
      <c r="BK80">
        <v>1991.8111086295244</v>
      </c>
      <c r="BL80">
        <v>1.709990255672168</v>
      </c>
      <c r="BM80">
        <v>1376.8841538672295</v>
      </c>
      <c r="BN80">
        <v>2.1115402078085381</v>
      </c>
      <c r="BO80">
        <v>1700.2121753274348</v>
      </c>
      <c r="BP80">
        <v>2.0255697673148756</v>
      </c>
      <c r="BQ80">
        <v>1630.9887766419376</v>
      </c>
      <c r="BR80">
        <v>1.8102965055250426</v>
      </c>
      <c r="BS80">
        <v>1457.6507462487641</v>
      </c>
      <c r="BT80">
        <v>2.2226801277520449</v>
      </c>
      <c r="BU80">
        <v>1789.7020388659464</v>
      </c>
      <c r="BV80">
        <v>2.2894904963019149</v>
      </c>
      <c r="BW80">
        <v>1843.4977476223016</v>
      </c>
      <c r="BX80">
        <v>2.5963502909303773</v>
      </c>
      <c r="BY80">
        <v>2090.5812542571398</v>
      </c>
      <c r="BZ80">
        <v>1.7793219411845165</v>
      </c>
      <c r="CA80">
        <v>1432.7100270417725</v>
      </c>
      <c r="CB80">
        <v>1.9712028569163604</v>
      </c>
      <c r="CC80">
        <v>1587.2125403890532</v>
      </c>
      <c r="CD80">
        <v>2.1844887485001809</v>
      </c>
      <c r="CE80">
        <v>1758.9503402923456</v>
      </c>
      <c r="CF80">
        <v>2.4608657092046631</v>
      </c>
      <c r="CG80">
        <v>1981.4890690515945</v>
      </c>
      <c r="CH80">
        <v>2.0705293298312366</v>
      </c>
      <c r="CI80">
        <v>1667.1902163801117</v>
      </c>
      <c r="CJ80">
        <v>1.7639793132180572</v>
      </c>
      <c r="CK80">
        <v>1420.3561430031796</v>
      </c>
      <c r="CL80">
        <v>1.9714423164293509</v>
      </c>
      <c r="CM80">
        <v>1587.4053531889131</v>
      </c>
      <c r="CN80">
        <v>2.4526148784131223</v>
      </c>
      <c r="CO80">
        <v>1974.845500098246</v>
      </c>
      <c r="CP80">
        <v>2.6130876817879183</v>
      </c>
      <c r="CQ80">
        <v>2104.0582013756316</v>
      </c>
      <c r="CR80">
        <v>1.8571947019617627</v>
      </c>
      <c r="CS80">
        <v>1495.4131740196112</v>
      </c>
      <c r="CT80">
        <v>2.4218616557086499</v>
      </c>
      <c r="CU80">
        <v>1950.0830051766047</v>
      </c>
    </row>
    <row r="81" spans="2:99" x14ac:dyDescent="0.2">
      <c r="C81" s="116" t="s">
        <v>247</v>
      </c>
      <c r="D81">
        <v>17.503085600405178</v>
      </c>
      <c r="E81">
        <v>13190.325308465342</v>
      </c>
      <c r="F81">
        <v>16</v>
      </c>
      <c r="G81">
        <v>12057.6</v>
      </c>
      <c r="H81">
        <v>22</v>
      </c>
      <c r="I81">
        <v>16579.2</v>
      </c>
      <c r="J81">
        <v>12</v>
      </c>
      <c r="K81">
        <v>9043.2000000000007</v>
      </c>
      <c r="L81">
        <v>13</v>
      </c>
      <c r="M81">
        <v>9796.8000000000011</v>
      </c>
      <c r="N81">
        <v>20</v>
      </c>
      <c r="O81">
        <v>15072</v>
      </c>
      <c r="P81">
        <v>15.880101286315451</v>
      </c>
      <c r="Q81">
        <v>11967.244329367324</v>
      </c>
      <c r="R81">
        <v>18</v>
      </c>
      <c r="S81">
        <v>13564.800000000001</v>
      </c>
      <c r="T81">
        <v>15.935911700900467</v>
      </c>
      <c r="U81">
        <v>12009.303057798592</v>
      </c>
      <c r="V81">
        <v>19</v>
      </c>
      <c r="W81">
        <v>14318.4</v>
      </c>
      <c r="X81">
        <v>14</v>
      </c>
      <c r="Y81">
        <v>10550.4</v>
      </c>
      <c r="Z81">
        <v>13.121563452414616</v>
      </c>
      <c r="AA81">
        <v>9888.4102177396544</v>
      </c>
      <c r="AB81">
        <v>19</v>
      </c>
      <c r="AC81">
        <v>14318.4</v>
      </c>
      <c r="AD81">
        <v>20.197653884585925</v>
      </c>
      <c r="AE81">
        <v>15220.951967423955</v>
      </c>
      <c r="AF81">
        <v>2.2606600713140081</v>
      </c>
      <c r="AG81">
        <v>1703.6334297422366</v>
      </c>
      <c r="AH81">
        <v>2.6685016137424156</v>
      </c>
      <c r="AI81">
        <v>2010.9828161162845</v>
      </c>
      <c r="AJ81">
        <v>2.2712837134372728</v>
      </c>
      <c r="AK81">
        <v>1711.6394064463288</v>
      </c>
      <c r="AL81">
        <v>2.3382154368110055</v>
      </c>
      <c r="AM81">
        <v>1762.0791531807738</v>
      </c>
      <c r="AN81">
        <v>2.1619434482128148</v>
      </c>
      <c r="AO81">
        <v>1629.2405825731773</v>
      </c>
      <c r="AP81">
        <v>2.3794834543467758</v>
      </c>
      <c r="AQ81">
        <v>1793.1787311957303</v>
      </c>
      <c r="AR81">
        <v>2.6750239818518478</v>
      </c>
      <c r="AS81">
        <v>2015.8980727235526</v>
      </c>
      <c r="AT81">
        <v>1.5660456246041028</v>
      </c>
      <c r="AU81">
        <v>1180.1719827016518</v>
      </c>
      <c r="AV81">
        <v>2.3459724212714494</v>
      </c>
      <c r="AW81">
        <v>1767.9248166701643</v>
      </c>
      <c r="AX81">
        <v>2.1782889752058479</v>
      </c>
      <c r="AY81">
        <v>1641.5585717151271</v>
      </c>
      <c r="AZ81">
        <v>2.3181756159300795</v>
      </c>
      <c r="BA81">
        <v>1746.9771441649079</v>
      </c>
      <c r="BB81">
        <v>1.7685928620063742</v>
      </c>
      <c r="BC81">
        <v>1332.8115808080036</v>
      </c>
      <c r="BD81">
        <v>2.7655346271732566</v>
      </c>
      <c r="BE81">
        <v>2084.1068950377662</v>
      </c>
      <c r="BF81">
        <v>1.9121790604840012</v>
      </c>
      <c r="BG81">
        <v>1441.0181399807434</v>
      </c>
      <c r="BH81">
        <v>2.1291909912912979</v>
      </c>
      <c r="BI81">
        <v>1604.5583310371221</v>
      </c>
      <c r="BJ81">
        <v>2.4736849337177405</v>
      </c>
      <c r="BK81">
        <v>1864.1689660496893</v>
      </c>
      <c r="BL81">
        <v>2.0448162001913546</v>
      </c>
      <c r="BM81">
        <v>1540.9734884642048</v>
      </c>
      <c r="BN81">
        <v>2.2357484553266871</v>
      </c>
      <c r="BO81">
        <v>1684.8600359341915</v>
      </c>
      <c r="BP81">
        <v>1.8808862125066701</v>
      </c>
      <c r="BQ81">
        <v>1417.4358497450266</v>
      </c>
      <c r="BR81">
        <v>1.9309829392267122</v>
      </c>
      <c r="BS81">
        <v>1455.1887430012503</v>
      </c>
      <c r="BT81">
        <v>2.4449481405272495</v>
      </c>
      <c r="BU81">
        <v>1842.5129187013354</v>
      </c>
      <c r="BV81">
        <v>2.526716980789053</v>
      </c>
      <c r="BW81">
        <v>1904.1339167226304</v>
      </c>
      <c r="BX81">
        <v>2.35649297069856</v>
      </c>
      <c r="BY81">
        <v>1775.8531027184349</v>
      </c>
      <c r="BZ81">
        <v>1.8905295625085488</v>
      </c>
      <c r="CA81">
        <v>1424.7030783064424</v>
      </c>
      <c r="CB81">
        <v>2.1120030609818148</v>
      </c>
      <c r="CC81">
        <v>1591.6055067558957</v>
      </c>
      <c r="CD81">
        <v>2.1844887485001809</v>
      </c>
      <c r="CE81">
        <v>1646.2307208697364</v>
      </c>
      <c r="CF81">
        <v>2.4608657092046631</v>
      </c>
      <c r="CG81">
        <v>1854.508398456634</v>
      </c>
      <c r="CH81">
        <v>2.3293454960601414</v>
      </c>
      <c r="CI81">
        <v>1755.3947658309226</v>
      </c>
      <c r="CJ81">
        <v>1.7639793132180572</v>
      </c>
      <c r="CK81">
        <v>1329.334810441128</v>
      </c>
      <c r="CL81">
        <v>2.1904914626992786</v>
      </c>
      <c r="CM81">
        <v>1650.7543662901764</v>
      </c>
      <c r="CN81">
        <v>2.564097372886446</v>
      </c>
      <c r="CO81">
        <v>1932.3037802072258</v>
      </c>
      <c r="CP81">
        <v>2.2514857422281702</v>
      </c>
      <c r="CQ81">
        <v>1696.719655343149</v>
      </c>
      <c r="CR81">
        <v>2.2286336423541151</v>
      </c>
      <c r="CS81">
        <v>1679.4983128780611</v>
      </c>
      <c r="CT81">
        <v>2.5643241060444524</v>
      </c>
      <c r="CU81">
        <v>1932.4746463150993</v>
      </c>
    </row>
    <row r="82" spans="2:99" x14ac:dyDescent="0.2">
      <c r="C82" s="116" t="s">
        <v>248</v>
      </c>
      <c r="D82">
        <v>18.487364175392518</v>
      </c>
      <c r="E82">
        <v>9406.3708924397106</v>
      </c>
      <c r="F82">
        <v>17</v>
      </c>
      <c r="G82">
        <v>8649.5999999999985</v>
      </c>
      <c r="H82">
        <v>21</v>
      </c>
      <c r="I82">
        <v>10684.799999999997</v>
      </c>
      <c r="J82">
        <v>12</v>
      </c>
      <c r="K82">
        <v>6105.5999999999985</v>
      </c>
      <c r="L82">
        <v>12</v>
      </c>
      <c r="M82">
        <v>6105.5999999999985</v>
      </c>
      <c r="N82">
        <v>20</v>
      </c>
      <c r="O82">
        <v>10175.999999999998</v>
      </c>
      <c r="P82">
        <v>15.782312254502623</v>
      </c>
      <c r="Q82">
        <v>8030.0404750909329</v>
      </c>
      <c r="R82">
        <v>21</v>
      </c>
      <c r="S82">
        <v>10684.799999999997</v>
      </c>
      <c r="T82">
        <v>15.032730152717756</v>
      </c>
      <c r="U82">
        <v>7648.6531017027928</v>
      </c>
      <c r="V82">
        <v>17</v>
      </c>
      <c r="W82">
        <v>8649.5999999999985</v>
      </c>
      <c r="X82">
        <v>13</v>
      </c>
      <c r="Y82">
        <v>6614.3999999999987</v>
      </c>
      <c r="Z82">
        <v>12.215027073449168</v>
      </c>
      <c r="AA82">
        <v>6215.0057749709349</v>
      </c>
      <c r="AB82">
        <v>21</v>
      </c>
      <c r="AC82">
        <v>10684.799999999997</v>
      </c>
      <c r="AD82">
        <v>19.331980513692653</v>
      </c>
      <c r="AE82">
        <v>9836.1116853668191</v>
      </c>
      <c r="AF82">
        <v>1.9592387284721402</v>
      </c>
      <c r="AG82">
        <v>996.86066504662472</v>
      </c>
      <c r="AH82">
        <v>2.6685016137424156</v>
      </c>
      <c r="AI82">
        <v>1357.7336210721407</v>
      </c>
      <c r="AJ82">
        <v>2.2712837134372728</v>
      </c>
      <c r="AK82">
        <v>1155.6291533968842</v>
      </c>
      <c r="AL82">
        <v>2.5843433775279538</v>
      </c>
      <c r="AM82">
        <v>1314.9139104862227</v>
      </c>
      <c r="AN82">
        <v>2.2925539628158047</v>
      </c>
      <c r="AO82">
        <v>1166.4514562806812</v>
      </c>
      <c r="AP82">
        <v>2.5381156846365607</v>
      </c>
      <c r="AQ82">
        <v>1291.3932603430819</v>
      </c>
      <c r="AR82">
        <v>2.6750239818518478</v>
      </c>
      <c r="AS82">
        <v>1361.0522019662199</v>
      </c>
      <c r="AT82">
        <v>1.7084134086590215</v>
      </c>
      <c r="AU82">
        <v>869.2407423257099</v>
      </c>
      <c r="AV82">
        <v>2.3459724212714494</v>
      </c>
      <c r="AW82">
        <v>1193.6307679429133</v>
      </c>
      <c r="AX82">
        <v>2.0449865044176483</v>
      </c>
      <c r="AY82">
        <v>1040.4891334476993</v>
      </c>
      <c r="AZ82">
        <v>2.5389542460186583</v>
      </c>
      <c r="BA82">
        <v>1291.8199203742931</v>
      </c>
      <c r="BB82">
        <v>2.0212489851501423</v>
      </c>
      <c r="BC82">
        <v>1028.4114836443921</v>
      </c>
      <c r="BD82">
        <v>2.6460490089898778</v>
      </c>
      <c r="BE82">
        <v>1346.3097357740496</v>
      </c>
      <c r="BF82">
        <v>2.1853474976960015</v>
      </c>
      <c r="BG82">
        <v>1111.9048068277252</v>
      </c>
      <c r="BH82">
        <v>2.2924973705905138</v>
      </c>
      <c r="BI82">
        <v>1166.4226621564533</v>
      </c>
      <c r="BJ82">
        <v>2.6385972626322567</v>
      </c>
      <c r="BK82">
        <v>1342.5182872272919</v>
      </c>
      <c r="BL82">
        <v>1.930703193863236</v>
      </c>
      <c r="BM82">
        <v>982.34178503761427</v>
      </c>
      <c r="BN82">
        <v>2.7325814453992847</v>
      </c>
      <c r="BO82">
        <v>1390.3374394191558</v>
      </c>
      <c r="BP82">
        <v>2.0255697673148756</v>
      </c>
      <c r="BQ82">
        <v>1030.6098976098085</v>
      </c>
      <c r="BR82">
        <v>2.1723558066300512</v>
      </c>
      <c r="BS82">
        <v>1105.2946344133697</v>
      </c>
      <c r="BT82">
        <v>2.6672161533024537</v>
      </c>
      <c r="BU82">
        <v>1357.0795788002881</v>
      </c>
      <c r="BV82">
        <v>2.5111967904322778</v>
      </c>
      <c r="BW82">
        <v>1277.6969269719427</v>
      </c>
      <c r="BX82">
        <v>2.35649297069856</v>
      </c>
      <c r="BY82">
        <v>1198.9836234914271</v>
      </c>
      <c r="BZ82">
        <v>1.8905295625085488</v>
      </c>
      <c r="CA82">
        <v>961.90144140434938</v>
      </c>
      <c r="CB82">
        <v>1.9712028569163604</v>
      </c>
      <c r="CC82">
        <v>1002.948013599044</v>
      </c>
      <c r="CD82">
        <v>2.4029376233501991</v>
      </c>
      <c r="CE82">
        <v>1222.614662760581</v>
      </c>
      <c r="CF82">
        <v>2.5839089946648959</v>
      </c>
      <c r="CG82">
        <v>1314.6928964854987</v>
      </c>
      <c r="CH82">
        <v>2.5881616622890458</v>
      </c>
      <c r="CI82">
        <v>1316.8566537726663</v>
      </c>
      <c r="CJ82">
        <v>1.7639793132180572</v>
      </c>
      <c r="CK82">
        <v>897.51267456534731</v>
      </c>
      <c r="CL82">
        <v>2.1904914626992786</v>
      </c>
      <c r="CM82">
        <v>1114.5220562213929</v>
      </c>
      <c r="CN82">
        <v>2.6755798673597697</v>
      </c>
      <c r="CO82">
        <v>1361.3350365126505</v>
      </c>
      <c r="CP82">
        <v>2.4962338489296312</v>
      </c>
      <c r="CQ82">
        <v>1270.0837823353961</v>
      </c>
      <c r="CR82">
        <v>2.104820662223331</v>
      </c>
      <c r="CS82">
        <v>1070.9327529392306</v>
      </c>
      <c r="CT82">
        <v>2.5643241060444524</v>
      </c>
      <c r="CU82">
        <v>1304.7281051554171</v>
      </c>
    </row>
    <row r="83" spans="2:99" x14ac:dyDescent="0.2">
      <c r="C83" s="116" t="s">
        <v>249</v>
      </c>
      <c r="D83">
        <v>17.518807025417843</v>
      </c>
      <c r="E83">
        <v>15073.181564669512</v>
      </c>
      <c r="F83">
        <v>16</v>
      </c>
      <c r="G83">
        <v>13766.4</v>
      </c>
      <c r="H83">
        <v>18</v>
      </c>
      <c r="I83">
        <v>15487.199999999999</v>
      </c>
      <c r="J83">
        <v>12</v>
      </c>
      <c r="K83">
        <v>10324.799999999999</v>
      </c>
      <c r="L83">
        <v>13</v>
      </c>
      <c r="M83">
        <v>11185.199999999999</v>
      </c>
      <c r="N83">
        <v>20</v>
      </c>
      <c r="O83">
        <v>17208</v>
      </c>
      <c r="P83">
        <v>15.880101286315451</v>
      </c>
      <c r="Q83">
        <v>13663.239146745815</v>
      </c>
      <c r="R83">
        <v>18</v>
      </c>
      <c r="S83">
        <v>15487.199999999999</v>
      </c>
      <c r="T83">
        <v>15.968184518172896</v>
      </c>
      <c r="U83">
        <v>13739.02595943596</v>
      </c>
      <c r="V83">
        <v>16</v>
      </c>
      <c r="W83">
        <v>13766.4</v>
      </c>
      <c r="X83">
        <v>14</v>
      </c>
      <c r="Y83">
        <v>12045.6</v>
      </c>
      <c r="Z83">
        <v>12.168295262931892</v>
      </c>
      <c r="AA83">
        <v>10469.6012442266</v>
      </c>
      <c r="AB83">
        <v>20</v>
      </c>
      <c r="AC83">
        <v>17208</v>
      </c>
      <c r="AD83">
        <v>18.423259583594596</v>
      </c>
      <c r="AE83">
        <v>15851.372545724791</v>
      </c>
      <c r="AF83">
        <v>1.9592387284721402</v>
      </c>
      <c r="AG83">
        <v>1685.7290019774293</v>
      </c>
      <c r="AH83">
        <v>2.3046150300502681</v>
      </c>
      <c r="AI83">
        <v>1982.8907718552507</v>
      </c>
      <c r="AJ83">
        <v>2.1376787891174334</v>
      </c>
      <c r="AK83">
        <v>1839.2588301566395</v>
      </c>
      <c r="AL83">
        <v>2.4612794071694797</v>
      </c>
      <c r="AM83">
        <v>2117.6848019286203</v>
      </c>
      <c r="AN83">
        <v>2.020469412404398</v>
      </c>
      <c r="AO83">
        <v>1738.4118824327441</v>
      </c>
      <c r="AP83">
        <v>2.5381156846365607</v>
      </c>
      <c r="AQ83">
        <v>2183.7947350612967</v>
      </c>
      <c r="AR83">
        <v>2.5412727827592554</v>
      </c>
      <c r="AS83">
        <v>2186.5111022860633</v>
      </c>
      <c r="AT83">
        <v>1.7084134086590215</v>
      </c>
      <c r="AU83">
        <v>1469.9188968102221</v>
      </c>
      <c r="AV83">
        <v>2.3459724212714494</v>
      </c>
      <c r="AW83">
        <v>2018.4746712619551</v>
      </c>
      <c r="AX83">
        <v>1.6730542104398221</v>
      </c>
      <c r="AY83">
        <v>1439.4958426624228</v>
      </c>
      <c r="AZ83">
        <v>2.0973969858415002</v>
      </c>
      <c r="BA83">
        <v>1804.6003666180268</v>
      </c>
      <c r="BB83">
        <v>1.6422648004344904</v>
      </c>
      <c r="BC83">
        <v>1413.0046342938356</v>
      </c>
      <c r="BD83">
        <v>2.7783514594393721</v>
      </c>
      <c r="BE83">
        <v>2390.4935957016355</v>
      </c>
      <c r="BF83">
        <v>2.0487632790900014</v>
      </c>
      <c r="BG83">
        <v>1762.7559253290372</v>
      </c>
      <c r="BH83">
        <v>2.473018619838002</v>
      </c>
      <c r="BI83">
        <v>2127.7852205086169</v>
      </c>
      <c r="BJ83">
        <v>2.4736849337177405</v>
      </c>
      <c r="BK83">
        <v>2128.3585169707439</v>
      </c>
      <c r="BL83">
        <v>1.9248949586476816</v>
      </c>
      <c r="BM83">
        <v>1656.1796224204652</v>
      </c>
      <c r="BN83">
        <v>2.1115402078085381</v>
      </c>
      <c r="BO83">
        <v>1816.7691947984661</v>
      </c>
      <c r="BP83">
        <v>2.1702533221230809</v>
      </c>
      <c r="BQ83">
        <v>1867.2859583546988</v>
      </c>
      <c r="BR83">
        <v>1.9309829392267122</v>
      </c>
      <c r="BS83">
        <v>1661.4177209106631</v>
      </c>
      <c r="BT83">
        <v>2.1115461213644426</v>
      </c>
      <c r="BU83">
        <v>1816.7742828219664</v>
      </c>
      <c r="BV83">
        <v>2.4029303417598924</v>
      </c>
      <c r="BW83">
        <v>2067.4812660502112</v>
      </c>
      <c r="BX83">
        <v>2.35649297069856</v>
      </c>
      <c r="BY83">
        <v>2027.5265519890411</v>
      </c>
      <c r="BZ83">
        <v>1.8905295625085488</v>
      </c>
      <c r="CA83">
        <v>1626.6116355823553</v>
      </c>
      <c r="CB83">
        <v>2.1120030609818148</v>
      </c>
      <c r="CC83">
        <v>1817.1674336687533</v>
      </c>
      <c r="CD83">
        <v>2.1844887485001809</v>
      </c>
      <c r="CE83">
        <v>1879.5341192095557</v>
      </c>
      <c r="CF83">
        <v>2.3378224237444298</v>
      </c>
      <c r="CG83">
        <v>2011.4624133897073</v>
      </c>
      <c r="CH83">
        <v>2.3293454960601414</v>
      </c>
      <c r="CI83">
        <v>2004.1688648101456</v>
      </c>
      <c r="CJ83">
        <v>1.7639793132180572</v>
      </c>
      <c r="CK83">
        <v>1517.7278010928164</v>
      </c>
      <c r="CL83">
        <v>2.3000160358342425</v>
      </c>
      <c r="CM83">
        <v>1978.9337972317821</v>
      </c>
      <c r="CN83">
        <v>2.3411323839397986</v>
      </c>
      <c r="CO83">
        <v>2014.3103031418027</v>
      </c>
      <c r="CP83">
        <v>2.4474810670146092</v>
      </c>
      <c r="CQ83">
        <v>2105.8127100593697</v>
      </c>
      <c r="CR83">
        <v>1.9810076820925469</v>
      </c>
      <c r="CS83">
        <v>1704.4590096724273</v>
      </c>
      <c r="CT83">
        <v>2.8492490067160583</v>
      </c>
      <c r="CU83">
        <v>2451.4938453784966</v>
      </c>
    </row>
    <row r="84" spans="2:99" x14ac:dyDescent="0.2">
      <c r="C84" s="116" t="s">
        <v>250</v>
      </c>
      <c r="D84">
        <v>17.550249875443164</v>
      </c>
      <c r="E84">
        <v>13710.255202696198</v>
      </c>
      <c r="F84">
        <v>15</v>
      </c>
      <c r="G84">
        <v>11717.999999999998</v>
      </c>
      <c r="H84">
        <v>19</v>
      </c>
      <c r="I84">
        <v>14842.8</v>
      </c>
      <c r="J84">
        <v>12</v>
      </c>
      <c r="K84">
        <v>9374.4</v>
      </c>
      <c r="L84">
        <v>12</v>
      </c>
      <c r="M84">
        <v>9374.4</v>
      </c>
      <c r="N84">
        <v>21</v>
      </c>
      <c r="O84">
        <v>16405.199999999997</v>
      </c>
      <c r="P84">
        <v>15.847504942377842</v>
      </c>
      <c r="Q84">
        <v>12380.07086098557</v>
      </c>
      <c r="R84">
        <v>20</v>
      </c>
      <c r="S84">
        <v>15623.999999999998</v>
      </c>
      <c r="T84">
        <v>15.935911700900467</v>
      </c>
      <c r="U84">
        <v>12449.134220743445</v>
      </c>
      <c r="V84">
        <v>19</v>
      </c>
      <c r="W84">
        <v>14842.8</v>
      </c>
      <c r="X84">
        <v>14</v>
      </c>
      <c r="Y84">
        <v>10936.8</v>
      </c>
      <c r="Z84">
        <v>12.121563452414616</v>
      </c>
      <c r="AA84">
        <v>9469.3653690262981</v>
      </c>
      <c r="AB84">
        <v>18</v>
      </c>
      <c r="AC84">
        <v>14061.599999999999</v>
      </c>
      <c r="AD84">
        <v>21.278565051503112</v>
      </c>
      <c r="AE84">
        <v>16622.815018234229</v>
      </c>
      <c r="AF84">
        <v>2.1099493998930741</v>
      </c>
      <c r="AG84">
        <v>1648.2924711964693</v>
      </c>
      <c r="AH84">
        <v>2.9110926695371808</v>
      </c>
      <c r="AI84">
        <v>2274.1455934424453</v>
      </c>
      <c r="AJ84">
        <v>2.004073864797594</v>
      </c>
      <c r="AK84">
        <v>1565.5825031798802</v>
      </c>
      <c r="AL84">
        <v>2.2151514664525318</v>
      </c>
      <c r="AM84">
        <v>1730.4763255927178</v>
      </c>
      <c r="AN84">
        <v>2.1547011007425305</v>
      </c>
      <c r="AO84">
        <v>1683.2524999000648</v>
      </c>
      <c r="AP84">
        <v>2.3794834543467758</v>
      </c>
      <c r="AQ84">
        <v>1858.852474535701</v>
      </c>
      <c r="AR84">
        <v>2.407521583666663</v>
      </c>
      <c r="AS84">
        <v>1880.755861160397</v>
      </c>
      <c r="AT84">
        <v>1.5660456246041028</v>
      </c>
      <c r="AU84">
        <v>1223.394841940725</v>
      </c>
      <c r="AV84">
        <v>2.052725868612518</v>
      </c>
      <c r="AW84">
        <v>1603.5894485600988</v>
      </c>
      <c r="AX84">
        <v>2.0205116507571739</v>
      </c>
      <c r="AY84">
        <v>1578.4237015715041</v>
      </c>
      <c r="AZ84">
        <v>2.4285649309743689</v>
      </c>
      <c r="BA84">
        <v>1897.1949240771769</v>
      </c>
      <c r="BB84">
        <v>1.6422648004344904</v>
      </c>
      <c r="BC84">
        <v>1282.9372620994238</v>
      </c>
      <c r="BD84">
        <v>2.7693890019533658</v>
      </c>
      <c r="BE84">
        <v>2163.4466883259693</v>
      </c>
      <c r="BF84">
        <v>1.9121790604840012</v>
      </c>
      <c r="BG84">
        <v>1493.7942820501016</v>
      </c>
      <c r="BH84">
        <v>2.3097122405387855</v>
      </c>
      <c r="BI84">
        <v>1804.3472023088991</v>
      </c>
      <c r="BJ84">
        <v>2.3087726048032247</v>
      </c>
      <c r="BK84">
        <v>1803.613158872279</v>
      </c>
      <c r="BL84">
        <v>1.709990255672168</v>
      </c>
      <c r="BM84">
        <v>1335.8443877310976</v>
      </c>
      <c r="BN84">
        <v>2.3599567028448365</v>
      </c>
      <c r="BO84">
        <v>1843.598176262386</v>
      </c>
      <c r="BP84">
        <v>2.0255697673148756</v>
      </c>
      <c r="BQ84">
        <v>1582.3751022263807</v>
      </c>
      <c r="BR84">
        <v>1.8102965055250426</v>
      </c>
      <c r="BS84">
        <v>1414.2036301161631</v>
      </c>
      <c r="BT84">
        <v>2.3338141341396468</v>
      </c>
      <c r="BU84">
        <v>1823.1756015898918</v>
      </c>
      <c r="BV84">
        <v>2.3050106866586901</v>
      </c>
      <c r="BW84">
        <v>1800.6743484177687</v>
      </c>
      <c r="BX84">
        <v>2.4874092468484799</v>
      </c>
      <c r="BY84">
        <v>1943.1641036380322</v>
      </c>
      <c r="BZ84">
        <v>2.1129448051566131</v>
      </c>
      <c r="CA84">
        <v>1650.632481788346</v>
      </c>
      <c r="CB84">
        <v>1.9712028569163604</v>
      </c>
      <c r="CC84">
        <v>1539.9036718230607</v>
      </c>
      <c r="CD84">
        <v>2.1844887485001809</v>
      </c>
      <c r="CE84">
        <v>1706.5226103283412</v>
      </c>
      <c r="CF84">
        <v>2.3378224237444298</v>
      </c>
      <c r="CG84">
        <v>1826.3068774291485</v>
      </c>
      <c r="CH84">
        <v>2.199937412945689</v>
      </c>
      <c r="CI84">
        <v>1718.5911069931722</v>
      </c>
      <c r="CJ84">
        <v>1.8899778355907757</v>
      </c>
      <c r="CK84">
        <v>1476.4506851635138</v>
      </c>
      <c r="CL84">
        <v>2.0809668895643147</v>
      </c>
      <c r="CM84">
        <v>1625.6513341276425</v>
      </c>
      <c r="CN84">
        <v>2.3411323839397986</v>
      </c>
      <c r="CO84">
        <v>1828.8926183337705</v>
      </c>
      <c r="CP84">
        <v>2.6130876817879183</v>
      </c>
      <c r="CQ84">
        <v>2041.3440970127215</v>
      </c>
      <c r="CR84">
        <v>2.104820662223331</v>
      </c>
      <c r="CS84">
        <v>1644.285901328866</v>
      </c>
      <c r="CT84">
        <v>2.8492490067160583</v>
      </c>
      <c r="CU84">
        <v>2225.8333240465845</v>
      </c>
    </row>
    <row r="85" spans="2:99" x14ac:dyDescent="0.2">
      <c r="C85" s="116" t="s">
        <v>251</v>
      </c>
      <c r="D85">
        <v>20.518807025417843</v>
      </c>
      <c r="E85">
        <v>3077.8210538126764</v>
      </c>
      <c r="F85">
        <v>16</v>
      </c>
      <c r="G85">
        <v>2400</v>
      </c>
      <c r="H85">
        <v>24</v>
      </c>
      <c r="I85">
        <v>3600</v>
      </c>
      <c r="J85">
        <v>13</v>
      </c>
      <c r="K85">
        <v>1950</v>
      </c>
      <c r="L85">
        <v>13</v>
      </c>
      <c r="M85">
        <v>1950</v>
      </c>
      <c r="N85">
        <v>21</v>
      </c>
      <c r="O85">
        <v>3150</v>
      </c>
      <c r="P85">
        <v>17.814908598440233</v>
      </c>
      <c r="Q85">
        <v>2672.236289766035</v>
      </c>
      <c r="R85">
        <v>19</v>
      </c>
      <c r="S85">
        <v>2850</v>
      </c>
      <c r="T85">
        <v>18.000457335445326</v>
      </c>
      <c r="U85">
        <v>2700.0686003167989</v>
      </c>
      <c r="V85">
        <v>19</v>
      </c>
      <c r="W85">
        <v>2850</v>
      </c>
      <c r="X85">
        <v>14</v>
      </c>
      <c r="Y85">
        <v>2100</v>
      </c>
      <c r="Z85">
        <v>12.215027073449168</v>
      </c>
      <c r="AA85">
        <v>1832.2540610173751</v>
      </c>
      <c r="AB85">
        <v>20</v>
      </c>
      <c r="AC85">
        <v>3000</v>
      </c>
      <c r="AD85">
        <v>22.359476218420301</v>
      </c>
      <c r="AE85">
        <v>3353.9214327630452</v>
      </c>
      <c r="AF85">
        <v>2.1099493998930741</v>
      </c>
      <c r="AG85">
        <v>316.49240998396112</v>
      </c>
      <c r="AH85">
        <v>2.5472060858450334</v>
      </c>
      <c r="AI85">
        <v>382.08091287675501</v>
      </c>
      <c r="AJ85">
        <v>2.2712837134372728</v>
      </c>
      <c r="AK85">
        <v>340.69255701559092</v>
      </c>
      <c r="AL85">
        <v>2.3382154368110055</v>
      </c>
      <c r="AM85">
        <v>350.73231552165083</v>
      </c>
      <c r="AN85">
        <v>2.1764281431533838</v>
      </c>
      <c r="AO85">
        <v>326.46422147300757</v>
      </c>
      <c r="AP85">
        <v>2.5381156846365607</v>
      </c>
      <c r="AQ85">
        <v>380.71735269548412</v>
      </c>
      <c r="AR85">
        <v>2.407521583666663</v>
      </c>
      <c r="AS85">
        <v>361.12823754999943</v>
      </c>
      <c r="AT85">
        <v>1.9931489767688584</v>
      </c>
      <c r="AU85">
        <v>298.97234651532875</v>
      </c>
      <c r="AV85">
        <v>2.3459724212714494</v>
      </c>
      <c r="AW85">
        <v>351.89586319071742</v>
      </c>
      <c r="AX85">
        <v>1.9518965788464591</v>
      </c>
      <c r="AY85">
        <v>292.78448682696887</v>
      </c>
      <c r="AZ85">
        <v>2.6493435610629477</v>
      </c>
      <c r="BA85">
        <v>397.40153415944212</v>
      </c>
      <c r="BB85">
        <v>2.0212489851501423</v>
      </c>
      <c r="BC85">
        <v>303.18734777252132</v>
      </c>
      <c r="BD85">
        <v>2.7925152506340196</v>
      </c>
      <c r="BE85">
        <v>418.87728759510293</v>
      </c>
      <c r="BF85">
        <v>2.0487632790900014</v>
      </c>
      <c r="BG85">
        <v>307.31449186350022</v>
      </c>
      <c r="BH85">
        <v>2.6420632891199753</v>
      </c>
      <c r="BI85">
        <v>396.30949336799631</v>
      </c>
      <c r="BJ85">
        <v>2.8035095915467729</v>
      </c>
      <c r="BK85">
        <v>420.52643873201595</v>
      </c>
      <c r="BL85">
        <v>1.7991654818884537</v>
      </c>
      <c r="BM85">
        <v>269.87482228326803</v>
      </c>
      <c r="BN85">
        <v>2.6083731978811353</v>
      </c>
      <c r="BO85">
        <v>391.25597968217028</v>
      </c>
      <c r="BP85">
        <v>2.1702533221230809</v>
      </c>
      <c r="BQ85">
        <v>325.53799831846214</v>
      </c>
      <c r="BR85">
        <v>2.293042240331721</v>
      </c>
      <c r="BS85">
        <v>343.95633604975814</v>
      </c>
      <c r="BT85">
        <v>2.4449481405272495</v>
      </c>
      <c r="BU85">
        <v>366.74222107908741</v>
      </c>
      <c r="BV85">
        <v>2.9494359819074116</v>
      </c>
      <c r="BW85">
        <v>442.41539728611173</v>
      </c>
      <c r="BX85">
        <v>2.4874092468484799</v>
      </c>
      <c r="BY85">
        <v>373.11138702727197</v>
      </c>
      <c r="BZ85">
        <v>2.2241524264806456</v>
      </c>
      <c r="CA85">
        <v>333.62286397209687</v>
      </c>
      <c r="CB85">
        <v>2.2528032650472691</v>
      </c>
      <c r="CC85">
        <v>337.92048975709037</v>
      </c>
      <c r="CD85">
        <v>2.4029376233501991</v>
      </c>
      <c r="CE85">
        <v>360.44064350252989</v>
      </c>
      <c r="CF85">
        <v>2.7069522801251296</v>
      </c>
      <c r="CG85">
        <v>406.04284201876942</v>
      </c>
      <c r="CH85">
        <v>2.5881616622890458</v>
      </c>
      <c r="CI85">
        <v>388.22424934335686</v>
      </c>
      <c r="CJ85">
        <v>1.8899778355907757</v>
      </c>
      <c r="CK85">
        <v>283.49667533861634</v>
      </c>
      <c r="CL85">
        <v>2.6285897552391342</v>
      </c>
      <c r="CM85">
        <v>394.28846328587014</v>
      </c>
      <c r="CN85">
        <v>2.7870623618330939</v>
      </c>
      <c r="CO85">
        <v>418.05935427496411</v>
      </c>
      <c r="CP85">
        <v>2.4962338489296312</v>
      </c>
      <c r="CQ85">
        <v>374.43507733944466</v>
      </c>
      <c r="CR85">
        <v>2.3524466224848997</v>
      </c>
      <c r="CS85">
        <v>352.86699337273495</v>
      </c>
      <c r="CT85">
        <v>2.7067865563802558</v>
      </c>
      <c r="CU85">
        <v>406.01798345703838</v>
      </c>
    </row>
    <row r="86" spans="2:99" x14ac:dyDescent="0.2">
      <c r="C86" s="116" t="s">
        <v>252</v>
      </c>
      <c r="D86">
        <v>17.471642750379857</v>
      </c>
      <c r="E86">
        <v>9434.6870852051234</v>
      </c>
      <c r="F86">
        <v>18</v>
      </c>
      <c r="G86">
        <v>9720</v>
      </c>
      <c r="H86">
        <v>21</v>
      </c>
      <c r="I86">
        <v>11340</v>
      </c>
      <c r="J86">
        <v>13</v>
      </c>
      <c r="K86">
        <v>7020</v>
      </c>
      <c r="L86">
        <v>13</v>
      </c>
      <c r="M86">
        <v>7020</v>
      </c>
      <c r="N86">
        <v>22</v>
      </c>
      <c r="O86">
        <v>11880</v>
      </c>
      <c r="P86">
        <v>15.880101286315451</v>
      </c>
      <c r="Q86">
        <v>8575.254694610343</v>
      </c>
      <c r="R86">
        <v>19</v>
      </c>
      <c r="S86">
        <v>10260</v>
      </c>
      <c r="T86">
        <v>16.968184518172897</v>
      </c>
      <c r="U86">
        <v>9162.8196398133641</v>
      </c>
      <c r="V86">
        <v>17</v>
      </c>
      <c r="W86">
        <v>9180</v>
      </c>
      <c r="X86">
        <v>14</v>
      </c>
      <c r="Y86">
        <v>7560</v>
      </c>
      <c r="Z86">
        <v>12.355222505000995</v>
      </c>
      <c r="AA86">
        <v>6671.8201527005376</v>
      </c>
      <c r="AB86">
        <v>20</v>
      </c>
      <c r="AC86">
        <v>10800</v>
      </c>
      <c r="AD86">
        <v>18.33716446518503</v>
      </c>
      <c r="AE86">
        <v>9902.0688111999152</v>
      </c>
      <c r="AF86">
        <v>1.9592387284721402</v>
      </c>
      <c r="AG86">
        <v>1057.9889133749557</v>
      </c>
      <c r="AH86">
        <v>2.5472060858450334</v>
      </c>
      <c r="AI86">
        <v>1375.4912863563181</v>
      </c>
      <c r="AJ86">
        <v>2.004073864797594</v>
      </c>
      <c r="AK86">
        <v>1082.1998869907006</v>
      </c>
      <c r="AL86">
        <v>2.5843433775279538</v>
      </c>
      <c r="AM86">
        <v>1395.545423865095</v>
      </c>
      <c r="AN86">
        <v>2.3034174840212316</v>
      </c>
      <c r="AO86">
        <v>1243.8454413714651</v>
      </c>
      <c r="AP86">
        <v>2.696747914926346</v>
      </c>
      <c r="AQ86">
        <v>1456.2438740602267</v>
      </c>
      <c r="AR86">
        <v>2.8087751809444397</v>
      </c>
      <c r="AS86">
        <v>1516.7385977099975</v>
      </c>
      <c r="AT86">
        <v>1.9931489767688584</v>
      </c>
      <c r="AU86">
        <v>1076.3004474551835</v>
      </c>
      <c r="AV86">
        <v>2.1993491449419835</v>
      </c>
      <c r="AW86">
        <v>1187.648538268671</v>
      </c>
      <c r="AX86">
        <v>2.0913177630497777</v>
      </c>
      <c r="AY86">
        <v>1129.3115920468799</v>
      </c>
      <c r="AZ86">
        <v>2.4285649309743689</v>
      </c>
      <c r="BA86">
        <v>1311.4250627261592</v>
      </c>
      <c r="BB86">
        <v>1.6422648004344904</v>
      </c>
      <c r="BC86">
        <v>886.82299223462485</v>
      </c>
      <c r="BD86">
        <v>3.0339939028523535</v>
      </c>
      <c r="BE86">
        <v>1638.3567075402709</v>
      </c>
      <c r="BF86">
        <v>2.0487632790900014</v>
      </c>
      <c r="BG86">
        <v>1106.3321707086009</v>
      </c>
      <c r="BH86">
        <v>2.3154505305215429</v>
      </c>
      <c r="BI86">
        <v>1250.3432864816332</v>
      </c>
      <c r="BJ86">
        <v>2.4736849337177405</v>
      </c>
      <c r="BK86">
        <v>1335.7898642075797</v>
      </c>
      <c r="BL86">
        <v>2.0390079649758004</v>
      </c>
      <c r="BM86">
        <v>1101.0643010869321</v>
      </c>
      <c r="BN86">
        <v>2.6083731978811353</v>
      </c>
      <c r="BO86">
        <v>1408.5215268558131</v>
      </c>
      <c r="BP86">
        <v>2.0255697673148756</v>
      </c>
      <c r="BQ86">
        <v>1093.8076743500328</v>
      </c>
      <c r="BR86">
        <v>1.9309829392267122</v>
      </c>
      <c r="BS86">
        <v>1042.7307871824246</v>
      </c>
      <c r="BT86">
        <v>2.5560821469148514</v>
      </c>
      <c r="BU86">
        <v>1380.2843593340197</v>
      </c>
      <c r="BV86">
        <v>2.7277296877770487</v>
      </c>
      <c r="BW86">
        <v>1472.9740313996062</v>
      </c>
      <c r="BX86">
        <v>2.4874092468484799</v>
      </c>
      <c r="BY86">
        <v>1343.2009932981791</v>
      </c>
      <c r="BZ86">
        <v>1.7793219411845165</v>
      </c>
      <c r="CA86">
        <v>960.83384823963888</v>
      </c>
      <c r="CB86">
        <v>1.9712028569163604</v>
      </c>
      <c r="CC86">
        <v>1064.4495427348347</v>
      </c>
      <c r="CD86">
        <v>2.2937131859251898</v>
      </c>
      <c r="CE86">
        <v>1238.6051203996026</v>
      </c>
      <c r="CF86">
        <v>2.3378224237444298</v>
      </c>
      <c r="CG86">
        <v>1262.4241088219921</v>
      </c>
      <c r="CH86">
        <v>2.5881616622890458</v>
      </c>
      <c r="CI86">
        <v>1397.6072976360847</v>
      </c>
      <c r="CJ86">
        <v>2.0159763579634942</v>
      </c>
      <c r="CK86">
        <v>1088.6272333002869</v>
      </c>
      <c r="CL86">
        <v>2.0809668895643147</v>
      </c>
      <c r="CM86">
        <v>1123.72212036473</v>
      </c>
      <c r="CN86">
        <v>2.564097372886446</v>
      </c>
      <c r="CO86">
        <v>1384.6125813586809</v>
      </c>
      <c r="CP86">
        <v>2.3738597955789009</v>
      </c>
      <c r="CQ86">
        <v>1281.8842896126066</v>
      </c>
      <c r="CR86">
        <v>2.2286336423541151</v>
      </c>
      <c r="CS86">
        <v>1203.4621668712221</v>
      </c>
      <c r="CT86">
        <v>2.7067865563802558</v>
      </c>
      <c r="CU86">
        <v>1461.6647404453381</v>
      </c>
    </row>
    <row r="87" spans="2:99" x14ac:dyDescent="0.2">
      <c r="B87" s="116" t="s">
        <v>131</v>
      </c>
      <c r="C87" s="116" t="s">
        <v>253</v>
      </c>
      <c r="D87">
        <v>14.204378525164604</v>
      </c>
      <c r="E87">
        <v>27766.719140991765</v>
      </c>
      <c r="F87">
        <v>14</v>
      </c>
      <c r="G87">
        <v>27367.200000000001</v>
      </c>
      <c r="H87">
        <v>14.105936180586664</v>
      </c>
      <c r="I87">
        <v>27574.284045810811</v>
      </c>
      <c r="J87">
        <v>17</v>
      </c>
      <c r="K87">
        <v>33231.599999999999</v>
      </c>
      <c r="L87">
        <v>14</v>
      </c>
      <c r="M87">
        <v>27367.200000000001</v>
      </c>
      <c r="N87">
        <v>16</v>
      </c>
      <c r="O87">
        <v>31276.799999999999</v>
      </c>
      <c r="P87">
        <v>11.554137846939359</v>
      </c>
      <c r="Q87">
        <v>22586.028663197056</v>
      </c>
      <c r="R87">
        <v>12</v>
      </c>
      <c r="S87">
        <v>23457.599999999999</v>
      </c>
      <c r="T87">
        <v>21.38727380726916</v>
      </c>
      <c r="U87">
        <v>41807.842838449753</v>
      </c>
      <c r="V87">
        <v>10</v>
      </c>
      <c r="W87">
        <v>19548</v>
      </c>
      <c r="X87">
        <v>17</v>
      </c>
      <c r="Y87">
        <v>33231.599999999999</v>
      </c>
      <c r="Z87">
        <v>12.934636210345515</v>
      </c>
      <c r="AA87">
        <v>25284.626863983412</v>
      </c>
      <c r="AB87">
        <v>20</v>
      </c>
      <c r="AC87">
        <v>39096</v>
      </c>
      <c r="AD87">
        <v>13.233941545032568</v>
      </c>
      <c r="AE87">
        <v>25869.708932229663</v>
      </c>
      <c r="AF87">
        <v>2.4113707427349418</v>
      </c>
      <c r="AG87">
        <v>4713.7475278982638</v>
      </c>
      <c r="AH87">
        <v>1.576841862665973</v>
      </c>
      <c r="AI87">
        <v>3082.4104731394441</v>
      </c>
      <c r="AJ87">
        <v>1.4696541675182353</v>
      </c>
      <c r="AK87">
        <v>2872.8799666646464</v>
      </c>
      <c r="AL87">
        <v>1.333979824629439</v>
      </c>
      <c r="AM87">
        <v>2607.6637611856272</v>
      </c>
      <c r="AN87">
        <v>2.3471198289808086</v>
      </c>
      <c r="AO87">
        <v>4588.1498416916847</v>
      </c>
      <c r="AP87">
        <v>1.5863223028978506</v>
      </c>
      <c r="AQ87">
        <v>3100.9428377047184</v>
      </c>
      <c r="AR87">
        <v>2.0062679863888859</v>
      </c>
      <c r="AS87">
        <v>3921.852659792994</v>
      </c>
      <c r="AT87">
        <v>3.2225814572250036</v>
      </c>
      <c r="AU87">
        <v>6299.502232583437</v>
      </c>
      <c r="AV87">
        <v>2.9324655265893114</v>
      </c>
      <c r="AW87">
        <v>5732.3836113767857</v>
      </c>
      <c r="AX87">
        <v>2.2198107447672686</v>
      </c>
      <c r="AY87">
        <v>4339.2860438710568</v>
      </c>
      <c r="AZ87">
        <v>1.9870076707972109</v>
      </c>
      <c r="BA87">
        <v>3884.2025948743876</v>
      </c>
      <c r="BB87">
        <v>2.5265612314376775</v>
      </c>
      <c r="BC87">
        <v>4938.9218952143719</v>
      </c>
      <c r="BD87">
        <v>1.5054338270858498</v>
      </c>
      <c r="BE87">
        <v>2942.822045187419</v>
      </c>
      <c r="BF87">
        <v>1.9414322555820238</v>
      </c>
      <c r="BG87">
        <v>3795.11177321174</v>
      </c>
      <c r="BH87">
        <v>2.194946440883641</v>
      </c>
      <c r="BI87">
        <v>4290.6813026393411</v>
      </c>
      <c r="BJ87">
        <v>1.8140356180596764</v>
      </c>
      <c r="BK87">
        <v>3546.0768261830553</v>
      </c>
      <c r="BL87">
        <v>2.3523058078823849</v>
      </c>
      <c r="BM87">
        <v>4598.2873932484854</v>
      </c>
      <c r="BN87">
        <v>1.8631237127722395</v>
      </c>
      <c r="BO87">
        <v>3642.0342337271736</v>
      </c>
      <c r="BP87">
        <v>2.1702533221230809</v>
      </c>
      <c r="BQ87">
        <v>4242.4111940861985</v>
      </c>
      <c r="BR87">
        <v>2.5344151077350596</v>
      </c>
      <c r="BS87">
        <v>4954.2746526004948</v>
      </c>
      <c r="BT87">
        <v>1.9902853596540113</v>
      </c>
      <c r="BU87">
        <v>3890.6098210516611</v>
      </c>
      <c r="BV87">
        <v>1.9487960761029399</v>
      </c>
      <c r="BW87">
        <v>3809.5065695660269</v>
      </c>
      <c r="BX87">
        <v>2.2088781899376806</v>
      </c>
      <c r="BY87">
        <v>4317.9150856901779</v>
      </c>
      <c r="BZ87">
        <v>2.4294558963277999</v>
      </c>
      <c r="CA87">
        <v>4749.1003861415829</v>
      </c>
      <c r="CB87">
        <v>2.2661170607743948</v>
      </c>
      <c r="CC87">
        <v>4429.8056304017864</v>
      </c>
      <c r="CD87">
        <v>2.512162060775208</v>
      </c>
      <c r="CE87">
        <v>4910.7743964033762</v>
      </c>
      <c r="CF87">
        <v>2.2147791382841966</v>
      </c>
      <c r="CG87">
        <v>4329.4502595179474</v>
      </c>
      <c r="CH87">
        <v>1.9140407682083163</v>
      </c>
      <c r="CI87">
        <v>3741.5668936936167</v>
      </c>
      <c r="CJ87">
        <v>2.1419748803362122</v>
      </c>
      <c r="CK87">
        <v>4187.1324960812271</v>
      </c>
      <c r="CL87">
        <v>2.0809668895643147</v>
      </c>
      <c r="CM87">
        <v>4067.8740757203223</v>
      </c>
      <c r="CN87">
        <v>1.672237417099856</v>
      </c>
      <c r="CO87">
        <v>3268.8897029467985</v>
      </c>
      <c r="CP87">
        <v>1.835610800260957</v>
      </c>
      <c r="CQ87">
        <v>3588.2519923501186</v>
      </c>
      <c r="CR87">
        <v>2.5909129480435595</v>
      </c>
      <c r="CS87">
        <v>5064.7166308355499</v>
      </c>
      <c r="CT87">
        <v>1.852011854365438</v>
      </c>
      <c r="CU87">
        <v>3620.3127729135581</v>
      </c>
    </row>
    <row r="88" spans="2:99" x14ac:dyDescent="0.2">
      <c r="C88" s="116" t="s">
        <v>254</v>
      </c>
      <c r="D88">
        <v>13.251542800202589</v>
      </c>
      <c r="E88">
        <v>25077.219595103379</v>
      </c>
      <c r="F88">
        <v>13</v>
      </c>
      <c r="G88">
        <v>24601.199999999997</v>
      </c>
      <c r="H88">
        <v>13.057851998822027</v>
      </c>
      <c r="I88">
        <v>24710.679122570804</v>
      </c>
      <c r="J88">
        <v>15.849494348602022</v>
      </c>
      <c r="K88">
        <v>29993.583105294463</v>
      </c>
      <c r="L88">
        <v>14</v>
      </c>
      <c r="M88">
        <v>26493.599999999999</v>
      </c>
      <c r="N88">
        <v>19</v>
      </c>
      <c r="O88">
        <v>35955.599999999999</v>
      </c>
      <c r="P88">
        <v>12.554137846939359</v>
      </c>
      <c r="Q88">
        <v>23757.45046154804</v>
      </c>
      <c r="R88">
        <v>11</v>
      </c>
      <c r="S88">
        <v>20816.399999999998</v>
      </c>
      <c r="T88">
        <v>20.451819441814017</v>
      </c>
      <c r="U88">
        <v>38703.023111688846</v>
      </c>
      <c r="V88">
        <v>10</v>
      </c>
      <c r="W88">
        <v>18924</v>
      </c>
      <c r="X88">
        <v>17</v>
      </c>
      <c r="Y88">
        <v>32170.799999999999</v>
      </c>
      <c r="Z88">
        <v>12.841172589310963</v>
      </c>
      <c r="AA88">
        <v>24300.635008012065</v>
      </c>
      <c r="AB88">
        <v>21</v>
      </c>
      <c r="AC88">
        <v>39740.399999999994</v>
      </c>
      <c r="AD88">
        <v>14.185710034335408</v>
      </c>
      <c r="AE88">
        <v>26845.037668976325</v>
      </c>
      <c r="AF88">
        <v>2.7039946382636693</v>
      </c>
      <c r="AG88">
        <v>5117.0394534501675</v>
      </c>
      <c r="AH88">
        <v>1.576841862665973</v>
      </c>
      <c r="AI88">
        <v>2984.0155409090871</v>
      </c>
      <c r="AJ88">
        <v>1.4696541675182353</v>
      </c>
      <c r="AK88">
        <v>2781.1735466115083</v>
      </c>
      <c r="AL88">
        <v>1.4631226256376011</v>
      </c>
      <c r="AM88">
        <v>2768.8132567565963</v>
      </c>
      <c r="AN88">
        <v>2.2165093143778183</v>
      </c>
      <c r="AO88">
        <v>4194.5222265285829</v>
      </c>
      <c r="AP88">
        <v>1.5863223028978506</v>
      </c>
      <c r="AQ88">
        <v>3001.9563260038922</v>
      </c>
      <c r="AR88">
        <v>2.1400191854814783</v>
      </c>
      <c r="AS88">
        <v>4049.7723066051494</v>
      </c>
      <c r="AT88">
        <v>3.0941352436342076</v>
      </c>
      <c r="AU88">
        <v>5855.3415350533742</v>
      </c>
      <c r="AV88">
        <v>2.7858422502598454</v>
      </c>
      <c r="AW88">
        <v>5271.9278743917312</v>
      </c>
      <c r="AX88">
        <v>2.0742708471488318</v>
      </c>
      <c r="AY88">
        <v>3925.3501511444492</v>
      </c>
      <c r="AZ88">
        <v>2.0973969858415002</v>
      </c>
      <c r="BA88">
        <v>3969.1140560064546</v>
      </c>
      <c r="BB88">
        <v>2.7792173545814456</v>
      </c>
      <c r="BC88">
        <v>5259.390921809927</v>
      </c>
      <c r="BD88">
        <v>1.6415906523154526</v>
      </c>
      <c r="BE88">
        <v>3106.5461504417622</v>
      </c>
      <c r="BF88">
        <v>1.9121790604840012</v>
      </c>
      <c r="BG88">
        <v>3618.6076540599238</v>
      </c>
      <c r="BH88">
        <v>2.0029486116706385</v>
      </c>
      <c r="BI88">
        <v>3790.379952725516</v>
      </c>
      <c r="BJ88">
        <v>1.9789479469741924</v>
      </c>
      <c r="BK88">
        <v>3744.9610948539616</v>
      </c>
      <c r="BL88">
        <v>2.2323845663387121</v>
      </c>
      <c r="BM88">
        <v>4224.5645533393781</v>
      </c>
      <c r="BN88">
        <v>1.7389154652540901</v>
      </c>
      <c r="BO88">
        <v>3290.7236264468397</v>
      </c>
      <c r="BP88">
        <v>2.3149368769312861</v>
      </c>
      <c r="BQ88">
        <v>4380.7865459047653</v>
      </c>
      <c r="BR88">
        <v>2.293042240331721</v>
      </c>
      <c r="BS88">
        <v>4339.3531356037483</v>
      </c>
      <c r="BT88">
        <v>1.7781441022016358</v>
      </c>
      <c r="BU88">
        <v>3364.9598990063755</v>
      </c>
      <c r="BV88">
        <v>2.1653289734477106</v>
      </c>
      <c r="BW88">
        <v>4097.6685493524474</v>
      </c>
      <c r="BX88">
        <v>2.3397944660876009</v>
      </c>
      <c r="BY88">
        <v>4427.827047624176</v>
      </c>
      <c r="BZ88">
        <v>2.6408010391496148</v>
      </c>
      <c r="CA88">
        <v>4997.4518864867305</v>
      </c>
      <c r="CB88">
        <v>1.9705062890259788</v>
      </c>
      <c r="CC88">
        <v>3728.986101352762</v>
      </c>
      <c r="CD88">
        <v>2.4029376233501991</v>
      </c>
      <c r="CE88">
        <v>4547.3191584279166</v>
      </c>
      <c r="CF88">
        <v>2.2350951684494857</v>
      </c>
      <c r="CG88">
        <v>4229.6940967738065</v>
      </c>
      <c r="CH88">
        <v>1.9204362434961904</v>
      </c>
      <c r="CI88">
        <v>3634.2335471921901</v>
      </c>
      <c r="CJ88">
        <v>2.2426451283135984</v>
      </c>
      <c r="CK88">
        <v>4243.9816408206534</v>
      </c>
      <c r="CL88">
        <v>2.1904914626992786</v>
      </c>
      <c r="CM88">
        <v>4145.2860440121149</v>
      </c>
      <c r="CN88">
        <v>1.8952024060465036</v>
      </c>
      <c r="CO88">
        <v>3586.4810332024031</v>
      </c>
      <c r="CP88">
        <v>1.7178277648856994</v>
      </c>
      <c r="CQ88">
        <v>3250.8172622696975</v>
      </c>
      <c r="CR88">
        <v>2.4728326351841687</v>
      </c>
      <c r="CS88">
        <v>4679.5884788225203</v>
      </c>
      <c r="CT88">
        <v>1.852011854365438</v>
      </c>
      <c r="CU88">
        <v>3504.7472332011548</v>
      </c>
    </row>
    <row r="89" spans="2:99" x14ac:dyDescent="0.2">
      <c r="C89" s="116" t="s">
        <v>255</v>
      </c>
      <c r="D89">
        <v>13.220099950177266</v>
      </c>
      <c r="E89">
        <v>31696.511640545014</v>
      </c>
      <c r="F89">
        <v>11</v>
      </c>
      <c r="G89">
        <v>26373.599999999999</v>
      </c>
      <c r="H89">
        <v>13.105936180586664</v>
      </c>
      <c r="I89">
        <v>31422.792586574582</v>
      </c>
      <c r="J89">
        <v>13</v>
      </c>
      <c r="K89">
        <v>31168.799999999999</v>
      </c>
      <c r="L89">
        <v>14</v>
      </c>
      <c r="M89">
        <v>33566.400000000001</v>
      </c>
      <c r="N89">
        <v>15</v>
      </c>
      <c r="O89">
        <v>35964</v>
      </c>
      <c r="P89">
        <v>11.488945159064139</v>
      </c>
      <c r="Q89">
        <v>27545.89491337218</v>
      </c>
      <c r="R89">
        <v>10</v>
      </c>
      <c r="S89">
        <v>23976</v>
      </c>
      <c r="T89">
        <v>20.38727380726916</v>
      </c>
      <c r="U89">
        <v>48880.527680308536</v>
      </c>
      <c r="V89">
        <v>10</v>
      </c>
      <c r="W89">
        <v>23976</v>
      </c>
      <c r="X89">
        <v>17</v>
      </c>
      <c r="Y89">
        <v>40759.199999999997</v>
      </c>
      <c r="Z89">
        <v>11.841172589310963</v>
      </c>
      <c r="AA89">
        <v>28390.395400131965</v>
      </c>
      <c r="AB89">
        <v>20</v>
      </c>
      <c r="AC89">
        <v>47952</v>
      </c>
      <c r="AD89">
        <v>13.061751308213438</v>
      </c>
      <c r="AE89">
        <v>31316.854936572538</v>
      </c>
      <c r="AF89">
        <v>2.4113707427349418</v>
      </c>
      <c r="AG89">
        <v>5781.5024927812965</v>
      </c>
      <c r="AH89">
        <v>1.3342508068712078</v>
      </c>
      <c r="AI89">
        <v>3198.9997345544075</v>
      </c>
      <c r="AJ89">
        <v>1.6032590918380749</v>
      </c>
      <c r="AK89">
        <v>3843.9739985909682</v>
      </c>
      <c r="AL89">
        <v>1.4509649643382247</v>
      </c>
      <c r="AM89">
        <v>3478.8335984973273</v>
      </c>
      <c r="AN89">
        <v>2.343498655245666</v>
      </c>
      <c r="AO89">
        <v>5618.7723758170087</v>
      </c>
      <c r="AP89">
        <v>1.7449545331876355</v>
      </c>
      <c r="AQ89">
        <v>4183.7029887706749</v>
      </c>
      <c r="AR89">
        <v>2.0062679863888859</v>
      </c>
      <c r="AS89">
        <v>4810.228124165993</v>
      </c>
      <c r="AT89">
        <v>2.8024388902923096</v>
      </c>
      <c r="AU89">
        <v>6719.1274833648413</v>
      </c>
      <c r="AV89">
        <v>2.9324655265893114</v>
      </c>
      <c r="AW89">
        <v>7030.8793465505323</v>
      </c>
      <c r="AX89">
        <v>1.9287309495303944</v>
      </c>
      <c r="AY89">
        <v>4624.3253245940732</v>
      </c>
      <c r="AZ89">
        <v>1.8766183557529215</v>
      </c>
      <c r="BA89">
        <v>4499.3801697532044</v>
      </c>
      <c r="BB89">
        <v>2.1475770467220259</v>
      </c>
      <c r="BC89">
        <v>5149.0307272207292</v>
      </c>
      <c r="BD89">
        <v>1.5054338270858498</v>
      </c>
      <c r="BE89">
        <v>3609.4281438210332</v>
      </c>
      <c r="BF89">
        <v>1.8048480369760238</v>
      </c>
      <c r="BG89">
        <v>4327.3036534537141</v>
      </c>
      <c r="BH89">
        <v>2.1892081509008836</v>
      </c>
      <c r="BI89">
        <v>5248.8454625999584</v>
      </c>
      <c r="BJ89">
        <v>1.8140356180596764</v>
      </c>
      <c r="BK89">
        <v>4349.3317978598798</v>
      </c>
      <c r="BL89">
        <v>2.095038619148375</v>
      </c>
      <c r="BM89">
        <v>5023.0645932701436</v>
      </c>
      <c r="BN89">
        <v>1.4904989702177915</v>
      </c>
      <c r="BO89">
        <v>3573.620330994177</v>
      </c>
      <c r="BP89">
        <v>2.1702533221230809</v>
      </c>
      <c r="BQ89">
        <v>5203.3993651222981</v>
      </c>
      <c r="BR89">
        <v>2.1723558066300512</v>
      </c>
      <c r="BS89">
        <v>5208.4402819762108</v>
      </c>
      <c r="BT89">
        <v>1.8738351821577373</v>
      </c>
      <c r="BU89">
        <v>4492.7072327413907</v>
      </c>
      <c r="BV89">
        <v>1.7322631787581688</v>
      </c>
      <c r="BW89">
        <v>4153.274197390585</v>
      </c>
      <c r="BX89">
        <v>2.4707107422375207</v>
      </c>
      <c r="BY89">
        <v>5923.7760755886793</v>
      </c>
      <c r="BZ89">
        <v>2.5295934178255823</v>
      </c>
      <c r="CA89">
        <v>6064.9531785786157</v>
      </c>
      <c r="CB89">
        <v>1.963501107217225</v>
      </c>
      <c r="CC89">
        <v>4707.6902546640185</v>
      </c>
      <c r="CD89">
        <v>2.1844887485001809</v>
      </c>
      <c r="CE89">
        <v>5237.5302234040337</v>
      </c>
      <c r="CF89">
        <v>2.0917358528239633</v>
      </c>
      <c r="CG89">
        <v>5015.1458807307345</v>
      </c>
      <c r="CH89">
        <v>1.648829126691538</v>
      </c>
      <c r="CI89">
        <v>3953.2327141556316</v>
      </c>
      <c r="CJ89">
        <v>2.2679734027089307</v>
      </c>
      <c r="CK89">
        <v>5437.6930303349318</v>
      </c>
      <c r="CL89">
        <v>1.7523931701594226</v>
      </c>
      <c r="CM89">
        <v>4201.5378647742318</v>
      </c>
      <c r="CN89">
        <v>1.672237417099856</v>
      </c>
      <c r="CO89">
        <v>4009.3564312386143</v>
      </c>
      <c r="CP89">
        <v>1.4684886402087654</v>
      </c>
      <c r="CQ89">
        <v>3520.8483637645359</v>
      </c>
      <c r="CR89">
        <v>2.3318216532392038</v>
      </c>
      <c r="CS89">
        <v>5590.7755958063144</v>
      </c>
      <c r="CT89">
        <v>1.7095494040296348</v>
      </c>
      <c r="CU89">
        <v>4098.8156511014522</v>
      </c>
    </row>
    <row r="90" spans="2:99" x14ac:dyDescent="0.2">
      <c r="C90" s="116" t="s">
        <v>256</v>
      </c>
      <c r="D90">
        <v>12.220099950177266</v>
      </c>
      <c r="E90">
        <v>26850.003610529486</v>
      </c>
      <c r="F90">
        <v>13</v>
      </c>
      <c r="G90">
        <v>28563.599999999999</v>
      </c>
      <c r="H90">
        <v>13.009767817057389</v>
      </c>
      <c r="I90">
        <v>28585.061847638492</v>
      </c>
      <c r="J90">
        <v>16.899464604402141</v>
      </c>
      <c r="K90">
        <v>37131.503628792379</v>
      </c>
      <c r="L90">
        <v>13</v>
      </c>
      <c r="M90">
        <v>28563.599999999999</v>
      </c>
      <c r="N90">
        <v>16</v>
      </c>
      <c r="O90">
        <v>35155.199999999997</v>
      </c>
      <c r="P90">
        <v>12.521541503001748</v>
      </c>
      <c r="Q90">
        <v>27512.33099039544</v>
      </c>
      <c r="R90">
        <v>12</v>
      </c>
      <c r="S90">
        <v>26366.399999999998</v>
      </c>
      <c r="T90">
        <v>20.38727380726916</v>
      </c>
      <c r="U90">
        <v>44794.918009331799</v>
      </c>
      <c r="V90">
        <v>10</v>
      </c>
      <c r="W90">
        <v>21972</v>
      </c>
      <c r="X90">
        <v>19</v>
      </c>
      <c r="Y90">
        <v>41746.799999999996</v>
      </c>
      <c r="Z90">
        <v>12.887904399828239</v>
      </c>
      <c r="AA90">
        <v>28317.303547302603</v>
      </c>
      <c r="AB90">
        <v>19</v>
      </c>
      <c r="AC90">
        <v>41746.799999999996</v>
      </c>
      <c r="AD90">
        <v>15.0083358460239</v>
      </c>
      <c r="AE90">
        <v>32976.315520883712</v>
      </c>
      <c r="AF90">
        <v>2.5532839668427352</v>
      </c>
      <c r="AG90">
        <v>5610.0755319468572</v>
      </c>
      <c r="AH90">
        <v>1.4555463347685904</v>
      </c>
      <c r="AI90">
        <v>3198.1264067535467</v>
      </c>
      <c r="AJ90">
        <v>1.7368640161579145</v>
      </c>
      <c r="AK90">
        <v>3816.2376163021695</v>
      </c>
      <c r="AL90">
        <v>1.4509649643382247</v>
      </c>
      <c r="AM90">
        <v>3188.0602196439472</v>
      </c>
      <c r="AN90">
        <v>2.2128881406426761</v>
      </c>
      <c r="AO90">
        <v>4862.1578226200872</v>
      </c>
      <c r="AP90">
        <v>1.7449545331876355</v>
      </c>
      <c r="AQ90">
        <v>3834.0141003198723</v>
      </c>
      <c r="AR90">
        <v>1.8725167872962933</v>
      </c>
      <c r="AS90">
        <v>4114.2938850474156</v>
      </c>
      <c r="AT90">
        <v>3.0871744584021465</v>
      </c>
      <c r="AU90">
        <v>6783.1397200011961</v>
      </c>
      <c r="AV90">
        <v>2.6392189739303804</v>
      </c>
      <c r="AW90">
        <v>5798.8919295198311</v>
      </c>
      <c r="AX90">
        <v>1.9470870897757504</v>
      </c>
      <c r="AY90">
        <v>4278.1397536552786</v>
      </c>
      <c r="AZ90">
        <v>1.7662290407086318</v>
      </c>
      <c r="BA90">
        <v>3880.7584482450056</v>
      </c>
      <c r="BB90">
        <v>2.6528892930095616</v>
      </c>
      <c r="BC90">
        <v>5828.9283546006081</v>
      </c>
      <c r="BD90">
        <v>1.5054338270858498</v>
      </c>
      <c r="BE90">
        <v>3307.7392048730289</v>
      </c>
      <c r="BF90">
        <v>1.7755948418780012</v>
      </c>
      <c r="BG90">
        <v>3901.3369865743439</v>
      </c>
      <c r="BH90">
        <v>2.1834698609181262</v>
      </c>
      <c r="BI90">
        <v>4797.5199784093065</v>
      </c>
      <c r="BJ90">
        <v>1.9789479469741924</v>
      </c>
      <c r="BK90">
        <v>4348.1444290916952</v>
      </c>
      <c r="BL90">
        <v>2.0892303839328208</v>
      </c>
      <c r="BM90">
        <v>4590.4569995771935</v>
      </c>
      <c r="BN90">
        <v>1.6147072177359409</v>
      </c>
      <c r="BO90">
        <v>3547.834698809409</v>
      </c>
      <c r="BP90">
        <v>2.3149368769312861</v>
      </c>
      <c r="BQ90">
        <v>5086.3793059934214</v>
      </c>
      <c r="BR90">
        <v>2.4137286740333903</v>
      </c>
      <c r="BS90">
        <v>5303.4446425861652</v>
      </c>
      <c r="BT90">
        <v>1.7781441022016358</v>
      </c>
      <c r="BU90">
        <v>3906.9382213574336</v>
      </c>
      <c r="BV90">
        <v>2.0570625247753251</v>
      </c>
      <c r="BW90">
        <v>4519.7777794363437</v>
      </c>
      <c r="BX90">
        <v>2.3397944660876009</v>
      </c>
      <c r="BY90">
        <v>5140.9964008876759</v>
      </c>
      <c r="BZ90">
        <v>2.2070406536797353</v>
      </c>
      <c r="CA90">
        <v>4849.3097242651138</v>
      </c>
      <c r="CB90">
        <v>1.9915218344522396</v>
      </c>
      <c r="CC90">
        <v>4375.7717746584603</v>
      </c>
      <c r="CD90">
        <v>2.512162060775208</v>
      </c>
      <c r="CE90">
        <v>5519.7224799352862</v>
      </c>
      <c r="CF90">
        <v>1.8456492819034971</v>
      </c>
      <c r="CG90">
        <v>4055.2606021983634</v>
      </c>
      <c r="CH90">
        <v>1.7782372098059902</v>
      </c>
      <c r="CI90">
        <v>3907.1427973857212</v>
      </c>
      <c r="CJ90">
        <v>2.2679734027089307</v>
      </c>
      <c r="CK90">
        <v>4983.1911604320621</v>
      </c>
      <c r="CL90">
        <v>1.8619177432943868</v>
      </c>
      <c r="CM90">
        <v>4091.0056655664262</v>
      </c>
      <c r="CN90">
        <v>1.7837199115731799</v>
      </c>
      <c r="CO90">
        <v>3919.1893897085906</v>
      </c>
      <c r="CP90">
        <v>1.7132367469102263</v>
      </c>
      <c r="CQ90">
        <v>3764.3237803111488</v>
      </c>
      <c r="CR90">
        <v>2.3547523223247784</v>
      </c>
      <c r="CS90">
        <v>5173.861802612003</v>
      </c>
      <c r="CT90">
        <v>1.7095494040296348</v>
      </c>
      <c r="CU90">
        <v>3756.2219505339135</v>
      </c>
    </row>
    <row r="91" spans="2:99" x14ac:dyDescent="0.2">
      <c r="C91" s="116" t="s">
        <v>257</v>
      </c>
      <c r="D91">
        <v>11.220099950177266</v>
      </c>
      <c r="E91">
        <v>25770.325565567142</v>
      </c>
      <c r="F91">
        <v>11</v>
      </c>
      <c r="G91">
        <v>25264.799999999996</v>
      </c>
      <c r="H91">
        <v>14.105936180586664</v>
      </c>
      <c r="I91">
        <v>32398.514219571447</v>
      </c>
      <c r="J91">
        <v>14.849494348602022</v>
      </c>
      <c r="K91">
        <v>34106.318619869118</v>
      </c>
      <c r="L91">
        <v>14</v>
      </c>
      <c r="M91">
        <v>32155.199999999997</v>
      </c>
      <c r="N91">
        <v>15</v>
      </c>
      <c r="O91">
        <v>34451.999999999993</v>
      </c>
      <c r="P91">
        <v>12.521541503001748</v>
      </c>
      <c r="Q91">
        <v>28759.476524094411</v>
      </c>
      <c r="R91">
        <v>12</v>
      </c>
      <c r="S91">
        <v>27561.599999999999</v>
      </c>
      <c r="T91">
        <v>19.419546624541589</v>
      </c>
      <c r="U91">
        <v>44602.814687247119</v>
      </c>
      <c r="V91">
        <v>11</v>
      </c>
      <c r="W91">
        <v>25264.799999999996</v>
      </c>
      <c r="X91">
        <v>16</v>
      </c>
      <c r="Y91">
        <v>36748.799999999996</v>
      </c>
      <c r="Z91">
        <v>12.841172589310963</v>
      </c>
      <c r="AA91">
        <v>29493.605203129417</v>
      </c>
      <c r="AB91">
        <v>21</v>
      </c>
      <c r="AC91">
        <v>48232.799999999996</v>
      </c>
      <c r="AD91">
        <v>14.099614915925843</v>
      </c>
      <c r="AE91">
        <v>32383.995538898471</v>
      </c>
      <c r="AF91">
        <v>2.8682208548377264</v>
      </c>
      <c r="AG91">
        <v>6587.7296593912888</v>
      </c>
      <c r="AH91">
        <v>1.3342508068712078</v>
      </c>
      <c r="AI91">
        <v>3064.5072532217896</v>
      </c>
      <c r="AJ91">
        <v>1.4696541675182353</v>
      </c>
      <c r="AK91">
        <v>3375.5016919558825</v>
      </c>
      <c r="AL91">
        <v>1.4509649643382247</v>
      </c>
      <c r="AM91">
        <v>3332.5763300920344</v>
      </c>
      <c r="AN91">
        <v>2.209266966907534</v>
      </c>
      <c r="AO91">
        <v>5074.2443695932234</v>
      </c>
      <c r="AP91">
        <v>1.5863223028978506</v>
      </c>
      <c r="AQ91">
        <v>3643.465065295783</v>
      </c>
      <c r="AR91">
        <v>1.8725167872962933</v>
      </c>
      <c r="AS91">
        <v>4300.7965570621263</v>
      </c>
      <c r="AT91">
        <v>2.9378458891151666</v>
      </c>
      <c r="AU91">
        <v>6747.6444381197143</v>
      </c>
      <c r="AV91">
        <v>3.0790888029187773</v>
      </c>
      <c r="AW91">
        <v>7072.0511625438467</v>
      </c>
      <c r="AX91">
        <v>2.0803895605639502</v>
      </c>
      <c r="AY91">
        <v>4778.23874270328</v>
      </c>
      <c r="AZ91">
        <v>1.8766183557529215</v>
      </c>
      <c r="BA91">
        <v>4310.2170394933091</v>
      </c>
      <c r="BB91">
        <v>2.4002331698657935</v>
      </c>
      <c r="BC91">
        <v>5512.8555445477541</v>
      </c>
      <c r="BD91">
        <v>1.5092882018659586</v>
      </c>
      <c r="BE91">
        <v>3466.5331420457333</v>
      </c>
      <c r="BF91">
        <v>1.9121790604840012</v>
      </c>
      <c r="BG91">
        <v>4391.8928661196533</v>
      </c>
      <c r="BH91">
        <v>2.0029486116706385</v>
      </c>
      <c r="BI91">
        <v>4600.3723712851224</v>
      </c>
      <c r="BJ91">
        <v>1.6491232891451604</v>
      </c>
      <c r="BK91">
        <v>3787.7063705086039</v>
      </c>
      <c r="BL91">
        <v>2.2265763311231574</v>
      </c>
      <c r="BM91">
        <v>5114.0005173236677</v>
      </c>
      <c r="BN91">
        <v>1.4904989702177915</v>
      </c>
      <c r="BO91">
        <v>3423.3780347962233</v>
      </c>
      <c r="BP91">
        <v>2.1702533221230809</v>
      </c>
      <c r="BQ91">
        <v>4984.6378302522917</v>
      </c>
      <c r="BR91">
        <v>2.1723558066300512</v>
      </c>
      <c r="BS91">
        <v>4989.4668166679012</v>
      </c>
      <c r="BT91">
        <v>1.9743368463279947</v>
      </c>
      <c r="BU91">
        <v>4534.6568686461378</v>
      </c>
      <c r="BV91">
        <v>1.8405296274305543</v>
      </c>
      <c r="BW91">
        <v>4227.3284482824965</v>
      </c>
      <c r="BX91">
        <v>2.2031673013607325</v>
      </c>
      <c r="BY91">
        <v>5060.2346577653298</v>
      </c>
      <c r="BZ91">
        <v>2.312713225090643</v>
      </c>
      <c r="CA91">
        <v>5311.8397353881883</v>
      </c>
      <c r="CB91">
        <v>1.9845166526434859</v>
      </c>
      <c r="CC91">
        <v>4558.0378477915574</v>
      </c>
      <c r="CD91">
        <v>2.4029376233501991</v>
      </c>
      <c r="CE91">
        <v>5519.0671333107366</v>
      </c>
      <c r="CF91">
        <v>1.9686925673637306</v>
      </c>
      <c r="CG91">
        <v>4521.6930887210156</v>
      </c>
      <c r="CH91">
        <v>1.6552246019794117</v>
      </c>
      <c r="CI91">
        <v>3801.7198658263123</v>
      </c>
      <c r="CJ91">
        <v>2.0159763579634942</v>
      </c>
      <c r="CK91">
        <v>4630.2944989705529</v>
      </c>
      <c r="CL91">
        <v>2.0809668895643147</v>
      </c>
      <c r="CM91">
        <v>4779.5647519513177</v>
      </c>
      <c r="CN91">
        <v>1.672237417099856</v>
      </c>
      <c r="CO91">
        <v>3840.7948995949487</v>
      </c>
      <c r="CP91">
        <v>1.7132367469102263</v>
      </c>
      <c r="CQ91">
        <v>3934.9621603034075</v>
      </c>
      <c r="CR91">
        <v>2.2252066749226005</v>
      </c>
      <c r="CS91">
        <v>5110.8546909622282</v>
      </c>
      <c r="CT91">
        <v>1.7095494040296348</v>
      </c>
      <c r="CU91">
        <v>3926.493071175265</v>
      </c>
    </row>
    <row r="92" spans="2:99" x14ac:dyDescent="0.2">
      <c r="C92" s="116" t="s">
        <v>258</v>
      </c>
      <c r="D92">
        <v>14.220099950177266</v>
      </c>
      <c r="E92">
        <v>20203.918009211859</v>
      </c>
      <c r="F92">
        <v>14</v>
      </c>
      <c r="G92">
        <v>19891.2</v>
      </c>
      <c r="H92">
        <v>14.202104544115938</v>
      </c>
      <c r="I92">
        <v>20178.350136279925</v>
      </c>
      <c r="J92">
        <v>15</v>
      </c>
      <c r="K92">
        <v>21312</v>
      </c>
      <c r="L92">
        <v>15</v>
      </c>
      <c r="M92">
        <v>21312</v>
      </c>
      <c r="N92">
        <v>17</v>
      </c>
      <c r="O92">
        <v>24153.599999999999</v>
      </c>
      <c r="P92">
        <v>12.586734190876967</v>
      </c>
      <c r="Q92">
        <v>17883.231938397996</v>
      </c>
      <c r="R92">
        <v>13</v>
      </c>
      <c r="S92">
        <v>18470.399999999998</v>
      </c>
      <c r="T92">
        <v>21.484092259086449</v>
      </c>
      <c r="U92">
        <v>30524.598281710027</v>
      </c>
      <c r="V92">
        <v>12</v>
      </c>
      <c r="W92">
        <v>17049.599999999999</v>
      </c>
      <c r="X92">
        <v>19</v>
      </c>
      <c r="Y92">
        <v>26995.200000000001</v>
      </c>
      <c r="Z92">
        <v>13.981368020862789</v>
      </c>
      <c r="AA92">
        <v>19864.727684041849</v>
      </c>
      <c r="AB92">
        <v>21</v>
      </c>
      <c r="AC92">
        <v>29836.799999999999</v>
      </c>
      <c r="AD92">
        <v>15.0083358460239</v>
      </c>
      <c r="AE92">
        <v>21323.843570030756</v>
      </c>
      <c r="AF92">
        <v>2.7175101834167927</v>
      </c>
      <c r="AG92">
        <v>3861.0384685985791</v>
      </c>
      <c r="AH92">
        <v>1.576841862665973</v>
      </c>
      <c r="AI92">
        <v>2240.3769184758144</v>
      </c>
      <c r="AJ92">
        <v>1.6032590918380749</v>
      </c>
      <c r="AK92">
        <v>2277.9105176835369</v>
      </c>
      <c r="AL92">
        <v>1.3400586552791272</v>
      </c>
      <c r="AM92">
        <v>1903.9553374205839</v>
      </c>
      <c r="AN92">
        <v>2.6192043793922153</v>
      </c>
      <c r="AO92">
        <v>3721.3655822404594</v>
      </c>
      <c r="AP92">
        <v>1.9035867634774208</v>
      </c>
      <c r="AQ92">
        <v>2704.6160735487197</v>
      </c>
      <c r="AR92">
        <v>1.8725167872962933</v>
      </c>
      <c r="AS92">
        <v>2660.4718513905736</v>
      </c>
      <c r="AT92">
        <v>3.5212385957989634</v>
      </c>
      <c r="AU92">
        <v>5002.975796911167</v>
      </c>
      <c r="AV92">
        <v>3.0790888029187773</v>
      </c>
      <c r="AW92">
        <v>4374.7693711869988</v>
      </c>
      <c r="AX92">
        <v>2.0803895605639502</v>
      </c>
      <c r="AY92">
        <v>2955.8174876492603</v>
      </c>
      <c r="AZ92">
        <v>2.2077863008857901</v>
      </c>
      <c r="BA92">
        <v>3136.8227762985302</v>
      </c>
      <c r="BB92">
        <v>2.6528892930095616</v>
      </c>
      <c r="BC92">
        <v>3769.2251075079848</v>
      </c>
      <c r="BD92">
        <v>1.6454450270955616</v>
      </c>
      <c r="BE92">
        <v>2337.8482944973739</v>
      </c>
      <c r="BF92">
        <v>2.1853474976960015</v>
      </c>
      <c r="BG92">
        <v>3104.9417247264787</v>
      </c>
      <c r="BH92">
        <v>2.1834698609181262</v>
      </c>
      <c r="BI92">
        <v>3102.2739783924735</v>
      </c>
      <c r="BJ92">
        <v>2.0653778687023392</v>
      </c>
      <c r="BK92">
        <v>2934.4888758522834</v>
      </c>
      <c r="BL92">
        <v>2.6269977022630582</v>
      </c>
      <c r="BM92">
        <v>3732.4383353753528</v>
      </c>
      <c r="BN92">
        <v>1.8631237127722395</v>
      </c>
      <c r="BO92">
        <v>2647.1261711067978</v>
      </c>
      <c r="BP92">
        <v>2.1483477293247755</v>
      </c>
      <c r="BQ92">
        <v>3052.3724538246411</v>
      </c>
      <c r="BR92">
        <v>2.293042240331721</v>
      </c>
      <c r="BS92">
        <v>3257.9544150633092</v>
      </c>
      <c r="BT92">
        <v>2.1115461213644426</v>
      </c>
      <c r="BU92">
        <v>3000.0847292346002</v>
      </c>
      <c r="BV92">
        <v>2.2735954221200965</v>
      </c>
      <c r="BW92">
        <v>3230.3243757482328</v>
      </c>
      <c r="BX92">
        <v>2.482132519391417</v>
      </c>
      <c r="BY92">
        <v>3526.6138835513252</v>
      </c>
      <c r="BZ92">
        <v>2.540663517651832</v>
      </c>
      <c r="CA92">
        <v>3609.7747258797226</v>
      </c>
      <c r="CB92">
        <v>2.1323220385176942</v>
      </c>
      <c r="CC92">
        <v>3029.6031523259398</v>
      </c>
      <c r="CD92">
        <v>2.512162060775208</v>
      </c>
      <c r="CE92">
        <v>3569.2798559494154</v>
      </c>
      <c r="CF92">
        <v>2.2470417780849465</v>
      </c>
      <c r="CG92">
        <v>3192.5969583030919</v>
      </c>
      <c r="CH92">
        <v>1.9140407682083163</v>
      </c>
      <c r="CI92">
        <v>2719.4691234703755</v>
      </c>
      <c r="CJ92">
        <v>2.5199704474543676</v>
      </c>
      <c r="CK92">
        <v>3580.3740117431653</v>
      </c>
      <c r="CL92">
        <v>2.1904914626992786</v>
      </c>
      <c r="CM92">
        <v>3112.2502702031352</v>
      </c>
      <c r="CN92">
        <v>1.7837199115731799</v>
      </c>
      <c r="CO92">
        <v>2534.3092503631738</v>
      </c>
      <c r="CP92">
        <v>1.7132367469102263</v>
      </c>
      <c r="CQ92">
        <v>2434.1667700100493</v>
      </c>
      <c r="CR92">
        <v>2.7376565972599187</v>
      </c>
      <c r="CS92">
        <v>3889.6624933868925</v>
      </c>
      <c r="CT92">
        <v>1.9944743047012408</v>
      </c>
      <c r="CU92">
        <v>2833.7490921195226</v>
      </c>
    </row>
    <row r="93" spans="2:99" x14ac:dyDescent="0.2">
      <c r="C93" s="116" t="s">
        <v>259</v>
      </c>
      <c r="D93">
        <v>13.220099950177266</v>
      </c>
      <c r="E93">
        <v>23431.305151694185</v>
      </c>
      <c r="F93">
        <v>13</v>
      </c>
      <c r="G93">
        <v>23041.199999999997</v>
      </c>
      <c r="H93">
        <v>13.057851998822027</v>
      </c>
      <c r="I93">
        <v>23143.736882712161</v>
      </c>
      <c r="J93">
        <v>16.94943486020226</v>
      </c>
      <c r="K93">
        <v>30041.178346222481</v>
      </c>
      <c r="L93">
        <v>15</v>
      </c>
      <c r="M93">
        <v>26585.999999999996</v>
      </c>
      <c r="N93">
        <v>16</v>
      </c>
      <c r="O93">
        <v>28358.399999999998</v>
      </c>
      <c r="P93">
        <v>12.554137846939359</v>
      </c>
      <c r="Q93">
        <v>22250.953919915319</v>
      </c>
      <c r="R93">
        <v>13</v>
      </c>
      <c r="S93">
        <v>23041.199999999997</v>
      </c>
      <c r="T93">
        <v>21.484092259086449</v>
      </c>
      <c r="U93">
        <v>38078.40512000482</v>
      </c>
      <c r="V93">
        <v>11</v>
      </c>
      <c r="W93">
        <v>19496.399999999998</v>
      </c>
      <c r="X93">
        <v>20</v>
      </c>
      <c r="Y93">
        <v>35448</v>
      </c>
      <c r="Z93">
        <v>11.887904399828239</v>
      </c>
      <c r="AA93">
        <v>21070.121758255569</v>
      </c>
      <c r="AB93">
        <v>21</v>
      </c>
      <c r="AC93">
        <v>37220.399999999994</v>
      </c>
      <c r="AD93">
        <v>15.0083358460239</v>
      </c>
      <c r="AE93">
        <v>26600.774453492759</v>
      </c>
      <c r="AF93">
        <v>2.8547053096846029</v>
      </c>
      <c r="AG93">
        <v>5059.6796908849901</v>
      </c>
      <c r="AH93">
        <v>1.3342508068712078</v>
      </c>
      <c r="AI93">
        <v>2364.8261300985287</v>
      </c>
      <c r="AJ93">
        <v>1.6032590918380749</v>
      </c>
      <c r="AK93">
        <v>2841.6164143738038</v>
      </c>
      <c r="AL93">
        <v>1.469201456287289</v>
      </c>
      <c r="AM93">
        <v>2604.012661123591</v>
      </c>
      <c r="AN93">
        <v>2.4885938647892254</v>
      </c>
      <c r="AO93">
        <v>4410.783765952423</v>
      </c>
      <c r="AP93">
        <v>1.7449545331876355</v>
      </c>
      <c r="AQ93">
        <v>3092.7574146217648</v>
      </c>
      <c r="AR93">
        <v>2.0062679863888859</v>
      </c>
      <c r="AS93">
        <v>3555.909379075661</v>
      </c>
      <c r="AT93">
        <v>2.9517674595792891</v>
      </c>
      <c r="AU93">
        <v>5231.7126453583314</v>
      </c>
      <c r="AV93">
        <v>2.7858422502598454</v>
      </c>
      <c r="AW93">
        <v>4937.6268043605496</v>
      </c>
      <c r="AX93">
        <v>1.8124753946431407</v>
      </c>
      <c r="AY93">
        <v>3212.4313894655024</v>
      </c>
      <c r="AZ93">
        <v>2.0973969858415002</v>
      </c>
      <c r="BA93">
        <v>3717.4264177054747</v>
      </c>
      <c r="BB93">
        <v>2.4002331698657935</v>
      </c>
      <c r="BC93">
        <v>4254.173270270132</v>
      </c>
      <c r="BD93">
        <v>1.7777474775450557</v>
      </c>
      <c r="BE93">
        <v>3150.8796292008565</v>
      </c>
      <c r="BF93">
        <v>2.0487632790900014</v>
      </c>
      <c r="BG93">
        <v>3631.2280358591183</v>
      </c>
      <c r="BH93">
        <v>2.0029486116706385</v>
      </c>
      <c r="BI93">
        <v>3550.0261193250394</v>
      </c>
      <c r="BJ93">
        <v>1.9789479469741924</v>
      </c>
      <c r="BK93">
        <v>3507.4873412170582</v>
      </c>
      <c r="BL93">
        <v>2.2207680959076028</v>
      </c>
      <c r="BM93">
        <v>3936.0893731866349</v>
      </c>
      <c r="BN93">
        <v>1.6147072177359409</v>
      </c>
      <c r="BO93">
        <v>2861.9070727151816</v>
      </c>
      <c r="BP93">
        <v>2.3074757502517929</v>
      </c>
      <c r="BQ93">
        <v>4089.7700197462773</v>
      </c>
      <c r="BR93">
        <v>2.6551015414367294</v>
      </c>
      <c r="BS93">
        <v>4705.9019720424585</v>
      </c>
      <c r="BT93">
        <v>1.9849691885453393</v>
      </c>
      <c r="BU93">
        <v>3518.1593897777593</v>
      </c>
      <c r="BV93">
        <v>1.9487960761029399</v>
      </c>
      <c r="BW93">
        <v>3454.0461652848503</v>
      </c>
      <c r="BX93">
        <v>2.4764216308144684</v>
      </c>
      <c r="BY93">
        <v>4389.2096984555637</v>
      </c>
      <c r="BZ93">
        <v>2.4239208464146751</v>
      </c>
      <c r="CA93">
        <v>4296.1573081853694</v>
      </c>
      <c r="CB93">
        <v>2.1113064930914334</v>
      </c>
      <c r="CC93">
        <v>3742.0796283552563</v>
      </c>
      <c r="CD93">
        <v>2.6213864982002173</v>
      </c>
      <c r="CE93">
        <v>4646.1454294100649</v>
      </c>
      <c r="CF93">
        <v>1.9686925673637306</v>
      </c>
      <c r="CG93">
        <v>3489.3107063954758</v>
      </c>
      <c r="CH93">
        <v>2.0434488513227689</v>
      </c>
      <c r="CI93">
        <v>3621.8087440844752</v>
      </c>
      <c r="CJ93">
        <v>2.1419748803362122</v>
      </c>
      <c r="CK93">
        <v>3796.4362779079024</v>
      </c>
      <c r="CL93">
        <v>2.1904914626992786</v>
      </c>
      <c r="CM93">
        <v>3882.4270684882013</v>
      </c>
      <c r="CN93">
        <v>1.7837199115731799</v>
      </c>
      <c r="CO93">
        <v>3161.4651712723039</v>
      </c>
      <c r="CP93">
        <v>1.7132367469102263</v>
      </c>
      <c r="CQ93">
        <v>3036.5408102236847</v>
      </c>
      <c r="CR93">
        <v>2.3490196550533846</v>
      </c>
      <c r="CS93">
        <v>4163.4024366166186</v>
      </c>
      <c r="CT93">
        <v>1.852011854365438</v>
      </c>
      <c r="CU93">
        <v>3282.5058106773022</v>
      </c>
    </row>
    <row r="94" spans="2:99" x14ac:dyDescent="0.2">
      <c r="C94" s="116" t="s">
        <v>260</v>
      </c>
      <c r="D94">
        <v>12.235821375189929</v>
      </c>
      <c r="E94">
        <v>29307.239357854916</v>
      </c>
      <c r="F94">
        <v>12</v>
      </c>
      <c r="G94">
        <v>28742.399999999998</v>
      </c>
      <c r="H94">
        <v>13.009767817057389</v>
      </c>
      <c r="I94">
        <v>31160.995875415854</v>
      </c>
      <c r="J94">
        <v>13.849494348602022</v>
      </c>
      <c r="K94">
        <v>33172.308863771563</v>
      </c>
      <c r="L94">
        <v>12</v>
      </c>
      <c r="M94">
        <v>28742.399999999998</v>
      </c>
      <c r="N94">
        <v>16</v>
      </c>
      <c r="O94">
        <v>38323.199999999997</v>
      </c>
      <c r="P94">
        <v>10.521541503001748</v>
      </c>
      <c r="Q94">
        <v>25201.196207989786</v>
      </c>
      <c r="R94">
        <v>12</v>
      </c>
      <c r="S94">
        <v>28742.399999999998</v>
      </c>
      <c r="T94">
        <v>19.355000989996729</v>
      </c>
      <c r="U94">
        <v>46359.098371240158</v>
      </c>
      <c r="V94">
        <v>11</v>
      </c>
      <c r="W94">
        <v>26347.199999999997</v>
      </c>
      <c r="X94">
        <v>16</v>
      </c>
      <c r="Y94">
        <v>38323.199999999997</v>
      </c>
      <c r="Z94">
        <v>12.794440778793687</v>
      </c>
      <c r="AA94">
        <v>30645.244553366636</v>
      </c>
      <c r="AB94">
        <v>21</v>
      </c>
      <c r="AC94">
        <v>50299.199999999997</v>
      </c>
      <c r="AD94">
        <v>14.056567356721059</v>
      </c>
      <c r="AE94">
        <v>33668.290132818278</v>
      </c>
      <c r="AF94">
        <v>2.847947537108042</v>
      </c>
      <c r="AG94">
        <v>6821.4039408811814</v>
      </c>
      <c r="AH94">
        <v>1.3342508068712078</v>
      </c>
      <c r="AI94">
        <v>3195.7975326179167</v>
      </c>
      <c r="AJ94">
        <v>1.6032590918380749</v>
      </c>
      <c r="AK94">
        <v>3840.1261767705569</v>
      </c>
      <c r="AL94">
        <v>1.4570437949879129</v>
      </c>
      <c r="AM94">
        <v>3489.911297755049</v>
      </c>
      <c r="AN94">
        <v>2.209266966907534</v>
      </c>
      <c r="AO94">
        <v>5291.6362391369248</v>
      </c>
      <c r="AP94">
        <v>1.7449545331876355</v>
      </c>
      <c r="AQ94">
        <v>4179.5150978910242</v>
      </c>
      <c r="AR94">
        <v>2.0062679863888859</v>
      </c>
      <c r="AS94">
        <v>4805.4130809986591</v>
      </c>
      <c r="AT94">
        <v>2.7885173198281872</v>
      </c>
      <c r="AU94">
        <v>6679.0566844524737</v>
      </c>
      <c r="AV94">
        <v>2.6392189739303804</v>
      </c>
      <c r="AW94">
        <v>6321.457286358047</v>
      </c>
      <c r="AX94">
        <v>2.068152133733713</v>
      </c>
      <c r="AY94">
        <v>4953.6379907189894</v>
      </c>
      <c r="AZ94">
        <v>1.7662290407086318</v>
      </c>
      <c r="BA94">
        <v>4230.4717983053151</v>
      </c>
      <c r="BB94">
        <v>2.4002331698657935</v>
      </c>
      <c r="BC94">
        <v>5749.0384884625482</v>
      </c>
      <c r="BD94">
        <v>1.6415906523154526</v>
      </c>
      <c r="BE94">
        <v>3931.9379304259719</v>
      </c>
      <c r="BF94">
        <v>1.6390106232720012</v>
      </c>
      <c r="BG94">
        <v>3925.758244861097</v>
      </c>
      <c r="BH94">
        <v>2.0144251916361524</v>
      </c>
      <c r="BI94">
        <v>4824.9512190069117</v>
      </c>
      <c r="BJ94">
        <v>1.8140356180596764</v>
      </c>
      <c r="BK94">
        <v>4344.978112376537</v>
      </c>
      <c r="BL94">
        <v>2.3464975726668307</v>
      </c>
      <c r="BM94">
        <v>5620.3309860515928</v>
      </c>
      <c r="BN94">
        <v>1.4904989702177915</v>
      </c>
      <c r="BO94">
        <v>3570.0431334656541</v>
      </c>
      <c r="BP94">
        <v>2.0255697673148756</v>
      </c>
      <c r="BQ94">
        <v>4851.6447066725896</v>
      </c>
      <c r="BR94">
        <v>2.5344151077350596</v>
      </c>
      <c r="BS94">
        <v>6070.4310660470146</v>
      </c>
      <c r="BT94">
        <v>1.8892781085892381</v>
      </c>
      <c r="BU94">
        <v>4525.1989256929428</v>
      </c>
      <c r="BV94">
        <v>1.9487960761029399</v>
      </c>
      <c r="BW94">
        <v>4667.7563614817609</v>
      </c>
      <c r="BX94">
        <v>2.0722510252108126</v>
      </c>
      <c r="BY94">
        <v>4963.4556555849376</v>
      </c>
      <c r="BZ94">
        <v>2.312713225090643</v>
      </c>
      <c r="CA94">
        <v>5539.4107167371076</v>
      </c>
      <c r="CB94">
        <v>1.8297060849605244</v>
      </c>
      <c r="CC94">
        <v>4382.5120146974477</v>
      </c>
      <c r="CD94">
        <v>2.512162060775208</v>
      </c>
      <c r="CE94">
        <v>6017.1305679687775</v>
      </c>
      <c r="CF94">
        <v>1.9686925673637306</v>
      </c>
      <c r="CG94">
        <v>4715.412437349607</v>
      </c>
      <c r="CH94">
        <v>1.7782372098059902</v>
      </c>
      <c r="CI94">
        <v>4259.2337649273077</v>
      </c>
      <c r="CJ94">
        <v>2.1419748803362122</v>
      </c>
      <c r="CK94">
        <v>5130.458233381295</v>
      </c>
      <c r="CL94">
        <v>2.0809668895643147</v>
      </c>
      <c r="CM94">
        <v>4984.3318938844459</v>
      </c>
      <c r="CN94">
        <v>1.672237417099856</v>
      </c>
      <c r="CO94">
        <v>4005.3430614375748</v>
      </c>
      <c r="CP94">
        <v>1.7132367469102263</v>
      </c>
      <c r="CQ94">
        <v>4103.544656199374</v>
      </c>
      <c r="CR94">
        <v>2.4728326351841687</v>
      </c>
      <c r="CS94">
        <v>5922.9287277931207</v>
      </c>
      <c r="CT94">
        <v>1.5670869536938321</v>
      </c>
      <c r="CU94">
        <v>3753.4866714874665</v>
      </c>
    </row>
    <row r="95" spans="2:99" x14ac:dyDescent="0.2">
      <c r="B95" s="116" t="s">
        <v>132</v>
      </c>
      <c r="C95" s="116" t="s">
        <v>261</v>
      </c>
      <c r="D95">
        <v>16.3301499252659</v>
      </c>
      <c r="E95">
        <v>28296.883790500749</v>
      </c>
      <c r="F95">
        <v>21.668225634272222</v>
      </c>
      <c r="G95">
        <v>37546.701379066908</v>
      </c>
      <c r="H95">
        <v>14.721262726469563</v>
      </c>
      <c r="I95">
        <v>25509.004052426459</v>
      </c>
      <c r="J95">
        <v>17</v>
      </c>
      <c r="K95">
        <v>29457.599999999999</v>
      </c>
      <c r="L95">
        <v>21.199398139237662</v>
      </c>
      <c r="M95">
        <v>36734.317095671016</v>
      </c>
      <c r="N95">
        <v>16</v>
      </c>
      <c r="O95">
        <v>27724.799999999999</v>
      </c>
      <c r="P95">
        <v>15.847504942377842</v>
      </c>
      <c r="Q95">
        <v>27460.556564152324</v>
      </c>
      <c r="R95">
        <v>19</v>
      </c>
      <c r="S95">
        <v>32923.199999999997</v>
      </c>
      <c r="T95">
        <v>17.935911700900466</v>
      </c>
      <c r="U95">
        <v>31079.347795320326</v>
      </c>
      <c r="V95">
        <v>11.994251377317925</v>
      </c>
      <c r="W95">
        <v>20783.638786616499</v>
      </c>
      <c r="X95">
        <v>19</v>
      </c>
      <c r="Y95">
        <v>32923.199999999997</v>
      </c>
      <c r="Z95">
        <v>20.448686126035547</v>
      </c>
      <c r="AA95">
        <v>35433.483319194398</v>
      </c>
      <c r="AB95">
        <v>18.713864911853371</v>
      </c>
      <c r="AC95">
        <v>32427.385119259521</v>
      </c>
      <c r="AD95">
        <v>20.111558766176358</v>
      </c>
      <c r="AE95">
        <v>34849.309030030396</v>
      </c>
      <c r="AF95">
        <v>2.1079097251564956</v>
      </c>
      <c r="AG95">
        <v>3652.5859717511753</v>
      </c>
      <c r="AH95">
        <v>2.3046150300502681</v>
      </c>
      <c r="AI95">
        <v>3993.4369240711044</v>
      </c>
      <c r="AJ95">
        <v>2.9373264408188731</v>
      </c>
      <c r="AK95">
        <v>5089.7992566509429</v>
      </c>
      <c r="AL95">
        <v>2.5889348508129313</v>
      </c>
      <c r="AM95">
        <v>4486.1063094886476</v>
      </c>
      <c r="AN95">
        <v>2.2273728355832447</v>
      </c>
      <c r="AO95">
        <v>3859.5916494986463</v>
      </c>
      <c r="AP95">
        <v>1.9035867634774208</v>
      </c>
      <c r="AQ95">
        <v>3298.5351437536747</v>
      </c>
      <c r="AR95">
        <v>2.0007523405154619</v>
      </c>
      <c r="AS95">
        <v>3466.9036556451924</v>
      </c>
      <c r="AT95">
        <v>2.2778845448786953</v>
      </c>
      <c r="AU95">
        <v>3947.118339365803</v>
      </c>
      <c r="AV95">
        <v>1.7594793159535869</v>
      </c>
      <c r="AW95">
        <v>3048.8257586843752</v>
      </c>
      <c r="AX95">
        <v>2.6564304376225798</v>
      </c>
      <c r="AY95">
        <v>4603.0626623124062</v>
      </c>
      <c r="AZ95">
        <v>2.5389542460186583</v>
      </c>
      <c r="BA95">
        <v>4399.4999175011308</v>
      </c>
      <c r="BB95">
        <v>2.5012197606513493</v>
      </c>
      <c r="BC95">
        <v>4334.1136012566576</v>
      </c>
      <c r="BD95">
        <v>1.8317087244665813</v>
      </c>
      <c r="BE95">
        <v>3173.9848777556917</v>
      </c>
      <c r="BF95">
        <v>2.5951001535140019</v>
      </c>
      <c r="BG95">
        <v>4496.7895460090622</v>
      </c>
      <c r="BH95">
        <v>2.0259017716016672</v>
      </c>
      <c r="BI95">
        <v>3510.4825898313688</v>
      </c>
      <c r="BJ95">
        <v>1.9789479469741924</v>
      </c>
      <c r="BK95">
        <v>3429.1210025168807</v>
      </c>
      <c r="BL95">
        <v>2.7817683551000578</v>
      </c>
      <c r="BM95">
        <v>4820.2482057173802</v>
      </c>
      <c r="BN95">
        <v>2.2414763936614932</v>
      </c>
      <c r="BO95">
        <v>3884.0302949366355</v>
      </c>
      <c r="BP95">
        <v>2.3074757502517929</v>
      </c>
      <c r="BQ95">
        <v>3998.3939800363064</v>
      </c>
      <c r="BR95">
        <v>2.4137286740333903</v>
      </c>
      <c r="BS95">
        <v>4182.5090463650586</v>
      </c>
      <c r="BT95">
        <v>2.2285018857552328</v>
      </c>
      <c r="BU95">
        <v>3861.5480676366674</v>
      </c>
      <c r="BV95">
        <v>2.0367438214580007</v>
      </c>
      <c r="BW95">
        <v>3529.2696938224235</v>
      </c>
      <c r="BX95">
        <v>1.6566586424532608</v>
      </c>
      <c r="BY95">
        <v>2870.6580956430103</v>
      </c>
      <c r="BZ95">
        <v>2.540663517651832</v>
      </c>
      <c r="CA95">
        <v>4402.4617433870944</v>
      </c>
      <c r="CB95">
        <v>2.3788965376048345</v>
      </c>
      <c r="CC95">
        <v>4122.1519203616572</v>
      </c>
      <c r="CD95">
        <v>1.9660398736501628</v>
      </c>
      <c r="CE95">
        <v>3406.7538930610021</v>
      </c>
      <c r="CF95">
        <v>1.9770619878935594</v>
      </c>
      <c r="CG95">
        <v>3425.8530126219594</v>
      </c>
      <c r="CH95">
        <v>2.199937412945689</v>
      </c>
      <c r="CI95">
        <v>3812.0515491522897</v>
      </c>
      <c r="CJ95">
        <v>3.0363876055414289</v>
      </c>
      <c r="CK95">
        <v>5261.4524428821878</v>
      </c>
      <c r="CL95">
        <v>2.0929139744170273</v>
      </c>
      <c r="CM95">
        <v>3626.6013348698248</v>
      </c>
      <c r="CN95">
        <v>2.3411323839397986</v>
      </c>
      <c r="CO95">
        <v>4056.7141948908829</v>
      </c>
      <c r="CP95">
        <v>2.3462586931166829</v>
      </c>
      <c r="CQ95">
        <v>4065.5970634325881</v>
      </c>
      <c r="CR95">
        <v>2.1013936947918164</v>
      </c>
      <c r="CS95">
        <v>3641.2949943352592</v>
      </c>
      <c r="CT95">
        <v>1.852011854365438</v>
      </c>
      <c r="CU95">
        <v>3209.1661412444309</v>
      </c>
    </row>
    <row r="96" spans="2:99" x14ac:dyDescent="0.2">
      <c r="C96" s="116" t="s">
        <v>262</v>
      </c>
      <c r="D96">
        <v>19.361592775291221</v>
      </c>
      <c r="E96">
        <v>15938.463172619731</v>
      </c>
      <c r="F96">
        <v>21</v>
      </c>
      <c r="G96">
        <v>17287.199999999997</v>
      </c>
      <c r="H96">
        <v>16.721262726469565</v>
      </c>
      <c r="I96">
        <v>13764.943476429744</v>
      </c>
      <c r="J96">
        <v>18</v>
      </c>
      <c r="K96">
        <v>14817.599999999999</v>
      </c>
      <c r="L96">
        <v>25.399297829110605</v>
      </c>
      <c r="M96">
        <v>20908.701972923849</v>
      </c>
      <c r="N96">
        <v>16</v>
      </c>
      <c r="O96">
        <v>13171.199999999999</v>
      </c>
      <c r="P96">
        <v>16.91269763025306</v>
      </c>
      <c r="Q96">
        <v>13922.532689224317</v>
      </c>
      <c r="R96">
        <v>24</v>
      </c>
      <c r="S96">
        <v>19756.8</v>
      </c>
      <c r="T96">
        <v>21.032730152717757</v>
      </c>
      <c r="U96">
        <v>17314.143461717256</v>
      </c>
      <c r="V96">
        <v>12.292526790513303</v>
      </c>
      <c r="W96">
        <v>10119.20805395055</v>
      </c>
      <c r="X96">
        <v>25</v>
      </c>
      <c r="Y96">
        <v>20580</v>
      </c>
      <c r="Z96">
        <v>23.401954315518271</v>
      </c>
      <c r="AA96">
        <v>19264.488792534637</v>
      </c>
      <c r="AB96">
        <v>20.881833126407106</v>
      </c>
      <c r="AC96">
        <v>17189.925029658327</v>
      </c>
      <c r="AD96">
        <v>23.096006911699227</v>
      </c>
      <c r="AE96">
        <v>19012.632889710803</v>
      </c>
      <c r="AF96">
        <v>2.2856514868836757</v>
      </c>
      <c r="AG96">
        <v>1881.5483040026418</v>
      </c>
      <c r="AH96">
        <v>2.4259105579476508</v>
      </c>
      <c r="AI96">
        <v>1997.0095713025059</v>
      </c>
      <c r="AJ96">
        <v>3.3710469713039517</v>
      </c>
      <c r="AK96">
        <v>2775.0458667774128</v>
      </c>
      <c r="AL96">
        <v>2.5843433775279538</v>
      </c>
      <c r="AM96">
        <v>2127.4314683810117</v>
      </c>
      <c r="AN96">
        <v>2.4994573859946514</v>
      </c>
      <c r="AO96">
        <v>2057.5533201507969</v>
      </c>
      <c r="AP96">
        <v>2.2208512240569909</v>
      </c>
      <c r="AQ96">
        <v>1828.2047276437147</v>
      </c>
      <c r="AR96">
        <v>2.2874900716835223</v>
      </c>
      <c r="AS96">
        <v>1883.0618270098753</v>
      </c>
      <c r="AT96">
        <v>2.4202523289336138</v>
      </c>
      <c r="AU96">
        <v>1992.3517171781507</v>
      </c>
      <c r="AV96">
        <v>2.052725868612518</v>
      </c>
      <c r="AW96">
        <v>1689.8039350418246</v>
      </c>
      <c r="AX96">
        <v>2.668667864452817</v>
      </c>
      <c r="AY96">
        <v>2196.8473860175586</v>
      </c>
      <c r="AZ96">
        <v>2.4285649309743689</v>
      </c>
      <c r="BA96">
        <v>1999.1946511781002</v>
      </c>
      <c r="BB96">
        <v>2.8991389311392926</v>
      </c>
      <c r="BC96">
        <v>2386.5711681138655</v>
      </c>
      <c r="BD96">
        <v>2.096313625365569</v>
      </c>
      <c r="BE96">
        <v>1725.6853764009363</v>
      </c>
      <c r="BF96">
        <v>3.4146054651500024</v>
      </c>
      <c r="BG96">
        <v>2810.9032189114819</v>
      </c>
      <c r="BH96">
        <v>2.2064230208491549</v>
      </c>
      <c r="BI96">
        <v>1816.327430763024</v>
      </c>
      <c r="BJ96">
        <v>1.9789479469741924</v>
      </c>
      <c r="BK96">
        <v>1629.069949949155</v>
      </c>
      <c r="BL96">
        <v>3.0564602494807311</v>
      </c>
      <c r="BM96">
        <v>2516.0780773725378</v>
      </c>
      <c r="BN96">
        <v>2.4837054512762222</v>
      </c>
      <c r="BO96">
        <v>2044.586327490586</v>
      </c>
      <c r="BP96">
        <v>2.437714838941186</v>
      </c>
      <c r="BQ96">
        <v>2006.7268554163841</v>
      </c>
      <c r="BR96">
        <v>2.6551015414367294</v>
      </c>
      <c r="BS96">
        <v>2185.6795889107157</v>
      </c>
      <c r="BT96">
        <v>2.5725362471353845</v>
      </c>
      <c r="BU96">
        <v>2117.7118386418483</v>
      </c>
      <c r="BV96">
        <v>2.1553570637015702</v>
      </c>
      <c r="BW96">
        <v>1774.2899348391325</v>
      </c>
      <c r="BX96">
        <v>2.0608292480569168</v>
      </c>
      <c r="BY96">
        <v>1696.4746370004539</v>
      </c>
      <c r="BZ96">
        <v>2.6740113386283637</v>
      </c>
      <c r="CA96">
        <v>2201.246133958869</v>
      </c>
      <c r="CB96">
        <v>2.5267019234790427</v>
      </c>
      <c r="CC96">
        <v>2079.9810234079478</v>
      </c>
      <c r="CD96">
        <v>2.4029376233501991</v>
      </c>
      <c r="CE96">
        <v>1978.0982515418837</v>
      </c>
      <c r="CF96">
        <v>1.98303529271129</v>
      </c>
      <c r="CG96">
        <v>1632.4346529599338</v>
      </c>
      <c r="CH96">
        <v>2.482836902969118</v>
      </c>
      <c r="CI96">
        <v>2043.8713385241776</v>
      </c>
      <c r="CJ96">
        <v>3.0426794960400154</v>
      </c>
      <c r="CK96">
        <v>2504.7337611401404</v>
      </c>
      <c r="CL96">
        <v>2.7606241660953041</v>
      </c>
      <c r="CM96">
        <v>2272.545813529654</v>
      </c>
      <c r="CN96">
        <v>2.564097372886446</v>
      </c>
      <c r="CO96">
        <v>2110.764957360122</v>
      </c>
      <c r="CP96">
        <v>2.735461735138649</v>
      </c>
      <c r="CQ96">
        <v>2251.8321003661358</v>
      </c>
      <c r="CR96">
        <v>2.6023782825863471</v>
      </c>
      <c r="CS96">
        <v>2142.2778022250809</v>
      </c>
      <c r="CT96">
        <v>1.852011854365438</v>
      </c>
      <c r="CU96">
        <v>1524.5761585136286</v>
      </c>
    </row>
    <row r="97" spans="2:99" x14ac:dyDescent="0.2">
      <c r="C97" s="116" t="s">
        <v>263</v>
      </c>
      <c r="D97">
        <v>16.345871350278561</v>
      </c>
      <c r="E97">
        <v>29893.329525389432</v>
      </c>
      <c r="F97">
        <v>18.668225634272222</v>
      </c>
      <c r="G97">
        <v>34140.451039957035</v>
      </c>
      <c r="H97">
        <v>14.673178544704925</v>
      </c>
      <c r="I97">
        <v>26834.308922556367</v>
      </c>
      <c r="J97">
        <v>18</v>
      </c>
      <c r="K97">
        <v>32918.400000000001</v>
      </c>
      <c r="L97">
        <v>20.299347984174133</v>
      </c>
      <c r="M97">
        <v>37123.447593457655</v>
      </c>
      <c r="N97">
        <v>15</v>
      </c>
      <c r="O97">
        <v>27432</v>
      </c>
      <c r="P97">
        <v>17.847504942377842</v>
      </c>
      <c r="Q97">
        <v>32639.517038620597</v>
      </c>
      <c r="R97">
        <v>21</v>
      </c>
      <c r="S97">
        <v>38404.799999999996</v>
      </c>
      <c r="T97">
        <v>19.903638883628037</v>
      </c>
      <c r="U97">
        <v>36399.774790378957</v>
      </c>
      <c r="V97">
        <v>11.093676515049719</v>
      </c>
      <c r="W97">
        <v>20288.115610722925</v>
      </c>
      <c r="X97">
        <v>20</v>
      </c>
      <c r="Y97">
        <v>36576</v>
      </c>
      <c r="Z97">
        <v>20.308490694483719</v>
      </c>
      <c r="AA97">
        <v>37140.167782071825</v>
      </c>
      <c r="AB97">
        <v>19.713864911853371</v>
      </c>
      <c r="AC97">
        <v>36052.716150797445</v>
      </c>
      <c r="AD97">
        <v>21.020279696274411</v>
      </c>
      <c r="AE97">
        <v>38441.887508546642</v>
      </c>
      <c r="AF97">
        <v>2.1011519525799338</v>
      </c>
      <c r="AG97">
        <v>3842.5866908781827</v>
      </c>
      <c r="AH97">
        <v>2.1833195021528859</v>
      </c>
      <c r="AI97">
        <v>3992.8547055371978</v>
      </c>
      <c r="AJ97">
        <v>2.6766977436843056</v>
      </c>
      <c r="AK97">
        <v>4895.1448336498579</v>
      </c>
      <c r="AL97">
        <v>2.4719497111041457</v>
      </c>
      <c r="AM97">
        <v>4520.7016316672616</v>
      </c>
      <c r="AN97">
        <v>2.4958362122595092</v>
      </c>
      <c r="AO97">
        <v>4564.3852649801902</v>
      </c>
      <c r="AP97">
        <v>1.9035867634774208</v>
      </c>
      <c r="AQ97">
        <v>3481.2794730475071</v>
      </c>
      <c r="AR97">
        <v>2.0071641181764206</v>
      </c>
      <c r="AS97">
        <v>3670.7017393210381</v>
      </c>
      <c r="AT97">
        <v>2.2778845448786953</v>
      </c>
      <c r="AU97">
        <v>4165.7952556741575</v>
      </c>
      <c r="AV97">
        <v>1.4662327632946557</v>
      </c>
      <c r="AW97">
        <v>2681.4464775132665</v>
      </c>
      <c r="AX97">
        <v>2.5047718265890242</v>
      </c>
      <c r="AY97">
        <v>4580.726716466007</v>
      </c>
      <c r="AZ97">
        <v>2.4285649309743689</v>
      </c>
      <c r="BA97">
        <v>4441.3595457659258</v>
      </c>
      <c r="BB97">
        <v>2.3748916990794653</v>
      </c>
      <c r="BC97">
        <v>4343.201939276526</v>
      </c>
      <c r="BD97">
        <v>1.9524480505757484</v>
      </c>
      <c r="BE97">
        <v>3570.6369948929287</v>
      </c>
      <c r="BF97">
        <v>2.8682685907260019</v>
      </c>
      <c r="BG97">
        <v>5245.4895987197124</v>
      </c>
      <c r="BH97">
        <v>2.0373783515671819</v>
      </c>
      <c r="BI97">
        <v>3725.9575293460621</v>
      </c>
      <c r="BJ97">
        <v>1.9789479469741924</v>
      </c>
      <c r="BK97">
        <v>3619.1000054264032</v>
      </c>
      <c r="BL97">
        <v>2.9249225375059491</v>
      </c>
      <c r="BM97">
        <v>5349.0983365908796</v>
      </c>
      <c r="BN97">
        <v>2.1110807087217744</v>
      </c>
      <c r="BO97">
        <v>3860.7444001103809</v>
      </c>
      <c r="BP97">
        <v>2.1411254962653694</v>
      </c>
      <c r="BQ97">
        <v>3915.6903075701075</v>
      </c>
      <c r="BR97">
        <v>2.4137286740333903</v>
      </c>
      <c r="BS97">
        <v>4414.2269990722643</v>
      </c>
      <c r="BT97">
        <v>2.1014193660416138</v>
      </c>
      <c r="BU97">
        <v>3843.0757366169032</v>
      </c>
      <c r="BV97">
        <v>2.2532767188027716</v>
      </c>
      <c r="BW97">
        <v>4120.7924633465082</v>
      </c>
      <c r="BX97">
        <v>1.7989966957570767</v>
      </c>
      <c r="BY97">
        <v>3290.0051572005418</v>
      </c>
      <c r="BZ97">
        <v>2.6574061888889893</v>
      </c>
      <c r="CA97">
        <v>4859.8644382401835</v>
      </c>
      <c r="CB97">
        <v>2.5196967416702889</v>
      </c>
      <c r="CC97">
        <v>4608.0214011666239</v>
      </c>
      <c r="CD97">
        <v>2.3138064782431975</v>
      </c>
      <c r="CE97">
        <v>4231.4892874111592</v>
      </c>
      <c r="CF97">
        <v>1.98303529271129</v>
      </c>
      <c r="CG97">
        <v>3626.574943310407</v>
      </c>
      <c r="CH97">
        <v>2.605849510795696</v>
      </c>
      <c r="CI97">
        <v>4765.5775853431687</v>
      </c>
      <c r="CJ97">
        <v>2.7780986702974051</v>
      </c>
      <c r="CK97">
        <v>5080.5868482398946</v>
      </c>
      <c r="CL97">
        <v>2.4320504466904125</v>
      </c>
      <c r="CM97">
        <v>4447.7338569074263</v>
      </c>
      <c r="CN97">
        <v>2.3411323839397986</v>
      </c>
      <c r="CO97">
        <v>4281.462903749104</v>
      </c>
      <c r="CP97">
        <v>2.3462586931166829</v>
      </c>
      <c r="CQ97">
        <v>4290.83789797179</v>
      </c>
      <c r="CR97">
        <v>2.1013936947918164</v>
      </c>
      <c r="CS97">
        <v>3843.0287890352738</v>
      </c>
      <c r="CT97">
        <v>1.9944743047012408</v>
      </c>
      <c r="CU97">
        <v>3647.4946084376288</v>
      </c>
    </row>
    <row r="98" spans="2:99" x14ac:dyDescent="0.2">
      <c r="C98" s="116" t="s">
        <v>264</v>
      </c>
      <c r="D98">
        <v>18.361592775291221</v>
      </c>
      <c r="E98">
        <v>23201.708630857986</v>
      </c>
      <c r="F98">
        <v>21.707533024523528</v>
      </c>
      <c r="G98">
        <v>27429.638729787926</v>
      </c>
      <c r="H98">
        <v>14.817431089998838</v>
      </c>
      <c r="I98">
        <v>18723.305925322529</v>
      </c>
      <c r="J98">
        <v>18</v>
      </c>
      <c r="K98">
        <v>22744.799999999999</v>
      </c>
      <c r="L98">
        <v>22.249373061705899</v>
      </c>
      <c r="M98">
        <v>28114.307800771574</v>
      </c>
      <c r="N98">
        <v>17</v>
      </c>
      <c r="O98">
        <v>21481.199999999997</v>
      </c>
      <c r="P98">
        <v>15.91269763025306</v>
      </c>
      <c r="Q98">
        <v>20107.284725587764</v>
      </c>
      <c r="R98">
        <v>23</v>
      </c>
      <c r="S98">
        <v>29062.799999999999</v>
      </c>
      <c r="T98">
        <v>17.806820431810749</v>
      </c>
      <c r="U98">
        <v>22500.69829763606</v>
      </c>
      <c r="V98">
        <v>13.093676515049719</v>
      </c>
      <c r="W98">
        <v>16545.169644416823</v>
      </c>
      <c r="X98">
        <v>20</v>
      </c>
      <c r="Y98">
        <v>25272</v>
      </c>
      <c r="Z98">
        <v>24.261758883966444</v>
      </c>
      <c r="AA98">
        <v>30657.158525779996</v>
      </c>
      <c r="AB98">
        <v>20.713864911853371</v>
      </c>
      <c r="AC98">
        <v>26174.039702617916</v>
      </c>
      <c r="AD98">
        <v>22.058143303986817</v>
      </c>
      <c r="AE98">
        <v>27872.669878917739</v>
      </c>
      <c r="AF98">
        <v>2.2856514868836757</v>
      </c>
      <c r="AG98">
        <v>2888.1492188262123</v>
      </c>
      <c r="AH98">
        <v>2.1833195021528859</v>
      </c>
      <c r="AI98">
        <v>2758.8425229203863</v>
      </c>
      <c r="AJ98">
        <v>2.950488743829097</v>
      </c>
      <c r="AK98">
        <v>3728.2375767024469</v>
      </c>
      <c r="AL98">
        <v>2.6071713427619962</v>
      </c>
      <c r="AM98">
        <v>3294.4217087140582</v>
      </c>
      <c r="AN98">
        <v>2.6336890743327839</v>
      </c>
      <c r="AO98">
        <v>3327.9295143269055</v>
      </c>
      <c r="AP98">
        <v>1.9035867634774208</v>
      </c>
      <c r="AQ98">
        <v>2405.3722343300687</v>
      </c>
      <c r="AR98">
        <v>2.2939018493444805</v>
      </c>
      <c r="AS98">
        <v>2898.5743768316852</v>
      </c>
      <c r="AT98">
        <v>2.1355167608237768</v>
      </c>
      <c r="AU98">
        <v>2698.4389789769243</v>
      </c>
      <c r="AV98">
        <v>1.7594793159535869</v>
      </c>
      <c r="AW98">
        <v>2223.2780636389521</v>
      </c>
      <c r="AX98">
        <v>2.6747865778679354</v>
      </c>
      <c r="AY98">
        <v>3379.8603197939228</v>
      </c>
      <c r="AZ98">
        <v>2.2077863008857901</v>
      </c>
      <c r="BA98">
        <v>2789.758769799284</v>
      </c>
      <c r="BB98">
        <v>2.880203945367001</v>
      </c>
      <c r="BC98">
        <v>3639.425705365742</v>
      </c>
      <c r="BD98">
        <v>2.1078767497058961</v>
      </c>
      <c r="BE98">
        <v>2663.5130609283701</v>
      </c>
      <c r="BF98">
        <v>3.2780212465440024</v>
      </c>
      <c r="BG98">
        <v>4142.1076471330007</v>
      </c>
      <c r="BH98">
        <v>2.3754676901311287</v>
      </c>
      <c r="BI98">
        <v>3001.6409732496941</v>
      </c>
      <c r="BJ98">
        <v>1.9789479469741924</v>
      </c>
      <c r="BK98">
        <v>2500.5986257965892</v>
      </c>
      <c r="BL98">
        <v>2.7759601198845032</v>
      </c>
      <c r="BM98">
        <v>3507.7032074860581</v>
      </c>
      <c r="BN98">
        <v>2.614101136215941</v>
      </c>
      <c r="BO98">
        <v>3303.178195722463</v>
      </c>
      <c r="BP98">
        <v>2.4593815381194042</v>
      </c>
      <c r="BQ98">
        <v>3107.674511567679</v>
      </c>
      <c r="BR98">
        <v>2.5344151077350596</v>
      </c>
      <c r="BS98">
        <v>3202.4869301340209</v>
      </c>
      <c r="BT98">
        <v>2.223185714646561</v>
      </c>
      <c r="BU98">
        <v>2809.2174690273941</v>
      </c>
      <c r="BV98">
        <v>2.3615431674751575</v>
      </c>
      <c r="BW98">
        <v>2984.0459464216087</v>
      </c>
      <c r="BX98">
        <v>1.9299129719069965</v>
      </c>
      <c r="BY98">
        <v>2438.6380313016807</v>
      </c>
      <c r="BZ98">
        <v>2.5461985675649572</v>
      </c>
      <c r="CA98">
        <v>3217.3765099750799</v>
      </c>
      <c r="CB98">
        <v>2.6534917639269895</v>
      </c>
      <c r="CC98">
        <v>3352.9521928981435</v>
      </c>
      <c r="CD98">
        <v>2.1844887485001809</v>
      </c>
      <c r="CE98">
        <v>2760.3199826048285</v>
      </c>
      <c r="CF98">
        <v>1.8719386168865166</v>
      </c>
      <c r="CG98">
        <v>2365.3816362978023</v>
      </c>
      <c r="CH98">
        <v>2.5994540355078217</v>
      </c>
      <c r="CI98">
        <v>3284.6701192676833</v>
      </c>
      <c r="CJ98">
        <v>3.2946765407854515</v>
      </c>
      <c r="CK98">
        <v>4163.1532769364958</v>
      </c>
      <c r="CL98">
        <v>2.2235640532889782</v>
      </c>
      <c r="CM98">
        <v>2809.6955377359527</v>
      </c>
      <c r="CN98">
        <v>2.3411323839397986</v>
      </c>
      <c r="CO98">
        <v>2958.2548803463292</v>
      </c>
      <c r="CP98">
        <v>2.5854865793256998</v>
      </c>
      <c r="CQ98">
        <v>3267.0208416359542</v>
      </c>
      <c r="CR98">
        <v>2.4842979697269567</v>
      </c>
      <c r="CS98">
        <v>3139.1589145469825</v>
      </c>
      <c r="CT98">
        <v>1.852011854365438</v>
      </c>
      <c r="CU98">
        <v>2340.2021791761672</v>
      </c>
    </row>
    <row r="99" spans="2:99" x14ac:dyDescent="0.2">
      <c r="C99" s="116" t="s">
        <v>265</v>
      </c>
      <c r="D99">
        <v>12.267264225215252</v>
      </c>
      <c r="E99">
        <v>67244.235576939915</v>
      </c>
      <c r="F99">
        <v>13.471688683015685</v>
      </c>
      <c r="G99">
        <v>73846.408684818773</v>
      </c>
      <c r="H99">
        <v>11.480841817646375</v>
      </c>
      <c r="I99">
        <v>62933.382507610368</v>
      </c>
      <c r="J99">
        <v>13</v>
      </c>
      <c r="K99">
        <v>71260.799999999988</v>
      </c>
      <c r="L99">
        <v>16</v>
      </c>
      <c r="M99">
        <v>87705.599999999991</v>
      </c>
      <c r="N99">
        <v>12</v>
      </c>
      <c r="O99">
        <v>65779.199999999997</v>
      </c>
      <c r="P99">
        <v>11.619330534814576</v>
      </c>
      <c r="Q99">
        <v>63692.522259639576</v>
      </c>
      <c r="R99">
        <v>15</v>
      </c>
      <c r="S99">
        <v>82223.999999999985</v>
      </c>
      <c r="T99">
        <v>12.645456345448597</v>
      </c>
      <c r="U99">
        <v>69317.333503211019</v>
      </c>
      <c r="V99">
        <v>9.745688532988444</v>
      </c>
      <c r="W99">
        <v>53421.966262429451</v>
      </c>
      <c r="X99">
        <v>16</v>
      </c>
      <c r="Y99">
        <v>87705.599999999991</v>
      </c>
      <c r="Z99">
        <v>14.887904399828239</v>
      </c>
      <c r="AA99">
        <v>81609.53675809846</v>
      </c>
      <c r="AB99">
        <v>14.503904643661205</v>
      </c>
      <c r="AC99">
        <v>79504.603694693258</v>
      </c>
      <c r="AD99">
        <v>13.147846426623001</v>
      </c>
      <c r="AE99">
        <v>72071.234972176637</v>
      </c>
      <c r="AF99">
        <v>1.4712781765899521</v>
      </c>
      <c r="AG99">
        <v>8064.9584527954803</v>
      </c>
      <c r="AH99">
        <v>1.4555463347685904</v>
      </c>
      <c r="AI99">
        <v>7978.7227886675046</v>
      </c>
      <c r="AJ99">
        <v>2.0962099858691632</v>
      </c>
      <c r="AK99">
        <v>11490.584658540403</v>
      </c>
      <c r="AL99">
        <v>1.9371420151224326</v>
      </c>
      <c r="AM99">
        <v>10618.637670095126</v>
      </c>
      <c r="AN99">
        <v>1.6650978660847204</v>
      </c>
      <c r="AO99">
        <v>9127.4004627300019</v>
      </c>
      <c r="AP99">
        <v>1.4276900726080655</v>
      </c>
      <c r="AQ99">
        <v>7826.0259020083713</v>
      </c>
      <c r="AR99">
        <v>1.4336886558403006</v>
      </c>
      <c r="AS99">
        <v>7858.9077358541908</v>
      </c>
      <c r="AT99">
        <v>1.5660456246041028</v>
      </c>
      <c r="AU99">
        <v>8584.4356958298486</v>
      </c>
      <c r="AV99">
        <v>1.1729862106357247</v>
      </c>
      <c r="AW99">
        <v>6429.8412122207883</v>
      </c>
      <c r="AX99">
        <v>1.9103748092850383</v>
      </c>
      <c r="AY99">
        <v>10471.910554576865</v>
      </c>
      <c r="AZ99">
        <v>1.7662290407086318</v>
      </c>
      <c r="BA99">
        <v>9681.7611095484353</v>
      </c>
      <c r="BB99">
        <v>1.9643492047433277</v>
      </c>
      <c r="BC99">
        <v>10767.776600721025</v>
      </c>
      <c r="BD99">
        <v>1.5324144505466126</v>
      </c>
      <c r="BE99">
        <v>8400.0830521163116</v>
      </c>
      <c r="BF99">
        <v>2.0487632790900014</v>
      </c>
      <c r="BG99">
        <v>11230.500790659751</v>
      </c>
      <c r="BH99">
        <v>1.467123153910932</v>
      </c>
      <c r="BI99">
        <v>8042.1822804781641</v>
      </c>
      <c r="BJ99">
        <v>1.3192986313161283</v>
      </c>
      <c r="BK99">
        <v>7231.8673774224881</v>
      </c>
      <c r="BL99">
        <v>1.9460762015269297</v>
      </c>
      <c r="BM99">
        <v>10667.611306290017</v>
      </c>
      <c r="BN99">
        <v>1.7075187790594801</v>
      </c>
      <c r="BO99">
        <v>9359.9349392924451</v>
      </c>
      <c r="BP99">
        <v>1.5262801117355185</v>
      </c>
      <c r="BQ99">
        <v>8366.4570604894179</v>
      </c>
      <c r="BR99">
        <v>1.6896100718233731</v>
      </c>
      <c r="BS99">
        <v>9261.7665697070006</v>
      </c>
      <c r="BT99">
        <v>1.6303024849478434</v>
      </c>
      <c r="BU99">
        <v>8936.6661014900965</v>
      </c>
      <c r="BV99">
        <v>1.469544594168114</v>
      </c>
      <c r="BW99">
        <v>8055.4556473919329</v>
      </c>
      <c r="BX99">
        <v>1.2467771482726564</v>
      </c>
      <c r="BY99">
        <v>6834.3336159713926</v>
      </c>
      <c r="BZ99">
        <v>1.8457425401420142</v>
      </c>
      <c r="CA99">
        <v>10117.622308042464</v>
      </c>
      <c r="CB99">
        <v>1.7736646304904955</v>
      </c>
      <c r="CC99">
        <v>9722.5200384966993</v>
      </c>
      <c r="CD99">
        <v>1.5291421239501268</v>
      </c>
      <c r="CE99">
        <v>8382.1454666450136</v>
      </c>
      <c r="CF99">
        <v>1.4550223219639764</v>
      </c>
      <c r="CG99">
        <v>7975.8503600777321</v>
      </c>
      <c r="CH99">
        <v>1.7782372098059902</v>
      </c>
      <c r="CI99">
        <v>9747.5850892725157</v>
      </c>
      <c r="CJ99">
        <v>2.1103547154422935</v>
      </c>
      <c r="CK99">
        <v>11568.120408168475</v>
      </c>
      <c r="CL99">
        <v>1.8316138166731248</v>
      </c>
      <c r="CM99">
        <v>10040.1742974754</v>
      </c>
      <c r="CN99">
        <v>1.672237417099856</v>
      </c>
      <c r="CO99">
        <v>9166.5366255745703</v>
      </c>
      <c r="CP99">
        <v>1.5568121680878637</v>
      </c>
      <c r="CQ99">
        <v>8533.8215805904329</v>
      </c>
      <c r="CR99">
        <v>1.6898260834997072</v>
      </c>
      <c r="CS99">
        <v>9262.950659311995</v>
      </c>
      <c r="CT99">
        <v>1.2821620530222262</v>
      </c>
      <c r="CU99">
        <v>7028.2995098466345</v>
      </c>
    </row>
    <row r="100" spans="2:99" x14ac:dyDescent="0.2">
      <c r="C100" s="116" t="s">
        <v>266</v>
      </c>
      <c r="D100">
        <v>16.345871350278561</v>
      </c>
      <c r="E100">
        <v>26519.541678691934</v>
      </c>
      <c r="F100">
        <v>19.707533024523528</v>
      </c>
      <c r="G100">
        <v>31973.501578986969</v>
      </c>
      <c r="H100">
        <v>15.673178544704925</v>
      </c>
      <c r="I100">
        <v>25428.164870929268</v>
      </c>
      <c r="J100">
        <v>16</v>
      </c>
      <c r="K100">
        <v>25958.399999999998</v>
      </c>
      <c r="L100">
        <v>23.399297829110605</v>
      </c>
      <c r="M100">
        <v>37963.020797949044</v>
      </c>
      <c r="N100">
        <v>16</v>
      </c>
      <c r="O100">
        <v>25958.399999999998</v>
      </c>
      <c r="P100">
        <v>15.814908598440232</v>
      </c>
      <c r="Q100">
        <v>25658.107710109431</v>
      </c>
      <c r="R100">
        <v>20</v>
      </c>
      <c r="S100">
        <v>32447.999999999996</v>
      </c>
      <c r="T100">
        <v>16.935911700900466</v>
      </c>
      <c r="U100">
        <v>27476.823143540914</v>
      </c>
      <c r="V100">
        <v>13.093676515049719</v>
      </c>
      <c r="W100">
        <v>21243.180778016664</v>
      </c>
      <c r="X100">
        <v>20</v>
      </c>
      <c r="Y100">
        <v>32447.999999999996</v>
      </c>
      <c r="Z100">
        <v>23.401954315518271</v>
      </c>
      <c r="AA100">
        <v>37967.330681496838</v>
      </c>
      <c r="AB100">
        <v>20.67187285821494</v>
      </c>
      <c r="AC100">
        <v>33538.046525167912</v>
      </c>
      <c r="AD100">
        <v>19.245885395283086</v>
      </c>
      <c r="AE100">
        <v>31224.524465307277</v>
      </c>
      <c r="AF100">
        <v>1.8200039274677509</v>
      </c>
      <c r="AG100">
        <v>2952.7743719236787</v>
      </c>
      <c r="AH100">
        <v>2.1833195021528859</v>
      </c>
      <c r="AI100">
        <v>3542.2175602928419</v>
      </c>
      <c r="AJ100">
        <v>2.9439075923239848</v>
      </c>
      <c r="AK100">
        <v>4776.1956777864325</v>
      </c>
      <c r="AL100">
        <v>2.4901862030532098</v>
      </c>
      <c r="AM100">
        <v>4040.0780958335272</v>
      </c>
      <c r="AN100">
        <v>2.2237516618481021</v>
      </c>
      <c r="AO100">
        <v>3607.8146961823604</v>
      </c>
      <c r="AP100">
        <v>1.9035867634774208</v>
      </c>
      <c r="AQ100">
        <v>3088.3791650657672</v>
      </c>
      <c r="AR100">
        <v>2.1345035396080547</v>
      </c>
      <c r="AS100">
        <v>3463.0185426601079</v>
      </c>
      <c r="AT100">
        <v>1.9931489767688584</v>
      </c>
      <c r="AU100">
        <v>3233.6848999097956</v>
      </c>
      <c r="AV100">
        <v>1.6128560396241214</v>
      </c>
      <c r="AW100">
        <v>2616.6976386861743</v>
      </c>
      <c r="AX100">
        <v>2.8080890486561358</v>
      </c>
      <c r="AY100">
        <v>4555.8436725397141</v>
      </c>
      <c r="AZ100">
        <v>2.4285649309743689</v>
      </c>
      <c r="BA100">
        <v>3940.1037440128157</v>
      </c>
      <c r="BB100">
        <v>2.6275478222232329</v>
      </c>
      <c r="BC100">
        <v>4262.9335867749724</v>
      </c>
      <c r="BD100">
        <v>2.0886048758053515</v>
      </c>
      <c r="BE100">
        <v>3388.5525505066021</v>
      </c>
      <c r="BF100">
        <v>2.8682685907260019</v>
      </c>
      <c r="BG100">
        <v>4653.4789615938653</v>
      </c>
      <c r="BH100">
        <v>2.3754676901311287</v>
      </c>
      <c r="BI100">
        <v>3853.958780468743</v>
      </c>
      <c r="BJ100">
        <v>1.9789479469741924</v>
      </c>
      <c r="BK100">
        <v>3210.6451491709295</v>
      </c>
      <c r="BL100">
        <v>2.6560388783408304</v>
      </c>
      <c r="BM100">
        <v>4309.1574762201626</v>
      </c>
      <c r="BN100">
        <v>2.2476638310830626</v>
      </c>
      <c r="BO100">
        <v>3646.6097995491605</v>
      </c>
      <c r="BP100">
        <v>2.4449370720005921</v>
      </c>
      <c r="BQ100">
        <v>3966.6659056137601</v>
      </c>
      <c r="BR100">
        <v>2.293042240331721</v>
      </c>
      <c r="BS100">
        <v>3720.2317307141839</v>
      </c>
      <c r="BT100">
        <v>2.2285018857552328</v>
      </c>
      <c r="BU100">
        <v>3615.5214594492895</v>
      </c>
      <c r="BV100">
        <v>2.2584501155883641</v>
      </c>
      <c r="BW100">
        <v>3664.1094675305617</v>
      </c>
      <c r="BX100">
        <v>1.7989966957570767</v>
      </c>
      <c r="BY100">
        <v>2918.6922391962808</v>
      </c>
      <c r="BZ100">
        <v>2.5461985675649572</v>
      </c>
      <c r="CA100">
        <v>4130.9525560173861</v>
      </c>
      <c r="CB100">
        <v>2.6534917639269895</v>
      </c>
      <c r="CC100">
        <v>4305.025037795147</v>
      </c>
      <c r="CD100">
        <v>1.8568154362251539</v>
      </c>
      <c r="CE100">
        <v>3012.4973637316893</v>
      </c>
      <c r="CF100">
        <v>1.9710886830758292</v>
      </c>
      <c r="CG100">
        <v>3197.8942794222248</v>
      </c>
      <c r="CH100">
        <v>2.605849510795696</v>
      </c>
      <c r="CI100">
        <v>4227.7302463149372</v>
      </c>
      <c r="CJ100">
        <v>2.784390560795992</v>
      </c>
      <c r="CK100">
        <v>4517.395245835417</v>
      </c>
      <c r="CL100">
        <v>2.421487693821919</v>
      </c>
      <c r="CM100">
        <v>3928.621634456681</v>
      </c>
      <c r="CN100">
        <v>2.3411323839397986</v>
      </c>
      <c r="CO100">
        <v>3798.2531797039292</v>
      </c>
      <c r="CP100">
        <v>2.3517789136091265</v>
      </c>
      <c r="CQ100">
        <v>3815.5261094394464</v>
      </c>
      <c r="CR100">
        <v>1.977580714661032</v>
      </c>
      <c r="CS100">
        <v>3208.4269514660582</v>
      </c>
      <c r="CT100">
        <v>2.0989842930840745</v>
      </c>
      <c r="CU100">
        <v>3405.3921170996023</v>
      </c>
    </row>
    <row r="101" spans="2:99" x14ac:dyDescent="0.2">
      <c r="C101" s="116" t="s">
        <v>267</v>
      </c>
      <c r="D101">
        <v>18.393035625316546</v>
      </c>
      <c r="E101">
        <v>21895.069608376813</v>
      </c>
      <c r="F101">
        <v>20.746840414774837</v>
      </c>
      <c r="G101">
        <v>24697.038829747962</v>
      </c>
      <c r="H101">
        <v>15.817431089998838</v>
      </c>
      <c r="I101">
        <v>18829.069969534616</v>
      </c>
      <c r="J101">
        <v>19</v>
      </c>
      <c r="K101">
        <v>22617.599999999999</v>
      </c>
      <c r="L101">
        <v>22.249373061705899</v>
      </c>
      <c r="M101">
        <v>26485.653692654698</v>
      </c>
      <c r="N101">
        <v>18</v>
      </c>
      <c r="O101">
        <v>21427.199999999997</v>
      </c>
      <c r="P101">
        <v>15.945293974190669</v>
      </c>
      <c r="Q101">
        <v>18981.277946876569</v>
      </c>
      <c r="R101">
        <v>23</v>
      </c>
      <c r="S101">
        <v>27379.199999999997</v>
      </c>
      <c r="T101">
        <v>18.968184518172897</v>
      </c>
      <c r="U101">
        <v>22579.726850433013</v>
      </c>
      <c r="V101">
        <v>12.093676515049719</v>
      </c>
      <c r="W101">
        <v>14396.312523515184</v>
      </c>
      <c r="X101">
        <v>21</v>
      </c>
      <c r="Y101">
        <v>24998.399999999998</v>
      </c>
      <c r="Z101">
        <v>22.308490694483719</v>
      </c>
      <c r="AA101">
        <v>26556.027322713417</v>
      </c>
      <c r="AB101">
        <v>22.713864911853371</v>
      </c>
      <c r="AC101">
        <v>27038.584791070251</v>
      </c>
      <c r="AD101">
        <v>22.187285981601168</v>
      </c>
      <c r="AE101">
        <v>26411.745232498026</v>
      </c>
      <c r="AF101">
        <v>2.2653781691539909</v>
      </c>
      <c r="AG101">
        <v>2696.7061725609105</v>
      </c>
      <c r="AH101">
        <v>2.3046150300502681</v>
      </c>
      <c r="AI101">
        <v>2743.4137317718387</v>
      </c>
      <c r="AJ101">
        <v>3.0775125166438246</v>
      </c>
      <c r="AK101">
        <v>3663.4708998128085</v>
      </c>
      <c r="AL101">
        <v>2.5843433775279538</v>
      </c>
      <c r="AM101">
        <v>3076.402356609276</v>
      </c>
      <c r="AN101">
        <v>2.4922150385243671</v>
      </c>
      <c r="AO101">
        <v>2966.7327818594063</v>
      </c>
      <c r="AP101">
        <v>2.062218993767206</v>
      </c>
      <c r="AQ101">
        <v>2454.8654901804816</v>
      </c>
      <c r="AR101">
        <v>2.140915317269013</v>
      </c>
      <c r="AS101">
        <v>2548.5455936770327</v>
      </c>
      <c r="AT101">
        <v>2.4202523289336138</v>
      </c>
      <c r="AU101">
        <v>2881.0683723625734</v>
      </c>
      <c r="AV101">
        <v>1.7594793159535869</v>
      </c>
      <c r="AW101">
        <v>2094.4841777111496</v>
      </c>
      <c r="AX101">
        <v>2.7897329084107798</v>
      </c>
      <c r="AY101">
        <v>3320.8980541721921</v>
      </c>
      <c r="AZ101">
        <v>2.3181756159300795</v>
      </c>
      <c r="BA101">
        <v>2759.5562532031663</v>
      </c>
      <c r="BB101">
        <v>3.1328600685107686</v>
      </c>
      <c r="BC101">
        <v>3729.3566255552187</v>
      </c>
      <c r="BD101">
        <v>1.9755742992564025</v>
      </c>
      <c r="BE101">
        <v>2351.7236458348211</v>
      </c>
      <c r="BF101">
        <v>2.8682685907260019</v>
      </c>
      <c r="BG101">
        <v>3414.3869304002324</v>
      </c>
      <c r="BH101">
        <v>2.2064230208491549</v>
      </c>
      <c r="BI101">
        <v>2626.5259640188337</v>
      </c>
      <c r="BJ101">
        <v>2.1438602758887084</v>
      </c>
      <c r="BK101">
        <v>2552.0512724179184</v>
      </c>
      <c r="BL101">
        <v>2.9133060670748399</v>
      </c>
      <c r="BM101">
        <v>3467.9995422458892</v>
      </c>
      <c r="BN101">
        <v>2.2352889562399239</v>
      </c>
      <c r="BO101">
        <v>2660.887973508005</v>
      </c>
      <c r="BP101">
        <v>2.3146979833111985</v>
      </c>
      <c r="BQ101">
        <v>2755.4164793336504</v>
      </c>
      <c r="BR101">
        <v>2.7757879751383991</v>
      </c>
      <c r="BS101">
        <v>3304.29800560475</v>
      </c>
      <c r="BT101">
        <v>2.4507698985304374</v>
      </c>
      <c r="BU101">
        <v>2917.3964872106321</v>
      </c>
      <c r="BV101">
        <v>2.1605304604871622</v>
      </c>
      <c r="BW101">
        <v>2571.8954601639175</v>
      </c>
      <c r="BX101">
        <v>1.6623695310302087</v>
      </c>
      <c r="BY101">
        <v>1978.8846897383603</v>
      </c>
      <c r="BZ101">
        <v>2.9965641027742111</v>
      </c>
      <c r="CA101">
        <v>3567.1099079424207</v>
      </c>
      <c r="CB101">
        <v>2.5267019234790427</v>
      </c>
      <c r="CC101">
        <v>3007.7859697094518</v>
      </c>
      <c r="CD101">
        <v>2.0752643110751721</v>
      </c>
      <c r="CE101">
        <v>2470.3946359038846</v>
      </c>
      <c r="CF101">
        <v>1.9770619878935594</v>
      </c>
      <c r="CG101">
        <v>2353.4945903884927</v>
      </c>
      <c r="CH101">
        <v>2.199937412945689</v>
      </c>
      <c r="CI101">
        <v>2618.8054963705481</v>
      </c>
      <c r="CJ101">
        <v>2.9040971926701236</v>
      </c>
      <c r="CK101">
        <v>3457.0372981545147</v>
      </c>
      <c r="CL101">
        <v>2.5521377726938699</v>
      </c>
      <c r="CM101">
        <v>3038.0648046147821</v>
      </c>
      <c r="CN101">
        <v>2.2296498894664749</v>
      </c>
      <c r="CO101">
        <v>2654.1752284208915</v>
      </c>
      <c r="CP101">
        <v>2.3462586931166829</v>
      </c>
      <c r="CQ101">
        <v>2792.9863482860992</v>
      </c>
      <c r="CR101">
        <v>2.1013936947918164</v>
      </c>
      <c r="CS101">
        <v>2501.4990542801779</v>
      </c>
      <c r="CT101">
        <v>1.9944743047012408</v>
      </c>
      <c r="CU101">
        <v>2374.2222123163569</v>
      </c>
    </row>
    <row r="102" spans="2:99" x14ac:dyDescent="0.2">
      <c r="C102" s="116" t="s">
        <v>268</v>
      </c>
      <c r="D102">
        <v>15.330149925265898</v>
      </c>
      <c r="E102">
        <v>29728.226735075626</v>
      </c>
      <c r="F102">
        <v>21.628918244020916</v>
      </c>
      <c r="G102">
        <v>41942.798258805356</v>
      </c>
      <c r="H102">
        <v>15.769346908234201</v>
      </c>
      <c r="I102">
        <v>30579.917524447759</v>
      </c>
      <c r="J102">
        <v>18</v>
      </c>
      <c r="K102">
        <v>34905.599999999999</v>
      </c>
      <c r="L102">
        <v>20</v>
      </c>
      <c r="M102">
        <v>38784</v>
      </c>
      <c r="N102">
        <v>14</v>
      </c>
      <c r="O102">
        <v>27148.799999999996</v>
      </c>
      <c r="P102">
        <v>15.91269763025306</v>
      </c>
      <c r="Q102">
        <v>30857.903244586731</v>
      </c>
      <c r="R102">
        <v>20</v>
      </c>
      <c r="S102">
        <v>38784</v>
      </c>
      <c r="T102">
        <v>17.806820431810749</v>
      </c>
      <c r="U102">
        <v>34530.9861813674</v>
      </c>
      <c r="V102">
        <v>13.143389083915615</v>
      </c>
      <c r="W102">
        <v>25487.66011152916</v>
      </c>
      <c r="X102">
        <v>21</v>
      </c>
      <c r="Y102">
        <v>40723.199999999997</v>
      </c>
      <c r="Z102">
        <v>22.215027073449168</v>
      </c>
      <c r="AA102">
        <v>43079.380500832624</v>
      </c>
      <c r="AB102">
        <v>17.713864911853371</v>
      </c>
      <c r="AC102">
        <v>34350.726837066053</v>
      </c>
      <c r="AD102">
        <v>18.164974228365896</v>
      </c>
      <c r="AE102">
        <v>35225.518023647142</v>
      </c>
      <c r="AF102">
        <v>1.9571990537355615</v>
      </c>
      <c r="AG102">
        <v>3795.4004050040003</v>
      </c>
      <c r="AH102">
        <v>2.3046150300502681</v>
      </c>
      <c r="AI102">
        <v>4469.1094662734795</v>
      </c>
      <c r="AJ102">
        <v>3.0775125166438246</v>
      </c>
      <c r="AK102">
        <v>5967.9122722757038</v>
      </c>
      <c r="AL102">
        <v>2.3610434020450479</v>
      </c>
      <c r="AM102">
        <v>4578.5353652457561</v>
      </c>
      <c r="AN102">
        <v>2.3543621764510929</v>
      </c>
      <c r="AO102">
        <v>4565.5791325739592</v>
      </c>
      <c r="AP102">
        <v>1.9035867634774208</v>
      </c>
      <c r="AQ102">
        <v>3691.4354517354141</v>
      </c>
      <c r="AR102">
        <v>2.1280917619470956</v>
      </c>
      <c r="AS102">
        <v>4126.7955447678078</v>
      </c>
      <c r="AT102">
        <v>2.1355167608237768</v>
      </c>
      <c r="AU102">
        <v>4141.1941025894675</v>
      </c>
      <c r="AV102">
        <v>1.6128560396241214</v>
      </c>
      <c r="AW102">
        <v>3127.6504320390959</v>
      </c>
      <c r="AX102">
        <v>2.377588069215943</v>
      </c>
      <c r="AY102">
        <v>4610.6187838235564</v>
      </c>
      <c r="AZ102">
        <v>2.3181756159300795</v>
      </c>
      <c r="BA102">
        <v>4495.4061544116094</v>
      </c>
      <c r="BB102">
        <v>2.4885964368031548</v>
      </c>
      <c r="BC102">
        <v>4825.8862102486773</v>
      </c>
      <c r="BD102">
        <v>1.9640111749160754</v>
      </c>
      <c r="BE102">
        <v>3808.6104703972528</v>
      </c>
      <c r="BF102">
        <v>3.0048528093320019</v>
      </c>
      <c r="BG102">
        <v>5827.0105678566179</v>
      </c>
      <c r="BH102">
        <v>2.2064230208491549</v>
      </c>
      <c r="BI102">
        <v>4278.6955220306809</v>
      </c>
      <c r="BJ102">
        <v>1.9789479469741924</v>
      </c>
      <c r="BK102">
        <v>3837.5758587723535</v>
      </c>
      <c r="BL102">
        <v>2.6502306431252758</v>
      </c>
      <c r="BM102">
        <v>5139.3272631485343</v>
      </c>
      <c r="BN102">
        <v>2.1048932713002051</v>
      </c>
      <c r="BO102">
        <v>4081.8090317053575</v>
      </c>
      <c r="BP102">
        <v>2.2930312841329807</v>
      </c>
      <c r="BQ102">
        <v>4446.6462661906762</v>
      </c>
      <c r="BR102">
        <v>2.293042240331721</v>
      </c>
      <c r="BS102">
        <v>4446.6675124512731</v>
      </c>
      <c r="BT102">
        <v>2.2178695435378888</v>
      </c>
      <c r="BU102">
        <v>4300.8926188286732</v>
      </c>
      <c r="BV102">
        <v>2.2636235123739556</v>
      </c>
      <c r="BW102">
        <v>4389.6187151955746</v>
      </c>
      <c r="BX102">
        <v>1.5200314777263924</v>
      </c>
      <c r="BY102">
        <v>2947.6450416070197</v>
      </c>
      <c r="BZ102">
        <v>2.6629412388021141</v>
      </c>
      <c r="CA102">
        <v>5163.9756502850596</v>
      </c>
      <c r="CB102">
        <v>2.2310911517306269</v>
      </c>
      <c r="CC102">
        <v>4326.5319614360315</v>
      </c>
      <c r="CD102">
        <v>2.1844887485001809</v>
      </c>
      <c r="CE102">
        <v>4236.1605810915507</v>
      </c>
      <c r="CF102">
        <v>1.9770619878935594</v>
      </c>
      <c r="CG102">
        <v>3833.9186069231901</v>
      </c>
      <c r="CH102">
        <v>1.9411212467167844</v>
      </c>
      <c r="CI102">
        <v>3764.2223216331881</v>
      </c>
      <c r="CJ102">
        <v>3.1435104564183867</v>
      </c>
      <c r="CK102">
        <v>6095.8954770865348</v>
      </c>
      <c r="CL102">
        <v>2.4320504466904125</v>
      </c>
      <c r="CM102">
        <v>4716.2322262220478</v>
      </c>
      <c r="CN102">
        <v>2.1181673949931512</v>
      </c>
      <c r="CO102">
        <v>4107.5502123707183</v>
      </c>
      <c r="CP102">
        <v>2.3462586931166829</v>
      </c>
      <c r="CQ102">
        <v>4549.8648576918713</v>
      </c>
      <c r="CR102">
        <v>2.1013936947918164</v>
      </c>
      <c r="CS102">
        <v>4075.0226529402898</v>
      </c>
      <c r="CT102">
        <v>1.852011854365438</v>
      </c>
      <c r="CU102">
        <v>3591.4213879854569</v>
      </c>
    </row>
    <row r="103" spans="2:99" x14ac:dyDescent="0.2">
      <c r="C103" s="116" t="s">
        <v>269</v>
      </c>
      <c r="D103">
        <v>16.298707075240575</v>
      </c>
      <c r="E103">
        <v>33053.777948587885</v>
      </c>
      <c r="F103">
        <v>19.628918244020916</v>
      </c>
      <c r="G103">
        <v>39807.446198874415</v>
      </c>
      <c r="H103">
        <v>14.769346908234201</v>
      </c>
      <c r="I103">
        <v>29952.235529898961</v>
      </c>
      <c r="J103">
        <v>18</v>
      </c>
      <c r="K103">
        <v>36504</v>
      </c>
      <c r="L103">
        <v>20</v>
      </c>
      <c r="M103">
        <v>40560</v>
      </c>
      <c r="N103">
        <v>15</v>
      </c>
      <c r="O103">
        <v>30420</v>
      </c>
      <c r="P103">
        <v>15.847504942377842</v>
      </c>
      <c r="Q103">
        <v>32138.740023142265</v>
      </c>
      <c r="R103">
        <v>22</v>
      </c>
      <c r="S103">
        <v>44616</v>
      </c>
      <c r="T103">
        <v>16.871366066355606</v>
      </c>
      <c r="U103">
        <v>34215.130382569165</v>
      </c>
      <c r="V103">
        <v>11.093676515049719</v>
      </c>
      <c r="W103">
        <v>22497.975972520831</v>
      </c>
      <c r="X103">
        <v>22</v>
      </c>
      <c r="Y103">
        <v>44616</v>
      </c>
      <c r="Z103">
        <v>20.215027073449168</v>
      </c>
      <c r="AA103">
        <v>40996.074904954912</v>
      </c>
      <c r="AB103">
        <v>19.67187285821494</v>
      </c>
      <c r="AC103">
        <v>39894.558156459898</v>
      </c>
      <c r="AD103">
        <v>17.299300857472623</v>
      </c>
      <c r="AE103">
        <v>35082.982138954481</v>
      </c>
      <c r="AF103">
        <v>1.8132461548911896</v>
      </c>
      <c r="AG103">
        <v>3677.2632021193326</v>
      </c>
      <c r="AH103">
        <v>2.0620239742555033</v>
      </c>
      <c r="AI103">
        <v>4181.7846197901608</v>
      </c>
      <c r="AJ103">
        <v>2.8168838195092571</v>
      </c>
      <c r="AK103">
        <v>5712.6403859647735</v>
      </c>
      <c r="AL103">
        <v>2.4612794071694797</v>
      </c>
      <c r="AM103">
        <v>4991.474637739705</v>
      </c>
      <c r="AN103">
        <v>2.3579833501862346</v>
      </c>
      <c r="AO103">
        <v>4781.9902341776842</v>
      </c>
      <c r="AP103">
        <v>1.9035867634774208</v>
      </c>
      <c r="AQ103">
        <v>3860.4739563322096</v>
      </c>
      <c r="AR103">
        <v>2.1345035396080547</v>
      </c>
      <c r="AS103">
        <v>4328.7731783251347</v>
      </c>
      <c r="AT103">
        <v>1.9931489767688584</v>
      </c>
      <c r="AU103">
        <v>4042.1061248872447</v>
      </c>
      <c r="AV103">
        <v>1.7957504005020855</v>
      </c>
      <c r="AW103">
        <v>3641.7818122182293</v>
      </c>
      <c r="AX103">
        <v>2.3653506423857058</v>
      </c>
      <c r="AY103">
        <v>4796.9311027582116</v>
      </c>
      <c r="AZ103">
        <v>2.3181756159300795</v>
      </c>
      <c r="BA103">
        <v>4701.2601491062014</v>
      </c>
      <c r="BB103">
        <v>2.7475642218710195</v>
      </c>
      <c r="BC103">
        <v>5572.0602419544275</v>
      </c>
      <c r="BD103">
        <v>1.8278543496864723</v>
      </c>
      <c r="BE103">
        <v>3706.8886211641657</v>
      </c>
      <c r="BF103">
        <v>2.8682685907260019</v>
      </c>
      <c r="BG103">
        <v>5816.8487019923323</v>
      </c>
      <c r="BH103">
        <v>2.2121613108319123</v>
      </c>
      <c r="BI103">
        <v>4486.2631383671178</v>
      </c>
      <c r="BJ103">
        <v>1.9789479469741924</v>
      </c>
      <c r="BK103">
        <v>4013.3064364636621</v>
      </c>
      <c r="BL103">
        <v>2.5128846959349391</v>
      </c>
      <c r="BM103">
        <v>5096.130163356057</v>
      </c>
      <c r="BN103">
        <v>2.3656846411796426</v>
      </c>
      <c r="BO103">
        <v>4797.6084523123154</v>
      </c>
      <c r="BP103">
        <v>2.0036641745165702</v>
      </c>
      <c r="BQ103">
        <v>4063.4309459196043</v>
      </c>
      <c r="BR103">
        <v>2.293042240331721</v>
      </c>
      <c r="BS103">
        <v>4650.2896633927303</v>
      </c>
      <c r="BT103">
        <v>2.1014193660416138</v>
      </c>
      <c r="BU103">
        <v>4261.6784743323933</v>
      </c>
      <c r="BV103">
        <v>2.1501836669159786</v>
      </c>
      <c r="BW103">
        <v>4360.5724765056048</v>
      </c>
      <c r="BX103">
        <v>1.6623695310302087</v>
      </c>
      <c r="BY103">
        <v>3371.2854089292632</v>
      </c>
      <c r="BZ103">
        <v>2.5351284677387076</v>
      </c>
      <c r="CA103">
        <v>5141.2405325740992</v>
      </c>
      <c r="CB103">
        <v>2.5126915598615351</v>
      </c>
      <c r="CC103">
        <v>5095.7384833991937</v>
      </c>
      <c r="CD103">
        <v>1.9660398736501628</v>
      </c>
      <c r="CE103">
        <v>3987.1288637625303</v>
      </c>
      <c r="CF103">
        <v>1.8540187024333263</v>
      </c>
      <c r="CG103">
        <v>3759.9499285347856</v>
      </c>
      <c r="CH103">
        <v>2.4764414276812436</v>
      </c>
      <c r="CI103">
        <v>5022.2232153375617</v>
      </c>
      <c r="CJ103">
        <v>2.8915134116729502</v>
      </c>
      <c r="CK103">
        <v>5863.9891988727431</v>
      </c>
      <c r="CL103">
        <v>2.2024385475519912</v>
      </c>
      <c r="CM103">
        <v>4466.5453744354381</v>
      </c>
      <c r="CN103">
        <v>2.3411323839397986</v>
      </c>
      <c r="CO103">
        <v>4747.8164746299117</v>
      </c>
      <c r="CP103">
        <v>2.0959903659227779</v>
      </c>
      <c r="CQ103">
        <v>4250.6684620913938</v>
      </c>
      <c r="CR103">
        <v>1.8480350672588541</v>
      </c>
      <c r="CS103">
        <v>3747.8151164009564</v>
      </c>
      <c r="CT103">
        <v>1.852011854365438</v>
      </c>
      <c r="CU103">
        <v>3755.8800406531082</v>
      </c>
    </row>
    <row r="104" spans="2:99" x14ac:dyDescent="0.2">
      <c r="C104" s="116" t="s">
        <v>270</v>
      </c>
      <c r="D104">
        <v>17.345871350278561</v>
      </c>
      <c r="E104">
        <v>35947.583786317293</v>
      </c>
      <c r="F104">
        <v>18.628918244020916</v>
      </c>
      <c r="G104">
        <v>38606.570168908947</v>
      </c>
      <c r="H104">
        <v>13.721262726469563</v>
      </c>
      <c r="I104">
        <v>28435.944874335524</v>
      </c>
      <c r="J104">
        <v>15</v>
      </c>
      <c r="K104">
        <v>31086</v>
      </c>
      <c r="L104">
        <v>21.149423216769428</v>
      </c>
      <c r="M104">
        <v>43830.064674432964</v>
      </c>
      <c r="N104">
        <v>14</v>
      </c>
      <c r="O104">
        <v>29013.600000000002</v>
      </c>
      <c r="P104">
        <v>16.782312254502624</v>
      </c>
      <c r="Q104">
        <v>34779.663916231242</v>
      </c>
      <c r="R104">
        <v>22</v>
      </c>
      <c r="S104">
        <v>45592.800000000003</v>
      </c>
      <c r="T104">
        <v>17.839093249083177</v>
      </c>
      <c r="U104">
        <v>36969.736849399975</v>
      </c>
      <c r="V104">
        <v>13.043963946183821</v>
      </c>
      <c r="W104">
        <v>27032.310882071353</v>
      </c>
      <c r="X104">
        <v>20</v>
      </c>
      <c r="Y104">
        <v>41448</v>
      </c>
      <c r="Z104">
        <v>20.261758883966444</v>
      </c>
      <c r="AA104">
        <v>41990.469111132057</v>
      </c>
      <c r="AB104">
        <v>18.629880804576505</v>
      </c>
      <c r="AC104">
        <v>38608.564979404349</v>
      </c>
      <c r="AD104">
        <v>20.025463647766795</v>
      </c>
      <c r="AE104">
        <v>41500.770863631908</v>
      </c>
      <c r="AF104">
        <v>1.9436835085824384</v>
      </c>
      <c r="AG104">
        <v>4028.0897031862455</v>
      </c>
      <c r="AH104">
        <v>2.1833195021528859</v>
      </c>
      <c r="AI104">
        <v>4524.711336261641</v>
      </c>
      <c r="AJ104">
        <v>2.5496739708695779</v>
      </c>
      <c r="AK104">
        <v>5283.9443372301139</v>
      </c>
      <c r="AL104">
        <v>2.3428069100959834</v>
      </c>
      <c r="AM104">
        <v>4855.2330404829163</v>
      </c>
      <c r="AN104">
        <v>2.4885938647892254</v>
      </c>
      <c r="AO104">
        <v>5157.3619253891911</v>
      </c>
      <c r="AP104">
        <v>2.062218993767206</v>
      </c>
      <c r="AQ104">
        <v>4273.742642683158</v>
      </c>
      <c r="AR104">
        <v>1.8798246967447867</v>
      </c>
      <c r="AS104">
        <v>3895.7487015338961</v>
      </c>
      <c r="AT104">
        <v>2.2778845448786953</v>
      </c>
      <c r="AU104">
        <v>4720.6879308066082</v>
      </c>
      <c r="AV104">
        <v>1.7594793159535869</v>
      </c>
      <c r="AW104">
        <v>3646.3449343822135</v>
      </c>
      <c r="AX104">
        <v>2.3592319289705874</v>
      </c>
      <c r="AY104">
        <v>4889.2722495986454</v>
      </c>
      <c r="AZ104">
        <v>2.4285649309743689</v>
      </c>
      <c r="BA104">
        <v>5032.9579629512818</v>
      </c>
      <c r="BB104">
        <v>2.3622683752312712</v>
      </c>
      <c r="BC104">
        <v>4895.5649808292865</v>
      </c>
      <c r="BD104">
        <v>2.0924592505854602</v>
      </c>
      <c r="BE104">
        <v>4336.4125509133082</v>
      </c>
      <c r="BF104">
        <v>3.0048528093320019</v>
      </c>
      <c r="BG104">
        <v>6227.2569620596414</v>
      </c>
      <c r="BH104">
        <v>1.8453805223541793</v>
      </c>
      <c r="BI104">
        <v>3824.3665945268012</v>
      </c>
      <c r="BJ104">
        <v>1.6491232891451604</v>
      </c>
      <c r="BK104">
        <v>3417.6431044244305</v>
      </c>
      <c r="BL104">
        <v>2.7701518846689486</v>
      </c>
      <c r="BM104">
        <v>5740.8627657879297</v>
      </c>
      <c r="BN104">
        <v>2.3533097663365039</v>
      </c>
      <c r="BO104">
        <v>4876.999159755771</v>
      </c>
      <c r="BP104">
        <v>2.1555699623841811</v>
      </c>
      <c r="BQ104">
        <v>4467.2031900449774</v>
      </c>
      <c r="BR104">
        <v>2.5344151077350596</v>
      </c>
      <c r="BS104">
        <v>5252.3218692701375</v>
      </c>
      <c r="BT104">
        <v>2.1067355371502861</v>
      </c>
      <c r="BU104">
        <v>4365.9987271902528</v>
      </c>
      <c r="BV104">
        <v>2.24810332201718</v>
      </c>
      <c r="BW104">
        <v>4658.9693245484041</v>
      </c>
      <c r="BX104">
        <v>1.6509477538763124</v>
      </c>
      <c r="BY104">
        <v>3421.4241251332701</v>
      </c>
      <c r="BZ104">
        <v>2.4294558963277999</v>
      </c>
      <c r="CA104">
        <v>5034.8043995497328</v>
      </c>
      <c r="CB104">
        <v>2.5126915598615351</v>
      </c>
      <c r="CC104">
        <v>5207.3019886570455</v>
      </c>
      <c r="CD104">
        <v>2.0953576033931793</v>
      </c>
      <c r="CE104">
        <v>4342.4190972720253</v>
      </c>
      <c r="CF104">
        <v>1.8540187024333263</v>
      </c>
      <c r="CG104">
        <v>3842.2683589228259</v>
      </c>
      <c r="CH104">
        <v>2.4572550018176216</v>
      </c>
      <c r="CI104">
        <v>5092.4152657668392</v>
      </c>
      <c r="CJ104">
        <v>2.5261016255519682</v>
      </c>
      <c r="CK104">
        <v>5235.0930087938987</v>
      </c>
      <c r="CL104">
        <v>2.421487693821919</v>
      </c>
      <c r="CM104">
        <v>5018.2910966765448</v>
      </c>
      <c r="CN104">
        <v>2.2296498894664749</v>
      </c>
      <c r="CO104">
        <v>4620.7264309303227</v>
      </c>
      <c r="CP104">
        <v>2.4631125259749695</v>
      </c>
      <c r="CQ104">
        <v>5104.5543988305271</v>
      </c>
      <c r="CR104">
        <v>1.9661153801182447</v>
      </c>
      <c r="CS104">
        <v>4074.5775137570504</v>
      </c>
      <c r="CT104">
        <v>2.0894833850492716</v>
      </c>
      <c r="CU104">
        <v>4330.2453671761104</v>
      </c>
    </row>
    <row r="105" spans="2:99" x14ac:dyDescent="0.2">
      <c r="C105" s="116" t="s">
        <v>271</v>
      </c>
      <c r="D105">
        <v>16.3301499252659</v>
      </c>
      <c r="E105">
        <v>32627.63955068127</v>
      </c>
      <c r="F105">
        <v>21.668225634272222</v>
      </c>
      <c r="G105">
        <v>43293.114817275899</v>
      </c>
      <c r="H105">
        <v>15.673178544704925</v>
      </c>
      <c r="I105">
        <v>31315.010732320439</v>
      </c>
      <c r="J105">
        <v>17</v>
      </c>
      <c r="K105">
        <v>33966</v>
      </c>
      <c r="L105">
        <v>21.299347984174133</v>
      </c>
      <c r="M105">
        <v>42556.09727237992</v>
      </c>
      <c r="N105">
        <v>14</v>
      </c>
      <c r="O105">
        <v>27972</v>
      </c>
      <c r="P105">
        <v>15.847504942377842</v>
      </c>
      <c r="Q105">
        <v>31663.314874870928</v>
      </c>
      <c r="R105">
        <v>22</v>
      </c>
      <c r="S105">
        <v>43956</v>
      </c>
      <c r="T105">
        <v>17.903638883628037</v>
      </c>
      <c r="U105">
        <v>35771.47048948882</v>
      </c>
      <c r="V105">
        <v>11.093676515049719</v>
      </c>
      <c r="W105">
        <v>22165.165677069337</v>
      </c>
      <c r="X105">
        <v>19</v>
      </c>
      <c r="Y105">
        <v>37962</v>
      </c>
      <c r="Z105">
        <v>21.308490694483719</v>
      </c>
      <c r="AA105">
        <v>42574.364407578469</v>
      </c>
      <c r="AB105">
        <v>17.713864911853371</v>
      </c>
      <c r="AC105">
        <v>35392.302093883038</v>
      </c>
      <c r="AD105">
        <v>20.111558766176358</v>
      </c>
      <c r="AE105">
        <v>40182.894414820366</v>
      </c>
      <c r="AF105">
        <v>1.9571990537355615</v>
      </c>
      <c r="AG105">
        <v>3910.483709363652</v>
      </c>
      <c r="AH105">
        <v>1.9407284463581207</v>
      </c>
      <c r="AI105">
        <v>3877.5754358235254</v>
      </c>
      <c r="AJ105">
        <v>2.6701165921791938</v>
      </c>
      <c r="AK105">
        <v>5334.8929511740289</v>
      </c>
      <c r="AL105">
        <v>2.3382154368110055</v>
      </c>
      <c r="AM105">
        <v>4671.754442748389</v>
      </c>
      <c r="AN105">
        <v>2.2237516618481021</v>
      </c>
      <c r="AO105">
        <v>4443.0558203725077</v>
      </c>
      <c r="AP105">
        <v>2.062218993767206</v>
      </c>
      <c r="AQ105">
        <v>4120.3135495468778</v>
      </c>
      <c r="AR105">
        <v>1.9943405628545035</v>
      </c>
      <c r="AS105">
        <v>3984.6924445832979</v>
      </c>
      <c r="AT105">
        <v>1.9931489767688584</v>
      </c>
      <c r="AU105">
        <v>3982.3116555841789</v>
      </c>
      <c r="AV105">
        <v>1.4662327632946557</v>
      </c>
      <c r="AW105">
        <v>2929.533061062722</v>
      </c>
      <c r="AX105">
        <v>2.6441930107923426</v>
      </c>
      <c r="AY105">
        <v>5283.0976355631001</v>
      </c>
      <c r="AZ105">
        <v>2.0973969858415002</v>
      </c>
      <c r="BA105">
        <v>4190.5991777113177</v>
      </c>
      <c r="BB105">
        <v>2.7601875457192144</v>
      </c>
      <c r="BC105">
        <v>5514.8547163469902</v>
      </c>
      <c r="BD105">
        <v>1.9601568001359662</v>
      </c>
      <c r="BE105">
        <v>3916.3932866716605</v>
      </c>
      <c r="BF105">
        <v>2.7316843721200015</v>
      </c>
      <c r="BG105">
        <v>5457.9053754957631</v>
      </c>
      <c r="BH105">
        <v>1.8568571023196938</v>
      </c>
      <c r="BI105">
        <v>3710.0004904347484</v>
      </c>
      <c r="BJ105">
        <v>1.9789479469741924</v>
      </c>
      <c r="BK105">
        <v>3953.9379980544363</v>
      </c>
      <c r="BL105">
        <v>2.6386141726941665</v>
      </c>
      <c r="BM105">
        <v>5271.951117042945</v>
      </c>
      <c r="BN105">
        <v>2.3594972037580733</v>
      </c>
      <c r="BO105">
        <v>4714.2754131086303</v>
      </c>
      <c r="BP105">
        <v>2.2785868180141691</v>
      </c>
      <c r="BQ105">
        <v>4552.6164623923096</v>
      </c>
      <c r="BR105">
        <v>2.293042240331721</v>
      </c>
      <c r="BS105">
        <v>4581.4983961827784</v>
      </c>
      <c r="BT105">
        <v>2.1173678793676305</v>
      </c>
      <c r="BU105">
        <v>4230.5010229765257</v>
      </c>
      <c r="BV105">
        <v>2.1450102701303861</v>
      </c>
      <c r="BW105">
        <v>4285.7305197205114</v>
      </c>
      <c r="BX105">
        <v>1.5257423663033405</v>
      </c>
      <c r="BY105">
        <v>3048.4332478740744</v>
      </c>
      <c r="BZ105">
        <v>2.4239208464146751</v>
      </c>
      <c r="CA105">
        <v>4842.9938511365208</v>
      </c>
      <c r="CB105">
        <v>2.5056863780527818</v>
      </c>
      <c r="CC105">
        <v>5006.3613833494583</v>
      </c>
      <c r="CD105">
        <v>1.9660398736501628</v>
      </c>
      <c r="CE105">
        <v>3928.1476675530253</v>
      </c>
      <c r="CF105">
        <v>1.7309754169730933</v>
      </c>
      <c r="CG105">
        <v>3458.4888831122403</v>
      </c>
      <c r="CH105">
        <v>2.211229786164465</v>
      </c>
      <c r="CI105">
        <v>4418.0371127566013</v>
      </c>
      <c r="CJ105">
        <v>3.030095715042842</v>
      </c>
      <c r="CK105">
        <v>6054.1312386555983</v>
      </c>
      <c r="CL105">
        <v>2.0929139744170273</v>
      </c>
      <c r="CM105">
        <v>4181.6421208852207</v>
      </c>
      <c r="CN105">
        <v>2.3411323839397986</v>
      </c>
      <c r="CO105">
        <v>4677.5825031117174</v>
      </c>
      <c r="CP105">
        <v>2.3296980316393521</v>
      </c>
      <c r="CQ105">
        <v>4654.7366672154258</v>
      </c>
      <c r="CR105">
        <v>1.9718480473896385</v>
      </c>
      <c r="CS105">
        <v>3939.7523986844976</v>
      </c>
      <c r="CT105">
        <v>2.094233839066673</v>
      </c>
      <c r="CU105">
        <v>4184.2792104552127</v>
      </c>
    </row>
    <row r="107" spans="2:99" x14ac:dyDescent="0.2">
      <c r="B107" s="119" t="s">
        <v>276</v>
      </c>
    </row>
    <row r="108" spans="2:99" x14ac:dyDescent="0.2">
      <c r="C108" s="116" t="s">
        <v>277</v>
      </c>
      <c r="D108" s="116" t="s">
        <v>92</v>
      </c>
      <c r="E108" s="116" t="s">
        <v>93</v>
      </c>
      <c r="F108" s="116" t="s">
        <v>94</v>
      </c>
      <c r="G108" s="116" t="s">
        <v>95</v>
      </c>
      <c r="H108" s="116" t="s">
        <v>96</v>
      </c>
      <c r="I108" s="116" t="s">
        <v>97</v>
      </c>
      <c r="J108" s="116" t="s">
        <v>98</v>
      </c>
      <c r="K108" s="116" t="s">
        <v>99</v>
      </c>
      <c r="L108" s="116" t="s">
        <v>100</v>
      </c>
      <c r="M108" s="116" t="s">
        <v>101</v>
      </c>
      <c r="N108" s="116" t="s">
        <v>102</v>
      </c>
      <c r="O108" s="116" t="s">
        <v>103</v>
      </c>
    </row>
    <row r="109" spans="2:99" x14ac:dyDescent="0.2">
      <c r="C109" s="116" t="s">
        <v>126</v>
      </c>
      <c r="D109">
        <f>SUM(D$6:D$19)+SUM(F$6:F$19)+SUM(H$6:H$19)+SUM(J$6:J$19)</f>
        <v>673</v>
      </c>
      <c r="E109">
        <f>SUM(L$6:L$19)+SUM(N$6:N$19)+SUM(P$6:P$19)+SUM(R$6:R$19)</f>
        <v>700</v>
      </c>
      <c r="F109">
        <f>SUM(T$6:T$19)+SUM(V$6:V$19)+SUM(X$6:X$19)+SUM(Z$6:Z$19)</f>
        <v>634</v>
      </c>
      <c r="G109">
        <f>SUM(AB$6:AB$19)+SUM(AD$6:AD$19)+SUM(AF$6:AF$19)+SUM(AH$6:AH$19)</f>
        <v>651</v>
      </c>
      <c r="H109">
        <f>SUM(AJ$6:AJ$19)+SUM(AL$6:AL$19)+SUM(AN$6:AN$19)+SUM(AP$6:AP$19)</f>
        <v>707</v>
      </c>
      <c r="I109">
        <f>SUM(AR$6:AR$19)+SUM(AT$6:AT$19)+SUM(AV$6:AV$19)+SUM(AX$6:AX$19)</f>
        <v>701</v>
      </c>
      <c r="J109">
        <f>SUM(AZ$6:AZ$19)+SUM(BB$6:BB$19)+SUM(BD$6:BD$19)+SUM(BF$6:BF$19)</f>
        <v>759</v>
      </c>
      <c r="K109">
        <f>SUM(BH$6:BH$19)+SUM(BJ$6:BJ$19)+SUM(BL$6:BL$19)+SUM(BN$6:BN$19)</f>
        <v>799</v>
      </c>
      <c r="L109">
        <f>SUM(BP$6:BP$19)+SUM(BR$6:BR$19)+SUM(BT$6:BT$19)+SUM(BV$6:BV$19)</f>
        <v>688</v>
      </c>
      <c r="M109">
        <f>SUM(BX$6:BX$19)+SUM(BZ$6:BZ$19)+SUM(CB$6:CB$19)+SUM(CD$6:CD$19)</f>
        <v>807</v>
      </c>
      <c r="N109">
        <f>SUM(CF$6:CF$19)+SUM(CH$6:CH$19)+SUM(CJ$6:CJ$19)+SUM(CL$6:CL$19)</f>
        <v>674</v>
      </c>
      <c r="O109">
        <f>SUM(CN$6:CN$19)+SUM(CP$6:CP$19)+SUM(CR$6:CR$19)+SUM(CT$6:CT$19)</f>
        <v>765</v>
      </c>
    </row>
    <row r="110" spans="2:99" x14ac:dyDescent="0.2">
      <c r="C110" s="116" t="s">
        <v>127</v>
      </c>
      <c r="D110">
        <f>SUM(D$20:D$36)+SUM(F$20:F$36)+SUM(H$20:H$36)+SUM(J$20:J$36)</f>
        <v>2331</v>
      </c>
      <c r="E110">
        <f>SUM(L$20:L$36)+SUM(N$20:N$36)+SUM(P$20:P$36)+SUM(R$20:R$36)</f>
        <v>2002</v>
      </c>
      <c r="F110">
        <f>SUM(T$20:T$36)+SUM(V$20:V$36)+SUM(X$20:X$36)+SUM(Z$20:Z$36)</f>
        <v>2123</v>
      </c>
      <c r="G110">
        <f>SUM(AB$20:AB$36)+SUM(AD$20:AD$36)+SUM(AF$20:AF$36)+SUM(AH$20:AH$36)</f>
        <v>2220</v>
      </c>
      <c r="H110">
        <f>SUM(AJ$20:AJ$36)+SUM(AL$20:AL$36)+SUM(AN$20:AN$36)+SUM(AP$20:AP$36)</f>
        <v>2004</v>
      </c>
      <c r="I110">
        <f>SUM(AR$20:AR$36)+SUM(AT$20:AT$36)+SUM(AV$20:AV$36)+SUM(AX$20:AX$36)</f>
        <v>2228</v>
      </c>
      <c r="J110">
        <f>SUM(AZ$20:AZ$36)+SUM(BB$20:BB$36)+SUM(BD$20:BD$36)+SUM(BF$20:BF$36)</f>
        <v>1850</v>
      </c>
      <c r="K110">
        <f>SUM(BH$20:BH$36)+SUM(BJ$20:BJ$36)+SUM(BL$20:BL$36)+SUM(BN$20:BN$36)</f>
        <v>2286</v>
      </c>
      <c r="L110">
        <f>SUM(BP$20:BP$36)+SUM(BR$20:BR$36)+SUM(BT$20:BT$36)+SUM(BV$20:BV$36)</f>
        <v>1810</v>
      </c>
      <c r="M110">
        <f>SUM(BX$20:BX$36)+SUM(BZ$20:BZ$36)+SUM(CB$20:CB$36)+SUM(CD$20:CD$36)</f>
        <v>2148</v>
      </c>
      <c r="N110">
        <f>SUM(CF$20:CF$36)+SUM(CH$20:CH$36)+SUM(CJ$20:CJ$36)+SUM(CL$20:CL$36)</f>
        <v>2122</v>
      </c>
      <c r="O110">
        <f>SUM(CN$20:CN$36)+SUM(CP$20:CP$36)+SUM(CR$20:CR$36)+SUM(CT$20:CT$36)</f>
        <v>2305</v>
      </c>
    </row>
    <row r="111" spans="2:99" x14ac:dyDescent="0.2">
      <c r="C111" s="116" t="s">
        <v>128</v>
      </c>
      <c r="D111">
        <f>SUM(D$37:D$48)+SUM(F$37:F$48)+SUM(H$37:H$48)+SUM(J$37:J$48)</f>
        <v>1085</v>
      </c>
      <c r="E111">
        <f>SUM(L$37:L$48)+SUM(N$37:N$48)+SUM(P$37:P$48)+SUM(R$37:R$48)</f>
        <v>881</v>
      </c>
      <c r="F111">
        <f>SUM(T$37:T$48)+SUM(V$37:V$48)+SUM(X$37:X$48)+SUM(Z$37:Z$48)</f>
        <v>910</v>
      </c>
      <c r="G111">
        <f>SUM(AB$37:AB$48)+SUM(AD$37:AD$48)+SUM(AF$37:AF$48)+SUM(AH$37:AH$48)</f>
        <v>1027</v>
      </c>
      <c r="H111">
        <f>SUM(AJ$37:AJ$48)+SUM(AL$37:AL$48)+SUM(AN$37:AN$48)+SUM(AP$37:AP$48)</f>
        <v>864</v>
      </c>
      <c r="I111">
        <f>SUM(AR$37:AR$48)+SUM(AT$37:AT$48)+SUM(AV$37:AV$48)+SUM(AX$37:AX$48)</f>
        <v>964</v>
      </c>
      <c r="J111">
        <f>SUM(AZ$37:AZ$48)+SUM(BB$37:BB$48)+SUM(BD$37:BD$48)+SUM(BF$37:BF$48)</f>
        <v>881</v>
      </c>
      <c r="K111">
        <f>SUM(BH$37:BH$48)+SUM(BJ$37:BJ$48)+SUM(BL$37:BL$48)+SUM(BN$37:BN$48)</f>
        <v>1012</v>
      </c>
      <c r="L111">
        <f>SUM(BP$37:BP$48)+SUM(BR$37:BR$48)+SUM(BT$37:BT$48)+SUM(BV$37:BV$48)</f>
        <v>888</v>
      </c>
      <c r="M111">
        <f>SUM(BX$37:BX$48)+SUM(BZ$37:BZ$48)+SUM(CB$37:CB$48)+SUM(CD$37:CD$48)</f>
        <v>1030</v>
      </c>
      <c r="N111">
        <f>SUM(CF$37:CF$48)+SUM(CH$37:CH$48)+SUM(CJ$37:CJ$48)+SUM(CL$37:CL$48)</f>
        <v>1152</v>
      </c>
      <c r="O111">
        <f>SUM(CN$37:CN$48)+SUM(CP$37:CP$48)+SUM(CR$37:CR$48)+SUM(CT$37:CT$48)</f>
        <v>1030</v>
      </c>
    </row>
    <row r="112" spans="2:99" x14ac:dyDescent="0.2">
      <c r="C112" s="116" t="s">
        <v>129</v>
      </c>
      <c r="D112">
        <f>SUM(D$49:D$70)+SUM(F$49:F$70)+SUM(H$49:H$70)+SUM(J$49:J$70)</f>
        <v>1699.7004047052092</v>
      </c>
      <c r="E112">
        <f>SUM(L$49:L$70)+SUM(N$49:N$70)+SUM(P$49:P$70)+SUM(R$49:R$70)</f>
        <v>1109.5125298964856</v>
      </c>
      <c r="F112">
        <f>SUM(T$49:T$70)+SUM(V$49:V$70)+SUM(X$49:X$70)+SUM(Z$49:Z$70)</f>
        <v>1584.3510244591419</v>
      </c>
      <c r="G112">
        <f>SUM(AB$49:AB$70)+SUM(AD$49:AD$70)+SUM(AF$49:AF$70)+SUM(AH$49:AH$70)</f>
        <v>1366.4853880295391</v>
      </c>
      <c r="H112">
        <f>SUM(AJ$49:AJ$70)+SUM(AL$49:AL$70)+SUM(AN$49:AN$70)+SUM(AP$49:AP$70)</f>
        <v>1246.9812932081441</v>
      </c>
      <c r="I112">
        <f>SUM(AR$49:AR$70)+SUM(AT$49:AT$70)+SUM(AV$49:AV$70)+SUM(AX$49:AX$70)</f>
        <v>1253.791889282495</v>
      </c>
      <c r="J112">
        <f>SUM(AZ$49:AZ$70)+SUM(BB$49:BB$70)+SUM(BD$49:BD$70)+SUM(BF$49:BF$70)</f>
        <v>1097.8996263665258</v>
      </c>
      <c r="K112">
        <f>SUM(BH$49:BH$70)+SUM(BJ$49:BJ$70)+SUM(BL$49:BL$70)+SUM(BN$49:BN$70)</f>
        <v>1272.0873290518734</v>
      </c>
      <c r="L112">
        <f>SUM(BP$49:BP$70)+SUM(BR$49:BR$70)+SUM(BT$49:BT$70)+SUM(BV$49:BV$70)</f>
        <v>1255.7037709540625</v>
      </c>
      <c r="M112">
        <f>SUM(BX$49:BX$70)+SUM(BZ$49:BZ$70)+SUM(CB$49:CB$70)+SUM(CD$49:CD$70)</f>
        <v>1300.9784637083794</v>
      </c>
      <c r="N112">
        <f>SUM(CF$49:CF$70)+SUM(CH$49:CH$70)+SUM(CJ$49:CJ$70)+SUM(CL$49:CL$70)</f>
        <v>1214.8364233454599</v>
      </c>
      <c r="O112">
        <f>SUM(CN$49:CN$70)+SUM(CP$49:CP$70)+SUM(CR$49:CR$70)+SUM(CT$49:CT$70)</f>
        <v>1152.7527023566665</v>
      </c>
    </row>
    <row r="113" spans="2:15" x14ac:dyDescent="0.2">
      <c r="C113" s="116" t="s">
        <v>130</v>
      </c>
      <c r="D113">
        <f>SUM(D$71:D$86)+SUM(F$71:F$86)+SUM(H$71:H$86)+SUM(J$71:J$86)</f>
        <v>1089.190862431597</v>
      </c>
      <c r="E113">
        <f>SUM(L$71:L$86)+SUM(N$71:N$86)+SUM(P$71:P$86)+SUM(R$71:R$86)</f>
        <v>1097.5600790780454</v>
      </c>
      <c r="F113">
        <f>SUM(T$71:T$86)+SUM(V$71:V$86)+SUM(X$71:X$86)+SUM(Z$71:Z$86)</f>
        <v>955.34132493359175</v>
      </c>
      <c r="G113">
        <f>SUM(AB$71:AB$86)+SUM(AD$71:AD$86)+SUM(AF$71:AF$86)+SUM(AH$71:AH$86)</f>
        <v>716.44174059868419</v>
      </c>
      <c r="H113">
        <f>SUM(AJ$71:AJ$86)+SUM(AL$71:AL$86)+SUM(AN$71:AN$86)+SUM(AP$71:AP$86)</f>
        <v>149.13240315089399</v>
      </c>
      <c r="I113">
        <f>SUM(AR$71:AR$86)+SUM(AT$71:AT$86)+SUM(AV$71:AV$86)+SUM(AX$71:AX$86)</f>
        <v>138.26380055782033</v>
      </c>
      <c r="J113">
        <f>SUM(AZ$71:AZ$86)+SUM(BB$71:BB$86)+SUM(BD$71:BD$86)+SUM(BF$71:BF$86)</f>
        <v>144.74678434700135</v>
      </c>
      <c r="K113">
        <f>SUM(BH$71:BH$86)+SUM(BJ$71:BJ$86)+SUM(BL$71:BL$86)+SUM(BN$71:BN$86)</f>
        <v>145.71067739855783</v>
      </c>
      <c r="L113">
        <f>SUM(BP$71:BP$86)+SUM(BR$71:BR$86)+SUM(BT$71:BT$86)+SUM(BV$71:BV$86)</f>
        <v>145.50884425464852</v>
      </c>
      <c r="M113">
        <f>SUM(BX$71:BX$86)+SUM(BZ$71:BZ$86)+SUM(CB$71:CB$86)+SUM(CD$71:CD$86)</f>
        <v>140.64570120068078</v>
      </c>
      <c r="N113">
        <f>SUM(CF$71:CF$86)+SUM(CH$71:CH$86)+SUM(CJ$71:CJ$86)+SUM(CL$71:CL$86)</f>
        <v>144.83509990709024</v>
      </c>
      <c r="O113">
        <f>SUM(CN$71:CN$86)+SUM(CP$71:CP$86)+SUM(CR$71:CR$86)+SUM(CT$71:CT$86)</f>
        <v>158.05029893543747</v>
      </c>
    </row>
    <row r="114" spans="2:15" x14ac:dyDescent="0.2">
      <c r="C114" s="116" t="s">
        <v>131</v>
      </c>
      <c r="D114">
        <f>SUM(D$87:D$94)+SUM(F$87:F$94)+SUM(H$87:H$94)+SUM(J$87:J$94)</f>
        <v>435.84477767948869</v>
      </c>
      <c r="E114">
        <f>SUM(L$87:L$94)+SUM(N$87:N$94)+SUM(P$87:P$94)+SUM(R$87:R$94)</f>
        <v>432.30271739976445</v>
      </c>
      <c r="F114">
        <f>SUM(T$87:T$94)+SUM(V$87:V$94)+SUM(X$87:X$94)+SUM(Z$87:Z$94)</f>
        <v>492.36614457392415</v>
      </c>
      <c r="G114">
        <f>SUM(AB$87:AB$94)+SUM(AD$87:AD$94)+SUM(AF$87:AF$94)+SUM(AH$87:AH$94)</f>
        <v>310.55407182417474</v>
      </c>
      <c r="H114">
        <f>SUM(AJ$87:AJ$94)+SUM(AL$87:AL$94)+SUM(AN$87:AN$94)+SUM(AP$87:AP$94)</f>
        <v>56.263884058065962</v>
      </c>
      <c r="I114">
        <f>SUM(AR$87:AR$94)+SUM(AT$87:AT$94)+SUM(AV$87:AV$94)+SUM(AX$87:AX$94)</f>
        <v>79.272878194924814</v>
      </c>
      <c r="J114">
        <f>SUM(AZ$87:AZ$94)+SUM(BB$87:BB$94)+SUM(BD$87:BD$94)+SUM(BF$87:BF$94)</f>
        <v>63.586434612503844</v>
      </c>
      <c r="K114">
        <f>SUM(BH$87:BH$94)+SUM(BJ$87:BJ$94)+SUM(BL$87:BL$94)+SUM(BN$87:BN$94)</f>
        <v>63.223690509404719</v>
      </c>
      <c r="L114">
        <f>SUM(BP$87:BP$94)+SUM(BR$87:BR$94)+SUM(BT$87:BT$94)+SUM(BV$87:BV$94)</f>
        <v>67.986190457869753</v>
      </c>
      <c r="M114">
        <f>SUM(BX$87:BX$94)+SUM(BZ$87:BZ$94)+SUM(CB$87:CB$94)+SUM(CD$87:CD$94)</f>
        <v>73.899948459542955</v>
      </c>
      <c r="N114">
        <f>SUM(CF$87:CF$94)+SUM(CH$87:CH$94)+SUM(CJ$87:CJ$94)+SUM(CL$87:CL$94)</f>
        <v>65.362023051558353</v>
      </c>
      <c r="O114">
        <f>SUM(CN$87:CN$94)+SUM(CP$87:CP$94)+SUM(CR$87:CR$94)+SUM(CT$87:CT$94)</f>
        <v>61.304702903864097</v>
      </c>
    </row>
    <row r="115" spans="2:15" x14ac:dyDescent="0.2">
      <c r="C115" s="116" t="s">
        <v>132</v>
      </c>
      <c r="D115">
        <f>SUM(D$95:D$105)+SUM(F$95:F$105)+SUM(H$95:H$105)+SUM(J$95:J$105)</f>
        <v>752.07300471234112</v>
      </c>
      <c r="E115">
        <f>SUM(L$95:L$105)+SUM(N$95:N$105)+SUM(P$95:P$105)+SUM(R$95:R$105)</f>
        <v>805.53481712820701</v>
      </c>
      <c r="F115">
        <f>SUM(T$95:T$105)+SUM(V$95:V$105)+SUM(X$95:X$105)+SUM(Z$95:Z$105)</f>
        <v>783.4509943408566</v>
      </c>
      <c r="G115">
        <f>SUM(AB$95:AB$105)+SUM(AD$95:AD$105)+SUM(AF$95:AF$105)+SUM(AH$95:AH$105)</f>
        <v>473.65054285137313</v>
      </c>
      <c r="H115">
        <f>SUM(AJ$95:AJ$105)+SUM(AL$95:AL$105)+SUM(AN$95:AN$105)+SUM(AP$95:AP$105)</f>
        <v>104.85362291444042</v>
      </c>
      <c r="I115">
        <f>SUM(AR$95:AR$105)+SUM(AT$95:AT$105)+SUM(AV$95:AV$105)+SUM(AX$95:AX$105)</f>
        <v>91.902635296304368</v>
      </c>
      <c r="J115">
        <f>SUM(AZ$95:AZ$105)+SUM(BB$95:BB$105)+SUM(BD$95:BD$105)+SUM(BF$95:BF$105)</f>
        <v>106.99835800551355</v>
      </c>
      <c r="K115">
        <f>SUM(BH$95:BH$105)+SUM(BJ$95:BJ$105)+SUM(BL$95:BL$105)+SUM(BN$95:BN$105)</f>
        <v>98.209506371708315</v>
      </c>
      <c r="L115">
        <f>SUM(BP$95:BP$105)+SUM(BR$95:BR$105)+SUM(BT$95:BT$105)+SUM(BV$95:BV$105)</f>
        <v>98.032397664963611</v>
      </c>
      <c r="M115">
        <f>SUM(BX$95:BX$105)+SUM(BZ$95:BZ$105)+SUM(CB$95:CB$105)+SUM(CD$95:CD$105)</f>
        <v>95.707089962941097</v>
      </c>
      <c r="N115">
        <f>SUM(CF$95:CF$105)+SUM(CH$95:CH$105)+SUM(CJ$95:CJ$105)+SUM(CL$95:CL$105)</f>
        <v>103.19765702743598</v>
      </c>
      <c r="O115">
        <f>SUM(CN$95:CN$105)+SUM(CP$95:CP$105)+SUM(CR$95:CR$105)+SUM(CT$95:CT$105)</f>
        <v>94.123499135576324</v>
      </c>
    </row>
    <row r="116" spans="2:15" x14ac:dyDescent="0.2">
      <c r="C116" s="116" t="s">
        <v>278</v>
      </c>
      <c r="D116">
        <f t="shared" ref="D116:O116" si="0">SUM(D$109:D$115)</f>
        <v>8065.8090495286342</v>
      </c>
      <c r="E116">
        <f t="shared" si="0"/>
        <v>7027.9101435025023</v>
      </c>
      <c r="F116">
        <f t="shared" si="0"/>
        <v>7482.5094883075144</v>
      </c>
      <c r="G116">
        <f t="shared" si="0"/>
        <v>6765.1317433037711</v>
      </c>
      <c r="H116">
        <f t="shared" si="0"/>
        <v>5132.2312033315438</v>
      </c>
      <c r="I116">
        <f t="shared" si="0"/>
        <v>5456.2312033315438</v>
      </c>
      <c r="J116">
        <f t="shared" si="0"/>
        <v>4903.2312033315438</v>
      </c>
      <c r="K116">
        <f t="shared" si="0"/>
        <v>5676.2312033315447</v>
      </c>
      <c r="L116">
        <f t="shared" si="0"/>
        <v>4953.2312033315447</v>
      </c>
      <c r="M116">
        <f t="shared" si="0"/>
        <v>5596.2312033315438</v>
      </c>
      <c r="N116">
        <f t="shared" si="0"/>
        <v>5476.2312033315429</v>
      </c>
      <c r="O116">
        <f t="shared" si="0"/>
        <v>5566.2312033315438</v>
      </c>
    </row>
    <row r="118" spans="2:15" x14ac:dyDescent="0.2">
      <c r="B118" s="118" t="s">
        <v>279</v>
      </c>
    </row>
    <row r="119" spans="2:15" x14ac:dyDescent="0.2">
      <c r="C119" s="116" t="s">
        <v>277</v>
      </c>
      <c r="D119" s="116" t="s">
        <v>92</v>
      </c>
      <c r="E119" s="116" t="s">
        <v>93</v>
      </c>
      <c r="F119" s="116" t="s">
        <v>94</v>
      </c>
      <c r="G119" s="116" t="s">
        <v>95</v>
      </c>
      <c r="H119" s="116" t="s">
        <v>96</v>
      </c>
      <c r="I119" s="116" t="s">
        <v>97</v>
      </c>
      <c r="J119" s="116" t="s">
        <v>98</v>
      </c>
      <c r="K119" s="116" t="s">
        <v>99</v>
      </c>
      <c r="L119" s="116" t="s">
        <v>100</v>
      </c>
      <c r="M119" s="116" t="s">
        <v>101</v>
      </c>
      <c r="N119" s="116" t="s">
        <v>102</v>
      </c>
      <c r="O119" s="116" t="s">
        <v>103</v>
      </c>
    </row>
    <row r="120" spans="2:15" x14ac:dyDescent="0.2">
      <c r="C120" s="116" t="s">
        <v>126</v>
      </c>
      <c r="D120">
        <f>D109*pricing!D24*2000</f>
        <v>3396747.733574939</v>
      </c>
      <c r="E120">
        <f>E109*pricing!E24*2000</f>
        <v>3533021.4167941418</v>
      </c>
      <c r="F120">
        <f>F109*pricing!F24*2000</f>
        <v>3199907.9689249797</v>
      </c>
      <c r="G120">
        <f>G109*pricing!G24*2000</f>
        <v>3285709.9176185522</v>
      </c>
      <c r="H120">
        <f>H109*pricing!H24*2000</f>
        <v>3568351.6309620831</v>
      </c>
      <c r="I120">
        <f>I109*pricing!I24*2000</f>
        <v>3538068.5902467049</v>
      </c>
      <c r="J120">
        <f>J109*pricing!J24*2000</f>
        <v>3830804.6504953625</v>
      </c>
      <c r="K120">
        <f>K109*pricing!K24*2000</f>
        <v>4032691.5885978849</v>
      </c>
      <c r="L120">
        <f>L109*pricing!L24*2000</f>
        <v>3472455.3353633853</v>
      </c>
      <c r="M120">
        <f>M109*pricing!M24*2000</f>
        <v>4073068.9762183893</v>
      </c>
      <c r="N120">
        <f>N109*pricing!N24*2000</f>
        <v>3401794.9070275021</v>
      </c>
      <c r="O120">
        <f>O109*pricing!O24*2000</f>
        <v>3861087.6912107407</v>
      </c>
    </row>
    <row r="121" spans="2:15" x14ac:dyDescent="0.2">
      <c r="C121" s="116" t="s">
        <v>127</v>
      </c>
      <c r="D121">
        <f>D110*pricing!D25*2000</f>
        <v>9949286.4501513802</v>
      </c>
      <c r="E121">
        <f>E110*pricing!E25*2000</f>
        <v>8545032.8070369214</v>
      </c>
      <c r="F121">
        <f>F110*pricing!F25*2000</f>
        <v>9061490.833835857</v>
      </c>
      <c r="G121">
        <f>G110*pricing!G25*2000</f>
        <v>9475510.9049060754</v>
      </c>
      <c r="H121">
        <f>H110*pricing!H25*2000</f>
        <v>8553569.3033476472</v>
      </c>
      <c r="I121">
        <f>I110*pricing!I25*2000</f>
        <v>9509656.8901489805</v>
      </c>
      <c r="J121">
        <f>J110*pricing!J25*2000</f>
        <v>7896259.0874217302</v>
      </c>
      <c r="K121">
        <f>K110*pricing!K25*2000</f>
        <v>9757215.2831600402</v>
      </c>
      <c r="L121">
        <f>L110*pricing!L25*2000</f>
        <v>7725529.1612072056</v>
      </c>
      <c r="M121">
        <f>M110*pricing!M25*2000</f>
        <v>9168197.0377199315</v>
      </c>
      <c r="N121">
        <f>N110*pricing!N25*2000</f>
        <v>9057222.5856804922</v>
      </c>
      <c r="O121">
        <f>O110*pricing!O25*2000</f>
        <v>9838311.9981119391</v>
      </c>
    </row>
    <row r="122" spans="2:15" x14ac:dyDescent="0.2">
      <c r="C122" s="116" t="s">
        <v>128</v>
      </c>
      <c r="D122">
        <f>D111*pricing!D26*2000</f>
        <v>4283235.4422721537</v>
      </c>
      <c r="E122">
        <f>E111*pricing!E26*2000</f>
        <v>3477908.2254762831</v>
      </c>
      <c r="F122">
        <f>F111*pricing!F26*2000</f>
        <v>3592391.0160992253</v>
      </c>
      <c r="G122">
        <f>G111*pricing!G26*2000</f>
        <v>4054269.8610262689</v>
      </c>
      <c r="H122">
        <f>H111*pricing!H26*2000</f>
        <v>3410797.6240766277</v>
      </c>
      <c r="I122">
        <f>I111*pricing!I26*2000</f>
        <v>3805565.8676040149</v>
      </c>
      <c r="J122">
        <f>J111*pricing!J26*2000</f>
        <v>3477908.2254762831</v>
      </c>
      <c r="K122">
        <f>K111*pricing!K26*2000</f>
        <v>3995054.6244971608</v>
      </c>
      <c r="L122">
        <f>L111*pricing!L26*2000</f>
        <v>3505542.0025232001</v>
      </c>
      <c r="M122">
        <f>M111*pricing!M26*2000</f>
        <v>4066112.9083320904</v>
      </c>
      <c r="N122">
        <f>N111*pricing!N26*2000</f>
        <v>4547730.1654355032</v>
      </c>
      <c r="O122">
        <f>O111*pricing!O26*2000</f>
        <v>4066112.9083320904</v>
      </c>
    </row>
    <row r="123" spans="2:15" x14ac:dyDescent="0.2">
      <c r="C123" s="116" t="s">
        <v>129</v>
      </c>
      <c r="D123">
        <f>D112*pricing!D27*2000</f>
        <v>6625901.1536948727</v>
      </c>
      <c r="E123">
        <f>E112*pricing!E27*2000</f>
        <v>4325185.9748512954</v>
      </c>
      <c r="F123">
        <f>F112*pricing!F27*2000</f>
        <v>6176237.4426463582</v>
      </c>
      <c r="G123">
        <f>G112*pricing!G27*2000</f>
        <v>5326937.079021547</v>
      </c>
      <c r="H123">
        <f>H112*pricing!H27*2000</f>
        <v>4861077.1442022258</v>
      </c>
      <c r="I123">
        <f>I112*pricing!I27*2000</f>
        <v>4887626.726858953</v>
      </c>
      <c r="J123">
        <f>J112*pricing!J27*2000</f>
        <v>4279915.6726945732</v>
      </c>
      <c r="K123">
        <f>K112*pricing!K27*2000</f>
        <v>4958947.3991019549</v>
      </c>
      <c r="L123">
        <f>L112*pricing!L27*2000</f>
        <v>4895079.7691352842</v>
      </c>
      <c r="M123">
        <f>M112*pricing!M27*2000</f>
        <v>5071573.0135468123</v>
      </c>
      <c r="N123">
        <f>N112*pricing!N27*2000</f>
        <v>4735767.5721629877</v>
      </c>
      <c r="O123">
        <f>O112*pricing!O27*2000</f>
        <v>4493748.0977976434</v>
      </c>
    </row>
    <row r="124" spans="2:15" x14ac:dyDescent="0.2">
      <c r="C124" s="116" t="s">
        <v>130</v>
      </c>
      <c r="D124">
        <f>D113*pricing!D28*2000</f>
        <v>3935658.1235241224</v>
      </c>
      <c r="E124">
        <f>E113*pricing!E28*2000</f>
        <v>3965899.2654747572</v>
      </c>
      <c r="F124">
        <f>F113*pricing!F28*2000</f>
        <v>3452009.1711192783</v>
      </c>
      <c r="G124">
        <f>G113*pricing!G28*2000</f>
        <v>2588774.7076064488</v>
      </c>
      <c r="H124">
        <f>H113*pricing!H28*2000</f>
        <v>538871.72045418329</v>
      </c>
      <c r="I124">
        <f>I113*pricing!I28*2000</f>
        <v>499599.35271572182</v>
      </c>
      <c r="J124">
        <f>J113*pricing!J28*2000</f>
        <v>523024.82266283856</v>
      </c>
      <c r="K124">
        <f>K113*pricing!K28*2000</f>
        <v>526507.73245341249</v>
      </c>
      <c r="L124">
        <f>L113*pricing!L28*2000</f>
        <v>525778.43304426235</v>
      </c>
      <c r="M124">
        <f>M113*pricing!M28*2000</f>
        <v>508206.05971064925</v>
      </c>
      <c r="N124">
        <f>N113*pricing!N28*2000</f>
        <v>523343.94015040301</v>
      </c>
      <c r="O124">
        <f>O113*pricing!O28*2000</f>
        <v>571095.44744251389</v>
      </c>
    </row>
    <row r="125" spans="2:15" x14ac:dyDescent="0.2">
      <c r="C125" s="116" t="s">
        <v>131</v>
      </c>
      <c r="D125">
        <f>D114*pricing!D29*2000</f>
        <v>1600998.0723129725</v>
      </c>
      <c r="E125">
        <f>E114*pricing!E29*2000</f>
        <v>1587986.9454846384</v>
      </c>
      <c r="F125">
        <f>F114*pricing!F29*2000</f>
        <v>1808619.2348843648</v>
      </c>
      <c r="G125">
        <f>G114*pricing!G29*2000</f>
        <v>1140765.0058046037</v>
      </c>
      <c r="H125">
        <f>H114*pricing!H29*2000</f>
        <v>206675.34528553186</v>
      </c>
      <c r="I125">
        <f>I114*pricing!I29*2000</f>
        <v>291194.78235461825</v>
      </c>
      <c r="J125">
        <f>J114*pricing!J29*2000</f>
        <v>233573.42901269416</v>
      </c>
      <c r="K125">
        <f>K114*pricing!K29*2000</f>
        <v>232240.95323336599</v>
      </c>
      <c r="L125">
        <f>L114*pricing!L29*2000</f>
        <v>249735.14755979253</v>
      </c>
      <c r="M125">
        <f>M114*pricing!M29*2000</f>
        <v>271458.28305590426</v>
      </c>
      <c r="N125">
        <f>N114*pricing!N29*2000</f>
        <v>240095.73652612258</v>
      </c>
      <c r="O125">
        <f>O114*pricing!O29*2000</f>
        <v>225191.89445234663</v>
      </c>
    </row>
    <row r="126" spans="2:15" x14ac:dyDescent="0.2">
      <c r="C126" s="116" t="s">
        <v>132</v>
      </c>
      <c r="D126">
        <f>D115*pricing!D30*2000</f>
        <v>3371799.6378580574</v>
      </c>
      <c r="E126">
        <f>E115*pricing!E30*2000</f>
        <v>3611487.1663473966</v>
      </c>
      <c r="F126">
        <f>F115*pricing!F30*2000</f>
        <v>3512477.8611199199</v>
      </c>
      <c r="G126">
        <f>G115*pricing!G30*2000</f>
        <v>2123536.8359862706</v>
      </c>
      <c r="H126">
        <f>H115*pricing!H30*2000</f>
        <v>470094.53278573987</v>
      </c>
      <c r="I126">
        <f>I115*pricing!I30*2000</f>
        <v>412030.84071446571</v>
      </c>
      <c r="J126">
        <f>J115*pricing!J30*2000</f>
        <v>479710.11127090018</v>
      </c>
      <c r="K126">
        <f>K115*pricing!K30*2000</f>
        <v>440306.69355696766</v>
      </c>
      <c r="L126">
        <f>L115*pricing!L30*2000</f>
        <v>439512.65485391422</v>
      </c>
      <c r="M126">
        <f>M115*pricing!M30*2000</f>
        <v>429087.50780241628</v>
      </c>
      <c r="N126">
        <f>N115*pricing!N30*2000</f>
        <v>462670.27324827312</v>
      </c>
      <c r="O126">
        <f>O115*pricing!O30*2000</f>
        <v>421987.73032766749</v>
      </c>
    </row>
    <row r="127" spans="2:15" x14ac:dyDescent="0.2">
      <c r="C127" s="116" t="s">
        <v>278</v>
      </c>
      <c r="D127">
        <f t="shared" ref="D127:O127" si="1">SUM(D$120:D$126)</f>
        <v>33163626.613388494</v>
      </c>
      <c r="E127">
        <f t="shared" si="1"/>
        <v>29046521.801465433</v>
      </c>
      <c r="F127">
        <f t="shared" si="1"/>
        <v>30803133.528629981</v>
      </c>
      <c r="G127">
        <f t="shared" si="1"/>
        <v>27995504.311969768</v>
      </c>
      <c r="H127">
        <f t="shared" si="1"/>
        <v>21609437.301114038</v>
      </c>
      <c r="I127">
        <f t="shared" si="1"/>
        <v>22943743.050643459</v>
      </c>
      <c r="J127">
        <f t="shared" si="1"/>
        <v>20721195.999034379</v>
      </c>
      <c r="K127">
        <f t="shared" si="1"/>
        <v>23942964.274600785</v>
      </c>
      <c r="L127">
        <f t="shared" si="1"/>
        <v>20813632.503687043</v>
      </c>
      <c r="M127">
        <f t="shared" si="1"/>
        <v>23587703.786386192</v>
      </c>
      <c r="N127">
        <f t="shared" si="1"/>
        <v>22968625.180231284</v>
      </c>
      <c r="O127">
        <f t="shared" si="1"/>
        <v>23477535.767674942</v>
      </c>
    </row>
    <row r="129" spans="2:15" x14ac:dyDescent="0.2">
      <c r="B129" s="118" t="s">
        <v>280</v>
      </c>
    </row>
    <row r="130" spans="2:15" x14ac:dyDescent="0.2">
      <c r="C130" s="120" t="s">
        <v>277</v>
      </c>
      <c r="D130" s="120" t="s">
        <v>92</v>
      </c>
      <c r="E130" s="120" t="s">
        <v>93</v>
      </c>
      <c r="F130" s="120" t="s">
        <v>94</v>
      </c>
      <c r="G130" s="120" t="s">
        <v>95</v>
      </c>
      <c r="H130" s="120" t="s">
        <v>96</v>
      </c>
      <c r="I130" s="120" t="s">
        <v>97</v>
      </c>
      <c r="J130" s="120" t="s">
        <v>98</v>
      </c>
      <c r="K130" s="120" t="s">
        <v>99</v>
      </c>
      <c r="L130" s="120" t="s">
        <v>100</v>
      </c>
      <c r="M130" s="120" t="s">
        <v>101</v>
      </c>
      <c r="N130" s="120" t="s">
        <v>102</v>
      </c>
      <c r="O130" s="120" t="s">
        <v>103</v>
      </c>
    </row>
    <row r="131" spans="2:15" x14ac:dyDescent="0.2">
      <c r="C131" s="120" t="s">
        <v>126</v>
      </c>
      <c r="D131" s="121">
        <f>SUM(E$6:E$19)+SUM(G$6:G$19)+SUM(I$6:I$19)+SUM(K$6:K$19)</f>
        <v>341190</v>
      </c>
      <c r="E131" s="121">
        <f>SUM(M$6:M$19)+SUM(O$6:O$19)+SUM(Q$6:Q$19)+SUM(S$6:S$19)</f>
        <v>353956.79999999993</v>
      </c>
      <c r="F131" s="121">
        <f>SUM(U$6:U$19)+SUM(W$6:W$19)+SUM(Y$6:Y$19)+SUM(AA$6:AA$19)</f>
        <v>319292.40000000002</v>
      </c>
      <c r="G131" s="121">
        <f>SUM(AC$6:AC$19)+SUM(AE$6:AE$19)+SUM(AG$6:AG$19)+SUM(AI$6:AI$19)</f>
        <v>329558.39999999997</v>
      </c>
      <c r="H131" s="121">
        <f>SUM(AK$6:AK$19)+SUM(AM$6:AM$19)+SUM(AO$6:AO$19)+SUM(AQ$6:AQ$19)</f>
        <v>355878</v>
      </c>
      <c r="I131" s="121">
        <f>SUM(AS$6:AS$19)+SUM(AU$6:AU$19)+SUM(AW$6:AW$19)+SUM(AY$6:AY$19)</f>
        <v>354423.6</v>
      </c>
      <c r="J131" s="121">
        <f>SUM(BA$6:BA$19)+SUM(BC$6:BC$19)+SUM(BE$6:BE$19)+SUM(BG$6:BG$19)</f>
        <v>382487.99999999988</v>
      </c>
      <c r="K131" s="121">
        <f>SUM(BI$6:BI$19)+SUM(BK$6:BK$19)+SUM(BM$6:BM$19)+SUM(BO$6:BO$19)</f>
        <v>403567.19999999995</v>
      </c>
      <c r="L131" s="121">
        <f>SUM(BQ$6:BQ$19)+SUM(BS$6:BS$19)+SUM(BU$6:BU$19)+SUM(BW$6:BW$19)</f>
        <v>347308.79999999999</v>
      </c>
      <c r="M131" s="121">
        <f>SUM(BY$6:BY$19)+SUM(CA$6:CA$19)+SUM(CC$6:CC$19)+SUM(CE$6:CE$19)</f>
        <v>406587.60000000003</v>
      </c>
      <c r="N131" s="121">
        <f>SUM(CG$6:CG$19)+SUM(CI$6:CI$19)+SUM(CK$6:CK$19)+SUM(CM$6:CM$19)</f>
        <v>337936.79999999993</v>
      </c>
      <c r="O131" s="121">
        <f>SUM(CO$6:CO$19)+SUM(CQ$6:CQ$19)+SUM(CS$6:CS$19)+SUM(CU$6:CU$19)</f>
        <v>386508</v>
      </c>
    </row>
    <row r="132" spans="2:15" x14ac:dyDescent="0.2">
      <c r="C132" s="120" t="s">
        <v>127</v>
      </c>
      <c r="D132" s="121">
        <f>SUM(E$20:E$36)+SUM(G$20:G$36)+SUM(I$20:I$36)+SUM(K$20:K$36)</f>
        <v>990372</v>
      </c>
      <c r="E132" s="121">
        <f>SUM(M$20:M$36)+SUM(O$20:O$36)+SUM(Q$20:Q$36)+SUM(S$20:S$36)</f>
        <v>851491.2</v>
      </c>
      <c r="F132" s="121">
        <f>SUM(U$20:U$36)+SUM(W$20:W$36)+SUM(Y$20:Y$36)+SUM(AA$20:AA$36)</f>
        <v>907070.39999999991</v>
      </c>
      <c r="G132" s="121">
        <f>SUM(AC$20:AC$36)+SUM(AE$20:AE$36)+SUM(AG$20:AG$36)+SUM(AI$20:AI$36)</f>
        <v>945064.8</v>
      </c>
      <c r="H132" s="121">
        <f>SUM(AK$20:AK$36)+SUM(AM$20:AM$36)+SUM(AO$20:AO$36)+SUM(AQ$20:AQ$36)</f>
        <v>855483.6</v>
      </c>
      <c r="I132" s="121">
        <f>SUM(AS$20:AS$36)+SUM(AU$20:AU$36)+SUM(AW$20:AW$36)+SUM(AY$20:AY$36)</f>
        <v>951958.79999999993</v>
      </c>
      <c r="J132" s="121">
        <f>SUM(BA$20:BA$36)+SUM(BC$20:BC$36)+SUM(BE$20:BE$36)+SUM(BG$20:BG$36)</f>
        <v>789176.40000000014</v>
      </c>
      <c r="K132" s="121">
        <f>SUM(BI$20:BI$36)+SUM(BK$20:BK$36)+SUM(BM$20:BM$36)+SUM(BO$20:BO$36)</f>
        <v>980254.79999999993</v>
      </c>
      <c r="L132" s="121">
        <f>SUM(BQ$20:BQ$36)+SUM(BS$20:BS$36)+SUM(BU$20:BU$36)+SUM(BW$20:BW$36)</f>
        <v>770965.2</v>
      </c>
      <c r="M132" s="121">
        <f>SUM(BY$20:BY$36)+SUM(CA$20:CA$36)+SUM(CC$20:CC$36)+SUM(CE$20:CE$36)</f>
        <v>915200.4</v>
      </c>
      <c r="N132" s="121">
        <f>SUM(CG$20:CG$36)+SUM(CI$20:CI$36)+SUM(CK$20:CK$36)+SUM(CM$20:CM$36)</f>
        <v>910011.59999999986</v>
      </c>
      <c r="O132" s="121">
        <f>SUM(CO$20:CO$36)+SUM(CQ$20:CQ$36)+SUM(CS$20:CS$36)+SUM(CU$20:CU$36)</f>
        <v>984099.59999999986</v>
      </c>
    </row>
    <row r="133" spans="2:15" x14ac:dyDescent="0.2">
      <c r="C133" s="120" t="s">
        <v>128</v>
      </c>
      <c r="D133" s="121">
        <f>SUM(E$37:E$48)+SUM(G$37:G$48)+SUM(I$37:I$48)+SUM(K$37:K$48)</f>
        <v>1139119.2</v>
      </c>
      <c r="E133" s="121">
        <f>SUM(M$37:M$48)+SUM(O$37:O$48)+SUM(Q$37:Q$48)+SUM(S$37:S$48)</f>
        <v>921625.2</v>
      </c>
      <c r="F133" s="121">
        <f>SUM(U$37:U$48)+SUM(W$37:W$48)+SUM(Y$37:Y$48)+SUM(AA$37:AA$48)</f>
        <v>952045.20000000007</v>
      </c>
      <c r="G133" s="121">
        <f>SUM(AC$37:AC$48)+SUM(AE$37:AE$48)+SUM(AG$37:AG$48)+SUM(AI$37:AI$48)</f>
        <v>1071451.2</v>
      </c>
      <c r="H133" s="121">
        <f>SUM(AK$37:AK$48)+SUM(AM$37:AM$48)+SUM(AO$37:AO$48)+SUM(AQ$37:AQ$48)</f>
        <v>903944.39999999991</v>
      </c>
      <c r="I133" s="121">
        <f>SUM(AS$37:AS$48)+SUM(AU$37:AU$48)+SUM(AW$37:AW$48)+SUM(AY$37:AY$48)</f>
        <v>1008097.2</v>
      </c>
      <c r="J133" s="121">
        <f>SUM(BA$37:BA$48)+SUM(BC$37:BC$48)+SUM(BE$37:BE$48)+SUM(BG$37:BG$48)</f>
        <v>922183.2</v>
      </c>
      <c r="K133" s="121">
        <f>SUM(BI$37:BI$48)+SUM(BK$37:BK$48)+SUM(BM$37:BM$48)+SUM(BO$37:BO$48)</f>
        <v>1055509.2</v>
      </c>
      <c r="L133" s="121">
        <f>SUM(BQ$37:BQ$48)+SUM(BS$37:BS$48)+SUM(BU$37:BU$48)+SUM(BW$37:BW$48)</f>
        <v>925933.2</v>
      </c>
      <c r="M133" s="121">
        <f>SUM(BY$37:BY$48)+SUM(CA$37:CA$48)+SUM(CC$37:CC$48)+SUM(CE$37:CE$48)</f>
        <v>1080850.7999999998</v>
      </c>
      <c r="N133" s="121">
        <f>SUM(CG$37:CG$48)+SUM(CI$37:CI$48)+SUM(CK$37:CK$48)+SUM(CM$37:CM$48)</f>
        <v>1205942.3999999999</v>
      </c>
      <c r="O133" s="121">
        <f>SUM(CO$37:CO$48)+SUM(CQ$37:CQ$48)+SUM(CS$37:CS$48)+SUM(CU$37:CU$48)</f>
        <v>1074661.2000000002</v>
      </c>
    </row>
    <row r="134" spans="2:15" x14ac:dyDescent="0.2">
      <c r="C134" s="120" t="s">
        <v>129</v>
      </c>
      <c r="D134" s="121">
        <f>SUM(E$49:E$70)+SUM(G$49:G$70)+SUM(I$49:I$70)+SUM(K$49:K$70)</f>
        <v>1433505.9870460948</v>
      </c>
      <c r="E134" s="121">
        <f>SUM(M$49:M$70)+SUM(O$49:O$70)+SUM(Q$49:Q$70)+SUM(S$49:S$70)</f>
        <v>929392.39510948444</v>
      </c>
      <c r="F134" s="121">
        <f>SUM(U$49:U$70)+SUM(W$49:W$70)+SUM(Y$49:Y$70)+SUM(AA$49:AA$70)</f>
        <v>1342433.1148902767</v>
      </c>
      <c r="G134" s="121">
        <f>SUM(AC$49:AC$70)+SUM(AE$49:AE$70)+SUM(AG$49:AG$70)+SUM(AI$49:AI$70)</f>
        <v>1130155.9522694298</v>
      </c>
      <c r="H134" s="121">
        <f>SUM(AK$49:AK$70)+SUM(AM$49:AM$70)+SUM(AO$49:AO$70)+SUM(AQ$49:AQ$70)</f>
        <v>1007193.9117360357</v>
      </c>
      <c r="I134" s="121">
        <f>SUM(AS$49:AS$70)+SUM(AU$49:AU$70)+SUM(AW$49:AW$70)+SUM(AY$49:AY$70)</f>
        <v>1018923.0939442189</v>
      </c>
      <c r="J134" s="121">
        <f>SUM(BA$49:BA$70)+SUM(BC$49:BC$70)+SUM(BE$49:BE$70)+SUM(BG$49:BG$70)</f>
        <v>886922.82604826312</v>
      </c>
      <c r="K134" s="121">
        <f>SUM(BI$49:BI$70)+SUM(BK$49:BK$70)+SUM(BM$49:BM$70)+SUM(BO$49:BO$70)</f>
        <v>1031420.1768892743</v>
      </c>
      <c r="L134" s="121">
        <f>SUM(BQ$49:BQ$70)+SUM(BS$49:BS$70)+SUM(BU$49:BU$70)+SUM(BW$49:BW$70)</f>
        <v>1016067.9199884001</v>
      </c>
      <c r="M134" s="121">
        <f>SUM(BY$49:BY$70)+SUM(CA$49:CA$70)+SUM(CC$49:CC$70)+SUM(CE$49:CE$70)</f>
        <v>1052260.0303273571</v>
      </c>
      <c r="N134" s="121">
        <f>SUM(CG$49:CG$70)+SUM(CI$49:CI$70)+SUM(CK$49:CK$70)+SUM(CM$49:CM$70)</f>
        <v>981877.83442429383</v>
      </c>
      <c r="O134" s="121">
        <f>SUM(CO$49:CO$70)+SUM(CQ$49:CQ$70)+SUM(CS$49:CS$70)+SUM(CU$49:CU$70)</f>
        <v>933128.57537672296</v>
      </c>
    </row>
    <row r="135" spans="2:15" x14ac:dyDescent="0.2">
      <c r="C135" s="120" t="s">
        <v>130</v>
      </c>
      <c r="D135" s="121">
        <f>SUM(E$71:E$86)+SUM(G$71:G$86)+SUM(I$71:I$86)+SUM(K$71:K$86)</f>
        <v>603067.10664699564</v>
      </c>
      <c r="E135" s="121">
        <f>SUM(M$71:M$86)+SUM(O$71:O$86)+SUM(Q$71:Q$86)+SUM(S$71:S$86)</f>
        <v>613832.65974335955</v>
      </c>
      <c r="F135" s="121">
        <f>SUM(U$71:U$86)+SUM(W$71:W$86)+SUM(Y$71:Y$86)+SUM(AA$71:AA$86)</f>
        <v>533629.27780413814</v>
      </c>
      <c r="G135" s="121">
        <f>SUM(AC$71:AC$86)+SUM(AE$71:AE$86)+SUM(AG$71:AG$86)+SUM(AI$71:AI$86)</f>
        <v>398428.73565633636</v>
      </c>
      <c r="H135" s="121">
        <f>SUM(AK$71:AK$86)+SUM(AM$71:AM$86)+SUM(AO$71:AO$86)+SUM(AQ$71:AQ$86)</f>
        <v>83088.902511568653</v>
      </c>
      <c r="I135" s="121">
        <f>SUM(AS$71:AS$86)+SUM(AU$71:AU$86)+SUM(AW$71:AW$86)+SUM(AY$71:AY$86)</f>
        <v>77221.975626382846</v>
      </c>
      <c r="J135" s="121">
        <f>SUM(BA$71:BA$86)+SUM(BC$71:BC$86)+SUM(BE$71:BE$86)+SUM(BG$71:BG$86)</f>
        <v>80519.278115486915</v>
      </c>
      <c r="K135" s="121">
        <f>SUM(BI$71:BI$86)+SUM(BK$71:BK$86)+SUM(BM$71:BM$86)+SUM(BO$71:BO$86)</f>
        <v>81145.799880106701</v>
      </c>
      <c r="L135" s="121">
        <f>SUM(BQ$71:BQ$86)+SUM(BS$71:BS$86)+SUM(BU$71:BU$86)+SUM(BW$71:BW$86)</f>
        <v>80474.354743879972</v>
      </c>
      <c r="M135" s="121">
        <f>SUM(BY$71:BY$86)+SUM(CA$71:CA$86)+SUM(CC$71:CC$86)+SUM(CE$71:CE$86)</f>
        <v>78305.062113812135</v>
      </c>
      <c r="N135" s="121">
        <f>SUM(CG$71:CG$86)+SUM(CI$71:CI$86)+SUM(CK$71:CK$86)+SUM(CM$71:CM$86)</f>
        <v>80137.390069583009</v>
      </c>
      <c r="O135" s="121">
        <f>SUM(CO$71:CO$86)+SUM(CQ$71:CQ$86)+SUM(CS$71:CS$86)+SUM(CU$71:CU$86)</f>
        <v>87932.462689207707</v>
      </c>
    </row>
    <row r="136" spans="2:15" x14ac:dyDescent="0.2">
      <c r="C136" s="120" t="s">
        <v>131</v>
      </c>
      <c r="D136" s="121">
        <f>SUM(E$87:E$94)+SUM(G$87:G$94)+SUM(I$87:I$94)+SUM(K$87:K$94)</f>
        <v>883280.14935202175</v>
      </c>
      <c r="E136" s="121">
        <f>SUM(M$87:M$94)+SUM(O$87:O$94)+SUM(Q$87:Q$94)+SUM(S$87:S$94)</f>
        <v>876353.76361891022</v>
      </c>
      <c r="F136" s="121">
        <f>SUM(U$87:U$94)+SUM(W$87:W$94)+SUM(Y$87:Y$94)+SUM(AA$87:AA$94)</f>
        <v>999119.48811820452</v>
      </c>
      <c r="G136" s="121">
        <f>SUM(AC$87:AC$94)+SUM(AE$87:AE$94)+SUM(AG$87:AG$94)+SUM(AI$87:AI$94)</f>
        <v>631990.4975095056</v>
      </c>
      <c r="H136" s="121">
        <f>SUM(AK$87:AK$94)+SUM(AM$87:AM$94)+SUM(AO$87:AO$94)+SUM(AQ$87:AQ$94)</f>
        <v>114525.84851916466</v>
      </c>
      <c r="I136" s="121">
        <f>SUM(AS$87:AS$94)+SUM(AU$87:AU$94)+SUM(AW$87:AW$94)+SUM(AY$87:AY$94)</f>
        <v>161144.45265007333</v>
      </c>
      <c r="J136" s="121">
        <f>SUM(BA$87:BA$94)+SUM(BC$87:BC$94)+SUM(BE$87:BE$94)+SUM(BG$87:BG$94)</f>
        <v>128639.87308967498</v>
      </c>
      <c r="K136" s="121">
        <f>SUM(BI$87:BI$94)+SUM(BK$87:BK$94)+SUM(BM$87:BM$94)+SUM(BO$87:BO$94)</f>
        <v>128164.12528576065</v>
      </c>
      <c r="L136" s="121">
        <f>SUM(BQ$87:BQ$94)+SUM(BS$87:BS$94)+SUM(BU$87:BU$94)+SUM(BW$87:BW$94)</f>
        <v>138113.66593824083</v>
      </c>
      <c r="M136" s="121">
        <f>SUM(BY$87:BY$94)+SUM(CA$87:CA$94)+SUM(CC$87:CC$94)+SUM(CE$87:CE$94)</f>
        <v>150089.48181586716</v>
      </c>
      <c r="N136" s="121">
        <f>SUM(CG$87:CG$94)+SUM(CI$87:CI$94)+SUM(CK$87:CK$94)+SUM(CM$87:CM$94)</f>
        <v>132440.81046499766</v>
      </c>
      <c r="O136" s="121">
        <f>SUM(CO$87:CO$94)+SUM(CQ$87:CQ$94)+SUM(CS$87:CS$94)+SUM(CU$87:CU$94)</f>
        <v>124331.40784524129</v>
      </c>
    </row>
    <row r="137" spans="2:15" x14ac:dyDescent="0.2">
      <c r="C137" s="120" t="s">
        <v>132</v>
      </c>
      <c r="D137" s="121">
        <f>SUM(E$95:E$105)+SUM(G$95:G$105)+SUM(I$95:I$105)+SUM(K$95:K$105)</f>
        <v>1423459.4180760807</v>
      </c>
      <c r="E137" s="121">
        <f>SUM(M$95:M$105)+SUM(O$95:O$105)+SUM(Q$95:Q$105)+SUM(S$95:S$105)</f>
        <v>1525342.6318932823</v>
      </c>
      <c r="F137" s="121">
        <f>SUM(U$95:U$105)+SUM(W$95:W$105)+SUM(Y$95:Y$105)+SUM(AA$95:AA$105)</f>
        <v>1484656.7581543094</v>
      </c>
      <c r="G137" s="121">
        <f>SUM(AC$95:AC$105)+SUM(AE$95:AE$105)+SUM(AG$95:AG$105)+SUM(AI$95:AI$105)</f>
        <v>887497.84736344311</v>
      </c>
      <c r="H137" s="121">
        <f>SUM(AK$95:AK$105)+SUM(AM$95:AM$105)+SUM(AO$95:AO$105)+SUM(AQ$95:AQ$105)</f>
        <v>198766.66798213948</v>
      </c>
      <c r="I137" s="121">
        <f>SUM(AS$95:AS$105)+SUM(AU$95:AU$105)+SUM(AW$95:AW$105)+SUM(AY$95:AY$105)</f>
        <v>173333.67305419498</v>
      </c>
      <c r="J137" s="121">
        <f>SUM(BA$95:BA$105)+SUM(BC$95:BC$105)+SUM(BE$95:BE$105)+SUM(BG$95:BG$105)</f>
        <v>203068.36560004618</v>
      </c>
      <c r="K137" s="121">
        <f>SUM(BI$95:BI$105)+SUM(BK$95:BK$105)+SUM(BM$95:BM$105)+SUM(BO$95:BO$105)</f>
        <v>185388.14952268061</v>
      </c>
      <c r="L137" s="121">
        <f>SUM(BQ$95:BQ$105)+SUM(BS$95:BS$105)+SUM(BU$95:BU$105)+SUM(BW$95:BW$105)</f>
        <v>184503.85592926666</v>
      </c>
      <c r="M137" s="121">
        <f>SUM(BY$95:BY$105)+SUM(CA$95:CA$105)+SUM(CC$95:CC$105)+SUM(CE$95:CE$105)</f>
        <v>181066.04881196024</v>
      </c>
      <c r="N137" s="121">
        <f>SUM(CG$95:CG$105)+SUM(CI$95:CI$105)+SUM(CK$95:CK$105)+SUM(CM$95:CM$105)</f>
        <v>196617.03489488599</v>
      </c>
      <c r="O137" s="121">
        <f>SUM(CO$95:CO$105)+SUM(CQ$95:CQ$105)+SUM(CS$95:CS$105)+SUM(CU$95:CU$105)</f>
        <v>177724.26769852813</v>
      </c>
    </row>
    <row r="138" spans="2:15" x14ac:dyDescent="0.2">
      <c r="C138" s="120" t="s">
        <v>278</v>
      </c>
      <c r="D138">
        <f t="shared" ref="D138:O138" si="2">SUM(D$131:D$137)</f>
        <v>6813993.8611211926</v>
      </c>
      <c r="E138">
        <f t="shared" si="2"/>
        <v>6071994.6503650378</v>
      </c>
      <c r="F138">
        <f t="shared" si="2"/>
        <v>6538246.6389669282</v>
      </c>
      <c r="G138">
        <f t="shared" si="2"/>
        <v>5394147.4327987144</v>
      </c>
      <c r="H138">
        <f t="shared" si="2"/>
        <v>3518881.3307489087</v>
      </c>
      <c r="I138">
        <f t="shared" si="2"/>
        <v>3745102.79527487</v>
      </c>
      <c r="J138">
        <f t="shared" si="2"/>
        <v>3392997.9428534708</v>
      </c>
      <c r="K138">
        <f t="shared" si="2"/>
        <v>3865449.4515778227</v>
      </c>
      <c r="L138">
        <f t="shared" si="2"/>
        <v>3463366.9965997874</v>
      </c>
      <c r="M138">
        <f t="shared" si="2"/>
        <v>3864359.4230689965</v>
      </c>
      <c r="N138">
        <f t="shared" si="2"/>
        <v>3844963.8698537601</v>
      </c>
      <c r="O138">
        <f t="shared" si="2"/>
        <v>3768385.5136097004</v>
      </c>
    </row>
  </sheetData>
  <pageMargins left="0.75" right="0.75" top="1" bottom="1" header="0.5" footer="0.5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U138"/>
  <sheetViews>
    <sheetView workbookViewId="0"/>
  </sheetViews>
  <sheetFormatPr defaultRowHeight="12.75" x14ac:dyDescent="0.2"/>
  <sheetData>
    <row r="1" spans="1:99" x14ac:dyDescent="0.2">
      <c r="A1" s="117"/>
    </row>
    <row r="2" spans="1:99" x14ac:dyDescent="0.2">
      <c r="B2" s="1" t="s">
        <v>272</v>
      </c>
    </row>
    <row r="3" spans="1:99" x14ac:dyDescent="0.2">
      <c r="B3" s="118" t="s">
        <v>273</v>
      </c>
    </row>
    <row r="4" spans="1:99" x14ac:dyDescent="0.2">
      <c r="A4" s="117"/>
      <c r="B4" s="117"/>
      <c r="C4" s="116" t="s">
        <v>274</v>
      </c>
      <c r="D4" s="116" t="s">
        <v>92</v>
      </c>
      <c r="E4" s="117"/>
      <c r="F4" s="117"/>
      <c r="G4" s="117"/>
      <c r="H4" s="117"/>
      <c r="I4" s="117"/>
      <c r="J4" s="117"/>
      <c r="K4" s="117"/>
      <c r="L4" s="116" t="s">
        <v>93</v>
      </c>
      <c r="M4" s="117"/>
      <c r="N4" s="117"/>
      <c r="O4" s="117"/>
      <c r="P4" s="117"/>
      <c r="Q4" s="117"/>
      <c r="R4" s="117"/>
      <c r="S4" s="117"/>
      <c r="T4" s="116" t="s">
        <v>94</v>
      </c>
      <c r="U4" s="117"/>
      <c r="V4" s="117"/>
      <c r="W4" s="117"/>
      <c r="X4" s="117"/>
      <c r="Y4" s="117"/>
      <c r="Z4" s="117"/>
      <c r="AA4" s="117"/>
      <c r="AB4" s="116" t="s">
        <v>95</v>
      </c>
      <c r="AC4" s="117"/>
      <c r="AD4" s="117"/>
      <c r="AE4" s="117"/>
      <c r="AF4" s="117"/>
      <c r="AG4" s="117"/>
      <c r="AH4" s="117"/>
      <c r="AI4" s="117"/>
      <c r="AJ4" s="116" t="s">
        <v>96</v>
      </c>
      <c r="AK4" s="117"/>
      <c r="AL4" s="117"/>
      <c r="AM4" s="117"/>
      <c r="AN4" s="117"/>
      <c r="AO4" s="117"/>
      <c r="AP4" s="117"/>
      <c r="AQ4" s="117"/>
      <c r="AR4" s="116" t="s">
        <v>97</v>
      </c>
      <c r="AS4" s="117"/>
      <c r="AT4" s="117"/>
      <c r="AU4" s="117"/>
      <c r="AV4" s="117"/>
      <c r="AW4" s="117"/>
      <c r="AX4" s="117"/>
      <c r="AY4" s="117"/>
      <c r="AZ4" s="116" t="s">
        <v>98</v>
      </c>
      <c r="BA4" s="117"/>
      <c r="BB4" s="117"/>
      <c r="BC4" s="117"/>
      <c r="BD4" s="117"/>
      <c r="BE4" s="117"/>
      <c r="BF4" s="117"/>
      <c r="BG4" s="117"/>
      <c r="BH4" s="116" t="s">
        <v>99</v>
      </c>
      <c r="BI4" s="117"/>
      <c r="BJ4" s="117"/>
      <c r="BK4" s="117"/>
      <c r="BL4" s="117"/>
      <c r="BM4" s="117"/>
      <c r="BN4" s="117"/>
      <c r="BO4" s="117"/>
      <c r="BP4" s="116" t="s">
        <v>100</v>
      </c>
      <c r="BQ4" s="117"/>
      <c r="BR4" s="117"/>
      <c r="BS4" s="117"/>
      <c r="BT4" s="117"/>
      <c r="BU4" s="117"/>
      <c r="BV4" s="117"/>
      <c r="BW4" s="117"/>
      <c r="BX4" s="116" t="s">
        <v>101</v>
      </c>
      <c r="BY4" s="117"/>
      <c r="BZ4" s="117"/>
      <c r="CA4" s="117"/>
      <c r="CB4" s="117"/>
      <c r="CC4" s="117"/>
      <c r="CD4" s="117"/>
      <c r="CE4" s="117"/>
      <c r="CF4" s="116" t="s">
        <v>102</v>
      </c>
      <c r="CG4" s="117"/>
      <c r="CH4" s="117"/>
      <c r="CI4" s="117"/>
      <c r="CJ4" s="117"/>
      <c r="CK4" s="117"/>
      <c r="CL4" s="117"/>
      <c r="CM4" s="117"/>
      <c r="CN4" s="116" t="s">
        <v>103</v>
      </c>
      <c r="CO4" s="117"/>
      <c r="CP4" s="117"/>
      <c r="CQ4" s="117"/>
      <c r="CR4" s="117"/>
      <c r="CS4" s="117"/>
      <c r="CT4" s="117"/>
      <c r="CU4" s="117"/>
    </row>
    <row r="5" spans="1:99" x14ac:dyDescent="0.2">
      <c r="B5" s="116" t="s">
        <v>167</v>
      </c>
      <c r="C5" s="116" t="s">
        <v>275</v>
      </c>
      <c r="D5" s="116">
        <v>1</v>
      </c>
      <c r="E5" s="116"/>
      <c r="F5" s="116">
        <v>2</v>
      </c>
      <c r="G5" s="116"/>
      <c r="H5" s="116">
        <v>3</v>
      </c>
      <c r="I5" s="116"/>
      <c r="J5" s="116">
        <v>4</v>
      </c>
      <c r="K5" s="116"/>
      <c r="L5" s="116">
        <v>1</v>
      </c>
      <c r="M5" s="116"/>
      <c r="N5" s="116">
        <v>2</v>
      </c>
      <c r="O5" s="116"/>
      <c r="P5" s="116">
        <v>3</v>
      </c>
      <c r="Q5" s="116"/>
      <c r="R5" s="116">
        <v>4</v>
      </c>
      <c r="S5" s="116"/>
      <c r="T5" s="116">
        <v>1</v>
      </c>
      <c r="U5" s="116"/>
      <c r="V5" s="116">
        <v>2</v>
      </c>
      <c r="W5" s="116"/>
      <c r="X5" s="116">
        <v>3</v>
      </c>
      <c r="Y5" s="116"/>
      <c r="Z5" s="116">
        <v>4</v>
      </c>
      <c r="AA5" s="116"/>
      <c r="AB5" s="116">
        <v>1</v>
      </c>
      <c r="AC5" s="116"/>
      <c r="AD5" s="116">
        <v>2</v>
      </c>
      <c r="AE5" s="116"/>
      <c r="AF5" s="116">
        <v>3</v>
      </c>
      <c r="AG5" s="116"/>
      <c r="AH5" s="116">
        <v>4</v>
      </c>
      <c r="AI5" s="116"/>
      <c r="AJ5" s="116">
        <v>1</v>
      </c>
      <c r="AK5" s="116"/>
      <c r="AL5" s="116">
        <v>2</v>
      </c>
      <c r="AM5" s="116"/>
      <c r="AN5" s="116">
        <v>3</v>
      </c>
      <c r="AO5" s="116"/>
      <c r="AP5" s="116">
        <v>4</v>
      </c>
      <c r="AQ5" s="116"/>
      <c r="AR5" s="116">
        <v>1</v>
      </c>
      <c r="AS5" s="116"/>
      <c r="AT5" s="116">
        <v>2</v>
      </c>
      <c r="AU5" s="116"/>
      <c r="AV5" s="116">
        <v>3</v>
      </c>
      <c r="AW5" s="116"/>
      <c r="AX5" s="116">
        <v>4</v>
      </c>
      <c r="AY5" s="116"/>
      <c r="AZ5" s="116">
        <v>1</v>
      </c>
      <c r="BA5" s="116"/>
      <c r="BB5" s="116">
        <v>2</v>
      </c>
      <c r="BC5" s="116"/>
      <c r="BD5" s="116">
        <v>3</v>
      </c>
      <c r="BE5" s="116"/>
      <c r="BF5" s="116">
        <v>4</v>
      </c>
      <c r="BG5" s="116"/>
      <c r="BH5" s="116">
        <v>1</v>
      </c>
      <c r="BI5" s="116"/>
      <c r="BJ5" s="116">
        <v>2</v>
      </c>
      <c r="BK5" s="116"/>
      <c r="BL5" s="116">
        <v>3</v>
      </c>
      <c r="BM5" s="116"/>
      <c r="BN5" s="116">
        <v>4</v>
      </c>
      <c r="BO5" s="116"/>
      <c r="BP5" s="116">
        <v>1</v>
      </c>
      <c r="BQ5" s="116"/>
      <c r="BR5" s="116">
        <v>2</v>
      </c>
      <c r="BS5" s="116"/>
      <c r="BT5" s="116">
        <v>3</v>
      </c>
      <c r="BU5" s="116"/>
      <c r="BV5" s="116">
        <v>4</v>
      </c>
      <c r="BW5" s="116"/>
      <c r="BX5" s="116">
        <v>1</v>
      </c>
      <c r="BY5" s="116"/>
      <c r="BZ5" s="116">
        <v>2</v>
      </c>
      <c r="CA5" s="116"/>
      <c r="CB5" s="116">
        <v>3</v>
      </c>
      <c r="CC5" s="116"/>
      <c r="CD5" s="116">
        <v>4</v>
      </c>
      <c r="CE5" s="116"/>
      <c r="CF5" s="116">
        <v>1</v>
      </c>
      <c r="CG5" s="116"/>
      <c r="CH5" s="116">
        <v>2</v>
      </c>
      <c r="CI5" s="116"/>
      <c r="CJ5" s="116">
        <v>3</v>
      </c>
      <c r="CK5" s="116"/>
      <c r="CL5" s="116">
        <v>4</v>
      </c>
      <c r="CM5" s="116"/>
      <c r="CN5" s="116">
        <v>1</v>
      </c>
      <c r="CO5" s="116"/>
      <c r="CP5" s="116">
        <v>2</v>
      </c>
      <c r="CQ5" s="116"/>
      <c r="CR5" s="116">
        <v>3</v>
      </c>
      <c r="CS5" s="116"/>
      <c r="CT5" s="116">
        <v>4</v>
      </c>
      <c r="CU5" s="116"/>
    </row>
    <row r="6" spans="1:99" x14ac:dyDescent="0.2">
      <c r="B6" s="116" t="s">
        <v>126</v>
      </c>
      <c r="C6" s="116" t="s">
        <v>172</v>
      </c>
      <c r="D6">
        <v>5</v>
      </c>
      <c r="E6">
        <v>2892</v>
      </c>
      <c r="F6">
        <v>4</v>
      </c>
      <c r="G6">
        <v>2313.6</v>
      </c>
      <c r="H6">
        <v>6</v>
      </c>
      <c r="I6">
        <v>3470.3999999999996</v>
      </c>
      <c r="J6">
        <v>4</v>
      </c>
      <c r="K6">
        <v>2313.6</v>
      </c>
      <c r="L6">
        <v>6</v>
      </c>
      <c r="M6">
        <v>3470.3999999999996</v>
      </c>
      <c r="N6">
        <v>6</v>
      </c>
      <c r="O6">
        <v>3470.3999999999996</v>
      </c>
      <c r="P6">
        <v>7</v>
      </c>
      <c r="Q6">
        <v>4048.7999999999997</v>
      </c>
      <c r="R6">
        <v>6</v>
      </c>
      <c r="S6">
        <v>3470.3999999999996</v>
      </c>
      <c r="T6">
        <v>5</v>
      </c>
      <c r="U6">
        <v>2892</v>
      </c>
      <c r="V6">
        <v>6</v>
      </c>
      <c r="W6">
        <v>3470.3999999999996</v>
      </c>
      <c r="X6">
        <v>8</v>
      </c>
      <c r="Y6">
        <v>4627.2</v>
      </c>
      <c r="Z6">
        <v>5</v>
      </c>
      <c r="AA6">
        <v>2892</v>
      </c>
      <c r="AB6">
        <v>7</v>
      </c>
      <c r="AC6">
        <v>4048.7999999999997</v>
      </c>
      <c r="AD6">
        <v>7</v>
      </c>
      <c r="AE6">
        <v>4048.7999999999997</v>
      </c>
      <c r="AF6">
        <v>6</v>
      </c>
      <c r="AG6">
        <v>3470.3999999999996</v>
      </c>
      <c r="AH6">
        <v>5</v>
      </c>
      <c r="AI6">
        <v>2892</v>
      </c>
      <c r="AJ6">
        <v>9</v>
      </c>
      <c r="AK6">
        <v>5205.5999999999995</v>
      </c>
      <c r="AL6">
        <v>7</v>
      </c>
      <c r="AM6">
        <v>4048.7999999999997</v>
      </c>
      <c r="AN6">
        <v>6</v>
      </c>
      <c r="AO6">
        <v>3470.3999999999996</v>
      </c>
      <c r="AP6">
        <v>6</v>
      </c>
      <c r="AQ6">
        <v>3470.3999999999996</v>
      </c>
      <c r="AR6">
        <v>6</v>
      </c>
      <c r="AS6">
        <v>3470.3999999999996</v>
      </c>
      <c r="AT6">
        <v>6</v>
      </c>
      <c r="AU6">
        <v>3470.3999999999996</v>
      </c>
      <c r="AV6">
        <v>6</v>
      </c>
      <c r="AW6">
        <v>3470.3999999999996</v>
      </c>
      <c r="AX6">
        <v>5</v>
      </c>
      <c r="AY6">
        <v>2892</v>
      </c>
      <c r="AZ6">
        <v>9</v>
      </c>
      <c r="BA6">
        <v>5205.5999999999995</v>
      </c>
      <c r="BB6">
        <v>7</v>
      </c>
      <c r="BC6">
        <v>4048.7999999999997</v>
      </c>
      <c r="BD6">
        <v>7</v>
      </c>
      <c r="BE6">
        <v>4048.7999999999997</v>
      </c>
      <c r="BF6">
        <v>6</v>
      </c>
      <c r="BG6">
        <v>3470.3999999999996</v>
      </c>
      <c r="BH6">
        <v>6</v>
      </c>
      <c r="BI6">
        <v>3470.3999999999996</v>
      </c>
      <c r="BJ6">
        <v>8</v>
      </c>
      <c r="BK6">
        <v>4627.2</v>
      </c>
      <c r="BL6">
        <v>5</v>
      </c>
      <c r="BM6">
        <v>2892</v>
      </c>
      <c r="BN6">
        <v>8</v>
      </c>
      <c r="BO6">
        <v>4627.2</v>
      </c>
      <c r="BP6">
        <v>10</v>
      </c>
      <c r="BQ6">
        <v>5784</v>
      </c>
      <c r="BR6">
        <v>7</v>
      </c>
      <c r="BS6">
        <v>4048.7999999999997</v>
      </c>
      <c r="BT6">
        <v>8</v>
      </c>
      <c r="BU6">
        <v>4627.2</v>
      </c>
      <c r="BV6">
        <v>7</v>
      </c>
      <c r="BW6">
        <v>4048.7999999999997</v>
      </c>
      <c r="BX6">
        <v>6</v>
      </c>
      <c r="BY6">
        <v>3470.3999999999996</v>
      </c>
      <c r="BZ6">
        <v>8</v>
      </c>
      <c r="CA6">
        <v>4627.2</v>
      </c>
      <c r="CB6">
        <v>5</v>
      </c>
      <c r="CC6">
        <v>2892</v>
      </c>
      <c r="CD6">
        <v>6</v>
      </c>
      <c r="CE6">
        <v>3470.3999999999996</v>
      </c>
      <c r="CF6">
        <v>10</v>
      </c>
      <c r="CG6">
        <v>5784</v>
      </c>
      <c r="CH6">
        <v>8</v>
      </c>
      <c r="CI6">
        <v>4627.2</v>
      </c>
      <c r="CJ6">
        <v>8</v>
      </c>
      <c r="CK6">
        <v>4627.2</v>
      </c>
      <c r="CL6">
        <v>9</v>
      </c>
      <c r="CM6">
        <v>5205.5999999999995</v>
      </c>
      <c r="CN6">
        <v>8</v>
      </c>
      <c r="CO6">
        <v>4627.2</v>
      </c>
      <c r="CP6">
        <v>10</v>
      </c>
      <c r="CQ6">
        <v>5784</v>
      </c>
      <c r="CR6">
        <v>9</v>
      </c>
      <c r="CS6">
        <v>5205.5999999999995</v>
      </c>
      <c r="CT6">
        <v>5</v>
      </c>
      <c r="CU6">
        <v>2892</v>
      </c>
    </row>
    <row r="7" spans="1:99" x14ac:dyDescent="0.2">
      <c r="C7" s="116" t="s">
        <v>173</v>
      </c>
      <c r="D7">
        <v>5</v>
      </c>
      <c r="E7">
        <v>3942</v>
      </c>
      <c r="F7">
        <v>4</v>
      </c>
      <c r="G7">
        <v>3153.6</v>
      </c>
      <c r="H7">
        <v>5</v>
      </c>
      <c r="I7">
        <v>3942</v>
      </c>
      <c r="J7">
        <v>4</v>
      </c>
      <c r="K7">
        <v>3153.6</v>
      </c>
      <c r="L7">
        <v>6</v>
      </c>
      <c r="M7">
        <v>4730.3999999999996</v>
      </c>
      <c r="N7">
        <v>7</v>
      </c>
      <c r="O7">
        <v>5518.8</v>
      </c>
      <c r="P7">
        <v>7</v>
      </c>
      <c r="Q7">
        <v>5518.8</v>
      </c>
      <c r="R7">
        <v>5</v>
      </c>
      <c r="S7">
        <v>3942</v>
      </c>
      <c r="T7">
        <v>6</v>
      </c>
      <c r="U7">
        <v>4730.3999999999996</v>
      </c>
      <c r="V7">
        <v>5</v>
      </c>
      <c r="W7">
        <v>3942</v>
      </c>
      <c r="X7">
        <v>8</v>
      </c>
      <c r="Y7">
        <v>6307.2</v>
      </c>
      <c r="Z7">
        <v>6</v>
      </c>
      <c r="AA7">
        <v>4730.3999999999996</v>
      </c>
      <c r="AB7">
        <v>7</v>
      </c>
      <c r="AC7">
        <v>5518.8</v>
      </c>
      <c r="AD7">
        <v>7</v>
      </c>
      <c r="AE7">
        <v>5518.8</v>
      </c>
      <c r="AF7">
        <v>5</v>
      </c>
      <c r="AG7">
        <v>3942</v>
      </c>
      <c r="AH7">
        <v>5</v>
      </c>
      <c r="AI7">
        <v>3942</v>
      </c>
      <c r="AJ7">
        <v>8</v>
      </c>
      <c r="AK7">
        <v>6307.2</v>
      </c>
      <c r="AL7">
        <v>7</v>
      </c>
      <c r="AM7">
        <v>5518.8</v>
      </c>
      <c r="AN7">
        <v>6</v>
      </c>
      <c r="AO7">
        <v>4730.3999999999996</v>
      </c>
      <c r="AP7">
        <v>6</v>
      </c>
      <c r="AQ7">
        <v>4730.3999999999996</v>
      </c>
      <c r="AR7">
        <v>6</v>
      </c>
      <c r="AS7">
        <v>4730.3999999999996</v>
      </c>
      <c r="AT7">
        <v>5</v>
      </c>
      <c r="AU7">
        <v>3942</v>
      </c>
      <c r="AV7">
        <v>5</v>
      </c>
      <c r="AW7">
        <v>3942</v>
      </c>
      <c r="AX7">
        <v>5</v>
      </c>
      <c r="AY7">
        <v>3942</v>
      </c>
      <c r="AZ7">
        <v>8</v>
      </c>
      <c r="BA7">
        <v>6307.2</v>
      </c>
      <c r="BB7">
        <v>6</v>
      </c>
      <c r="BC7">
        <v>4730.3999999999996</v>
      </c>
      <c r="BD7">
        <v>7</v>
      </c>
      <c r="BE7">
        <v>5518.8</v>
      </c>
      <c r="BF7">
        <v>6</v>
      </c>
      <c r="BG7">
        <v>4730.3999999999996</v>
      </c>
      <c r="BH7">
        <v>6</v>
      </c>
      <c r="BI7">
        <v>4730.3999999999996</v>
      </c>
      <c r="BJ7">
        <v>7</v>
      </c>
      <c r="BK7">
        <v>5518.8</v>
      </c>
      <c r="BL7">
        <v>5</v>
      </c>
      <c r="BM7">
        <v>3942</v>
      </c>
      <c r="BN7">
        <v>9</v>
      </c>
      <c r="BO7">
        <v>7095.5999999999995</v>
      </c>
      <c r="BP7">
        <v>8</v>
      </c>
      <c r="BQ7">
        <v>6307.2</v>
      </c>
      <c r="BR7">
        <v>7</v>
      </c>
      <c r="BS7">
        <v>5518.8</v>
      </c>
      <c r="BT7">
        <v>8</v>
      </c>
      <c r="BU7">
        <v>6307.2</v>
      </c>
      <c r="BV7">
        <v>7</v>
      </c>
      <c r="BW7">
        <v>5518.8</v>
      </c>
      <c r="BX7">
        <v>7</v>
      </c>
      <c r="BY7">
        <v>5518.8</v>
      </c>
      <c r="BZ7">
        <v>7</v>
      </c>
      <c r="CA7">
        <v>5518.8</v>
      </c>
      <c r="CB7">
        <v>6</v>
      </c>
      <c r="CC7">
        <v>4730.3999999999996</v>
      </c>
      <c r="CD7">
        <v>5</v>
      </c>
      <c r="CE7">
        <v>3942</v>
      </c>
      <c r="CF7">
        <v>9</v>
      </c>
      <c r="CG7">
        <v>7095.5999999999995</v>
      </c>
      <c r="CH7">
        <v>8</v>
      </c>
      <c r="CI7">
        <v>6307.2</v>
      </c>
      <c r="CJ7">
        <v>9</v>
      </c>
      <c r="CK7">
        <v>7095.5999999999995</v>
      </c>
      <c r="CL7">
        <v>8</v>
      </c>
      <c r="CM7">
        <v>6307.2</v>
      </c>
      <c r="CN7">
        <v>9</v>
      </c>
      <c r="CO7">
        <v>7095.5999999999995</v>
      </c>
      <c r="CP7">
        <v>9</v>
      </c>
      <c r="CQ7">
        <v>7095.5999999999995</v>
      </c>
      <c r="CR7">
        <v>8</v>
      </c>
      <c r="CS7">
        <v>6307.2</v>
      </c>
      <c r="CT7">
        <v>5</v>
      </c>
      <c r="CU7">
        <v>3942</v>
      </c>
    </row>
    <row r="8" spans="1:99" x14ac:dyDescent="0.2">
      <c r="C8" s="116" t="s">
        <v>174</v>
      </c>
      <c r="D8">
        <v>4</v>
      </c>
      <c r="E8">
        <v>1238.3999999999999</v>
      </c>
      <c r="F8">
        <v>4</v>
      </c>
      <c r="G8">
        <v>1238.3999999999999</v>
      </c>
      <c r="H8">
        <v>5</v>
      </c>
      <c r="I8">
        <v>1547.9999999999998</v>
      </c>
      <c r="J8">
        <v>4</v>
      </c>
      <c r="K8">
        <v>1238.3999999999999</v>
      </c>
      <c r="L8">
        <v>7</v>
      </c>
      <c r="M8">
        <v>2167.1999999999998</v>
      </c>
      <c r="N8">
        <v>7</v>
      </c>
      <c r="O8">
        <v>2167.1999999999998</v>
      </c>
      <c r="P8">
        <v>8</v>
      </c>
      <c r="Q8">
        <v>2476.7999999999997</v>
      </c>
      <c r="R8">
        <v>6</v>
      </c>
      <c r="S8">
        <v>1857.6</v>
      </c>
      <c r="T8">
        <v>6</v>
      </c>
      <c r="U8">
        <v>1857.6</v>
      </c>
      <c r="V8">
        <v>6</v>
      </c>
      <c r="W8">
        <v>1857.6</v>
      </c>
      <c r="X8">
        <v>9</v>
      </c>
      <c r="Y8">
        <v>2786.3999999999996</v>
      </c>
      <c r="Z8">
        <v>5</v>
      </c>
      <c r="AA8">
        <v>1547.9999999999998</v>
      </c>
      <c r="AB8">
        <v>8</v>
      </c>
      <c r="AC8">
        <v>2476.7999999999997</v>
      </c>
      <c r="AD8">
        <v>6</v>
      </c>
      <c r="AE8">
        <v>1857.6</v>
      </c>
      <c r="AF8">
        <v>5</v>
      </c>
      <c r="AG8">
        <v>1547.9999999999998</v>
      </c>
      <c r="AH8">
        <v>6</v>
      </c>
      <c r="AI8">
        <v>1857.6</v>
      </c>
      <c r="AJ8">
        <v>9</v>
      </c>
      <c r="AK8">
        <v>2786.3999999999996</v>
      </c>
      <c r="AL8">
        <v>8</v>
      </c>
      <c r="AM8">
        <v>2476.7999999999997</v>
      </c>
      <c r="AN8">
        <v>6</v>
      </c>
      <c r="AO8">
        <v>1857.6</v>
      </c>
      <c r="AP8">
        <v>5</v>
      </c>
      <c r="AQ8">
        <v>1547.9999999999998</v>
      </c>
      <c r="AR8">
        <v>6</v>
      </c>
      <c r="AS8">
        <v>1857.6</v>
      </c>
      <c r="AT8">
        <v>6</v>
      </c>
      <c r="AU8">
        <v>1857.6</v>
      </c>
      <c r="AV8">
        <v>6</v>
      </c>
      <c r="AW8">
        <v>1857.6</v>
      </c>
      <c r="AX8">
        <v>5</v>
      </c>
      <c r="AY8">
        <v>1547.9999999999998</v>
      </c>
      <c r="AZ8">
        <v>9</v>
      </c>
      <c r="BA8">
        <v>2786.3999999999996</v>
      </c>
      <c r="BB8">
        <v>6</v>
      </c>
      <c r="BC8">
        <v>1857.6</v>
      </c>
      <c r="BD8">
        <v>7</v>
      </c>
      <c r="BE8">
        <v>2167.1999999999998</v>
      </c>
      <c r="BF8">
        <v>6</v>
      </c>
      <c r="BG8">
        <v>1857.6</v>
      </c>
      <c r="BH8">
        <v>6</v>
      </c>
      <c r="BI8">
        <v>1857.6</v>
      </c>
      <c r="BJ8">
        <v>8</v>
      </c>
      <c r="BK8">
        <v>2476.7999999999997</v>
      </c>
      <c r="BL8">
        <v>5</v>
      </c>
      <c r="BM8">
        <v>1547.9999999999998</v>
      </c>
      <c r="BN8">
        <v>9</v>
      </c>
      <c r="BO8">
        <v>2786.3999999999996</v>
      </c>
      <c r="BP8">
        <v>9</v>
      </c>
      <c r="BQ8">
        <v>2786.3999999999996</v>
      </c>
      <c r="BR8">
        <v>7</v>
      </c>
      <c r="BS8">
        <v>2167.1999999999998</v>
      </c>
      <c r="BT8">
        <v>9</v>
      </c>
      <c r="BU8">
        <v>2786.3999999999996</v>
      </c>
      <c r="BV8">
        <v>6</v>
      </c>
      <c r="BW8">
        <v>1857.6</v>
      </c>
      <c r="BX8">
        <v>6</v>
      </c>
      <c r="BY8">
        <v>1857.6</v>
      </c>
      <c r="BZ8">
        <v>7</v>
      </c>
      <c r="CA8">
        <v>2167.1999999999998</v>
      </c>
      <c r="CB8">
        <v>5</v>
      </c>
      <c r="CC8">
        <v>1547.9999999999998</v>
      </c>
      <c r="CD8">
        <v>6</v>
      </c>
      <c r="CE8">
        <v>1857.6</v>
      </c>
      <c r="CF8">
        <v>10</v>
      </c>
      <c r="CG8">
        <v>3095.9999999999995</v>
      </c>
      <c r="CH8">
        <v>8</v>
      </c>
      <c r="CI8">
        <v>2476.7999999999997</v>
      </c>
      <c r="CJ8">
        <v>7</v>
      </c>
      <c r="CK8">
        <v>2167.1999999999998</v>
      </c>
      <c r="CL8">
        <v>8</v>
      </c>
      <c r="CM8">
        <v>2476.7999999999997</v>
      </c>
      <c r="CN8">
        <v>8</v>
      </c>
      <c r="CO8">
        <v>2476.7999999999997</v>
      </c>
      <c r="CP8">
        <v>10</v>
      </c>
      <c r="CQ8">
        <v>3095.9999999999995</v>
      </c>
      <c r="CR8">
        <v>8</v>
      </c>
      <c r="CS8">
        <v>2476.7999999999997</v>
      </c>
      <c r="CT8">
        <v>6</v>
      </c>
      <c r="CU8">
        <v>1857.6</v>
      </c>
    </row>
    <row r="9" spans="1:99" x14ac:dyDescent="0.2">
      <c r="C9" s="116" t="s">
        <v>175</v>
      </c>
      <c r="D9">
        <v>4</v>
      </c>
      <c r="E9">
        <v>2808</v>
      </c>
      <c r="F9">
        <v>4</v>
      </c>
      <c r="G9">
        <v>2808</v>
      </c>
      <c r="H9">
        <v>5</v>
      </c>
      <c r="I9">
        <v>3510</v>
      </c>
      <c r="J9">
        <v>5</v>
      </c>
      <c r="K9">
        <v>3510</v>
      </c>
      <c r="L9">
        <v>6</v>
      </c>
      <c r="M9">
        <v>4212</v>
      </c>
      <c r="N9">
        <v>7</v>
      </c>
      <c r="O9">
        <v>4914</v>
      </c>
      <c r="P9">
        <v>7</v>
      </c>
      <c r="Q9">
        <v>4914</v>
      </c>
      <c r="R9">
        <v>6</v>
      </c>
      <c r="S9">
        <v>4212</v>
      </c>
      <c r="T9">
        <v>6</v>
      </c>
      <c r="U9">
        <v>4212</v>
      </c>
      <c r="V9">
        <v>6</v>
      </c>
      <c r="W9">
        <v>4212</v>
      </c>
      <c r="X9">
        <v>8</v>
      </c>
      <c r="Y9">
        <v>5616</v>
      </c>
      <c r="Z9">
        <v>5</v>
      </c>
      <c r="AA9">
        <v>3510</v>
      </c>
      <c r="AB9">
        <v>7</v>
      </c>
      <c r="AC9">
        <v>4914</v>
      </c>
      <c r="AD9">
        <v>6</v>
      </c>
      <c r="AE9">
        <v>4212</v>
      </c>
      <c r="AF9">
        <v>5</v>
      </c>
      <c r="AG9">
        <v>3510</v>
      </c>
      <c r="AH9">
        <v>5</v>
      </c>
      <c r="AI9">
        <v>3510</v>
      </c>
      <c r="AJ9">
        <v>8</v>
      </c>
      <c r="AK9">
        <v>5616</v>
      </c>
      <c r="AL9">
        <v>8</v>
      </c>
      <c r="AM9">
        <v>5616</v>
      </c>
      <c r="AN9">
        <v>6</v>
      </c>
      <c r="AO9">
        <v>4212</v>
      </c>
      <c r="AP9">
        <v>5</v>
      </c>
      <c r="AQ9">
        <v>3510</v>
      </c>
      <c r="AR9">
        <v>7</v>
      </c>
      <c r="AS9">
        <v>4914</v>
      </c>
      <c r="AT9">
        <v>6</v>
      </c>
      <c r="AU9">
        <v>4212</v>
      </c>
      <c r="AV9">
        <v>5</v>
      </c>
      <c r="AW9">
        <v>3510</v>
      </c>
      <c r="AX9">
        <v>5</v>
      </c>
      <c r="AY9">
        <v>3510</v>
      </c>
      <c r="AZ9">
        <v>9</v>
      </c>
      <c r="BA9">
        <v>6318</v>
      </c>
      <c r="BB9">
        <v>6</v>
      </c>
      <c r="BC9">
        <v>4212</v>
      </c>
      <c r="BD9">
        <v>7</v>
      </c>
      <c r="BE9">
        <v>4914</v>
      </c>
      <c r="BF9">
        <v>6</v>
      </c>
      <c r="BG9">
        <v>4212</v>
      </c>
      <c r="BH9">
        <v>6</v>
      </c>
      <c r="BI9">
        <v>4212</v>
      </c>
      <c r="BJ9">
        <v>7</v>
      </c>
      <c r="BK9">
        <v>4914</v>
      </c>
      <c r="BL9">
        <v>5</v>
      </c>
      <c r="BM9">
        <v>3510</v>
      </c>
      <c r="BN9">
        <v>9</v>
      </c>
      <c r="BO9">
        <v>6318</v>
      </c>
      <c r="BP9">
        <v>8</v>
      </c>
      <c r="BQ9">
        <v>5616</v>
      </c>
      <c r="BR9">
        <v>8</v>
      </c>
      <c r="BS9">
        <v>5616</v>
      </c>
      <c r="BT9">
        <v>9</v>
      </c>
      <c r="BU9">
        <v>6318</v>
      </c>
      <c r="BV9">
        <v>7</v>
      </c>
      <c r="BW9">
        <v>4914</v>
      </c>
      <c r="BX9">
        <v>6</v>
      </c>
      <c r="BY9">
        <v>4212</v>
      </c>
      <c r="BZ9">
        <v>8</v>
      </c>
      <c r="CA9">
        <v>5616</v>
      </c>
      <c r="CB9">
        <v>5</v>
      </c>
      <c r="CC9">
        <v>3510</v>
      </c>
      <c r="CD9">
        <v>5</v>
      </c>
      <c r="CE9">
        <v>3510</v>
      </c>
      <c r="CF9">
        <v>10</v>
      </c>
      <c r="CG9">
        <v>7020</v>
      </c>
      <c r="CH9">
        <v>8</v>
      </c>
      <c r="CI9">
        <v>5616</v>
      </c>
      <c r="CJ9">
        <v>7</v>
      </c>
      <c r="CK9">
        <v>4914</v>
      </c>
      <c r="CL9">
        <v>8</v>
      </c>
      <c r="CM9">
        <v>5616</v>
      </c>
      <c r="CN9">
        <v>8</v>
      </c>
      <c r="CO9">
        <v>5616</v>
      </c>
      <c r="CP9">
        <v>10</v>
      </c>
      <c r="CQ9">
        <v>7020</v>
      </c>
      <c r="CR9">
        <v>8</v>
      </c>
      <c r="CS9">
        <v>5616</v>
      </c>
      <c r="CT9">
        <v>5</v>
      </c>
      <c r="CU9">
        <v>3510</v>
      </c>
    </row>
    <row r="10" spans="1:99" x14ac:dyDescent="0.2">
      <c r="C10" s="116" t="s">
        <v>176</v>
      </c>
      <c r="D10">
        <v>4</v>
      </c>
      <c r="E10">
        <v>2179.1999999999998</v>
      </c>
      <c r="F10">
        <v>4</v>
      </c>
      <c r="G10">
        <v>2179.1999999999998</v>
      </c>
      <c r="H10">
        <v>5</v>
      </c>
      <c r="I10">
        <v>2724</v>
      </c>
      <c r="J10">
        <v>4</v>
      </c>
      <c r="K10">
        <v>2179.1999999999998</v>
      </c>
      <c r="L10">
        <v>7</v>
      </c>
      <c r="M10">
        <v>3813.5999999999995</v>
      </c>
      <c r="N10">
        <v>7</v>
      </c>
      <c r="O10">
        <v>3813.5999999999995</v>
      </c>
      <c r="P10">
        <v>7</v>
      </c>
      <c r="Q10">
        <v>3813.5999999999995</v>
      </c>
      <c r="R10">
        <v>5</v>
      </c>
      <c r="S10">
        <v>2724</v>
      </c>
      <c r="T10">
        <v>5</v>
      </c>
      <c r="U10">
        <v>2724</v>
      </c>
      <c r="V10">
        <v>7</v>
      </c>
      <c r="W10">
        <v>3813.5999999999995</v>
      </c>
      <c r="X10">
        <v>9</v>
      </c>
      <c r="Y10">
        <v>4903.2</v>
      </c>
      <c r="Z10">
        <v>6</v>
      </c>
      <c r="AA10">
        <v>3268.7999999999997</v>
      </c>
      <c r="AB10">
        <v>8</v>
      </c>
      <c r="AC10">
        <v>4358.3999999999996</v>
      </c>
      <c r="AD10">
        <v>7</v>
      </c>
      <c r="AE10">
        <v>3813.5999999999995</v>
      </c>
      <c r="AF10">
        <v>6</v>
      </c>
      <c r="AG10">
        <v>3268.7999999999997</v>
      </c>
      <c r="AH10">
        <v>5</v>
      </c>
      <c r="AI10">
        <v>2724</v>
      </c>
      <c r="AJ10">
        <v>8</v>
      </c>
      <c r="AK10">
        <v>4358.3999999999996</v>
      </c>
      <c r="AL10">
        <v>8</v>
      </c>
      <c r="AM10">
        <v>4358.3999999999996</v>
      </c>
      <c r="AN10">
        <v>6</v>
      </c>
      <c r="AO10">
        <v>3268.7999999999997</v>
      </c>
      <c r="AP10">
        <v>5</v>
      </c>
      <c r="AQ10">
        <v>2724</v>
      </c>
      <c r="AR10">
        <v>7</v>
      </c>
      <c r="AS10">
        <v>3813.5999999999995</v>
      </c>
      <c r="AT10">
        <v>6</v>
      </c>
      <c r="AU10">
        <v>3268.7999999999997</v>
      </c>
      <c r="AV10">
        <v>6</v>
      </c>
      <c r="AW10">
        <v>3268.7999999999997</v>
      </c>
      <c r="AX10">
        <v>4</v>
      </c>
      <c r="AY10">
        <v>2179.1999999999998</v>
      </c>
      <c r="AZ10">
        <v>8</v>
      </c>
      <c r="BA10">
        <v>4358.3999999999996</v>
      </c>
      <c r="BB10">
        <v>6</v>
      </c>
      <c r="BC10">
        <v>3268.7999999999997</v>
      </c>
      <c r="BD10">
        <v>7</v>
      </c>
      <c r="BE10">
        <v>3813.5999999999995</v>
      </c>
      <c r="BF10">
        <v>6</v>
      </c>
      <c r="BG10">
        <v>3268.7999999999997</v>
      </c>
      <c r="BH10">
        <v>6</v>
      </c>
      <c r="BI10">
        <v>3268.7999999999997</v>
      </c>
      <c r="BJ10">
        <v>7</v>
      </c>
      <c r="BK10">
        <v>3813.5999999999995</v>
      </c>
      <c r="BL10">
        <v>5</v>
      </c>
      <c r="BM10">
        <v>2724</v>
      </c>
      <c r="BN10">
        <v>10</v>
      </c>
      <c r="BO10">
        <v>5448</v>
      </c>
      <c r="BP10">
        <v>10</v>
      </c>
      <c r="BQ10">
        <v>5448</v>
      </c>
      <c r="BR10">
        <v>8</v>
      </c>
      <c r="BS10">
        <v>4358.3999999999996</v>
      </c>
      <c r="BT10">
        <v>9</v>
      </c>
      <c r="BU10">
        <v>4903.2</v>
      </c>
      <c r="BV10">
        <v>7</v>
      </c>
      <c r="BW10">
        <v>3813.5999999999995</v>
      </c>
      <c r="BX10">
        <v>6</v>
      </c>
      <c r="BY10">
        <v>3268.7999999999997</v>
      </c>
      <c r="BZ10">
        <v>7</v>
      </c>
      <c r="CA10">
        <v>3813.5999999999995</v>
      </c>
      <c r="CB10">
        <v>6</v>
      </c>
      <c r="CC10">
        <v>3268.7999999999997</v>
      </c>
      <c r="CD10">
        <v>6</v>
      </c>
      <c r="CE10">
        <v>3268.7999999999997</v>
      </c>
      <c r="CF10">
        <v>9</v>
      </c>
      <c r="CG10">
        <v>4903.2</v>
      </c>
      <c r="CH10">
        <v>9</v>
      </c>
      <c r="CI10">
        <v>4903.2</v>
      </c>
      <c r="CJ10">
        <v>8</v>
      </c>
      <c r="CK10">
        <v>4358.3999999999996</v>
      </c>
      <c r="CL10">
        <v>9</v>
      </c>
      <c r="CM10">
        <v>4903.2</v>
      </c>
      <c r="CN10">
        <v>9</v>
      </c>
      <c r="CO10">
        <v>4903.2</v>
      </c>
      <c r="CP10">
        <v>9</v>
      </c>
      <c r="CQ10">
        <v>4903.2</v>
      </c>
      <c r="CR10">
        <v>8</v>
      </c>
      <c r="CS10">
        <v>4358.3999999999996</v>
      </c>
      <c r="CT10">
        <v>5</v>
      </c>
      <c r="CU10">
        <v>2724</v>
      </c>
    </row>
    <row r="11" spans="1:99" x14ac:dyDescent="0.2">
      <c r="C11" s="116" t="s">
        <v>177</v>
      </c>
      <c r="D11">
        <v>4</v>
      </c>
      <c r="E11">
        <v>2131.1999999999998</v>
      </c>
      <c r="F11">
        <v>4</v>
      </c>
      <c r="G11">
        <v>2131.1999999999998</v>
      </c>
      <c r="H11">
        <v>6</v>
      </c>
      <c r="I11">
        <v>3196.7999999999997</v>
      </c>
      <c r="J11">
        <v>4</v>
      </c>
      <c r="K11">
        <v>2131.1999999999998</v>
      </c>
      <c r="L11">
        <v>6</v>
      </c>
      <c r="M11">
        <v>3196.7999999999997</v>
      </c>
      <c r="N11">
        <v>8</v>
      </c>
      <c r="O11">
        <v>4262.3999999999996</v>
      </c>
      <c r="P11">
        <v>7</v>
      </c>
      <c r="Q11">
        <v>3729.5999999999995</v>
      </c>
      <c r="R11">
        <v>5</v>
      </c>
      <c r="S11">
        <v>2664</v>
      </c>
      <c r="T11">
        <v>5</v>
      </c>
      <c r="U11">
        <v>2664</v>
      </c>
      <c r="V11">
        <v>6</v>
      </c>
      <c r="W11">
        <v>3196.7999999999997</v>
      </c>
      <c r="X11">
        <v>8</v>
      </c>
      <c r="Y11">
        <v>4262.3999999999996</v>
      </c>
      <c r="Z11">
        <v>5</v>
      </c>
      <c r="AA11">
        <v>2664</v>
      </c>
      <c r="AB11">
        <v>8</v>
      </c>
      <c r="AC11">
        <v>4262.3999999999996</v>
      </c>
      <c r="AD11">
        <v>7</v>
      </c>
      <c r="AE11">
        <v>3729.5999999999995</v>
      </c>
      <c r="AF11">
        <v>6</v>
      </c>
      <c r="AG11">
        <v>3196.7999999999997</v>
      </c>
      <c r="AH11">
        <v>5</v>
      </c>
      <c r="AI11">
        <v>2664</v>
      </c>
      <c r="AJ11">
        <v>8</v>
      </c>
      <c r="AK11">
        <v>4262.3999999999996</v>
      </c>
      <c r="AL11">
        <v>7</v>
      </c>
      <c r="AM11">
        <v>3729.5999999999995</v>
      </c>
      <c r="AN11">
        <v>6</v>
      </c>
      <c r="AO11">
        <v>3196.7999999999997</v>
      </c>
      <c r="AP11">
        <v>6</v>
      </c>
      <c r="AQ11">
        <v>3196.7999999999997</v>
      </c>
      <c r="AR11">
        <v>6</v>
      </c>
      <c r="AS11">
        <v>3196.7999999999997</v>
      </c>
      <c r="AT11">
        <v>6</v>
      </c>
      <c r="AU11">
        <v>3196.7999999999997</v>
      </c>
      <c r="AV11">
        <v>6</v>
      </c>
      <c r="AW11">
        <v>3196.7999999999997</v>
      </c>
      <c r="AX11">
        <v>5</v>
      </c>
      <c r="AY11">
        <v>2664</v>
      </c>
      <c r="AZ11">
        <v>9</v>
      </c>
      <c r="BA11">
        <v>4795.2</v>
      </c>
      <c r="BB11">
        <v>6</v>
      </c>
      <c r="BC11">
        <v>3196.7999999999997</v>
      </c>
      <c r="BD11">
        <v>7</v>
      </c>
      <c r="BE11">
        <v>3729.5999999999995</v>
      </c>
      <c r="BF11">
        <v>6</v>
      </c>
      <c r="BG11">
        <v>3196.7999999999997</v>
      </c>
      <c r="BH11">
        <v>6</v>
      </c>
      <c r="BI11">
        <v>3196.7999999999997</v>
      </c>
      <c r="BJ11">
        <v>7</v>
      </c>
      <c r="BK11">
        <v>3729.5999999999995</v>
      </c>
      <c r="BL11">
        <v>5</v>
      </c>
      <c r="BM11">
        <v>2664</v>
      </c>
      <c r="BN11">
        <v>8</v>
      </c>
      <c r="BO11">
        <v>4262.3999999999996</v>
      </c>
      <c r="BP11">
        <v>10</v>
      </c>
      <c r="BQ11">
        <v>5328</v>
      </c>
      <c r="BR11">
        <v>8</v>
      </c>
      <c r="BS11">
        <v>4262.3999999999996</v>
      </c>
      <c r="BT11">
        <v>9</v>
      </c>
      <c r="BU11">
        <v>4795.2</v>
      </c>
      <c r="BV11">
        <v>7</v>
      </c>
      <c r="BW11">
        <v>3729.5999999999995</v>
      </c>
      <c r="BX11">
        <v>7</v>
      </c>
      <c r="BY11">
        <v>3729.5999999999995</v>
      </c>
      <c r="BZ11">
        <v>8</v>
      </c>
      <c r="CA11">
        <v>4262.3999999999996</v>
      </c>
      <c r="CB11">
        <v>6</v>
      </c>
      <c r="CC11">
        <v>3196.7999999999997</v>
      </c>
      <c r="CD11">
        <v>6</v>
      </c>
      <c r="CE11">
        <v>3196.7999999999997</v>
      </c>
      <c r="CF11">
        <v>10</v>
      </c>
      <c r="CG11">
        <v>5328</v>
      </c>
      <c r="CH11">
        <v>9</v>
      </c>
      <c r="CI11">
        <v>4795.2</v>
      </c>
      <c r="CJ11">
        <v>8</v>
      </c>
      <c r="CK11">
        <v>4262.3999999999996</v>
      </c>
      <c r="CL11">
        <v>8</v>
      </c>
      <c r="CM11">
        <v>4262.3999999999996</v>
      </c>
      <c r="CN11">
        <v>8</v>
      </c>
      <c r="CO11">
        <v>4262.3999999999996</v>
      </c>
      <c r="CP11">
        <v>10</v>
      </c>
      <c r="CQ11">
        <v>5328</v>
      </c>
      <c r="CR11">
        <v>8</v>
      </c>
      <c r="CS11">
        <v>4262.3999999999996</v>
      </c>
      <c r="CT11">
        <v>5</v>
      </c>
      <c r="CU11">
        <v>2664</v>
      </c>
    </row>
    <row r="12" spans="1:99" x14ac:dyDescent="0.2">
      <c r="C12" s="116" t="s">
        <v>178</v>
      </c>
      <c r="D12">
        <v>5</v>
      </c>
      <c r="E12">
        <v>2814</v>
      </c>
      <c r="F12">
        <v>4</v>
      </c>
      <c r="G12">
        <v>2251.1999999999998</v>
      </c>
      <c r="H12">
        <v>5</v>
      </c>
      <c r="I12">
        <v>2814</v>
      </c>
      <c r="J12">
        <v>4</v>
      </c>
      <c r="K12">
        <v>2251.1999999999998</v>
      </c>
      <c r="L12">
        <v>7</v>
      </c>
      <c r="M12">
        <v>3939.5999999999995</v>
      </c>
      <c r="N12">
        <v>7</v>
      </c>
      <c r="O12">
        <v>3939.5999999999995</v>
      </c>
      <c r="P12">
        <v>7</v>
      </c>
      <c r="Q12">
        <v>3939.5999999999995</v>
      </c>
      <c r="R12">
        <v>6</v>
      </c>
      <c r="S12">
        <v>3376.7999999999997</v>
      </c>
      <c r="T12">
        <v>6</v>
      </c>
      <c r="U12">
        <v>3376.7999999999997</v>
      </c>
      <c r="V12">
        <v>6</v>
      </c>
      <c r="W12">
        <v>3376.7999999999997</v>
      </c>
      <c r="X12">
        <v>9</v>
      </c>
      <c r="Y12">
        <v>5065.2</v>
      </c>
      <c r="Z12">
        <v>5</v>
      </c>
      <c r="AA12">
        <v>2814</v>
      </c>
      <c r="AB12">
        <v>7</v>
      </c>
      <c r="AC12">
        <v>3939.5999999999995</v>
      </c>
      <c r="AD12">
        <v>6</v>
      </c>
      <c r="AE12">
        <v>3376.7999999999997</v>
      </c>
      <c r="AF12">
        <v>6</v>
      </c>
      <c r="AG12">
        <v>3376.7999999999997</v>
      </c>
      <c r="AH12">
        <v>5</v>
      </c>
      <c r="AI12">
        <v>2814</v>
      </c>
      <c r="AJ12">
        <v>9</v>
      </c>
      <c r="AK12">
        <v>5065.2</v>
      </c>
      <c r="AL12">
        <v>7</v>
      </c>
      <c r="AM12">
        <v>3939.5999999999995</v>
      </c>
      <c r="AN12">
        <v>7</v>
      </c>
      <c r="AO12">
        <v>3939.5999999999995</v>
      </c>
      <c r="AP12">
        <v>5</v>
      </c>
      <c r="AQ12">
        <v>2814</v>
      </c>
      <c r="AR12">
        <v>7</v>
      </c>
      <c r="AS12">
        <v>3939.5999999999995</v>
      </c>
      <c r="AT12">
        <v>5</v>
      </c>
      <c r="AU12">
        <v>2814</v>
      </c>
      <c r="AV12">
        <v>6</v>
      </c>
      <c r="AW12">
        <v>3376.7999999999997</v>
      </c>
      <c r="AX12">
        <v>5</v>
      </c>
      <c r="AY12">
        <v>2814</v>
      </c>
      <c r="AZ12">
        <v>8</v>
      </c>
      <c r="BA12">
        <v>4502.3999999999996</v>
      </c>
      <c r="BB12">
        <v>6</v>
      </c>
      <c r="BC12">
        <v>3376.7999999999997</v>
      </c>
      <c r="BD12">
        <v>7</v>
      </c>
      <c r="BE12">
        <v>3939.5999999999995</v>
      </c>
      <c r="BF12">
        <v>6</v>
      </c>
      <c r="BG12">
        <v>3376.7999999999997</v>
      </c>
      <c r="BH12">
        <v>6</v>
      </c>
      <c r="BI12">
        <v>3376.7999999999997</v>
      </c>
      <c r="BJ12">
        <v>7</v>
      </c>
      <c r="BK12">
        <v>3939.5999999999995</v>
      </c>
      <c r="BL12">
        <v>5</v>
      </c>
      <c r="BM12">
        <v>2814</v>
      </c>
      <c r="BN12">
        <v>9</v>
      </c>
      <c r="BO12">
        <v>5065.2</v>
      </c>
      <c r="BP12">
        <v>10</v>
      </c>
      <c r="BQ12">
        <v>5628</v>
      </c>
      <c r="BR12">
        <v>7</v>
      </c>
      <c r="BS12">
        <v>3939.5999999999995</v>
      </c>
      <c r="BT12">
        <v>8</v>
      </c>
      <c r="BU12">
        <v>4502.3999999999996</v>
      </c>
      <c r="BV12">
        <v>7</v>
      </c>
      <c r="BW12">
        <v>3939.5999999999995</v>
      </c>
      <c r="BX12">
        <v>6</v>
      </c>
      <c r="BY12">
        <v>3376.7999999999997</v>
      </c>
      <c r="BZ12">
        <v>7</v>
      </c>
      <c r="CA12">
        <v>3939.5999999999995</v>
      </c>
      <c r="CB12">
        <v>6</v>
      </c>
      <c r="CC12">
        <v>3376.7999999999997</v>
      </c>
      <c r="CD12">
        <v>6</v>
      </c>
      <c r="CE12">
        <v>3376.7999999999997</v>
      </c>
      <c r="CF12">
        <v>10</v>
      </c>
      <c r="CG12">
        <v>5628</v>
      </c>
      <c r="CH12">
        <v>9</v>
      </c>
      <c r="CI12">
        <v>5065.2</v>
      </c>
      <c r="CJ12">
        <v>9</v>
      </c>
      <c r="CK12">
        <v>5065.2</v>
      </c>
      <c r="CL12">
        <v>8</v>
      </c>
      <c r="CM12">
        <v>4502.3999999999996</v>
      </c>
      <c r="CN12">
        <v>8</v>
      </c>
      <c r="CO12">
        <v>4502.3999999999996</v>
      </c>
      <c r="CP12">
        <v>10</v>
      </c>
      <c r="CQ12">
        <v>5628</v>
      </c>
      <c r="CR12">
        <v>8</v>
      </c>
      <c r="CS12">
        <v>4502.3999999999996</v>
      </c>
      <c r="CT12">
        <v>5</v>
      </c>
      <c r="CU12">
        <v>2814</v>
      </c>
    </row>
    <row r="13" spans="1:99" x14ac:dyDescent="0.2">
      <c r="C13" s="116" t="s">
        <v>179</v>
      </c>
      <c r="D13">
        <v>4</v>
      </c>
      <c r="E13">
        <v>340.8</v>
      </c>
      <c r="F13">
        <v>5</v>
      </c>
      <c r="G13">
        <v>426</v>
      </c>
      <c r="H13">
        <v>5</v>
      </c>
      <c r="I13">
        <v>426</v>
      </c>
      <c r="J13">
        <v>4</v>
      </c>
      <c r="K13">
        <v>340.8</v>
      </c>
      <c r="L13">
        <v>6</v>
      </c>
      <c r="M13">
        <v>511.20000000000005</v>
      </c>
      <c r="N13">
        <v>7</v>
      </c>
      <c r="O13">
        <v>596.4</v>
      </c>
      <c r="P13">
        <v>8</v>
      </c>
      <c r="Q13">
        <v>681.6</v>
      </c>
      <c r="R13">
        <v>5</v>
      </c>
      <c r="S13">
        <v>426</v>
      </c>
      <c r="T13">
        <v>6</v>
      </c>
      <c r="U13">
        <v>511.20000000000005</v>
      </c>
      <c r="V13">
        <v>6</v>
      </c>
      <c r="W13">
        <v>511.20000000000005</v>
      </c>
      <c r="X13">
        <v>8</v>
      </c>
      <c r="Y13">
        <v>681.6</v>
      </c>
      <c r="Z13">
        <v>6</v>
      </c>
      <c r="AA13">
        <v>511.20000000000005</v>
      </c>
      <c r="AB13">
        <v>8</v>
      </c>
      <c r="AC13">
        <v>681.6</v>
      </c>
      <c r="AD13">
        <v>7</v>
      </c>
      <c r="AE13">
        <v>596.4</v>
      </c>
      <c r="AF13">
        <v>5</v>
      </c>
      <c r="AG13">
        <v>426</v>
      </c>
      <c r="AH13">
        <v>5</v>
      </c>
      <c r="AI13">
        <v>426</v>
      </c>
      <c r="AJ13">
        <v>8</v>
      </c>
      <c r="AK13">
        <v>681.6</v>
      </c>
      <c r="AL13">
        <v>8</v>
      </c>
      <c r="AM13">
        <v>681.6</v>
      </c>
      <c r="AN13">
        <v>6</v>
      </c>
      <c r="AO13">
        <v>511.20000000000005</v>
      </c>
      <c r="AP13">
        <v>5</v>
      </c>
      <c r="AQ13">
        <v>426</v>
      </c>
      <c r="AR13">
        <v>6</v>
      </c>
      <c r="AS13">
        <v>511.20000000000005</v>
      </c>
      <c r="AT13">
        <v>6</v>
      </c>
      <c r="AU13">
        <v>511.20000000000005</v>
      </c>
      <c r="AV13">
        <v>6</v>
      </c>
      <c r="AW13">
        <v>511.20000000000005</v>
      </c>
      <c r="AX13">
        <v>5</v>
      </c>
      <c r="AY13">
        <v>426</v>
      </c>
      <c r="AZ13">
        <v>9</v>
      </c>
      <c r="BA13">
        <v>766.80000000000007</v>
      </c>
      <c r="BB13">
        <v>6</v>
      </c>
      <c r="BC13">
        <v>511.20000000000005</v>
      </c>
      <c r="BD13">
        <v>8</v>
      </c>
      <c r="BE13">
        <v>681.6</v>
      </c>
      <c r="BF13">
        <v>6</v>
      </c>
      <c r="BG13">
        <v>511.20000000000005</v>
      </c>
      <c r="BH13">
        <v>6</v>
      </c>
      <c r="BI13">
        <v>511.20000000000005</v>
      </c>
      <c r="BJ13">
        <v>8</v>
      </c>
      <c r="BK13">
        <v>681.6</v>
      </c>
      <c r="BL13">
        <v>5</v>
      </c>
      <c r="BM13">
        <v>426</v>
      </c>
      <c r="BN13">
        <v>9</v>
      </c>
      <c r="BO13">
        <v>766.80000000000007</v>
      </c>
      <c r="BP13">
        <v>10</v>
      </c>
      <c r="BQ13">
        <v>852</v>
      </c>
      <c r="BR13">
        <v>8</v>
      </c>
      <c r="BS13">
        <v>681.6</v>
      </c>
      <c r="BT13">
        <v>9</v>
      </c>
      <c r="BU13">
        <v>766.80000000000007</v>
      </c>
      <c r="BV13">
        <v>6</v>
      </c>
      <c r="BW13">
        <v>511.20000000000005</v>
      </c>
      <c r="BX13">
        <v>7</v>
      </c>
      <c r="BY13">
        <v>596.4</v>
      </c>
      <c r="BZ13">
        <v>7</v>
      </c>
      <c r="CA13">
        <v>596.4</v>
      </c>
      <c r="CB13">
        <v>5</v>
      </c>
      <c r="CC13">
        <v>426</v>
      </c>
      <c r="CD13">
        <v>7</v>
      </c>
      <c r="CE13">
        <v>596.4</v>
      </c>
      <c r="CF13">
        <v>9</v>
      </c>
      <c r="CG13">
        <v>766.80000000000007</v>
      </c>
      <c r="CH13">
        <v>8</v>
      </c>
      <c r="CI13">
        <v>681.6</v>
      </c>
      <c r="CJ13">
        <v>8</v>
      </c>
      <c r="CK13">
        <v>681.6</v>
      </c>
      <c r="CL13">
        <v>8</v>
      </c>
      <c r="CM13">
        <v>681.6</v>
      </c>
      <c r="CN13">
        <v>9</v>
      </c>
      <c r="CO13">
        <v>766.80000000000007</v>
      </c>
      <c r="CP13">
        <v>11</v>
      </c>
      <c r="CQ13">
        <v>937.2</v>
      </c>
      <c r="CR13">
        <v>8</v>
      </c>
      <c r="CS13">
        <v>681.6</v>
      </c>
      <c r="CT13">
        <v>5</v>
      </c>
      <c r="CU13">
        <v>426</v>
      </c>
    </row>
    <row r="14" spans="1:99" x14ac:dyDescent="0.2">
      <c r="C14" s="116" t="s">
        <v>180</v>
      </c>
      <c r="D14">
        <v>5</v>
      </c>
      <c r="E14">
        <v>2442</v>
      </c>
      <c r="F14">
        <v>4</v>
      </c>
      <c r="G14">
        <v>1953.6</v>
      </c>
      <c r="H14">
        <v>5</v>
      </c>
      <c r="I14">
        <v>2442</v>
      </c>
      <c r="J14">
        <v>4</v>
      </c>
      <c r="K14">
        <v>1953.6</v>
      </c>
      <c r="L14">
        <v>6</v>
      </c>
      <c r="M14">
        <v>2930.3999999999996</v>
      </c>
      <c r="N14">
        <v>7</v>
      </c>
      <c r="O14">
        <v>3418.7999999999997</v>
      </c>
      <c r="P14">
        <v>8</v>
      </c>
      <c r="Q14">
        <v>3907.2</v>
      </c>
      <c r="R14">
        <v>5</v>
      </c>
      <c r="S14">
        <v>2442</v>
      </c>
      <c r="T14">
        <v>6</v>
      </c>
      <c r="U14">
        <v>2930.3999999999996</v>
      </c>
      <c r="V14">
        <v>6</v>
      </c>
      <c r="W14">
        <v>2930.3999999999996</v>
      </c>
      <c r="X14">
        <v>9</v>
      </c>
      <c r="Y14">
        <v>4395.5999999999995</v>
      </c>
      <c r="Z14">
        <v>6</v>
      </c>
      <c r="AA14">
        <v>2930.3999999999996</v>
      </c>
      <c r="AB14">
        <v>8</v>
      </c>
      <c r="AC14">
        <v>3907.2</v>
      </c>
      <c r="AD14">
        <v>7</v>
      </c>
      <c r="AE14">
        <v>3418.7999999999997</v>
      </c>
      <c r="AF14">
        <v>6</v>
      </c>
      <c r="AG14">
        <v>2930.3999999999996</v>
      </c>
      <c r="AH14">
        <v>6</v>
      </c>
      <c r="AI14">
        <v>2930.3999999999996</v>
      </c>
      <c r="AJ14">
        <v>8</v>
      </c>
      <c r="AK14">
        <v>3907.2</v>
      </c>
      <c r="AL14">
        <v>8</v>
      </c>
      <c r="AM14">
        <v>3907.2</v>
      </c>
      <c r="AN14">
        <v>7</v>
      </c>
      <c r="AO14">
        <v>3418.7999999999997</v>
      </c>
      <c r="AP14">
        <v>5</v>
      </c>
      <c r="AQ14">
        <v>2442</v>
      </c>
      <c r="AR14">
        <v>7</v>
      </c>
      <c r="AS14">
        <v>3418.7999999999997</v>
      </c>
      <c r="AT14">
        <v>6</v>
      </c>
      <c r="AU14">
        <v>2930.3999999999996</v>
      </c>
      <c r="AV14">
        <v>6</v>
      </c>
      <c r="AW14">
        <v>2930.3999999999996</v>
      </c>
      <c r="AX14">
        <v>5</v>
      </c>
      <c r="AY14">
        <v>2442</v>
      </c>
      <c r="AZ14">
        <v>9</v>
      </c>
      <c r="BA14">
        <v>4395.5999999999995</v>
      </c>
      <c r="BB14">
        <v>6</v>
      </c>
      <c r="BC14">
        <v>2930.3999999999996</v>
      </c>
      <c r="BD14">
        <v>7</v>
      </c>
      <c r="BE14">
        <v>3418.7999999999997</v>
      </c>
      <c r="BF14">
        <v>6</v>
      </c>
      <c r="BG14">
        <v>2930.3999999999996</v>
      </c>
      <c r="BH14">
        <v>7</v>
      </c>
      <c r="BI14">
        <v>3418.7999999999997</v>
      </c>
      <c r="BJ14">
        <v>7</v>
      </c>
      <c r="BK14">
        <v>3418.7999999999997</v>
      </c>
      <c r="BL14">
        <v>5</v>
      </c>
      <c r="BM14">
        <v>2442</v>
      </c>
      <c r="BN14">
        <v>9</v>
      </c>
      <c r="BO14">
        <v>4395.5999999999995</v>
      </c>
      <c r="BP14">
        <v>9</v>
      </c>
      <c r="BQ14">
        <v>4395.5999999999995</v>
      </c>
      <c r="BR14">
        <v>8</v>
      </c>
      <c r="BS14">
        <v>3907.2</v>
      </c>
      <c r="BT14">
        <v>9</v>
      </c>
      <c r="BU14">
        <v>4395.5999999999995</v>
      </c>
      <c r="BV14">
        <v>7</v>
      </c>
      <c r="BW14">
        <v>3418.7999999999997</v>
      </c>
      <c r="BX14">
        <v>7</v>
      </c>
      <c r="BY14">
        <v>3418.7999999999997</v>
      </c>
      <c r="BZ14">
        <v>7</v>
      </c>
      <c r="CA14">
        <v>3418.7999999999997</v>
      </c>
      <c r="CB14">
        <v>6</v>
      </c>
      <c r="CC14">
        <v>2930.3999999999996</v>
      </c>
      <c r="CD14">
        <v>6</v>
      </c>
      <c r="CE14">
        <v>2930.3999999999996</v>
      </c>
      <c r="CF14">
        <v>11</v>
      </c>
      <c r="CG14">
        <v>5372.4</v>
      </c>
      <c r="CH14">
        <v>8</v>
      </c>
      <c r="CI14">
        <v>3907.2</v>
      </c>
      <c r="CJ14">
        <v>9</v>
      </c>
      <c r="CK14">
        <v>4395.5999999999995</v>
      </c>
      <c r="CL14">
        <v>8</v>
      </c>
      <c r="CM14">
        <v>3907.2</v>
      </c>
      <c r="CN14">
        <v>9</v>
      </c>
      <c r="CO14">
        <v>4395.5999999999995</v>
      </c>
      <c r="CP14">
        <v>10</v>
      </c>
      <c r="CQ14">
        <v>4884</v>
      </c>
      <c r="CR14">
        <v>8</v>
      </c>
      <c r="CS14">
        <v>3907.2</v>
      </c>
      <c r="CT14">
        <v>6</v>
      </c>
      <c r="CU14">
        <v>2930.3999999999996</v>
      </c>
    </row>
    <row r="15" spans="1:99" x14ac:dyDescent="0.2">
      <c r="C15" s="116" t="s">
        <v>181</v>
      </c>
      <c r="D15">
        <v>5</v>
      </c>
      <c r="E15">
        <v>3815.9999999999995</v>
      </c>
      <c r="F15">
        <v>4</v>
      </c>
      <c r="G15">
        <v>3052.7999999999997</v>
      </c>
      <c r="H15">
        <v>5</v>
      </c>
      <c r="I15">
        <v>3815.9999999999995</v>
      </c>
      <c r="J15">
        <v>4</v>
      </c>
      <c r="K15">
        <v>3052.7999999999997</v>
      </c>
      <c r="L15">
        <v>6</v>
      </c>
      <c r="M15">
        <v>4579.2</v>
      </c>
      <c r="N15">
        <v>7</v>
      </c>
      <c r="O15">
        <v>5342.4</v>
      </c>
      <c r="P15">
        <v>7</v>
      </c>
      <c r="Q15">
        <v>5342.4</v>
      </c>
      <c r="R15">
        <v>6</v>
      </c>
      <c r="S15">
        <v>4579.2</v>
      </c>
      <c r="T15">
        <v>6</v>
      </c>
      <c r="U15">
        <v>4579.2</v>
      </c>
      <c r="V15">
        <v>6</v>
      </c>
      <c r="W15">
        <v>4579.2</v>
      </c>
      <c r="X15">
        <v>8</v>
      </c>
      <c r="Y15">
        <v>6105.5999999999995</v>
      </c>
      <c r="Z15">
        <v>5</v>
      </c>
      <c r="AA15">
        <v>3815.9999999999995</v>
      </c>
      <c r="AB15">
        <v>7</v>
      </c>
      <c r="AC15">
        <v>5342.4</v>
      </c>
      <c r="AD15">
        <v>6</v>
      </c>
      <c r="AE15">
        <v>4579.2</v>
      </c>
      <c r="AF15">
        <v>5</v>
      </c>
      <c r="AG15">
        <v>3815.9999999999995</v>
      </c>
      <c r="AH15">
        <v>5</v>
      </c>
      <c r="AI15">
        <v>3815.9999999999995</v>
      </c>
      <c r="AJ15">
        <v>7</v>
      </c>
      <c r="AK15">
        <v>5342.4</v>
      </c>
      <c r="AL15">
        <v>8</v>
      </c>
      <c r="AM15">
        <v>6105.5999999999995</v>
      </c>
      <c r="AN15">
        <v>6</v>
      </c>
      <c r="AO15">
        <v>4579.2</v>
      </c>
      <c r="AP15">
        <v>5</v>
      </c>
      <c r="AQ15">
        <v>3815.9999999999995</v>
      </c>
      <c r="AR15">
        <v>6</v>
      </c>
      <c r="AS15">
        <v>4579.2</v>
      </c>
      <c r="AT15">
        <v>6</v>
      </c>
      <c r="AU15">
        <v>4579.2</v>
      </c>
      <c r="AV15">
        <v>6</v>
      </c>
      <c r="AW15">
        <v>4579.2</v>
      </c>
      <c r="AX15">
        <v>5</v>
      </c>
      <c r="AY15">
        <v>3815.9999999999995</v>
      </c>
      <c r="AZ15">
        <v>8</v>
      </c>
      <c r="BA15">
        <v>6105.5999999999995</v>
      </c>
      <c r="BB15">
        <v>6</v>
      </c>
      <c r="BC15">
        <v>4579.2</v>
      </c>
      <c r="BD15">
        <v>7</v>
      </c>
      <c r="BE15">
        <v>5342.4</v>
      </c>
      <c r="BF15">
        <v>6</v>
      </c>
      <c r="BG15">
        <v>4579.2</v>
      </c>
      <c r="BH15">
        <v>6</v>
      </c>
      <c r="BI15">
        <v>4579.2</v>
      </c>
      <c r="BJ15">
        <v>8</v>
      </c>
      <c r="BK15">
        <v>6105.5999999999995</v>
      </c>
      <c r="BL15">
        <v>5</v>
      </c>
      <c r="BM15">
        <v>3815.9999999999995</v>
      </c>
      <c r="BN15">
        <v>9</v>
      </c>
      <c r="BO15">
        <v>6868.7999999999993</v>
      </c>
      <c r="BP15">
        <v>10</v>
      </c>
      <c r="BQ15">
        <v>7631.9999999999991</v>
      </c>
      <c r="BR15">
        <v>8</v>
      </c>
      <c r="BS15">
        <v>6105.5999999999995</v>
      </c>
      <c r="BT15">
        <v>9</v>
      </c>
      <c r="BU15">
        <v>6868.7999999999993</v>
      </c>
      <c r="BV15">
        <v>6</v>
      </c>
      <c r="BW15">
        <v>4579.2</v>
      </c>
      <c r="BX15">
        <v>6</v>
      </c>
      <c r="BY15">
        <v>4579.2</v>
      </c>
      <c r="BZ15">
        <v>8</v>
      </c>
      <c r="CA15">
        <v>6105.5999999999995</v>
      </c>
      <c r="CB15">
        <v>5</v>
      </c>
      <c r="CC15">
        <v>3815.9999999999995</v>
      </c>
      <c r="CD15">
        <v>6</v>
      </c>
      <c r="CE15">
        <v>4579.2</v>
      </c>
      <c r="CF15">
        <v>10</v>
      </c>
      <c r="CG15">
        <v>7631.9999999999991</v>
      </c>
      <c r="CH15">
        <v>8</v>
      </c>
      <c r="CI15">
        <v>6105.5999999999995</v>
      </c>
      <c r="CJ15">
        <v>9</v>
      </c>
      <c r="CK15">
        <v>6868.7999999999993</v>
      </c>
      <c r="CL15">
        <v>7</v>
      </c>
      <c r="CM15">
        <v>5342.4</v>
      </c>
      <c r="CN15">
        <v>9</v>
      </c>
      <c r="CO15">
        <v>6868.7999999999993</v>
      </c>
      <c r="CP15">
        <v>10</v>
      </c>
      <c r="CQ15">
        <v>7631.9999999999991</v>
      </c>
      <c r="CR15">
        <v>8</v>
      </c>
      <c r="CS15">
        <v>6105.5999999999995</v>
      </c>
      <c r="CT15">
        <v>5</v>
      </c>
      <c r="CU15">
        <v>3815.9999999999995</v>
      </c>
    </row>
    <row r="16" spans="1:99" x14ac:dyDescent="0.2">
      <c r="C16" s="116" t="s">
        <v>182</v>
      </c>
      <c r="D16">
        <v>5</v>
      </c>
      <c r="E16">
        <v>1704</v>
      </c>
      <c r="F16">
        <v>4</v>
      </c>
      <c r="G16">
        <v>1363.2</v>
      </c>
      <c r="H16">
        <v>5</v>
      </c>
      <c r="I16">
        <v>1704</v>
      </c>
      <c r="J16">
        <v>4</v>
      </c>
      <c r="K16">
        <v>1363.2</v>
      </c>
      <c r="L16">
        <v>6</v>
      </c>
      <c r="M16">
        <v>2044.8000000000002</v>
      </c>
      <c r="N16">
        <v>8</v>
      </c>
      <c r="O16">
        <v>2726.4</v>
      </c>
      <c r="P16">
        <v>7</v>
      </c>
      <c r="Q16">
        <v>2385.6</v>
      </c>
      <c r="R16">
        <v>6</v>
      </c>
      <c r="S16">
        <v>2044.8000000000002</v>
      </c>
      <c r="T16">
        <v>6</v>
      </c>
      <c r="U16">
        <v>2044.8000000000002</v>
      </c>
      <c r="V16">
        <v>6</v>
      </c>
      <c r="W16">
        <v>2044.8000000000002</v>
      </c>
      <c r="X16">
        <v>9</v>
      </c>
      <c r="Y16">
        <v>3067.2000000000003</v>
      </c>
      <c r="Z16">
        <v>6</v>
      </c>
      <c r="AA16">
        <v>2044.8000000000002</v>
      </c>
      <c r="AB16">
        <v>7</v>
      </c>
      <c r="AC16">
        <v>2385.6</v>
      </c>
      <c r="AD16">
        <v>7</v>
      </c>
      <c r="AE16">
        <v>2385.6</v>
      </c>
      <c r="AF16">
        <v>6</v>
      </c>
      <c r="AG16">
        <v>2044.8000000000002</v>
      </c>
      <c r="AH16">
        <v>5</v>
      </c>
      <c r="AI16">
        <v>1704</v>
      </c>
      <c r="AJ16">
        <v>9</v>
      </c>
      <c r="AK16">
        <v>3067.2000000000003</v>
      </c>
      <c r="AL16">
        <v>7</v>
      </c>
      <c r="AM16">
        <v>2385.6</v>
      </c>
      <c r="AN16">
        <v>6</v>
      </c>
      <c r="AO16">
        <v>2044.8000000000002</v>
      </c>
      <c r="AP16">
        <v>5</v>
      </c>
      <c r="AQ16">
        <v>1704</v>
      </c>
      <c r="AR16">
        <v>6</v>
      </c>
      <c r="AS16">
        <v>2044.8000000000002</v>
      </c>
      <c r="AT16">
        <v>6</v>
      </c>
      <c r="AU16">
        <v>2044.8000000000002</v>
      </c>
      <c r="AV16">
        <v>6</v>
      </c>
      <c r="AW16">
        <v>2044.8000000000002</v>
      </c>
      <c r="AX16">
        <v>5</v>
      </c>
      <c r="AY16">
        <v>1704</v>
      </c>
      <c r="AZ16">
        <v>8</v>
      </c>
      <c r="BA16">
        <v>2726.4</v>
      </c>
      <c r="BB16">
        <v>6</v>
      </c>
      <c r="BC16">
        <v>2044.8000000000002</v>
      </c>
      <c r="BD16">
        <v>7</v>
      </c>
      <c r="BE16">
        <v>2385.6</v>
      </c>
      <c r="BF16">
        <v>7</v>
      </c>
      <c r="BG16">
        <v>2385.6</v>
      </c>
      <c r="BH16">
        <v>6</v>
      </c>
      <c r="BI16">
        <v>2044.8000000000002</v>
      </c>
      <c r="BJ16">
        <v>7</v>
      </c>
      <c r="BK16">
        <v>2385.6</v>
      </c>
      <c r="BL16">
        <v>6</v>
      </c>
      <c r="BM16">
        <v>2044.8000000000002</v>
      </c>
      <c r="BN16">
        <v>9</v>
      </c>
      <c r="BO16">
        <v>3067.2000000000003</v>
      </c>
      <c r="BP16">
        <v>10</v>
      </c>
      <c r="BQ16">
        <v>3408</v>
      </c>
      <c r="BR16">
        <v>8</v>
      </c>
      <c r="BS16">
        <v>2726.4</v>
      </c>
      <c r="BT16">
        <v>9</v>
      </c>
      <c r="BU16">
        <v>3067.2000000000003</v>
      </c>
      <c r="BV16">
        <v>7</v>
      </c>
      <c r="BW16">
        <v>2385.6</v>
      </c>
      <c r="BX16">
        <v>7</v>
      </c>
      <c r="BY16">
        <v>2385.6</v>
      </c>
      <c r="BZ16">
        <v>8</v>
      </c>
      <c r="CA16">
        <v>2726.4</v>
      </c>
      <c r="CB16">
        <v>5</v>
      </c>
      <c r="CC16">
        <v>1704</v>
      </c>
      <c r="CD16">
        <v>6</v>
      </c>
      <c r="CE16">
        <v>2044.8000000000002</v>
      </c>
      <c r="CF16">
        <v>10</v>
      </c>
      <c r="CG16">
        <v>3408</v>
      </c>
      <c r="CH16">
        <v>8</v>
      </c>
      <c r="CI16">
        <v>2726.4</v>
      </c>
      <c r="CJ16">
        <v>8</v>
      </c>
      <c r="CK16">
        <v>2726.4</v>
      </c>
      <c r="CL16">
        <v>9</v>
      </c>
      <c r="CM16">
        <v>3067.2000000000003</v>
      </c>
      <c r="CN16">
        <v>9</v>
      </c>
      <c r="CO16">
        <v>3067.2000000000003</v>
      </c>
      <c r="CP16">
        <v>10</v>
      </c>
      <c r="CQ16">
        <v>3408</v>
      </c>
      <c r="CR16">
        <v>8</v>
      </c>
      <c r="CS16">
        <v>2726.4</v>
      </c>
      <c r="CT16">
        <v>5</v>
      </c>
      <c r="CU16">
        <v>1704</v>
      </c>
    </row>
    <row r="17" spans="2:99" x14ac:dyDescent="0.2">
      <c r="C17" s="116" t="s">
        <v>183</v>
      </c>
      <c r="D17">
        <v>4</v>
      </c>
      <c r="E17">
        <v>1689.6</v>
      </c>
      <c r="F17">
        <v>4</v>
      </c>
      <c r="G17">
        <v>1689.6</v>
      </c>
      <c r="H17">
        <v>5</v>
      </c>
      <c r="I17">
        <v>2112</v>
      </c>
      <c r="J17">
        <v>4</v>
      </c>
      <c r="K17">
        <v>1689.6</v>
      </c>
      <c r="L17">
        <v>6</v>
      </c>
      <c r="M17">
        <v>2534.3999999999996</v>
      </c>
      <c r="N17">
        <v>7</v>
      </c>
      <c r="O17">
        <v>2956.7999999999997</v>
      </c>
      <c r="P17">
        <v>7</v>
      </c>
      <c r="Q17">
        <v>2956.7999999999997</v>
      </c>
      <c r="R17">
        <v>5</v>
      </c>
      <c r="S17">
        <v>2112</v>
      </c>
      <c r="T17">
        <v>5</v>
      </c>
      <c r="U17">
        <v>2112</v>
      </c>
      <c r="V17">
        <v>7</v>
      </c>
      <c r="W17">
        <v>2956.7999999999997</v>
      </c>
      <c r="X17">
        <v>9</v>
      </c>
      <c r="Y17">
        <v>3801.6</v>
      </c>
      <c r="Z17">
        <v>5</v>
      </c>
      <c r="AA17">
        <v>2112</v>
      </c>
      <c r="AB17">
        <v>8</v>
      </c>
      <c r="AC17">
        <v>3379.2</v>
      </c>
      <c r="AD17">
        <v>6</v>
      </c>
      <c r="AE17">
        <v>2534.3999999999996</v>
      </c>
      <c r="AF17">
        <v>5</v>
      </c>
      <c r="AG17">
        <v>2112</v>
      </c>
      <c r="AH17">
        <v>5</v>
      </c>
      <c r="AI17">
        <v>2112</v>
      </c>
      <c r="AJ17">
        <v>9</v>
      </c>
      <c r="AK17">
        <v>3801.6</v>
      </c>
      <c r="AL17">
        <v>8</v>
      </c>
      <c r="AM17">
        <v>3379.2</v>
      </c>
      <c r="AN17">
        <v>6</v>
      </c>
      <c r="AO17">
        <v>2534.3999999999996</v>
      </c>
      <c r="AP17">
        <v>6</v>
      </c>
      <c r="AQ17">
        <v>2534.3999999999996</v>
      </c>
      <c r="AR17">
        <v>7</v>
      </c>
      <c r="AS17">
        <v>2956.7999999999997</v>
      </c>
      <c r="AT17">
        <v>6</v>
      </c>
      <c r="AU17">
        <v>2534.3999999999996</v>
      </c>
      <c r="AV17">
        <v>6</v>
      </c>
      <c r="AW17">
        <v>2534.3999999999996</v>
      </c>
      <c r="AX17">
        <v>5</v>
      </c>
      <c r="AY17">
        <v>2112</v>
      </c>
      <c r="AZ17">
        <v>8</v>
      </c>
      <c r="BA17">
        <v>3379.2</v>
      </c>
      <c r="BB17">
        <v>7</v>
      </c>
      <c r="BC17">
        <v>2956.7999999999997</v>
      </c>
      <c r="BD17">
        <v>8</v>
      </c>
      <c r="BE17">
        <v>3379.2</v>
      </c>
      <c r="BF17">
        <v>6</v>
      </c>
      <c r="BG17">
        <v>2534.3999999999996</v>
      </c>
      <c r="BH17">
        <v>6</v>
      </c>
      <c r="BI17">
        <v>2534.3999999999996</v>
      </c>
      <c r="BJ17">
        <v>7</v>
      </c>
      <c r="BK17">
        <v>2956.7999999999997</v>
      </c>
      <c r="BL17">
        <v>6</v>
      </c>
      <c r="BM17">
        <v>2534.3999999999996</v>
      </c>
      <c r="BN17">
        <v>9</v>
      </c>
      <c r="BO17">
        <v>3801.6</v>
      </c>
      <c r="BP17">
        <v>9</v>
      </c>
      <c r="BQ17">
        <v>3801.6</v>
      </c>
      <c r="BR17">
        <v>8</v>
      </c>
      <c r="BS17">
        <v>3379.2</v>
      </c>
      <c r="BT17">
        <v>9</v>
      </c>
      <c r="BU17">
        <v>3801.6</v>
      </c>
      <c r="BV17">
        <v>7</v>
      </c>
      <c r="BW17">
        <v>2956.7999999999997</v>
      </c>
      <c r="BX17">
        <v>7</v>
      </c>
      <c r="BY17">
        <v>2956.7999999999997</v>
      </c>
      <c r="BZ17">
        <v>7</v>
      </c>
      <c r="CA17">
        <v>2956.7999999999997</v>
      </c>
      <c r="CB17">
        <v>6</v>
      </c>
      <c r="CC17">
        <v>2534.3999999999996</v>
      </c>
      <c r="CD17">
        <v>6</v>
      </c>
      <c r="CE17">
        <v>2534.3999999999996</v>
      </c>
      <c r="CF17">
        <v>9</v>
      </c>
      <c r="CG17">
        <v>3801.6</v>
      </c>
      <c r="CH17">
        <v>8</v>
      </c>
      <c r="CI17">
        <v>3379.2</v>
      </c>
      <c r="CJ17">
        <v>8</v>
      </c>
      <c r="CK17">
        <v>3379.2</v>
      </c>
      <c r="CL17">
        <v>9</v>
      </c>
      <c r="CM17">
        <v>3801.6</v>
      </c>
      <c r="CN17">
        <v>8</v>
      </c>
      <c r="CO17">
        <v>3379.2</v>
      </c>
      <c r="CP17">
        <v>10</v>
      </c>
      <c r="CQ17">
        <v>4224</v>
      </c>
      <c r="CR17">
        <v>9</v>
      </c>
      <c r="CS17">
        <v>3801.6</v>
      </c>
      <c r="CT17">
        <v>5</v>
      </c>
      <c r="CU17">
        <v>2112</v>
      </c>
    </row>
    <row r="18" spans="2:99" x14ac:dyDescent="0.2">
      <c r="C18" s="116" t="s">
        <v>184</v>
      </c>
      <c r="D18">
        <v>5</v>
      </c>
      <c r="E18">
        <v>3264</v>
      </c>
      <c r="F18">
        <v>4</v>
      </c>
      <c r="G18">
        <v>2611.1999999999998</v>
      </c>
      <c r="H18">
        <v>5</v>
      </c>
      <c r="I18">
        <v>3264</v>
      </c>
      <c r="J18">
        <v>4</v>
      </c>
      <c r="K18">
        <v>2611.1999999999998</v>
      </c>
      <c r="L18">
        <v>6</v>
      </c>
      <c r="M18">
        <v>3916.7999999999997</v>
      </c>
      <c r="N18">
        <v>7</v>
      </c>
      <c r="O18">
        <v>4569.5999999999995</v>
      </c>
      <c r="P18">
        <v>8</v>
      </c>
      <c r="Q18">
        <v>5222.3999999999996</v>
      </c>
      <c r="R18">
        <v>5</v>
      </c>
      <c r="S18">
        <v>3264</v>
      </c>
      <c r="T18">
        <v>5</v>
      </c>
      <c r="U18">
        <v>3264</v>
      </c>
      <c r="V18">
        <v>6</v>
      </c>
      <c r="W18">
        <v>3916.7999999999997</v>
      </c>
      <c r="X18">
        <v>8</v>
      </c>
      <c r="Y18">
        <v>5222.3999999999996</v>
      </c>
      <c r="Z18">
        <v>5</v>
      </c>
      <c r="AA18">
        <v>3264</v>
      </c>
      <c r="AB18">
        <v>7</v>
      </c>
      <c r="AC18">
        <v>4569.5999999999995</v>
      </c>
      <c r="AD18">
        <v>6</v>
      </c>
      <c r="AE18">
        <v>3916.7999999999997</v>
      </c>
      <c r="AF18">
        <v>6</v>
      </c>
      <c r="AG18">
        <v>3916.7999999999997</v>
      </c>
      <c r="AH18">
        <v>5</v>
      </c>
      <c r="AI18">
        <v>3264</v>
      </c>
      <c r="AJ18">
        <v>8</v>
      </c>
      <c r="AK18">
        <v>5222.3999999999996</v>
      </c>
      <c r="AL18">
        <v>7</v>
      </c>
      <c r="AM18">
        <v>4569.5999999999995</v>
      </c>
      <c r="AN18">
        <v>6</v>
      </c>
      <c r="AO18">
        <v>3916.7999999999997</v>
      </c>
      <c r="AP18">
        <v>5</v>
      </c>
      <c r="AQ18">
        <v>3264</v>
      </c>
      <c r="AR18">
        <v>7</v>
      </c>
      <c r="AS18">
        <v>4569.5999999999995</v>
      </c>
      <c r="AT18">
        <v>6</v>
      </c>
      <c r="AU18">
        <v>3916.7999999999997</v>
      </c>
      <c r="AV18">
        <v>6</v>
      </c>
      <c r="AW18">
        <v>3916.7999999999997</v>
      </c>
      <c r="AX18">
        <v>5</v>
      </c>
      <c r="AY18">
        <v>3264</v>
      </c>
      <c r="AZ18">
        <v>9</v>
      </c>
      <c r="BA18">
        <v>5875.2</v>
      </c>
      <c r="BB18">
        <v>6</v>
      </c>
      <c r="BC18">
        <v>3916.7999999999997</v>
      </c>
      <c r="BD18">
        <v>7</v>
      </c>
      <c r="BE18">
        <v>4569.5999999999995</v>
      </c>
      <c r="BF18">
        <v>6</v>
      </c>
      <c r="BG18">
        <v>3916.7999999999997</v>
      </c>
      <c r="BH18">
        <v>7</v>
      </c>
      <c r="BI18">
        <v>4569.5999999999995</v>
      </c>
      <c r="BJ18">
        <v>7</v>
      </c>
      <c r="BK18">
        <v>4569.5999999999995</v>
      </c>
      <c r="BL18">
        <v>5</v>
      </c>
      <c r="BM18">
        <v>3264</v>
      </c>
      <c r="BN18">
        <v>9</v>
      </c>
      <c r="BO18">
        <v>5875.2</v>
      </c>
      <c r="BP18">
        <v>10</v>
      </c>
      <c r="BQ18">
        <v>6528</v>
      </c>
      <c r="BR18">
        <v>7</v>
      </c>
      <c r="BS18">
        <v>4569.5999999999995</v>
      </c>
      <c r="BT18">
        <v>8</v>
      </c>
      <c r="BU18">
        <v>5222.3999999999996</v>
      </c>
      <c r="BV18">
        <v>7</v>
      </c>
      <c r="BW18">
        <v>4569.5999999999995</v>
      </c>
      <c r="BX18">
        <v>6</v>
      </c>
      <c r="BY18">
        <v>3916.7999999999997</v>
      </c>
      <c r="BZ18">
        <v>7</v>
      </c>
      <c r="CA18">
        <v>4569.5999999999995</v>
      </c>
      <c r="CB18">
        <v>5</v>
      </c>
      <c r="CC18">
        <v>3264</v>
      </c>
      <c r="CD18">
        <v>6</v>
      </c>
      <c r="CE18">
        <v>3916.7999999999997</v>
      </c>
      <c r="CF18">
        <v>10</v>
      </c>
      <c r="CG18">
        <v>6528</v>
      </c>
      <c r="CH18">
        <v>7</v>
      </c>
      <c r="CI18">
        <v>4569.5999999999995</v>
      </c>
      <c r="CJ18">
        <v>8</v>
      </c>
      <c r="CK18">
        <v>5222.3999999999996</v>
      </c>
      <c r="CL18">
        <v>8</v>
      </c>
      <c r="CM18">
        <v>5222.3999999999996</v>
      </c>
      <c r="CN18">
        <v>8</v>
      </c>
      <c r="CO18">
        <v>5222.3999999999996</v>
      </c>
      <c r="CP18">
        <v>10</v>
      </c>
      <c r="CQ18">
        <v>6528</v>
      </c>
      <c r="CR18">
        <v>8</v>
      </c>
      <c r="CS18">
        <v>5222.3999999999996</v>
      </c>
      <c r="CT18">
        <v>5</v>
      </c>
      <c r="CU18">
        <v>3264</v>
      </c>
    </row>
    <row r="19" spans="2:99" x14ac:dyDescent="0.2">
      <c r="C19" s="116" t="s">
        <v>185</v>
      </c>
      <c r="D19">
        <v>4</v>
      </c>
      <c r="E19">
        <v>1320</v>
      </c>
      <c r="F19">
        <v>4</v>
      </c>
      <c r="G19">
        <v>1320</v>
      </c>
      <c r="H19">
        <v>5</v>
      </c>
      <c r="I19">
        <v>1650</v>
      </c>
      <c r="J19">
        <v>5</v>
      </c>
      <c r="K19">
        <v>1650</v>
      </c>
      <c r="L19">
        <v>7</v>
      </c>
      <c r="M19">
        <v>2310</v>
      </c>
      <c r="N19">
        <v>6</v>
      </c>
      <c r="O19">
        <v>1980</v>
      </c>
      <c r="P19">
        <v>7</v>
      </c>
      <c r="Q19">
        <v>2310</v>
      </c>
      <c r="R19">
        <v>6</v>
      </c>
      <c r="S19">
        <v>1980</v>
      </c>
      <c r="T19">
        <v>6</v>
      </c>
      <c r="U19">
        <v>1980</v>
      </c>
      <c r="V19">
        <v>7</v>
      </c>
      <c r="W19">
        <v>2310</v>
      </c>
      <c r="X19">
        <v>8</v>
      </c>
      <c r="Y19">
        <v>2640</v>
      </c>
      <c r="Z19">
        <v>5</v>
      </c>
      <c r="AA19">
        <v>1650</v>
      </c>
      <c r="AB19">
        <v>7</v>
      </c>
      <c r="AC19">
        <v>2310</v>
      </c>
      <c r="AD19">
        <v>6</v>
      </c>
      <c r="AE19">
        <v>1980</v>
      </c>
      <c r="AF19">
        <v>6</v>
      </c>
      <c r="AG19">
        <v>1980</v>
      </c>
      <c r="AH19">
        <v>6</v>
      </c>
      <c r="AI19">
        <v>1980</v>
      </c>
      <c r="AJ19">
        <v>8</v>
      </c>
      <c r="AK19">
        <v>2640</v>
      </c>
      <c r="AL19">
        <v>8</v>
      </c>
      <c r="AM19">
        <v>2640</v>
      </c>
      <c r="AN19">
        <v>6</v>
      </c>
      <c r="AO19">
        <v>1980</v>
      </c>
      <c r="AP19">
        <v>6</v>
      </c>
      <c r="AQ19">
        <v>1980</v>
      </c>
      <c r="AR19">
        <v>6</v>
      </c>
      <c r="AS19">
        <v>1980</v>
      </c>
      <c r="AT19">
        <v>6</v>
      </c>
      <c r="AU19">
        <v>1980</v>
      </c>
      <c r="AV19">
        <v>7</v>
      </c>
      <c r="AW19">
        <v>2310</v>
      </c>
      <c r="AX19">
        <v>5</v>
      </c>
      <c r="AY19">
        <v>1650</v>
      </c>
      <c r="AZ19">
        <v>8</v>
      </c>
      <c r="BA19">
        <v>2640</v>
      </c>
      <c r="BB19">
        <v>7</v>
      </c>
      <c r="BC19">
        <v>2310</v>
      </c>
      <c r="BD19">
        <v>8</v>
      </c>
      <c r="BE19">
        <v>2640</v>
      </c>
      <c r="BF19">
        <v>7</v>
      </c>
      <c r="BG19">
        <v>2310</v>
      </c>
      <c r="BH19">
        <v>6</v>
      </c>
      <c r="BI19">
        <v>1980</v>
      </c>
      <c r="BJ19">
        <v>7</v>
      </c>
      <c r="BK19">
        <v>2310</v>
      </c>
      <c r="BL19">
        <v>6</v>
      </c>
      <c r="BM19">
        <v>1980</v>
      </c>
      <c r="BN19">
        <v>10</v>
      </c>
      <c r="BO19">
        <v>3300</v>
      </c>
      <c r="BP19">
        <v>10</v>
      </c>
      <c r="BQ19">
        <v>3300</v>
      </c>
      <c r="BR19">
        <v>7</v>
      </c>
      <c r="BS19">
        <v>2310</v>
      </c>
      <c r="BT19">
        <v>8</v>
      </c>
      <c r="BU19">
        <v>2640</v>
      </c>
      <c r="BV19">
        <v>8</v>
      </c>
      <c r="BW19">
        <v>2640</v>
      </c>
      <c r="BX19">
        <v>6</v>
      </c>
      <c r="BY19">
        <v>1980</v>
      </c>
      <c r="BZ19">
        <v>8</v>
      </c>
      <c r="CA19">
        <v>2640</v>
      </c>
      <c r="CB19">
        <v>5</v>
      </c>
      <c r="CC19">
        <v>1650</v>
      </c>
      <c r="CD19">
        <v>6</v>
      </c>
      <c r="CE19">
        <v>1980</v>
      </c>
      <c r="CF19">
        <v>10</v>
      </c>
      <c r="CG19">
        <v>3300</v>
      </c>
      <c r="CH19">
        <v>8</v>
      </c>
      <c r="CI19">
        <v>2640</v>
      </c>
      <c r="CJ19">
        <v>8</v>
      </c>
      <c r="CK19">
        <v>2640</v>
      </c>
      <c r="CL19">
        <v>8</v>
      </c>
      <c r="CM19">
        <v>2640</v>
      </c>
      <c r="CN19">
        <v>9</v>
      </c>
      <c r="CO19">
        <v>2970</v>
      </c>
      <c r="CP19">
        <v>9</v>
      </c>
      <c r="CQ19">
        <v>2970</v>
      </c>
      <c r="CR19">
        <v>8</v>
      </c>
      <c r="CS19">
        <v>2640</v>
      </c>
      <c r="CT19">
        <v>6</v>
      </c>
      <c r="CU19">
        <v>1980</v>
      </c>
    </row>
    <row r="20" spans="2:99" x14ac:dyDescent="0.2">
      <c r="B20" s="116" t="s">
        <v>127</v>
      </c>
      <c r="C20" s="116" t="s">
        <v>186</v>
      </c>
      <c r="D20">
        <v>6</v>
      </c>
      <c r="E20">
        <v>1720.8000000000002</v>
      </c>
      <c r="F20">
        <v>8</v>
      </c>
      <c r="G20">
        <v>2294.4</v>
      </c>
      <c r="H20">
        <v>5</v>
      </c>
      <c r="I20">
        <v>1434</v>
      </c>
      <c r="J20">
        <v>8</v>
      </c>
      <c r="K20">
        <v>2294.4</v>
      </c>
      <c r="L20">
        <v>7</v>
      </c>
      <c r="M20">
        <v>2007.6000000000001</v>
      </c>
      <c r="N20">
        <v>5</v>
      </c>
      <c r="O20">
        <v>1434</v>
      </c>
      <c r="P20">
        <v>9</v>
      </c>
      <c r="Q20">
        <v>2581.2000000000003</v>
      </c>
      <c r="R20">
        <v>8</v>
      </c>
      <c r="S20">
        <v>2294.4</v>
      </c>
      <c r="T20">
        <v>7</v>
      </c>
      <c r="U20">
        <v>2007.6000000000001</v>
      </c>
      <c r="V20">
        <v>8</v>
      </c>
      <c r="W20">
        <v>2294.4</v>
      </c>
      <c r="X20">
        <v>8</v>
      </c>
      <c r="Y20">
        <v>2294.4</v>
      </c>
      <c r="Z20">
        <v>7</v>
      </c>
      <c r="AA20">
        <v>2007.6000000000001</v>
      </c>
      <c r="AB20">
        <v>7</v>
      </c>
      <c r="AC20">
        <v>2007.6000000000001</v>
      </c>
      <c r="AD20">
        <v>6</v>
      </c>
      <c r="AE20">
        <v>1720.8000000000002</v>
      </c>
      <c r="AF20">
        <v>6</v>
      </c>
      <c r="AG20">
        <v>1720.8000000000002</v>
      </c>
      <c r="AH20">
        <v>5</v>
      </c>
      <c r="AI20">
        <v>1434</v>
      </c>
      <c r="AJ20">
        <v>5</v>
      </c>
      <c r="AK20">
        <v>1434</v>
      </c>
      <c r="AL20">
        <v>7</v>
      </c>
      <c r="AM20">
        <v>2007.6000000000001</v>
      </c>
      <c r="AN20">
        <v>5</v>
      </c>
      <c r="AO20">
        <v>1434</v>
      </c>
      <c r="AP20">
        <v>10</v>
      </c>
      <c r="AQ20">
        <v>2868</v>
      </c>
      <c r="AR20">
        <v>7</v>
      </c>
      <c r="AS20">
        <v>2007.6000000000001</v>
      </c>
      <c r="AT20">
        <v>9</v>
      </c>
      <c r="AU20">
        <v>2581.2000000000003</v>
      </c>
      <c r="AV20">
        <v>6</v>
      </c>
      <c r="AW20">
        <v>1720.8000000000002</v>
      </c>
      <c r="AX20">
        <v>5</v>
      </c>
      <c r="AY20">
        <v>1434</v>
      </c>
      <c r="AZ20">
        <v>6</v>
      </c>
      <c r="BA20">
        <v>1720.8000000000002</v>
      </c>
      <c r="BB20">
        <v>9</v>
      </c>
      <c r="BC20">
        <v>2581.2000000000003</v>
      </c>
      <c r="BD20">
        <v>9</v>
      </c>
      <c r="BE20">
        <v>2581.2000000000003</v>
      </c>
      <c r="BF20">
        <v>6</v>
      </c>
      <c r="BG20">
        <v>1720.8000000000002</v>
      </c>
      <c r="BH20">
        <v>6</v>
      </c>
      <c r="BI20">
        <v>1720.8000000000002</v>
      </c>
      <c r="BJ20">
        <v>9</v>
      </c>
      <c r="BK20">
        <v>2581.2000000000003</v>
      </c>
      <c r="BL20">
        <v>6</v>
      </c>
      <c r="BM20">
        <v>1720.8000000000002</v>
      </c>
      <c r="BN20">
        <v>6</v>
      </c>
      <c r="BO20">
        <v>1720.8000000000002</v>
      </c>
      <c r="BP20">
        <v>8</v>
      </c>
      <c r="BQ20">
        <v>2294.4</v>
      </c>
      <c r="BR20">
        <v>9</v>
      </c>
      <c r="BS20">
        <v>2581.2000000000003</v>
      </c>
      <c r="BT20">
        <v>9</v>
      </c>
      <c r="BU20">
        <v>2581.2000000000003</v>
      </c>
      <c r="BV20">
        <v>8</v>
      </c>
      <c r="BW20">
        <v>2294.4</v>
      </c>
      <c r="BX20">
        <v>5</v>
      </c>
      <c r="BY20">
        <v>1434</v>
      </c>
      <c r="BZ20">
        <v>5</v>
      </c>
      <c r="CA20">
        <v>1434</v>
      </c>
      <c r="CB20">
        <v>8</v>
      </c>
      <c r="CC20">
        <v>2294.4</v>
      </c>
      <c r="CD20">
        <v>8</v>
      </c>
      <c r="CE20">
        <v>2294.4</v>
      </c>
      <c r="CF20">
        <v>10</v>
      </c>
      <c r="CG20">
        <v>2868</v>
      </c>
      <c r="CH20">
        <v>11</v>
      </c>
      <c r="CI20">
        <v>3154.8</v>
      </c>
      <c r="CJ20">
        <v>9</v>
      </c>
      <c r="CK20">
        <v>2581.2000000000003</v>
      </c>
      <c r="CL20">
        <v>9</v>
      </c>
      <c r="CM20">
        <v>2581.2000000000003</v>
      </c>
      <c r="CN20">
        <v>8</v>
      </c>
      <c r="CO20">
        <v>2294.4</v>
      </c>
      <c r="CP20">
        <v>9</v>
      </c>
      <c r="CQ20">
        <v>2581.2000000000003</v>
      </c>
      <c r="CR20">
        <v>8</v>
      </c>
      <c r="CS20">
        <v>2294.4</v>
      </c>
      <c r="CT20">
        <v>8</v>
      </c>
      <c r="CU20">
        <v>2294.4</v>
      </c>
    </row>
    <row r="21" spans="2:99" x14ac:dyDescent="0.2">
      <c r="C21" s="116" t="s">
        <v>187</v>
      </c>
      <c r="D21">
        <v>5</v>
      </c>
      <c r="E21">
        <v>312</v>
      </c>
      <c r="F21">
        <v>8</v>
      </c>
      <c r="G21">
        <v>499.2</v>
      </c>
      <c r="H21">
        <v>5</v>
      </c>
      <c r="I21">
        <v>312</v>
      </c>
      <c r="J21">
        <v>9</v>
      </c>
      <c r="K21">
        <v>561.6</v>
      </c>
      <c r="L21">
        <v>8</v>
      </c>
      <c r="M21">
        <v>499.2</v>
      </c>
      <c r="N21">
        <v>6</v>
      </c>
      <c r="O21">
        <v>374.4</v>
      </c>
      <c r="P21">
        <v>9</v>
      </c>
      <c r="Q21">
        <v>561.6</v>
      </c>
      <c r="R21">
        <v>9</v>
      </c>
      <c r="S21">
        <v>561.6</v>
      </c>
      <c r="T21">
        <v>7</v>
      </c>
      <c r="U21">
        <v>436.8</v>
      </c>
      <c r="V21">
        <v>7</v>
      </c>
      <c r="W21">
        <v>436.8</v>
      </c>
      <c r="X21">
        <v>7</v>
      </c>
      <c r="Y21">
        <v>436.8</v>
      </c>
      <c r="Z21">
        <v>7</v>
      </c>
      <c r="AA21">
        <v>436.8</v>
      </c>
      <c r="AB21">
        <v>7</v>
      </c>
      <c r="AC21">
        <v>436.8</v>
      </c>
      <c r="AD21">
        <v>6</v>
      </c>
      <c r="AE21">
        <v>374.4</v>
      </c>
      <c r="AF21">
        <v>5</v>
      </c>
      <c r="AG21">
        <v>312</v>
      </c>
      <c r="AH21">
        <v>5</v>
      </c>
      <c r="AI21">
        <v>312</v>
      </c>
      <c r="AJ21">
        <v>5</v>
      </c>
      <c r="AK21">
        <v>312</v>
      </c>
      <c r="AL21">
        <v>7</v>
      </c>
      <c r="AM21">
        <v>436.8</v>
      </c>
      <c r="AN21">
        <v>5</v>
      </c>
      <c r="AO21">
        <v>312</v>
      </c>
      <c r="AP21">
        <v>9</v>
      </c>
      <c r="AQ21">
        <v>561.6</v>
      </c>
      <c r="AR21">
        <v>8</v>
      </c>
      <c r="AS21">
        <v>499.2</v>
      </c>
      <c r="AT21">
        <v>10</v>
      </c>
      <c r="AU21">
        <v>624</v>
      </c>
      <c r="AV21">
        <v>7</v>
      </c>
      <c r="AW21">
        <v>436.8</v>
      </c>
      <c r="AX21">
        <v>5</v>
      </c>
      <c r="AY21">
        <v>312</v>
      </c>
      <c r="AZ21">
        <v>6</v>
      </c>
      <c r="BA21">
        <v>374.4</v>
      </c>
      <c r="BB21">
        <v>9</v>
      </c>
      <c r="BC21">
        <v>561.6</v>
      </c>
      <c r="BD21">
        <v>10</v>
      </c>
      <c r="BE21">
        <v>624</v>
      </c>
      <c r="BF21">
        <v>6</v>
      </c>
      <c r="BG21">
        <v>374.4</v>
      </c>
      <c r="BH21">
        <v>7</v>
      </c>
      <c r="BI21">
        <v>436.8</v>
      </c>
      <c r="BJ21">
        <v>9</v>
      </c>
      <c r="BK21">
        <v>561.6</v>
      </c>
      <c r="BL21">
        <v>6</v>
      </c>
      <c r="BM21">
        <v>374.4</v>
      </c>
      <c r="BN21">
        <v>7</v>
      </c>
      <c r="BO21">
        <v>436.8</v>
      </c>
      <c r="BP21">
        <v>7</v>
      </c>
      <c r="BQ21">
        <v>436.8</v>
      </c>
      <c r="BR21">
        <v>9</v>
      </c>
      <c r="BS21">
        <v>561.6</v>
      </c>
      <c r="BT21">
        <v>10</v>
      </c>
      <c r="BU21">
        <v>624</v>
      </c>
      <c r="BV21">
        <v>8</v>
      </c>
      <c r="BW21">
        <v>499.2</v>
      </c>
      <c r="BX21">
        <v>5</v>
      </c>
      <c r="BY21">
        <v>312</v>
      </c>
      <c r="BZ21">
        <v>5</v>
      </c>
      <c r="CA21">
        <v>312</v>
      </c>
      <c r="CB21">
        <v>8</v>
      </c>
      <c r="CC21">
        <v>499.2</v>
      </c>
      <c r="CD21">
        <v>8</v>
      </c>
      <c r="CE21">
        <v>499.2</v>
      </c>
      <c r="CF21">
        <v>9</v>
      </c>
      <c r="CG21">
        <v>561.6</v>
      </c>
      <c r="CH21">
        <v>10</v>
      </c>
      <c r="CI21">
        <v>624</v>
      </c>
      <c r="CJ21">
        <v>9</v>
      </c>
      <c r="CK21">
        <v>561.6</v>
      </c>
      <c r="CL21">
        <v>11</v>
      </c>
      <c r="CM21">
        <v>686.4</v>
      </c>
      <c r="CN21">
        <v>7</v>
      </c>
      <c r="CO21">
        <v>436.8</v>
      </c>
      <c r="CP21">
        <v>9</v>
      </c>
      <c r="CQ21">
        <v>561.6</v>
      </c>
      <c r="CR21">
        <v>8</v>
      </c>
      <c r="CS21">
        <v>499.2</v>
      </c>
      <c r="CT21">
        <v>8</v>
      </c>
      <c r="CU21">
        <v>499.2</v>
      </c>
    </row>
    <row r="22" spans="2:99" x14ac:dyDescent="0.2">
      <c r="C22" s="116" t="s">
        <v>188</v>
      </c>
      <c r="D22">
        <v>5</v>
      </c>
      <c r="E22">
        <v>936</v>
      </c>
      <c r="F22">
        <v>7</v>
      </c>
      <c r="G22">
        <v>1310.3999999999999</v>
      </c>
      <c r="H22">
        <v>5</v>
      </c>
      <c r="I22">
        <v>936</v>
      </c>
      <c r="J22">
        <v>9</v>
      </c>
      <c r="K22">
        <v>1684.8</v>
      </c>
      <c r="L22">
        <v>8</v>
      </c>
      <c r="M22">
        <v>1497.6</v>
      </c>
      <c r="N22">
        <v>6</v>
      </c>
      <c r="O22">
        <v>1123.1999999999998</v>
      </c>
      <c r="P22">
        <v>8</v>
      </c>
      <c r="Q22">
        <v>1497.6</v>
      </c>
      <c r="R22">
        <v>10</v>
      </c>
      <c r="S22">
        <v>1872</v>
      </c>
      <c r="T22">
        <v>7</v>
      </c>
      <c r="U22">
        <v>1310.3999999999999</v>
      </c>
      <c r="V22">
        <v>7</v>
      </c>
      <c r="W22">
        <v>1310.3999999999999</v>
      </c>
      <c r="X22">
        <v>7</v>
      </c>
      <c r="Y22">
        <v>1310.3999999999999</v>
      </c>
      <c r="Z22">
        <v>7</v>
      </c>
      <c r="AA22">
        <v>1310.3999999999999</v>
      </c>
      <c r="AB22">
        <v>7</v>
      </c>
      <c r="AC22">
        <v>1310.3999999999999</v>
      </c>
      <c r="AD22">
        <v>7</v>
      </c>
      <c r="AE22">
        <v>1310.3999999999999</v>
      </c>
      <c r="AF22">
        <v>6</v>
      </c>
      <c r="AG22">
        <v>1123.1999999999998</v>
      </c>
      <c r="AH22">
        <v>5</v>
      </c>
      <c r="AI22">
        <v>936</v>
      </c>
      <c r="AJ22">
        <v>5</v>
      </c>
      <c r="AK22">
        <v>936</v>
      </c>
      <c r="AL22">
        <v>7</v>
      </c>
      <c r="AM22">
        <v>1310.3999999999999</v>
      </c>
      <c r="AN22">
        <v>6</v>
      </c>
      <c r="AO22">
        <v>1123.1999999999998</v>
      </c>
      <c r="AP22">
        <v>9</v>
      </c>
      <c r="AQ22">
        <v>1684.8</v>
      </c>
      <c r="AR22">
        <v>7</v>
      </c>
      <c r="AS22">
        <v>1310.3999999999999</v>
      </c>
      <c r="AT22">
        <v>8</v>
      </c>
      <c r="AU22">
        <v>1497.6</v>
      </c>
      <c r="AV22">
        <v>7</v>
      </c>
      <c r="AW22">
        <v>1310.3999999999999</v>
      </c>
      <c r="AX22">
        <v>5</v>
      </c>
      <c r="AY22">
        <v>936</v>
      </c>
      <c r="AZ22">
        <v>6</v>
      </c>
      <c r="BA22">
        <v>1123.1999999999998</v>
      </c>
      <c r="BB22">
        <v>9</v>
      </c>
      <c r="BC22">
        <v>1684.8</v>
      </c>
      <c r="BD22">
        <v>9</v>
      </c>
      <c r="BE22">
        <v>1684.8</v>
      </c>
      <c r="BF22">
        <v>6</v>
      </c>
      <c r="BG22">
        <v>1123.1999999999998</v>
      </c>
      <c r="BH22">
        <v>7</v>
      </c>
      <c r="BI22">
        <v>1310.3999999999999</v>
      </c>
      <c r="BJ22">
        <v>8</v>
      </c>
      <c r="BK22">
        <v>1497.6</v>
      </c>
      <c r="BL22">
        <v>6</v>
      </c>
      <c r="BM22">
        <v>1123.1999999999998</v>
      </c>
      <c r="BN22">
        <v>7</v>
      </c>
      <c r="BO22">
        <v>1310.3999999999999</v>
      </c>
      <c r="BP22">
        <v>7</v>
      </c>
      <c r="BQ22">
        <v>1310.3999999999999</v>
      </c>
      <c r="BR22">
        <v>9</v>
      </c>
      <c r="BS22">
        <v>1684.8</v>
      </c>
      <c r="BT22">
        <v>8</v>
      </c>
      <c r="BU22">
        <v>1497.6</v>
      </c>
      <c r="BV22">
        <v>7</v>
      </c>
      <c r="BW22">
        <v>1310.3999999999999</v>
      </c>
      <c r="BX22">
        <v>5</v>
      </c>
      <c r="BY22">
        <v>936</v>
      </c>
      <c r="BZ22">
        <v>5</v>
      </c>
      <c r="CA22">
        <v>936</v>
      </c>
      <c r="CB22">
        <v>9</v>
      </c>
      <c r="CC22">
        <v>1684.8</v>
      </c>
      <c r="CD22">
        <v>8</v>
      </c>
      <c r="CE22">
        <v>1497.6</v>
      </c>
      <c r="CF22">
        <v>11</v>
      </c>
      <c r="CG22">
        <v>2059.1999999999998</v>
      </c>
      <c r="CH22">
        <v>11</v>
      </c>
      <c r="CI22">
        <v>2059.1999999999998</v>
      </c>
      <c r="CJ22">
        <v>10</v>
      </c>
      <c r="CK22">
        <v>1872</v>
      </c>
      <c r="CL22">
        <v>11</v>
      </c>
      <c r="CM22">
        <v>2059.1999999999998</v>
      </c>
      <c r="CN22">
        <v>7</v>
      </c>
      <c r="CO22">
        <v>1310.3999999999999</v>
      </c>
      <c r="CP22">
        <v>8</v>
      </c>
      <c r="CQ22">
        <v>1497.6</v>
      </c>
      <c r="CR22">
        <v>8</v>
      </c>
      <c r="CS22">
        <v>1497.6</v>
      </c>
      <c r="CT22">
        <v>8</v>
      </c>
      <c r="CU22">
        <v>1497.6</v>
      </c>
    </row>
    <row r="23" spans="2:99" x14ac:dyDescent="0.2">
      <c r="C23" s="116" t="s">
        <v>189</v>
      </c>
      <c r="D23">
        <v>6</v>
      </c>
      <c r="E23">
        <v>1764</v>
      </c>
      <c r="F23">
        <v>8</v>
      </c>
      <c r="G23">
        <v>2352</v>
      </c>
      <c r="H23">
        <v>5</v>
      </c>
      <c r="I23">
        <v>1470</v>
      </c>
      <c r="J23">
        <v>8</v>
      </c>
      <c r="K23">
        <v>2352</v>
      </c>
      <c r="L23">
        <v>7</v>
      </c>
      <c r="M23">
        <v>2058</v>
      </c>
      <c r="N23">
        <v>6</v>
      </c>
      <c r="O23">
        <v>1764</v>
      </c>
      <c r="P23">
        <v>9</v>
      </c>
      <c r="Q23">
        <v>2646</v>
      </c>
      <c r="R23">
        <v>8</v>
      </c>
      <c r="S23">
        <v>2352</v>
      </c>
      <c r="T23">
        <v>7</v>
      </c>
      <c r="U23">
        <v>2058</v>
      </c>
      <c r="V23">
        <v>7</v>
      </c>
      <c r="W23">
        <v>2058</v>
      </c>
      <c r="X23">
        <v>6</v>
      </c>
      <c r="Y23">
        <v>1764</v>
      </c>
      <c r="Z23">
        <v>7</v>
      </c>
      <c r="AA23">
        <v>2058</v>
      </c>
      <c r="AB23">
        <v>8</v>
      </c>
      <c r="AC23">
        <v>2352</v>
      </c>
      <c r="AD23">
        <v>7</v>
      </c>
      <c r="AE23">
        <v>2058</v>
      </c>
      <c r="AF23">
        <v>6</v>
      </c>
      <c r="AG23">
        <v>1764</v>
      </c>
      <c r="AH23">
        <v>6</v>
      </c>
      <c r="AI23">
        <v>1764</v>
      </c>
      <c r="AJ23">
        <v>6</v>
      </c>
      <c r="AK23">
        <v>1764</v>
      </c>
      <c r="AL23">
        <v>7</v>
      </c>
      <c r="AM23">
        <v>2058</v>
      </c>
      <c r="AN23">
        <v>5</v>
      </c>
      <c r="AO23">
        <v>1470</v>
      </c>
      <c r="AP23">
        <v>10</v>
      </c>
      <c r="AQ23">
        <v>2940</v>
      </c>
      <c r="AR23">
        <v>8</v>
      </c>
      <c r="AS23">
        <v>2352</v>
      </c>
      <c r="AT23">
        <v>8</v>
      </c>
      <c r="AU23">
        <v>2352</v>
      </c>
      <c r="AV23">
        <v>7</v>
      </c>
      <c r="AW23">
        <v>2058</v>
      </c>
      <c r="AX23">
        <v>5</v>
      </c>
      <c r="AY23">
        <v>1470</v>
      </c>
      <c r="AZ23">
        <v>7</v>
      </c>
      <c r="BA23">
        <v>2058</v>
      </c>
      <c r="BB23">
        <v>9</v>
      </c>
      <c r="BC23">
        <v>2646</v>
      </c>
      <c r="BD23">
        <v>10</v>
      </c>
      <c r="BE23">
        <v>2940</v>
      </c>
      <c r="BF23">
        <v>6</v>
      </c>
      <c r="BG23">
        <v>1764</v>
      </c>
      <c r="BH23">
        <v>6</v>
      </c>
      <c r="BI23">
        <v>1764</v>
      </c>
      <c r="BJ23">
        <v>8</v>
      </c>
      <c r="BK23">
        <v>2352</v>
      </c>
      <c r="BL23">
        <v>6</v>
      </c>
      <c r="BM23">
        <v>1764</v>
      </c>
      <c r="BN23">
        <v>7</v>
      </c>
      <c r="BO23">
        <v>2058</v>
      </c>
      <c r="BP23">
        <v>7</v>
      </c>
      <c r="BQ23">
        <v>2058</v>
      </c>
      <c r="BR23">
        <v>9</v>
      </c>
      <c r="BS23">
        <v>2646</v>
      </c>
      <c r="BT23">
        <v>8</v>
      </c>
      <c r="BU23">
        <v>2352</v>
      </c>
      <c r="BV23">
        <v>7</v>
      </c>
      <c r="BW23">
        <v>2058</v>
      </c>
      <c r="BX23">
        <v>6</v>
      </c>
      <c r="BY23">
        <v>1764</v>
      </c>
      <c r="BZ23">
        <v>6</v>
      </c>
      <c r="CA23">
        <v>1764</v>
      </c>
      <c r="CB23">
        <v>8</v>
      </c>
      <c r="CC23">
        <v>2352</v>
      </c>
      <c r="CD23">
        <v>8</v>
      </c>
      <c r="CE23">
        <v>2352</v>
      </c>
      <c r="CF23">
        <v>9</v>
      </c>
      <c r="CG23">
        <v>2646</v>
      </c>
      <c r="CH23">
        <v>10</v>
      </c>
      <c r="CI23">
        <v>2940</v>
      </c>
      <c r="CJ23">
        <v>10</v>
      </c>
      <c r="CK23">
        <v>2940</v>
      </c>
      <c r="CL23">
        <v>10</v>
      </c>
      <c r="CM23">
        <v>2940</v>
      </c>
      <c r="CN23">
        <v>7</v>
      </c>
      <c r="CO23">
        <v>2058</v>
      </c>
      <c r="CP23">
        <v>9</v>
      </c>
      <c r="CQ23">
        <v>2646</v>
      </c>
      <c r="CR23">
        <v>8</v>
      </c>
      <c r="CS23">
        <v>2352</v>
      </c>
      <c r="CT23">
        <v>9</v>
      </c>
      <c r="CU23">
        <v>2646</v>
      </c>
    </row>
    <row r="24" spans="2:99" x14ac:dyDescent="0.2">
      <c r="C24" s="116" t="s">
        <v>190</v>
      </c>
      <c r="D24">
        <v>6</v>
      </c>
      <c r="E24">
        <v>2203.1999999999998</v>
      </c>
      <c r="F24">
        <v>8</v>
      </c>
      <c r="G24">
        <v>2937.6</v>
      </c>
      <c r="H24">
        <v>5</v>
      </c>
      <c r="I24">
        <v>1836</v>
      </c>
      <c r="J24">
        <v>8</v>
      </c>
      <c r="K24">
        <v>2937.6</v>
      </c>
      <c r="L24">
        <v>9</v>
      </c>
      <c r="M24">
        <v>3304.7999999999997</v>
      </c>
      <c r="N24">
        <v>5</v>
      </c>
      <c r="O24">
        <v>1836</v>
      </c>
      <c r="P24">
        <v>9</v>
      </c>
      <c r="Q24">
        <v>3304.7999999999997</v>
      </c>
      <c r="R24">
        <v>9</v>
      </c>
      <c r="S24">
        <v>3304.7999999999997</v>
      </c>
      <c r="T24">
        <v>7</v>
      </c>
      <c r="U24">
        <v>2570.4</v>
      </c>
      <c r="V24">
        <v>7</v>
      </c>
      <c r="W24">
        <v>2570.4</v>
      </c>
      <c r="X24">
        <v>7</v>
      </c>
      <c r="Y24">
        <v>2570.4</v>
      </c>
      <c r="Z24">
        <v>6</v>
      </c>
      <c r="AA24">
        <v>2203.1999999999998</v>
      </c>
      <c r="AB24">
        <v>8</v>
      </c>
      <c r="AC24">
        <v>2937.6</v>
      </c>
      <c r="AD24">
        <v>6</v>
      </c>
      <c r="AE24">
        <v>2203.1999999999998</v>
      </c>
      <c r="AF24">
        <v>6</v>
      </c>
      <c r="AG24">
        <v>2203.1999999999998</v>
      </c>
      <c r="AH24">
        <v>6</v>
      </c>
      <c r="AI24">
        <v>2203.1999999999998</v>
      </c>
      <c r="AJ24">
        <v>6</v>
      </c>
      <c r="AK24">
        <v>2203.1999999999998</v>
      </c>
      <c r="AL24">
        <v>7</v>
      </c>
      <c r="AM24">
        <v>2570.4</v>
      </c>
      <c r="AN24">
        <v>6</v>
      </c>
      <c r="AO24">
        <v>2203.1999999999998</v>
      </c>
      <c r="AP24">
        <v>8</v>
      </c>
      <c r="AQ24">
        <v>2937.6</v>
      </c>
      <c r="AR24">
        <v>7</v>
      </c>
      <c r="AS24">
        <v>2570.4</v>
      </c>
      <c r="AT24">
        <v>9</v>
      </c>
      <c r="AU24">
        <v>3304.7999999999997</v>
      </c>
      <c r="AV24">
        <v>7</v>
      </c>
      <c r="AW24">
        <v>2570.4</v>
      </c>
      <c r="AX24">
        <v>5</v>
      </c>
      <c r="AY24">
        <v>1836</v>
      </c>
      <c r="AZ24">
        <v>6</v>
      </c>
      <c r="BA24">
        <v>2203.1999999999998</v>
      </c>
      <c r="BB24">
        <v>10</v>
      </c>
      <c r="BC24">
        <v>3672</v>
      </c>
      <c r="BD24">
        <v>9</v>
      </c>
      <c r="BE24">
        <v>3304.7999999999997</v>
      </c>
      <c r="BF24">
        <v>6</v>
      </c>
      <c r="BG24">
        <v>2203.1999999999998</v>
      </c>
      <c r="BH24">
        <v>7</v>
      </c>
      <c r="BI24">
        <v>2570.4</v>
      </c>
      <c r="BJ24">
        <v>8</v>
      </c>
      <c r="BK24">
        <v>2937.6</v>
      </c>
      <c r="BL24">
        <v>6</v>
      </c>
      <c r="BM24">
        <v>2203.1999999999998</v>
      </c>
      <c r="BN24">
        <v>7</v>
      </c>
      <c r="BO24">
        <v>2570.4</v>
      </c>
      <c r="BP24">
        <v>7</v>
      </c>
      <c r="BQ24">
        <v>2570.4</v>
      </c>
      <c r="BR24">
        <v>10</v>
      </c>
      <c r="BS24">
        <v>3672</v>
      </c>
      <c r="BT24">
        <v>9</v>
      </c>
      <c r="BU24">
        <v>3304.7999999999997</v>
      </c>
      <c r="BV24">
        <v>9</v>
      </c>
      <c r="BW24">
        <v>3304.7999999999997</v>
      </c>
      <c r="BX24">
        <v>6</v>
      </c>
      <c r="BY24">
        <v>2203.1999999999998</v>
      </c>
      <c r="BZ24">
        <v>5</v>
      </c>
      <c r="CA24">
        <v>1836</v>
      </c>
      <c r="CB24">
        <v>8</v>
      </c>
      <c r="CC24">
        <v>2937.6</v>
      </c>
      <c r="CD24">
        <v>8</v>
      </c>
      <c r="CE24">
        <v>2937.6</v>
      </c>
      <c r="CF24">
        <v>10</v>
      </c>
      <c r="CG24">
        <v>3672</v>
      </c>
      <c r="CH24">
        <v>9</v>
      </c>
      <c r="CI24">
        <v>3304.7999999999997</v>
      </c>
      <c r="CJ24">
        <v>9</v>
      </c>
      <c r="CK24">
        <v>3304.7999999999997</v>
      </c>
      <c r="CL24">
        <v>9</v>
      </c>
      <c r="CM24">
        <v>3304.7999999999997</v>
      </c>
      <c r="CN24">
        <v>7</v>
      </c>
      <c r="CO24">
        <v>2570.4</v>
      </c>
      <c r="CP24">
        <v>9</v>
      </c>
      <c r="CQ24">
        <v>3304.7999999999997</v>
      </c>
      <c r="CR24">
        <v>8</v>
      </c>
      <c r="CS24">
        <v>2937.6</v>
      </c>
      <c r="CT24">
        <v>8</v>
      </c>
      <c r="CU24">
        <v>2937.6</v>
      </c>
    </row>
    <row r="25" spans="2:99" x14ac:dyDescent="0.2">
      <c r="C25" s="116" t="s">
        <v>191</v>
      </c>
      <c r="D25">
        <v>5</v>
      </c>
      <c r="E25">
        <v>2652</v>
      </c>
      <c r="F25">
        <v>7</v>
      </c>
      <c r="G25">
        <v>3712.7999999999997</v>
      </c>
      <c r="H25">
        <v>5</v>
      </c>
      <c r="I25">
        <v>2652</v>
      </c>
      <c r="J25">
        <v>9</v>
      </c>
      <c r="K25">
        <v>4773.5999999999995</v>
      </c>
      <c r="L25">
        <v>8</v>
      </c>
      <c r="M25">
        <v>4243.2</v>
      </c>
      <c r="N25">
        <v>5</v>
      </c>
      <c r="O25">
        <v>2652</v>
      </c>
      <c r="P25">
        <v>8</v>
      </c>
      <c r="Q25">
        <v>4243.2</v>
      </c>
      <c r="R25">
        <v>9</v>
      </c>
      <c r="S25">
        <v>4773.5999999999995</v>
      </c>
      <c r="T25">
        <v>6</v>
      </c>
      <c r="U25">
        <v>3182.3999999999996</v>
      </c>
      <c r="V25">
        <v>8</v>
      </c>
      <c r="W25">
        <v>4243.2</v>
      </c>
      <c r="X25">
        <v>8</v>
      </c>
      <c r="Y25">
        <v>4243.2</v>
      </c>
      <c r="Z25">
        <v>6</v>
      </c>
      <c r="AA25">
        <v>3182.3999999999996</v>
      </c>
      <c r="AB25">
        <v>7</v>
      </c>
      <c r="AC25">
        <v>3712.7999999999997</v>
      </c>
      <c r="AD25">
        <v>6</v>
      </c>
      <c r="AE25">
        <v>3182.3999999999996</v>
      </c>
      <c r="AF25">
        <v>5</v>
      </c>
      <c r="AG25">
        <v>2652</v>
      </c>
      <c r="AH25">
        <v>5</v>
      </c>
      <c r="AI25">
        <v>2652</v>
      </c>
      <c r="AJ25">
        <v>6</v>
      </c>
      <c r="AK25">
        <v>3182.3999999999996</v>
      </c>
      <c r="AL25">
        <v>6</v>
      </c>
      <c r="AM25">
        <v>3182.3999999999996</v>
      </c>
      <c r="AN25">
        <v>5</v>
      </c>
      <c r="AO25">
        <v>2652</v>
      </c>
      <c r="AP25">
        <v>9</v>
      </c>
      <c r="AQ25">
        <v>4773.5999999999995</v>
      </c>
      <c r="AR25">
        <v>7</v>
      </c>
      <c r="AS25">
        <v>3712.7999999999997</v>
      </c>
      <c r="AT25">
        <v>8</v>
      </c>
      <c r="AU25">
        <v>4243.2</v>
      </c>
      <c r="AV25">
        <v>7</v>
      </c>
      <c r="AW25">
        <v>3712.7999999999997</v>
      </c>
      <c r="AX25">
        <v>5</v>
      </c>
      <c r="AY25">
        <v>2652</v>
      </c>
      <c r="AZ25">
        <v>6</v>
      </c>
      <c r="BA25">
        <v>3182.3999999999996</v>
      </c>
      <c r="BB25">
        <v>9</v>
      </c>
      <c r="BC25">
        <v>4773.5999999999995</v>
      </c>
      <c r="BD25">
        <v>9</v>
      </c>
      <c r="BE25">
        <v>4773.5999999999995</v>
      </c>
      <c r="BF25">
        <v>5</v>
      </c>
      <c r="BG25">
        <v>2652</v>
      </c>
      <c r="BH25">
        <v>7</v>
      </c>
      <c r="BI25">
        <v>3712.7999999999997</v>
      </c>
      <c r="BJ25">
        <v>8</v>
      </c>
      <c r="BK25">
        <v>4243.2</v>
      </c>
      <c r="BL25">
        <v>6</v>
      </c>
      <c r="BM25">
        <v>3182.3999999999996</v>
      </c>
      <c r="BN25">
        <v>7</v>
      </c>
      <c r="BO25">
        <v>3712.7999999999997</v>
      </c>
      <c r="BP25">
        <v>8</v>
      </c>
      <c r="BQ25">
        <v>4243.2</v>
      </c>
      <c r="BR25">
        <v>10</v>
      </c>
      <c r="BS25">
        <v>5304</v>
      </c>
      <c r="BT25">
        <v>9</v>
      </c>
      <c r="BU25">
        <v>4773.5999999999995</v>
      </c>
      <c r="BV25">
        <v>8</v>
      </c>
      <c r="BW25">
        <v>4243.2</v>
      </c>
      <c r="BX25">
        <v>5</v>
      </c>
      <c r="BY25">
        <v>2652</v>
      </c>
      <c r="BZ25">
        <v>5</v>
      </c>
      <c r="CA25">
        <v>2652</v>
      </c>
      <c r="CB25">
        <v>8</v>
      </c>
      <c r="CC25">
        <v>4243.2</v>
      </c>
      <c r="CD25">
        <v>7</v>
      </c>
      <c r="CE25">
        <v>3712.7999999999997</v>
      </c>
      <c r="CF25">
        <v>10</v>
      </c>
      <c r="CG25">
        <v>5304</v>
      </c>
      <c r="CH25">
        <v>9</v>
      </c>
      <c r="CI25">
        <v>4773.5999999999995</v>
      </c>
      <c r="CJ25">
        <v>10</v>
      </c>
      <c r="CK25">
        <v>5304</v>
      </c>
      <c r="CL25">
        <v>9</v>
      </c>
      <c r="CM25">
        <v>4773.5999999999995</v>
      </c>
      <c r="CN25">
        <v>6</v>
      </c>
      <c r="CO25">
        <v>3182.3999999999996</v>
      </c>
      <c r="CP25">
        <v>8</v>
      </c>
      <c r="CQ25">
        <v>4243.2</v>
      </c>
      <c r="CR25">
        <v>7</v>
      </c>
      <c r="CS25">
        <v>3712.7999999999997</v>
      </c>
      <c r="CT25">
        <v>9</v>
      </c>
      <c r="CU25">
        <v>4773.5999999999995</v>
      </c>
    </row>
    <row r="26" spans="2:99" x14ac:dyDescent="0.2">
      <c r="C26" s="116" t="s">
        <v>192</v>
      </c>
      <c r="D26">
        <v>5</v>
      </c>
      <c r="E26">
        <v>2430</v>
      </c>
      <c r="F26">
        <v>7</v>
      </c>
      <c r="G26">
        <v>3402</v>
      </c>
      <c r="H26">
        <v>5</v>
      </c>
      <c r="I26">
        <v>2430</v>
      </c>
      <c r="J26">
        <v>9</v>
      </c>
      <c r="K26">
        <v>4374</v>
      </c>
      <c r="L26">
        <v>8</v>
      </c>
      <c r="M26">
        <v>3888</v>
      </c>
      <c r="N26">
        <v>6</v>
      </c>
      <c r="O26">
        <v>2916</v>
      </c>
      <c r="P26">
        <v>9</v>
      </c>
      <c r="Q26">
        <v>4374</v>
      </c>
      <c r="R26">
        <v>9</v>
      </c>
      <c r="S26">
        <v>4374</v>
      </c>
      <c r="T26">
        <v>6</v>
      </c>
      <c r="U26">
        <v>2916</v>
      </c>
      <c r="V26">
        <v>8</v>
      </c>
      <c r="W26">
        <v>3888</v>
      </c>
      <c r="X26">
        <v>7</v>
      </c>
      <c r="Y26">
        <v>3402</v>
      </c>
      <c r="Z26">
        <v>7</v>
      </c>
      <c r="AA26">
        <v>3402</v>
      </c>
      <c r="AB26">
        <v>7</v>
      </c>
      <c r="AC26">
        <v>3402</v>
      </c>
      <c r="AD26">
        <v>7</v>
      </c>
      <c r="AE26">
        <v>3402</v>
      </c>
      <c r="AF26">
        <v>6</v>
      </c>
      <c r="AG26">
        <v>2916</v>
      </c>
      <c r="AH26">
        <v>6</v>
      </c>
      <c r="AI26">
        <v>2916</v>
      </c>
      <c r="AJ26">
        <v>5</v>
      </c>
      <c r="AK26">
        <v>2430</v>
      </c>
      <c r="AL26">
        <v>7</v>
      </c>
      <c r="AM26">
        <v>3402</v>
      </c>
      <c r="AN26">
        <v>5</v>
      </c>
      <c r="AO26">
        <v>2430</v>
      </c>
      <c r="AP26">
        <v>9</v>
      </c>
      <c r="AQ26">
        <v>4374</v>
      </c>
      <c r="AR26">
        <v>7</v>
      </c>
      <c r="AS26">
        <v>3402</v>
      </c>
      <c r="AT26">
        <v>9</v>
      </c>
      <c r="AU26">
        <v>4374</v>
      </c>
      <c r="AV26">
        <v>6</v>
      </c>
      <c r="AW26">
        <v>2916</v>
      </c>
      <c r="AX26">
        <v>5</v>
      </c>
      <c r="AY26">
        <v>2430</v>
      </c>
      <c r="AZ26">
        <v>7</v>
      </c>
      <c r="BA26">
        <v>3402</v>
      </c>
      <c r="BB26">
        <v>8</v>
      </c>
      <c r="BC26">
        <v>3888</v>
      </c>
      <c r="BD26">
        <v>9</v>
      </c>
      <c r="BE26">
        <v>4374</v>
      </c>
      <c r="BF26">
        <v>6</v>
      </c>
      <c r="BG26">
        <v>2916</v>
      </c>
      <c r="BH26">
        <v>6</v>
      </c>
      <c r="BI26">
        <v>2916</v>
      </c>
      <c r="BJ26">
        <v>8</v>
      </c>
      <c r="BK26">
        <v>3888</v>
      </c>
      <c r="BL26">
        <v>6</v>
      </c>
      <c r="BM26">
        <v>2916</v>
      </c>
      <c r="BN26">
        <v>7</v>
      </c>
      <c r="BO26">
        <v>3402</v>
      </c>
      <c r="BP26">
        <v>7</v>
      </c>
      <c r="BQ26">
        <v>3402</v>
      </c>
      <c r="BR26">
        <v>9</v>
      </c>
      <c r="BS26">
        <v>4374</v>
      </c>
      <c r="BT26">
        <v>8</v>
      </c>
      <c r="BU26">
        <v>3888</v>
      </c>
      <c r="BV26">
        <v>8</v>
      </c>
      <c r="BW26">
        <v>3888</v>
      </c>
      <c r="BX26">
        <v>5</v>
      </c>
      <c r="BY26">
        <v>2430</v>
      </c>
      <c r="BZ26">
        <v>5</v>
      </c>
      <c r="CA26">
        <v>2430</v>
      </c>
      <c r="CB26">
        <v>9</v>
      </c>
      <c r="CC26">
        <v>4374</v>
      </c>
      <c r="CD26">
        <v>8</v>
      </c>
      <c r="CE26">
        <v>3888</v>
      </c>
      <c r="CF26">
        <v>9</v>
      </c>
      <c r="CG26">
        <v>4374</v>
      </c>
      <c r="CH26">
        <v>9</v>
      </c>
      <c r="CI26">
        <v>4374</v>
      </c>
      <c r="CJ26">
        <v>8</v>
      </c>
      <c r="CK26">
        <v>3888</v>
      </c>
      <c r="CL26">
        <v>11</v>
      </c>
      <c r="CM26">
        <v>5346</v>
      </c>
      <c r="CN26">
        <v>7</v>
      </c>
      <c r="CO26">
        <v>3402</v>
      </c>
      <c r="CP26">
        <v>7</v>
      </c>
      <c r="CQ26">
        <v>3402</v>
      </c>
      <c r="CR26">
        <v>8</v>
      </c>
      <c r="CS26">
        <v>3888</v>
      </c>
      <c r="CT26">
        <v>8</v>
      </c>
      <c r="CU26">
        <v>3888</v>
      </c>
    </row>
    <row r="27" spans="2:99" x14ac:dyDescent="0.2">
      <c r="C27" s="116" t="s">
        <v>193</v>
      </c>
      <c r="D27">
        <v>6</v>
      </c>
      <c r="E27">
        <v>2563.1999999999998</v>
      </c>
      <c r="F27">
        <v>7</v>
      </c>
      <c r="G27">
        <v>2990.4</v>
      </c>
      <c r="H27">
        <v>6</v>
      </c>
      <c r="I27">
        <v>2563.1999999999998</v>
      </c>
      <c r="J27">
        <v>9</v>
      </c>
      <c r="K27">
        <v>3844.7999999999997</v>
      </c>
      <c r="L27">
        <v>8</v>
      </c>
      <c r="M27">
        <v>3417.6</v>
      </c>
      <c r="N27">
        <v>5</v>
      </c>
      <c r="O27">
        <v>2136</v>
      </c>
      <c r="P27">
        <v>8</v>
      </c>
      <c r="Q27">
        <v>3417.6</v>
      </c>
      <c r="R27">
        <v>9</v>
      </c>
      <c r="S27">
        <v>3844.7999999999997</v>
      </c>
      <c r="T27">
        <v>6</v>
      </c>
      <c r="U27">
        <v>2563.1999999999998</v>
      </c>
      <c r="V27">
        <v>8</v>
      </c>
      <c r="W27">
        <v>3417.6</v>
      </c>
      <c r="X27">
        <v>7</v>
      </c>
      <c r="Y27">
        <v>2990.4</v>
      </c>
      <c r="Z27">
        <v>7</v>
      </c>
      <c r="AA27">
        <v>2990.4</v>
      </c>
      <c r="AB27">
        <v>8</v>
      </c>
      <c r="AC27">
        <v>3417.6</v>
      </c>
      <c r="AD27">
        <v>7</v>
      </c>
      <c r="AE27">
        <v>2990.4</v>
      </c>
      <c r="AF27">
        <v>5</v>
      </c>
      <c r="AG27">
        <v>2136</v>
      </c>
      <c r="AH27">
        <v>6</v>
      </c>
      <c r="AI27">
        <v>2563.1999999999998</v>
      </c>
      <c r="AJ27">
        <v>5</v>
      </c>
      <c r="AK27">
        <v>2136</v>
      </c>
      <c r="AL27">
        <v>7</v>
      </c>
      <c r="AM27">
        <v>2990.4</v>
      </c>
      <c r="AN27">
        <v>5</v>
      </c>
      <c r="AO27">
        <v>2136</v>
      </c>
      <c r="AP27">
        <v>10</v>
      </c>
      <c r="AQ27">
        <v>4272</v>
      </c>
      <c r="AR27">
        <v>8</v>
      </c>
      <c r="AS27">
        <v>3417.6</v>
      </c>
      <c r="AT27">
        <v>10</v>
      </c>
      <c r="AU27">
        <v>4272</v>
      </c>
      <c r="AV27">
        <v>7</v>
      </c>
      <c r="AW27">
        <v>2990.4</v>
      </c>
      <c r="AX27">
        <v>5</v>
      </c>
      <c r="AY27">
        <v>2136</v>
      </c>
      <c r="AZ27">
        <v>6</v>
      </c>
      <c r="BA27">
        <v>2563.1999999999998</v>
      </c>
      <c r="BB27">
        <v>9</v>
      </c>
      <c r="BC27">
        <v>3844.7999999999997</v>
      </c>
      <c r="BD27">
        <v>10</v>
      </c>
      <c r="BE27">
        <v>4272</v>
      </c>
      <c r="BF27">
        <v>6</v>
      </c>
      <c r="BG27">
        <v>2563.1999999999998</v>
      </c>
      <c r="BH27">
        <v>6</v>
      </c>
      <c r="BI27">
        <v>2563.1999999999998</v>
      </c>
      <c r="BJ27">
        <v>8</v>
      </c>
      <c r="BK27">
        <v>3417.6</v>
      </c>
      <c r="BL27">
        <v>5</v>
      </c>
      <c r="BM27">
        <v>2136</v>
      </c>
      <c r="BN27">
        <v>7</v>
      </c>
      <c r="BO27">
        <v>2990.4</v>
      </c>
      <c r="BP27">
        <v>7</v>
      </c>
      <c r="BQ27">
        <v>2990.4</v>
      </c>
      <c r="BR27">
        <v>9</v>
      </c>
      <c r="BS27">
        <v>3844.7999999999997</v>
      </c>
      <c r="BT27">
        <v>9</v>
      </c>
      <c r="BU27">
        <v>3844.7999999999997</v>
      </c>
      <c r="BV27">
        <v>9</v>
      </c>
      <c r="BW27">
        <v>3844.7999999999997</v>
      </c>
      <c r="BX27">
        <v>6</v>
      </c>
      <c r="BY27">
        <v>2563.1999999999998</v>
      </c>
      <c r="BZ27">
        <v>5</v>
      </c>
      <c r="CA27">
        <v>2136</v>
      </c>
      <c r="CB27">
        <v>9</v>
      </c>
      <c r="CC27">
        <v>3844.7999999999997</v>
      </c>
      <c r="CD27">
        <v>8</v>
      </c>
      <c r="CE27">
        <v>3417.6</v>
      </c>
      <c r="CF27">
        <v>10</v>
      </c>
      <c r="CG27">
        <v>4272</v>
      </c>
      <c r="CH27">
        <v>10</v>
      </c>
      <c r="CI27">
        <v>4272</v>
      </c>
      <c r="CJ27">
        <v>10</v>
      </c>
      <c r="CK27">
        <v>4272</v>
      </c>
      <c r="CL27">
        <v>10</v>
      </c>
      <c r="CM27">
        <v>4272</v>
      </c>
      <c r="CN27">
        <v>7</v>
      </c>
      <c r="CO27">
        <v>2990.4</v>
      </c>
      <c r="CP27">
        <v>8</v>
      </c>
      <c r="CQ27">
        <v>3417.6</v>
      </c>
      <c r="CR27">
        <v>8</v>
      </c>
      <c r="CS27">
        <v>3417.6</v>
      </c>
      <c r="CT27">
        <v>9</v>
      </c>
      <c r="CU27">
        <v>3844.7999999999997</v>
      </c>
    </row>
    <row r="28" spans="2:99" x14ac:dyDescent="0.2">
      <c r="C28" s="116" t="s">
        <v>194</v>
      </c>
      <c r="D28">
        <v>6</v>
      </c>
      <c r="E28">
        <v>4428</v>
      </c>
      <c r="F28">
        <v>8</v>
      </c>
      <c r="G28">
        <v>5904</v>
      </c>
      <c r="H28">
        <v>5</v>
      </c>
      <c r="I28">
        <v>3690</v>
      </c>
      <c r="J28">
        <v>9</v>
      </c>
      <c r="K28">
        <v>6642</v>
      </c>
      <c r="L28">
        <v>8</v>
      </c>
      <c r="M28">
        <v>5904</v>
      </c>
      <c r="N28">
        <v>6</v>
      </c>
      <c r="O28">
        <v>4428</v>
      </c>
      <c r="P28">
        <v>8</v>
      </c>
      <c r="Q28">
        <v>5904</v>
      </c>
      <c r="R28">
        <v>9</v>
      </c>
      <c r="S28">
        <v>6642</v>
      </c>
      <c r="T28">
        <v>7</v>
      </c>
      <c r="U28">
        <v>5166</v>
      </c>
      <c r="V28">
        <v>7</v>
      </c>
      <c r="W28">
        <v>5166</v>
      </c>
      <c r="X28">
        <v>6</v>
      </c>
      <c r="Y28">
        <v>4428</v>
      </c>
      <c r="Z28">
        <v>7</v>
      </c>
      <c r="AA28">
        <v>5166</v>
      </c>
      <c r="AB28">
        <v>7</v>
      </c>
      <c r="AC28">
        <v>5166</v>
      </c>
      <c r="AD28">
        <v>6</v>
      </c>
      <c r="AE28">
        <v>4428</v>
      </c>
      <c r="AF28">
        <v>6</v>
      </c>
      <c r="AG28">
        <v>4428</v>
      </c>
      <c r="AH28">
        <v>6</v>
      </c>
      <c r="AI28">
        <v>4428</v>
      </c>
      <c r="AJ28">
        <v>6</v>
      </c>
      <c r="AK28">
        <v>4428</v>
      </c>
      <c r="AL28">
        <v>7</v>
      </c>
      <c r="AM28">
        <v>5166</v>
      </c>
      <c r="AN28">
        <v>5</v>
      </c>
      <c r="AO28">
        <v>3690</v>
      </c>
      <c r="AP28">
        <v>9</v>
      </c>
      <c r="AQ28">
        <v>6642</v>
      </c>
      <c r="AR28">
        <v>8</v>
      </c>
      <c r="AS28">
        <v>5904</v>
      </c>
      <c r="AT28">
        <v>9</v>
      </c>
      <c r="AU28">
        <v>6642</v>
      </c>
      <c r="AV28">
        <v>7</v>
      </c>
      <c r="AW28">
        <v>5166</v>
      </c>
      <c r="AX28">
        <v>5</v>
      </c>
      <c r="AY28">
        <v>3690</v>
      </c>
      <c r="AZ28">
        <v>6</v>
      </c>
      <c r="BA28">
        <v>4428</v>
      </c>
      <c r="BB28">
        <v>9</v>
      </c>
      <c r="BC28">
        <v>6642</v>
      </c>
      <c r="BD28">
        <v>9</v>
      </c>
      <c r="BE28">
        <v>6642</v>
      </c>
      <c r="BF28">
        <v>6</v>
      </c>
      <c r="BG28">
        <v>4428</v>
      </c>
      <c r="BH28">
        <v>7</v>
      </c>
      <c r="BI28">
        <v>5166</v>
      </c>
      <c r="BJ28">
        <v>9</v>
      </c>
      <c r="BK28">
        <v>6642</v>
      </c>
      <c r="BL28">
        <v>5</v>
      </c>
      <c r="BM28">
        <v>3690</v>
      </c>
      <c r="BN28">
        <v>6</v>
      </c>
      <c r="BO28">
        <v>4428</v>
      </c>
      <c r="BP28">
        <v>7</v>
      </c>
      <c r="BQ28">
        <v>5166</v>
      </c>
      <c r="BR28">
        <v>8</v>
      </c>
      <c r="BS28">
        <v>5904</v>
      </c>
      <c r="BT28">
        <v>8</v>
      </c>
      <c r="BU28">
        <v>5904</v>
      </c>
      <c r="BV28">
        <v>7</v>
      </c>
      <c r="BW28">
        <v>5166</v>
      </c>
      <c r="BX28">
        <v>6</v>
      </c>
      <c r="BY28">
        <v>4428</v>
      </c>
      <c r="BZ28">
        <v>5</v>
      </c>
      <c r="CA28">
        <v>3690</v>
      </c>
      <c r="CB28">
        <v>9</v>
      </c>
      <c r="CC28">
        <v>6642</v>
      </c>
      <c r="CD28">
        <v>7</v>
      </c>
      <c r="CE28">
        <v>5166</v>
      </c>
      <c r="CF28">
        <v>9</v>
      </c>
      <c r="CG28">
        <v>6642</v>
      </c>
      <c r="CH28">
        <v>9</v>
      </c>
      <c r="CI28">
        <v>6642</v>
      </c>
      <c r="CJ28">
        <v>10</v>
      </c>
      <c r="CK28">
        <v>7380</v>
      </c>
      <c r="CL28">
        <v>10</v>
      </c>
      <c r="CM28">
        <v>7380</v>
      </c>
      <c r="CN28">
        <v>7</v>
      </c>
      <c r="CO28">
        <v>5166</v>
      </c>
      <c r="CP28">
        <v>8</v>
      </c>
      <c r="CQ28">
        <v>5904</v>
      </c>
      <c r="CR28">
        <v>7</v>
      </c>
      <c r="CS28">
        <v>5166</v>
      </c>
      <c r="CT28">
        <v>9</v>
      </c>
      <c r="CU28">
        <v>6642</v>
      </c>
    </row>
    <row r="29" spans="2:99" x14ac:dyDescent="0.2">
      <c r="C29" s="116" t="s">
        <v>195</v>
      </c>
      <c r="D29">
        <v>5</v>
      </c>
      <c r="E29">
        <v>1692</v>
      </c>
      <c r="F29">
        <v>7</v>
      </c>
      <c r="G29">
        <v>2368.7999999999997</v>
      </c>
      <c r="H29">
        <v>5</v>
      </c>
      <c r="I29">
        <v>1692</v>
      </c>
      <c r="J29">
        <v>9</v>
      </c>
      <c r="K29">
        <v>3045.6</v>
      </c>
      <c r="L29">
        <v>8</v>
      </c>
      <c r="M29">
        <v>2707.2</v>
      </c>
      <c r="N29">
        <v>5</v>
      </c>
      <c r="O29">
        <v>1692</v>
      </c>
      <c r="P29">
        <v>9</v>
      </c>
      <c r="Q29">
        <v>3045.6</v>
      </c>
      <c r="R29">
        <v>10</v>
      </c>
      <c r="S29">
        <v>3384</v>
      </c>
      <c r="T29">
        <v>7</v>
      </c>
      <c r="U29">
        <v>2368.7999999999997</v>
      </c>
      <c r="V29">
        <v>7</v>
      </c>
      <c r="W29">
        <v>2368.7999999999997</v>
      </c>
      <c r="X29">
        <v>6</v>
      </c>
      <c r="Y29">
        <v>2030.3999999999999</v>
      </c>
      <c r="Z29">
        <v>7</v>
      </c>
      <c r="AA29">
        <v>2368.7999999999997</v>
      </c>
      <c r="AB29">
        <v>8</v>
      </c>
      <c r="AC29">
        <v>2707.2</v>
      </c>
      <c r="AD29">
        <v>7</v>
      </c>
      <c r="AE29">
        <v>2368.7999999999997</v>
      </c>
      <c r="AF29">
        <v>5</v>
      </c>
      <c r="AG29">
        <v>1692</v>
      </c>
      <c r="AH29">
        <v>5</v>
      </c>
      <c r="AI29">
        <v>1692</v>
      </c>
      <c r="AJ29">
        <v>6</v>
      </c>
      <c r="AK29">
        <v>2030.3999999999999</v>
      </c>
      <c r="AL29">
        <v>7</v>
      </c>
      <c r="AM29">
        <v>2368.7999999999997</v>
      </c>
      <c r="AN29">
        <v>6</v>
      </c>
      <c r="AO29">
        <v>2030.3999999999999</v>
      </c>
      <c r="AP29">
        <v>9</v>
      </c>
      <c r="AQ29">
        <v>3045.6</v>
      </c>
      <c r="AR29">
        <v>8</v>
      </c>
      <c r="AS29">
        <v>2707.2</v>
      </c>
      <c r="AT29">
        <v>9</v>
      </c>
      <c r="AU29">
        <v>3045.6</v>
      </c>
      <c r="AV29">
        <v>6</v>
      </c>
      <c r="AW29">
        <v>2030.3999999999999</v>
      </c>
      <c r="AX29">
        <v>5</v>
      </c>
      <c r="AY29">
        <v>1692</v>
      </c>
      <c r="AZ29">
        <v>6</v>
      </c>
      <c r="BA29">
        <v>2030.3999999999999</v>
      </c>
      <c r="BB29">
        <v>9</v>
      </c>
      <c r="BC29">
        <v>3045.6</v>
      </c>
      <c r="BD29">
        <v>10</v>
      </c>
      <c r="BE29">
        <v>3384</v>
      </c>
      <c r="BF29">
        <v>6</v>
      </c>
      <c r="BG29">
        <v>2030.3999999999999</v>
      </c>
      <c r="BH29">
        <v>7</v>
      </c>
      <c r="BI29">
        <v>2368.7999999999997</v>
      </c>
      <c r="BJ29">
        <v>9</v>
      </c>
      <c r="BK29">
        <v>3045.6</v>
      </c>
      <c r="BL29">
        <v>6</v>
      </c>
      <c r="BM29">
        <v>2030.3999999999999</v>
      </c>
      <c r="BN29">
        <v>6</v>
      </c>
      <c r="BO29">
        <v>2030.3999999999999</v>
      </c>
      <c r="BP29">
        <v>8</v>
      </c>
      <c r="BQ29">
        <v>2707.2</v>
      </c>
      <c r="BR29">
        <v>9</v>
      </c>
      <c r="BS29">
        <v>3045.6</v>
      </c>
      <c r="BT29">
        <v>9</v>
      </c>
      <c r="BU29">
        <v>3045.6</v>
      </c>
      <c r="BV29">
        <v>9</v>
      </c>
      <c r="BW29">
        <v>3045.6</v>
      </c>
      <c r="BX29">
        <v>6</v>
      </c>
      <c r="BY29">
        <v>2030.3999999999999</v>
      </c>
      <c r="BZ29">
        <v>5</v>
      </c>
      <c r="CA29">
        <v>1692</v>
      </c>
      <c r="CB29">
        <v>9</v>
      </c>
      <c r="CC29">
        <v>3045.6</v>
      </c>
      <c r="CD29">
        <v>8</v>
      </c>
      <c r="CE29">
        <v>2707.2</v>
      </c>
      <c r="CF29">
        <v>9</v>
      </c>
      <c r="CG29">
        <v>3045.6</v>
      </c>
      <c r="CH29">
        <v>10</v>
      </c>
      <c r="CI29">
        <v>3384</v>
      </c>
      <c r="CJ29">
        <v>10</v>
      </c>
      <c r="CK29">
        <v>3384</v>
      </c>
      <c r="CL29">
        <v>11</v>
      </c>
      <c r="CM29">
        <v>3722.3999999999996</v>
      </c>
      <c r="CN29">
        <v>6</v>
      </c>
      <c r="CO29">
        <v>2030.3999999999999</v>
      </c>
      <c r="CP29">
        <v>9</v>
      </c>
      <c r="CQ29">
        <v>3045.6</v>
      </c>
      <c r="CR29">
        <v>8</v>
      </c>
      <c r="CS29">
        <v>2707.2</v>
      </c>
      <c r="CT29">
        <v>9</v>
      </c>
      <c r="CU29">
        <v>3045.6</v>
      </c>
    </row>
    <row r="30" spans="2:99" x14ac:dyDescent="0.2">
      <c r="C30" s="116" t="s">
        <v>196</v>
      </c>
      <c r="D30">
        <v>6</v>
      </c>
      <c r="E30">
        <v>835.19999999999993</v>
      </c>
      <c r="F30">
        <v>7</v>
      </c>
      <c r="G30">
        <v>974.39999999999986</v>
      </c>
      <c r="H30">
        <v>6</v>
      </c>
      <c r="I30">
        <v>835.19999999999993</v>
      </c>
      <c r="J30">
        <v>9</v>
      </c>
      <c r="K30">
        <v>1252.8</v>
      </c>
      <c r="L30">
        <v>8</v>
      </c>
      <c r="M30">
        <v>1113.5999999999999</v>
      </c>
      <c r="N30">
        <v>6</v>
      </c>
      <c r="O30">
        <v>835.19999999999993</v>
      </c>
      <c r="P30">
        <v>9</v>
      </c>
      <c r="Q30">
        <v>1252.8</v>
      </c>
      <c r="R30">
        <v>10</v>
      </c>
      <c r="S30">
        <v>1392</v>
      </c>
      <c r="T30">
        <v>7</v>
      </c>
      <c r="U30">
        <v>974.39999999999986</v>
      </c>
      <c r="V30">
        <v>7</v>
      </c>
      <c r="W30">
        <v>974.39999999999986</v>
      </c>
      <c r="X30">
        <v>7</v>
      </c>
      <c r="Y30">
        <v>974.39999999999986</v>
      </c>
      <c r="Z30">
        <v>7</v>
      </c>
      <c r="AA30">
        <v>974.39999999999986</v>
      </c>
      <c r="AB30">
        <v>8</v>
      </c>
      <c r="AC30">
        <v>1113.5999999999999</v>
      </c>
      <c r="AD30">
        <v>6</v>
      </c>
      <c r="AE30">
        <v>835.19999999999993</v>
      </c>
      <c r="AF30">
        <v>6</v>
      </c>
      <c r="AG30">
        <v>835.19999999999993</v>
      </c>
      <c r="AH30">
        <v>6</v>
      </c>
      <c r="AI30">
        <v>835.19999999999993</v>
      </c>
      <c r="AJ30">
        <v>6</v>
      </c>
      <c r="AK30">
        <v>835.19999999999993</v>
      </c>
      <c r="AL30">
        <v>7</v>
      </c>
      <c r="AM30">
        <v>974.39999999999986</v>
      </c>
      <c r="AN30">
        <v>6</v>
      </c>
      <c r="AO30">
        <v>835.19999999999993</v>
      </c>
      <c r="AP30">
        <v>8</v>
      </c>
      <c r="AQ30">
        <v>1113.5999999999999</v>
      </c>
      <c r="AR30">
        <v>7</v>
      </c>
      <c r="AS30">
        <v>974.39999999999986</v>
      </c>
      <c r="AT30">
        <v>10</v>
      </c>
      <c r="AU30">
        <v>1392</v>
      </c>
      <c r="AV30">
        <v>6</v>
      </c>
      <c r="AW30">
        <v>835.19999999999993</v>
      </c>
      <c r="AX30">
        <v>5</v>
      </c>
      <c r="AY30">
        <v>696</v>
      </c>
      <c r="AZ30">
        <v>7</v>
      </c>
      <c r="BA30">
        <v>974.39999999999986</v>
      </c>
      <c r="BB30">
        <v>10</v>
      </c>
      <c r="BC30">
        <v>1392</v>
      </c>
      <c r="BD30">
        <v>9</v>
      </c>
      <c r="BE30">
        <v>1252.8</v>
      </c>
      <c r="BF30">
        <v>7</v>
      </c>
      <c r="BG30">
        <v>974.39999999999986</v>
      </c>
      <c r="BH30">
        <v>7</v>
      </c>
      <c r="BI30">
        <v>974.39999999999986</v>
      </c>
      <c r="BJ30">
        <v>9</v>
      </c>
      <c r="BK30">
        <v>1252.8</v>
      </c>
      <c r="BL30">
        <v>6</v>
      </c>
      <c r="BM30">
        <v>835.19999999999993</v>
      </c>
      <c r="BN30">
        <v>6</v>
      </c>
      <c r="BO30">
        <v>835.19999999999993</v>
      </c>
      <c r="BP30">
        <v>8</v>
      </c>
      <c r="BQ30">
        <v>1113.5999999999999</v>
      </c>
      <c r="BR30">
        <v>9</v>
      </c>
      <c r="BS30">
        <v>1252.8</v>
      </c>
      <c r="BT30">
        <v>10</v>
      </c>
      <c r="BU30">
        <v>1392</v>
      </c>
      <c r="BV30">
        <v>8</v>
      </c>
      <c r="BW30">
        <v>1113.5999999999999</v>
      </c>
      <c r="BX30">
        <v>5</v>
      </c>
      <c r="BY30">
        <v>696</v>
      </c>
      <c r="BZ30">
        <v>5</v>
      </c>
      <c r="CA30">
        <v>696</v>
      </c>
      <c r="CB30">
        <v>9</v>
      </c>
      <c r="CC30">
        <v>1252.8</v>
      </c>
      <c r="CD30">
        <v>8</v>
      </c>
      <c r="CE30">
        <v>1113.5999999999999</v>
      </c>
      <c r="CF30">
        <v>10</v>
      </c>
      <c r="CG30">
        <v>1392</v>
      </c>
      <c r="CH30">
        <v>10</v>
      </c>
      <c r="CI30">
        <v>1392</v>
      </c>
      <c r="CJ30">
        <v>9</v>
      </c>
      <c r="CK30">
        <v>1252.8</v>
      </c>
      <c r="CL30">
        <v>11</v>
      </c>
      <c r="CM30">
        <v>1531.1999999999998</v>
      </c>
      <c r="CN30">
        <v>7</v>
      </c>
      <c r="CO30">
        <v>974.39999999999986</v>
      </c>
      <c r="CP30">
        <v>8</v>
      </c>
      <c r="CQ30">
        <v>1113.5999999999999</v>
      </c>
      <c r="CR30">
        <v>8</v>
      </c>
      <c r="CS30">
        <v>1113.5999999999999</v>
      </c>
      <c r="CT30">
        <v>8</v>
      </c>
      <c r="CU30">
        <v>1113.5999999999999</v>
      </c>
    </row>
    <row r="31" spans="2:99" x14ac:dyDescent="0.2">
      <c r="C31" s="116" t="s">
        <v>197</v>
      </c>
      <c r="D31">
        <v>5</v>
      </c>
      <c r="E31">
        <v>1704</v>
      </c>
      <c r="F31">
        <v>7</v>
      </c>
      <c r="G31">
        <v>2385.6</v>
      </c>
      <c r="H31">
        <v>5</v>
      </c>
      <c r="I31">
        <v>1704</v>
      </c>
      <c r="J31">
        <v>8</v>
      </c>
      <c r="K31">
        <v>2726.4</v>
      </c>
      <c r="L31">
        <v>8</v>
      </c>
      <c r="M31">
        <v>2726.4</v>
      </c>
      <c r="N31">
        <v>5</v>
      </c>
      <c r="O31">
        <v>1704</v>
      </c>
      <c r="P31">
        <v>8</v>
      </c>
      <c r="Q31">
        <v>2726.4</v>
      </c>
      <c r="R31">
        <v>8</v>
      </c>
      <c r="S31">
        <v>2726.4</v>
      </c>
      <c r="T31">
        <v>7</v>
      </c>
      <c r="U31">
        <v>2385.6</v>
      </c>
      <c r="V31">
        <v>8</v>
      </c>
      <c r="W31">
        <v>2726.4</v>
      </c>
      <c r="X31">
        <v>7</v>
      </c>
      <c r="Y31">
        <v>2385.6</v>
      </c>
      <c r="Z31">
        <v>7</v>
      </c>
      <c r="AA31">
        <v>2385.6</v>
      </c>
      <c r="AB31">
        <v>8</v>
      </c>
      <c r="AC31">
        <v>2726.4</v>
      </c>
      <c r="AD31">
        <v>7</v>
      </c>
      <c r="AE31">
        <v>2385.6</v>
      </c>
      <c r="AF31">
        <v>6</v>
      </c>
      <c r="AG31">
        <v>2044.8000000000002</v>
      </c>
      <c r="AH31">
        <v>5</v>
      </c>
      <c r="AI31">
        <v>1704</v>
      </c>
      <c r="AJ31">
        <v>5</v>
      </c>
      <c r="AK31">
        <v>1704</v>
      </c>
      <c r="AL31">
        <v>7</v>
      </c>
      <c r="AM31">
        <v>2385.6</v>
      </c>
      <c r="AN31">
        <v>5</v>
      </c>
      <c r="AO31">
        <v>1704</v>
      </c>
      <c r="AP31">
        <v>9</v>
      </c>
      <c r="AQ31">
        <v>3067.2000000000003</v>
      </c>
      <c r="AR31">
        <v>7</v>
      </c>
      <c r="AS31">
        <v>2385.6</v>
      </c>
      <c r="AT31">
        <v>8</v>
      </c>
      <c r="AU31">
        <v>2726.4</v>
      </c>
      <c r="AV31">
        <v>6</v>
      </c>
      <c r="AW31">
        <v>2044.8000000000002</v>
      </c>
      <c r="AX31">
        <v>5</v>
      </c>
      <c r="AY31">
        <v>1704</v>
      </c>
      <c r="AZ31">
        <v>6</v>
      </c>
      <c r="BA31">
        <v>2044.8000000000002</v>
      </c>
      <c r="BB31">
        <v>8</v>
      </c>
      <c r="BC31">
        <v>2726.4</v>
      </c>
      <c r="BD31">
        <v>10</v>
      </c>
      <c r="BE31">
        <v>3408</v>
      </c>
      <c r="BF31">
        <v>6</v>
      </c>
      <c r="BG31">
        <v>2044.8000000000002</v>
      </c>
      <c r="BH31">
        <v>6</v>
      </c>
      <c r="BI31">
        <v>2044.8000000000002</v>
      </c>
      <c r="BJ31">
        <v>9</v>
      </c>
      <c r="BK31">
        <v>3067.2000000000003</v>
      </c>
      <c r="BL31">
        <v>5</v>
      </c>
      <c r="BM31">
        <v>1704</v>
      </c>
      <c r="BN31">
        <v>6</v>
      </c>
      <c r="BO31">
        <v>2044.8000000000002</v>
      </c>
      <c r="BP31">
        <v>7</v>
      </c>
      <c r="BQ31">
        <v>2385.6</v>
      </c>
      <c r="BR31">
        <v>9</v>
      </c>
      <c r="BS31">
        <v>3067.2000000000003</v>
      </c>
      <c r="BT31">
        <v>8</v>
      </c>
      <c r="BU31">
        <v>2726.4</v>
      </c>
      <c r="BV31">
        <v>9</v>
      </c>
      <c r="BW31">
        <v>3067.2000000000003</v>
      </c>
      <c r="BX31">
        <v>5</v>
      </c>
      <c r="BY31">
        <v>1704</v>
      </c>
      <c r="BZ31">
        <v>5</v>
      </c>
      <c r="CA31">
        <v>1704</v>
      </c>
      <c r="CB31">
        <v>8</v>
      </c>
      <c r="CC31">
        <v>2726.4</v>
      </c>
      <c r="CD31">
        <v>7</v>
      </c>
      <c r="CE31">
        <v>2385.6</v>
      </c>
      <c r="CF31">
        <v>10</v>
      </c>
      <c r="CG31">
        <v>3408</v>
      </c>
      <c r="CH31">
        <v>11</v>
      </c>
      <c r="CI31">
        <v>3748.8</v>
      </c>
      <c r="CJ31">
        <v>10</v>
      </c>
      <c r="CK31">
        <v>3408</v>
      </c>
      <c r="CL31">
        <v>9</v>
      </c>
      <c r="CM31">
        <v>3067.2000000000003</v>
      </c>
      <c r="CN31">
        <v>7</v>
      </c>
      <c r="CO31">
        <v>2385.6</v>
      </c>
      <c r="CP31">
        <v>9</v>
      </c>
      <c r="CQ31">
        <v>3067.2000000000003</v>
      </c>
      <c r="CR31">
        <v>8</v>
      </c>
      <c r="CS31">
        <v>2726.4</v>
      </c>
      <c r="CT31">
        <v>8</v>
      </c>
      <c r="CU31">
        <v>2726.4</v>
      </c>
    </row>
    <row r="32" spans="2:99" x14ac:dyDescent="0.2">
      <c r="C32" s="116" t="s">
        <v>198</v>
      </c>
      <c r="D32">
        <v>5</v>
      </c>
      <c r="E32">
        <v>4200</v>
      </c>
      <c r="F32">
        <v>7</v>
      </c>
      <c r="G32">
        <v>5880</v>
      </c>
      <c r="H32">
        <v>5</v>
      </c>
      <c r="I32">
        <v>4200</v>
      </c>
      <c r="J32">
        <v>8</v>
      </c>
      <c r="K32">
        <v>6720</v>
      </c>
      <c r="L32">
        <v>7</v>
      </c>
      <c r="M32">
        <v>5880</v>
      </c>
      <c r="N32">
        <v>5</v>
      </c>
      <c r="O32">
        <v>4200</v>
      </c>
      <c r="P32">
        <v>9</v>
      </c>
      <c r="Q32">
        <v>7560</v>
      </c>
      <c r="R32">
        <v>9</v>
      </c>
      <c r="S32">
        <v>7560</v>
      </c>
      <c r="T32">
        <v>7</v>
      </c>
      <c r="U32">
        <v>5880</v>
      </c>
      <c r="V32">
        <v>7</v>
      </c>
      <c r="W32">
        <v>5880</v>
      </c>
      <c r="X32">
        <v>6</v>
      </c>
      <c r="Y32">
        <v>5040</v>
      </c>
      <c r="Z32">
        <v>7</v>
      </c>
      <c r="AA32">
        <v>5880</v>
      </c>
      <c r="AB32">
        <v>7</v>
      </c>
      <c r="AC32">
        <v>5880</v>
      </c>
      <c r="AD32">
        <v>7</v>
      </c>
      <c r="AE32">
        <v>5880</v>
      </c>
      <c r="AF32">
        <v>5</v>
      </c>
      <c r="AG32">
        <v>4200</v>
      </c>
      <c r="AH32">
        <v>5</v>
      </c>
      <c r="AI32">
        <v>4200</v>
      </c>
      <c r="AJ32">
        <v>5</v>
      </c>
      <c r="AK32">
        <v>4200</v>
      </c>
      <c r="AL32">
        <v>6</v>
      </c>
      <c r="AM32">
        <v>5040</v>
      </c>
      <c r="AN32">
        <v>6</v>
      </c>
      <c r="AO32">
        <v>5040</v>
      </c>
      <c r="AP32">
        <v>9</v>
      </c>
      <c r="AQ32">
        <v>7560</v>
      </c>
      <c r="AR32">
        <v>8</v>
      </c>
      <c r="AS32">
        <v>6720</v>
      </c>
      <c r="AT32">
        <v>9</v>
      </c>
      <c r="AU32">
        <v>7560</v>
      </c>
      <c r="AV32">
        <v>7</v>
      </c>
      <c r="AW32">
        <v>5880</v>
      </c>
      <c r="AX32">
        <v>5</v>
      </c>
      <c r="AY32">
        <v>4200</v>
      </c>
      <c r="AZ32">
        <v>5</v>
      </c>
      <c r="BA32">
        <v>4200</v>
      </c>
      <c r="BB32">
        <v>9</v>
      </c>
      <c r="BC32">
        <v>7560</v>
      </c>
      <c r="BD32">
        <v>8</v>
      </c>
      <c r="BE32">
        <v>6720</v>
      </c>
      <c r="BF32">
        <v>5</v>
      </c>
      <c r="BG32">
        <v>4200</v>
      </c>
      <c r="BH32">
        <v>6</v>
      </c>
      <c r="BI32">
        <v>5040</v>
      </c>
      <c r="BJ32">
        <v>8</v>
      </c>
      <c r="BK32">
        <v>6720</v>
      </c>
      <c r="BL32">
        <v>5</v>
      </c>
      <c r="BM32">
        <v>4200</v>
      </c>
      <c r="BN32">
        <v>6</v>
      </c>
      <c r="BO32">
        <v>5040</v>
      </c>
      <c r="BP32">
        <v>7</v>
      </c>
      <c r="BQ32">
        <v>5880</v>
      </c>
      <c r="BR32">
        <v>9</v>
      </c>
      <c r="BS32">
        <v>7560</v>
      </c>
      <c r="BT32">
        <v>8</v>
      </c>
      <c r="BU32">
        <v>6720</v>
      </c>
      <c r="BV32">
        <v>8</v>
      </c>
      <c r="BW32">
        <v>6720</v>
      </c>
      <c r="BX32">
        <v>5</v>
      </c>
      <c r="BY32">
        <v>4200</v>
      </c>
      <c r="BZ32">
        <v>4</v>
      </c>
      <c r="CA32">
        <v>3360</v>
      </c>
      <c r="CB32">
        <v>8</v>
      </c>
      <c r="CC32">
        <v>6720</v>
      </c>
      <c r="CD32">
        <v>8</v>
      </c>
      <c r="CE32">
        <v>6720</v>
      </c>
      <c r="CF32">
        <v>9</v>
      </c>
      <c r="CG32">
        <v>7560</v>
      </c>
      <c r="CH32">
        <v>9</v>
      </c>
      <c r="CI32">
        <v>7560</v>
      </c>
      <c r="CJ32">
        <v>9</v>
      </c>
      <c r="CK32">
        <v>7560</v>
      </c>
      <c r="CL32">
        <v>10</v>
      </c>
      <c r="CM32">
        <v>8400</v>
      </c>
      <c r="CN32">
        <v>7</v>
      </c>
      <c r="CO32">
        <v>5880</v>
      </c>
      <c r="CP32">
        <v>8</v>
      </c>
      <c r="CQ32">
        <v>6720</v>
      </c>
      <c r="CR32">
        <v>8</v>
      </c>
      <c r="CS32">
        <v>6720</v>
      </c>
      <c r="CT32">
        <v>8</v>
      </c>
      <c r="CU32">
        <v>6720</v>
      </c>
    </row>
    <row r="33" spans="2:99" x14ac:dyDescent="0.2">
      <c r="C33" s="116" t="s">
        <v>199</v>
      </c>
      <c r="D33">
        <v>6</v>
      </c>
      <c r="E33">
        <v>2844</v>
      </c>
      <c r="F33">
        <v>7</v>
      </c>
      <c r="G33">
        <v>3318</v>
      </c>
      <c r="H33">
        <v>5</v>
      </c>
      <c r="I33">
        <v>2370</v>
      </c>
      <c r="J33">
        <v>9</v>
      </c>
      <c r="K33">
        <v>4266</v>
      </c>
      <c r="L33">
        <v>8</v>
      </c>
      <c r="M33">
        <v>3792</v>
      </c>
      <c r="N33">
        <v>6</v>
      </c>
      <c r="O33">
        <v>2844</v>
      </c>
      <c r="P33">
        <v>9</v>
      </c>
      <c r="Q33">
        <v>4266</v>
      </c>
      <c r="R33">
        <v>10</v>
      </c>
      <c r="S33">
        <v>4740</v>
      </c>
      <c r="T33">
        <v>7</v>
      </c>
      <c r="U33">
        <v>3318</v>
      </c>
      <c r="V33">
        <v>7</v>
      </c>
      <c r="W33">
        <v>3318</v>
      </c>
      <c r="X33">
        <v>7</v>
      </c>
      <c r="Y33">
        <v>3318</v>
      </c>
      <c r="Z33">
        <v>7</v>
      </c>
      <c r="AA33">
        <v>3318</v>
      </c>
      <c r="AB33">
        <v>7</v>
      </c>
      <c r="AC33">
        <v>3318</v>
      </c>
      <c r="AD33">
        <v>6</v>
      </c>
      <c r="AE33">
        <v>2844</v>
      </c>
      <c r="AF33">
        <v>6</v>
      </c>
      <c r="AG33">
        <v>2844</v>
      </c>
      <c r="AH33">
        <v>5</v>
      </c>
      <c r="AI33">
        <v>2370</v>
      </c>
      <c r="AJ33">
        <v>5</v>
      </c>
      <c r="AK33">
        <v>2370</v>
      </c>
      <c r="AL33">
        <v>7</v>
      </c>
      <c r="AM33">
        <v>3318</v>
      </c>
      <c r="AN33">
        <v>5</v>
      </c>
      <c r="AO33">
        <v>2370</v>
      </c>
      <c r="AP33">
        <v>9</v>
      </c>
      <c r="AQ33">
        <v>4266</v>
      </c>
      <c r="AR33">
        <v>7</v>
      </c>
      <c r="AS33">
        <v>3318</v>
      </c>
      <c r="AT33">
        <v>8</v>
      </c>
      <c r="AU33">
        <v>3792</v>
      </c>
      <c r="AV33">
        <v>7</v>
      </c>
      <c r="AW33">
        <v>3318</v>
      </c>
      <c r="AX33">
        <v>5</v>
      </c>
      <c r="AY33">
        <v>2370</v>
      </c>
      <c r="AZ33">
        <v>6</v>
      </c>
      <c r="BA33">
        <v>2844</v>
      </c>
      <c r="BB33">
        <v>8</v>
      </c>
      <c r="BC33">
        <v>3792</v>
      </c>
      <c r="BD33">
        <v>10</v>
      </c>
      <c r="BE33">
        <v>4740</v>
      </c>
      <c r="BF33">
        <v>6</v>
      </c>
      <c r="BG33">
        <v>2844</v>
      </c>
      <c r="BH33">
        <v>7</v>
      </c>
      <c r="BI33">
        <v>3318</v>
      </c>
      <c r="BJ33">
        <v>8</v>
      </c>
      <c r="BK33">
        <v>3792</v>
      </c>
      <c r="BL33">
        <v>5</v>
      </c>
      <c r="BM33">
        <v>2370</v>
      </c>
      <c r="BN33">
        <v>7</v>
      </c>
      <c r="BO33">
        <v>3318</v>
      </c>
      <c r="BP33">
        <v>8</v>
      </c>
      <c r="BQ33">
        <v>3792</v>
      </c>
      <c r="BR33">
        <v>9</v>
      </c>
      <c r="BS33">
        <v>4266</v>
      </c>
      <c r="BT33">
        <v>9</v>
      </c>
      <c r="BU33">
        <v>4266</v>
      </c>
      <c r="BV33">
        <v>8</v>
      </c>
      <c r="BW33">
        <v>3792</v>
      </c>
      <c r="BX33">
        <v>6</v>
      </c>
      <c r="BY33">
        <v>2844</v>
      </c>
      <c r="BZ33">
        <v>5</v>
      </c>
      <c r="CA33">
        <v>2370</v>
      </c>
      <c r="CB33">
        <v>9</v>
      </c>
      <c r="CC33">
        <v>4266</v>
      </c>
      <c r="CD33">
        <v>7</v>
      </c>
      <c r="CE33">
        <v>3318</v>
      </c>
      <c r="CF33">
        <v>10</v>
      </c>
      <c r="CG33">
        <v>4740</v>
      </c>
      <c r="CH33">
        <v>10</v>
      </c>
      <c r="CI33">
        <v>4740</v>
      </c>
      <c r="CJ33">
        <v>9</v>
      </c>
      <c r="CK33">
        <v>4266</v>
      </c>
      <c r="CL33">
        <v>9</v>
      </c>
      <c r="CM33">
        <v>4266</v>
      </c>
      <c r="CN33">
        <v>6</v>
      </c>
      <c r="CO33">
        <v>2844</v>
      </c>
      <c r="CP33">
        <v>8</v>
      </c>
      <c r="CQ33">
        <v>3792</v>
      </c>
      <c r="CR33">
        <v>7</v>
      </c>
      <c r="CS33">
        <v>3318</v>
      </c>
      <c r="CT33">
        <v>8</v>
      </c>
      <c r="CU33">
        <v>3792</v>
      </c>
    </row>
    <row r="34" spans="2:99" x14ac:dyDescent="0.2">
      <c r="C34" s="116" t="s">
        <v>200</v>
      </c>
      <c r="D34">
        <v>5</v>
      </c>
      <c r="E34">
        <v>2742</v>
      </c>
      <c r="F34">
        <v>7</v>
      </c>
      <c r="G34">
        <v>3838.7999999999997</v>
      </c>
      <c r="H34">
        <v>5</v>
      </c>
      <c r="I34">
        <v>2742</v>
      </c>
      <c r="J34">
        <v>9</v>
      </c>
      <c r="K34">
        <v>4935.5999999999995</v>
      </c>
      <c r="L34">
        <v>9</v>
      </c>
      <c r="M34">
        <v>4935.5999999999995</v>
      </c>
      <c r="N34">
        <v>5</v>
      </c>
      <c r="O34">
        <v>2742</v>
      </c>
      <c r="P34">
        <v>8</v>
      </c>
      <c r="Q34">
        <v>4387.2</v>
      </c>
      <c r="R34">
        <v>9</v>
      </c>
      <c r="S34">
        <v>4935.5999999999995</v>
      </c>
      <c r="T34">
        <v>6</v>
      </c>
      <c r="U34">
        <v>3290.3999999999996</v>
      </c>
      <c r="V34">
        <v>7</v>
      </c>
      <c r="W34">
        <v>3838.7999999999997</v>
      </c>
      <c r="X34">
        <v>7</v>
      </c>
      <c r="Y34">
        <v>3838.7999999999997</v>
      </c>
      <c r="Z34">
        <v>7</v>
      </c>
      <c r="AA34">
        <v>3838.7999999999997</v>
      </c>
      <c r="AB34">
        <v>8</v>
      </c>
      <c r="AC34">
        <v>4387.2</v>
      </c>
      <c r="AD34">
        <v>7</v>
      </c>
      <c r="AE34">
        <v>3838.7999999999997</v>
      </c>
      <c r="AF34">
        <v>6</v>
      </c>
      <c r="AG34">
        <v>3290.3999999999996</v>
      </c>
      <c r="AH34">
        <v>5</v>
      </c>
      <c r="AI34">
        <v>2742</v>
      </c>
      <c r="AJ34">
        <v>5</v>
      </c>
      <c r="AK34">
        <v>2742</v>
      </c>
      <c r="AL34">
        <v>7</v>
      </c>
      <c r="AM34">
        <v>3838.7999999999997</v>
      </c>
      <c r="AN34">
        <v>5</v>
      </c>
      <c r="AO34">
        <v>2742</v>
      </c>
      <c r="AP34">
        <v>9</v>
      </c>
      <c r="AQ34">
        <v>4935.5999999999995</v>
      </c>
      <c r="AR34">
        <v>8</v>
      </c>
      <c r="AS34">
        <v>4387.2</v>
      </c>
      <c r="AT34">
        <v>8</v>
      </c>
      <c r="AU34">
        <v>4387.2</v>
      </c>
      <c r="AV34">
        <v>6</v>
      </c>
      <c r="AW34">
        <v>3290.3999999999996</v>
      </c>
      <c r="AX34">
        <v>5</v>
      </c>
      <c r="AY34">
        <v>2742</v>
      </c>
      <c r="AZ34">
        <v>6</v>
      </c>
      <c r="BA34">
        <v>3290.3999999999996</v>
      </c>
      <c r="BB34">
        <v>9</v>
      </c>
      <c r="BC34">
        <v>4935.5999999999995</v>
      </c>
      <c r="BD34">
        <v>9</v>
      </c>
      <c r="BE34">
        <v>4935.5999999999995</v>
      </c>
      <c r="BF34">
        <v>6</v>
      </c>
      <c r="BG34">
        <v>3290.3999999999996</v>
      </c>
      <c r="BH34">
        <v>6</v>
      </c>
      <c r="BI34">
        <v>3290.3999999999996</v>
      </c>
      <c r="BJ34">
        <v>8</v>
      </c>
      <c r="BK34">
        <v>4387.2</v>
      </c>
      <c r="BL34">
        <v>6</v>
      </c>
      <c r="BM34">
        <v>3290.3999999999996</v>
      </c>
      <c r="BN34">
        <v>7</v>
      </c>
      <c r="BO34">
        <v>3838.7999999999997</v>
      </c>
      <c r="BP34">
        <v>7</v>
      </c>
      <c r="BQ34">
        <v>3838.7999999999997</v>
      </c>
      <c r="BR34">
        <v>8</v>
      </c>
      <c r="BS34">
        <v>4387.2</v>
      </c>
      <c r="BT34">
        <v>8</v>
      </c>
      <c r="BU34">
        <v>4387.2</v>
      </c>
      <c r="BV34">
        <v>8</v>
      </c>
      <c r="BW34">
        <v>4387.2</v>
      </c>
      <c r="BX34">
        <v>5</v>
      </c>
      <c r="BY34">
        <v>2742</v>
      </c>
      <c r="BZ34">
        <v>5</v>
      </c>
      <c r="CA34">
        <v>2742</v>
      </c>
      <c r="CB34">
        <v>9</v>
      </c>
      <c r="CC34">
        <v>4935.5999999999995</v>
      </c>
      <c r="CD34">
        <v>7</v>
      </c>
      <c r="CE34">
        <v>3838.7999999999997</v>
      </c>
      <c r="CF34">
        <v>9</v>
      </c>
      <c r="CG34">
        <v>4935.5999999999995</v>
      </c>
      <c r="CH34">
        <v>10</v>
      </c>
      <c r="CI34">
        <v>5484</v>
      </c>
      <c r="CJ34">
        <v>9</v>
      </c>
      <c r="CK34">
        <v>4935.5999999999995</v>
      </c>
      <c r="CL34">
        <v>11</v>
      </c>
      <c r="CM34">
        <v>6032.4</v>
      </c>
      <c r="CN34">
        <v>7</v>
      </c>
      <c r="CO34">
        <v>3838.7999999999997</v>
      </c>
      <c r="CP34">
        <v>8</v>
      </c>
      <c r="CQ34">
        <v>4387.2</v>
      </c>
      <c r="CR34">
        <v>7</v>
      </c>
      <c r="CS34">
        <v>3838.7999999999997</v>
      </c>
      <c r="CT34">
        <v>8</v>
      </c>
      <c r="CU34">
        <v>4387.2</v>
      </c>
    </row>
    <row r="35" spans="2:99" x14ac:dyDescent="0.2">
      <c r="C35" s="116" t="s">
        <v>201</v>
      </c>
      <c r="D35">
        <v>5</v>
      </c>
      <c r="E35">
        <v>2513.9999999999995</v>
      </c>
      <c r="F35">
        <v>8</v>
      </c>
      <c r="G35">
        <v>4022.3999999999992</v>
      </c>
      <c r="H35">
        <v>5</v>
      </c>
      <c r="I35">
        <v>2513.9999999999995</v>
      </c>
      <c r="J35">
        <v>8</v>
      </c>
      <c r="K35">
        <v>4022.3999999999992</v>
      </c>
      <c r="L35">
        <v>9</v>
      </c>
      <c r="M35">
        <v>4525.1999999999989</v>
      </c>
      <c r="N35">
        <v>5</v>
      </c>
      <c r="O35">
        <v>2513.9999999999995</v>
      </c>
      <c r="P35">
        <v>9</v>
      </c>
      <c r="Q35">
        <v>4525.1999999999989</v>
      </c>
      <c r="R35">
        <v>9</v>
      </c>
      <c r="S35">
        <v>4525.1999999999989</v>
      </c>
      <c r="T35">
        <v>7</v>
      </c>
      <c r="U35">
        <v>3519.5999999999995</v>
      </c>
      <c r="V35">
        <v>7</v>
      </c>
      <c r="W35">
        <v>3519.5999999999995</v>
      </c>
      <c r="X35">
        <v>7</v>
      </c>
      <c r="Y35">
        <v>3519.5999999999995</v>
      </c>
      <c r="Z35">
        <v>7</v>
      </c>
      <c r="AA35">
        <v>3519.5999999999995</v>
      </c>
      <c r="AB35">
        <v>7</v>
      </c>
      <c r="AC35">
        <v>3519.5999999999995</v>
      </c>
      <c r="AD35">
        <v>7</v>
      </c>
      <c r="AE35">
        <v>3519.5999999999995</v>
      </c>
      <c r="AF35">
        <v>6</v>
      </c>
      <c r="AG35">
        <v>3016.7999999999993</v>
      </c>
      <c r="AH35">
        <v>6</v>
      </c>
      <c r="AI35">
        <v>3016.7999999999993</v>
      </c>
      <c r="AJ35">
        <v>5</v>
      </c>
      <c r="AK35">
        <v>2513.9999999999995</v>
      </c>
      <c r="AL35">
        <v>7</v>
      </c>
      <c r="AM35">
        <v>3519.5999999999995</v>
      </c>
      <c r="AN35">
        <v>5</v>
      </c>
      <c r="AO35">
        <v>2513.9999999999995</v>
      </c>
      <c r="AP35">
        <v>9</v>
      </c>
      <c r="AQ35">
        <v>4525.1999999999989</v>
      </c>
      <c r="AR35">
        <v>8</v>
      </c>
      <c r="AS35">
        <v>4022.3999999999992</v>
      </c>
      <c r="AT35">
        <v>8</v>
      </c>
      <c r="AU35">
        <v>4022.3999999999992</v>
      </c>
      <c r="AV35">
        <v>7</v>
      </c>
      <c r="AW35">
        <v>3519.5999999999995</v>
      </c>
      <c r="AX35">
        <v>5</v>
      </c>
      <c r="AY35">
        <v>2513.9999999999995</v>
      </c>
      <c r="AZ35">
        <v>6</v>
      </c>
      <c r="BA35">
        <v>3016.7999999999993</v>
      </c>
      <c r="BB35">
        <v>9</v>
      </c>
      <c r="BC35">
        <v>4525.1999999999989</v>
      </c>
      <c r="BD35">
        <v>9</v>
      </c>
      <c r="BE35">
        <v>4525.1999999999989</v>
      </c>
      <c r="BF35">
        <v>5</v>
      </c>
      <c r="BG35">
        <v>2513.9999999999995</v>
      </c>
      <c r="BH35">
        <v>6</v>
      </c>
      <c r="BI35">
        <v>3016.7999999999993</v>
      </c>
      <c r="BJ35">
        <v>8</v>
      </c>
      <c r="BK35">
        <v>4022.3999999999992</v>
      </c>
      <c r="BL35">
        <v>5</v>
      </c>
      <c r="BM35">
        <v>2513.9999999999995</v>
      </c>
      <c r="BN35">
        <v>6</v>
      </c>
      <c r="BO35">
        <v>3016.7999999999993</v>
      </c>
      <c r="BP35">
        <v>7</v>
      </c>
      <c r="BQ35">
        <v>3519.5999999999995</v>
      </c>
      <c r="BR35">
        <v>10</v>
      </c>
      <c r="BS35">
        <v>5027.9999999999991</v>
      </c>
      <c r="BT35">
        <v>8</v>
      </c>
      <c r="BU35">
        <v>4022.3999999999992</v>
      </c>
      <c r="BV35">
        <v>8</v>
      </c>
      <c r="BW35">
        <v>4022.3999999999992</v>
      </c>
      <c r="BX35">
        <v>6</v>
      </c>
      <c r="BY35">
        <v>3016.7999999999993</v>
      </c>
      <c r="BZ35">
        <v>5</v>
      </c>
      <c r="CA35">
        <v>2513.9999999999995</v>
      </c>
      <c r="CB35">
        <v>8</v>
      </c>
      <c r="CC35">
        <v>4022.3999999999992</v>
      </c>
      <c r="CD35">
        <v>8</v>
      </c>
      <c r="CE35">
        <v>4022.3999999999992</v>
      </c>
      <c r="CF35">
        <v>10</v>
      </c>
      <c r="CG35">
        <v>5027.9999999999991</v>
      </c>
      <c r="CH35">
        <v>10</v>
      </c>
      <c r="CI35">
        <v>5027.9999999999991</v>
      </c>
      <c r="CJ35">
        <v>10</v>
      </c>
      <c r="CK35">
        <v>5027.9999999999991</v>
      </c>
      <c r="CL35">
        <v>10</v>
      </c>
      <c r="CM35">
        <v>5027.9999999999991</v>
      </c>
      <c r="CN35">
        <v>7</v>
      </c>
      <c r="CO35">
        <v>3519.5999999999995</v>
      </c>
      <c r="CP35">
        <v>8</v>
      </c>
      <c r="CQ35">
        <v>4022.3999999999992</v>
      </c>
      <c r="CR35">
        <v>7</v>
      </c>
      <c r="CS35">
        <v>3519.5999999999995</v>
      </c>
      <c r="CT35">
        <v>8</v>
      </c>
      <c r="CU35">
        <v>4022.3999999999992</v>
      </c>
    </row>
    <row r="36" spans="2:99" x14ac:dyDescent="0.2">
      <c r="C36" s="116" t="s">
        <v>202</v>
      </c>
      <c r="D36">
        <v>5</v>
      </c>
      <c r="E36">
        <v>3804</v>
      </c>
      <c r="F36">
        <v>7</v>
      </c>
      <c r="G36">
        <v>5325.5999999999995</v>
      </c>
      <c r="H36">
        <v>5</v>
      </c>
      <c r="I36">
        <v>3804</v>
      </c>
      <c r="J36">
        <v>8</v>
      </c>
      <c r="K36">
        <v>6086.4</v>
      </c>
      <c r="L36">
        <v>8</v>
      </c>
      <c r="M36">
        <v>6086.4</v>
      </c>
      <c r="N36">
        <v>6</v>
      </c>
      <c r="O36">
        <v>4564.7999999999993</v>
      </c>
      <c r="P36">
        <v>8</v>
      </c>
      <c r="Q36">
        <v>6086.4</v>
      </c>
      <c r="R36">
        <v>8</v>
      </c>
      <c r="S36">
        <v>6086.4</v>
      </c>
      <c r="T36">
        <v>7</v>
      </c>
      <c r="U36">
        <v>5325.5999999999995</v>
      </c>
      <c r="V36">
        <v>7</v>
      </c>
      <c r="W36">
        <v>5325.5999999999995</v>
      </c>
      <c r="X36">
        <v>6</v>
      </c>
      <c r="Y36">
        <v>4564.7999999999993</v>
      </c>
      <c r="Z36">
        <v>6</v>
      </c>
      <c r="AA36">
        <v>4564.7999999999993</v>
      </c>
      <c r="AB36">
        <v>7</v>
      </c>
      <c r="AC36">
        <v>5325.5999999999995</v>
      </c>
      <c r="AD36">
        <v>7</v>
      </c>
      <c r="AE36">
        <v>5325.5999999999995</v>
      </c>
      <c r="AF36">
        <v>5</v>
      </c>
      <c r="AG36">
        <v>3804</v>
      </c>
      <c r="AH36">
        <v>6</v>
      </c>
      <c r="AI36">
        <v>4564.7999999999993</v>
      </c>
      <c r="AJ36">
        <v>5</v>
      </c>
      <c r="AK36">
        <v>3804</v>
      </c>
      <c r="AL36">
        <v>7</v>
      </c>
      <c r="AM36">
        <v>5325.5999999999995</v>
      </c>
      <c r="AN36">
        <v>5</v>
      </c>
      <c r="AO36">
        <v>3804</v>
      </c>
      <c r="AP36">
        <v>9</v>
      </c>
      <c r="AQ36">
        <v>6847.2</v>
      </c>
      <c r="AR36">
        <v>7</v>
      </c>
      <c r="AS36">
        <v>5325.5999999999995</v>
      </c>
      <c r="AT36">
        <v>9</v>
      </c>
      <c r="AU36">
        <v>6847.2</v>
      </c>
      <c r="AV36">
        <v>7</v>
      </c>
      <c r="AW36">
        <v>5325.5999999999995</v>
      </c>
      <c r="AX36">
        <v>5</v>
      </c>
      <c r="AY36">
        <v>3804</v>
      </c>
      <c r="AZ36">
        <v>6</v>
      </c>
      <c r="BA36">
        <v>4564.7999999999993</v>
      </c>
      <c r="BB36">
        <v>9</v>
      </c>
      <c r="BC36">
        <v>6847.2</v>
      </c>
      <c r="BD36">
        <v>9</v>
      </c>
      <c r="BE36">
        <v>6847.2</v>
      </c>
      <c r="BF36">
        <v>6</v>
      </c>
      <c r="BG36">
        <v>4564.7999999999993</v>
      </c>
      <c r="BH36">
        <v>6</v>
      </c>
      <c r="BI36">
        <v>4564.7999999999993</v>
      </c>
      <c r="BJ36">
        <v>8</v>
      </c>
      <c r="BK36">
        <v>6086.4</v>
      </c>
      <c r="BL36">
        <v>5</v>
      </c>
      <c r="BM36">
        <v>3804</v>
      </c>
      <c r="BN36">
        <v>7</v>
      </c>
      <c r="BO36">
        <v>5325.5999999999995</v>
      </c>
      <c r="BP36">
        <v>7</v>
      </c>
      <c r="BQ36">
        <v>5325.5999999999995</v>
      </c>
      <c r="BR36">
        <v>8</v>
      </c>
      <c r="BS36">
        <v>6086.4</v>
      </c>
      <c r="BT36">
        <v>9</v>
      </c>
      <c r="BU36">
        <v>6847.2</v>
      </c>
      <c r="BV36">
        <v>8</v>
      </c>
      <c r="BW36">
        <v>6086.4</v>
      </c>
      <c r="BX36">
        <v>5</v>
      </c>
      <c r="BY36">
        <v>3804</v>
      </c>
      <c r="BZ36">
        <v>5</v>
      </c>
      <c r="CA36">
        <v>3804</v>
      </c>
      <c r="CB36">
        <v>8</v>
      </c>
      <c r="CC36">
        <v>6086.4</v>
      </c>
      <c r="CD36">
        <v>7</v>
      </c>
      <c r="CE36">
        <v>5325.5999999999995</v>
      </c>
      <c r="CF36">
        <v>9</v>
      </c>
      <c r="CG36">
        <v>6847.2</v>
      </c>
      <c r="CH36">
        <v>9</v>
      </c>
      <c r="CI36">
        <v>6847.2</v>
      </c>
      <c r="CJ36">
        <v>9</v>
      </c>
      <c r="CK36">
        <v>6847.2</v>
      </c>
      <c r="CL36">
        <v>9</v>
      </c>
      <c r="CM36">
        <v>6847.2</v>
      </c>
      <c r="CN36">
        <v>7</v>
      </c>
      <c r="CO36">
        <v>5325.5999999999995</v>
      </c>
      <c r="CP36">
        <v>7</v>
      </c>
      <c r="CQ36">
        <v>5325.5999999999995</v>
      </c>
      <c r="CR36">
        <v>7</v>
      </c>
      <c r="CS36">
        <v>5325.5999999999995</v>
      </c>
      <c r="CT36">
        <v>8</v>
      </c>
      <c r="CU36">
        <v>6086.4</v>
      </c>
    </row>
    <row r="37" spans="2:99" x14ac:dyDescent="0.2">
      <c r="B37" s="116" t="s">
        <v>128</v>
      </c>
      <c r="C37" s="116" t="s">
        <v>203</v>
      </c>
      <c r="D37">
        <v>22</v>
      </c>
      <c r="E37">
        <v>18928.8</v>
      </c>
      <c r="F37">
        <v>26</v>
      </c>
      <c r="G37">
        <v>22370.399999999998</v>
      </c>
      <c r="H37">
        <v>16</v>
      </c>
      <c r="I37">
        <v>13766.4</v>
      </c>
      <c r="J37">
        <v>28</v>
      </c>
      <c r="K37">
        <v>24091.200000000001</v>
      </c>
      <c r="L37">
        <v>20</v>
      </c>
      <c r="M37">
        <v>17208</v>
      </c>
      <c r="N37">
        <v>24</v>
      </c>
      <c r="O37">
        <v>20649.599999999999</v>
      </c>
      <c r="P37">
        <v>23</v>
      </c>
      <c r="Q37">
        <v>19789.2</v>
      </c>
      <c r="R37">
        <v>17</v>
      </c>
      <c r="S37">
        <v>14626.8</v>
      </c>
      <c r="T37">
        <v>24</v>
      </c>
      <c r="U37">
        <v>20649.599999999999</v>
      </c>
      <c r="V37">
        <v>14</v>
      </c>
      <c r="W37">
        <v>12045.6</v>
      </c>
      <c r="X37">
        <v>25</v>
      </c>
      <c r="Y37">
        <v>21510</v>
      </c>
      <c r="Z37">
        <v>15</v>
      </c>
      <c r="AA37">
        <v>12906</v>
      </c>
      <c r="AB37">
        <v>13</v>
      </c>
      <c r="AC37">
        <v>11185.199999999999</v>
      </c>
      <c r="AD37">
        <v>20</v>
      </c>
      <c r="AE37">
        <v>17208</v>
      </c>
      <c r="AF37">
        <v>16</v>
      </c>
      <c r="AG37">
        <v>13766.4</v>
      </c>
      <c r="AH37">
        <v>27</v>
      </c>
      <c r="AI37">
        <v>23230.799999999999</v>
      </c>
      <c r="AJ37">
        <v>19</v>
      </c>
      <c r="AK37">
        <v>16347.6</v>
      </c>
      <c r="AL37">
        <v>22</v>
      </c>
      <c r="AM37">
        <v>18928.8</v>
      </c>
      <c r="AN37">
        <v>14</v>
      </c>
      <c r="AO37">
        <v>12045.6</v>
      </c>
      <c r="AP37">
        <v>20</v>
      </c>
      <c r="AQ37">
        <v>17208</v>
      </c>
      <c r="AR37">
        <v>20</v>
      </c>
      <c r="AS37">
        <v>17208</v>
      </c>
      <c r="AT37">
        <v>22</v>
      </c>
      <c r="AU37">
        <v>18928.8</v>
      </c>
      <c r="AV37">
        <v>18</v>
      </c>
      <c r="AW37">
        <v>15487.199999999999</v>
      </c>
      <c r="AX37">
        <v>14</v>
      </c>
      <c r="AY37">
        <v>12045.6</v>
      </c>
      <c r="AZ37">
        <v>22</v>
      </c>
      <c r="BA37">
        <v>18928.8</v>
      </c>
      <c r="BB37">
        <v>22</v>
      </c>
      <c r="BC37">
        <v>18928.8</v>
      </c>
      <c r="BD37">
        <v>22</v>
      </c>
      <c r="BE37">
        <v>18928.8</v>
      </c>
      <c r="BF37">
        <v>28</v>
      </c>
      <c r="BG37">
        <v>24091.200000000001</v>
      </c>
      <c r="BH37">
        <v>21</v>
      </c>
      <c r="BI37">
        <v>18068.399999999998</v>
      </c>
      <c r="BJ37">
        <v>19</v>
      </c>
      <c r="BK37">
        <v>16347.6</v>
      </c>
      <c r="BL37">
        <v>19</v>
      </c>
      <c r="BM37">
        <v>16347.6</v>
      </c>
      <c r="BN37">
        <v>20</v>
      </c>
      <c r="BO37">
        <v>17208</v>
      </c>
      <c r="BP37">
        <v>21</v>
      </c>
      <c r="BQ37">
        <v>18068.399999999998</v>
      </c>
      <c r="BR37">
        <v>20</v>
      </c>
      <c r="BS37">
        <v>17208</v>
      </c>
      <c r="BT37">
        <v>24</v>
      </c>
      <c r="BU37">
        <v>20649.599999999999</v>
      </c>
      <c r="BV37">
        <v>22</v>
      </c>
      <c r="BW37">
        <v>18928.8</v>
      </c>
      <c r="BX37">
        <v>17</v>
      </c>
      <c r="BY37">
        <v>14626.8</v>
      </c>
      <c r="BZ37">
        <v>22</v>
      </c>
      <c r="CA37">
        <v>18928.8</v>
      </c>
      <c r="CB37">
        <v>18</v>
      </c>
      <c r="CC37">
        <v>15487.199999999999</v>
      </c>
      <c r="CD37">
        <v>24</v>
      </c>
      <c r="CE37">
        <v>20649.599999999999</v>
      </c>
      <c r="CF37">
        <v>25</v>
      </c>
      <c r="CG37">
        <v>21510</v>
      </c>
      <c r="CH37">
        <v>24</v>
      </c>
      <c r="CI37">
        <v>20649.599999999999</v>
      </c>
      <c r="CJ37">
        <v>19</v>
      </c>
      <c r="CK37">
        <v>16347.6</v>
      </c>
      <c r="CL37">
        <v>14</v>
      </c>
      <c r="CM37">
        <v>12045.6</v>
      </c>
      <c r="CN37">
        <v>25</v>
      </c>
      <c r="CO37">
        <v>21510</v>
      </c>
      <c r="CP37">
        <v>25</v>
      </c>
      <c r="CQ37">
        <v>21510</v>
      </c>
      <c r="CR37">
        <v>25</v>
      </c>
      <c r="CS37">
        <v>21510</v>
      </c>
      <c r="CT37">
        <v>16</v>
      </c>
      <c r="CU37">
        <v>13766.4</v>
      </c>
    </row>
    <row r="38" spans="2:99" x14ac:dyDescent="0.2">
      <c r="C38" s="116" t="s">
        <v>204</v>
      </c>
      <c r="D38">
        <v>21</v>
      </c>
      <c r="E38">
        <v>26082</v>
      </c>
      <c r="F38">
        <v>26</v>
      </c>
      <c r="G38">
        <v>32292</v>
      </c>
      <c r="H38">
        <v>15</v>
      </c>
      <c r="I38">
        <v>18630</v>
      </c>
      <c r="J38">
        <v>26</v>
      </c>
      <c r="K38">
        <v>32292</v>
      </c>
      <c r="L38">
        <v>16</v>
      </c>
      <c r="M38">
        <v>19872</v>
      </c>
      <c r="N38">
        <v>20</v>
      </c>
      <c r="O38">
        <v>24840</v>
      </c>
      <c r="P38">
        <v>24</v>
      </c>
      <c r="Q38">
        <v>29808</v>
      </c>
      <c r="R38">
        <v>14</v>
      </c>
      <c r="S38">
        <v>17388</v>
      </c>
      <c r="T38">
        <v>25</v>
      </c>
      <c r="U38">
        <v>31050</v>
      </c>
      <c r="V38">
        <v>15</v>
      </c>
      <c r="W38">
        <v>18630</v>
      </c>
      <c r="X38">
        <v>24</v>
      </c>
      <c r="Y38">
        <v>29808</v>
      </c>
      <c r="Z38">
        <v>15</v>
      </c>
      <c r="AA38">
        <v>18630</v>
      </c>
      <c r="AB38">
        <v>13</v>
      </c>
      <c r="AC38">
        <v>16146</v>
      </c>
      <c r="AD38">
        <v>19</v>
      </c>
      <c r="AE38">
        <v>23598</v>
      </c>
      <c r="AF38">
        <v>15</v>
      </c>
      <c r="AG38">
        <v>18630</v>
      </c>
      <c r="AH38">
        <v>23</v>
      </c>
      <c r="AI38">
        <v>28566</v>
      </c>
      <c r="AJ38">
        <v>15</v>
      </c>
      <c r="AK38">
        <v>18630</v>
      </c>
      <c r="AL38">
        <v>23</v>
      </c>
      <c r="AM38">
        <v>28566</v>
      </c>
      <c r="AN38">
        <v>13</v>
      </c>
      <c r="AO38">
        <v>16146</v>
      </c>
      <c r="AP38">
        <v>17</v>
      </c>
      <c r="AQ38">
        <v>21114</v>
      </c>
      <c r="AR38">
        <v>19</v>
      </c>
      <c r="AS38">
        <v>23598</v>
      </c>
      <c r="AT38">
        <v>19</v>
      </c>
      <c r="AU38">
        <v>23598</v>
      </c>
      <c r="AV38">
        <v>16</v>
      </c>
      <c r="AW38">
        <v>19872</v>
      </c>
      <c r="AX38">
        <v>14</v>
      </c>
      <c r="AY38">
        <v>17388</v>
      </c>
      <c r="AZ38">
        <v>21</v>
      </c>
      <c r="BA38">
        <v>26082</v>
      </c>
      <c r="BB38">
        <v>21</v>
      </c>
      <c r="BC38">
        <v>26082</v>
      </c>
      <c r="BD38">
        <v>23</v>
      </c>
      <c r="BE38">
        <v>28566</v>
      </c>
      <c r="BF38">
        <v>25</v>
      </c>
      <c r="BG38">
        <v>31050</v>
      </c>
      <c r="BH38">
        <v>21</v>
      </c>
      <c r="BI38">
        <v>26082</v>
      </c>
      <c r="BJ38">
        <v>18</v>
      </c>
      <c r="BK38">
        <v>22356</v>
      </c>
      <c r="BL38">
        <v>18</v>
      </c>
      <c r="BM38">
        <v>22356</v>
      </c>
      <c r="BN38">
        <v>20</v>
      </c>
      <c r="BO38">
        <v>24840</v>
      </c>
      <c r="BP38">
        <v>23</v>
      </c>
      <c r="BQ38">
        <v>28566</v>
      </c>
      <c r="BR38">
        <v>22</v>
      </c>
      <c r="BS38">
        <v>27324</v>
      </c>
      <c r="BT38">
        <v>21</v>
      </c>
      <c r="BU38">
        <v>26082</v>
      </c>
      <c r="BV38">
        <v>22</v>
      </c>
      <c r="BW38">
        <v>27324</v>
      </c>
      <c r="BX38">
        <v>16</v>
      </c>
      <c r="BY38">
        <v>19872</v>
      </c>
      <c r="BZ38">
        <v>24</v>
      </c>
      <c r="CA38">
        <v>29808</v>
      </c>
      <c r="CB38">
        <v>15</v>
      </c>
      <c r="CC38">
        <v>18630</v>
      </c>
      <c r="CD38">
        <v>23</v>
      </c>
      <c r="CE38">
        <v>28566</v>
      </c>
      <c r="CF38">
        <v>26</v>
      </c>
      <c r="CG38">
        <v>32292</v>
      </c>
      <c r="CH38">
        <v>21</v>
      </c>
      <c r="CI38">
        <v>26082</v>
      </c>
      <c r="CJ38">
        <v>17</v>
      </c>
      <c r="CK38">
        <v>21114</v>
      </c>
      <c r="CL38">
        <v>15</v>
      </c>
      <c r="CM38">
        <v>18630</v>
      </c>
      <c r="CN38">
        <v>24</v>
      </c>
      <c r="CO38">
        <v>29808</v>
      </c>
      <c r="CP38">
        <v>25</v>
      </c>
      <c r="CQ38">
        <v>31050</v>
      </c>
      <c r="CR38">
        <v>22</v>
      </c>
      <c r="CS38">
        <v>27324</v>
      </c>
      <c r="CT38">
        <v>16</v>
      </c>
      <c r="CU38">
        <v>19872</v>
      </c>
    </row>
    <row r="39" spans="2:99" x14ac:dyDescent="0.2">
      <c r="C39" s="116" t="s">
        <v>205</v>
      </c>
      <c r="D39">
        <v>19</v>
      </c>
      <c r="E39">
        <v>27040.799999999999</v>
      </c>
      <c r="F39">
        <v>24</v>
      </c>
      <c r="G39">
        <v>34156.800000000003</v>
      </c>
      <c r="H39">
        <v>16</v>
      </c>
      <c r="I39">
        <v>22771.200000000001</v>
      </c>
      <c r="J39">
        <v>24</v>
      </c>
      <c r="K39">
        <v>34156.800000000003</v>
      </c>
      <c r="L39">
        <v>18</v>
      </c>
      <c r="M39">
        <v>25617.600000000002</v>
      </c>
      <c r="N39">
        <v>22</v>
      </c>
      <c r="O39">
        <v>31310.400000000001</v>
      </c>
      <c r="P39">
        <v>24</v>
      </c>
      <c r="Q39">
        <v>34156.800000000003</v>
      </c>
      <c r="R39">
        <v>15</v>
      </c>
      <c r="S39">
        <v>21348</v>
      </c>
      <c r="T39">
        <v>22</v>
      </c>
      <c r="U39">
        <v>31310.400000000001</v>
      </c>
      <c r="V39">
        <v>15</v>
      </c>
      <c r="W39">
        <v>21348</v>
      </c>
      <c r="X39">
        <v>24</v>
      </c>
      <c r="Y39">
        <v>34156.800000000003</v>
      </c>
      <c r="Z39">
        <v>14</v>
      </c>
      <c r="AA39">
        <v>19924.8</v>
      </c>
      <c r="AB39">
        <v>11</v>
      </c>
      <c r="AC39">
        <v>15655.2</v>
      </c>
      <c r="AD39">
        <v>21</v>
      </c>
      <c r="AE39">
        <v>29887.200000000001</v>
      </c>
      <c r="AF39">
        <v>13</v>
      </c>
      <c r="AG39">
        <v>18501.600000000002</v>
      </c>
      <c r="AH39">
        <v>26</v>
      </c>
      <c r="AI39">
        <v>37003.200000000004</v>
      </c>
      <c r="AJ39">
        <v>16</v>
      </c>
      <c r="AK39">
        <v>22771.200000000001</v>
      </c>
      <c r="AL39">
        <v>23</v>
      </c>
      <c r="AM39">
        <v>32733.600000000002</v>
      </c>
      <c r="AN39">
        <v>15</v>
      </c>
      <c r="AO39">
        <v>21348</v>
      </c>
      <c r="AP39">
        <v>18</v>
      </c>
      <c r="AQ39">
        <v>25617.600000000002</v>
      </c>
      <c r="AR39">
        <v>21</v>
      </c>
      <c r="AS39">
        <v>29887.200000000001</v>
      </c>
      <c r="AT39">
        <v>21</v>
      </c>
      <c r="AU39">
        <v>29887.200000000001</v>
      </c>
      <c r="AV39">
        <v>18</v>
      </c>
      <c r="AW39">
        <v>25617.600000000002</v>
      </c>
      <c r="AX39">
        <v>14</v>
      </c>
      <c r="AY39">
        <v>19924.8</v>
      </c>
      <c r="AZ39">
        <v>23</v>
      </c>
      <c r="BA39">
        <v>32733.600000000002</v>
      </c>
      <c r="BB39">
        <v>21</v>
      </c>
      <c r="BC39">
        <v>29887.200000000001</v>
      </c>
      <c r="BD39">
        <v>24</v>
      </c>
      <c r="BE39">
        <v>34156.800000000003</v>
      </c>
      <c r="BF39">
        <v>24</v>
      </c>
      <c r="BG39">
        <v>34156.800000000003</v>
      </c>
      <c r="BH39">
        <v>23</v>
      </c>
      <c r="BI39">
        <v>32733.600000000002</v>
      </c>
      <c r="BJ39">
        <v>18</v>
      </c>
      <c r="BK39">
        <v>25617.600000000002</v>
      </c>
      <c r="BL39">
        <v>20</v>
      </c>
      <c r="BM39">
        <v>28464</v>
      </c>
      <c r="BN39">
        <v>19</v>
      </c>
      <c r="BO39">
        <v>27040.799999999999</v>
      </c>
      <c r="BP39">
        <v>24</v>
      </c>
      <c r="BQ39">
        <v>34156.800000000003</v>
      </c>
      <c r="BR39">
        <v>21</v>
      </c>
      <c r="BS39">
        <v>29887.200000000001</v>
      </c>
      <c r="BT39">
        <v>19</v>
      </c>
      <c r="BU39">
        <v>27040.799999999999</v>
      </c>
      <c r="BV39">
        <v>20</v>
      </c>
      <c r="BW39">
        <v>28464</v>
      </c>
      <c r="BX39">
        <v>14</v>
      </c>
      <c r="BY39">
        <v>19924.8</v>
      </c>
      <c r="BZ39">
        <v>23</v>
      </c>
      <c r="CA39">
        <v>32733.600000000002</v>
      </c>
      <c r="CB39">
        <v>17</v>
      </c>
      <c r="CC39">
        <v>24194.400000000001</v>
      </c>
      <c r="CD39">
        <v>23</v>
      </c>
      <c r="CE39">
        <v>32733.600000000002</v>
      </c>
      <c r="CF39">
        <v>24</v>
      </c>
      <c r="CG39">
        <v>34156.800000000003</v>
      </c>
      <c r="CH39">
        <v>22</v>
      </c>
      <c r="CI39">
        <v>31310.400000000001</v>
      </c>
      <c r="CJ39">
        <v>18</v>
      </c>
      <c r="CK39">
        <v>25617.600000000002</v>
      </c>
      <c r="CL39">
        <v>14</v>
      </c>
      <c r="CM39">
        <v>19924.8</v>
      </c>
      <c r="CN39">
        <v>25</v>
      </c>
      <c r="CO39">
        <v>35580</v>
      </c>
      <c r="CP39">
        <v>26</v>
      </c>
      <c r="CQ39">
        <v>37003.200000000004</v>
      </c>
      <c r="CR39">
        <v>23</v>
      </c>
      <c r="CS39">
        <v>32733.600000000002</v>
      </c>
      <c r="CT39">
        <v>16</v>
      </c>
      <c r="CU39">
        <v>22771.200000000001</v>
      </c>
    </row>
    <row r="40" spans="2:99" x14ac:dyDescent="0.2">
      <c r="C40" s="116" t="s">
        <v>206</v>
      </c>
      <c r="D40">
        <v>22</v>
      </c>
      <c r="E40">
        <v>15945.599999999999</v>
      </c>
      <c r="F40">
        <v>26</v>
      </c>
      <c r="G40">
        <v>18844.8</v>
      </c>
      <c r="H40">
        <v>17</v>
      </c>
      <c r="I40">
        <v>12321.599999999999</v>
      </c>
      <c r="J40">
        <v>27</v>
      </c>
      <c r="K40">
        <v>19569.599999999999</v>
      </c>
      <c r="L40">
        <v>17</v>
      </c>
      <c r="M40">
        <v>12321.599999999999</v>
      </c>
      <c r="N40">
        <v>24</v>
      </c>
      <c r="O40">
        <v>17395.199999999997</v>
      </c>
      <c r="P40">
        <v>26</v>
      </c>
      <c r="Q40">
        <v>18844.8</v>
      </c>
      <c r="R40">
        <v>17</v>
      </c>
      <c r="S40">
        <v>12321.599999999999</v>
      </c>
      <c r="T40">
        <v>23</v>
      </c>
      <c r="U40">
        <v>16670.399999999998</v>
      </c>
      <c r="V40">
        <v>15</v>
      </c>
      <c r="W40">
        <v>10872</v>
      </c>
      <c r="X40">
        <v>28</v>
      </c>
      <c r="Y40">
        <v>20294.399999999998</v>
      </c>
      <c r="Z40">
        <v>15</v>
      </c>
      <c r="AA40">
        <v>10872</v>
      </c>
      <c r="AB40">
        <v>13</v>
      </c>
      <c r="AC40">
        <v>9422.4</v>
      </c>
      <c r="AD40">
        <v>22</v>
      </c>
      <c r="AE40">
        <v>15945.599999999999</v>
      </c>
      <c r="AF40">
        <v>14</v>
      </c>
      <c r="AG40">
        <v>10147.199999999999</v>
      </c>
      <c r="AH40">
        <v>29</v>
      </c>
      <c r="AI40">
        <v>21019.199999999997</v>
      </c>
      <c r="AJ40">
        <v>19</v>
      </c>
      <c r="AK40">
        <v>13771.199999999999</v>
      </c>
      <c r="AL40">
        <v>23</v>
      </c>
      <c r="AM40">
        <v>16670.399999999998</v>
      </c>
      <c r="AN40">
        <v>16</v>
      </c>
      <c r="AO40">
        <v>11596.8</v>
      </c>
      <c r="AP40">
        <v>20</v>
      </c>
      <c r="AQ40">
        <v>14496</v>
      </c>
      <c r="AR40">
        <v>22</v>
      </c>
      <c r="AS40">
        <v>15945.599999999999</v>
      </c>
      <c r="AT40">
        <v>20</v>
      </c>
      <c r="AU40">
        <v>14496</v>
      </c>
      <c r="AV40">
        <v>19</v>
      </c>
      <c r="AW40">
        <v>13771.199999999999</v>
      </c>
      <c r="AX40">
        <v>17</v>
      </c>
      <c r="AY40">
        <v>12321.599999999999</v>
      </c>
      <c r="AZ40">
        <v>24</v>
      </c>
      <c r="BA40">
        <v>17395.199999999997</v>
      </c>
      <c r="BB40">
        <v>23</v>
      </c>
      <c r="BC40">
        <v>16670.399999999998</v>
      </c>
      <c r="BD40">
        <v>23</v>
      </c>
      <c r="BE40">
        <v>16670.399999999998</v>
      </c>
      <c r="BF40">
        <v>24</v>
      </c>
      <c r="BG40">
        <v>17395.199999999997</v>
      </c>
      <c r="BH40">
        <v>24</v>
      </c>
      <c r="BI40">
        <v>17395.199999999997</v>
      </c>
      <c r="BJ40">
        <v>19</v>
      </c>
      <c r="BK40">
        <v>13771.199999999999</v>
      </c>
      <c r="BL40">
        <v>20</v>
      </c>
      <c r="BM40">
        <v>14496</v>
      </c>
      <c r="BN40">
        <v>20</v>
      </c>
      <c r="BO40">
        <v>14496</v>
      </c>
      <c r="BP40">
        <v>23</v>
      </c>
      <c r="BQ40">
        <v>16670.399999999998</v>
      </c>
      <c r="BR40">
        <v>25</v>
      </c>
      <c r="BS40">
        <v>18120</v>
      </c>
      <c r="BT40">
        <v>22</v>
      </c>
      <c r="BU40">
        <v>15945.599999999999</v>
      </c>
      <c r="BV40">
        <v>20</v>
      </c>
      <c r="BW40">
        <v>14496</v>
      </c>
      <c r="BX40">
        <v>16</v>
      </c>
      <c r="BY40">
        <v>11596.8</v>
      </c>
      <c r="BZ40">
        <v>22</v>
      </c>
      <c r="CA40">
        <v>15945.599999999999</v>
      </c>
      <c r="CB40">
        <v>19</v>
      </c>
      <c r="CC40">
        <v>13771.199999999999</v>
      </c>
      <c r="CD40">
        <v>23</v>
      </c>
      <c r="CE40">
        <v>16670.399999999998</v>
      </c>
      <c r="CF40">
        <v>28</v>
      </c>
      <c r="CG40">
        <v>20294.399999999998</v>
      </c>
      <c r="CH40">
        <v>23</v>
      </c>
      <c r="CI40">
        <v>16670.399999999998</v>
      </c>
      <c r="CJ40">
        <v>19</v>
      </c>
      <c r="CK40">
        <v>13771.199999999999</v>
      </c>
      <c r="CL40">
        <v>14</v>
      </c>
      <c r="CM40">
        <v>10147.199999999999</v>
      </c>
      <c r="CN40">
        <v>23</v>
      </c>
      <c r="CO40">
        <v>16670.399999999998</v>
      </c>
      <c r="CP40">
        <v>27</v>
      </c>
      <c r="CQ40">
        <v>19569.599999999999</v>
      </c>
      <c r="CR40">
        <v>22</v>
      </c>
      <c r="CS40">
        <v>15945.599999999999</v>
      </c>
      <c r="CT40">
        <v>16</v>
      </c>
      <c r="CU40">
        <v>11596.8</v>
      </c>
    </row>
    <row r="41" spans="2:99" x14ac:dyDescent="0.2">
      <c r="C41" s="116" t="s">
        <v>207</v>
      </c>
      <c r="D41">
        <v>23</v>
      </c>
      <c r="E41">
        <v>15180</v>
      </c>
      <c r="F41">
        <v>23</v>
      </c>
      <c r="G41">
        <v>15180</v>
      </c>
      <c r="H41">
        <v>16</v>
      </c>
      <c r="I41">
        <v>10560</v>
      </c>
      <c r="J41">
        <v>28</v>
      </c>
      <c r="K41">
        <v>18480</v>
      </c>
      <c r="L41">
        <v>18</v>
      </c>
      <c r="M41">
        <v>11880</v>
      </c>
      <c r="N41">
        <v>24</v>
      </c>
      <c r="O41">
        <v>15840</v>
      </c>
      <c r="P41">
        <v>27</v>
      </c>
      <c r="Q41">
        <v>17820</v>
      </c>
      <c r="R41">
        <v>16</v>
      </c>
      <c r="S41">
        <v>10560</v>
      </c>
      <c r="T41">
        <v>26</v>
      </c>
      <c r="U41">
        <v>17160</v>
      </c>
      <c r="V41">
        <v>16</v>
      </c>
      <c r="W41">
        <v>10560</v>
      </c>
      <c r="X41">
        <v>26</v>
      </c>
      <c r="Y41">
        <v>17160</v>
      </c>
      <c r="Z41">
        <v>16</v>
      </c>
      <c r="AA41">
        <v>10560</v>
      </c>
      <c r="AB41">
        <v>12</v>
      </c>
      <c r="AC41">
        <v>7920</v>
      </c>
      <c r="AD41">
        <v>23</v>
      </c>
      <c r="AE41">
        <v>15180</v>
      </c>
      <c r="AF41">
        <v>15</v>
      </c>
      <c r="AG41">
        <v>9900</v>
      </c>
      <c r="AH41">
        <v>29</v>
      </c>
      <c r="AI41">
        <v>19140</v>
      </c>
      <c r="AJ41">
        <v>18</v>
      </c>
      <c r="AK41">
        <v>11880</v>
      </c>
      <c r="AL41">
        <v>26</v>
      </c>
      <c r="AM41">
        <v>17160</v>
      </c>
      <c r="AN41">
        <v>14</v>
      </c>
      <c r="AO41">
        <v>9240</v>
      </c>
      <c r="AP41">
        <v>20</v>
      </c>
      <c r="AQ41">
        <v>13200</v>
      </c>
      <c r="AR41">
        <v>24</v>
      </c>
      <c r="AS41">
        <v>15840</v>
      </c>
      <c r="AT41">
        <v>20</v>
      </c>
      <c r="AU41">
        <v>13200</v>
      </c>
      <c r="AV41">
        <v>18</v>
      </c>
      <c r="AW41">
        <v>11880</v>
      </c>
      <c r="AX41">
        <v>15</v>
      </c>
      <c r="AY41">
        <v>9900</v>
      </c>
      <c r="AZ41">
        <v>22</v>
      </c>
      <c r="BA41">
        <v>14520</v>
      </c>
      <c r="BB41">
        <v>26</v>
      </c>
      <c r="BC41">
        <v>17160</v>
      </c>
      <c r="BD41">
        <v>25</v>
      </c>
      <c r="BE41">
        <v>16500</v>
      </c>
      <c r="BF41">
        <v>25</v>
      </c>
      <c r="BG41">
        <v>16500</v>
      </c>
      <c r="BH41">
        <v>21</v>
      </c>
      <c r="BI41">
        <v>13860</v>
      </c>
      <c r="BJ41">
        <v>21</v>
      </c>
      <c r="BK41">
        <v>13860</v>
      </c>
      <c r="BL41">
        <v>22</v>
      </c>
      <c r="BM41">
        <v>14520</v>
      </c>
      <c r="BN41">
        <v>18</v>
      </c>
      <c r="BO41">
        <v>11880</v>
      </c>
      <c r="BP41">
        <v>23</v>
      </c>
      <c r="BQ41">
        <v>15180</v>
      </c>
      <c r="BR41">
        <v>23</v>
      </c>
      <c r="BS41">
        <v>15180</v>
      </c>
      <c r="BT41">
        <v>22</v>
      </c>
      <c r="BU41">
        <v>14520</v>
      </c>
      <c r="BV41">
        <v>23</v>
      </c>
      <c r="BW41">
        <v>15180</v>
      </c>
      <c r="BX41">
        <v>18</v>
      </c>
      <c r="BY41">
        <v>11880</v>
      </c>
      <c r="BZ41">
        <v>23</v>
      </c>
      <c r="CA41">
        <v>15180</v>
      </c>
      <c r="CB41">
        <v>19</v>
      </c>
      <c r="CC41">
        <v>12540</v>
      </c>
      <c r="CD41">
        <v>23</v>
      </c>
      <c r="CE41">
        <v>15180</v>
      </c>
      <c r="CF41">
        <v>29</v>
      </c>
      <c r="CG41">
        <v>19140</v>
      </c>
      <c r="CH41">
        <v>23</v>
      </c>
      <c r="CI41">
        <v>15180</v>
      </c>
      <c r="CJ41">
        <v>18</v>
      </c>
      <c r="CK41">
        <v>11880</v>
      </c>
      <c r="CL41">
        <v>17</v>
      </c>
      <c r="CM41">
        <v>11220</v>
      </c>
      <c r="CN41">
        <v>27</v>
      </c>
      <c r="CO41">
        <v>17820</v>
      </c>
      <c r="CP41">
        <v>29</v>
      </c>
      <c r="CQ41">
        <v>19140</v>
      </c>
      <c r="CR41">
        <v>24</v>
      </c>
      <c r="CS41">
        <v>15840</v>
      </c>
      <c r="CT41">
        <v>17</v>
      </c>
      <c r="CU41">
        <v>11220</v>
      </c>
    </row>
    <row r="42" spans="2:99" x14ac:dyDescent="0.2">
      <c r="C42" s="116" t="s">
        <v>208</v>
      </c>
      <c r="D42">
        <v>20</v>
      </c>
      <c r="E42">
        <v>16920</v>
      </c>
      <c r="F42">
        <v>26</v>
      </c>
      <c r="G42">
        <v>21996</v>
      </c>
      <c r="H42">
        <v>15</v>
      </c>
      <c r="I42">
        <v>12690</v>
      </c>
      <c r="J42">
        <v>24</v>
      </c>
      <c r="K42">
        <v>20304</v>
      </c>
      <c r="L42">
        <v>20</v>
      </c>
      <c r="M42">
        <v>16920</v>
      </c>
      <c r="N42">
        <v>21</v>
      </c>
      <c r="O42">
        <v>17766</v>
      </c>
      <c r="P42">
        <v>25</v>
      </c>
      <c r="Q42">
        <v>21150</v>
      </c>
      <c r="R42">
        <v>15</v>
      </c>
      <c r="S42">
        <v>12690</v>
      </c>
      <c r="T42">
        <v>24</v>
      </c>
      <c r="U42">
        <v>20304</v>
      </c>
      <c r="V42">
        <v>13</v>
      </c>
      <c r="W42">
        <v>10998</v>
      </c>
      <c r="X42">
        <v>27</v>
      </c>
      <c r="Y42">
        <v>22842</v>
      </c>
      <c r="Z42">
        <v>18</v>
      </c>
      <c r="AA42">
        <v>15228</v>
      </c>
      <c r="AB42">
        <v>14</v>
      </c>
      <c r="AC42">
        <v>11844</v>
      </c>
      <c r="AD42">
        <v>19</v>
      </c>
      <c r="AE42">
        <v>16074</v>
      </c>
      <c r="AF42">
        <v>17</v>
      </c>
      <c r="AG42">
        <v>14382</v>
      </c>
      <c r="AH42">
        <v>28</v>
      </c>
      <c r="AI42">
        <v>23688</v>
      </c>
      <c r="AJ42">
        <v>16</v>
      </c>
      <c r="AK42">
        <v>13536</v>
      </c>
      <c r="AL42">
        <v>25</v>
      </c>
      <c r="AM42">
        <v>21150</v>
      </c>
      <c r="AN42">
        <v>15</v>
      </c>
      <c r="AO42">
        <v>12690</v>
      </c>
      <c r="AP42">
        <v>19</v>
      </c>
      <c r="AQ42">
        <v>16074</v>
      </c>
      <c r="AR42">
        <v>21</v>
      </c>
      <c r="AS42">
        <v>17766</v>
      </c>
      <c r="AT42">
        <v>20</v>
      </c>
      <c r="AU42">
        <v>16920</v>
      </c>
      <c r="AV42">
        <v>17</v>
      </c>
      <c r="AW42">
        <v>14382</v>
      </c>
      <c r="AX42">
        <v>16</v>
      </c>
      <c r="AY42">
        <v>13536</v>
      </c>
      <c r="AZ42">
        <v>25</v>
      </c>
      <c r="BA42">
        <v>21150</v>
      </c>
      <c r="BB42">
        <v>23</v>
      </c>
      <c r="BC42">
        <v>19458</v>
      </c>
      <c r="BD42">
        <v>23</v>
      </c>
      <c r="BE42">
        <v>19458</v>
      </c>
      <c r="BF42">
        <v>27</v>
      </c>
      <c r="BG42">
        <v>22842</v>
      </c>
      <c r="BH42">
        <v>24</v>
      </c>
      <c r="BI42">
        <v>20304</v>
      </c>
      <c r="BJ42">
        <v>19</v>
      </c>
      <c r="BK42">
        <v>16074</v>
      </c>
      <c r="BL42">
        <v>18</v>
      </c>
      <c r="BM42">
        <v>15228</v>
      </c>
      <c r="BN42">
        <v>18</v>
      </c>
      <c r="BO42">
        <v>15228</v>
      </c>
      <c r="BP42">
        <v>24</v>
      </c>
      <c r="BQ42">
        <v>20304</v>
      </c>
      <c r="BR42">
        <v>22</v>
      </c>
      <c r="BS42">
        <v>18612</v>
      </c>
      <c r="BT42">
        <v>24</v>
      </c>
      <c r="BU42">
        <v>20304</v>
      </c>
      <c r="BV42">
        <v>21</v>
      </c>
      <c r="BW42">
        <v>17766</v>
      </c>
      <c r="BX42">
        <v>18</v>
      </c>
      <c r="BY42">
        <v>15228</v>
      </c>
      <c r="BZ42">
        <v>24</v>
      </c>
      <c r="CA42">
        <v>20304</v>
      </c>
      <c r="CB42">
        <v>18</v>
      </c>
      <c r="CC42">
        <v>15228</v>
      </c>
      <c r="CD42">
        <v>24</v>
      </c>
      <c r="CE42">
        <v>20304</v>
      </c>
      <c r="CF42">
        <v>29</v>
      </c>
      <c r="CG42">
        <v>24534</v>
      </c>
      <c r="CH42">
        <v>24</v>
      </c>
      <c r="CI42">
        <v>20304</v>
      </c>
      <c r="CJ42">
        <v>19</v>
      </c>
      <c r="CK42">
        <v>16074</v>
      </c>
      <c r="CL42">
        <v>17</v>
      </c>
      <c r="CM42">
        <v>14382</v>
      </c>
      <c r="CN42">
        <v>27</v>
      </c>
      <c r="CO42">
        <v>22842</v>
      </c>
      <c r="CP42">
        <v>25</v>
      </c>
      <c r="CQ42">
        <v>21150</v>
      </c>
      <c r="CR42">
        <v>22</v>
      </c>
      <c r="CS42">
        <v>18612</v>
      </c>
      <c r="CT42">
        <v>17</v>
      </c>
      <c r="CU42">
        <v>14382</v>
      </c>
    </row>
    <row r="43" spans="2:99" x14ac:dyDescent="0.2">
      <c r="C43" s="116" t="s">
        <v>209</v>
      </c>
      <c r="D43">
        <v>22</v>
      </c>
      <c r="E43">
        <v>22492.799999999999</v>
      </c>
      <c r="F43">
        <v>27</v>
      </c>
      <c r="G43">
        <v>27604.799999999999</v>
      </c>
      <c r="H43">
        <v>14</v>
      </c>
      <c r="I43">
        <v>14313.6</v>
      </c>
      <c r="J43">
        <v>26</v>
      </c>
      <c r="K43">
        <v>26582.399999999998</v>
      </c>
      <c r="L43">
        <v>20</v>
      </c>
      <c r="M43">
        <v>20448</v>
      </c>
      <c r="N43">
        <v>22</v>
      </c>
      <c r="O43">
        <v>22492.799999999999</v>
      </c>
      <c r="P43">
        <v>24</v>
      </c>
      <c r="Q43">
        <v>24537.599999999999</v>
      </c>
      <c r="R43">
        <v>16</v>
      </c>
      <c r="S43">
        <v>16358.4</v>
      </c>
      <c r="T43">
        <v>26</v>
      </c>
      <c r="U43">
        <v>26582.399999999998</v>
      </c>
      <c r="V43">
        <v>13</v>
      </c>
      <c r="W43">
        <v>13291.199999999999</v>
      </c>
      <c r="X43">
        <v>23</v>
      </c>
      <c r="Y43">
        <v>23515.200000000001</v>
      </c>
      <c r="Z43">
        <v>16</v>
      </c>
      <c r="AA43">
        <v>16358.4</v>
      </c>
      <c r="AB43">
        <v>13</v>
      </c>
      <c r="AC43">
        <v>13291.199999999999</v>
      </c>
      <c r="AD43">
        <v>19</v>
      </c>
      <c r="AE43">
        <v>19425.599999999999</v>
      </c>
      <c r="AF43">
        <v>14</v>
      </c>
      <c r="AG43">
        <v>14313.6</v>
      </c>
      <c r="AH43">
        <v>26</v>
      </c>
      <c r="AI43">
        <v>26582.399999999998</v>
      </c>
      <c r="AJ43">
        <v>16</v>
      </c>
      <c r="AK43">
        <v>16358.4</v>
      </c>
      <c r="AL43">
        <v>25</v>
      </c>
      <c r="AM43">
        <v>25560</v>
      </c>
      <c r="AN43">
        <v>14</v>
      </c>
      <c r="AO43">
        <v>14313.6</v>
      </c>
      <c r="AP43">
        <v>19</v>
      </c>
      <c r="AQ43">
        <v>19425.599999999999</v>
      </c>
      <c r="AR43">
        <v>19</v>
      </c>
      <c r="AS43">
        <v>19425.599999999999</v>
      </c>
      <c r="AT43">
        <v>19</v>
      </c>
      <c r="AU43">
        <v>19425.599999999999</v>
      </c>
      <c r="AV43">
        <v>16</v>
      </c>
      <c r="AW43">
        <v>16358.4</v>
      </c>
      <c r="AX43">
        <v>16</v>
      </c>
      <c r="AY43">
        <v>16358.4</v>
      </c>
      <c r="AZ43">
        <v>22</v>
      </c>
      <c r="BA43">
        <v>22492.799999999999</v>
      </c>
      <c r="BB43">
        <v>22</v>
      </c>
      <c r="BC43">
        <v>22492.799999999999</v>
      </c>
      <c r="BD43">
        <v>23</v>
      </c>
      <c r="BE43">
        <v>23515.200000000001</v>
      </c>
      <c r="BF43">
        <v>27</v>
      </c>
      <c r="BG43">
        <v>27604.799999999999</v>
      </c>
      <c r="BH43">
        <v>20</v>
      </c>
      <c r="BI43">
        <v>20448</v>
      </c>
      <c r="BJ43">
        <v>21</v>
      </c>
      <c r="BK43">
        <v>21470.399999999998</v>
      </c>
      <c r="BL43">
        <v>19</v>
      </c>
      <c r="BM43">
        <v>19425.599999999999</v>
      </c>
      <c r="BN43">
        <v>19</v>
      </c>
      <c r="BO43">
        <v>19425.599999999999</v>
      </c>
      <c r="BP43">
        <v>23</v>
      </c>
      <c r="BQ43">
        <v>23515.200000000001</v>
      </c>
      <c r="BR43">
        <v>22</v>
      </c>
      <c r="BS43">
        <v>22492.799999999999</v>
      </c>
      <c r="BT43">
        <v>21</v>
      </c>
      <c r="BU43">
        <v>21470.399999999998</v>
      </c>
      <c r="BV43">
        <v>22</v>
      </c>
      <c r="BW43">
        <v>22492.799999999999</v>
      </c>
      <c r="BX43">
        <v>16</v>
      </c>
      <c r="BY43">
        <v>16358.4</v>
      </c>
      <c r="BZ43">
        <v>23</v>
      </c>
      <c r="CA43">
        <v>23515.200000000001</v>
      </c>
      <c r="CB43">
        <v>17</v>
      </c>
      <c r="CC43">
        <v>17380.8</v>
      </c>
      <c r="CD43">
        <v>23</v>
      </c>
      <c r="CE43">
        <v>23515.200000000001</v>
      </c>
      <c r="CF43">
        <v>26</v>
      </c>
      <c r="CG43">
        <v>26582.399999999998</v>
      </c>
      <c r="CH43">
        <v>24</v>
      </c>
      <c r="CI43">
        <v>24537.599999999999</v>
      </c>
      <c r="CJ43">
        <v>17</v>
      </c>
      <c r="CK43">
        <v>17380.8</v>
      </c>
      <c r="CL43">
        <v>14</v>
      </c>
      <c r="CM43">
        <v>14313.6</v>
      </c>
      <c r="CN43">
        <v>24</v>
      </c>
      <c r="CO43">
        <v>24537.599999999999</v>
      </c>
      <c r="CP43">
        <v>28</v>
      </c>
      <c r="CQ43">
        <v>28627.200000000001</v>
      </c>
      <c r="CR43">
        <v>21</v>
      </c>
      <c r="CS43">
        <v>21470.399999999998</v>
      </c>
      <c r="CT43">
        <v>17</v>
      </c>
      <c r="CU43">
        <v>17380.8</v>
      </c>
    </row>
    <row r="44" spans="2:99" x14ac:dyDescent="0.2">
      <c r="C44" s="116" t="s">
        <v>210</v>
      </c>
      <c r="D44">
        <v>22</v>
      </c>
      <c r="E44">
        <v>22492.799999999999</v>
      </c>
      <c r="F44">
        <v>25</v>
      </c>
      <c r="G44">
        <v>25560</v>
      </c>
      <c r="H44">
        <v>16</v>
      </c>
      <c r="I44">
        <v>16358.4</v>
      </c>
      <c r="J44">
        <v>24</v>
      </c>
      <c r="K44">
        <v>24537.599999999999</v>
      </c>
      <c r="L44">
        <v>18</v>
      </c>
      <c r="M44">
        <v>18403.2</v>
      </c>
      <c r="N44">
        <v>22</v>
      </c>
      <c r="O44">
        <v>22492.799999999999</v>
      </c>
      <c r="P44">
        <v>25</v>
      </c>
      <c r="Q44">
        <v>25560</v>
      </c>
      <c r="R44">
        <v>15</v>
      </c>
      <c r="S44">
        <v>15336</v>
      </c>
      <c r="T44">
        <v>25</v>
      </c>
      <c r="U44">
        <v>25560</v>
      </c>
      <c r="V44">
        <v>14</v>
      </c>
      <c r="W44">
        <v>14313.6</v>
      </c>
      <c r="X44">
        <v>24</v>
      </c>
      <c r="Y44">
        <v>24537.599999999999</v>
      </c>
      <c r="Z44">
        <v>18</v>
      </c>
      <c r="AA44">
        <v>18403.2</v>
      </c>
      <c r="AB44">
        <v>14</v>
      </c>
      <c r="AC44">
        <v>14313.6</v>
      </c>
      <c r="AD44">
        <v>22</v>
      </c>
      <c r="AE44">
        <v>22492.799999999999</v>
      </c>
      <c r="AF44">
        <v>16</v>
      </c>
      <c r="AG44">
        <v>16358.4</v>
      </c>
      <c r="AH44">
        <v>24</v>
      </c>
      <c r="AI44">
        <v>24537.599999999999</v>
      </c>
      <c r="AJ44">
        <v>18</v>
      </c>
      <c r="AK44">
        <v>18403.2</v>
      </c>
      <c r="AL44">
        <v>24</v>
      </c>
      <c r="AM44">
        <v>24537.599999999999</v>
      </c>
      <c r="AN44">
        <v>15</v>
      </c>
      <c r="AO44">
        <v>15336</v>
      </c>
      <c r="AP44">
        <v>17</v>
      </c>
      <c r="AQ44">
        <v>17380.8</v>
      </c>
      <c r="AR44">
        <v>19</v>
      </c>
      <c r="AS44">
        <v>19425.599999999999</v>
      </c>
      <c r="AT44">
        <v>20</v>
      </c>
      <c r="AU44">
        <v>20448</v>
      </c>
      <c r="AV44">
        <v>15</v>
      </c>
      <c r="AW44">
        <v>15336</v>
      </c>
      <c r="AX44">
        <v>16</v>
      </c>
      <c r="AY44">
        <v>16358.4</v>
      </c>
      <c r="AZ44">
        <v>25</v>
      </c>
      <c r="BA44">
        <v>25560</v>
      </c>
      <c r="BB44">
        <v>25</v>
      </c>
      <c r="BC44">
        <v>25560</v>
      </c>
      <c r="BD44">
        <v>25</v>
      </c>
      <c r="BE44">
        <v>25560</v>
      </c>
      <c r="BF44">
        <v>24</v>
      </c>
      <c r="BG44">
        <v>24537.599999999999</v>
      </c>
      <c r="BH44">
        <v>22</v>
      </c>
      <c r="BI44">
        <v>22492.799999999999</v>
      </c>
      <c r="BJ44">
        <v>18</v>
      </c>
      <c r="BK44">
        <v>18403.2</v>
      </c>
      <c r="BL44">
        <v>19</v>
      </c>
      <c r="BM44">
        <v>19425.599999999999</v>
      </c>
      <c r="BN44">
        <v>19</v>
      </c>
      <c r="BO44">
        <v>19425.599999999999</v>
      </c>
      <c r="BP44">
        <v>25</v>
      </c>
      <c r="BQ44">
        <v>25560</v>
      </c>
      <c r="BR44">
        <v>20</v>
      </c>
      <c r="BS44">
        <v>20448</v>
      </c>
      <c r="BT44">
        <v>21</v>
      </c>
      <c r="BU44">
        <v>21470.399999999998</v>
      </c>
      <c r="BV44">
        <v>21</v>
      </c>
      <c r="BW44">
        <v>21470.399999999998</v>
      </c>
      <c r="BX44">
        <v>16</v>
      </c>
      <c r="BY44">
        <v>16358.4</v>
      </c>
      <c r="BZ44">
        <v>24</v>
      </c>
      <c r="CA44">
        <v>24537.599999999999</v>
      </c>
      <c r="CB44">
        <v>17</v>
      </c>
      <c r="CC44">
        <v>17380.8</v>
      </c>
      <c r="CD44">
        <v>25</v>
      </c>
      <c r="CE44">
        <v>25560</v>
      </c>
      <c r="CF44">
        <v>28</v>
      </c>
      <c r="CG44">
        <v>28627.200000000001</v>
      </c>
      <c r="CH44">
        <v>22</v>
      </c>
      <c r="CI44">
        <v>22492.799999999999</v>
      </c>
      <c r="CJ44">
        <v>19</v>
      </c>
      <c r="CK44">
        <v>19425.599999999999</v>
      </c>
      <c r="CL44">
        <v>16</v>
      </c>
      <c r="CM44">
        <v>16358.4</v>
      </c>
      <c r="CN44">
        <v>25</v>
      </c>
      <c r="CO44">
        <v>25560</v>
      </c>
      <c r="CP44">
        <v>28</v>
      </c>
      <c r="CQ44">
        <v>28627.200000000001</v>
      </c>
      <c r="CR44">
        <v>22</v>
      </c>
      <c r="CS44">
        <v>22492.799999999999</v>
      </c>
      <c r="CT44">
        <v>17</v>
      </c>
      <c r="CU44">
        <v>17380.8</v>
      </c>
    </row>
    <row r="45" spans="2:99" x14ac:dyDescent="0.2">
      <c r="C45" s="116" t="s">
        <v>211</v>
      </c>
      <c r="D45">
        <v>20</v>
      </c>
      <c r="E45">
        <v>24984</v>
      </c>
      <c r="F45">
        <v>22</v>
      </c>
      <c r="G45">
        <v>27482.400000000001</v>
      </c>
      <c r="H45">
        <v>14</v>
      </c>
      <c r="I45">
        <v>17488.8</v>
      </c>
      <c r="J45">
        <v>23</v>
      </c>
      <c r="K45">
        <v>28731.600000000002</v>
      </c>
      <c r="L45">
        <v>17</v>
      </c>
      <c r="M45">
        <v>21236.400000000001</v>
      </c>
      <c r="N45">
        <v>21</v>
      </c>
      <c r="O45">
        <v>26233.200000000001</v>
      </c>
      <c r="P45">
        <v>23</v>
      </c>
      <c r="Q45">
        <v>28731.600000000002</v>
      </c>
      <c r="R45">
        <v>15</v>
      </c>
      <c r="S45">
        <v>18738</v>
      </c>
      <c r="T45">
        <v>25</v>
      </c>
      <c r="U45">
        <v>31230</v>
      </c>
      <c r="V45">
        <v>14</v>
      </c>
      <c r="W45">
        <v>17488.8</v>
      </c>
      <c r="X45">
        <v>26</v>
      </c>
      <c r="Y45">
        <v>32479.200000000001</v>
      </c>
      <c r="Z45">
        <v>14</v>
      </c>
      <c r="AA45">
        <v>17488.8</v>
      </c>
      <c r="AB45">
        <v>12</v>
      </c>
      <c r="AC45">
        <v>14990.400000000001</v>
      </c>
      <c r="AD45">
        <v>19</v>
      </c>
      <c r="AE45">
        <v>23734.799999999999</v>
      </c>
      <c r="AF45">
        <v>14</v>
      </c>
      <c r="AG45">
        <v>17488.8</v>
      </c>
      <c r="AH45">
        <v>24</v>
      </c>
      <c r="AI45">
        <v>29980.800000000003</v>
      </c>
      <c r="AJ45">
        <v>16</v>
      </c>
      <c r="AK45">
        <v>19987.2</v>
      </c>
      <c r="AL45">
        <v>24</v>
      </c>
      <c r="AM45">
        <v>29980.800000000003</v>
      </c>
      <c r="AN45">
        <v>14</v>
      </c>
      <c r="AO45">
        <v>17488.8</v>
      </c>
      <c r="AP45">
        <v>16</v>
      </c>
      <c r="AQ45">
        <v>19987.2</v>
      </c>
      <c r="AR45">
        <v>19</v>
      </c>
      <c r="AS45">
        <v>23734.799999999999</v>
      </c>
      <c r="AT45">
        <v>20</v>
      </c>
      <c r="AU45">
        <v>24984</v>
      </c>
      <c r="AV45">
        <v>16</v>
      </c>
      <c r="AW45">
        <v>19987.2</v>
      </c>
      <c r="AX45">
        <v>15</v>
      </c>
      <c r="AY45">
        <v>18738</v>
      </c>
      <c r="AZ45">
        <v>21</v>
      </c>
      <c r="BA45">
        <v>26233.200000000001</v>
      </c>
      <c r="BB45">
        <v>23</v>
      </c>
      <c r="BC45">
        <v>28731.600000000002</v>
      </c>
      <c r="BD45">
        <v>22</v>
      </c>
      <c r="BE45">
        <v>27482.400000000001</v>
      </c>
      <c r="BF45">
        <v>24</v>
      </c>
      <c r="BG45">
        <v>29980.800000000003</v>
      </c>
      <c r="BH45">
        <v>20</v>
      </c>
      <c r="BI45">
        <v>24984</v>
      </c>
      <c r="BJ45">
        <v>18</v>
      </c>
      <c r="BK45">
        <v>22485.600000000002</v>
      </c>
      <c r="BL45">
        <v>18</v>
      </c>
      <c r="BM45">
        <v>22485.600000000002</v>
      </c>
      <c r="BN45">
        <v>20</v>
      </c>
      <c r="BO45">
        <v>24984</v>
      </c>
      <c r="BP45">
        <v>21</v>
      </c>
      <c r="BQ45">
        <v>26233.200000000001</v>
      </c>
      <c r="BR45">
        <v>22</v>
      </c>
      <c r="BS45">
        <v>27482.400000000001</v>
      </c>
      <c r="BT45">
        <v>22</v>
      </c>
      <c r="BU45">
        <v>27482.400000000001</v>
      </c>
      <c r="BV45">
        <v>22</v>
      </c>
      <c r="BW45">
        <v>27482.400000000001</v>
      </c>
      <c r="BX45">
        <v>14</v>
      </c>
      <c r="BY45">
        <v>17488.8</v>
      </c>
      <c r="BZ45">
        <v>24</v>
      </c>
      <c r="CA45">
        <v>29980.800000000003</v>
      </c>
      <c r="CB45">
        <v>17</v>
      </c>
      <c r="CC45">
        <v>21236.400000000001</v>
      </c>
      <c r="CD45">
        <v>24</v>
      </c>
      <c r="CE45">
        <v>29980.800000000003</v>
      </c>
      <c r="CF45">
        <v>28</v>
      </c>
      <c r="CG45">
        <v>34977.599999999999</v>
      </c>
      <c r="CH45">
        <v>21</v>
      </c>
      <c r="CI45">
        <v>26233.200000000001</v>
      </c>
      <c r="CJ45">
        <v>16</v>
      </c>
      <c r="CK45">
        <v>19987.2</v>
      </c>
      <c r="CL45">
        <v>16</v>
      </c>
      <c r="CM45">
        <v>19987.2</v>
      </c>
      <c r="CN45">
        <v>22</v>
      </c>
      <c r="CO45">
        <v>27482.400000000001</v>
      </c>
      <c r="CP45">
        <v>26</v>
      </c>
      <c r="CQ45">
        <v>32479.200000000001</v>
      </c>
      <c r="CR45">
        <v>20</v>
      </c>
      <c r="CS45">
        <v>24984</v>
      </c>
      <c r="CT45">
        <v>17</v>
      </c>
      <c r="CU45">
        <v>21236.400000000001</v>
      </c>
    </row>
    <row r="46" spans="2:99" x14ac:dyDescent="0.2">
      <c r="C46" s="116" t="s">
        <v>212</v>
      </c>
      <c r="D46">
        <v>21</v>
      </c>
      <c r="E46">
        <v>25452</v>
      </c>
      <c r="F46">
        <v>26</v>
      </c>
      <c r="G46">
        <v>31512</v>
      </c>
      <c r="H46">
        <v>15</v>
      </c>
      <c r="I46">
        <v>18180</v>
      </c>
      <c r="J46">
        <v>25</v>
      </c>
      <c r="K46">
        <v>30300</v>
      </c>
      <c r="L46">
        <v>19</v>
      </c>
      <c r="M46">
        <v>23028</v>
      </c>
      <c r="N46">
        <v>20</v>
      </c>
      <c r="O46">
        <v>24240</v>
      </c>
      <c r="P46">
        <v>24</v>
      </c>
      <c r="Q46">
        <v>29088</v>
      </c>
      <c r="R46">
        <v>17</v>
      </c>
      <c r="S46">
        <v>20604</v>
      </c>
      <c r="T46">
        <v>26</v>
      </c>
      <c r="U46">
        <v>31512</v>
      </c>
      <c r="V46">
        <v>14</v>
      </c>
      <c r="W46">
        <v>16968</v>
      </c>
      <c r="X46">
        <v>27</v>
      </c>
      <c r="Y46">
        <v>32724</v>
      </c>
      <c r="Z46">
        <v>16</v>
      </c>
      <c r="AA46">
        <v>19392</v>
      </c>
      <c r="AB46">
        <v>13</v>
      </c>
      <c r="AC46">
        <v>15756</v>
      </c>
      <c r="AD46">
        <v>19</v>
      </c>
      <c r="AE46">
        <v>23028</v>
      </c>
      <c r="AF46">
        <v>15</v>
      </c>
      <c r="AG46">
        <v>18180</v>
      </c>
      <c r="AH46">
        <v>26</v>
      </c>
      <c r="AI46">
        <v>31512</v>
      </c>
      <c r="AJ46">
        <v>15</v>
      </c>
      <c r="AK46">
        <v>18180</v>
      </c>
      <c r="AL46">
        <v>21</v>
      </c>
      <c r="AM46">
        <v>25452</v>
      </c>
      <c r="AN46">
        <v>15</v>
      </c>
      <c r="AO46">
        <v>18180</v>
      </c>
      <c r="AP46">
        <v>17</v>
      </c>
      <c r="AQ46">
        <v>20604</v>
      </c>
      <c r="AR46">
        <v>21</v>
      </c>
      <c r="AS46">
        <v>25452</v>
      </c>
      <c r="AT46">
        <v>18</v>
      </c>
      <c r="AU46">
        <v>21816</v>
      </c>
      <c r="AV46">
        <v>15</v>
      </c>
      <c r="AW46">
        <v>18180</v>
      </c>
      <c r="AX46">
        <v>15</v>
      </c>
      <c r="AY46">
        <v>18180</v>
      </c>
      <c r="AZ46">
        <v>23</v>
      </c>
      <c r="BA46">
        <v>27876</v>
      </c>
      <c r="BB46">
        <v>24</v>
      </c>
      <c r="BC46">
        <v>29088</v>
      </c>
      <c r="BD46">
        <v>23</v>
      </c>
      <c r="BE46">
        <v>27876</v>
      </c>
      <c r="BF46">
        <v>23</v>
      </c>
      <c r="BG46">
        <v>27876</v>
      </c>
      <c r="BH46">
        <v>23</v>
      </c>
      <c r="BI46">
        <v>27876</v>
      </c>
      <c r="BJ46">
        <v>20</v>
      </c>
      <c r="BK46">
        <v>24240</v>
      </c>
      <c r="BL46">
        <v>20</v>
      </c>
      <c r="BM46">
        <v>24240</v>
      </c>
      <c r="BN46">
        <v>20</v>
      </c>
      <c r="BO46">
        <v>24240</v>
      </c>
      <c r="BP46">
        <v>25</v>
      </c>
      <c r="BQ46">
        <v>30300</v>
      </c>
      <c r="BR46">
        <v>24</v>
      </c>
      <c r="BS46">
        <v>29088</v>
      </c>
      <c r="BT46">
        <v>23</v>
      </c>
      <c r="BU46">
        <v>27876</v>
      </c>
      <c r="BV46">
        <v>22</v>
      </c>
      <c r="BW46">
        <v>26664</v>
      </c>
      <c r="BX46">
        <v>15</v>
      </c>
      <c r="BY46">
        <v>18180</v>
      </c>
      <c r="BZ46">
        <v>25</v>
      </c>
      <c r="CA46">
        <v>30300</v>
      </c>
      <c r="CB46">
        <v>15</v>
      </c>
      <c r="CC46">
        <v>18180</v>
      </c>
      <c r="CD46">
        <v>21</v>
      </c>
      <c r="CE46">
        <v>25452</v>
      </c>
      <c r="CF46">
        <v>26</v>
      </c>
      <c r="CG46">
        <v>31512</v>
      </c>
      <c r="CH46">
        <v>21</v>
      </c>
      <c r="CI46">
        <v>25452</v>
      </c>
      <c r="CJ46">
        <v>17</v>
      </c>
      <c r="CK46">
        <v>20604</v>
      </c>
      <c r="CL46">
        <v>16</v>
      </c>
      <c r="CM46">
        <v>19392</v>
      </c>
      <c r="CN46">
        <v>23</v>
      </c>
      <c r="CO46">
        <v>27876</v>
      </c>
      <c r="CP46">
        <v>23</v>
      </c>
      <c r="CQ46">
        <v>27876</v>
      </c>
      <c r="CR46">
        <v>22</v>
      </c>
      <c r="CS46">
        <v>26664</v>
      </c>
      <c r="CT46">
        <v>14</v>
      </c>
      <c r="CU46">
        <v>16968</v>
      </c>
    </row>
    <row r="47" spans="2:99" x14ac:dyDescent="0.2">
      <c r="C47" s="116" t="s">
        <v>213</v>
      </c>
      <c r="D47">
        <v>19</v>
      </c>
      <c r="E47">
        <v>29024.399999999998</v>
      </c>
      <c r="F47">
        <v>22</v>
      </c>
      <c r="G47">
        <v>33607.199999999997</v>
      </c>
      <c r="H47">
        <v>14</v>
      </c>
      <c r="I47">
        <v>21386.399999999998</v>
      </c>
      <c r="J47">
        <v>25</v>
      </c>
      <c r="K47">
        <v>38190</v>
      </c>
      <c r="L47">
        <v>18</v>
      </c>
      <c r="M47">
        <v>27496.799999999999</v>
      </c>
      <c r="N47">
        <v>20</v>
      </c>
      <c r="O47">
        <v>30552</v>
      </c>
      <c r="P47">
        <v>24</v>
      </c>
      <c r="Q47">
        <v>36662.399999999994</v>
      </c>
      <c r="R47">
        <v>15</v>
      </c>
      <c r="S47">
        <v>22914</v>
      </c>
      <c r="T47">
        <v>22</v>
      </c>
      <c r="U47">
        <v>33607.199999999997</v>
      </c>
      <c r="V47">
        <v>14</v>
      </c>
      <c r="W47">
        <v>21386.399999999998</v>
      </c>
      <c r="X47">
        <v>25</v>
      </c>
      <c r="Y47">
        <v>38190</v>
      </c>
      <c r="Z47">
        <v>16</v>
      </c>
      <c r="AA47">
        <v>24441.599999999999</v>
      </c>
      <c r="AB47">
        <v>12</v>
      </c>
      <c r="AC47">
        <v>18331.199999999997</v>
      </c>
      <c r="AD47">
        <v>21</v>
      </c>
      <c r="AE47">
        <v>32079.599999999999</v>
      </c>
      <c r="AF47">
        <v>14</v>
      </c>
      <c r="AG47">
        <v>21386.399999999998</v>
      </c>
      <c r="AH47">
        <v>23</v>
      </c>
      <c r="AI47">
        <v>35134.799999999996</v>
      </c>
      <c r="AJ47">
        <v>15</v>
      </c>
      <c r="AK47">
        <v>22914</v>
      </c>
      <c r="AL47">
        <v>23</v>
      </c>
      <c r="AM47">
        <v>35134.799999999996</v>
      </c>
      <c r="AN47">
        <v>13</v>
      </c>
      <c r="AO47">
        <v>19858.8</v>
      </c>
      <c r="AP47">
        <v>16</v>
      </c>
      <c r="AQ47">
        <v>24441.599999999999</v>
      </c>
      <c r="AR47">
        <v>22</v>
      </c>
      <c r="AS47">
        <v>33607.199999999997</v>
      </c>
      <c r="AT47">
        <v>20</v>
      </c>
      <c r="AU47">
        <v>30552</v>
      </c>
      <c r="AV47">
        <v>15</v>
      </c>
      <c r="AW47">
        <v>22914</v>
      </c>
      <c r="AX47">
        <v>13</v>
      </c>
      <c r="AY47">
        <v>19858.8</v>
      </c>
      <c r="AZ47">
        <v>20</v>
      </c>
      <c r="BA47">
        <v>30552</v>
      </c>
      <c r="BB47">
        <v>23</v>
      </c>
      <c r="BC47">
        <v>35134.799999999996</v>
      </c>
      <c r="BD47">
        <v>23</v>
      </c>
      <c r="BE47">
        <v>35134.799999999996</v>
      </c>
      <c r="BF47">
        <v>23</v>
      </c>
      <c r="BG47">
        <v>35134.799999999996</v>
      </c>
      <c r="BH47">
        <v>20</v>
      </c>
      <c r="BI47">
        <v>30552</v>
      </c>
      <c r="BJ47">
        <v>17</v>
      </c>
      <c r="BK47">
        <v>25969.199999999997</v>
      </c>
      <c r="BL47">
        <v>21</v>
      </c>
      <c r="BM47">
        <v>32079.599999999999</v>
      </c>
      <c r="BN47">
        <v>17</v>
      </c>
      <c r="BO47">
        <v>25969.199999999997</v>
      </c>
      <c r="BP47">
        <v>21</v>
      </c>
      <c r="BQ47">
        <v>32079.599999999999</v>
      </c>
      <c r="BR47">
        <v>23</v>
      </c>
      <c r="BS47">
        <v>35134.799999999996</v>
      </c>
      <c r="BT47">
        <v>20</v>
      </c>
      <c r="BU47">
        <v>30552</v>
      </c>
      <c r="BV47">
        <v>19</v>
      </c>
      <c r="BW47">
        <v>29024.399999999998</v>
      </c>
      <c r="BX47">
        <v>15</v>
      </c>
      <c r="BY47">
        <v>22914</v>
      </c>
      <c r="BZ47">
        <v>20</v>
      </c>
      <c r="CA47">
        <v>30552</v>
      </c>
      <c r="CB47">
        <v>16</v>
      </c>
      <c r="CC47">
        <v>24441.599999999999</v>
      </c>
      <c r="CD47">
        <v>23</v>
      </c>
      <c r="CE47">
        <v>35134.799999999996</v>
      </c>
      <c r="CF47">
        <v>27</v>
      </c>
      <c r="CG47">
        <v>41245.199999999997</v>
      </c>
      <c r="CH47">
        <v>21</v>
      </c>
      <c r="CI47">
        <v>32079.599999999999</v>
      </c>
      <c r="CJ47">
        <v>15</v>
      </c>
      <c r="CK47">
        <v>22914</v>
      </c>
      <c r="CL47">
        <v>14</v>
      </c>
      <c r="CM47">
        <v>21386.399999999998</v>
      </c>
      <c r="CN47">
        <v>22</v>
      </c>
      <c r="CO47">
        <v>33607.199999999997</v>
      </c>
      <c r="CP47">
        <v>24</v>
      </c>
      <c r="CQ47">
        <v>36662.399999999994</v>
      </c>
      <c r="CR47">
        <v>22</v>
      </c>
      <c r="CS47">
        <v>33607.199999999997</v>
      </c>
      <c r="CT47">
        <v>15</v>
      </c>
      <c r="CU47">
        <v>22914</v>
      </c>
    </row>
    <row r="48" spans="2:99" x14ac:dyDescent="0.2">
      <c r="C48" s="116" t="s">
        <v>214</v>
      </c>
      <c r="D48">
        <v>23</v>
      </c>
      <c r="E48">
        <v>19954.8</v>
      </c>
      <c r="F48">
        <v>26</v>
      </c>
      <c r="G48">
        <v>22557.600000000002</v>
      </c>
      <c r="H48">
        <v>15</v>
      </c>
      <c r="I48">
        <v>13014</v>
      </c>
      <c r="J48">
        <v>26</v>
      </c>
      <c r="K48">
        <v>22557.600000000002</v>
      </c>
      <c r="L48">
        <v>19</v>
      </c>
      <c r="M48">
        <v>16484.400000000001</v>
      </c>
      <c r="N48">
        <v>20</v>
      </c>
      <c r="O48">
        <v>17352</v>
      </c>
      <c r="P48">
        <v>25</v>
      </c>
      <c r="Q48">
        <v>21690</v>
      </c>
      <c r="R48">
        <v>15</v>
      </c>
      <c r="S48">
        <v>13014</v>
      </c>
      <c r="T48">
        <v>23</v>
      </c>
      <c r="U48">
        <v>19954.8</v>
      </c>
      <c r="V48">
        <v>15</v>
      </c>
      <c r="W48">
        <v>13014</v>
      </c>
      <c r="X48">
        <v>24</v>
      </c>
      <c r="Y48">
        <v>20822.400000000001</v>
      </c>
      <c r="Z48">
        <v>17</v>
      </c>
      <c r="AA48">
        <v>14749.2</v>
      </c>
      <c r="AB48">
        <v>14</v>
      </c>
      <c r="AC48">
        <v>12146.4</v>
      </c>
      <c r="AD48">
        <v>19</v>
      </c>
      <c r="AE48">
        <v>16484.400000000001</v>
      </c>
      <c r="AF48">
        <v>16</v>
      </c>
      <c r="AG48">
        <v>13881.6</v>
      </c>
      <c r="AH48">
        <v>28</v>
      </c>
      <c r="AI48">
        <v>24292.799999999999</v>
      </c>
      <c r="AJ48">
        <v>19</v>
      </c>
      <c r="AK48">
        <v>16484.400000000001</v>
      </c>
      <c r="AL48">
        <v>25</v>
      </c>
      <c r="AM48">
        <v>21690</v>
      </c>
      <c r="AN48">
        <v>14</v>
      </c>
      <c r="AO48">
        <v>12146.4</v>
      </c>
      <c r="AP48">
        <v>18</v>
      </c>
      <c r="AQ48">
        <v>15616.800000000001</v>
      </c>
      <c r="AR48">
        <v>20</v>
      </c>
      <c r="AS48">
        <v>17352</v>
      </c>
      <c r="AT48">
        <v>21</v>
      </c>
      <c r="AU48">
        <v>18219.600000000002</v>
      </c>
      <c r="AV48">
        <v>16</v>
      </c>
      <c r="AW48">
        <v>13881.6</v>
      </c>
      <c r="AX48">
        <v>16</v>
      </c>
      <c r="AY48">
        <v>13881.6</v>
      </c>
      <c r="AZ48">
        <v>23</v>
      </c>
      <c r="BA48">
        <v>19954.8</v>
      </c>
      <c r="BB48">
        <v>23</v>
      </c>
      <c r="BC48">
        <v>19954.8</v>
      </c>
      <c r="BD48">
        <v>26</v>
      </c>
      <c r="BE48">
        <v>22557.600000000002</v>
      </c>
      <c r="BF48">
        <v>24</v>
      </c>
      <c r="BG48">
        <v>20822.400000000001</v>
      </c>
      <c r="BH48">
        <v>25</v>
      </c>
      <c r="BI48">
        <v>21690</v>
      </c>
      <c r="BJ48">
        <v>18</v>
      </c>
      <c r="BK48">
        <v>15616.800000000001</v>
      </c>
      <c r="BL48">
        <v>22</v>
      </c>
      <c r="BM48">
        <v>19087.2</v>
      </c>
      <c r="BN48">
        <v>18</v>
      </c>
      <c r="BO48">
        <v>15616.800000000001</v>
      </c>
      <c r="BP48">
        <v>24</v>
      </c>
      <c r="BQ48">
        <v>20822.400000000001</v>
      </c>
      <c r="BR48">
        <v>24</v>
      </c>
      <c r="BS48">
        <v>20822.400000000001</v>
      </c>
      <c r="BT48">
        <v>22</v>
      </c>
      <c r="BU48">
        <v>19087.2</v>
      </c>
      <c r="BV48">
        <v>21</v>
      </c>
      <c r="BW48">
        <v>18219.600000000002</v>
      </c>
      <c r="BX48">
        <v>18</v>
      </c>
      <c r="BY48">
        <v>15616.800000000001</v>
      </c>
      <c r="BZ48">
        <v>26</v>
      </c>
      <c r="CA48">
        <v>22557.600000000002</v>
      </c>
      <c r="CB48">
        <v>17</v>
      </c>
      <c r="CC48">
        <v>14749.2</v>
      </c>
      <c r="CD48">
        <v>22</v>
      </c>
      <c r="CE48">
        <v>19087.2</v>
      </c>
      <c r="CF48">
        <v>27</v>
      </c>
      <c r="CG48">
        <v>23425.200000000001</v>
      </c>
      <c r="CH48">
        <v>22</v>
      </c>
      <c r="CI48">
        <v>19087.2</v>
      </c>
      <c r="CJ48">
        <v>17</v>
      </c>
      <c r="CK48">
        <v>14749.2</v>
      </c>
      <c r="CL48">
        <v>15</v>
      </c>
      <c r="CM48">
        <v>13014</v>
      </c>
      <c r="CN48">
        <v>24</v>
      </c>
      <c r="CO48">
        <v>20822.400000000001</v>
      </c>
      <c r="CP48">
        <v>29</v>
      </c>
      <c r="CQ48">
        <v>25160.400000000001</v>
      </c>
      <c r="CR48">
        <v>25</v>
      </c>
      <c r="CS48">
        <v>21690</v>
      </c>
      <c r="CT48">
        <v>15</v>
      </c>
      <c r="CU48">
        <v>13014</v>
      </c>
    </row>
    <row r="49" spans="2:99" x14ac:dyDescent="0.2">
      <c r="B49" s="116" t="s">
        <v>129</v>
      </c>
      <c r="C49" s="116" t="s">
        <v>215</v>
      </c>
      <c r="D49">
        <v>16.251542800202589</v>
      </c>
      <c r="E49">
        <v>16011.01996675959</v>
      </c>
      <c r="F49">
        <v>2.8522078899090513</v>
      </c>
      <c r="G49">
        <v>2809.995213138397</v>
      </c>
      <c r="H49">
        <v>4.0278395438558627</v>
      </c>
      <c r="I49">
        <v>3968.2275186067959</v>
      </c>
      <c r="J49">
        <v>3.8123798987074404</v>
      </c>
      <c r="K49">
        <v>3755.9566762065701</v>
      </c>
      <c r="L49">
        <v>4.8364609990283851</v>
      </c>
      <c r="M49">
        <v>4764.8813762427644</v>
      </c>
      <c r="N49">
        <v>2.3145375481255921</v>
      </c>
      <c r="O49">
        <v>2280.2823924133331</v>
      </c>
      <c r="P49">
        <v>3.3133723061850189</v>
      </c>
      <c r="Q49">
        <v>3264.3343960534803</v>
      </c>
      <c r="R49">
        <v>3.0271624600753082</v>
      </c>
      <c r="S49">
        <v>2982.3604556661935</v>
      </c>
      <c r="T49">
        <v>3.9871740565638198</v>
      </c>
      <c r="U49">
        <v>3928.1638805266753</v>
      </c>
      <c r="V49">
        <v>3.6121185641855065</v>
      </c>
      <c r="W49">
        <v>3558.6592094355606</v>
      </c>
      <c r="X49">
        <v>4.2262791314394494</v>
      </c>
      <c r="Y49">
        <v>4163.7302002941451</v>
      </c>
      <c r="Z49">
        <v>3.1047447793549265</v>
      </c>
      <c r="AA49">
        <v>3058.7945566204735</v>
      </c>
      <c r="AB49">
        <v>3.0941716006327638</v>
      </c>
      <c r="AC49">
        <v>3048.3778609433984</v>
      </c>
      <c r="AD49">
        <v>3.5442307505502808</v>
      </c>
      <c r="AE49">
        <v>3491.7761354421364</v>
      </c>
      <c r="AF49">
        <v>2.1127874977998489</v>
      </c>
      <c r="AG49">
        <v>2081.518242832411</v>
      </c>
      <c r="AH49">
        <v>2.6219214194658114</v>
      </c>
      <c r="AI49">
        <v>2583.1169824577173</v>
      </c>
      <c r="AJ49">
        <v>3.7719896660702847</v>
      </c>
      <c r="AK49">
        <v>3716.1642190124444</v>
      </c>
      <c r="AL49">
        <v>2.5864134371559704</v>
      </c>
      <c r="AM49">
        <v>2548.1345182860618</v>
      </c>
      <c r="AN49">
        <v>3.1794079440256531</v>
      </c>
      <c r="AO49">
        <v>3132.3527064540731</v>
      </c>
      <c r="AP49">
        <v>3.2673202673453541</v>
      </c>
      <c r="AQ49">
        <v>3218.9639273886428</v>
      </c>
      <c r="AR49">
        <v>2.8885453951129754</v>
      </c>
      <c r="AS49">
        <v>2845.7949232653032</v>
      </c>
      <c r="AT49">
        <v>3.1945046287246899</v>
      </c>
      <c r="AU49">
        <v>3147.2259602195641</v>
      </c>
      <c r="AV49">
        <v>2.1259157283516132</v>
      </c>
      <c r="AW49">
        <v>2094.4521755720093</v>
      </c>
      <c r="AX49">
        <v>2.6674466876729439</v>
      </c>
      <c r="AY49">
        <v>2627.9684766953842</v>
      </c>
      <c r="AZ49">
        <v>2.0277712974517357</v>
      </c>
      <c r="BA49">
        <v>1997.7602822494498</v>
      </c>
      <c r="BB49">
        <v>2.3923671626301988</v>
      </c>
      <c r="BC49">
        <v>2356.9601286232719</v>
      </c>
      <c r="BD49">
        <v>2.562267133445884</v>
      </c>
      <c r="BE49">
        <v>2524.3455798708846</v>
      </c>
      <c r="BF49">
        <v>2.6130196500790914</v>
      </c>
      <c r="BG49">
        <v>2574.3469592579208</v>
      </c>
      <c r="BH49">
        <v>2.3634672443829001</v>
      </c>
      <c r="BI49">
        <v>2328.4879291660332</v>
      </c>
      <c r="BJ49">
        <v>2.8503553555379884</v>
      </c>
      <c r="BK49">
        <v>2808.170096276026</v>
      </c>
      <c r="BL49">
        <v>3.4550905232547491</v>
      </c>
      <c r="BM49">
        <v>3403.9551835105785</v>
      </c>
      <c r="BN49">
        <v>2.665777477439728</v>
      </c>
      <c r="BO49">
        <v>2626.3239707736197</v>
      </c>
      <c r="BP49">
        <v>1.9467935942713361</v>
      </c>
      <c r="BQ49">
        <v>1917.9810490761201</v>
      </c>
      <c r="BR49">
        <v>2.5250668304507529</v>
      </c>
      <c r="BS49">
        <v>2487.6958413600814</v>
      </c>
      <c r="BT49">
        <v>3.9106575360369229</v>
      </c>
      <c r="BU49">
        <v>3852.7798045035761</v>
      </c>
      <c r="BV49">
        <v>2.9692888694273618</v>
      </c>
      <c r="BW49">
        <v>2925.3433941598369</v>
      </c>
      <c r="BX49">
        <v>2.9618168268926284</v>
      </c>
      <c r="BY49">
        <v>2917.9819378546172</v>
      </c>
      <c r="BZ49">
        <v>2.2920214131588779</v>
      </c>
      <c r="CA49">
        <v>2258.0994962441264</v>
      </c>
      <c r="CB49">
        <v>3.7926287443392197</v>
      </c>
      <c r="CC49">
        <v>3736.4978389229991</v>
      </c>
      <c r="CD49">
        <v>3.0937084353342867</v>
      </c>
      <c r="CE49">
        <v>3047.9215504913391</v>
      </c>
      <c r="CF49">
        <v>3.4183367875619339</v>
      </c>
      <c r="CG49">
        <v>3367.745403106017</v>
      </c>
      <c r="CH49">
        <v>2.8599679680352312</v>
      </c>
      <c r="CI49">
        <v>2817.6404421083098</v>
      </c>
      <c r="CJ49">
        <v>3.2938000210710356</v>
      </c>
      <c r="CK49">
        <v>3245.0517807591841</v>
      </c>
      <c r="CL49">
        <v>2.4554637285592622</v>
      </c>
      <c r="CM49">
        <v>2419.1228653765847</v>
      </c>
      <c r="CN49">
        <v>2.929366343146083</v>
      </c>
      <c r="CO49">
        <v>2886.0117212675209</v>
      </c>
      <c r="CP49">
        <v>3.1358430816089689</v>
      </c>
      <c r="CQ49">
        <v>3089.4326040011561</v>
      </c>
      <c r="CR49">
        <v>2.7479002836241748</v>
      </c>
      <c r="CS49">
        <v>2707.231359426537</v>
      </c>
      <c r="CT49">
        <v>2.0820535690313746</v>
      </c>
      <c r="CU49">
        <v>2051.23917620971</v>
      </c>
    </row>
    <row r="50" spans="2:99" x14ac:dyDescent="0.2">
      <c r="C50" s="116" t="s">
        <v>216</v>
      </c>
      <c r="D50">
        <v>15</v>
      </c>
      <c r="E50">
        <v>4230</v>
      </c>
      <c r="F50">
        <v>11</v>
      </c>
      <c r="G50">
        <v>3102</v>
      </c>
      <c r="H50">
        <v>15</v>
      </c>
      <c r="I50">
        <v>4230</v>
      </c>
      <c r="J50">
        <v>16</v>
      </c>
      <c r="K50">
        <v>4512</v>
      </c>
      <c r="L50">
        <v>18</v>
      </c>
      <c r="M50">
        <v>5076</v>
      </c>
      <c r="N50">
        <v>11</v>
      </c>
      <c r="O50">
        <v>3102</v>
      </c>
      <c r="P50">
        <v>16</v>
      </c>
      <c r="Q50">
        <v>4512</v>
      </c>
      <c r="R50">
        <v>13</v>
      </c>
      <c r="S50">
        <v>3666</v>
      </c>
      <c r="T50">
        <v>18</v>
      </c>
      <c r="U50">
        <v>5076</v>
      </c>
      <c r="V50">
        <v>17</v>
      </c>
      <c r="W50">
        <v>4794</v>
      </c>
      <c r="X50">
        <v>16</v>
      </c>
      <c r="Y50">
        <v>4512</v>
      </c>
      <c r="Z50">
        <v>12</v>
      </c>
      <c r="AA50">
        <v>3384</v>
      </c>
      <c r="AB50">
        <v>12</v>
      </c>
      <c r="AC50">
        <v>3384</v>
      </c>
      <c r="AD50">
        <v>18</v>
      </c>
      <c r="AE50">
        <v>5076</v>
      </c>
      <c r="AF50">
        <v>10</v>
      </c>
      <c r="AG50">
        <v>2820</v>
      </c>
      <c r="AH50">
        <v>11</v>
      </c>
      <c r="AI50">
        <v>3102</v>
      </c>
      <c r="AJ50">
        <v>17</v>
      </c>
      <c r="AK50">
        <v>4794</v>
      </c>
      <c r="AL50">
        <v>14</v>
      </c>
      <c r="AM50">
        <v>3948</v>
      </c>
      <c r="AN50">
        <v>13</v>
      </c>
      <c r="AO50">
        <v>3666</v>
      </c>
      <c r="AP50">
        <v>15</v>
      </c>
      <c r="AQ50">
        <v>4230</v>
      </c>
      <c r="AR50">
        <v>15</v>
      </c>
      <c r="AS50">
        <v>4230</v>
      </c>
      <c r="AT50">
        <v>14</v>
      </c>
      <c r="AU50">
        <v>3948</v>
      </c>
      <c r="AV50">
        <v>11</v>
      </c>
      <c r="AW50">
        <v>3102</v>
      </c>
      <c r="AX50">
        <v>9</v>
      </c>
      <c r="AY50">
        <v>2538</v>
      </c>
      <c r="AZ50">
        <v>10</v>
      </c>
      <c r="BA50">
        <v>2820</v>
      </c>
      <c r="BB50">
        <v>11</v>
      </c>
      <c r="BC50">
        <v>3102</v>
      </c>
      <c r="BD50">
        <v>10</v>
      </c>
      <c r="BE50">
        <v>2820</v>
      </c>
      <c r="BF50">
        <v>12</v>
      </c>
      <c r="BG50">
        <v>3384</v>
      </c>
      <c r="BH50">
        <v>15</v>
      </c>
      <c r="BI50">
        <v>4230</v>
      </c>
      <c r="BJ50">
        <v>17</v>
      </c>
      <c r="BK50">
        <v>4794</v>
      </c>
      <c r="BL50">
        <v>17</v>
      </c>
      <c r="BM50">
        <v>4794</v>
      </c>
      <c r="BN50">
        <v>11</v>
      </c>
      <c r="BO50">
        <v>3102</v>
      </c>
      <c r="BP50">
        <v>10</v>
      </c>
      <c r="BQ50">
        <v>2820</v>
      </c>
      <c r="BR50">
        <v>9</v>
      </c>
      <c r="BS50">
        <v>2538</v>
      </c>
      <c r="BT50">
        <v>16</v>
      </c>
      <c r="BU50">
        <v>4512</v>
      </c>
      <c r="BV50">
        <v>18</v>
      </c>
      <c r="BW50">
        <v>5076</v>
      </c>
      <c r="BX50">
        <v>10</v>
      </c>
      <c r="BY50">
        <v>2820</v>
      </c>
      <c r="BZ50">
        <v>12</v>
      </c>
      <c r="CA50">
        <v>3384</v>
      </c>
      <c r="CB50">
        <v>17</v>
      </c>
      <c r="CC50">
        <v>4794</v>
      </c>
      <c r="CD50">
        <v>17</v>
      </c>
      <c r="CE50">
        <v>4794</v>
      </c>
      <c r="CF50">
        <v>16</v>
      </c>
      <c r="CG50">
        <v>4512</v>
      </c>
      <c r="CH50">
        <v>13</v>
      </c>
      <c r="CI50">
        <v>3666</v>
      </c>
      <c r="CJ50">
        <v>15</v>
      </c>
      <c r="CK50">
        <v>4230</v>
      </c>
      <c r="CL50">
        <v>10</v>
      </c>
      <c r="CM50">
        <v>2820</v>
      </c>
      <c r="CN50">
        <v>15</v>
      </c>
      <c r="CO50">
        <v>4230</v>
      </c>
      <c r="CP50">
        <v>16</v>
      </c>
      <c r="CQ50">
        <v>4512</v>
      </c>
      <c r="CR50">
        <v>14</v>
      </c>
      <c r="CS50">
        <v>3948</v>
      </c>
      <c r="CT50">
        <v>11</v>
      </c>
      <c r="CU50">
        <v>3102</v>
      </c>
    </row>
    <row r="51" spans="2:99" x14ac:dyDescent="0.2">
      <c r="C51" s="116" t="s">
        <v>217</v>
      </c>
      <c r="D51">
        <v>16</v>
      </c>
      <c r="E51">
        <v>13670.4</v>
      </c>
      <c r="F51">
        <v>11</v>
      </c>
      <c r="G51">
        <v>9398.4</v>
      </c>
      <c r="H51">
        <v>16</v>
      </c>
      <c r="I51">
        <v>13670.4</v>
      </c>
      <c r="J51">
        <v>14</v>
      </c>
      <c r="K51">
        <v>11961.6</v>
      </c>
      <c r="L51">
        <v>16</v>
      </c>
      <c r="M51">
        <v>13670.4</v>
      </c>
      <c r="N51">
        <v>10</v>
      </c>
      <c r="O51">
        <v>8544</v>
      </c>
      <c r="P51">
        <v>15</v>
      </c>
      <c r="Q51">
        <v>12816</v>
      </c>
      <c r="R51">
        <v>12</v>
      </c>
      <c r="S51">
        <v>10252.799999999999</v>
      </c>
      <c r="T51">
        <v>15</v>
      </c>
      <c r="U51">
        <v>12816</v>
      </c>
      <c r="V51">
        <v>16</v>
      </c>
      <c r="W51">
        <v>13670.4</v>
      </c>
      <c r="X51">
        <v>14</v>
      </c>
      <c r="Y51">
        <v>11961.6</v>
      </c>
      <c r="Z51">
        <v>11</v>
      </c>
      <c r="AA51">
        <v>9398.4</v>
      </c>
      <c r="AB51">
        <v>12</v>
      </c>
      <c r="AC51">
        <v>10252.799999999999</v>
      </c>
      <c r="AD51">
        <v>17</v>
      </c>
      <c r="AE51">
        <v>14524.8</v>
      </c>
      <c r="AF51">
        <v>9</v>
      </c>
      <c r="AG51">
        <v>7689.5999999999995</v>
      </c>
      <c r="AH51">
        <v>10</v>
      </c>
      <c r="AI51">
        <v>8544</v>
      </c>
      <c r="AJ51">
        <v>15</v>
      </c>
      <c r="AK51">
        <v>12816</v>
      </c>
      <c r="AL51">
        <v>12</v>
      </c>
      <c r="AM51">
        <v>10252.799999999999</v>
      </c>
      <c r="AN51">
        <v>13</v>
      </c>
      <c r="AO51">
        <v>11107.199999999999</v>
      </c>
      <c r="AP51">
        <v>14</v>
      </c>
      <c r="AQ51">
        <v>11961.6</v>
      </c>
      <c r="AR51">
        <v>14</v>
      </c>
      <c r="AS51">
        <v>11961.6</v>
      </c>
      <c r="AT51">
        <v>15</v>
      </c>
      <c r="AU51">
        <v>12816</v>
      </c>
      <c r="AV51">
        <v>9</v>
      </c>
      <c r="AW51">
        <v>7689.5999999999995</v>
      </c>
      <c r="AX51">
        <v>8</v>
      </c>
      <c r="AY51">
        <v>6835.2</v>
      </c>
      <c r="AZ51">
        <v>9</v>
      </c>
      <c r="BA51">
        <v>7689.5999999999995</v>
      </c>
      <c r="BB51">
        <v>11</v>
      </c>
      <c r="BC51">
        <v>9398.4</v>
      </c>
      <c r="BD51">
        <v>9</v>
      </c>
      <c r="BE51">
        <v>7689.5999999999995</v>
      </c>
      <c r="BF51">
        <v>13</v>
      </c>
      <c r="BG51">
        <v>11107.199999999999</v>
      </c>
      <c r="BH51">
        <v>13</v>
      </c>
      <c r="BI51">
        <v>11107.199999999999</v>
      </c>
      <c r="BJ51">
        <v>16</v>
      </c>
      <c r="BK51">
        <v>13670.4</v>
      </c>
      <c r="BL51">
        <v>15</v>
      </c>
      <c r="BM51">
        <v>12816</v>
      </c>
      <c r="BN51">
        <v>11</v>
      </c>
      <c r="BO51">
        <v>9398.4</v>
      </c>
      <c r="BP51">
        <v>9</v>
      </c>
      <c r="BQ51">
        <v>7689.5999999999995</v>
      </c>
      <c r="BR51">
        <v>8</v>
      </c>
      <c r="BS51">
        <v>6835.2</v>
      </c>
      <c r="BT51">
        <v>15</v>
      </c>
      <c r="BU51">
        <v>12816</v>
      </c>
      <c r="BV51">
        <v>14</v>
      </c>
      <c r="BW51">
        <v>11961.6</v>
      </c>
      <c r="BX51">
        <v>10</v>
      </c>
      <c r="BY51">
        <v>8544</v>
      </c>
      <c r="BZ51">
        <v>11</v>
      </c>
      <c r="CA51">
        <v>9398.4</v>
      </c>
      <c r="CB51">
        <v>15</v>
      </c>
      <c r="CC51">
        <v>12816</v>
      </c>
      <c r="CD51">
        <v>16</v>
      </c>
      <c r="CE51">
        <v>13670.4</v>
      </c>
      <c r="CF51">
        <v>14</v>
      </c>
      <c r="CG51">
        <v>11961.6</v>
      </c>
      <c r="CH51">
        <v>11</v>
      </c>
      <c r="CI51">
        <v>9398.4</v>
      </c>
      <c r="CJ51">
        <v>13</v>
      </c>
      <c r="CK51">
        <v>11107.199999999999</v>
      </c>
      <c r="CL51">
        <v>10</v>
      </c>
      <c r="CM51">
        <v>8544</v>
      </c>
      <c r="CN51">
        <v>15</v>
      </c>
      <c r="CO51">
        <v>12816</v>
      </c>
      <c r="CP51">
        <v>14</v>
      </c>
      <c r="CQ51">
        <v>11961.6</v>
      </c>
      <c r="CR51">
        <v>13</v>
      </c>
      <c r="CS51">
        <v>11107.199999999999</v>
      </c>
      <c r="CT51">
        <v>10</v>
      </c>
      <c r="CU51">
        <v>8544</v>
      </c>
    </row>
    <row r="52" spans="2:99" x14ac:dyDescent="0.2">
      <c r="C52" s="116" t="s">
        <v>218</v>
      </c>
      <c r="D52">
        <v>15</v>
      </c>
      <c r="E52">
        <v>8100</v>
      </c>
      <c r="F52">
        <v>9</v>
      </c>
      <c r="G52">
        <v>4860</v>
      </c>
      <c r="H52">
        <v>18</v>
      </c>
      <c r="I52">
        <v>9720</v>
      </c>
      <c r="J52">
        <v>16</v>
      </c>
      <c r="K52">
        <v>8640</v>
      </c>
      <c r="L52">
        <v>15</v>
      </c>
      <c r="M52">
        <v>8100</v>
      </c>
      <c r="N52">
        <v>10</v>
      </c>
      <c r="O52">
        <v>5400</v>
      </c>
      <c r="P52">
        <v>17</v>
      </c>
      <c r="Q52">
        <v>9180</v>
      </c>
      <c r="R52">
        <v>11</v>
      </c>
      <c r="S52">
        <v>5940</v>
      </c>
      <c r="T52">
        <v>17</v>
      </c>
      <c r="U52">
        <v>9180</v>
      </c>
      <c r="V52">
        <v>15</v>
      </c>
      <c r="W52">
        <v>8100</v>
      </c>
      <c r="X52">
        <v>15</v>
      </c>
      <c r="Y52">
        <v>8100</v>
      </c>
      <c r="Z52">
        <v>13</v>
      </c>
      <c r="AA52">
        <v>7020</v>
      </c>
      <c r="AB52">
        <v>11</v>
      </c>
      <c r="AC52">
        <v>5940</v>
      </c>
      <c r="AD52">
        <v>18</v>
      </c>
      <c r="AE52">
        <v>9720</v>
      </c>
      <c r="AF52">
        <v>10</v>
      </c>
      <c r="AG52">
        <v>5400</v>
      </c>
      <c r="AH52">
        <v>10</v>
      </c>
      <c r="AI52">
        <v>5400</v>
      </c>
      <c r="AJ52">
        <v>17</v>
      </c>
      <c r="AK52">
        <v>9180</v>
      </c>
      <c r="AL52">
        <v>12</v>
      </c>
      <c r="AM52">
        <v>6480</v>
      </c>
      <c r="AN52">
        <v>13</v>
      </c>
      <c r="AO52">
        <v>7020</v>
      </c>
      <c r="AP52">
        <v>15</v>
      </c>
      <c r="AQ52">
        <v>8100</v>
      </c>
      <c r="AR52">
        <v>15</v>
      </c>
      <c r="AS52">
        <v>8100</v>
      </c>
      <c r="AT52">
        <v>13</v>
      </c>
      <c r="AU52">
        <v>7020</v>
      </c>
      <c r="AV52">
        <v>10</v>
      </c>
      <c r="AW52">
        <v>5400</v>
      </c>
      <c r="AX52">
        <v>9</v>
      </c>
      <c r="AY52">
        <v>4860</v>
      </c>
      <c r="AZ52">
        <v>10</v>
      </c>
      <c r="BA52">
        <v>5400</v>
      </c>
      <c r="BB52">
        <v>10</v>
      </c>
      <c r="BC52">
        <v>5400</v>
      </c>
      <c r="BD52">
        <v>8</v>
      </c>
      <c r="BE52">
        <v>4320</v>
      </c>
      <c r="BF52">
        <v>12</v>
      </c>
      <c r="BG52">
        <v>6480</v>
      </c>
      <c r="BH52">
        <v>14</v>
      </c>
      <c r="BI52">
        <v>7560</v>
      </c>
      <c r="BJ52">
        <v>17</v>
      </c>
      <c r="BK52">
        <v>9180</v>
      </c>
      <c r="BL52">
        <v>18</v>
      </c>
      <c r="BM52">
        <v>9720</v>
      </c>
      <c r="BN52">
        <v>11</v>
      </c>
      <c r="BO52">
        <v>5940</v>
      </c>
      <c r="BP52">
        <v>9</v>
      </c>
      <c r="BQ52">
        <v>4860</v>
      </c>
      <c r="BR52">
        <v>9</v>
      </c>
      <c r="BS52">
        <v>4860</v>
      </c>
      <c r="BT52">
        <v>13</v>
      </c>
      <c r="BU52">
        <v>7020</v>
      </c>
      <c r="BV52">
        <v>15</v>
      </c>
      <c r="BW52">
        <v>8100</v>
      </c>
      <c r="BX52">
        <v>9</v>
      </c>
      <c r="BY52">
        <v>4860</v>
      </c>
      <c r="BZ52">
        <v>12</v>
      </c>
      <c r="CA52">
        <v>6480</v>
      </c>
      <c r="CB52">
        <v>17</v>
      </c>
      <c r="CC52">
        <v>9180</v>
      </c>
      <c r="CD52">
        <v>16</v>
      </c>
      <c r="CE52">
        <v>8640</v>
      </c>
      <c r="CF52">
        <v>16</v>
      </c>
      <c r="CG52">
        <v>8640</v>
      </c>
      <c r="CH52">
        <v>11</v>
      </c>
      <c r="CI52">
        <v>5940</v>
      </c>
      <c r="CJ52">
        <v>15</v>
      </c>
      <c r="CK52">
        <v>8100</v>
      </c>
      <c r="CL52">
        <v>10</v>
      </c>
      <c r="CM52">
        <v>5400</v>
      </c>
      <c r="CN52">
        <v>16</v>
      </c>
      <c r="CO52">
        <v>8640</v>
      </c>
      <c r="CP52">
        <v>15</v>
      </c>
      <c r="CQ52">
        <v>8100</v>
      </c>
      <c r="CR52">
        <v>13</v>
      </c>
      <c r="CS52">
        <v>7020</v>
      </c>
      <c r="CT52">
        <v>9</v>
      </c>
      <c r="CU52">
        <v>4860</v>
      </c>
    </row>
    <row r="53" spans="2:99" x14ac:dyDescent="0.2">
      <c r="C53" s="116" t="s">
        <v>219</v>
      </c>
      <c r="D53">
        <v>16</v>
      </c>
      <c r="E53">
        <v>6508.8</v>
      </c>
      <c r="F53">
        <v>11</v>
      </c>
      <c r="G53">
        <v>4474.8</v>
      </c>
      <c r="H53">
        <v>16</v>
      </c>
      <c r="I53">
        <v>6508.8</v>
      </c>
      <c r="J53">
        <v>17</v>
      </c>
      <c r="K53">
        <v>6915.6</v>
      </c>
      <c r="L53">
        <v>16</v>
      </c>
      <c r="M53">
        <v>6508.8</v>
      </c>
      <c r="N53">
        <v>11</v>
      </c>
      <c r="O53">
        <v>4474.8</v>
      </c>
      <c r="P53">
        <v>16</v>
      </c>
      <c r="Q53">
        <v>6508.8</v>
      </c>
      <c r="R53">
        <v>12</v>
      </c>
      <c r="S53">
        <v>4881.6000000000004</v>
      </c>
      <c r="T53">
        <v>18</v>
      </c>
      <c r="U53">
        <v>7322.4000000000005</v>
      </c>
      <c r="V53">
        <v>16</v>
      </c>
      <c r="W53">
        <v>6508.8</v>
      </c>
      <c r="X53">
        <v>15</v>
      </c>
      <c r="Y53">
        <v>6102</v>
      </c>
      <c r="Z53">
        <v>13</v>
      </c>
      <c r="AA53">
        <v>5288.4000000000005</v>
      </c>
      <c r="AB53">
        <v>13</v>
      </c>
      <c r="AC53">
        <v>5288.4000000000005</v>
      </c>
      <c r="AD53">
        <v>16</v>
      </c>
      <c r="AE53">
        <v>6508.8</v>
      </c>
      <c r="AF53">
        <v>9</v>
      </c>
      <c r="AG53">
        <v>3661.2000000000003</v>
      </c>
      <c r="AH53">
        <v>10</v>
      </c>
      <c r="AI53">
        <v>4068</v>
      </c>
      <c r="AJ53">
        <v>17</v>
      </c>
      <c r="AK53">
        <v>6915.6</v>
      </c>
      <c r="AL53">
        <v>12</v>
      </c>
      <c r="AM53">
        <v>4881.6000000000004</v>
      </c>
      <c r="AN53">
        <v>12</v>
      </c>
      <c r="AO53">
        <v>4881.6000000000004</v>
      </c>
      <c r="AP53">
        <v>16</v>
      </c>
      <c r="AQ53">
        <v>6508.8</v>
      </c>
      <c r="AR53">
        <v>16</v>
      </c>
      <c r="AS53">
        <v>6508.8</v>
      </c>
      <c r="AT53">
        <v>15</v>
      </c>
      <c r="AU53">
        <v>6102</v>
      </c>
      <c r="AV53">
        <v>10</v>
      </c>
      <c r="AW53">
        <v>4068</v>
      </c>
      <c r="AX53">
        <v>10</v>
      </c>
      <c r="AY53">
        <v>4068</v>
      </c>
      <c r="AZ53">
        <v>9</v>
      </c>
      <c r="BA53">
        <v>3661.2000000000003</v>
      </c>
      <c r="BB53">
        <v>10</v>
      </c>
      <c r="BC53">
        <v>4068</v>
      </c>
      <c r="BD53">
        <v>10</v>
      </c>
      <c r="BE53">
        <v>4068</v>
      </c>
      <c r="BF53">
        <v>12</v>
      </c>
      <c r="BG53">
        <v>4881.6000000000004</v>
      </c>
      <c r="BH53">
        <v>13</v>
      </c>
      <c r="BI53">
        <v>5288.4000000000005</v>
      </c>
      <c r="BJ53">
        <v>16</v>
      </c>
      <c r="BK53">
        <v>6508.8</v>
      </c>
      <c r="BL53">
        <v>17</v>
      </c>
      <c r="BM53">
        <v>6915.6</v>
      </c>
      <c r="BN53">
        <v>10</v>
      </c>
      <c r="BO53">
        <v>4068</v>
      </c>
      <c r="BP53">
        <v>9</v>
      </c>
      <c r="BQ53">
        <v>3661.2000000000003</v>
      </c>
      <c r="BR53">
        <v>9</v>
      </c>
      <c r="BS53">
        <v>3661.2000000000003</v>
      </c>
      <c r="BT53">
        <v>15</v>
      </c>
      <c r="BU53">
        <v>6102</v>
      </c>
      <c r="BV53">
        <v>17</v>
      </c>
      <c r="BW53">
        <v>6915.6</v>
      </c>
      <c r="BX53">
        <v>9</v>
      </c>
      <c r="BY53">
        <v>3661.2000000000003</v>
      </c>
      <c r="BZ53">
        <v>12</v>
      </c>
      <c r="CA53">
        <v>4881.6000000000004</v>
      </c>
      <c r="CB53">
        <v>15</v>
      </c>
      <c r="CC53">
        <v>6102</v>
      </c>
      <c r="CD53">
        <v>16</v>
      </c>
      <c r="CE53">
        <v>6508.8</v>
      </c>
      <c r="CF53">
        <v>16</v>
      </c>
      <c r="CG53">
        <v>6508.8</v>
      </c>
      <c r="CH53">
        <v>11</v>
      </c>
      <c r="CI53">
        <v>4474.8</v>
      </c>
      <c r="CJ53">
        <v>14</v>
      </c>
      <c r="CK53">
        <v>5695.2</v>
      </c>
      <c r="CL53">
        <v>10</v>
      </c>
      <c r="CM53">
        <v>4068</v>
      </c>
      <c r="CN53">
        <v>15</v>
      </c>
      <c r="CO53">
        <v>6102</v>
      </c>
      <c r="CP53">
        <v>15</v>
      </c>
      <c r="CQ53">
        <v>6102</v>
      </c>
      <c r="CR53">
        <v>15</v>
      </c>
      <c r="CS53">
        <v>6102</v>
      </c>
      <c r="CT53">
        <v>11</v>
      </c>
      <c r="CU53">
        <v>4474.8</v>
      </c>
    </row>
    <row r="54" spans="2:99" x14ac:dyDescent="0.2">
      <c r="C54" s="116" t="s">
        <v>220</v>
      </c>
      <c r="D54">
        <v>17</v>
      </c>
      <c r="E54">
        <v>5691.6</v>
      </c>
      <c r="F54">
        <v>9</v>
      </c>
      <c r="G54">
        <v>3013.2000000000003</v>
      </c>
      <c r="H54">
        <v>16</v>
      </c>
      <c r="I54">
        <v>5356.8</v>
      </c>
      <c r="J54">
        <v>15</v>
      </c>
      <c r="K54">
        <v>5022</v>
      </c>
      <c r="L54">
        <v>18</v>
      </c>
      <c r="M54">
        <v>6026.4000000000005</v>
      </c>
      <c r="N54">
        <v>10</v>
      </c>
      <c r="O54">
        <v>3348</v>
      </c>
      <c r="P54">
        <v>15</v>
      </c>
      <c r="Q54">
        <v>5022</v>
      </c>
      <c r="R54">
        <v>12</v>
      </c>
      <c r="S54">
        <v>4017.6000000000004</v>
      </c>
      <c r="T54">
        <v>18</v>
      </c>
      <c r="U54">
        <v>6026.4000000000005</v>
      </c>
      <c r="V54">
        <v>15</v>
      </c>
      <c r="W54">
        <v>5022</v>
      </c>
      <c r="X54">
        <v>14</v>
      </c>
      <c r="Y54">
        <v>4687.2</v>
      </c>
      <c r="Z54">
        <v>13</v>
      </c>
      <c r="AA54">
        <v>4352.4000000000005</v>
      </c>
      <c r="AB54">
        <v>11</v>
      </c>
      <c r="AC54">
        <v>3682.8</v>
      </c>
      <c r="AD54">
        <v>16</v>
      </c>
      <c r="AE54">
        <v>5356.8</v>
      </c>
      <c r="AF54">
        <v>9</v>
      </c>
      <c r="AG54">
        <v>3013.2000000000003</v>
      </c>
      <c r="AH54">
        <v>11</v>
      </c>
      <c r="AI54">
        <v>3682.8</v>
      </c>
      <c r="AJ54">
        <v>15</v>
      </c>
      <c r="AK54">
        <v>5022</v>
      </c>
      <c r="AL54">
        <v>13</v>
      </c>
      <c r="AM54">
        <v>4352.4000000000005</v>
      </c>
      <c r="AN54">
        <v>13</v>
      </c>
      <c r="AO54">
        <v>4352.4000000000005</v>
      </c>
      <c r="AP54">
        <v>14</v>
      </c>
      <c r="AQ54">
        <v>4687.2</v>
      </c>
      <c r="AR54">
        <v>15</v>
      </c>
      <c r="AS54">
        <v>5022</v>
      </c>
      <c r="AT54">
        <v>16</v>
      </c>
      <c r="AU54">
        <v>5356.8</v>
      </c>
      <c r="AV54">
        <v>12</v>
      </c>
      <c r="AW54">
        <v>4017.6000000000004</v>
      </c>
      <c r="AX54">
        <v>9</v>
      </c>
      <c r="AY54">
        <v>3013.2000000000003</v>
      </c>
      <c r="AZ54">
        <v>9</v>
      </c>
      <c r="BA54">
        <v>3013.2000000000003</v>
      </c>
      <c r="BB54">
        <v>11</v>
      </c>
      <c r="BC54">
        <v>3682.8</v>
      </c>
      <c r="BD54">
        <v>9</v>
      </c>
      <c r="BE54">
        <v>3013.2000000000003</v>
      </c>
      <c r="BF54">
        <v>11</v>
      </c>
      <c r="BG54">
        <v>3682.8</v>
      </c>
      <c r="BH54">
        <v>13</v>
      </c>
      <c r="BI54">
        <v>4352.4000000000005</v>
      </c>
      <c r="BJ54">
        <v>14</v>
      </c>
      <c r="BK54">
        <v>4687.2</v>
      </c>
      <c r="BL54">
        <v>16</v>
      </c>
      <c r="BM54">
        <v>5356.8</v>
      </c>
      <c r="BN54">
        <v>10</v>
      </c>
      <c r="BO54">
        <v>3348</v>
      </c>
      <c r="BP54">
        <v>10</v>
      </c>
      <c r="BQ54">
        <v>3348</v>
      </c>
      <c r="BR54">
        <v>9</v>
      </c>
      <c r="BS54">
        <v>3013.2000000000003</v>
      </c>
      <c r="BT54">
        <v>16</v>
      </c>
      <c r="BU54">
        <v>5356.8</v>
      </c>
      <c r="BV54">
        <v>17</v>
      </c>
      <c r="BW54">
        <v>5691.6</v>
      </c>
      <c r="BX54">
        <v>9</v>
      </c>
      <c r="BY54">
        <v>3013.2000000000003</v>
      </c>
      <c r="BZ54">
        <v>11</v>
      </c>
      <c r="CA54">
        <v>3682.8</v>
      </c>
      <c r="CB54">
        <v>17</v>
      </c>
      <c r="CC54">
        <v>5691.6</v>
      </c>
      <c r="CD54">
        <v>17</v>
      </c>
      <c r="CE54">
        <v>5691.6</v>
      </c>
      <c r="CF54">
        <v>16</v>
      </c>
      <c r="CG54">
        <v>5356.8</v>
      </c>
      <c r="CH54">
        <v>11</v>
      </c>
      <c r="CI54">
        <v>3682.8</v>
      </c>
      <c r="CJ54">
        <v>14</v>
      </c>
      <c r="CK54">
        <v>4687.2</v>
      </c>
      <c r="CL54">
        <v>10</v>
      </c>
      <c r="CM54">
        <v>3348</v>
      </c>
      <c r="CN54">
        <v>16</v>
      </c>
      <c r="CO54">
        <v>5356.8</v>
      </c>
      <c r="CP54">
        <v>14</v>
      </c>
      <c r="CQ54">
        <v>4687.2</v>
      </c>
      <c r="CR54">
        <v>13</v>
      </c>
      <c r="CS54">
        <v>4352.4000000000005</v>
      </c>
      <c r="CT54">
        <v>9</v>
      </c>
      <c r="CU54">
        <v>3013.2000000000003</v>
      </c>
    </row>
    <row r="55" spans="2:99" x14ac:dyDescent="0.2">
      <c r="C55" s="116" t="s">
        <v>221</v>
      </c>
      <c r="D55">
        <v>16</v>
      </c>
      <c r="E55">
        <v>10617.6</v>
      </c>
      <c r="F55">
        <v>11</v>
      </c>
      <c r="G55">
        <v>7299.6</v>
      </c>
      <c r="H55">
        <v>15</v>
      </c>
      <c r="I55">
        <v>9954</v>
      </c>
      <c r="J55">
        <v>16</v>
      </c>
      <c r="K55">
        <v>10617.6</v>
      </c>
      <c r="L55">
        <v>17</v>
      </c>
      <c r="M55">
        <v>11281.2</v>
      </c>
      <c r="N55">
        <v>10</v>
      </c>
      <c r="O55">
        <v>6636</v>
      </c>
      <c r="P55">
        <v>16</v>
      </c>
      <c r="Q55">
        <v>10617.6</v>
      </c>
      <c r="R55">
        <v>11</v>
      </c>
      <c r="S55">
        <v>7299.6</v>
      </c>
      <c r="T55">
        <v>17</v>
      </c>
      <c r="U55">
        <v>11281.2</v>
      </c>
      <c r="V55">
        <v>14</v>
      </c>
      <c r="W55">
        <v>9290.4</v>
      </c>
      <c r="X55">
        <v>14</v>
      </c>
      <c r="Y55">
        <v>9290.4</v>
      </c>
      <c r="Z55">
        <v>12</v>
      </c>
      <c r="AA55">
        <v>7963.2000000000007</v>
      </c>
      <c r="AB55">
        <v>11</v>
      </c>
      <c r="AC55">
        <v>7299.6</v>
      </c>
      <c r="AD55">
        <v>17</v>
      </c>
      <c r="AE55">
        <v>11281.2</v>
      </c>
      <c r="AF55">
        <v>9</v>
      </c>
      <c r="AG55">
        <v>5972.4000000000005</v>
      </c>
      <c r="AH55">
        <v>11</v>
      </c>
      <c r="AI55">
        <v>7299.6</v>
      </c>
      <c r="AJ55">
        <v>16</v>
      </c>
      <c r="AK55">
        <v>10617.6</v>
      </c>
      <c r="AL55">
        <v>12</v>
      </c>
      <c r="AM55">
        <v>7963.2000000000007</v>
      </c>
      <c r="AN55">
        <v>12</v>
      </c>
      <c r="AO55">
        <v>7963.2000000000007</v>
      </c>
      <c r="AP55">
        <v>15</v>
      </c>
      <c r="AQ55">
        <v>9954</v>
      </c>
      <c r="AR55">
        <v>15</v>
      </c>
      <c r="AS55">
        <v>9954</v>
      </c>
      <c r="AT55">
        <v>15</v>
      </c>
      <c r="AU55">
        <v>9954</v>
      </c>
      <c r="AV55">
        <v>11</v>
      </c>
      <c r="AW55">
        <v>7299.6</v>
      </c>
      <c r="AX55">
        <v>10</v>
      </c>
      <c r="AY55">
        <v>6636</v>
      </c>
      <c r="AZ55">
        <v>9</v>
      </c>
      <c r="BA55">
        <v>5972.4000000000005</v>
      </c>
      <c r="BB55">
        <v>11</v>
      </c>
      <c r="BC55">
        <v>7299.6</v>
      </c>
      <c r="BD55">
        <v>9</v>
      </c>
      <c r="BE55">
        <v>5972.4000000000005</v>
      </c>
      <c r="BF55">
        <v>12</v>
      </c>
      <c r="BG55">
        <v>7963.2000000000007</v>
      </c>
      <c r="BH55">
        <v>13</v>
      </c>
      <c r="BI55">
        <v>8626.8000000000011</v>
      </c>
      <c r="BJ55">
        <v>14</v>
      </c>
      <c r="BK55">
        <v>9290.4</v>
      </c>
      <c r="BL55">
        <v>16</v>
      </c>
      <c r="BM55">
        <v>10617.6</v>
      </c>
      <c r="BN55">
        <v>11</v>
      </c>
      <c r="BO55">
        <v>7299.6</v>
      </c>
      <c r="BP55">
        <v>9</v>
      </c>
      <c r="BQ55">
        <v>5972.4000000000005</v>
      </c>
      <c r="BR55">
        <v>9</v>
      </c>
      <c r="BS55">
        <v>5972.4000000000005</v>
      </c>
      <c r="BT55">
        <v>14</v>
      </c>
      <c r="BU55">
        <v>9290.4</v>
      </c>
      <c r="BV55">
        <v>17</v>
      </c>
      <c r="BW55">
        <v>11281.2</v>
      </c>
      <c r="BX55">
        <v>10</v>
      </c>
      <c r="BY55">
        <v>6636</v>
      </c>
      <c r="BZ55">
        <v>11</v>
      </c>
      <c r="CA55">
        <v>7299.6</v>
      </c>
      <c r="CB55">
        <v>15</v>
      </c>
      <c r="CC55">
        <v>9954</v>
      </c>
      <c r="CD55">
        <v>16</v>
      </c>
      <c r="CE55">
        <v>10617.6</v>
      </c>
      <c r="CF55">
        <v>15</v>
      </c>
      <c r="CG55">
        <v>9954</v>
      </c>
      <c r="CH55">
        <v>11</v>
      </c>
      <c r="CI55">
        <v>7299.6</v>
      </c>
      <c r="CJ55">
        <v>12</v>
      </c>
      <c r="CK55">
        <v>7963.2000000000007</v>
      </c>
      <c r="CL55">
        <v>10</v>
      </c>
      <c r="CM55">
        <v>6636</v>
      </c>
      <c r="CN55">
        <v>15</v>
      </c>
      <c r="CO55">
        <v>9954</v>
      </c>
      <c r="CP55">
        <v>15</v>
      </c>
      <c r="CQ55">
        <v>9954</v>
      </c>
      <c r="CR55">
        <v>12</v>
      </c>
      <c r="CS55">
        <v>7963.2000000000007</v>
      </c>
      <c r="CT55">
        <v>9</v>
      </c>
      <c r="CU55">
        <v>5972.4000000000005</v>
      </c>
    </row>
    <row r="56" spans="2:99" x14ac:dyDescent="0.2">
      <c r="C56" s="116" t="s">
        <v>222</v>
      </c>
      <c r="D56">
        <v>14.235821375189929</v>
      </c>
      <c r="E56">
        <v>16382.58323856857</v>
      </c>
      <c r="F56">
        <v>3.0203771628188196</v>
      </c>
      <c r="G56">
        <v>3475.8500389718974</v>
      </c>
      <c r="H56">
        <v>3.7839555606275441</v>
      </c>
      <c r="I56">
        <v>4354.5760591701774</v>
      </c>
      <c r="J56">
        <v>4.0744050278973658</v>
      </c>
      <c r="K56">
        <v>4688.8253061042888</v>
      </c>
      <c r="L56">
        <v>4.2409764408192645</v>
      </c>
      <c r="M56">
        <v>4880.5156880948098</v>
      </c>
      <c r="N56">
        <v>2.0830837933130328</v>
      </c>
      <c r="O56">
        <v>2397.2128293446381</v>
      </c>
      <c r="P56">
        <v>3.3133723061850189</v>
      </c>
      <c r="Q56">
        <v>3813.0288499577196</v>
      </c>
      <c r="R56">
        <v>2.5226353833960902</v>
      </c>
      <c r="S56">
        <v>2903.0487992122203</v>
      </c>
      <c r="T56">
        <v>3.9871740565638198</v>
      </c>
      <c r="U56">
        <v>4588.4399042936438</v>
      </c>
      <c r="V56">
        <v>3.6236318593283028</v>
      </c>
      <c r="W56">
        <v>4170.075543715011</v>
      </c>
      <c r="X56">
        <v>4.8632968788398108</v>
      </c>
      <c r="Y56">
        <v>5596.6820481688537</v>
      </c>
      <c r="Z56">
        <v>2.8516654673617667</v>
      </c>
      <c r="AA56">
        <v>3281.6966198399209</v>
      </c>
      <c r="AB56">
        <v>2.6605359527117147</v>
      </c>
      <c r="AC56">
        <v>3061.744774380641</v>
      </c>
      <c r="AD56">
        <v>3.3440525407476933</v>
      </c>
      <c r="AE56">
        <v>3848.3356638924452</v>
      </c>
      <c r="AF56">
        <v>2.1111217475811217</v>
      </c>
      <c r="AG56">
        <v>2429.4789071163545</v>
      </c>
      <c r="AH56">
        <v>2.6219214194658114</v>
      </c>
      <c r="AI56">
        <v>3017.3071695212557</v>
      </c>
      <c r="AJ56">
        <v>3.5191135197779762</v>
      </c>
      <c r="AK56">
        <v>4049.7958385604948</v>
      </c>
      <c r="AL56">
        <v>2.4338780547508967</v>
      </c>
      <c r="AM56">
        <v>2800.9068654073317</v>
      </c>
      <c r="AN56">
        <v>2.9521228010623162</v>
      </c>
      <c r="AO56">
        <v>3397.3029194625133</v>
      </c>
      <c r="AP56">
        <v>3.0781329392429502</v>
      </c>
      <c r="AQ56">
        <v>3542.3153864807869</v>
      </c>
      <c r="AR56">
        <v>2.6975454026977408</v>
      </c>
      <c r="AS56">
        <v>3104.3352494245601</v>
      </c>
      <c r="AT56">
        <v>3.0068243565652919</v>
      </c>
      <c r="AU56">
        <v>3460.2534695353379</v>
      </c>
      <c r="AV56">
        <v>2.1085278860126859</v>
      </c>
      <c r="AW56">
        <v>2426.4938912233988</v>
      </c>
      <c r="AX56">
        <v>2.6239698519112942</v>
      </c>
      <c r="AY56">
        <v>3019.664505579517</v>
      </c>
      <c r="AZ56">
        <v>2.0422956089286899</v>
      </c>
      <c r="BA56">
        <v>2350.2737867551364</v>
      </c>
      <c r="BB56">
        <v>2.0332540932644623</v>
      </c>
      <c r="BC56">
        <v>2339.8688105287429</v>
      </c>
      <c r="BD56">
        <v>2.5641188348992574</v>
      </c>
      <c r="BE56">
        <v>2950.7879552020654</v>
      </c>
      <c r="BF56">
        <v>2.4092925482374943</v>
      </c>
      <c r="BG56">
        <v>2772.6138645117085</v>
      </c>
      <c r="BH56">
        <v>2.7123410479508703</v>
      </c>
      <c r="BI56">
        <v>3121.3620779818616</v>
      </c>
      <c r="BJ56">
        <v>3.026183930904649</v>
      </c>
      <c r="BK56">
        <v>3482.5324676850701</v>
      </c>
      <c r="BL56">
        <v>3.4550905232547491</v>
      </c>
      <c r="BM56">
        <v>3976.1181741615651</v>
      </c>
      <c r="BN56">
        <v>3.164149059445907</v>
      </c>
      <c r="BO56">
        <v>3641.3027376103496</v>
      </c>
      <c r="BP56">
        <v>1.9476768090818577</v>
      </c>
      <c r="BQ56">
        <v>2241.3864718914019</v>
      </c>
      <c r="BR56">
        <v>2.8253548297286626</v>
      </c>
      <c r="BS56">
        <v>3251.4183380517447</v>
      </c>
      <c r="BT56">
        <v>3.9275834700327068</v>
      </c>
      <c r="BU56">
        <v>4519.8630573136388</v>
      </c>
      <c r="BV56">
        <v>3.3701526838514138</v>
      </c>
      <c r="BW56">
        <v>3878.3717085762069</v>
      </c>
      <c r="BX56">
        <v>2.9851720586233328</v>
      </c>
      <c r="BY56">
        <v>3435.3360050637311</v>
      </c>
      <c r="BZ56">
        <v>2.0643322050835291</v>
      </c>
      <c r="CA56">
        <v>2375.6335016101252</v>
      </c>
      <c r="CB56">
        <v>4.0205166810850361</v>
      </c>
      <c r="CC56">
        <v>4626.8105965926597</v>
      </c>
      <c r="CD56">
        <v>3.1061327325475059</v>
      </c>
      <c r="CE56">
        <v>3574.5375486156695</v>
      </c>
      <c r="CF56">
        <v>3.6162928652980559</v>
      </c>
      <c r="CG56">
        <v>4161.6298293850023</v>
      </c>
      <c r="CH56">
        <v>2.8776301087816516</v>
      </c>
      <c r="CI56">
        <v>3311.5767291859247</v>
      </c>
      <c r="CJ56">
        <v>3.2764678791595387</v>
      </c>
      <c r="CK56">
        <v>3770.559235336797</v>
      </c>
      <c r="CL56">
        <v>2.6966704332477822</v>
      </c>
      <c r="CM56">
        <v>3103.3283345815476</v>
      </c>
      <c r="CN56">
        <v>3.1405631393650868</v>
      </c>
      <c r="CO56">
        <v>3614.1600607813416</v>
      </c>
      <c r="CP56">
        <v>2.9608400529464833</v>
      </c>
      <c r="CQ56">
        <v>3407.3347329308131</v>
      </c>
      <c r="CR56">
        <v>2.7176320196933048</v>
      </c>
      <c r="CS56">
        <v>3127.4509282630552</v>
      </c>
      <c r="CT56">
        <v>1.8807459586875164</v>
      </c>
      <c r="CU56">
        <v>2164.3624492575937</v>
      </c>
    </row>
    <row r="57" spans="2:99" x14ac:dyDescent="0.2">
      <c r="C57" s="116" t="s">
        <v>223</v>
      </c>
      <c r="D57">
        <v>14</v>
      </c>
      <c r="E57">
        <v>19756.8</v>
      </c>
      <c r="F57">
        <v>10</v>
      </c>
      <c r="G57">
        <v>14112</v>
      </c>
      <c r="H57">
        <v>16</v>
      </c>
      <c r="I57">
        <v>22579.200000000001</v>
      </c>
      <c r="J57">
        <v>13</v>
      </c>
      <c r="K57">
        <v>18345.600000000002</v>
      </c>
      <c r="L57">
        <v>14</v>
      </c>
      <c r="M57">
        <v>19756.8</v>
      </c>
      <c r="N57">
        <v>10</v>
      </c>
      <c r="O57">
        <v>14112</v>
      </c>
      <c r="P57">
        <v>15</v>
      </c>
      <c r="Q57">
        <v>21168</v>
      </c>
      <c r="R57">
        <v>11</v>
      </c>
      <c r="S57">
        <v>15523.2</v>
      </c>
      <c r="T57">
        <v>16</v>
      </c>
      <c r="U57">
        <v>22579.200000000001</v>
      </c>
      <c r="V57">
        <v>15</v>
      </c>
      <c r="W57">
        <v>21168</v>
      </c>
      <c r="X57">
        <v>13</v>
      </c>
      <c r="Y57">
        <v>18345.600000000002</v>
      </c>
      <c r="Z57">
        <v>11</v>
      </c>
      <c r="AA57">
        <v>15523.2</v>
      </c>
      <c r="AB57">
        <v>10</v>
      </c>
      <c r="AC57">
        <v>14112</v>
      </c>
      <c r="AD57">
        <v>17</v>
      </c>
      <c r="AE57">
        <v>23990.400000000001</v>
      </c>
      <c r="AF57">
        <v>9</v>
      </c>
      <c r="AG57">
        <v>12700.800000000001</v>
      </c>
      <c r="AH57">
        <v>10</v>
      </c>
      <c r="AI57">
        <v>14112</v>
      </c>
      <c r="AJ57">
        <v>14</v>
      </c>
      <c r="AK57">
        <v>19756.8</v>
      </c>
      <c r="AL57">
        <v>12</v>
      </c>
      <c r="AM57">
        <v>16934.400000000001</v>
      </c>
      <c r="AN57">
        <v>12</v>
      </c>
      <c r="AO57">
        <v>16934.400000000001</v>
      </c>
      <c r="AP57">
        <v>13</v>
      </c>
      <c r="AQ57">
        <v>18345.600000000002</v>
      </c>
      <c r="AR57">
        <v>13</v>
      </c>
      <c r="AS57">
        <v>18345.600000000002</v>
      </c>
      <c r="AT57">
        <v>12</v>
      </c>
      <c r="AU57">
        <v>16934.400000000001</v>
      </c>
      <c r="AV57">
        <v>9</v>
      </c>
      <c r="AW57">
        <v>12700.800000000001</v>
      </c>
      <c r="AX57">
        <v>8</v>
      </c>
      <c r="AY57">
        <v>11289.6</v>
      </c>
      <c r="AZ57">
        <v>8</v>
      </c>
      <c r="BA57">
        <v>11289.6</v>
      </c>
      <c r="BB57">
        <v>10</v>
      </c>
      <c r="BC57">
        <v>14112</v>
      </c>
      <c r="BD57">
        <v>9</v>
      </c>
      <c r="BE57">
        <v>12700.800000000001</v>
      </c>
      <c r="BF57">
        <v>10</v>
      </c>
      <c r="BG57">
        <v>14112</v>
      </c>
      <c r="BH57">
        <v>13</v>
      </c>
      <c r="BI57">
        <v>18345.600000000002</v>
      </c>
      <c r="BJ57">
        <v>14</v>
      </c>
      <c r="BK57">
        <v>19756.8</v>
      </c>
      <c r="BL57">
        <v>15</v>
      </c>
      <c r="BM57">
        <v>21168</v>
      </c>
      <c r="BN57">
        <v>9</v>
      </c>
      <c r="BO57">
        <v>12700.800000000001</v>
      </c>
      <c r="BP57">
        <v>8</v>
      </c>
      <c r="BQ57">
        <v>11289.6</v>
      </c>
      <c r="BR57">
        <v>7</v>
      </c>
      <c r="BS57">
        <v>9878.4</v>
      </c>
      <c r="BT57">
        <v>15</v>
      </c>
      <c r="BU57">
        <v>21168</v>
      </c>
      <c r="BV57">
        <v>15</v>
      </c>
      <c r="BW57">
        <v>21168</v>
      </c>
      <c r="BX57">
        <v>8</v>
      </c>
      <c r="BY57">
        <v>11289.6</v>
      </c>
      <c r="BZ57">
        <v>9</v>
      </c>
      <c r="CA57">
        <v>12700.800000000001</v>
      </c>
      <c r="CB57">
        <v>14</v>
      </c>
      <c r="CC57">
        <v>19756.8</v>
      </c>
      <c r="CD57">
        <v>13</v>
      </c>
      <c r="CE57">
        <v>18345.600000000002</v>
      </c>
      <c r="CF57">
        <v>13</v>
      </c>
      <c r="CG57">
        <v>18345.600000000002</v>
      </c>
      <c r="CH57">
        <v>11</v>
      </c>
      <c r="CI57">
        <v>15523.2</v>
      </c>
      <c r="CJ57">
        <v>12</v>
      </c>
      <c r="CK57">
        <v>16934.400000000001</v>
      </c>
      <c r="CL57">
        <v>9</v>
      </c>
      <c r="CM57">
        <v>12700.800000000001</v>
      </c>
      <c r="CN57">
        <v>15</v>
      </c>
      <c r="CO57">
        <v>21168</v>
      </c>
      <c r="CP57">
        <v>12</v>
      </c>
      <c r="CQ57">
        <v>16934.400000000001</v>
      </c>
      <c r="CR57">
        <v>12</v>
      </c>
      <c r="CS57">
        <v>16934.400000000001</v>
      </c>
      <c r="CT57">
        <v>9</v>
      </c>
      <c r="CU57">
        <v>12700.800000000001</v>
      </c>
    </row>
    <row r="58" spans="2:99" x14ac:dyDescent="0.2">
      <c r="C58" s="116" t="s">
        <v>224</v>
      </c>
      <c r="D58">
        <v>16.251542800202589</v>
      </c>
      <c r="E58">
        <v>19131.316184398489</v>
      </c>
      <c r="F58">
        <v>2.7127338041066125</v>
      </c>
      <c r="G58">
        <v>3193.4302341943044</v>
      </c>
      <c r="H58">
        <v>4.2840428535985522</v>
      </c>
      <c r="I58">
        <v>5043.1752472562157</v>
      </c>
      <c r="J58">
        <v>3.8123798987074404</v>
      </c>
      <c r="K58">
        <v>4487.9336167583988</v>
      </c>
      <c r="L58">
        <v>4.2409764408192645</v>
      </c>
      <c r="M58">
        <v>4992.4774661324382</v>
      </c>
      <c r="N58">
        <v>2.3145375481255921</v>
      </c>
      <c r="O58">
        <v>2724.6736016534469</v>
      </c>
      <c r="P58">
        <v>2.9114821580619137</v>
      </c>
      <c r="Q58">
        <v>3427.3967964704848</v>
      </c>
      <c r="R58">
        <v>3.0271624600753082</v>
      </c>
      <c r="S58">
        <v>3563.575648000653</v>
      </c>
      <c r="T58">
        <v>3.7531000987044743</v>
      </c>
      <c r="U58">
        <v>4418.1494361949071</v>
      </c>
      <c r="V58">
        <v>3.6236318593283028</v>
      </c>
      <c r="W58">
        <v>4265.7394248012779</v>
      </c>
      <c r="X58">
        <v>4.2262791314394494</v>
      </c>
      <c r="Y58">
        <v>4975.1757935305204</v>
      </c>
      <c r="Z58">
        <v>2.8855619850802703</v>
      </c>
      <c r="AA58">
        <v>3396.8835688364943</v>
      </c>
      <c r="AB58">
        <v>2.8392901422049173</v>
      </c>
      <c r="AC58">
        <v>3342.4123554036287</v>
      </c>
      <c r="AD58">
        <v>3.7538917212892264</v>
      </c>
      <c r="AE58">
        <v>4419.0813343016771</v>
      </c>
      <c r="AF58">
        <v>2.094212861627966</v>
      </c>
      <c r="AG58">
        <v>2465.3073807084415</v>
      </c>
      <c r="AH58">
        <v>2.4226412149322414</v>
      </c>
      <c r="AI58">
        <v>2851.9332382182347</v>
      </c>
      <c r="AJ58">
        <v>3.9854062409846391</v>
      </c>
      <c r="AK58">
        <v>4691.6202268871175</v>
      </c>
      <c r="AL58">
        <v>2.2110457242799928</v>
      </c>
      <c r="AM58">
        <v>2602.8430266224077</v>
      </c>
      <c r="AN58">
        <v>2.7426922775261691</v>
      </c>
      <c r="AO58">
        <v>3228.6973491038066</v>
      </c>
      <c r="AP58">
        <v>3.3260546630059511</v>
      </c>
      <c r="AQ58">
        <v>3915.4315492906057</v>
      </c>
      <c r="AR58">
        <v>3.0637412300727664</v>
      </c>
      <c r="AS58">
        <v>3606.6361760416607</v>
      </c>
      <c r="AT58">
        <v>3.1590683275688707</v>
      </c>
      <c r="AU58">
        <v>3718.8552352140746</v>
      </c>
      <c r="AV58">
        <v>2.1085278860126859</v>
      </c>
      <c r="AW58">
        <v>2482.159027414134</v>
      </c>
      <c r="AX58">
        <v>2.4400181168099158</v>
      </c>
      <c r="AY58">
        <v>2872.3893271086331</v>
      </c>
      <c r="AZ58">
        <v>1.8249336727578815</v>
      </c>
      <c r="BA58">
        <v>2148.3119195705781</v>
      </c>
      <c r="BB58">
        <v>1.9891778378248042</v>
      </c>
      <c r="BC58">
        <v>2341.6601506873594</v>
      </c>
      <c r="BD58">
        <v>2.3097511958577783</v>
      </c>
      <c r="BE58">
        <v>2719.0391077637769</v>
      </c>
      <c r="BF58">
        <v>2.4092925482374943</v>
      </c>
      <c r="BG58">
        <v>2836.2191877851783</v>
      </c>
      <c r="BH58">
        <v>2.1477679801763294</v>
      </c>
      <c r="BI58">
        <v>2528.352466263575</v>
      </c>
      <c r="BJ58">
        <v>2.8496950237701322</v>
      </c>
      <c r="BK58">
        <v>3354.6609819821997</v>
      </c>
      <c r="BL58">
        <v>3.6687979271355666</v>
      </c>
      <c r="BM58">
        <v>4318.908919823989</v>
      </c>
      <c r="BN58">
        <v>2.9339592674639445</v>
      </c>
      <c r="BO58">
        <v>3453.8568496585558</v>
      </c>
      <c r="BP58">
        <v>2.147016686954955</v>
      </c>
      <c r="BQ58">
        <v>2527.468043883373</v>
      </c>
      <c r="BR58">
        <v>2.5301480708201014</v>
      </c>
      <c r="BS58">
        <v>2978.4903089694235</v>
      </c>
      <c r="BT58">
        <v>3.6698803114093432</v>
      </c>
      <c r="BU58">
        <v>4320.1831025910788</v>
      </c>
      <c r="BV58">
        <v>2.9665825480377248</v>
      </c>
      <c r="BW58">
        <v>3492.2609755500098</v>
      </c>
      <c r="BX58">
        <v>2.9861908710279121</v>
      </c>
      <c r="BY58">
        <v>3515.3438933740581</v>
      </c>
      <c r="BZ58">
        <v>2.0908197929183965</v>
      </c>
      <c r="CA58">
        <v>2461.3130602235365</v>
      </c>
      <c r="CB58">
        <v>3.961608694058917</v>
      </c>
      <c r="CC58">
        <v>4663.605754646157</v>
      </c>
      <c r="CD58">
        <v>3.2570289473664813</v>
      </c>
      <c r="CE58">
        <v>3834.1744768398221</v>
      </c>
      <c r="CF58">
        <v>3.8890760178090193</v>
      </c>
      <c r="CG58">
        <v>4578.2202881647781</v>
      </c>
      <c r="CH58">
        <v>2.6223090086901282</v>
      </c>
      <c r="CI58">
        <v>3086.9821650300191</v>
      </c>
      <c r="CJ58">
        <v>3.3111100556586663</v>
      </c>
      <c r="CK58">
        <v>3897.8387575213824</v>
      </c>
      <c r="CL58">
        <v>2.7141694571476638</v>
      </c>
      <c r="CM58">
        <v>3195.1202849542301</v>
      </c>
      <c r="CN58">
        <v>2.9430607451060666</v>
      </c>
      <c r="CO58">
        <v>3464.5711091388616</v>
      </c>
      <c r="CP58">
        <v>3.1365788641939947</v>
      </c>
      <c r="CQ58">
        <v>3692.3806389291708</v>
      </c>
      <c r="CR58">
        <v>2.9228668983171593</v>
      </c>
      <c r="CS58">
        <v>3440.7989126989601</v>
      </c>
      <c r="CT58">
        <v>1.8807459586875164</v>
      </c>
      <c r="CU58">
        <v>2214.0141425669444</v>
      </c>
    </row>
    <row r="59" spans="2:99" x14ac:dyDescent="0.2">
      <c r="C59" s="116" t="s">
        <v>225</v>
      </c>
      <c r="D59">
        <v>17</v>
      </c>
      <c r="E59">
        <v>5161.2</v>
      </c>
      <c r="F59">
        <v>10</v>
      </c>
      <c r="G59">
        <v>3035.9999999999995</v>
      </c>
      <c r="H59">
        <v>18</v>
      </c>
      <c r="I59">
        <v>5464.7999999999993</v>
      </c>
      <c r="J59">
        <v>15</v>
      </c>
      <c r="K59">
        <v>4553.9999999999991</v>
      </c>
      <c r="L59">
        <v>17</v>
      </c>
      <c r="M59">
        <v>5161.2</v>
      </c>
      <c r="N59">
        <v>11</v>
      </c>
      <c r="O59">
        <v>3339.5999999999995</v>
      </c>
      <c r="P59">
        <v>18</v>
      </c>
      <c r="Q59">
        <v>5464.7999999999993</v>
      </c>
      <c r="R59">
        <v>12</v>
      </c>
      <c r="S59">
        <v>3643.2</v>
      </c>
      <c r="T59">
        <v>16</v>
      </c>
      <c r="U59">
        <v>4857.5999999999995</v>
      </c>
      <c r="V59">
        <v>15</v>
      </c>
      <c r="W59">
        <v>4553.9999999999991</v>
      </c>
      <c r="X59">
        <v>16</v>
      </c>
      <c r="Y59">
        <v>4857.5999999999995</v>
      </c>
      <c r="Z59">
        <v>12</v>
      </c>
      <c r="AA59">
        <v>3643.2</v>
      </c>
      <c r="AB59">
        <v>13</v>
      </c>
      <c r="AC59">
        <v>3946.7999999999997</v>
      </c>
      <c r="AD59">
        <v>19</v>
      </c>
      <c r="AE59">
        <v>5768.4</v>
      </c>
      <c r="AF59">
        <v>10</v>
      </c>
      <c r="AG59">
        <v>3035.9999999999995</v>
      </c>
      <c r="AH59">
        <v>11</v>
      </c>
      <c r="AI59">
        <v>3339.5999999999995</v>
      </c>
      <c r="AJ59">
        <v>15</v>
      </c>
      <c r="AK59">
        <v>4553.9999999999991</v>
      </c>
      <c r="AL59">
        <v>14</v>
      </c>
      <c r="AM59">
        <v>4250.3999999999996</v>
      </c>
      <c r="AN59">
        <v>14</v>
      </c>
      <c r="AO59">
        <v>4250.3999999999996</v>
      </c>
      <c r="AP59">
        <v>15</v>
      </c>
      <c r="AQ59">
        <v>4553.9999999999991</v>
      </c>
      <c r="AR59">
        <v>15</v>
      </c>
      <c r="AS59">
        <v>4553.9999999999991</v>
      </c>
      <c r="AT59">
        <v>14</v>
      </c>
      <c r="AU59">
        <v>4250.3999999999996</v>
      </c>
      <c r="AV59">
        <v>10</v>
      </c>
      <c r="AW59">
        <v>3035.9999999999995</v>
      </c>
      <c r="AX59">
        <v>10</v>
      </c>
      <c r="AY59">
        <v>3035.9999999999995</v>
      </c>
      <c r="AZ59">
        <v>9</v>
      </c>
      <c r="BA59">
        <v>2732.3999999999996</v>
      </c>
      <c r="BB59">
        <v>10</v>
      </c>
      <c r="BC59">
        <v>3035.9999999999995</v>
      </c>
      <c r="BD59">
        <v>10</v>
      </c>
      <c r="BE59">
        <v>3035.9999999999995</v>
      </c>
      <c r="BF59">
        <v>13</v>
      </c>
      <c r="BG59">
        <v>3946.7999999999997</v>
      </c>
      <c r="BH59">
        <v>14</v>
      </c>
      <c r="BI59">
        <v>4250.3999999999996</v>
      </c>
      <c r="BJ59">
        <v>16</v>
      </c>
      <c r="BK59">
        <v>4857.5999999999995</v>
      </c>
      <c r="BL59">
        <v>17</v>
      </c>
      <c r="BM59">
        <v>5161.2</v>
      </c>
      <c r="BN59">
        <v>10</v>
      </c>
      <c r="BO59">
        <v>3035.9999999999995</v>
      </c>
      <c r="BP59">
        <v>10</v>
      </c>
      <c r="BQ59">
        <v>3035.9999999999995</v>
      </c>
      <c r="BR59">
        <v>9</v>
      </c>
      <c r="BS59">
        <v>2732.3999999999996</v>
      </c>
      <c r="BT59">
        <v>16</v>
      </c>
      <c r="BU59">
        <v>4857.5999999999995</v>
      </c>
      <c r="BV59">
        <v>15</v>
      </c>
      <c r="BW59">
        <v>4553.9999999999991</v>
      </c>
      <c r="BX59">
        <v>8</v>
      </c>
      <c r="BY59">
        <v>2428.7999999999997</v>
      </c>
      <c r="BZ59">
        <v>11</v>
      </c>
      <c r="CA59">
        <v>3339.5999999999995</v>
      </c>
      <c r="CB59">
        <v>15</v>
      </c>
      <c r="CC59">
        <v>4553.9999999999991</v>
      </c>
      <c r="CD59">
        <v>17</v>
      </c>
      <c r="CE59">
        <v>5161.2</v>
      </c>
      <c r="CF59">
        <v>15</v>
      </c>
      <c r="CG59">
        <v>4553.9999999999991</v>
      </c>
      <c r="CH59">
        <v>12</v>
      </c>
      <c r="CI59">
        <v>3643.2</v>
      </c>
      <c r="CJ59">
        <v>15</v>
      </c>
      <c r="CK59">
        <v>4553.9999999999991</v>
      </c>
      <c r="CL59">
        <v>9</v>
      </c>
      <c r="CM59">
        <v>2732.3999999999996</v>
      </c>
      <c r="CN59">
        <v>14</v>
      </c>
      <c r="CO59">
        <v>4250.3999999999996</v>
      </c>
      <c r="CP59">
        <v>15</v>
      </c>
      <c r="CQ59">
        <v>4553.9999999999991</v>
      </c>
      <c r="CR59">
        <v>13</v>
      </c>
      <c r="CS59">
        <v>3946.7999999999997</v>
      </c>
      <c r="CT59">
        <v>10</v>
      </c>
      <c r="CU59">
        <v>3035.9999999999995</v>
      </c>
    </row>
    <row r="60" spans="2:99" x14ac:dyDescent="0.2">
      <c r="C60" s="116" t="s">
        <v>226</v>
      </c>
      <c r="D60">
        <v>16</v>
      </c>
      <c r="E60">
        <v>10425.6</v>
      </c>
      <c r="F60">
        <v>11</v>
      </c>
      <c r="G60">
        <v>7167.6</v>
      </c>
      <c r="H60">
        <v>15</v>
      </c>
      <c r="I60">
        <v>9774</v>
      </c>
      <c r="J60">
        <v>16</v>
      </c>
      <c r="K60">
        <v>10425.6</v>
      </c>
      <c r="L60">
        <v>15</v>
      </c>
      <c r="M60">
        <v>9774</v>
      </c>
      <c r="N60">
        <v>10</v>
      </c>
      <c r="O60">
        <v>6516</v>
      </c>
      <c r="P60">
        <v>17</v>
      </c>
      <c r="Q60">
        <v>11077.2</v>
      </c>
      <c r="R60">
        <v>12</v>
      </c>
      <c r="S60">
        <v>7819.2000000000007</v>
      </c>
      <c r="T60">
        <v>17</v>
      </c>
      <c r="U60">
        <v>11077.2</v>
      </c>
      <c r="V60">
        <v>17</v>
      </c>
      <c r="W60">
        <v>11077.2</v>
      </c>
      <c r="X60">
        <v>14</v>
      </c>
      <c r="Y60">
        <v>9122.4</v>
      </c>
      <c r="Z60">
        <v>11</v>
      </c>
      <c r="AA60">
        <v>7167.6</v>
      </c>
      <c r="AB60">
        <v>11</v>
      </c>
      <c r="AC60">
        <v>7167.6</v>
      </c>
      <c r="AD60">
        <v>15</v>
      </c>
      <c r="AE60">
        <v>9774</v>
      </c>
      <c r="AF60">
        <v>8</v>
      </c>
      <c r="AG60">
        <v>5212.8</v>
      </c>
      <c r="AH60">
        <v>11</v>
      </c>
      <c r="AI60">
        <v>7167.6</v>
      </c>
      <c r="AJ60">
        <v>15</v>
      </c>
      <c r="AK60">
        <v>9774</v>
      </c>
      <c r="AL60">
        <v>12</v>
      </c>
      <c r="AM60">
        <v>7819.2000000000007</v>
      </c>
      <c r="AN60">
        <v>12</v>
      </c>
      <c r="AO60">
        <v>7819.2000000000007</v>
      </c>
      <c r="AP60">
        <v>15</v>
      </c>
      <c r="AQ60">
        <v>9774</v>
      </c>
      <c r="AR60">
        <v>14</v>
      </c>
      <c r="AS60">
        <v>9122.4</v>
      </c>
      <c r="AT60">
        <v>14</v>
      </c>
      <c r="AU60">
        <v>9122.4</v>
      </c>
      <c r="AV60">
        <v>9</v>
      </c>
      <c r="AW60">
        <v>5864.4000000000005</v>
      </c>
      <c r="AX60">
        <v>9</v>
      </c>
      <c r="AY60">
        <v>5864.4000000000005</v>
      </c>
      <c r="AZ60">
        <v>9</v>
      </c>
      <c r="BA60">
        <v>5864.4000000000005</v>
      </c>
      <c r="BB60">
        <v>10</v>
      </c>
      <c r="BC60">
        <v>6516</v>
      </c>
      <c r="BD60">
        <v>9</v>
      </c>
      <c r="BE60">
        <v>5864.4000000000005</v>
      </c>
      <c r="BF60">
        <v>11</v>
      </c>
      <c r="BG60">
        <v>7167.6</v>
      </c>
      <c r="BH60">
        <v>12</v>
      </c>
      <c r="BI60">
        <v>7819.2000000000007</v>
      </c>
      <c r="BJ60">
        <v>15</v>
      </c>
      <c r="BK60">
        <v>9774</v>
      </c>
      <c r="BL60">
        <v>15</v>
      </c>
      <c r="BM60">
        <v>9774</v>
      </c>
      <c r="BN60">
        <v>10</v>
      </c>
      <c r="BO60">
        <v>6516</v>
      </c>
      <c r="BP60">
        <v>10</v>
      </c>
      <c r="BQ60">
        <v>6516</v>
      </c>
      <c r="BR60">
        <v>8</v>
      </c>
      <c r="BS60">
        <v>5212.8</v>
      </c>
      <c r="BT60">
        <v>16</v>
      </c>
      <c r="BU60">
        <v>10425.6</v>
      </c>
      <c r="BV60">
        <v>17</v>
      </c>
      <c r="BW60">
        <v>11077.2</v>
      </c>
      <c r="BX60">
        <v>9</v>
      </c>
      <c r="BY60">
        <v>5864.4000000000005</v>
      </c>
      <c r="BZ60">
        <v>12</v>
      </c>
      <c r="CA60">
        <v>7819.2000000000007</v>
      </c>
      <c r="CB60">
        <v>15</v>
      </c>
      <c r="CC60">
        <v>9774</v>
      </c>
      <c r="CD60">
        <v>17</v>
      </c>
      <c r="CE60">
        <v>11077.2</v>
      </c>
      <c r="CF60">
        <v>16</v>
      </c>
      <c r="CG60">
        <v>10425.6</v>
      </c>
      <c r="CH60">
        <v>13</v>
      </c>
      <c r="CI60">
        <v>8470.8000000000011</v>
      </c>
      <c r="CJ60">
        <v>13</v>
      </c>
      <c r="CK60">
        <v>8470.8000000000011</v>
      </c>
      <c r="CL60">
        <v>9</v>
      </c>
      <c r="CM60">
        <v>5864.4000000000005</v>
      </c>
      <c r="CN60">
        <v>15</v>
      </c>
      <c r="CO60">
        <v>9774</v>
      </c>
      <c r="CP60">
        <v>13</v>
      </c>
      <c r="CQ60">
        <v>8470.8000000000011</v>
      </c>
      <c r="CR60">
        <v>13</v>
      </c>
      <c r="CS60">
        <v>8470.8000000000011</v>
      </c>
      <c r="CT60">
        <v>10</v>
      </c>
      <c r="CU60">
        <v>6516</v>
      </c>
    </row>
    <row r="61" spans="2:99" x14ac:dyDescent="0.2">
      <c r="C61" s="116" t="s">
        <v>227</v>
      </c>
      <c r="D61">
        <v>14</v>
      </c>
      <c r="E61">
        <v>13322.399999999998</v>
      </c>
      <c r="F61">
        <v>10</v>
      </c>
      <c r="G61">
        <v>9516</v>
      </c>
      <c r="H61">
        <v>15</v>
      </c>
      <c r="I61">
        <v>14273.999999999998</v>
      </c>
      <c r="J61">
        <v>15</v>
      </c>
      <c r="K61">
        <v>14273.999999999998</v>
      </c>
      <c r="L61">
        <v>15</v>
      </c>
      <c r="M61">
        <v>14273.999999999998</v>
      </c>
      <c r="N61">
        <v>10</v>
      </c>
      <c r="O61">
        <v>9516</v>
      </c>
      <c r="P61">
        <v>15</v>
      </c>
      <c r="Q61">
        <v>14273.999999999998</v>
      </c>
      <c r="R61">
        <v>11</v>
      </c>
      <c r="S61">
        <v>10467.599999999999</v>
      </c>
      <c r="T61">
        <v>17</v>
      </c>
      <c r="U61">
        <v>16177.199999999999</v>
      </c>
      <c r="V61">
        <v>14</v>
      </c>
      <c r="W61">
        <v>13322.399999999998</v>
      </c>
      <c r="X61">
        <v>14</v>
      </c>
      <c r="Y61">
        <v>13322.399999999998</v>
      </c>
      <c r="Z61">
        <v>11</v>
      </c>
      <c r="AA61">
        <v>10467.599999999999</v>
      </c>
      <c r="AB61">
        <v>11</v>
      </c>
      <c r="AC61">
        <v>10467.599999999999</v>
      </c>
      <c r="AD61">
        <v>17</v>
      </c>
      <c r="AE61">
        <v>16177.199999999999</v>
      </c>
      <c r="AF61">
        <v>10</v>
      </c>
      <c r="AG61">
        <v>9516</v>
      </c>
      <c r="AH61">
        <v>9</v>
      </c>
      <c r="AI61">
        <v>8564.4</v>
      </c>
      <c r="AJ61">
        <v>14</v>
      </c>
      <c r="AK61">
        <v>13322.399999999998</v>
      </c>
      <c r="AL61">
        <v>11</v>
      </c>
      <c r="AM61">
        <v>10467.599999999999</v>
      </c>
      <c r="AN61">
        <v>12</v>
      </c>
      <c r="AO61">
        <v>11419.199999999999</v>
      </c>
      <c r="AP61">
        <v>15</v>
      </c>
      <c r="AQ61">
        <v>14273.999999999998</v>
      </c>
      <c r="AR61">
        <v>15</v>
      </c>
      <c r="AS61">
        <v>14273.999999999998</v>
      </c>
      <c r="AT61">
        <v>15</v>
      </c>
      <c r="AU61">
        <v>14273.999999999998</v>
      </c>
      <c r="AV61">
        <v>11</v>
      </c>
      <c r="AW61">
        <v>10467.599999999999</v>
      </c>
      <c r="AX61">
        <v>9</v>
      </c>
      <c r="AY61">
        <v>8564.4</v>
      </c>
      <c r="AZ61">
        <v>9</v>
      </c>
      <c r="BA61">
        <v>8564.4</v>
      </c>
      <c r="BB61">
        <v>11</v>
      </c>
      <c r="BC61">
        <v>10467.599999999999</v>
      </c>
      <c r="BD61">
        <v>9</v>
      </c>
      <c r="BE61">
        <v>8564.4</v>
      </c>
      <c r="BF61">
        <v>12</v>
      </c>
      <c r="BG61">
        <v>11419.199999999999</v>
      </c>
      <c r="BH61">
        <v>13</v>
      </c>
      <c r="BI61">
        <v>12370.8</v>
      </c>
      <c r="BJ61">
        <v>14</v>
      </c>
      <c r="BK61">
        <v>13322.399999999998</v>
      </c>
      <c r="BL61">
        <v>16</v>
      </c>
      <c r="BM61">
        <v>15225.599999999999</v>
      </c>
      <c r="BN61">
        <v>11</v>
      </c>
      <c r="BO61">
        <v>10467.599999999999</v>
      </c>
      <c r="BP61">
        <v>8</v>
      </c>
      <c r="BQ61">
        <v>7612.7999999999993</v>
      </c>
      <c r="BR61">
        <v>8</v>
      </c>
      <c r="BS61">
        <v>7612.7999999999993</v>
      </c>
      <c r="BT61">
        <v>13</v>
      </c>
      <c r="BU61">
        <v>12370.8</v>
      </c>
      <c r="BV61">
        <v>14</v>
      </c>
      <c r="BW61">
        <v>13322.399999999998</v>
      </c>
      <c r="BX61">
        <v>9</v>
      </c>
      <c r="BY61">
        <v>8564.4</v>
      </c>
      <c r="BZ61">
        <v>10</v>
      </c>
      <c r="CA61">
        <v>9516</v>
      </c>
      <c r="CB61">
        <v>16</v>
      </c>
      <c r="CC61">
        <v>15225.599999999999</v>
      </c>
      <c r="CD61">
        <v>16</v>
      </c>
      <c r="CE61">
        <v>15225.599999999999</v>
      </c>
      <c r="CF61">
        <v>15</v>
      </c>
      <c r="CG61">
        <v>14273.999999999998</v>
      </c>
      <c r="CH61">
        <v>12</v>
      </c>
      <c r="CI61">
        <v>11419.199999999999</v>
      </c>
      <c r="CJ61">
        <v>14</v>
      </c>
      <c r="CK61">
        <v>13322.399999999998</v>
      </c>
      <c r="CL61">
        <v>9</v>
      </c>
      <c r="CM61">
        <v>8564.4</v>
      </c>
      <c r="CN61">
        <v>13</v>
      </c>
      <c r="CO61">
        <v>12370.8</v>
      </c>
      <c r="CP61">
        <v>13</v>
      </c>
      <c r="CQ61">
        <v>12370.8</v>
      </c>
      <c r="CR61">
        <v>12</v>
      </c>
      <c r="CS61">
        <v>11419.199999999999</v>
      </c>
      <c r="CT61">
        <v>9</v>
      </c>
      <c r="CU61">
        <v>8564.4</v>
      </c>
    </row>
    <row r="62" spans="2:99" x14ac:dyDescent="0.2">
      <c r="C62" s="116" t="s">
        <v>228</v>
      </c>
      <c r="D62">
        <v>14</v>
      </c>
      <c r="E62">
        <v>23872.799999999999</v>
      </c>
      <c r="F62">
        <v>9</v>
      </c>
      <c r="G62">
        <v>15346.800000000001</v>
      </c>
      <c r="H62">
        <v>13</v>
      </c>
      <c r="I62">
        <v>22167.600000000002</v>
      </c>
      <c r="J62">
        <v>13</v>
      </c>
      <c r="K62">
        <v>22167.600000000002</v>
      </c>
      <c r="L62">
        <v>15</v>
      </c>
      <c r="M62">
        <v>25578</v>
      </c>
      <c r="N62">
        <v>10</v>
      </c>
      <c r="O62">
        <v>17052</v>
      </c>
      <c r="P62">
        <v>14</v>
      </c>
      <c r="Q62">
        <v>23872.799999999999</v>
      </c>
      <c r="R62">
        <v>9</v>
      </c>
      <c r="S62">
        <v>15346.800000000001</v>
      </c>
      <c r="T62">
        <v>13</v>
      </c>
      <c r="U62">
        <v>22167.600000000002</v>
      </c>
      <c r="V62">
        <v>14</v>
      </c>
      <c r="W62">
        <v>23872.799999999999</v>
      </c>
      <c r="X62">
        <v>13</v>
      </c>
      <c r="Y62">
        <v>22167.600000000002</v>
      </c>
      <c r="Z62">
        <v>12</v>
      </c>
      <c r="AA62">
        <v>20462.400000000001</v>
      </c>
      <c r="AB62">
        <v>11</v>
      </c>
      <c r="AC62">
        <v>18757.2</v>
      </c>
      <c r="AD62">
        <v>16</v>
      </c>
      <c r="AE62">
        <v>27283.200000000001</v>
      </c>
      <c r="AF62">
        <v>7</v>
      </c>
      <c r="AG62">
        <v>11936.4</v>
      </c>
      <c r="AH62">
        <v>9</v>
      </c>
      <c r="AI62">
        <v>15346.800000000001</v>
      </c>
      <c r="AJ62">
        <v>15</v>
      </c>
      <c r="AK62">
        <v>25578</v>
      </c>
      <c r="AL62">
        <v>11</v>
      </c>
      <c r="AM62">
        <v>18757.2</v>
      </c>
      <c r="AN62">
        <v>10</v>
      </c>
      <c r="AO62">
        <v>17052</v>
      </c>
      <c r="AP62">
        <v>13</v>
      </c>
      <c r="AQ62">
        <v>22167.600000000002</v>
      </c>
      <c r="AR62">
        <v>14</v>
      </c>
      <c r="AS62">
        <v>23872.799999999999</v>
      </c>
      <c r="AT62">
        <v>12</v>
      </c>
      <c r="AU62">
        <v>20462.400000000001</v>
      </c>
      <c r="AV62">
        <v>9</v>
      </c>
      <c r="AW62">
        <v>15346.800000000001</v>
      </c>
      <c r="AX62">
        <v>9</v>
      </c>
      <c r="AY62">
        <v>15346.800000000001</v>
      </c>
      <c r="AZ62">
        <v>8</v>
      </c>
      <c r="BA62">
        <v>13641.6</v>
      </c>
      <c r="BB62">
        <v>10</v>
      </c>
      <c r="BC62">
        <v>17052</v>
      </c>
      <c r="BD62">
        <v>8</v>
      </c>
      <c r="BE62">
        <v>13641.6</v>
      </c>
      <c r="BF62">
        <v>11</v>
      </c>
      <c r="BG62">
        <v>18757.2</v>
      </c>
      <c r="BH62">
        <v>12</v>
      </c>
      <c r="BI62">
        <v>20462.400000000001</v>
      </c>
      <c r="BJ62">
        <v>13</v>
      </c>
      <c r="BK62">
        <v>22167.600000000002</v>
      </c>
      <c r="BL62">
        <v>14</v>
      </c>
      <c r="BM62">
        <v>23872.799999999999</v>
      </c>
      <c r="BN62">
        <v>10</v>
      </c>
      <c r="BO62">
        <v>17052</v>
      </c>
      <c r="BP62">
        <v>9</v>
      </c>
      <c r="BQ62">
        <v>15346.800000000001</v>
      </c>
      <c r="BR62">
        <v>8</v>
      </c>
      <c r="BS62">
        <v>13641.6</v>
      </c>
      <c r="BT62">
        <v>14</v>
      </c>
      <c r="BU62">
        <v>23872.799999999999</v>
      </c>
      <c r="BV62">
        <v>15</v>
      </c>
      <c r="BW62">
        <v>25578</v>
      </c>
      <c r="BX62">
        <v>8</v>
      </c>
      <c r="BY62">
        <v>13641.6</v>
      </c>
      <c r="BZ62">
        <v>9</v>
      </c>
      <c r="CA62">
        <v>15346.800000000001</v>
      </c>
      <c r="CB62">
        <v>14</v>
      </c>
      <c r="CC62">
        <v>23872.799999999999</v>
      </c>
      <c r="CD62">
        <v>13</v>
      </c>
      <c r="CE62">
        <v>22167.600000000002</v>
      </c>
      <c r="CF62">
        <v>13</v>
      </c>
      <c r="CG62">
        <v>22167.600000000002</v>
      </c>
      <c r="CH62">
        <v>11</v>
      </c>
      <c r="CI62">
        <v>18757.2</v>
      </c>
      <c r="CJ62">
        <v>12</v>
      </c>
      <c r="CK62">
        <v>20462.400000000001</v>
      </c>
      <c r="CL62">
        <v>9</v>
      </c>
      <c r="CM62">
        <v>15346.800000000001</v>
      </c>
      <c r="CN62">
        <v>14</v>
      </c>
      <c r="CO62">
        <v>23872.799999999999</v>
      </c>
      <c r="CP62">
        <v>13</v>
      </c>
      <c r="CQ62">
        <v>22167.600000000002</v>
      </c>
      <c r="CR62">
        <v>11</v>
      </c>
      <c r="CS62">
        <v>18757.2</v>
      </c>
      <c r="CT62">
        <v>9</v>
      </c>
      <c r="CU62">
        <v>15346.800000000001</v>
      </c>
    </row>
    <row r="63" spans="2:99" x14ac:dyDescent="0.2">
      <c r="C63" s="116" t="s">
        <v>229</v>
      </c>
      <c r="D63">
        <v>17</v>
      </c>
      <c r="E63">
        <v>13525.2</v>
      </c>
      <c r="F63">
        <v>9</v>
      </c>
      <c r="G63">
        <v>7160.4000000000005</v>
      </c>
      <c r="H63">
        <v>17</v>
      </c>
      <c r="I63">
        <v>13525.2</v>
      </c>
      <c r="J63">
        <v>14</v>
      </c>
      <c r="K63">
        <v>11138.4</v>
      </c>
      <c r="L63">
        <v>15</v>
      </c>
      <c r="M63">
        <v>11934</v>
      </c>
      <c r="N63">
        <v>10</v>
      </c>
      <c r="O63">
        <v>7956</v>
      </c>
      <c r="P63">
        <v>17</v>
      </c>
      <c r="Q63">
        <v>13525.2</v>
      </c>
      <c r="R63">
        <v>11</v>
      </c>
      <c r="S63">
        <v>8751.6</v>
      </c>
      <c r="T63">
        <v>17</v>
      </c>
      <c r="U63">
        <v>13525.2</v>
      </c>
      <c r="V63">
        <v>16</v>
      </c>
      <c r="W63">
        <v>12729.6</v>
      </c>
      <c r="X63">
        <v>15</v>
      </c>
      <c r="Y63">
        <v>11934</v>
      </c>
      <c r="Z63">
        <v>13</v>
      </c>
      <c r="AA63">
        <v>10342.800000000001</v>
      </c>
      <c r="AB63">
        <v>11</v>
      </c>
      <c r="AC63">
        <v>8751.6</v>
      </c>
      <c r="AD63">
        <v>15</v>
      </c>
      <c r="AE63">
        <v>11934</v>
      </c>
      <c r="AF63">
        <v>10</v>
      </c>
      <c r="AG63">
        <v>7956</v>
      </c>
      <c r="AH63">
        <v>11</v>
      </c>
      <c r="AI63">
        <v>8751.6</v>
      </c>
      <c r="AJ63">
        <v>15</v>
      </c>
      <c r="AK63">
        <v>11934</v>
      </c>
      <c r="AL63">
        <v>12</v>
      </c>
      <c r="AM63">
        <v>9547.2000000000007</v>
      </c>
      <c r="AN63">
        <v>13</v>
      </c>
      <c r="AO63">
        <v>10342.800000000001</v>
      </c>
      <c r="AP63">
        <v>14</v>
      </c>
      <c r="AQ63">
        <v>11138.4</v>
      </c>
      <c r="AR63">
        <v>15</v>
      </c>
      <c r="AS63">
        <v>11934</v>
      </c>
      <c r="AT63">
        <v>16</v>
      </c>
      <c r="AU63">
        <v>12729.6</v>
      </c>
      <c r="AV63">
        <v>10</v>
      </c>
      <c r="AW63">
        <v>7956</v>
      </c>
      <c r="AX63">
        <v>10</v>
      </c>
      <c r="AY63">
        <v>7956</v>
      </c>
      <c r="AZ63">
        <v>9</v>
      </c>
      <c r="BA63">
        <v>7160.4000000000005</v>
      </c>
      <c r="BB63">
        <v>10</v>
      </c>
      <c r="BC63">
        <v>7956</v>
      </c>
      <c r="BD63">
        <v>9</v>
      </c>
      <c r="BE63">
        <v>7160.4000000000005</v>
      </c>
      <c r="BF63">
        <v>11</v>
      </c>
      <c r="BG63">
        <v>8751.6</v>
      </c>
      <c r="BH63">
        <v>14</v>
      </c>
      <c r="BI63">
        <v>11138.4</v>
      </c>
      <c r="BJ63">
        <v>14</v>
      </c>
      <c r="BK63">
        <v>11138.4</v>
      </c>
      <c r="BL63">
        <v>16</v>
      </c>
      <c r="BM63">
        <v>12729.6</v>
      </c>
      <c r="BN63">
        <v>10</v>
      </c>
      <c r="BO63">
        <v>7956</v>
      </c>
      <c r="BP63">
        <v>8</v>
      </c>
      <c r="BQ63">
        <v>6364.8</v>
      </c>
      <c r="BR63">
        <v>9</v>
      </c>
      <c r="BS63">
        <v>7160.4000000000005</v>
      </c>
      <c r="BT63">
        <v>15</v>
      </c>
      <c r="BU63">
        <v>11934</v>
      </c>
      <c r="BV63">
        <v>15</v>
      </c>
      <c r="BW63">
        <v>11934</v>
      </c>
      <c r="BX63">
        <v>8</v>
      </c>
      <c r="BY63">
        <v>6364.8</v>
      </c>
      <c r="BZ63">
        <v>10</v>
      </c>
      <c r="CA63">
        <v>7956</v>
      </c>
      <c r="CB63">
        <v>16</v>
      </c>
      <c r="CC63">
        <v>12729.6</v>
      </c>
      <c r="CD63">
        <v>16</v>
      </c>
      <c r="CE63">
        <v>12729.6</v>
      </c>
      <c r="CF63">
        <v>14</v>
      </c>
      <c r="CG63">
        <v>11138.4</v>
      </c>
      <c r="CH63">
        <v>13</v>
      </c>
      <c r="CI63">
        <v>10342.800000000001</v>
      </c>
      <c r="CJ63">
        <v>13</v>
      </c>
      <c r="CK63">
        <v>10342.800000000001</v>
      </c>
      <c r="CL63">
        <v>10</v>
      </c>
      <c r="CM63">
        <v>7956</v>
      </c>
      <c r="CN63">
        <v>16</v>
      </c>
      <c r="CO63">
        <v>12729.6</v>
      </c>
      <c r="CP63">
        <v>15</v>
      </c>
      <c r="CQ63">
        <v>11934</v>
      </c>
      <c r="CR63">
        <v>14</v>
      </c>
      <c r="CS63">
        <v>11138.4</v>
      </c>
      <c r="CT63">
        <v>10</v>
      </c>
      <c r="CU63">
        <v>7956</v>
      </c>
    </row>
    <row r="64" spans="2:99" x14ac:dyDescent="0.2">
      <c r="C64" s="116" t="s">
        <v>230</v>
      </c>
      <c r="D64">
        <v>15</v>
      </c>
      <c r="E64">
        <v>15137.999999999996</v>
      </c>
      <c r="F64">
        <v>10</v>
      </c>
      <c r="G64">
        <v>10091.999999999998</v>
      </c>
      <c r="H64">
        <v>14</v>
      </c>
      <c r="I64">
        <v>14128.799999999997</v>
      </c>
      <c r="J64">
        <v>15</v>
      </c>
      <c r="K64">
        <v>15137.999999999996</v>
      </c>
      <c r="L64">
        <v>17</v>
      </c>
      <c r="M64">
        <v>17156.399999999998</v>
      </c>
      <c r="N64">
        <v>10</v>
      </c>
      <c r="O64">
        <v>10091.999999999998</v>
      </c>
      <c r="P64">
        <v>16</v>
      </c>
      <c r="Q64">
        <v>16147.199999999997</v>
      </c>
      <c r="R64">
        <v>11</v>
      </c>
      <c r="S64">
        <v>11101.199999999997</v>
      </c>
      <c r="T64">
        <v>16</v>
      </c>
      <c r="U64">
        <v>16147.199999999997</v>
      </c>
      <c r="V64">
        <v>15</v>
      </c>
      <c r="W64">
        <v>15137.999999999996</v>
      </c>
      <c r="X64">
        <v>14</v>
      </c>
      <c r="Y64">
        <v>14128.799999999997</v>
      </c>
      <c r="Z64">
        <v>12</v>
      </c>
      <c r="AA64">
        <v>12110.399999999998</v>
      </c>
      <c r="AB64">
        <v>10</v>
      </c>
      <c r="AC64">
        <v>10091.999999999998</v>
      </c>
      <c r="AD64">
        <v>14</v>
      </c>
      <c r="AE64">
        <v>14128.799999999997</v>
      </c>
      <c r="AF64">
        <v>8</v>
      </c>
      <c r="AG64">
        <v>8073.5999999999985</v>
      </c>
      <c r="AH64">
        <v>10</v>
      </c>
      <c r="AI64">
        <v>10091.999999999998</v>
      </c>
      <c r="AJ64">
        <v>14</v>
      </c>
      <c r="AK64">
        <v>14128.799999999997</v>
      </c>
      <c r="AL64">
        <v>12</v>
      </c>
      <c r="AM64">
        <v>12110.399999999998</v>
      </c>
      <c r="AN64">
        <v>11</v>
      </c>
      <c r="AO64">
        <v>11101.199999999997</v>
      </c>
      <c r="AP64">
        <v>14</v>
      </c>
      <c r="AQ64">
        <v>14128.799999999997</v>
      </c>
      <c r="AR64">
        <v>14</v>
      </c>
      <c r="AS64">
        <v>14128.799999999997</v>
      </c>
      <c r="AT64">
        <v>13</v>
      </c>
      <c r="AU64">
        <v>13119.599999999999</v>
      </c>
      <c r="AV64">
        <v>10</v>
      </c>
      <c r="AW64">
        <v>10091.999999999998</v>
      </c>
      <c r="AX64">
        <v>8</v>
      </c>
      <c r="AY64">
        <v>8073.5999999999985</v>
      </c>
      <c r="AZ64">
        <v>9</v>
      </c>
      <c r="BA64">
        <v>9082.7999999999993</v>
      </c>
      <c r="BB64">
        <v>10</v>
      </c>
      <c r="BC64">
        <v>10091.999999999998</v>
      </c>
      <c r="BD64">
        <v>8</v>
      </c>
      <c r="BE64">
        <v>8073.5999999999985</v>
      </c>
      <c r="BF64">
        <v>12</v>
      </c>
      <c r="BG64">
        <v>12110.399999999998</v>
      </c>
      <c r="BH64">
        <v>14</v>
      </c>
      <c r="BI64">
        <v>14128.799999999997</v>
      </c>
      <c r="BJ64">
        <v>16</v>
      </c>
      <c r="BK64">
        <v>16147.199999999997</v>
      </c>
      <c r="BL64">
        <v>15</v>
      </c>
      <c r="BM64">
        <v>15137.999999999996</v>
      </c>
      <c r="BN64">
        <v>10</v>
      </c>
      <c r="BO64">
        <v>10091.999999999998</v>
      </c>
      <c r="BP64">
        <v>9</v>
      </c>
      <c r="BQ64">
        <v>9082.7999999999993</v>
      </c>
      <c r="BR64">
        <v>8</v>
      </c>
      <c r="BS64">
        <v>8073.5999999999985</v>
      </c>
      <c r="BT64">
        <v>13</v>
      </c>
      <c r="BU64">
        <v>13119.599999999999</v>
      </c>
      <c r="BV64">
        <v>15</v>
      </c>
      <c r="BW64">
        <v>15137.999999999996</v>
      </c>
      <c r="BX64">
        <v>9</v>
      </c>
      <c r="BY64">
        <v>9082.7999999999993</v>
      </c>
      <c r="BZ64">
        <v>12</v>
      </c>
      <c r="CA64">
        <v>12110.399999999998</v>
      </c>
      <c r="CB64">
        <v>15</v>
      </c>
      <c r="CC64">
        <v>15137.999999999996</v>
      </c>
      <c r="CD64">
        <v>14</v>
      </c>
      <c r="CE64">
        <v>14128.799999999997</v>
      </c>
      <c r="CF64">
        <v>15</v>
      </c>
      <c r="CG64">
        <v>15137.999999999996</v>
      </c>
      <c r="CH64">
        <v>11</v>
      </c>
      <c r="CI64">
        <v>11101.199999999997</v>
      </c>
      <c r="CJ64">
        <v>13</v>
      </c>
      <c r="CK64">
        <v>13119.599999999999</v>
      </c>
      <c r="CL64">
        <v>9</v>
      </c>
      <c r="CM64">
        <v>9082.7999999999993</v>
      </c>
      <c r="CN64">
        <v>14</v>
      </c>
      <c r="CO64">
        <v>14128.799999999997</v>
      </c>
      <c r="CP64">
        <v>14</v>
      </c>
      <c r="CQ64">
        <v>14128.799999999997</v>
      </c>
      <c r="CR64">
        <v>13</v>
      </c>
      <c r="CS64">
        <v>13119.599999999999</v>
      </c>
      <c r="CT64">
        <v>9</v>
      </c>
      <c r="CU64">
        <v>9082.7999999999993</v>
      </c>
    </row>
    <row r="65" spans="2:99" x14ac:dyDescent="0.2">
      <c r="C65" s="116" t="s">
        <v>231</v>
      </c>
      <c r="D65">
        <v>17</v>
      </c>
      <c r="E65">
        <v>17442</v>
      </c>
      <c r="F65">
        <v>9</v>
      </c>
      <c r="G65">
        <v>9234</v>
      </c>
      <c r="H65">
        <v>15</v>
      </c>
      <c r="I65">
        <v>15390</v>
      </c>
      <c r="J65">
        <v>15</v>
      </c>
      <c r="K65">
        <v>15390</v>
      </c>
      <c r="L65">
        <v>15</v>
      </c>
      <c r="M65">
        <v>15390</v>
      </c>
      <c r="N65">
        <v>10</v>
      </c>
      <c r="O65">
        <v>10260</v>
      </c>
      <c r="P65">
        <v>16</v>
      </c>
      <c r="Q65">
        <v>16416</v>
      </c>
      <c r="R65">
        <v>11</v>
      </c>
      <c r="S65">
        <v>11286</v>
      </c>
      <c r="T65">
        <v>16</v>
      </c>
      <c r="U65">
        <v>16416</v>
      </c>
      <c r="V65">
        <v>16</v>
      </c>
      <c r="W65">
        <v>16416</v>
      </c>
      <c r="X65">
        <v>14</v>
      </c>
      <c r="Y65">
        <v>14364</v>
      </c>
      <c r="Z65">
        <v>12</v>
      </c>
      <c r="AA65">
        <v>12312</v>
      </c>
      <c r="AB65">
        <v>11</v>
      </c>
      <c r="AC65">
        <v>11286</v>
      </c>
      <c r="AD65">
        <v>15</v>
      </c>
      <c r="AE65">
        <v>15390</v>
      </c>
      <c r="AF65">
        <v>10</v>
      </c>
      <c r="AG65">
        <v>10260</v>
      </c>
      <c r="AH65">
        <v>9</v>
      </c>
      <c r="AI65">
        <v>9234</v>
      </c>
      <c r="AJ65">
        <v>14</v>
      </c>
      <c r="AK65">
        <v>14364</v>
      </c>
      <c r="AL65">
        <v>12</v>
      </c>
      <c r="AM65">
        <v>12312</v>
      </c>
      <c r="AN65">
        <v>13</v>
      </c>
      <c r="AO65">
        <v>13338</v>
      </c>
      <c r="AP65">
        <v>13</v>
      </c>
      <c r="AQ65">
        <v>13338</v>
      </c>
      <c r="AR65">
        <v>13</v>
      </c>
      <c r="AS65">
        <v>13338</v>
      </c>
      <c r="AT65">
        <v>14</v>
      </c>
      <c r="AU65">
        <v>14364</v>
      </c>
      <c r="AV65">
        <v>10</v>
      </c>
      <c r="AW65">
        <v>10260</v>
      </c>
      <c r="AX65">
        <v>8</v>
      </c>
      <c r="AY65">
        <v>8208</v>
      </c>
      <c r="AZ65">
        <v>8</v>
      </c>
      <c r="BA65">
        <v>8208</v>
      </c>
      <c r="BB65">
        <v>10</v>
      </c>
      <c r="BC65">
        <v>10260</v>
      </c>
      <c r="BD65">
        <v>8</v>
      </c>
      <c r="BE65">
        <v>8208</v>
      </c>
      <c r="BF65">
        <v>11</v>
      </c>
      <c r="BG65">
        <v>11286</v>
      </c>
      <c r="BH65">
        <v>14</v>
      </c>
      <c r="BI65">
        <v>14364</v>
      </c>
      <c r="BJ65">
        <v>15</v>
      </c>
      <c r="BK65">
        <v>15390</v>
      </c>
      <c r="BL65">
        <v>17</v>
      </c>
      <c r="BM65">
        <v>17442</v>
      </c>
      <c r="BN65">
        <v>11</v>
      </c>
      <c r="BO65">
        <v>11286</v>
      </c>
      <c r="BP65">
        <v>9</v>
      </c>
      <c r="BQ65">
        <v>9234</v>
      </c>
      <c r="BR65">
        <v>9</v>
      </c>
      <c r="BS65">
        <v>9234</v>
      </c>
      <c r="BT65">
        <v>13</v>
      </c>
      <c r="BU65">
        <v>13338</v>
      </c>
      <c r="BV65">
        <v>14</v>
      </c>
      <c r="BW65">
        <v>14364</v>
      </c>
      <c r="BX65">
        <v>8</v>
      </c>
      <c r="BY65">
        <v>8208</v>
      </c>
      <c r="BZ65">
        <v>10</v>
      </c>
      <c r="CA65">
        <v>10260</v>
      </c>
      <c r="CB65">
        <v>16</v>
      </c>
      <c r="CC65">
        <v>16416</v>
      </c>
      <c r="CD65">
        <v>15</v>
      </c>
      <c r="CE65">
        <v>15390</v>
      </c>
      <c r="CF65">
        <v>13</v>
      </c>
      <c r="CG65">
        <v>13338</v>
      </c>
      <c r="CH65">
        <v>12</v>
      </c>
      <c r="CI65">
        <v>12312</v>
      </c>
      <c r="CJ65">
        <v>13</v>
      </c>
      <c r="CK65">
        <v>13338</v>
      </c>
      <c r="CL65">
        <v>10</v>
      </c>
      <c r="CM65">
        <v>10260</v>
      </c>
      <c r="CN65">
        <v>15</v>
      </c>
      <c r="CO65">
        <v>15390</v>
      </c>
      <c r="CP65">
        <v>13</v>
      </c>
      <c r="CQ65">
        <v>13338</v>
      </c>
      <c r="CR65">
        <v>14</v>
      </c>
      <c r="CS65">
        <v>14364</v>
      </c>
      <c r="CT65">
        <v>10</v>
      </c>
      <c r="CU65">
        <v>10260</v>
      </c>
    </row>
    <row r="66" spans="2:99" x14ac:dyDescent="0.2">
      <c r="C66" s="116" t="s">
        <v>232</v>
      </c>
      <c r="D66">
        <v>16</v>
      </c>
      <c r="E66">
        <v>19046.399999999998</v>
      </c>
      <c r="F66">
        <v>10</v>
      </c>
      <c r="G66">
        <v>11903.999999999998</v>
      </c>
      <c r="H66">
        <v>16</v>
      </c>
      <c r="I66">
        <v>19046.399999999998</v>
      </c>
      <c r="J66">
        <v>14</v>
      </c>
      <c r="K66">
        <v>16665.599999999999</v>
      </c>
      <c r="L66">
        <v>17</v>
      </c>
      <c r="M66">
        <v>20236.8</v>
      </c>
      <c r="N66">
        <v>9</v>
      </c>
      <c r="O66">
        <v>10713.599999999999</v>
      </c>
      <c r="P66">
        <v>14</v>
      </c>
      <c r="Q66">
        <v>16665.599999999999</v>
      </c>
      <c r="R66">
        <v>10</v>
      </c>
      <c r="S66">
        <v>11903.999999999998</v>
      </c>
      <c r="T66">
        <v>14</v>
      </c>
      <c r="U66">
        <v>16665.599999999999</v>
      </c>
      <c r="V66">
        <v>13</v>
      </c>
      <c r="W66">
        <v>15475.199999999999</v>
      </c>
      <c r="X66">
        <v>14</v>
      </c>
      <c r="Y66">
        <v>16665.599999999999</v>
      </c>
      <c r="Z66">
        <v>11</v>
      </c>
      <c r="AA66">
        <v>13094.399999999998</v>
      </c>
      <c r="AB66">
        <v>12</v>
      </c>
      <c r="AC66">
        <v>14284.8</v>
      </c>
      <c r="AD66">
        <v>15</v>
      </c>
      <c r="AE66">
        <v>17855.999999999996</v>
      </c>
      <c r="AF66">
        <v>9</v>
      </c>
      <c r="AG66">
        <v>10713.599999999999</v>
      </c>
      <c r="AH66">
        <v>9</v>
      </c>
      <c r="AI66">
        <v>10713.599999999999</v>
      </c>
      <c r="AJ66">
        <v>15</v>
      </c>
      <c r="AK66">
        <v>17855.999999999996</v>
      </c>
      <c r="AL66">
        <v>12</v>
      </c>
      <c r="AM66">
        <v>14284.8</v>
      </c>
      <c r="AN66">
        <v>12</v>
      </c>
      <c r="AO66">
        <v>14284.8</v>
      </c>
      <c r="AP66">
        <v>14</v>
      </c>
      <c r="AQ66">
        <v>16665.599999999999</v>
      </c>
      <c r="AR66">
        <v>15</v>
      </c>
      <c r="AS66">
        <v>17855.999999999996</v>
      </c>
      <c r="AT66">
        <v>13</v>
      </c>
      <c r="AU66">
        <v>15475.199999999999</v>
      </c>
      <c r="AV66">
        <v>10</v>
      </c>
      <c r="AW66">
        <v>11903.999999999998</v>
      </c>
      <c r="AX66">
        <v>8</v>
      </c>
      <c r="AY66">
        <v>9523.1999999999989</v>
      </c>
      <c r="AZ66">
        <v>8</v>
      </c>
      <c r="BA66">
        <v>9523.1999999999989</v>
      </c>
      <c r="BB66">
        <v>10</v>
      </c>
      <c r="BC66">
        <v>11903.999999999998</v>
      </c>
      <c r="BD66">
        <v>8</v>
      </c>
      <c r="BE66">
        <v>9523.1999999999989</v>
      </c>
      <c r="BF66">
        <v>12</v>
      </c>
      <c r="BG66">
        <v>14284.8</v>
      </c>
      <c r="BH66">
        <v>12</v>
      </c>
      <c r="BI66">
        <v>14284.8</v>
      </c>
      <c r="BJ66">
        <v>15</v>
      </c>
      <c r="BK66">
        <v>17855.999999999996</v>
      </c>
      <c r="BL66">
        <v>15</v>
      </c>
      <c r="BM66">
        <v>17855.999999999996</v>
      </c>
      <c r="BN66">
        <v>11</v>
      </c>
      <c r="BO66">
        <v>13094.399999999998</v>
      </c>
      <c r="BP66">
        <v>9</v>
      </c>
      <c r="BQ66">
        <v>10713.599999999999</v>
      </c>
      <c r="BR66">
        <v>8</v>
      </c>
      <c r="BS66">
        <v>9523.1999999999989</v>
      </c>
      <c r="BT66">
        <v>15</v>
      </c>
      <c r="BU66">
        <v>17855.999999999996</v>
      </c>
      <c r="BV66">
        <v>16</v>
      </c>
      <c r="BW66">
        <v>19046.399999999998</v>
      </c>
      <c r="BX66">
        <v>8</v>
      </c>
      <c r="BY66">
        <v>9523.1999999999989</v>
      </c>
      <c r="BZ66">
        <v>11</v>
      </c>
      <c r="CA66">
        <v>13094.399999999998</v>
      </c>
      <c r="CB66">
        <v>16</v>
      </c>
      <c r="CC66">
        <v>19046.399999999998</v>
      </c>
      <c r="CD66">
        <v>15</v>
      </c>
      <c r="CE66">
        <v>17855.999999999996</v>
      </c>
      <c r="CF66">
        <v>13</v>
      </c>
      <c r="CG66">
        <v>15475.199999999999</v>
      </c>
      <c r="CH66">
        <v>11</v>
      </c>
      <c r="CI66">
        <v>13094.399999999998</v>
      </c>
      <c r="CJ66">
        <v>12</v>
      </c>
      <c r="CK66">
        <v>14284.8</v>
      </c>
      <c r="CL66">
        <v>10</v>
      </c>
      <c r="CM66">
        <v>11903.999999999998</v>
      </c>
      <c r="CN66">
        <v>14</v>
      </c>
      <c r="CO66">
        <v>16665.599999999999</v>
      </c>
      <c r="CP66">
        <v>15</v>
      </c>
      <c r="CQ66">
        <v>17855.999999999996</v>
      </c>
      <c r="CR66">
        <v>13</v>
      </c>
      <c r="CS66">
        <v>15475.199999999999</v>
      </c>
      <c r="CT66">
        <v>9</v>
      </c>
      <c r="CU66">
        <v>10713.599999999999</v>
      </c>
    </row>
    <row r="67" spans="2:99" x14ac:dyDescent="0.2">
      <c r="C67" s="116" t="s">
        <v>233</v>
      </c>
      <c r="D67">
        <v>16</v>
      </c>
      <c r="E67">
        <v>17971.2</v>
      </c>
      <c r="F67">
        <v>10</v>
      </c>
      <c r="G67">
        <v>11232</v>
      </c>
      <c r="H67">
        <v>14</v>
      </c>
      <c r="I67">
        <v>15724.800000000001</v>
      </c>
      <c r="J67">
        <v>14</v>
      </c>
      <c r="K67">
        <v>15724.800000000001</v>
      </c>
      <c r="L67">
        <v>15</v>
      </c>
      <c r="M67">
        <v>16848</v>
      </c>
      <c r="N67">
        <v>10</v>
      </c>
      <c r="O67">
        <v>11232</v>
      </c>
      <c r="P67">
        <v>16</v>
      </c>
      <c r="Q67">
        <v>17971.2</v>
      </c>
      <c r="R67">
        <v>12</v>
      </c>
      <c r="S67">
        <v>13478.400000000001</v>
      </c>
      <c r="T67">
        <v>17</v>
      </c>
      <c r="U67">
        <v>19094.400000000001</v>
      </c>
      <c r="V67">
        <v>16</v>
      </c>
      <c r="W67">
        <v>17971.2</v>
      </c>
      <c r="X67">
        <v>13</v>
      </c>
      <c r="Y67">
        <v>14601.6</v>
      </c>
      <c r="Z67">
        <v>11</v>
      </c>
      <c r="AA67">
        <v>12355.2</v>
      </c>
      <c r="AB67">
        <v>12</v>
      </c>
      <c r="AC67">
        <v>13478.400000000001</v>
      </c>
      <c r="AD67">
        <v>16</v>
      </c>
      <c r="AE67">
        <v>17971.2</v>
      </c>
      <c r="AF67">
        <v>9</v>
      </c>
      <c r="AG67">
        <v>10108.800000000001</v>
      </c>
      <c r="AH67">
        <v>10</v>
      </c>
      <c r="AI67">
        <v>11232</v>
      </c>
      <c r="AJ67">
        <v>14</v>
      </c>
      <c r="AK67">
        <v>15724.800000000001</v>
      </c>
      <c r="AL67">
        <v>12</v>
      </c>
      <c r="AM67">
        <v>13478.400000000001</v>
      </c>
      <c r="AN67">
        <v>11</v>
      </c>
      <c r="AO67">
        <v>12355.2</v>
      </c>
      <c r="AP67">
        <v>15</v>
      </c>
      <c r="AQ67">
        <v>16848</v>
      </c>
      <c r="AR67">
        <v>14</v>
      </c>
      <c r="AS67">
        <v>15724.800000000001</v>
      </c>
      <c r="AT67">
        <v>15</v>
      </c>
      <c r="AU67">
        <v>16848</v>
      </c>
      <c r="AV67">
        <v>9</v>
      </c>
      <c r="AW67">
        <v>10108.800000000001</v>
      </c>
      <c r="AX67">
        <v>8</v>
      </c>
      <c r="AY67">
        <v>8985.6</v>
      </c>
      <c r="AZ67">
        <v>8</v>
      </c>
      <c r="BA67">
        <v>8985.6</v>
      </c>
      <c r="BB67">
        <v>9</v>
      </c>
      <c r="BC67">
        <v>10108.800000000001</v>
      </c>
      <c r="BD67">
        <v>9</v>
      </c>
      <c r="BE67">
        <v>10108.800000000001</v>
      </c>
      <c r="BF67">
        <v>12</v>
      </c>
      <c r="BG67">
        <v>13478.400000000001</v>
      </c>
      <c r="BH67">
        <v>13</v>
      </c>
      <c r="BI67">
        <v>14601.6</v>
      </c>
      <c r="BJ67">
        <v>15</v>
      </c>
      <c r="BK67">
        <v>16848</v>
      </c>
      <c r="BL67">
        <v>16</v>
      </c>
      <c r="BM67">
        <v>17971.2</v>
      </c>
      <c r="BN67">
        <v>9</v>
      </c>
      <c r="BO67">
        <v>10108.800000000001</v>
      </c>
      <c r="BP67">
        <v>8</v>
      </c>
      <c r="BQ67">
        <v>8985.6</v>
      </c>
      <c r="BR67">
        <v>9</v>
      </c>
      <c r="BS67">
        <v>10108.800000000001</v>
      </c>
      <c r="BT67">
        <v>14</v>
      </c>
      <c r="BU67">
        <v>15724.800000000001</v>
      </c>
      <c r="BV67">
        <v>15</v>
      </c>
      <c r="BW67">
        <v>16848</v>
      </c>
      <c r="BX67">
        <v>9</v>
      </c>
      <c r="BY67">
        <v>10108.800000000001</v>
      </c>
      <c r="BZ67">
        <v>11</v>
      </c>
      <c r="CA67">
        <v>12355.2</v>
      </c>
      <c r="CB67">
        <v>15</v>
      </c>
      <c r="CC67">
        <v>16848</v>
      </c>
      <c r="CD67">
        <v>14</v>
      </c>
      <c r="CE67">
        <v>15724.800000000001</v>
      </c>
      <c r="CF67">
        <v>14</v>
      </c>
      <c r="CG67">
        <v>15724.800000000001</v>
      </c>
      <c r="CH67">
        <v>12</v>
      </c>
      <c r="CI67">
        <v>13478.400000000001</v>
      </c>
      <c r="CJ67">
        <v>13</v>
      </c>
      <c r="CK67">
        <v>14601.6</v>
      </c>
      <c r="CL67">
        <v>10</v>
      </c>
      <c r="CM67">
        <v>11232</v>
      </c>
      <c r="CN67">
        <v>15</v>
      </c>
      <c r="CO67">
        <v>16848</v>
      </c>
      <c r="CP67">
        <v>12</v>
      </c>
      <c r="CQ67">
        <v>13478.400000000001</v>
      </c>
      <c r="CR67">
        <v>13</v>
      </c>
      <c r="CS67">
        <v>14601.6</v>
      </c>
      <c r="CT67">
        <v>10</v>
      </c>
      <c r="CU67">
        <v>11232</v>
      </c>
    </row>
    <row r="68" spans="2:99" x14ac:dyDescent="0.2">
      <c r="C68" s="116" t="s">
        <v>234</v>
      </c>
      <c r="D68">
        <v>15</v>
      </c>
      <c r="E68">
        <v>15498</v>
      </c>
      <c r="F68">
        <v>10</v>
      </c>
      <c r="G68">
        <v>10332</v>
      </c>
      <c r="H68">
        <v>14</v>
      </c>
      <c r="I68">
        <v>14464.800000000001</v>
      </c>
      <c r="J68">
        <v>13</v>
      </c>
      <c r="K68">
        <v>13431.6</v>
      </c>
      <c r="L68">
        <v>17</v>
      </c>
      <c r="M68">
        <v>17564.400000000001</v>
      </c>
      <c r="N68">
        <v>10</v>
      </c>
      <c r="O68">
        <v>10332</v>
      </c>
      <c r="P68">
        <v>15</v>
      </c>
      <c r="Q68">
        <v>15498</v>
      </c>
      <c r="R68">
        <v>12</v>
      </c>
      <c r="S68">
        <v>12398.400000000001</v>
      </c>
      <c r="T68">
        <v>15</v>
      </c>
      <c r="U68">
        <v>15498</v>
      </c>
      <c r="V68">
        <v>13</v>
      </c>
      <c r="W68">
        <v>13431.6</v>
      </c>
      <c r="X68">
        <v>13</v>
      </c>
      <c r="Y68">
        <v>13431.6</v>
      </c>
      <c r="Z68">
        <v>13</v>
      </c>
      <c r="AA68">
        <v>13431.6</v>
      </c>
      <c r="AB68">
        <v>12</v>
      </c>
      <c r="AC68">
        <v>12398.400000000001</v>
      </c>
      <c r="AD68">
        <v>15</v>
      </c>
      <c r="AE68">
        <v>15498</v>
      </c>
      <c r="AF68">
        <v>9</v>
      </c>
      <c r="AG68">
        <v>9298.8000000000011</v>
      </c>
      <c r="AH68">
        <v>10</v>
      </c>
      <c r="AI68">
        <v>10332</v>
      </c>
      <c r="AJ68">
        <v>15</v>
      </c>
      <c r="AK68">
        <v>15498</v>
      </c>
      <c r="AL68">
        <v>13</v>
      </c>
      <c r="AM68">
        <v>13431.6</v>
      </c>
      <c r="AN68">
        <v>12</v>
      </c>
      <c r="AO68">
        <v>12398.400000000001</v>
      </c>
      <c r="AP68">
        <v>14</v>
      </c>
      <c r="AQ68">
        <v>14464.800000000001</v>
      </c>
      <c r="AR68">
        <v>13</v>
      </c>
      <c r="AS68">
        <v>13431.6</v>
      </c>
      <c r="AT68">
        <v>15</v>
      </c>
      <c r="AU68">
        <v>15498</v>
      </c>
      <c r="AV68">
        <v>11</v>
      </c>
      <c r="AW68">
        <v>11365.2</v>
      </c>
      <c r="AX68">
        <v>8</v>
      </c>
      <c r="AY68">
        <v>8265.6</v>
      </c>
      <c r="AZ68">
        <v>8</v>
      </c>
      <c r="BA68">
        <v>8265.6</v>
      </c>
      <c r="BB68">
        <v>10</v>
      </c>
      <c r="BC68">
        <v>10332</v>
      </c>
      <c r="BD68">
        <v>8</v>
      </c>
      <c r="BE68">
        <v>8265.6</v>
      </c>
      <c r="BF68">
        <v>12</v>
      </c>
      <c r="BG68">
        <v>12398.400000000001</v>
      </c>
      <c r="BH68">
        <v>12</v>
      </c>
      <c r="BI68">
        <v>12398.400000000001</v>
      </c>
      <c r="BJ68">
        <v>13</v>
      </c>
      <c r="BK68">
        <v>13431.6</v>
      </c>
      <c r="BL68">
        <v>15</v>
      </c>
      <c r="BM68">
        <v>15498</v>
      </c>
      <c r="BN68">
        <v>10</v>
      </c>
      <c r="BO68">
        <v>10332</v>
      </c>
      <c r="BP68">
        <v>8</v>
      </c>
      <c r="BQ68">
        <v>8265.6</v>
      </c>
      <c r="BR68">
        <v>9</v>
      </c>
      <c r="BS68">
        <v>9298.8000000000011</v>
      </c>
      <c r="BT68">
        <v>14</v>
      </c>
      <c r="BU68">
        <v>14464.800000000001</v>
      </c>
      <c r="BV68">
        <v>15</v>
      </c>
      <c r="BW68">
        <v>15498</v>
      </c>
      <c r="BX68">
        <v>9</v>
      </c>
      <c r="BY68">
        <v>9298.8000000000011</v>
      </c>
      <c r="BZ68">
        <v>11</v>
      </c>
      <c r="CA68">
        <v>11365.2</v>
      </c>
      <c r="CB68">
        <v>17</v>
      </c>
      <c r="CC68">
        <v>17564.400000000001</v>
      </c>
      <c r="CD68">
        <v>15</v>
      </c>
      <c r="CE68">
        <v>15498</v>
      </c>
      <c r="CF68">
        <v>14</v>
      </c>
      <c r="CG68">
        <v>14464.800000000001</v>
      </c>
      <c r="CH68">
        <v>11</v>
      </c>
      <c r="CI68">
        <v>11365.2</v>
      </c>
      <c r="CJ68">
        <v>12</v>
      </c>
      <c r="CK68">
        <v>12398.400000000001</v>
      </c>
      <c r="CL68">
        <v>10</v>
      </c>
      <c r="CM68">
        <v>10332</v>
      </c>
      <c r="CN68">
        <v>16</v>
      </c>
      <c r="CO68">
        <v>16531.2</v>
      </c>
      <c r="CP68">
        <v>14</v>
      </c>
      <c r="CQ68">
        <v>14464.800000000001</v>
      </c>
      <c r="CR68">
        <v>12</v>
      </c>
      <c r="CS68">
        <v>12398.400000000001</v>
      </c>
      <c r="CT68">
        <v>10</v>
      </c>
      <c r="CU68">
        <v>10332</v>
      </c>
    </row>
    <row r="69" spans="2:99" x14ac:dyDescent="0.2">
      <c r="C69" s="116" t="s">
        <v>235</v>
      </c>
      <c r="D69">
        <v>15</v>
      </c>
      <c r="E69">
        <v>11376</v>
      </c>
      <c r="F69">
        <v>11</v>
      </c>
      <c r="G69">
        <v>8342.4</v>
      </c>
      <c r="H69">
        <v>16</v>
      </c>
      <c r="I69">
        <v>12134.4</v>
      </c>
      <c r="J69">
        <v>14</v>
      </c>
      <c r="K69">
        <v>10617.6</v>
      </c>
      <c r="L69">
        <v>15</v>
      </c>
      <c r="M69">
        <v>11376</v>
      </c>
      <c r="N69">
        <v>11</v>
      </c>
      <c r="O69">
        <v>8342.4</v>
      </c>
      <c r="P69">
        <v>14</v>
      </c>
      <c r="Q69">
        <v>10617.6</v>
      </c>
      <c r="R69">
        <v>12</v>
      </c>
      <c r="S69">
        <v>9100.7999999999993</v>
      </c>
      <c r="T69">
        <v>15</v>
      </c>
      <c r="U69">
        <v>11376</v>
      </c>
      <c r="V69">
        <v>16</v>
      </c>
      <c r="W69">
        <v>12134.4</v>
      </c>
      <c r="X69">
        <v>15</v>
      </c>
      <c r="Y69">
        <v>11376</v>
      </c>
      <c r="Z69">
        <v>12</v>
      </c>
      <c r="AA69">
        <v>9100.7999999999993</v>
      </c>
      <c r="AB69">
        <v>12</v>
      </c>
      <c r="AC69">
        <v>9100.7999999999993</v>
      </c>
      <c r="AD69">
        <v>17</v>
      </c>
      <c r="AE69">
        <v>12892.8</v>
      </c>
      <c r="AF69">
        <v>9</v>
      </c>
      <c r="AG69">
        <v>6825.5999999999995</v>
      </c>
      <c r="AH69">
        <v>10</v>
      </c>
      <c r="AI69">
        <v>7584</v>
      </c>
      <c r="AJ69">
        <v>16</v>
      </c>
      <c r="AK69">
        <v>12134.4</v>
      </c>
      <c r="AL69">
        <v>12</v>
      </c>
      <c r="AM69">
        <v>9100.7999999999993</v>
      </c>
      <c r="AN69">
        <v>12</v>
      </c>
      <c r="AO69">
        <v>9100.7999999999993</v>
      </c>
      <c r="AP69">
        <v>15</v>
      </c>
      <c r="AQ69">
        <v>11376</v>
      </c>
      <c r="AR69">
        <v>13</v>
      </c>
      <c r="AS69">
        <v>9859.1999999999989</v>
      </c>
      <c r="AT69">
        <v>15</v>
      </c>
      <c r="AU69">
        <v>11376</v>
      </c>
      <c r="AV69">
        <v>11</v>
      </c>
      <c r="AW69">
        <v>8342.4</v>
      </c>
      <c r="AX69">
        <v>9</v>
      </c>
      <c r="AY69">
        <v>6825.5999999999995</v>
      </c>
      <c r="AZ69">
        <v>9</v>
      </c>
      <c r="BA69">
        <v>6825.5999999999995</v>
      </c>
      <c r="BB69">
        <v>10</v>
      </c>
      <c r="BC69">
        <v>7584</v>
      </c>
      <c r="BD69">
        <v>9</v>
      </c>
      <c r="BE69">
        <v>6825.5999999999995</v>
      </c>
      <c r="BF69">
        <v>12</v>
      </c>
      <c r="BG69">
        <v>9100.7999999999993</v>
      </c>
      <c r="BH69">
        <v>12</v>
      </c>
      <c r="BI69">
        <v>9100.7999999999993</v>
      </c>
      <c r="BJ69">
        <v>14</v>
      </c>
      <c r="BK69">
        <v>10617.6</v>
      </c>
      <c r="BL69">
        <v>16</v>
      </c>
      <c r="BM69">
        <v>12134.4</v>
      </c>
      <c r="BN69">
        <v>11</v>
      </c>
      <c r="BO69">
        <v>8342.4</v>
      </c>
      <c r="BP69">
        <v>9</v>
      </c>
      <c r="BQ69">
        <v>6825.5999999999995</v>
      </c>
      <c r="BR69">
        <v>8</v>
      </c>
      <c r="BS69">
        <v>6067.2</v>
      </c>
      <c r="BT69">
        <v>13</v>
      </c>
      <c r="BU69">
        <v>9859.1999999999989</v>
      </c>
      <c r="BV69">
        <v>15</v>
      </c>
      <c r="BW69">
        <v>11376</v>
      </c>
      <c r="BX69">
        <v>8</v>
      </c>
      <c r="BY69">
        <v>6067.2</v>
      </c>
      <c r="BZ69">
        <v>11</v>
      </c>
      <c r="CA69">
        <v>8342.4</v>
      </c>
      <c r="CB69">
        <v>16</v>
      </c>
      <c r="CC69">
        <v>12134.4</v>
      </c>
      <c r="CD69">
        <v>14</v>
      </c>
      <c r="CE69">
        <v>10617.6</v>
      </c>
      <c r="CF69">
        <v>14</v>
      </c>
      <c r="CG69">
        <v>10617.6</v>
      </c>
      <c r="CH69">
        <v>11</v>
      </c>
      <c r="CI69">
        <v>8342.4</v>
      </c>
      <c r="CJ69">
        <v>12</v>
      </c>
      <c r="CK69">
        <v>9100.7999999999993</v>
      </c>
      <c r="CL69">
        <v>10</v>
      </c>
      <c r="CM69">
        <v>7584</v>
      </c>
      <c r="CN69">
        <v>14</v>
      </c>
      <c r="CO69">
        <v>10617.6</v>
      </c>
      <c r="CP69">
        <v>15</v>
      </c>
      <c r="CQ69">
        <v>11376</v>
      </c>
      <c r="CR69">
        <v>13</v>
      </c>
      <c r="CS69">
        <v>9859.1999999999989</v>
      </c>
      <c r="CT69">
        <v>10</v>
      </c>
      <c r="CU69">
        <v>7584</v>
      </c>
    </row>
    <row r="70" spans="2:99" x14ac:dyDescent="0.2">
      <c r="C70" s="116" t="s">
        <v>236</v>
      </c>
      <c r="D70">
        <v>16</v>
      </c>
      <c r="E70">
        <v>8563.1999999999989</v>
      </c>
      <c r="F70">
        <v>11</v>
      </c>
      <c r="G70">
        <v>5887.1999999999989</v>
      </c>
      <c r="H70">
        <v>17</v>
      </c>
      <c r="I70">
        <v>9098.4</v>
      </c>
      <c r="J70">
        <v>16</v>
      </c>
      <c r="K70">
        <v>8563.1999999999989</v>
      </c>
      <c r="L70">
        <v>16</v>
      </c>
      <c r="M70">
        <v>8563.1999999999989</v>
      </c>
      <c r="N70">
        <v>10</v>
      </c>
      <c r="O70">
        <v>5351.9999999999991</v>
      </c>
      <c r="P70">
        <v>17</v>
      </c>
      <c r="Q70">
        <v>9098.4</v>
      </c>
      <c r="R70">
        <v>11</v>
      </c>
      <c r="S70">
        <v>5887.1999999999989</v>
      </c>
      <c r="T70">
        <v>16</v>
      </c>
      <c r="U70">
        <v>8563.1999999999989</v>
      </c>
      <c r="V70">
        <v>14</v>
      </c>
      <c r="W70">
        <v>7492.7999999999993</v>
      </c>
      <c r="X70">
        <v>14</v>
      </c>
      <c r="Y70">
        <v>7492.7999999999993</v>
      </c>
      <c r="Z70">
        <v>12</v>
      </c>
      <c r="AA70">
        <v>6422.4</v>
      </c>
      <c r="AB70">
        <v>12</v>
      </c>
      <c r="AC70">
        <v>6422.4</v>
      </c>
      <c r="AD70">
        <v>16</v>
      </c>
      <c r="AE70">
        <v>8563.1999999999989</v>
      </c>
      <c r="AF70">
        <v>9</v>
      </c>
      <c r="AG70">
        <v>4816.7999999999993</v>
      </c>
      <c r="AH70">
        <v>10</v>
      </c>
      <c r="AI70">
        <v>5351.9999999999991</v>
      </c>
      <c r="AJ70">
        <v>17</v>
      </c>
      <c r="AK70">
        <v>9098.4</v>
      </c>
      <c r="AL70">
        <v>13</v>
      </c>
      <c r="AM70">
        <v>6957.5999999999995</v>
      </c>
      <c r="AN70">
        <v>13</v>
      </c>
      <c r="AO70">
        <v>6957.5999999999995</v>
      </c>
      <c r="AP70">
        <v>15</v>
      </c>
      <c r="AQ70">
        <v>8027.9999999999991</v>
      </c>
      <c r="AR70">
        <v>16</v>
      </c>
      <c r="AS70">
        <v>8563.1999999999989</v>
      </c>
      <c r="AT70">
        <v>14</v>
      </c>
      <c r="AU70">
        <v>7492.7999999999993</v>
      </c>
      <c r="AV70">
        <v>10</v>
      </c>
      <c r="AW70">
        <v>5351.9999999999991</v>
      </c>
      <c r="AX70">
        <v>8</v>
      </c>
      <c r="AY70">
        <v>4281.5999999999995</v>
      </c>
      <c r="AZ70">
        <v>8</v>
      </c>
      <c r="BA70">
        <v>4281.5999999999995</v>
      </c>
      <c r="BB70">
        <v>11</v>
      </c>
      <c r="BC70">
        <v>5887.1999999999989</v>
      </c>
      <c r="BD70">
        <v>9</v>
      </c>
      <c r="BE70">
        <v>4816.7999999999993</v>
      </c>
      <c r="BF70">
        <v>11</v>
      </c>
      <c r="BG70">
        <v>5887.1999999999989</v>
      </c>
      <c r="BH70">
        <v>14</v>
      </c>
      <c r="BI70">
        <v>7492.7999999999993</v>
      </c>
      <c r="BJ70">
        <v>16</v>
      </c>
      <c r="BK70">
        <v>8563.1999999999989</v>
      </c>
      <c r="BL70">
        <v>17</v>
      </c>
      <c r="BM70">
        <v>9098.4</v>
      </c>
      <c r="BN70">
        <v>11</v>
      </c>
      <c r="BO70">
        <v>5887.1999999999989</v>
      </c>
      <c r="BP70">
        <v>9</v>
      </c>
      <c r="BQ70">
        <v>4816.7999999999993</v>
      </c>
      <c r="BR70">
        <v>9</v>
      </c>
      <c r="BS70">
        <v>4816.7999999999993</v>
      </c>
      <c r="BT70">
        <v>16</v>
      </c>
      <c r="BU70">
        <v>8563.1999999999989</v>
      </c>
      <c r="BV70">
        <v>16</v>
      </c>
      <c r="BW70">
        <v>8563.1999999999989</v>
      </c>
      <c r="BX70">
        <v>8</v>
      </c>
      <c r="BY70">
        <v>4281.5999999999995</v>
      </c>
      <c r="BZ70">
        <v>11</v>
      </c>
      <c r="CA70">
        <v>5887.1999999999989</v>
      </c>
      <c r="CB70">
        <v>16</v>
      </c>
      <c r="CC70">
        <v>8563.1999999999989</v>
      </c>
      <c r="CD70">
        <v>17</v>
      </c>
      <c r="CE70">
        <v>9098.4</v>
      </c>
      <c r="CF70">
        <v>16</v>
      </c>
      <c r="CG70">
        <v>8563.1999999999989</v>
      </c>
      <c r="CH70">
        <v>13</v>
      </c>
      <c r="CI70">
        <v>6957.5999999999995</v>
      </c>
      <c r="CJ70">
        <v>14</v>
      </c>
      <c r="CK70">
        <v>7492.7999999999993</v>
      </c>
      <c r="CL70">
        <v>9</v>
      </c>
      <c r="CM70">
        <v>4816.7999999999993</v>
      </c>
      <c r="CN70">
        <v>16</v>
      </c>
      <c r="CO70">
        <v>8563.1999999999989</v>
      </c>
      <c r="CP70">
        <v>15</v>
      </c>
      <c r="CQ70">
        <v>8027.9999999999991</v>
      </c>
      <c r="CR70">
        <v>13</v>
      </c>
      <c r="CS70">
        <v>6957.5999999999995</v>
      </c>
      <c r="CT70">
        <v>9</v>
      </c>
      <c r="CU70">
        <v>4816.7999999999993</v>
      </c>
    </row>
    <row r="71" spans="2:99" x14ac:dyDescent="0.2">
      <c r="B71" s="116" t="s">
        <v>130</v>
      </c>
      <c r="C71" s="116" t="s">
        <v>237</v>
      </c>
      <c r="D71">
        <v>16.534528450430503</v>
      </c>
      <c r="E71">
        <v>9325.4740460428038</v>
      </c>
      <c r="F71">
        <v>3.7078702568817663</v>
      </c>
      <c r="G71">
        <v>2091.2388248813163</v>
      </c>
      <c r="H71">
        <v>3.0744397169122606</v>
      </c>
      <c r="I71">
        <v>1733.984000338515</v>
      </c>
      <c r="J71">
        <v>3.4063266794690366</v>
      </c>
      <c r="K71">
        <v>1921.1682472205366</v>
      </c>
      <c r="L71">
        <v>4.0667735607662658</v>
      </c>
      <c r="M71">
        <v>2293.6602882721741</v>
      </c>
      <c r="N71">
        <v>3.9347138318135069</v>
      </c>
      <c r="O71">
        <v>2219.178601142818</v>
      </c>
      <c r="P71">
        <v>3.6060184267000732</v>
      </c>
      <c r="Q71">
        <v>2033.7943926588414</v>
      </c>
      <c r="R71">
        <v>3.7839530750941353</v>
      </c>
      <c r="S71">
        <v>2134.1495343530923</v>
      </c>
      <c r="T71">
        <v>2.6920164459045255</v>
      </c>
      <c r="U71">
        <v>1518.2972754901523</v>
      </c>
      <c r="V71">
        <v>2.7791672179775646</v>
      </c>
      <c r="W71">
        <v>1567.4503109393465</v>
      </c>
      <c r="X71">
        <v>3.4540027945594627</v>
      </c>
      <c r="Y71">
        <v>1948.057576131537</v>
      </c>
      <c r="Z71">
        <v>3.4708124837430994</v>
      </c>
      <c r="AA71">
        <v>1957.5382408311079</v>
      </c>
      <c r="AB71">
        <v>3.724750333796401</v>
      </c>
      <c r="AC71">
        <v>2100.75918826117</v>
      </c>
      <c r="AD71">
        <v>3.191288135626893</v>
      </c>
      <c r="AE71">
        <v>1799.8865084935676</v>
      </c>
      <c r="AF71">
        <v>3.6473261892297657</v>
      </c>
      <c r="AG71">
        <v>2057.091970725588</v>
      </c>
      <c r="AH71">
        <v>3.4469440292801732</v>
      </c>
      <c r="AI71">
        <v>1944.0764325140176</v>
      </c>
      <c r="AJ71">
        <v>3.1194095052407143</v>
      </c>
      <c r="AK71">
        <v>1759.3469609557628</v>
      </c>
      <c r="AL71">
        <v>3.8861871290475878</v>
      </c>
      <c r="AM71">
        <v>2191.8095407828396</v>
      </c>
      <c r="AN71">
        <v>3.2696932696032071</v>
      </c>
      <c r="AO71">
        <v>1844.1070040562088</v>
      </c>
      <c r="AP71">
        <v>3.6800537265976923</v>
      </c>
      <c r="AQ71">
        <v>2075.5503018010986</v>
      </c>
      <c r="AR71">
        <v>3.9292788475428826</v>
      </c>
      <c r="AS71">
        <v>2216.1132700141857</v>
      </c>
      <c r="AT71">
        <v>3.105913875835141</v>
      </c>
      <c r="AU71">
        <v>1751.7354259710196</v>
      </c>
      <c r="AV71">
        <v>3.6264854181419883</v>
      </c>
      <c r="AW71">
        <v>2045.3377758320814</v>
      </c>
      <c r="AX71">
        <v>3.1022372664188569</v>
      </c>
      <c r="AY71">
        <v>1749.6618182602353</v>
      </c>
      <c r="AZ71">
        <v>3.7276489946314881</v>
      </c>
      <c r="BA71">
        <v>2102.3940329721595</v>
      </c>
      <c r="BB71">
        <v>4.0927022484715199</v>
      </c>
      <c r="BC71">
        <v>2308.2840681379371</v>
      </c>
      <c r="BD71">
        <v>2.9966214811398042</v>
      </c>
      <c r="BE71">
        <v>1690.0945153628495</v>
      </c>
      <c r="BF71">
        <v>3.3251776123918377</v>
      </c>
      <c r="BG71">
        <v>1875.4001733889966</v>
      </c>
      <c r="BH71">
        <v>3.0755036349804659</v>
      </c>
      <c r="BI71">
        <v>1734.5840501289827</v>
      </c>
      <c r="BJ71">
        <v>3.6050844768178139</v>
      </c>
      <c r="BK71">
        <v>2033.2676449252469</v>
      </c>
      <c r="BL71">
        <v>2.4207695917622991</v>
      </c>
      <c r="BM71">
        <v>1365.3140497539366</v>
      </c>
      <c r="BN71">
        <v>3.146680816663685</v>
      </c>
      <c r="BO71">
        <v>1774.7279805983183</v>
      </c>
      <c r="BP71">
        <v>3.0384674410528478</v>
      </c>
      <c r="BQ71">
        <v>1713.6956367538062</v>
      </c>
      <c r="BR71">
        <v>3.6650406762894323</v>
      </c>
      <c r="BS71">
        <v>2067.0829414272398</v>
      </c>
      <c r="BT71">
        <v>3.7205811114898641</v>
      </c>
      <c r="BU71">
        <v>2098.4077468802834</v>
      </c>
      <c r="BV71">
        <v>3.3541281433575612</v>
      </c>
      <c r="BW71">
        <v>1891.7282728536645</v>
      </c>
      <c r="BX71">
        <v>3.0116611811423919</v>
      </c>
      <c r="BY71">
        <v>1698.5769061643091</v>
      </c>
      <c r="BZ71">
        <v>3.2113761820525655</v>
      </c>
      <c r="CA71">
        <v>1811.2161666776469</v>
      </c>
      <c r="CB71">
        <v>2.9942279946175625</v>
      </c>
      <c r="CC71">
        <v>1688.7445889643052</v>
      </c>
      <c r="CD71">
        <v>4.2801568804654204</v>
      </c>
      <c r="CE71">
        <v>2414.0084805824972</v>
      </c>
      <c r="CF71">
        <v>3.1531775974040199</v>
      </c>
      <c r="CG71">
        <v>1778.3921649358672</v>
      </c>
      <c r="CH71">
        <v>4.7006018285104547</v>
      </c>
      <c r="CI71">
        <v>2651.1394312798966</v>
      </c>
      <c r="CJ71">
        <v>3.5488796133321068</v>
      </c>
      <c r="CK71">
        <v>2001.5681019193082</v>
      </c>
      <c r="CL71">
        <v>3.002832222548752</v>
      </c>
      <c r="CM71">
        <v>1693.5973735174962</v>
      </c>
      <c r="CN71">
        <v>4.2513247283000375</v>
      </c>
      <c r="CO71">
        <v>2397.7471467612213</v>
      </c>
      <c r="CP71">
        <v>3.4190134804259809</v>
      </c>
      <c r="CQ71">
        <v>1928.3236029602533</v>
      </c>
      <c r="CR71">
        <v>3.4657073347636191</v>
      </c>
      <c r="CS71">
        <v>1954.6589368066811</v>
      </c>
      <c r="CT71">
        <v>3.8465948059955646</v>
      </c>
      <c r="CU71">
        <v>2169.4794705814984</v>
      </c>
    </row>
    <row r="72" spans="2:99" x14ac:dyDescent="0.2">
      <c r="C72" s="116" t="s">
        <v>238</v>
      </c>
      <c r="D72">
        <v>19.518807025417843</v>
      </c>
      <c r="E72">
        <v>1452.1992426910874</v>
      </c>
      <c r="F72">
        <v>4.2783118348635769</v>
      </c>
      <c r="G72">
        <v>318.30640051385006</v>
      </c>
      <c r="H72">
        <v>3.0744397169122606</v>
      </c>
      <c r="I72">
        <v>228.73831493827217</v>
      </c>
      <c r="J72">
        <v>4.192402067038814</v>
      </c>
      <c r="K72">
        <v>311.91471378768773</v>
      </c>
      <c r="L72">
        <v>4.3572573865352844</v>
      </c>
      <c r="M72">
        <v>324.17994955822513</v>
      </c>
      <c r="N72">
        <v>3.9347138318135069</v>
      </c>
      <c r="O72">
        <v>292.74270908692489</v>
      </c>
      <c r="P72">
        <v>4.1892034246446945</v>
      </c>
      <c r="Q72">
        <v>311.67673479356523</v>
      </c>
      <c r="R72">
        <v>4.0362166134337443</v>
      </c>
      <c r="S72">
        <v>300.29451603947052</v>
      </c>
      <c r="T72">
        <v>3.1913889720508668</v>
      </c>
      <c r="U72">
        <v>237.43933952058447</v>
      </c>
      <c r="V72">
        <v>3.2423617543071588</v>
      </c>
      <c r="W72">
        <v>241.23171452045258</v>
      </c>
      <c r="X72">
        <v>3.4540027945594627</v>
      </c>
      <c r="Y72">
        <v>256.97780791522399</v>
      </c>
      <c r="Z72">
        <v>3.7238917957362592</v>
      </c>
      <c r="AA72">
        <v>277.05754960277767</v>
      </c>
      <c r="AB72">
        <v>3.4586967385252292</v>
      </c>
      <c r="AC72">
        <v>257.327037346277</v>
      </c>
      <c r="AD72">
        <v>3.4388801501112685</v>
      </c>
      <c r="AE72">
        <v>255.85268316827833</v>
      </c>
      <c r="AF72">
        <v>4.3040834952151714</v>
      </c>
      <c r="AG72">
        <v>320.2238120440087</v>
      </c>
      <c r="AH72">
        <v>3.8979310528581554</v>
      </c>
      <c r="AI72">
        <v>290.00607033264674</v>
      </c>
      <c r="AJ72">
        <v>3.836681382572531</v>
      </c>
      <c r="AK72">
        <v>285.44909486339628</v>
      </c>
      <c r="AL72">
        <v>4.0519566854587339</v>
      </c>
      <c r="AM72">
        <v>301.46557739812977</v>
      </c>
      <c r="AN72">
        <v>3.0817859192465145</v>
      </c>
      <c r="AO72">
        <v>229.28487239194064</v>
      </c>
      <c r="AP72">
        <v>3.6604755947108272</v>
      </c>
      <c r="AQ72">
        <v>272.33938424648551</v>
      </c>
      <c r="AR72">
        <v>3.7856913274939785</v>
      </c>
      <c r="AS72">
        <v>281.65543476555195</v>
      </c>
      <c r="AT72">
        <v>3.0881957252572314</v>
      </c>
      <c r="AU72">
        <v>229.761761959138</v>
      </c>
      <c r="AV72">
        <v>3.8141555758068653</v>
      </c>
      <c r="AW72">
        <v>283.77317484003072</v>
      </c>
      <c r="AX72">
        <v>3.378019813206349</v>
      </c>
      <c r="AY72">
        <v>251.32467410255234</v>
      </c>
      <c r="AZ72">
        <v>3.7695604008568839</v>
      </c>
      <c r="BA72">
        <v>280.45529382375213</v>
      </c>
      <c r="BB72">
        <v>3.9291132113298071</v>
      </c>
      <c r="BC72">
        <v>292.32602292293763</v>
      </c>
      <c r="BD72">
        <v>3.0009421178643416</v>
      </c>
      <c r="BE72">
        <v>223.27009356910699</v>
      </c>
      <c r="BF72">
        <v>3.5625635998294194</v>
      </c>
      <c r="BG72">
        <v>265.05473182730879</v>
      </c>
      <c r="BH72">
        <v>3.7952802391011189</v>
      </c>
      <c r="BI72">
        <v>282.3688497891232</v>
      </c>
      <c r="BJ72">
        <v>4.2101478301627431</v>
      </c>
      <c r="BK72">
        <v>313.23499856410803</v>
      </c>
      <c r="BL72">
        <v>2.8348535059336508</v>
      </c>
      <c r="BM72">
        <v>210.9131008414636</v>
      </c>
      <c r="BN72">
        <v>3.6479637724669005</v>
      </c>
      <c r="BO72">
        <v>271.40850467153734</v>
      </c>
      <c r="BP72">
        <v>3.6895676069927439</v>
      </c>
      <c r="BQ72">
        <v>274.50382996026013</v>
      </c>
      <c r="BR72">
        <v>3.685467271187215</v>
      </c>
      <c r="BS72">
        <v>274.19876497632879</v>
      </c>
      <c r="BT72">
        <v>3.5152750820826726</v>
      </c>
      <c r="BU72">
        <v>261.5364661069508</v>
      </c>
      <c r="BV72">
        <v>3.5447986630935584</v>
      </c>
      <c r="BW72">
        <v>263.73302053416069</v>
      </c>
      <c r="BX72">
        <v>3.298745622388962</v>
      </c>
      <c r="BY72">
        <v>245.42667430573874</v>
      </c>
      <c r="BZ72">
        <v>3.5978989366520233</v>
      </c>
      <c r="CA72">
        <v>267.68368088691051</v>
      </c>
      <c r="CB72">
        <v>3.7577603444450935</v>
      </c>
      <c r="CC72">
        <v>279.57736962671493</v>
      </c>
      <c r="CD72">
        <v>4.1024779168383905</v>
      </c>
      <c r="CE72">
        <v>305.22435701277624</v>
      </c>
      <c r="CF72">
        <v>3.7152341098515249</v>
      </c>
      <c r="CG72">
        <v>276.41341777295344</v>
      </c>
      <c r="CH72">
        <v>4.7006018285104547</v>
      </c>
      <c r="CI72">
        <v>349.72477604117779</v>
      </c>
      <c r="CJ72">
        <v>3.5835438971551015</v>
      </c>
      <c r="CK72">
        <v>266.61566594833954</v>
      </c>
      <c r="CL72">
        <v>3.2090408794375089</v>
      </c>
      <c r="CM72">
        <v>238.75264143015065</v>
      </c>
      <c r="CN72">
        <v>4.4625215245190404</v>
      </c>
      <c r="CO72">
        <v>332.01160142421656</v>
      </c>
      <c r="CP72">
        <v>3.9002438722881956</v>
      </c>
      <c r="CQ72">
        <v>290.17814409824172</v>
      </c>
      <c r="CR72">
        <v>3.8438542161532312</v>
      </c>
      <c r="CS72">
        <v>285.98275368180038</v>
      </c>
      <c r="CT72">
        <v>4.1844787355352056</v>
      </c>
      <c r="CU72">
        <v>311.32521792381925</v>
      </c>
    </row>
    <row r="73" spans="2:99" x14ac:dyDescent="0.2">
      <c r="C73" s="116" t="s">
        <v>239</v>
      </c>
      <c r="D73">
        <v>16.503085600405178</v>
      </c>
      <c r="E73">
        <v>9228.5254677465746</v>
      </c>
      <c r="F73">
        <v>3.7078702568817663</v>
      </c>
      <c r="G73">
        <v>2073.4410476482835</v>
      </c>
      <c r="H73">
        <v>2.8182364071695725</v>
      </c>
      <c r="I73">
        <v>1575.9577988892247</v>
      </c>
      <c r="J73">
        <v>3.6683518086589624</v>
      </c>
      <c r="K73">
        <v>2051.3423314020915</v>
      </c>
      <c r="L73">
        <v>3.7762897349972468</v>
      </c>
      <c r="M73">
        <v>2111.7012198104603</v>
      </c>
      <c r="N73">
        <v>3.9347138318135069</v>
      </c>
      <c r="O73">
        <v>2200.2919747501128</v>
      </c>
      <c r="P73">
        <v>3.5798181277133585</v>
      </c>
      <c r="Q73">
        <v>2001.8342970173098</v>
      </c>
      <c r="R73">
        <v>4.0362166134337443</v>
      </c>
      <c r="S73">
        <v>2257.0523302321494</v>
      </c>
      <c r="T73">
        <v>2.6920164459045255</v>
      </c>
      <c r="U73">
        <v>1505.3755965498106</v>
      </c>
      <c r="V73">
        <v>2.5475699498127673</v>
      </c>
      <c r="W73">
        <v>1424.6011159352993</v>
      </c>
      <c r="X73">
        <v>3.1400025405086027</v>
      </c>
      <c r="Y73">
        <v>1755.8894206524105</v>
      </c>
      <c r="Z73">
        <v>3.4369159660245949</v>
      </c>
      <c r="AA73">
        <v>1921.9234082009532</v>
      </c>
      <c r="AB73">
        <v>3.1926431432540578</v>
      </c>
      <c r="AC73">
        <v>1785.326045707669</v>
      </c>
      <c r="AD73">
        <v>3.2102536574996074</v>
      </c>
      <c r="AE73">
        <v>1795.1738452737802</v>
      </c>
      <c r="AF73">
        <v>3.6659008254016481</v>
      </c>
      <c r="AG73">
        <v>2049.9717415646014</v>
      </c>
      <c r="AH73">
        <v>3.4119929529396109</v>
      </c>
      <c r="AI73">
        <v>1907.9864592838303</v>
      </c>
      <c r="AJ73">
        <v>3.352081618302257</v>
      </c>
      <c r="AK73">
        <v>1874.4840409546218</v>
      </c>
      <c r="AL73">
        <v>3.6786520116004899</v>
      </c>
      <c r="AM73">
        <v>2057.1022048869936</v>
      </c>
      <c r="AN73">
        <v>2.815647062784</v>
      </c>
      <c r="AO73">
        <v>1574.5098375088126</v>
      </c>
      <c r="AP73">
        <v>3.6800537265976923</v>
      </c>
      <c r="AQ73">
        <v>2057.8860439134291</v>
      </c>
      <c r="AR73">
        <v>3.9450830049983256</v>
      </c>
      <c r="AS73">
        <v>2206.0904163950636</v>
      </c>
      <c r="AT73">
        <v>3.3113122985724495</v>
      </c>
      <c r="AU73">
        <v>1851.6858373617135</v>
      </c>
      <c r="AV73">
        <v>3.6099239127970417</v>
      </c>
      <c r="AW73">
        <v>2018.6694520361054</v>
      </c>
      <c r="AX73">
        <v>2.7952410225893551</v>
      </c>
      <c r="AY73">
        <v>1563.0987798319672</v>
      </c>
      <c r="AZ73">
        <v>3.5527523074212315</v>
      </c>
      <c r="BA73">
        <v>1986.6990903099525</v>
      </c>
      <c r="BB73">
        <v>4.0927022484715199</v>
      </c>
      <c r="BC73">
        <v>2288.6390973452735</v>
      </c>
      <c r="BD73">
        <v>2.9338793317151994</v>
      </c>
      <c r="BE73">
        <v>1640.6253222951393</v>
      </c>
      <c r="BF73">
        <v>3.3083481695938453</v>
      </c>
      <c r="BG73">
        <v>1850.028296436878</v>
      </c>
      <c r="BH73">
        <v>3.5802022263494013</v>
      </c>
      <c r="BI73">
        <v>2002.049084974585</v>
      </c>
      <c r="BJ73">
        <v>3.8193716999230203</v>
      </c>
      <c r="BK73">
        <v>2135.7926545969526</v>
      </c>
      <c r="BL73">
        <v>2.618124381760405</v>
      </c>
      <c r="BM73">
        <v>1464.0551542804183</v>
      </c>
      <c r="BN73">
        <v>3.107718360689085</v>
      </c>
      <c r="BO73">
        <v>1737.8361072973362</v>
      </c>
      <c r="BP73">
        <v>3.2378073189259453</v>
      </c>
      <c r="BQ73">
        <v>1810.5818527433885</v>
      </c>
      <c r="BR73">
        <v>3.6241874864938666</v>
      </c>
      <c r="BS73">
        <v>2026.6456424473699</v>
      </c>
      <c r="BT73">
        <v>3.6867292434982959</v>
      </c>
      <c r="BU73">
        <v>2061.6189929642469</v>
      </c>
      <c r="BV73">
        <v>3.1533579459718313</v>
      </c>
      <c r="BW73">
        <v>1763.3577633874479</v>
      </c>
      <c r="BX73">
        <v>3.0155815236114747</v>
      </c>
      <c r="BY73">
        <v>1686.3131880035364</v>
      </c>
      <c r="BZ73">
        <v>3.6243865244868907</v>
      </c>
      <c r="CA73">
        <v>2026.7569444930691</v>
      </c>
      <c r="CB73">
        <v>3.5099052728017566</v>
      </c>
      <c r="CC73">
        <v>1962.739028550742</v>
      </c>
      <c r="CD73">
        <v>4.0894089014979667</v>
      </c>
      <c r="CE73">
        <v>2286.7974577176628</v>
      </c>
      <c r="CF73">
        <v>3.8592864427746467</v>
      </c>
      <c r="CG73">
        <v>2158.1129787995824</v>
      </c>
      <c r="CH73">
        <v>4.4823507707940315</v>
      </c>
      <c r="CI73">
        <v>2506.5305510280223</v>
      </c>
      <c r="CJ73">
        <v>4.0243745140312539</v>
      </c>
      <c r="CK73">
        <v>2250.4302282462768</v>
      </c>
      <c r="CL73">
        <v>2.9527501545869956</v>
      </c>
      <c r="CM73">
        <v>1651.1778864450478</v>
      </c>
      <c r="CN73">
        <v>4.2376303263400548</v>
      </c>
      <c r="CO73">
        <v>2369.6828784893582</v>
      </c>
      <c r="CP73">
        <v>3.8433409089942874</v>
      </c>
      <c r="CQ73">
        <v>2149.1962363096054</v>
      </c>
      <c r="CR73">
        <v>4.0477193534922673</v>
      </c>
      <c r="CS73">
        <v>2263.4846624728757</v>
      </c>
      <c r="CT73">
        <v>3.9837018969969362</v>
      </c>
      <c r="CU73">
        <v>2227.6861008006863</v>
      </c>
    </row>
    <row r="74" spans="2:99" x14ac:dyDescent="0.2">
      <c r="C74" s="116" t="s">
        <v>240</v>
      </c>
      <c r="D74">
        <v>17.534528450430503</v>
      </c>
      <c r="E74">
        <v>7069.9218712135789</v>
      </c>
      <c r="F74">
        <v>3.7078702568817663</v>
      </c>
      <c r="G74">
        <v>1495.0132875747281</v>
      </c>
      <c r="H74">
        <v>2.8182364071695725</v>
      </c>
      <c r="I74">
        <v>1136.3129193707716</v>
      </c>
      <c r="J74">
        <v>3.6683518086589624</v>
      </c>
      <c r="K74">
        <v>1479.0794492512937</v>
      </c>
      <c r="L74">
        <v>3.4858059092282279</v>
      </c>
      <c r="M74">
        <v>1405.4769426008215</v>
      </c>
      <c r="N74">
        <v>4.6290750962511842</v>
      </c>
      <c r="O74">
        <v>1866.4430788084774</v>
      </c>
      <c r="P74">
        <v>3.5798181277133585</v>
      </c>
      <c r="Q74">
        <v>1443.3826690940261</v>
      </c>
      <c r="R74">
        <v>3.7839530750941353</v>
      </c>
      <c r="S74">
        <v>1525.6898798779553</v>
      </c>
      <c r="T74">
        <v>2.9182842511569578</v>
      </c>
      <c r="U74">
        <v>1176.6522100664854</v>
      </c>
      <c r="V74">
        <v>3.0107644861423615</v>
      </c>
      <c r="W74">
        <v>1213.9402408126002</v>
      </c>
      <c r="X74">
        <v>3.1400025405086027</v>
      </c>
      <c r="Y74">
        <v>1266.0490243330685</v>
      </c>
      <c r="Z74">
        <v>3.4708124837430994</v>
      </c>
      <c r="AA74">
        <v>1399.4315934452177</v>
      </c>
      <c r="AB74">
        <v>3.4586967385252292</v>
      </c>
      <c r="AC74">
        <v>1394.5465249733725</v>
      </c>
      <c r="AD74">
        <v>3.6390583599138573</v>
      </c>
      <c r="AE74">
        <v>1467.2683307172672</v>
      </c>
      <c r="AF74">
        <v>3.8848199273967841</v>
      </c>
      <c r="AG74">
        <v>1566.3593947263832</v>
      </c>
      <c r="AH74">
        <v>3.6811753101543045</v>
      </c>
      <c r="AI74">
        <v>1484.2498850542156</v>
      </c>
      <c r="AJ74">
        <v>3.5847537313637998</v>
      </c>
      <c r="AK74">
        <v>1445.372704485884</v>
      </c>
      <c r="AL74">
        <v>3.6925738652791407</v>
      </c>
      <c r="AM74">
        <v>1488.8457824805496</v>
      </c>
      <c r="AN74">
        <v>3.0429322057473365</v>
      </c>
      <c r="AO74">
        <v>1226.9102653573261</v>
      </c>
      <c r="AP74">
        <v>3.6604755947108272</v>
      </c>
      <c r="AQ74">
        <v>1475.9037597874055</v>
      </c>
      <c r="AR74">
        <v>3.3562788702971793</v>
      </c>
      <c r="AS74">
        <v>1353.2516405038227</v>
      </c>
      <c r="AT74">
        <v>3.4989925707318474</v>
      </c>
      <c r="AU74">
        <v>1410.7938045190808</v>
      </c>
      <c r="AV74">
        <v>3.471938271167005</v>
      </c>
      <c r="AW74">
        <v>1399.8855109345363</v>
      </c>
      <c r="AX74">
        <v>2.7952410225893551</v>
      </c>
      <c r="AY74">
        <v>1127.0411803080281</v>
      </c>
      <c r="AZ74">
        <v>3.9444570880671406</v>
      </c>
      <c r="BA74">
        <v>1590.405097908671</v>
      </c>
      <c r="BB74">
        <v>3.7199174238749131</v>
      </c>
      <c r="BC74">
        <v>1499.8707053063649</v>
      </c>
      <c r="BD74">
        <v>2.9754347644210548</v>
      </c>
      <c r="BE74">
        <v>1199.6952970145692</v>
      </c>
      <c r="BF74">
        <v>3.7494612588730241</v>
      </c>
      <c r="BG74">
        <v>1511.7827795776032</v>
      </c>
      <c r="BH74">
        <v>3.7378907685149265</v>
      </c>
      <c r="BI74">
        <v>1507.1175578652183</v>
      </c>
      <c r="BJ74">
        <v>4.1912486721773972</v>
      </c>
      <c r="BK74">
        <v>1689.9114646219266</v>
      </c>
      <c r="BL74">
        <v>3.036740876370398</v>
      </c>
      <c r="BM74">
        <v>1224.4139213525445</v>
      </c>
      <c r="BN74">
        <v>2.8765581107747771</v>
      </c>
      <c r="BO74">
        <v>1159.8282302643902</v>
      </c>
      <c r="BP74">
        <v>3.6541805854456744</v>
      </c>
      <c r="BQ74">
        <v>1473.365612051696</v>
      </c>
      <c r="BR74">
        <v>3.3698339173808707</v>
      </c>
      <c r="BS74">
        <v>1358.717035487967</v>
      </c>
      <c r="BT74">
        <v>3.2253393826965628</v>
      </c>
      <c r="BU74">
        <v>1300.4568391032542</v>
      </c>
      <c r="BV74">
        <v>3.3548047237049712</v>
      </c>
      <c r="BW74">
        <v>1352.6572645978442</v>
      </c>
      <c r="BX74">
        <v>3.5351992577050404</v>
      </c>
      <c r="BY74">
        <v>1425.3923407066723</v>
      </c>
      <c r="BZ74">
        <v>3.3980156623935778</v>
      </c>
      <c r="CA74">
        <v>1370.0799150770906</v>
      </c>
      <c r="CB74">
        <v>3.2820173360559397</v>
      </c>
      <c r="CC74">
        <v>1323.309389897755</v>
      </c>
      <c r="CD74">
        <v>4.1024779168383905</v>
      </c>
      <c r="CE74">
        <v>1654.119096069239</v>
      </c>
      <c r="CF74">
        <v>3.481993401954715</v>
      </c>
      <c r="CG74">
        <v>1403.9397396681411</v>
      </c>
      <c r="CH74">
        <v>4.5000129115404528</v>
      </c>
      <c r="CI74">
        <v>1814.4052059331104</v>
      </c>
      <c r="CJ74">
        <v>4.0243745140312539</v>
      </c>
      <c r="CK74">
        <v>1622.6278040574016</v>
      </c>
      <c r="CL74">
        <v>2.9861381998948331</v>
      </c>
      <c r="CM74">
        <v>1204.0109221975968</v>
      </c>
      <c r="CN74">
        <v>4.4899103284390076</v>
      </c>
      <c r="CO74">
        <v>1810.3318444266079</v>
      </c>
      <c r="CP74">
        <v>3.8824612381241166</v>
      </c>
      <c r="CQ74">
        <v>1565.4083712116437</v>
      </c>
      <c r="CR74">
        <v>3.8734376094416914</v>
      </c>
      <c r="CS74">
        <v>1561.7700441268898</v>
      </c>
      <c r="CT74">
        <v>3.7988424953428916</v>
      </c>
      <c r="CU74">
        <v>1531.693294122254</v>
      </c>
    </row>
    <row r="75" spans="2:99" x14ac:dyDescent="0.2">
      <c r="C75" s="116" t="s">
        <v>241</v>
      </c>
      <c r="D75">
        <v>16.471642750379857</v>
      </c>
      <c r="E75">
        <v>10594.560617044322</v>
      </c>
      <c r="F75">
        <v>3.7078702568817663</v>
      </c>
      <c r="G75">
        <v>2384.9021492263519</v>
      </c>
      <c r="H75">
        <v>2.5620330974268839</v>
      </c>
      <c r="I75">
        <v>1647.8996882649715</v>
      </c>
      <c r="J75">
        <v>3.6683518086589624</v>
      </c>
      <c r="K75">
        <v>2359.4838833294443</v>
      </c>
      <c r="L75">
        <v>3.4858059092282279</v>
      </c>
      <c r="M75">
        <v>2242.0703608155959</v>
      </c>
      <c r="N75">
        <v>4.3976213414386249</v>
      </c>
      <c r="O75">
        <v>2828.5500468133232</v>
      </c>
      <c r="P75">
        <v>3.9817082758364633</v>
      </c>
      <c r="Q75">
        <v>2561.0347630180131</v>
      </c>
      <c r="R75">
        <v>4.2884801517733537</v>
      </c>
      <c r="S75">
        <v>2758.3504336206206</v>
      </c>
      <c r="T75">
        <v>2.6529856828699612</v>
      </c>
      <c r="U75">
        <v>1706.4003912219589</v>
      </c>
      <c r="V75">
        <v>2.7791672179775646</v>
      </c>
      <c r="W75">
        <v>1787.5603546031693</v>
      </c>
      <c r="X75">
        <v>2.8260022864577423</v>
      </c>
      <c r="Y75">
        <v>1817.6846706496196</v>
      </c>
      <c r="Z75">
        <v>3.4256171267850939</v>
      </c>
      <c r="AA75">
        <v>2203.3569359481721</v>
      </c>
      <c r="AB75">
        <v>3.724750333796401</v>
      </c>
      <c r="AC75">
        <v>2395.7594146978449</v>
      </c>
      <c r="AD75">
        <v>3.4578456719839834</v>
      </c>
      <c r="AE75">
        <v>2224.086336220098</v>
      </c>
      <c r="AF75">
        <v>3.4655563595783958</v>
      </c>
      <c r="AG75">
        <v>2229.0458504808239</v>
      </c>
      <c r="AH75">
        <v>3.6811753101543045</v>
      </c>
      <c r="AI75">
        <v>2367.7319594912483</v>
      </c>
      <c r="AJ75">
        <v>3.546242655069423</v>
      </c>
      <c r="AK75">
        <v>2280.9432757406526</v>
      </c>
      <c r="AL75">
        <v>3.5128824551893443</v>
      </c>
      <c r="AM75">
        <v>2259.4859951777862</v>
      </c>
      <c r="AN75">
        <v>3.0208849534604147</v>
      </c>
      <c r="AO75">
        <v>1943.0332020657386</v>
      </c>
      <c r="AP75">
        <v>3.2224942772588392</v>
      </c>
      <c r="AQ75">
        <v>2072.7083191328852</v>
      </c>
      <c r="AR75">
        <v>3.3404747128417354</v>
      </c>
      <c r="AS75">
        <v>2148.593335299804</v>
      </c>
      <c r="AT75">
        <v>3.2935941479945394</v>
      </c>
      <c r="AU75">
        <v>2118.4397559900876</v>
      </c>
      <c r="AV75">
        <v>3.6264854181419883</v>
      </c>
      <c r="AW75">
        <v>2332.5554209489264</v>
      </c>
      <c r="AX75">
        <v>3.0903234171762652</v>
      </c>
      <c r="AY75">
        <v>1987.6960219277737</v>
      </c>
      <c r="AZ75">
        <v>3.9304866193253427</v>
      </c>
      <c r="BA75">
        <v>2528.08899355006</v>
      </c>
      <c r="BB75">
        <v>4.0927022484715199</v>
      </c>
      <c r="BC75">
        <v>2632.4260862168812</v>
      </c>
      <c r="BD75">
        <v>2.9530135800667243</v>
      </c>
      <c r="BE75">
        <v>1899.3783346989169</v>
      </c>
      <c r="BF75">
        <v>3.3251776123918377</v>
      </c>
      <c r="BG75">
        <v>2138.7542402904296</v>
      </c>
      <c r="BH75">
        <v>3.2471449052176111</v>
      </c>
      <c r="BI75">
        <v>2088.5636030359674</v>
      </c>
      <c r="BJ75">
        <v>3.4096964116979525</v>
      </c>
      <c r="BK75">
        <v>2193.1167320041227</v>
      </c>
      <c r="BL75">
        <v>2.6203906719797265</v>
      </c>
      <c r="BM75">
        <v>1685.4352802173598</v>
      </c>
      <c r="BN75">
        <v>3.107718360689085</v>
      </c>
      <c r="BO75">
        <v>1998.8844495952192</v>
      </c>
      <c r="BP75">
        <v>3.2555008296994798</v>
      </c>
      <c r="BQ75">
        <v>2093.9381336627052</v>
      </c>
      <c r="BR75">
        <v>3.1359069431656583</v>
      </c>
      <c r="BS75">
        <v>2017.0153458441512</v>
      </c>
      <c r="BT75">
        <v>3.4475713460995374</v>
      </c>
      <c r="BU75">
        <v>2217.4778898112222</v>
      </c>
      <c r="BV75">
        <v>3.1816762654402106</v>
      </c>
      <c r="BW75">
        <v>2046.4541739311433</v>
      </c>
      <c r="BX75">
        <v>3.5351992577050404</v>
      </c>
      <c r="BY75">
        <v>2273.8401625558818</v>
      </c>
      <c r="BZ75">
        <v>3.3847718684761436</v>
      </c>
      <c r="CA75">
        <v>2177.0852658038552</v>
      </c>
      <c r="CB75">
        <v>3.0541293993101228</v>
      </c>
      <c r="CC75">
        <v>1964.4160296362709</v>
      </c>
      <c r="CD75">
        <v>3.9117299378709376</v>
      </c>
      <c r="CE75">
        <v>2516.0246960385866</v>
      </c>
      <c r="CF75">
        <v>3.8775498992147313</v>
      </c>
      <c r="CG75">
        <v>2494.0400951749148</v>
      </c>
      <c r="CH75">
        <v>3.8099354568983412</v>
      </c>
      <c r="CI75">
        <v>2450.5504858770128</v>
      </c>
      <c r="CJ75">
        <v>3.5662117552436041</v>
      </c>
      <c r="CK75">
        <v>2293.7874009726861</v>
      </c>
      <c r="CL75">
        <v>2.7465414976982387</v>
      </c>
      <c r="CM75">
        <v>1766.5754913195069</v>
      </c>
      <c r="CN75">
        <v>3.6999007514029261</v>
      </c>
      <c r="CO75">
        <v>2379.776163302362</v>
      </c>
      <c r="CP75">
        <v>3.4004950636768747</v>
      </c>
      <c r="CQ75">
        <v>2187.1984249569655</v>
      </c>
      <c r="CR75">
        <v>4.0181359602038071</v>
      </c>
      <c r="CS75">
        <v>2584.4650496030886</v>
      </c>
      <c r="CT75">
        <v>3.7988424953428916</v>
      </c>
      <c r="CU75">
        <v>2443.4154930045474</v>
      </c>
    </row>
    <row r="76" spans="2:99" x14ac:dyDescent="0.2">
      <c r="C76" s="116" t="s">
        <v>242</v>
      </c>
      <c r="D76">
        <v>17.534528450430503</v>
      </c>
      <c r="E76">
        <v>13655.890757195275</v>
      </c>
      <c r="F76">
        <v>3.4226494678908614</v>
      </c>
      <c r="G76">
        <v>2665.5594055934025</v>
      </c>
      <c r="H76">
        <v>2.3058297876841953</v>
      </c>
      <c r="I76">
        <v>1795.7802386484511</v>
      </c>
      <c r="J76">
        <v>3.6683518086589624</v>
      </c>
      <c r="K76">
        <v>2856.9123885835997</v>
      </c>
      <c r="L76">
        <v>3.7762897349972468</v>
      </c>
      <c r="M76">
        <v>2940.9744456158555</v>
      </c>
      <c r="N76">
        <v>4.1661675866260657</v>
      </c>
      <c r="O76">
        <v>3244.6113164643798</v>
      </c>
      <c r="P76">
        <v>3.9751582010897848</v>
      </c>
      <c r="Q76">
        <v>3095.8532070087244</v>
      </c>
      <c r="R76">
        <v>4.2884801517733537</v>
      </c>
      <c r="S76">
        <v>3339.8683422010877</v>
      </c>
      <c r="T76">
        <v>2.9182842511569578</v>
      </c>
      <c r="U76">
        <v>2272.7597748010385</v>
      </c>
      <c r="V76">
        <v>2.5475699498127673</v>
      </c>
      <c r="W76">
        <v>1984.0474769141831</v>
      </c>
      <c r="X76">
        <v>3.1400025405086027</v>
      </c>
      <c r="Y76">
        <v>2445.4339785480997</v>
      </c>
      <c r="Z76">
        <v>3.4256171267850939</v>
      </c>
      <c r="AA76">
        <v>2667.870618340231</v>
      </c>
      <c r="AB76">
        <v>3.4586967385252292</v>
      </c>
      <c r="AC76">
        <v>2693.6330199634485</v>
      </c>
      <c r="AD76">
        <v>3.2197364184359651</v>
      </c>
      <c r="AE76">
        <v>2507.5307226779296</v>
      </c>
      <c r="AF76">
        <v>3.4655563595783958</v>
      </c>
      <c r="AG76">
        <v>2698.9752928396547</v>
      </c>
      <c r="AH76">
        <v>3.4119929529396109</v>
      </c>
      <c r="AI76">
        <v>2657.2601117493687</v>
      </c>
      <c r="AJ76">
        <v>3.1001539670935259</v>
      </c>
      <c r="AK76">
        <v>2414.399909572438</v>
      </c>
      <c r="AL76">
        <v>3.3053473377422473</v>
      </c>
      <c r="AM76">
        <v>2574.2045066336623</v>
      </c>
      <c r="AN76">
        <v>2.8135507463541338</v>
      </c>
      <c r="AO76">
        <v>2191.1933212605991</v>
      </c>
      <c r="AP76">
        <v>3.4316958700414002</v>
      </c>
      <c r="AQ76">
        <v>2672.6047435882424</v>
      </c>
      <c r="AR76">
        <v>3.722474697672205</v>
      </c>
      <c r="AS76">
        <v>2899.0632945471129</v>
      </c>
      <c r="AT76">
        <v>3.0881957252572314</v>
      </c>
      <c r="AU76">
        <v>2405.0868308303316</v>
      </c>
      <c r="AV76">
        <v>3.2842681135021281</v>
      </c>
      <c r="AW76">
        <v>2557.788006795457</v>
      </c>
      <c r="AX76">
        <v>2.8174671544864616</v>
      </c>
      <c r="AY76">
        <v>2194.2434199140562</v>
      </c>
      <c r="AZ76">
        <v>3.3499146827273774</v>
      </c>
      <c r="BA76">
        <v>2608.9135549080816</v>
      </c>
      <c r="BB76">
        <v>3.6895129236661255</v>
      </c>
      <c r="BC76">
        <v>2873.3926649511782</v>
      </c>
      <c r="BD76">
        <v>2.7223015930151582</v>
      </c>
      <c r="BE76">
        <v>2120.128480640205</v>
      </c>
      <c r="BF76">
        <v>3.5120752714354428</v>
      </c>
      <c r="BG76">
        <v>2735.2042213939226</v>
      </c>
      <c r="BH76">
        <v>3.2307071713265785</v>
      </c>
      <c r="BI76">
        <v>2516.0747450291392</v>
      </c>
      <c r="BJ76">
        <v>3.9769614490721912</v>
      </c>
      <c r="BK76">
        <v>3097.2575765374222</v>
      </c>
      <c r="BL76">
        <v>2.8356089360067576</v>
      </c>
      <c r="BM76">
        <v>2208.3722393620628</v>
      </c>
      <c r="BN76">
        <v>3.1661620446509846</v>
      </c>
      <c r="BO76">
        <v>2465.8070003741868</v>
      </c>
      <c r="BP76">
        <v>3.2555008296994798</v>
      </c>
      <c r="BQ76">
        <v>2535.3840461699547</v>
      </c>
      <c r="BR76">
        <v>3.349407322483088</v>
      </c>
      <c r="BS76">
        <v>2608.5184227498289</v>
      </c>
      <c r="BT76">
        <v>3.2253393826965628</v>
      </c>
      <c r="BU76">
        <v>2511.8943112440829</v>
      </c>
      <c r="BV76">
        <v>2.7255289727742178</v>
      </c>
      <c r="BW76">
        <v>2122.6419639965607</v>
      </c>
      <c r="BX76">
        <v>2.9883059494116879</v>
      </c>
      <c r="BY76">
        <v>2327.2926734018224</v>
      </c>
      <c r="BZ76">
        <v>3.2113761820525655</v>
      </c>
      <c r="CA76">
        <v>2501.0197705825381</v>
      </c>
      <c r="CB76">
        <v>3.4500038681091958</v>
      </c>
      <c r="CC76">
        <v>2686.8630124834417</v>
      </c>
      <c r="CD76">
        <v>4.0763398861575428</v>
      </c>
      <c r="CE76">
        <v>3174.6535033394944</v>
      </c>
      <c r="CF76">
        <v>3.6434225668106688</v>
      </c>
      <c r="CG76">
        <v>2837.4974950321489</v>
      </c>
      <c r="CH76">
        <v>3.8099354568983412</v>
      </c>
      <c r="CI76">
        <v>2967.1777338324282</v>
      </c>
      <c r="CJ76">
        <v>3.5488796133321068</v>
      </c>
      <c r="CK76">
        <v>2763.8674428630447</v>
      </c>
      <c r="CL76">
        <v>2.7465414976982387</v>
      </c>
      <c r="CM76">
        <v>2139.0065184073883</v>
      </c>
      <c r="CN76">
        <v>3.8700143417419799</v>
      </c>
      <c r="CO76">
        <v>3013.9671693486539</v>
      </c>
      <c r="CP76">
        <v>3.3969400028752048</v>
      </c>
      <c r="CQ76">
        <v>2645.5368742392093</v>
      </c>
      <c r="CR76">
        <v>3.6695724721026548</v>
      </c>
      <c r="CS76">
        <v>2857.8630412735474</v>
      </c>
      <c r="CT76">
        <v>3.6299005305730709</v>
      </c>
      <c r="CU76">
        <v>2826.9665332103073</v>
      </c>
    </row>
    <row r="77" spans="2:99" x14ac:dyDescent="0.2">
      <c r="C77" s="116" t="s">
        <v>243</v>
      </c>
      <c r="D77">
        <v>19.550249875443164</v>
      </c>
      <c r="E77">
        <v>5442.7895653233763</v>
      </c>
      <c r="F77">
        <v>4.2783118348635769</v>
      </c>
      <c r="G77">
        <v>1191.0820148260198</v>
      </c>
      <c r="H77">
        <v>2.5620330974268839</v>
      </c>
      <c r="I77">
        <v>713.27001432364443</v>
      </c>
      <c r="J77">
        <v>3.9303769378488878</v>
      </c>
      <c r="K77">
        <v>1094.2169394971302</v>
      </c>
      <c r="L77">
        <v>3.7762897349972468</v>
      </c>
      <c r="M77">
        <v>1051.3190622232335</v>
      </c>
      <c r="N77">
        <v>4.1661675866260657</v>
      </c>
      <c r="O77">
        <v>1159.8610561166965</v>
      </c>
      <c r="P77">
        <v>4.1892034246446945</v>
      </c>
      <c r="Q77">
        <v>1166.274233421083</v>
      </c>
      <c r="R77">
        <v>4.5407436901129623</v>
      </c>
      <c r="S77">
        <v>1264.1430433274486</v>
      </c>
      <c r="T77">
        <v>3.1757766668370415</v>
      </c>
      <c r="U77">
        <v>884.13622404743228</v>
      </c>
      <c r="V77">
        <v>2.7791672179775646</v>
      </c>
      <c r="W77">
        <v>773.72015348495393</v>
      </c>
      <c r="X77">
        <v>3.4540027945594627</v>
      </c>
      <c r="Y77">
        <v>961.59437800535432</v>
      </c>
      <c r="Z77">
        <v>3.2177331717499391</v>
      </c>
      <c r="AA77">
        <v>895.81691501518299</v>
      </c>
      <c r="AB77">
        <v>3.724750333796401</v>
      </c>
      <c r="AC77">
        <v>1036.970492928918</v>
      </c>
      <c r="AD77">
        <v>3.4483629110476266</v>
      </c>
      <c r="AE77">
        <v>960.0242344356592</v>
      </c>
      <c r="AF77">
        <v>3.8476706550530175</v>
      </c>
      <c r="AG77">
        <v>1071.19151036676</v>
      </c>
      <c r="AH77">
        <v>3.4469440292801732</v>
      </c>
      <c r="AI77">
        <v>959.62921775160009</v>
      </c>
      <c r="AJ77">
        <v>3.1194095052407143</v>
      </c>
      <c r="AK77">
        <v>868.44360625901481</v>
      </c>
      <c r="AL77">
        <v>3.5407261625466462</v>
      </c>
      <c r="AM77">
        <v>985.73816365298626</v>
      </c>
      <c r="AN77">
        <v>3.2896442054602617</v>
      </c>
      <c r="AO77">
        <v>915.83694680013673</v>
      </c>
      <c r="AP77">
        <v>3.4512740019282662</v>
      </c>
      <c r="AQ77">
        <v>960.8346821368292</v>
      </c>
      <c r="AR77">
        <v>4.1044746825026737</v>
      </c>
      <c r="AS77">
        <v>1142.6857516087443</v>
      </c>
      <c r="AT77">
        <v>3.4989925707318474</v>
      </c>
      <c r="AU77">
        <v>974.11953169174626</v>
      </c>
      <c r="AV77">
        <v>3.8638400918417055</v>
      </c>
      <c r="AW77">
        <v>1075.6930815687308</v>
      </c>
      <c r="AX77">
        <v>3.3187274160718556</v>
      </c>
      <c r="AY77">
        <v>923.93371263440451</v>
      </c>
      <c r="AZ77">
        <v>3.5387818386794323</v>
      </c>
      <c r="BA77">
        <v>985.19686388835385</v>
      </c>
      <c r="BB77">
        <v>4.1079044985759143</v>
      </c>
      <c r="BC77">
        <v>1143.6406124035345</v>
      </c>
      <c r="BD77">
        <v>3.2081992198398455</v>
      </c>
      <c r="BE77">
        <v>893.1626628034129</v>
      </c>
      <c r="BF77">
        <v>3.6989729304790471</v>
      </c>
      <c r="BG77">
        <v>1029.7940638453665</v>
      </c>
      <c r="BH77">
        <v>3.2294646684168717</v>
      </c>
      <c r="BI77">
        <v>899.08296368725701</v>
      </c>
      <c r="BJ77">
        <v>4.0147597650428821</v>
      </c>
      <c r="BK77">
        <v>1117.7091185879383</v>
      </c>
      <c r="BL77">
        <v>2.6390095760817585</v>
      </c>
      <c r="BM77">
        <v>734.70026598116146</v>
      </c>
      <c r="BN77">
        <v>3.358359838590693</v>
      </c>
      <c r="BO77">
        <v>934.96737906364888</v>
      </c>
      <c r="BP77">
        <v>3.4548407075725769</v>
      </c>
      <c r="BQ77">
        <v>961.82765298820527</v>
      </c>
      <c r="BR77">
        <v>3.9398208403002108</v>
      </c>
      <c r="BS77">
        <v>1096.8461219395786</v>
      </c>
      <c r="BT77">
        <v>3.4983491480868891</v>
      </c>
      <c r="BU77">
        <v>973.9404028273899</v>
      </c>
      <c r="BV77">
        <v>3.3419987246655993</v>
      </c>
      <c r="BW77">
        <v>930.41244494690272</v>
      </c>
      <c r="BX77">
        <v>3.298745622388962</v>
      </c>
      <c r="BY77">
        <v>918.37078127308689</v>
      </c>
      <c r="BZ77">
        <v>3.2113761820525655</v>
      </c>
      <c r="CA77">
        <v>894.04712908343413</v>
      </c>
      <c r="CB77">
        <v>3.5099052728017566</v>
      </c>
      <c r="CC77">
        <v>977.15762794800889</v>
      </c>
      <c r="CD77">
        <v>4.254018849784571</v>
      </c>
      <c r="CE77">
        <v>1184.3188477800245</v>
      </c>
      <c r="CF77">
        <v>4.1859733400986094</v>
      </c>
      <c r="CG77">
        <v>1165.3749778834529</v>
      </c>
      <c r="CH77">
        <v>4.7182639692568751</v>
      </c>
      <c r="CI77">
        <v>1313.564689041114</v>
      </c>
      <c r="CJ77">
        <v>4.2621219643808272</v>
      </c>
      <c r="CK77">
        <v>1186.5747548836223</v>
      </c>
      <c r="CL77">
        <v>3.002832222548752</v>
      </c>
      <c r="CM77">
        <v>835.98849075757255</v>
      </c>
      <c r="CN77">
        <v>4.0949055399209664</v>
      </c>
      <c r="CO77">
        <v>1140.0217023139969</v>
      </c>
      <c r="CP77">
        <v>3.6038293869407187</v>
      </c>
      <c r="CQ77">
        <v>1003.306101324296</v>
      </c>
      <c r="CR77">
        <v>3.6991558653911158</v>
      </c>
      <c r="CS77">
        <v>1029.8449929248866</v>
      </c>
      <c r="CT77">
        <v>4.0473716445338335</v>
      </c>
      <c r="CU77">
        <v>1126.7882658382191</v>
      </c>
    </row>
    <row r="78" spans="2:99" x14ac:dyDescent="0.2">
      <c r="C78" s="116" t="s">
        <v>244</v>
      </c>
      <c r="D78">
        <v>16.534528450430503</v>
      </c>
      <c r="E78">
        <v>9127.0597046376388</v>
      </c>
      <c r="F78">
        <v>3.7078702568817663</v>
      </c>
      <c r="G78">
        <v>2046.744381798735</v>
      </c>
      <c r="H78">
        <v>2.8182364071695725</v>
      </c>
      <c r="I78">
        <v>1555.6664967576039</v>
      </c>
      <c r="J78">
        <v>4.192402067038814</v>
      </c>
      <c r="K78">
        <v>2314.2059410054253</v>
      </c>
      <c r="L78">
        <v>3.7762897349972468</v>
      </c>
      <c r="M78">
        <v>2084.5119337184801</v>
      </c>
      <c r="N78">
        <v>3.9347138318135069</v>
      </c>
      <c r="O78">
        <v>2171.9620351610556</v>
      </c>
      <c r="P78">
        <v>3.5798181277133585</v>
      </c>
      <c r="Q78">
        <v>1976.059606497774</v>
      </c>
      <c r="R78">
        <v>3.7839530750941353</v>
      </c>
      <c r="S78">
        <v>2088.7420974519628</v>
      </c>
      <c r="T78">
        <v>2.9338965563707835</v>
      </c>
      <c r="U78">
        <v>1619.5108991166726</v>
      </c>
      <c r="V78">
        <v>2.7791672179775646</v>
      </c>
      <c r="W78">
        <v>1534.1003043236158</v>
      </c>
      <c r="X78">
        <v>3.4540027945594627</v>
      </c>
      <c r="Y78">
        <v>1906.6095425968233</v>
      </c>
      <c r="Z78">
        <v>3.4256171267850939</v>
      </c>
      <c r="AA78">
        <v>1890.9406539853719</v>
      </c>
      <c r="AB78">
        <v>3.1926431432540578</v>
      </c>
      <c r="AC78">
        <v>1762.33901507624</v>
      </c>
      <c r="AD78">
        <v>3.2102536574996074</v>
      </c>
      <c r="AE78">
        <v>1772.0600189397833</v>
      </c>
      <c r="AF78">
        <v>4.0665897570481526</v>
      </c>
      <c r="AG78">
        <v>2244.7575458905803</v>
      </c>
      <c r="AH78">
        <v>3.4644195674504537</v>
      </c>
      <c r="AI78">
        <v>1912.3596012326504</v>
      </c>
      <c r="AJ78">
        <v>3.0808984289463375</v>
      </c>
      <c r="AK78">
        <v>1700.6559327783782</v>
      </c>
      <c r="AL78">
        <v>3.3331910450995483</v>
      </c>
      <c r="AM78">
        <v>1839.9214568949508</v>
      </c>
      <c r="AN78">
        <v>3.2691691904957403</v>
      </c>
      <c r="AO78">
        <v>1804.5813931536486</v>
      </c>
      <c r="AP78">
        <v>3.4512740019282662</v>
      </c>
      <c r="AQ78">
        <v>1905.1032490644029</v>
      </c>
      <c r="AR78">
        <v>3.3562788702971793</v>
      </c>
      <c r="AS78">
        <v>1852.6659364040429</v>
      </c>
      <c r="AT78">
        <v>3.3290304491503586</v>
      </c>
      <c r="AU78">
        <v>1837.624807930998</v>
      </c>
      <c r="AV78">
        <v>3.6430469234869354</v>
      </c>
      <c r="AW78">
        <v>2010.9619017647883</v>
      </c>
      <c r="AX78">
        <v>3.1071144065816712</v>
      </c>
      <c r="AY78">
        <v>1715.1271524330825</v>
      </c>
      <c r="AZ78">
        <v>3.7695604008568839</v>
      </c>
      <c r="BA78">
        <v>2080.7973412729998</v>
      </c>
      <c r="BB78">
        <v>3.7047151737705195</v>
      </c>
      <c r="BC78">
        <v>2045.0027759213267</v>
      </c>
      <c r="BD78">
        <v>2.7659094940882385</v>
      </c>
      <c r="BE78">
        <v>1526.7820407367076</v>
      </c>
      <c r="BF78">
        <v>3.2915187267958523</v>
      </c>
      <c r="BG78">
        <v>1816.9183371913105</v>
      </c>
      <c r="BH78">
        <v>3.4073184532025493</v>
      </c>
      <c r="BI78">
        <v>1880.8397861678072</v>
      </c>
      <c r="BJ78">
        <v>3.5861853188324693</v>
      </c>
      <c r="BK78">
        <v>1979.574295995523</v>
      </c>
      <c r="BL78">
        <v>2.6196352419066193</v>
      </c>
      <c r="BM78">
        <v>1446.038653532454</v>
      </c>
      <c r="BN78">
        <v>3.107718360689085</v>
      </c>
      <c r="BO78">
        <v>1715.460535100375</v>
      </c>
      <c r="BP78">
        <v>3.4371471967990428</v>
      </c>
      <c r="BQ78">
        <v>1897.3052526330716</v>
      </c>
      <c r="BR78">
        <v>3.6446140813916492</v>
      </c>
      <c r="BS78">
        <v>2011.8269729281903</v>
      </c>
      <c r="BT78">
        <v>3.4644972800953213</v>
      </c>
      <c r="BU78">
        <v>1912.4024986126174</v>
      </c>
      <c r="BV78">
        <v>2.9532643289335097</v>
      </c>
      <c r="BW78">
        <v>1630.2019095712974</v>
      </c>
      <c r="BX78">
        <v>3.298745622388962</v>
      </c>
      <c r="BY78">
        <v>1820.9075835587071</v>
      </c>
      <c r="BZ78">
        <v>3.0512242895464201</v>
      </c>
      <c r="CA78">
        <v>1684.275807829624</v>
      </c>
      <c r="CB78">
        <v>3.0141951295150826</v>
      </c>
      <c r="CC78">
        <v>1663.8357114923256</v>
      </c>
      <c r="CD78">
        <v>3.88559190719009</v>
      </c>
      <c r="CE78">
        <v>2144.8467327689295</v>
      </c>
      <c r="CF78">
        <v>3.6787071969713567</v>
      </c>
      <c r="CG78">
        <v>2030.6463727281889</v>
      </c>
      <c r="CH78">
        <v>4.246437572331188</v>
      </c>
      <c r="CI78">
        <v>2344.0335399268156</v>
      </c>
      <c r="CJ78">
        <v>4.2101255386463361</v>
      </c>
      <c r="CK78">
        <v>2323.9892973327774</v>
      </c>
      <c r="CL78">
        <v>2.7465414976982387</v>
      </c>
      <c r="CM78">
        <v>1516.0909067294278</v>
      </c>
      <c r="CN78">
        <v>4.0538223340410173</v>
      </c>
      <c r="CO78">
        <v>2237.7099283906414</v>
      </c>
      <c r="CP78">
        <v>3.6592607850645749</v>
      </c>
      <c r="CQ78">
        <v>2019.9119533556454</v>
      </c>
      <c r="CR78">
        <v>3.4804990314078488</v>
      </c>
      <c r="CS78">
        <v>1921.2354653371326</v>
      </c>
      <c r="CT78">
        <v>3.4450411289190264</v>
      </c>
      <c r="CU78">
        <v>1901.6627031633025</v>
      </c>
    </row>
    <row r="79" spans="2:99" x14ac:dyDescent="0.2">
      <c r="C79" s="116" t="s">
        <v>245</v>
      </c>
      <c r="D79">
        <v>19.503085600405178</v>
      </c>
      <c r="E79">
        <v>14767.7364166268</v>
      </c>
      <c r="F79">
        <v>3.9930910458726716</v>
      </c>
      <c r="G79">
        <v>3023.5685399347867</v>
      </c>
      <c r="H79">
        <v>2.8182364071695725</v>
      </c>
      <c r="I79">
        <v>2133.9686075088002</v>
      </c>
      <c r="J79">
        <v>3.6683518086589624</v>
      </c>
      <c r="K79">
        <v>2777.675989516566</v>
      </c>
      <c r="L79">
        <v>3.1953220834592084</v>
      </c>
      <c r="M79">
        <v>2419.4978815953123</v>
      </c>
      <c r="N79">
        <v>3.7032600770009472</v>
      </c>
      <c r="O79">
        <v>2804.1085303051168</v>
      </c>
      <c r="P79">
        <v>3.7938633512682682</v>
      </c>
      <c r="Q79">
        <v>2872.7133295803324</v>
      </c>
      <c r="R79">
        <v>4.0362166134337443</v>
      </c>
      <c r="S79">
        <v>3056.2232196920309</v>
      </c>
      <c r="T79">
        <v>2.6607918354768745</v>
      </c>
      <c r="U79">
        <v>2014.7515778230891</v>
      </c>
      <c r="V79">
        <v>2.5475699498127673</v>
      </c>
      <c r="W79">
        <v>1929.0199659982272</v>
      </c>
      <c r="X79">
        <v>3.1400025405086027</v>
      </c>
      <c r="Y79">
        <v>2377.6099236731138</v>
      </c>
      <c r="Z79">
        <v>3.1838366540314351</v>
      </c>
      <c r="AA79">
        <v>2410.8011144326024</v>
      </c>
      <c r="AB79">
        <v>3.1926431432540578</v>
      </c>
      <c r="AC79">
        <v>2417.4693880719724</v>
      </c>
      <c r="AD79">
        <v>3.4199146282385535</v>
      </c>
      <c r="AE79">
        <v>2589.5593565022323</v>
      </c>
      <c r="AF79">
        <v>3.6659008254016481</v>
      </c>
      <c r="AG79">
        <v>2775.8201049941276</v>
      </c>
      <c r="AH79">
        <v>3.4469440292801732</v>
      </c>
      <c r="AI79">
        <v>2610.026018970947</v>
      </c>
      <c r="AJ79">
        <v>3.1194095052407143</v>
      </c>
      <c r="AK79">
        <v>2362.0168773682685</v>
      </c>
      <c r="AL79">
        <v>3.7064957189577914</v>
      </c>
      <c r="AM79">
        <v>2806.5585583948396</v>
      </c>
      <c r="AN79">
        <v>2.7741729537474895</v>
      </c>
      <c r="AO79">
        <v>2100.6037605775987</v>
      </c>
      <c r="AP79">
        <v>3.2224942772588392</v>
      </c>
      <c r="AQ79">
        <v>2440.0726667403928</v>
      </c>
      <c r="AR79">
        <v>3.897670532631996</v>
      </c>
      <c r="AS79">
        <v>2951.3161273089472</v>
      </c>
      <c r="AT79">
        <v>3.123632026413051</v>
      </c>
      <c r="AU79">
        <v>2365.2141703999619</v>
      </c>
      <c r="AV79">
        <v>3.455376765822058</v>
      </c>
      <c r="AW79">
        <v>2616.411287080462</v>
      </c>
      <c r="AX79">
        <v>3.3306412653144482</v>
      </c>
      <c r="AY79">
        <v>2521.9615660960999</v>
      </c>
      <c r="AZ79">
        <v>3.9444570880671406</v>
      </c>
      <c r="BA79">
        <v>2986.7429070844387</v>
      </c>
      <c r="BB79">
        <v>3.8835064610166259</v>
      </c>
      <c r="BC79">
        <v>2940.5910922817889</v>
      </c>
      <c r="BD79">
        <v>2.7023493439319917</v>
      </c>
      <c r="BE79">
        <v>2046.2189232253038</v>
      </c>
      <c r="BF79">
        <v>3.1046210677522477</v>
      </c>
      <c r="BG79">
        <v>2350.8190725020017</v>
      </c>
      <c r="BH79">
        <v>3.3846682047629835</v>
      </c>
      <c r="BI79">
        <v>2562.8707646465309</v>
      </c>
      <c r="BJ79">
        <v>3.8004725419376753</v>
      </c>
      <c r="BK79">
        <v>2877.7178087552074</v>
      </c>
      <c r="BL79">
        <v>2.8154791717585108</v>
      </c>
      <c r="BM79">
        <v>2131.8808288555442</v>
      </c>
      <c r="BN79">
        <v>3.146680816663685</v>
      </c>
      <c r="BO79">
        <v>2382.6667143777422</v>
      </c>
      <c r="BP79">
        <v>3.4194536860255074</v>
      </c>
      <c r="BQ79">
        <v>2589.2103310585139</v>
      </c>
      <c r="BR79">
        <v>3.0950537533700926</v>
      </c>
      <c r="BS79">
        <v>2343.5747020518338</v>
      </c>
      <c r="BT79">
        <v>3.4644972800953213</v>
      </c>
      <c r="BU79">
        <v>2623.3173404881773</v>
      </c>
      <c r="BV79">
        <v>2.9377520085045008</v>
      </c>
      <c r="BW79">
        <v>2224.4658208396077</v>
      </c>
      <c r="BX79">
        <v>3.2520351589275536</v>
      </c>
      <c r="BY79">
        <v>2462.4410223399432</v>
      </c>
      <c r="BZ79">
        <v>3.411259456311011</v>
      </c>
      <c r="CA79">
        <v>2583.0056603186972</v>
      </c>
      <c r="CB79">
        <v>3.4899381379042365</v>
      </c>
      <c r="CC79">
        <v>2642.5811580210875</v>
      </c>
      <c r="CD79">
        <v>3.6817749128822124</v>
      </c>
      <c r="CE79">
        <v>2787.839964034411</v>
      </c>
      <c r="CF79">
        <v>3.6604437405312726</v>
      </c>
      <c r="CG79">
        <v>2771.6880003302795</v>
      </c>
      <c r="CH79">
        <v>4.0281865146147648</v>
      </c>
      <c r="CI79">
        <v>3050.1428288662996</v>
      </c>
      <c r="CJ79">
        <v>3.8039592055931779</v>
      </c>
      <c r="CK79">
        <v>2880.3579104751539</v>
      </c>
      <c r="CL79">
        <v>3.002832222548752</v>
      </c>
      <c r="CM79">
        <v>2273.7445589139147</v>
      </c>
      <c r="CN79">
        <v>3.6725119474829597</v>
      </c>
      <c r="CO79">
        <v>2780.8260466340967</v>
      </c>
      <c r="CP79">
        <v>3.6244312993214427</v>
      </c>
      <c r="CQ79">
        <v>2744.4193798461961</v>
      </c>
      <c r="CR79">
        <v>3.6547807754584252</v>
      </c>
      <c r="CS79">
        <v>2767.4000031771193</v>
      </c>
      <c r="CT79">
        <v>3.7829250584586673</v>
      </c>
      <c r="CU79">
        <v>2864.4308542649028</v>
      </c>
    </row>
    <row r="80" spans="2:99" x14ac:dyDescent="0.2">
      <c r="C80" s="116" t="s">
        <v>246</v>
      </c>
      <c r="D80">
        <v>17.455921325367193</v>
      </c>
      <c r="E80">
        <v>14055.507851185663</v>
      </c>
      <c r="F80">
        <v>3.7078702568817663</v>
      </c>
      <c r="G80">
        <v>2985.5771308411981</v>
      </c>
      <c r="H80">
        <v>2.8182364071695725</v>
      </c>
      <c r="I80">
        <v>2269.2439550529398</v>
      </c>
      <c r="J80">
        <v>3.4063266794690366</v>
      </c>
      <c r="K80">
        <v>2742.7742423084678</v>
      </c>
      <c r="L80">
        <v>3.4858059092282279</v>
      </c>
      <c r="M80">
        <v>2806.7709181105688</v>
      </c>
      <c r="N80">
        <v>4.3976213414386249</v>
      </c>
      <c r="O80">
        <v>3540.9647041263806</v>
      </c>
      <c r="P80">
        <v>4.0013585000765</v>
      </c>
      <c r="Q80">
        <v>3221.8938642615976</v>
      </c>
      <c r="R80">
        <v>4.0362166134337443</v>
      </c>
      <c r="S80">
        <v>3249.9616171368507</v>
      </c>
      <c r="T80">
        <v>2.6529856828699612</v>
      </c>
      <c r="U80">
        <v>2136.1840718468925</v>
      </c>
      <c r="V80">
        <v>2.7791672179775646</v>
      </c>
      <c r="W80">
        <v>2237.7854439155349</v>
      </c>
      <c r="X80">
        <v>3.4540027945594627</v>
      </c>
      <c r="Y80">
        <v>2781.1630501792793</v>
      </c>
      <c r="Z80">
        <v>3.1951354932709366</v>
      </c>
      <c r="AA80">
        <v>2572.7230991817578</v>
      </c>
      <c r="AB80">
        <v>3.1926431432540578</v>
      </c>
      <c r="AC80">
        <v>2570.7162589481673</v>
      </c>
      <c r="AD80">
        <v>3.4293973891749112</v>
      </c>
      <c r="AE80">
        <v>2761.3507777636382</v>
      </c>
      <c r="AF80">
        <v>3.8290960188811347</v>
      </c>
      <c r="AG80">
        <v>3083.1881144030895</v>
      </c>
      <c r="AH80">
        <v>3.4294684911098918</v>
      </c>
      <c r="AI80">
        <v>2761.4080290416846</v>
      </c>
      <c r="AJ80">
        <v>3.2943150038606919</v>
      </c>
      <c r="AK80">
        <v>2652.5824411086287</v>
      </c>
      <c r="AL80">
        <v>3.498960601510694</v>
      </c>
      <c r="AM80">
        <v>2817.3630763364104</v>
      </c>
      <c r="AN80">
        <v>3.0602627460670595</v>
      </c>
      <c r="AO80">
        <v>2464.1235631331961</v>
      </c>
      <c r="AP80">
        <v>3.6604755947108272</v>
      </c>
      <c r="AQ80">
        <v>2947.4149488611579</v>
      </c>
      <c r="AR80">
        <v>3.1336705629710573</v>
      </c>
      <c r="AS80">
        <v>2523.2315373042952</v>
      </c>
      <c r="AT80">
        <v>3.3113122985724495</v>
      </c>
      <c r="AU80">
        <v>2666.2686628105362</v>
      </c>
      <c r="AV80">
        <v>3.0469134398024105</v>
      </c>
      <c r="AW80">
        <v>2453.3747017289006</v>
      </c>
      <c r="AX80">
        <v>3.10321269445142</v>
      </c>
      <c r="AY80">
        <v>2498.7068615722833</v>
      </c>
      <c r="AZ80">
        <v>3.9584275568089393</v>
      </c>
      <c r="BA80">
        <v>3187.3258687425578</v>
      </c>
      <c r="BB80">
        <v>4.1079044985759143</v>
      </c>
      <c r="BC80">
        <v>3307.6847022533261</v>
      </c>
      <c r="BD80">
        <v>2.9960042473220128</v>
      </c>
      <c r="BE80">
        <v>2412.3826199436844</v>
      </c>
      <c r="BF80">
        <v>3.2915187267958523</v>
      </c>
      <c r="BG80">
        <v>2650.3308788160202</v>
      </c>
      <c r="BH80">
        <v>3.4243774385484365</v>
      </c>
      <c r="BI80">
        <v>2757.3087135192009</v>
      </c>
      <c r="BJ80">
        <v>3.8004725419376753</v>
      </c>
      <c r="BK80">
        <v>3060.1404907682158</v>
      </c>
      <c r="BL80">
        <v>2.6087923731574785</v>
      </c>
      <c r="BM80">
        <v>2100.5996188664017</v>
      </c>
      <c r="BN80">
        <v>3.0882371327017855</v>
      </c>
      <c r="BO80">
        <v>2486.6485392514774</v>
      </c>
      <c r="BP80">
        <v>3.2378073189259453</v>
      </c>
      <c r="BQ80">
        <v>2607.0824531991711</v>
      </c>
      <c r="BR80">
        <v>3.0542005635745268</v>
      </c>
      <c r="BS80">
        <v>2459.2422937902088</v>
      </c>
      <c r="BT80">
        <v>3.4475713460995374</v>
      </c>
      <c r="BU80">
        <v>2775.9844478793475</v>
      </c>
      <c r="BV80">
        <v>3.3109740838075825</v>
      </c>
      <c r="BW80">
        <v>2665.9963322818653</v>
      </c>
      <c r="BX80">
        <v>3.0116611811423919</v>
      </c>
      <c r="BY80">
        <v>2424.9895830558539</v>
      </c>
      <c r="BZ80">
        <v>3.1981323881351313</v>
      </c>
      <c r="CA80">
        <v>2575.1361989264074</v>
      </c>
      <c r="CB80">
        <v>3.0141951295150826</v>
      </c>
      <c r="CC80">
        <v>2427.0299182855442</v>
      </c>
      <c r="CD80">
        <v>3.5040959492551838</v>
      </c>
      <c r="CE80">
        <v>2821.4980583402739</v>
      </c>
      <c r="CF80">
        <v>3.1897045102841881</v>
      </c>
      <c r="CG80">
        <v>2568.350071680828</v>
      </c>
      <c r="CH80">
        <v>3.9928622331219241</v>
      </c>
      <c r="CI80">
        <v>3215.0526701097729</v>
      </c>
      <c r="CJ80">
        <v>3.9897102302082588</v>
      </c>
      <c r="CK80">
        <v>3212.5146773636898</v>
      </c>
      <c r="CL80">
        <v>2.456862727539888</v>
      </c>
      <c r="CM80">
        <v>1978.2658682151177</v>
      </c>
      <c r="CN80">
        <v>3.8563199397819972</v>
      </c>
      <c r="CO80">
        <v>3105.1088155124639</v>
      </c>
      <c r="CP80">
        <v>3.6585250024795486</v>
      </c>
      <c r="CQ80">
        <v>2945.8443319965322</v>
      </c>
      <c r="CR80">
        <v>3.6251973821699641</v>
      </c>
      <c r="CS80">
        <v>2919.0089321232549</v>
      </c>
      <c r="CT80">
        <v>3.7829250584586673</v>
      </c>
      <c r="CU80">
        <v>3046.0112570709189</v>
      </c>
    </row>
    <row r="81" spans="2:99" x14ac:dyDescent="0.2">
      <c r="C81" s="116" t="s">
        <v>247</v>
      </c>
      <c r="D81">
        <v>16.503085600405178</v>
      </c>
      <c r="E81">
        <v>12436.725308465342</v>
      </c>
      <c r="F81">
        <v>4.2783118348635769</v>
      </c>
      <c r="G81">
        <v>3224.1357987531915</v>
      </c>
      <c r="H81">
        <v>2.8182364071695725</v>
      </c>
      <c r="I81">
        <v>2123.8229564429898</v>
      </c>
      <c r="J81">
        <v>3.9303769378488878</v>
      </c>
      <c r="K81">
        <v>2961.9320603629217</v>
      </c>
      <c r="L81">
        <v>3.7762897349972468</v>
      </c>
      <c r="M81">
        <v>2845.8119442939255</v>
      </c>
      <c r="N81">
        <v>3.7032600770009472</v>
      </c>
      <c r="O81">
        <v>2790.7767940279141</v>
      </c>
      <c r="P81">
        <v>3.3919732031451635</v>
      </c>
      <c r="Q81">
        <v>2556.1910058901954</v>
      </c>
      <c r="R81">
        <v>3.7839530750941353</v>
      </c>
      <c r="S81">
        <v>2851.5870373909406</v>
      </c>
      <c r="T81">
        <v>2.8870596407293072</v>
      </c>
      <c r="U81">
        <v>2175.6881452536059</v>
      </c>
      <c r="V81">
        <v>2.5475699498127673</v>
      </c>
      <c r="W81">
        <v>1919.8487141789014</v>
      </c>
      <c r="X81">
        <v>3.1400025405086027</v>
      </c>
      <c r="Y81">
        <v>2366.3059145272832</v>
      </c>
      <c r="Z81">
        <v>3.1725378147919341</v>
      </c>
      <c r="AA81">
        <v>2390.8244972272014</v>
      </c>
      <c r="AB81">
        <v>3.724750333796401</v>
      </c>
      <c r="AC81">
        <v>2806.9718515489681</v>
      </c>
      <c r="AD81">
        <v>3.8202710478437298</v>
      </c>
      <c r="AE81">
        <v>2878.9562616550347</v>
      </c>
      <c r="AF81">
        <v>3.6844754615735313</v>
      </c>
      <c r="AG81">
        <v>2776.6207078418133</v>
      </c>
      <c r="AH81">
        <v>3.4294684911098918</v>
      </c>
      <c r="AI81">
        <v>2584.4474549004144</v>
      </c>
      <c r="AJ81">
        <v>2.8867373921791719</v>
      </c>
      <c r="AK81">
        <v>2175.4452987462241</v>
      </c>
      <c r="AL81">
        <v>3.1395777813311012</v>
      </c>
      <c r="AM81">
        <v>2365.985816011118</v>
      </c>
      <c r="AN81">
        <v>3.040311810210004</v>
      </c>
      <c r="AO81">
        <v>2291.1789801742589</v>
      </c>
      <c r="AP81">
        <v>3.4316958700414002</v>
      </c>
      <c r="AQ81">
        <v>2586.1260076631993</v>
      </c>
      <c r="AR81">
        <v>3.3720830277526219</v>
      </c>
      <c r="AS81">
        <v>2541.201769714376</v>
      </c>
      <c r="AT81">
        <v>2.8650791519420133</v>
      </c>
      <c r="AU81">
        <v>2159.1236489035014</v>
      </c>
      <c r="AV81">
        <v>3.2677066081571815</v>
      </c>
      <c r="AW81">
        <v>2462.5436999072522</v>
      </c>
      <c r="AX81">
        <v>2.8535579916912859</v>
      </c>
      <c r="AY81">
        <v>2150.4413025385529</v>
      </c>
      <c r="AZ81">
        <v>3.7416194633732864</v>
      </c>
      <c r="BA81">
        <v>2819.6844275981089</v>
      </c>
      <c r="BB81">
        <v>4.0927022484715199</v>
      </c>
      <c r="BC81">
        <v>3084.2604144481375</v>
      </c>
      <c r="BD81">
        <v>2.7210671253795762</v>
      </c>
      <c r="BE81">
        <v>2050.5961856860486</v>
      </c>
      <c r="BF81">
        <v>3.0877916249542552</v>
      </c>
      <c r="BG81">
        <v>2326.9597685655267</v>
      </c>
      <c r="BH81">
        <v>3.0364156526498669</v>
      </c>
      <c r="BI81">
        <v>2288.2428358369398</v>
      </c>
      <c r="BJ81">
        <v>3.6050844768178139</v>
      </c>
      <c r="BK81">
        <v>2716.7916617299047</v>
      </c>
      <c r="BL81">
        <v>2.6523404696720414</v>
      </c>
      <c r="BM81">
        <v>1998.8037779448505</v>
      </c>
      <c r="BN81">
        <v>2.8570768827874771</v>
      </c>
      <c r="BO81">
        <v>2153.0931388686427</v>
      </c>
      <c r="BP81">
        <v>3.2201138081524103</v>
      </c>
      <c r="BQ81">
        <v>2426.6777658236565</v>
      </c>
      <c r="BR81">
        <v>3.349407322483088</v>
      </c>
      <c r="BS81">
        <v>2524.1133582232551</v>
      </c>
      <c r="BT81">
        <v>3.7205811114898641</v>
      </c>
      <c r="BU81">
        <v>2803.8299256187615</v>
      </c>
      <c r="BV81">
        <v>3.3419987246655993</v>
      </c>
      <c r="BW81">
        <v>2518.5302389079957</v>
      </c>
      <c r="BX81">
        <v>3.2520351589275536</v>
      </c>
      <c r="BY81">
        <v>2450.7336957678044</v>
      </c>
      <c r="BZ81">
        <v>3.0247367017115532</v>
      </c>
      <c r="CA81">
        <v>2279.4415784098264</v>
      </c>
      <c r="CB81">
        <v>3.0341622644126027</v>
      </c>
      <c r="CC81">
        <v>2286.5446824613373</v>
      </c>
      <c r="CD81">
        <v>3.88559190719009</v>
      </c>
      <c r="CE81">
        <v>2928.182061258452</v>
      </c>
      <c r="CF81">
        <v>3.1897045102841881</v>
      </c>
      <c r="CG81">
        <v>2403.7613189501644</v>
      </c>
      <c r="CH81">
        <v>4.246437572331188</v>
      </c>
      <c r="CI81">
        <v>3200.1153545087832</v>
      </c>
      <c r="CJ81">
        <v>3.5488796133321068</v>
      </c>
      <c r="CK81">
        <v>2674.4356766070759</v>
      </c>
      <c r="CL81">
        <v>2.9694441772409146</v>
      </c>
      <c r="CM81">
        <v>2237.7731319687532</v>
      </c>
      <c r="CN81">
        <v>3.8700143417419799</v>
      </c>
      <c r="CO81">
        <v>2916.4428079367563</v>
      </c>
      <c r="CP81">
        <v>3.6103275780824928</v>
      </c>
      <c r="CQ81">
        <v>2720.7428628429666</v>
      </c>
      <c r="CR81">
        <v>3.4804990314078488</v>
      </c>
      <c r="CS81">
        <v>2622.9040700689548</v>
      </c>
      <c r="CT81">
        <v>3.4291236920348021</v>
      </c>
      <c r="CU81">
        <v>2584.1876143174268</v>
      </c>
    </row>
    <row r="82" spans="2:99" x14ac:dyDescent="0.2">
      <c r="C82" s="116" t="s">
        <v>248</v>
      </c>
      <c r="D82">
        <v>19.487364175392518</v>
      </c>
      <c r="E82">
        <v>9915.1708924397117</v>
      </c>
      <c r="F82">
        <v>3.7078702568817663</v>
      </c>
      <c r="G82">
        <v>1886.5643867014423</v>
      </c>
      <c r="H82">
        <v>2.5620330974268839</v>
      </c>
      <c r="I82">
        <v>1303.5624399707983</v>
      </c>
      <c r="J82">
        <v>3.9303769378488878</v>
      </c>
      <c r="K82">
        <v>1999.7757859775136</v>
      </c>
      <c r="L82">
        <v>3.4858059092282279</v>
      </c>
      <c r="M82">
        <v>1773.5780466153219</v>
      </c>
      <c r="N82">
        <v>4.1661675866260657</v>
      </c>
      <c r="O82">
        <v>2119.746068075342</v>
      </c>
      <c r="P82">
        <v>3.7742131270282324</v>
      </c>
      <c r="Q82">
        <v>1920.3196390319642</v>
      </c>
      <c r="R82">
        <v>4.0362166134337443</v>
      </c>
      <c r="S82">
        <v>2053.6270129150885</v>
      </c>
      <c r="T82">
        <v>2.6685979880837869</v>
      </c>
      <c r="U82">
        <v>1357.7826563370304</v>
      </c>
      <c r="V82">
        <v>3.0107644861423615</v>
      </c>
      <c r="W82">
        <v>1531.8769705492332</v>
      </c>
      <c r="X82">
        <v>3.7680030486103231</v>
      </c>
      <c r="Y82">
        <v>1917.1599511329321</v>
      </c>
      <c r="Z82">
        <v>3.6786964387782537</v>
      </c>
      <c r="AA82">
        <v>1871.7207480503751</v>
      </c>
      <c r="AB82">
        <v>3.4586967385252292</v>
      </c>
      <c r="AC82">
        <v>1759.7849005616363</v>
      </c>
      <c r="AD82">
        <v>3.6295755989774992</v>
      </c>
      <c r="AE82">
        <v>1846.7280647597513</v>
      </c>
      <c r="AF82">
        <v>3.4469817234065134</v>
      </c>
      <c r="AG82">
        <v>1753.8243008692336</v>
      </c>
      <c r="AH82">
        <v>3.8979310528581554</v>
      </c>
      <c r="AI82">
        <v>1983.2673196942292</v>
      </c>
      <c r="AJ82">
        <v>3.5847537313637998</v>
      </c>
      <c r="AK82">
        <v>1823.9226985179009</v>
      </c>
      <c r="AL82">
        <v>3.7064957189577914</v>
      </c>
      <c r="AM82">
        <v>1885.8650218057239</v>
      </c>
      <c r="AN82">
        <v>3.059214587852126</v>
      </c>
      <c r="AO82">
        <v>1556.5283822991614</v>
      </c>
      <c r="AP82">
        <v>3.2420724091457047</v>
      </c>
      <c r="AQ82">
        <v>1649.5664417733342</v>
      </c>
      <c r="AR82">
        <v>3.3720830277526219</v>
      </c>
      <c r="AS82">
        <v>1715.7158445205337</v>
      </c>
      <c r="AT82">
        <v>3.0881957252572314</v>
      </c>
      <c r="AU82">
        <v>1571.273985010879</v>
      </c>
      <c r="AV82">
        <v>3.2677066081571815</v>
      </c>
      <c r="AW82">
        <v>1662.6091222303737</v>
      </c>
      <c r="AX82">
        <v>2.8323072878267421</v>
      </c>
      <c r="AY82">
        <v>1441.0779480462461</v>
      </c>
      <c r="AZ82">
        <v>3.5667227761630298</v>
      </c>
      <c r="BA82">
        <v>1814.7485485117493</v>
      </c>
      <c r="BB82">
        <v>3.9291132113298071</v>
      </c>
      <c r="BC82">
        <v>1999.1328019246055</v>
      </c>
      <c r="BD82">
        <v>2.9550660484339488</v>
      </c>
      <c r="BE82">
        <v>1503.5376054431929</v>
      </c>
      <c r="BF82">
        <v>3.5289047142334349</v>
      </c>
      <c r="BG82">
        <v>1795.5067186019712</v>
      </c>
      <c r="BH82">
        <v>3.4048334473831368</v>
      </c>
      <c r="BI82">
        <v>1732.3792580285397</v>
      </c>
      <c r="BJ82">
        <v>3.6239836348031589</v>
      </c>
      <c r="BK82">
        <v>1843.8828733878468</v>
      </c>
      <c r="BL82">
        <v>2.8363643660798648</v>
      </c>
      <c r="BM82">
        <v>1443.1421894614348</v>
      </c>
      <c r="BN82">
        <v>3.4362847505398926</v>
      </c>
      <c r="BO82">
        <v>1748.3816810746971</v>
      </c>
      <c r="BP82">
        <v>3.2378073189259453</v>
      </c>
      <c r="BQ82">
        <v>1647.3963638695207</v>
      </c>
      <c r="BR82">
        <v>3.3902605122786538</v>
      </c>
      <c r="BS82">
        <v>1724.9645486473787</v>
      </c>
      <c r="BT82">
        <v>3.7544329794814315</v>
      </c>
      <c r="BU82">
        <v>1910.2554999601521</v>
      </c>
      <c r="BV82">
        <v>2.9384285888519104</v>
      </c>
      <c r="BW82">
        <v>1495.0724660078517</v>
      </c>
      <c r="BX82">
        <v>2.9688710601500659</v>
      </c>
      <c r="BY82">
        <v>1510.5615954043533</v>
      </c>
      <c r="BZ82">
        <v>3.0247367017115532</v>
      </c>
      <c r="CA82">
        <v>1538.9860338308379</v>
      </c>
      <c r="CB82">
        <v>3.242083066260899</v>
      </c>
      <c r="CC82">
        <v>1649.5718641135452</v>
      </c>
      <c r="CD82">
        <v>4.1024779168383905</v>
      </c>
      <c r="CE82">
        <v>2087.3407640873725</v>
      </c>
      <c r="CF82">
        <v>3.6787071969713567</v>
      </c>
      <c r="CG82">
        <v>1871.726221819026</v>
      </c>
      <c r="CH82">
        <v>4.7182639692568751</v>
      </c>
      <c r="CI82">
        <v>2400.6527075578974</v>
      </c>
      <c r="CJ82">
        <v>4.2101255386463361</v>
      </c>
      <c r="CK82">
        <v>2142.1118740632555</v>
      </c>
      <c r="CL82">
        <v>2.9694441772409146</v>
      </c>
      <c r="CM82">
        <v>1510.8531973801771</v>
      </c>
      <c r="CN82">
        <v>4.0812111379609828</v>
      </c>
      <c r="CO82">
        <v>2076.5202269945476</v>
      </c>
      <c r="CP82">
        <v>3.6429497160705475</v>
      </c>
      <c r="CQ82">
        <v>1853.5328155366942</v>
      </c>
      <c r="CR82">
        <v>3.8438542161532312</v>
      </c>
      <c r="CS82">
        <v>1955.7530251787637</v>
      </c>
      <c r="CT82">
        <v>3.7988424953428916</v>
      </c>
      <c r="CU82">
        <v>1932.8510616304629</v>
      </c>
    </row>
    <row r="83" spans="2:99" x14ac:dyDescent="0.2">
      <c r="C83" s="116" t="s">
        <v>249</v>
      </c>
      <c r="D83">
        <v>17.518807025417843</v>
      </c>
      <c r="E83">
        <v>15073.181564669512</v>
      </c>
      <c r="F83">
        <v>3.9930910458726716</v>
      </c>
      <c r="G83">
        <v>3435.6555358688465</v>
      </c>
      <c r="H83">
        <v>2.5620330974268839</v>
      </c>
      <c r="I83">
        <v>2204.3732770260908</v>
      </c>
      <c r="J83">
        <v>3.6683518086589624</v>
      </c>
      <c r="K83">
        <v>3156.2498961701713</v>
      </c>
      <c r="L83">
        <v>3.4858059092282279</v>
      </c>
      <c r="M83">
        <v>2999.1874042999671</v>
      </c>
      <c r="N83">
        <v>3.7032600770009472</v>
      </c>
      <c r="O83">
        <v>3186.2849702516151</v>
      </c>
      <c r="P83">
        <v>3.7938633512682682</v>
      </c>
      <c r="Q83">
        <v>3264.2400274312181</v>
      </c>
      <c r="R83">
        <v>3.7839530750941353</v>
      </c>
      <c r="S83">
        <v>3255.7132258109937</v>
      </c>
      <c r="T83">
        <v>2.4111055724037032</v>
      </c>
      <c r="U83">
        <v>2074.5152344961461</v>
      </c>
      <c r="V83">
        <v>2.5475699498127673</v>
      </c>
      <c r="W83">
        <v>2191.929184818905</v>
      </c>
      <c r="X83">
        <v>3.1400025405086027</v>
      </c>
      <c r="Y83">
        <v>2701.6581858536019</v>
      </c>
      <c r="Z83">
        <v>3.1838366540314351</v>
      </c>
      <c r="AA83">
        <v>2739.3730571286469</v>
      </c>
      <c r="AB83">
        <v>3.4586967385252292</v>
      </c>
      <c r="AC83">
        <v>2975.8626738271073</v>
      </c>
      <c r="AD83">
        <v>3.6390583599138573</v>
      </c>
      <c r="AE83">
        <v>3131.0458128698829</v>
      </c>
      <c r="AF83">
        <v>3.8476706550530175</v>
      </c>
      <c r="AG83">
        <v>3310.5358316076163</v>
      </c>
      <c r="AH83">
        <v>3.6112731574731809</v>
      </c>
      <c r="AI83">
        <v>3107.1394246899249</v>
      </c>
      <c r="AJ83">
        <v>3.3328260801550691</v>
      </c>
      <c r="AK83">
        <v>2867.5635593654215</v>
      </c>
      <c r="AL83">
        <v>3.1534996350097519</v>
      </c>
      <c r="AM83">
        <v>2713.2710859623903</v>
      </c>
      <c r="AN83">
        <v>2.7925516522821452</v>
      </c>
      <c r="AO83">
        <v>2402.7114416235577</v>
      </c>
      <c r="AP83">
        <v>3.6604755947108272</v>
      </c>
      <c r="AQ83">
        <v>3149.4732016891958</v>
      </c>
      <c r="AR83">
        <v>3.738278855127648</v>
      </c>
      <c r="AS83">
        <v>3216.4151269518284</v>
      </c>
      <c r="AT83">
        <v>3.2935941479945394</v>
      </c>
      <c r="AU83">
        <v>2833.8084049345016</v>
      </c>
      <c r="AV83">
        <v>3.2677066081571815</v>
      </c>
      <c r="AW83">
        <v>2811.534765658439</v>
      </c>
      <c r="AX83">
        <v>2.7730148906922483</v>
      </c>
      <c r="AY83">
        <v>2385.9020119516103</v>
      </c>
      <c r="AZ83">
        <v>3.5108409011958357</v>
      </c>
      <c r="BA83">
        <v>3020.7275113888968</v>
      </c>
      <c r="BB83">
        <v>3.3015258489651247</v>
      </c>
      <c r="BC83">
        <v>2840.632840449593</v>
      </c>
      <c r="BD83">
        <v>2.9762527651526978</v>
      </c>
      <c r="BE83">
        <v>2560.767879137381</v>
      </c>
      <c r="BF83">
        <v>3.1046210677522477</v>
      </c>
      <c r="BG83">
        <v>2671.2159666940338</v>
      </c>
      <c r="BH83">
        <v>3.2490086595821714</v>
      </c>
      <c r="BI83">
        <v>2795.4470507045003</v>
      </c>
      <c r="BJ83">
        <v>3.6050844768178139</v>
      </c>
      <c r="BK83">
        <v>3101.814683854047</v>
      </c>
      <c r="BL83">
        <v>2.4378776357181176</v>
      </c>
      <c r="BM83">
        <v>2097.5499177718684</v>
      </c>
      <c r="BN83">
        <v>2.8375956548001775</v>
      </c>
      <c r="BO83">
        <v>2441.4673013900729</v>
      </c>
      <c r="BP83">
        <v>3.4548407075725769</v>
      </c>
      <c r="BQ83">
        <v>2972.5449447954452</v>
      </c>
      <c r="BR83">
        <v>3.349407322483088</v>
      </c>
      <c r="BS83">
        <v>2881.830060264449</v>
      </c>
      <c r="BT83">
        <v>3.1914875147049955</v>
      </c>
      <c r="BU83">
        <v>2745.9558576521781</v>
      </c>
      <c r="BV83">
        <v>2.9242694291177203</v>
      </c>
      <c r="BW83">
        <v>2516.0414168128864</v>
      </c>
      <c r="BX83">
        <v>2.9688710601500659</v>
      </c>
      <c r="BY83">
        <v>2554.4166601531165</v>
      </c>
      <c r="BZ83">
        <v>3.0247367017115532</v>
      </c>
      <c r="CA83">
        <v>2602.4834581526202</v>
      </c>
      <c r="CB83">
        <v>3.2620502011584196</v>
      </c>
      <c r="CC83">
        <v>2806.6679930767041</v>
      </c>
      <c r="CD83">
        <v>3.5040959492551838</v>
      </c>
      <c r="CE83">
        <v>3014.9241547391598</v>
      </c>
      <c r="CF83">
        <v>3.4068106689676463</v>
      </c>
      <c r="CG83">
        <v>2931.2198995797626</v>
      </c>
      <c r="CH83">
        <v>4.0281865146147648</v>
      </c>
      <c r="CI83">
        <v>3465.8516771745435</v>
      </c>
      <c r="CJ83">
        <v>3.5488796133321068</v>
      </c>
      <c r="CK83">
        <v>3053.4560193109446</v>
      </c>
      <c r="CL83">
        <v>2.7465414976982387</v>
      </c>
      <c r="CM83">
        <v>2363.1243046195646</v>
      </c>
      <c r="CN83">
        <v>3.8426255378220135</v>
      </c>
      <c r="CO83">
        <v>3306.1950127420605</v>
      </c>
      <c r="CP83">
        <v>3.2226727567977451</v>
      </c>
      <c r="CQ83">
        <v>2772.78763994878</v>
      </c>
      <c r="CR83">
        <v>3.4509156381193882</v>
      </c>
      <c r="CS83">
        <v>2969.1678150379216</v>
      </c>
      <c r="CT83">
        <v>3.8306773691113403</v>
      </c>
      <c r="CU83">
        <v>3295.914808383397</v>
      </c>
    </row>
    <row r="84" spans="2:99" x14ac:dyDescent="0.2">
      <c r="C84" s="116" t="s">
        <v>250</v>
      </c>
      <c r="D84">
        <v>17.550249875443164</v>
      </c>
      <c r="E84">
        <v>13710.255202696198</v>
      </c>
      <c r="F84">
        <v>3.7078702568817663</v>
      </c>
      <c r="G84">
        <v>2896.5882446760356</v>
      </c>
      <c r="H84">
        <v>2.5620330974268839</v>
      </c>
      <c r="I84">
        <v>2001.4602557098815</v>
      </c>
      <c r="J84">
        <v>3.6683518086589624</v>
      </c>
      <c r="K84">
        <v>2865.716432924381</v>
      </c>
      <c r="L84">
        <v>3.4858059092282279</v>
      </c>
      <c r="M84">
        <v>2723.1115762890913</v>
      </c>
      <c r="N84">
        <v>3.9347138318135069</v>
      </c>
      <c r="O84">
        <v>3073.7984454127113</v>
      </c>
      <c r="P84">
        <v>3.7873132765215898</v>
      </c>
      <c r="Q84">
        <v>2958.6491316186657</v>
      </c>
      <c r="R84">
        <v>3.5316895367545262</v>
      </c>
      <c r="S84">
        <v>2758.9558661126357</v>
      </c>
      <c r="T84">
        <v>2.6451795302630492</v>
      </c>
      <c r="U84">
        <v>2066.4142490414938</v>
      </c>
      <c r="V84">
        <v>3.0107644861423615</v>
      </c>
      <c r="W84">
        <v>2352.0092165744127</v>
      </c>
      <c r="X84">
        <v>3.4540027945594627</v>
      </c>
      <c r="Y84">
        <v>2698.2669831098519</v>
      </c>
      <c r="Z84">
        <v>3.1725378147919341</v>
      </c>
      <c r="AA84">
        <v>2478.3865409154587</v>
      </c>
      <c r="AB84">
        <v>3.4586967385252292</v>
      </c>
      <c r="AC84">
        <v>2701.933892135909</v>
      </c>
      <c r="AD84">
        <v>3.6390583599138573</v>
      </c>
      <c r="AE84">
        <v>2842.832390764705</v>
      </c>
      <c r="AF84">
        <v>3.2652118937551435</v>
      </c>
      <c r="AG84">
        <v>2550.7835314015178</v>
      </c>
      <c r="AH84">
        <v>3.4644195674504537</v>
      </c>
      <c r="AI84">
        <v>2706.4045660922943</v>
      </c>
      <c r="AJ84">
        <v>2.8482263158847951</v>
      </c>
      <c r="AK84">
        <v>2225.0343979692016</v>
      </c>
      <c r="AL84">
        <v>3.1256559276524509</v>
      </c>
      <c r="AM84">
        <v>2441.7624106820945</v>
      </c>
      <c r="AN84">
        <v>2.811978509031734</v>
      </c>
      <c r="AO84">
        <v>2196.7176112555903</v>
      </c>
      <c r="AP84">
        <v>3.2224942772588392</v>
      </c>
      <c r="AQ84">
        <v>2517.4125293946049</v>
      </c>
      <c r="AR84">
        <v>3.9134746900874391</v>
      </c>
      <c r="AS84">
        <v>3057.2064278963071</v>
      </c>
      <c r="AT84">
        <v>3.0704775746793218</v>
      </c>
      <c r="AU84">
        <v>2398.657081339486</v>
      </c>
      <c r="AV84">
        <v>3.2345835974672879</v>
      </c>
      <c r="AW84">
        <v>2526.8567063414453</v>
      </c>
      <c r="AX84">
        <v>2.8284055756964905</v>
      </c>
      <c r="AY84">
        <v>2209.5504357340983</v>
      </c>
      <c r="AZ84">
        <v>3.5527523074212315</v>
      </c>
      <c r="BA84">
        <v>2775.410102557466</v>
      </c>
      <c r="BB84">
        <v>4.0774999983671263</v>
      </c>
      <c r="BC84">
        <v>3185.342998724399</v>
      </c>
      <c r="BD84">
        <v>2.9748175306032643</v>
      </c>
      <c r="BE84">
        <v>2323.9274549072697</v>
      </c>
      <c r="BF84">
        <v>3.4952458286374499</v>
      </c>
      <c r="BG84">
        <v>2730.4860413315755</v>
      </c>
      <c r="BH84">
        <v>3.4066972017476962</v>
      </c>
      <c r="BI84">
        <v>2661.3118540053001</v>
      </c>
      <c r="BJ84">
        <v>3.3907972537126079</v>
      </c>
      <c r="BK84">
        <v>2648.8908146002891</v>
      </c>
      <c r="BL84">
        <v>2.8076580233017987</v>
      </c>
      <c r="BM84">
        <v>2193.3424478033648</v>
      </c>
      <c r="BN84">
        <v>3.127199588676385</v>
      </c>
      <c r="BO84">
        <v>2442.9683186739917</v>
      </c>
      <c r="BP84">
        <v>3.4371471967990428</v>
      </c>
      <c r="BQ84">
        <v>2685.0993901394122</v>
      </c>
      <c r="BR84">
        <v>3.0542005635745268</v>
      </c>
      <c r="BS84">
        <v>2385.9414802644201</v>
      </c>
      <c r="BT84">
        <v>3.7036551774940794</v>
      </c>
      <c r="BU84">
        <v>2893.2954246583745</v>
      </c>
      <c r="BV84">
        <v>3.1122336274640796</v>
      </c>
      <c r="BW84">
        <v>2431.2769097749388</v>
      </c>
      <c r="BX84">
        <v>3.2753903906582575</v>
      </c>
      <c r="BY84">
        <v>2558.7349731822305</v>
      </c>
      <c r="BZ84">
        <v>3.0512242895464201</v>
      </c>
      <c r="CA84">
        <v>2383.6164149936631</v>
      </c>
      <c r="CB84">
        <v>3.242083066260899</v>
      </c>
      <c r="CC84">
        <v>2532.7152913630143</v>
      </c>
      <c r="CD84">
        <v>3.5040959492551838</v>
      </c>
      <c r="CE84">
        <v>2737.3997555581491</v>
      </c>
      <c r="CF84">
        <v>3.6421802840911885</v>
      </c>
      <c r="CG84">
        <v>2845.2712379320365</v>
      </c>
      <c r="CH84">
        <v>4.0105243738683436</v>
      </c>
      <c r="CI84">
        <v>3133.0216408659498</v>
      </c>
      <c r="CJ84">
        <v>3.7866270636816806</v>
      </c>
      <c r="CK84">
        <v>2958.1130621481284</v>
      </c>
      <c r="CL84">
        <v>2.9527501545869956</v>
      </c>
      <c r="CM84">
        <v>2306.6884207633607</v>
      </c>
      <c r="CN84">
        <v>4.0401279320810337</v>
      </c>
      <c r="CO84">
        <v>3156.1479405417031</v>
      </c>
      <c r="CP84">
        <v>3.2447462343485207</v>
      </c>
      <c r="CQ84">
        <v>2534.7957582730642</v>
      </c>
      <c r="CR84">
        <v>3.6547807754584252</v>
      </c>
      <c r="CS84">
        <v>2855.1147417881216</v>
      </c>
      <c r="CT84">
        <v>3.8306773691113403</v>
      </c>
      <c r="CU84">
        <v>2992.5251607497789</v>
      </c>
    </row>
    <row r="85" spans="2:99" x14ac:dyDescent="0.2">
      <c r="C85" s="116" t="s">
        <v>251</v>
      </c>
      <c r="D85">
        <v>19.518807025417843</v>
      </c>
      <c r="E85">
        <v>2927.8210538126764</v>
      </c>
      <c r="F85">
        <v>4.2783118348635769</v>
      </c>
      <c r="G85">
        <v>641.74677522953652</v>
      </c>
      <c r="H85">
        <v>2.5620330974268839</v>
      </c>
      <c r="I85">
        <v>384.3049646140326</v>
      </c>
      <c r="J85">
        <v>3.6683518086589624</v>
      </c>
      <c r="K85">
        <v>550.25277129884432</v>
      </c>
      <c r="L85">
        <v>3.7762897349972468</v>
      </c>
      <c r="M85">
        <v>566.44346024958702</v>
      </c>
      <c r="N85">
        <v>4.3976213414386249</v>
      </c>
      <c r="O85">
        <v>659.64320121579374</v>
      </c>
      <c r="P85">
        <v>4.1826533498980156</v>
      </c>
      <c r="Q85">
        <v>627.39800248470237</v>
      </c>
      <c r="R85">
        <v>4.0362166134337443</v>
      </c>
      <c r="S85">
        <v>605.4324920150616</v>
      </c>
      <c r="T85">
        <v>2.9026719459431325</v>
      </c>
      <c r="U85">
        <v>435.40079189146985</v>
      </c>
      <c r="V85">
        <v>2.7791672179775646</v>
      </c>
      <c r="W85">
        <v>416.87508269663471</v>
      </c>
      <c r="X85">
        <v>3.7680030486103231</v>
      </c>
      <c r="Y85">
        <v>565.20045729154845</v>
      </c>
      <c r="Z85">
        <v>3.4369159660245949</v>
      </c>
      <c r="AA85">
        <v>515.53739490368923</v>
      </c>
      <c r="AB85">
        <v>3.724750333796401</v>
      </c>
      <c r="AC85">
        <v>558.71255006946012</v>
      </c>
      <c r="AD85">
        <v>3.6675066427229295</v>
      </c>
      <c r="AE85">
        <v>550.12599640843939</v>
      </c>
      <c r="AF85">
        <v>4.0665897570481526</v>
      </c>
      <c r="AG85">
        <v>609.98846355722287</v>
      </c>
      <c r="AH85">
        <v>3.4119929529396109</v>
      </c>
      <c r="AI85">
        <v>511.79894294094163</v>
      </c>
      <c r="AJ85">
        <v>3.352081618302257</v>
      </c>
      <c r="AK85">
        <v>502.81224274533855</v>
      </c>
      <c r="AL85">
        <v>3.8583434216902863</v>
      </c>
      <c r="AM85">
        <v>578.75151325354295</v>
      </c>
      <c r="AN85">
        <v>3.0424081266398697</v>
      </c>
      <c r="AO85">
        <v>456.36121899598044</v>
      </c>
      <c r="AP85">
        <v>3.8696771874933886</v>
      </c>
      <c r="AQ85">
        <v>580.45157812400828</v>
      </c>
      <c r="AR85">
        <v>3.722474697672205</v>
      </c>
      <c r="AS85">
        <v>558.37120465083069</v>
      </c>
      <c r="AT85">
        <v>3.5344288718876671</v>
      </c>
      <c r="AU85">
        <v>530.16433078315004</v>
      </c>
      <c r="AV85">
        <v>3.6430469234869354</v>
      </c>
      <c r="AW85">
        <v>546.4570385230403</v>
      </c>
      <c r="AX85">
        <v>3.0680972852791588</v>
      </c>
      <c r="AY85">
        <v>460.21459279187383</v>
      </c>
      <c r="AZ85">
        <v>3.7835308695986822</v>
      </c>
      <c r="BA85">
        <v>567.5296304398023</v>
      </c>
      <c r="BB85">
        <v>4.3171002860308079</v>
      </c>
      <c r="BC85">
        <v>647.56504290462112</v>
      </c>
      <c r="BD85">
        <v>2.9785209335100111</v>
      </c>
      <c r="BE85">
        <v>446.77814002650166</v>
      </c>
      <c r="BF85">
        <v>3.3083481695938453</v>
      </c>
      <c r="BG85">
        <v>496.25222543907677</v>
      </c>
      <c r="BH85">
        <v>3.793416484736559</v>
      </c>
      <c r="BI85">
        <v>569.01247271048385</v>
      </c>
      <c r="BJ85">
        <v>3.8382708579083649</v>
      </c>
      <c r="BK85">
        <v>575.74062868625469</v>
      </c>
      <c r="BL85">
        <v>3.0181219722683661</v>
      </c>
      <c r="BM85">
        <v>452.71829584025494</v>
      </c>
      <c r="BN85">
        <v>3.4168035225525926</v>
      </c>
      <c r="BO85">
        <v>512.52052838288887</v>
      </c>
      <c r="BP85">
        <v>3.4548407075725769</v>
      </c>
      <c r="BQ85">
        <v>518.22610613588654</v>
      </c>
      <c r="BR85">
        <v>3.4106871071764364</v>
      </c>
      <c r="BS85">
        <v>511.60306607646544</v>
      </c>
      <c r="BT85">
        <v>3.4814232140911052</v>
      </c>
      <c r="BU85">
        <v>522.2134821136658</v>
      </c>
      <c r="BV85">
        <v>3.598052400293271</v>
      </c>
      <c r="BW85">
        <v>539.70786004399065</v>
      </c>
      <c r="BX85">
        <v>3.2753903906582575</v>
      </c>
      <c r="BY85">
        <v>491.30855859873861</v>
      </c>
      <c r="BZ85">
        <v>3.2511075638048661</v>
      </c>
      <c r="CA85">
        <v>487.66613457072992</v>
      </c>
      <c r="CB85">
        <v>3.737793209547573</v>
      </c>
      <c r="CC85">
        <v>560.66898143213598</v>
      </c>
      <c r="CD85">
        <v>3.9117299378709376</v>
      </c>
      <c r="CE85">
        <v>586.75949068064062</v>
      </c>
      <c r="CF85">
        <v>3.4616010382878981</v>
      </c>
      <c r="CG85">
        <v>519.24015574318469</v>
      </c>
      <c r="CH85">
        <v>4.2817618538240287</v>
      </c>
      <c r="CI85">
        <v>642.26427807360426</v>
      </c>
      <c r="CJ85">
        <v>3.7866270636816806</v>
      </c>
      <c r="CK85">
        <v>567.99405955225211</v>
      </c>
      <c r="CL85">
        <v>3.0362202678565895</v>
      </c>
      <c r="CM85">
        <v>455.4330401784884</v>
      </c>
      <c r="CN85">
        <v>4.0949055399209664</v>
      </c>
      <c r="CO85">
        <v>614.23583098814493</v>
      </c>
      <c r="CP85">
        <v>4.0567284842015754</v>
      </c>
      <c r="CQ85">
        <v>608.5092726302363</v>
      </c>
      <c r="CR85">
        <v>4.0625110501364974</v>
      </c>
      <c r="CS85">
        <v>609.37665752047462</v>
      </c>
      <c r="CT85">
        <v>3.6299005305730709</v>
      </c>
      <c r="CU85">
        <v>544.48507958596065</v>
      </c>
    </row>
    <row r="86" spans="2:99" x14ac:dyDescent="0.2">
      <c r="C86" s="116" t="s">
        <v>252</v>
      </c>
      <c r="D86">
        <v>16.471642750379857</v>
      </c>
      <c r="E86">
        <v>8894.6870852051234</v>
      </c>
      <c r="F86">
        <v>3.7078702568817663</v>
      </c>
      <c r="G86">
        <v>2002.2499387161538</v>
      </c>
      <c r="H86">
        <v>2.5620330974268839</v>
      </c>
      <c r="I86">
        <v>1383.4978726105173</v>
      </c>
      <c r="J86">
        <v>3.6683518086589624</v>
      </c>
      <c r="K86">
        <v>1980.9099766758397</v>
      </c>
      <c r="L86">
        <v>3.4858059092282279</v>
      </c>
      <c r="M86">
        <v>1882.3351909832431</v>
      </c>
      <c r="N86">
        <v>3.9347138318135069</v>
      </c>
      <c r="O86">
        <v>2124.7454691792937</v>
      </c>
      <c r="P86">
        <v>3.9948084253298211</v>
      </c>
      <c r="Q86">
        <v>2157.1965496781036</v>
      </c>
      <c r="R86">
        <v>4.2884801517733537</v>
      </c>
      <c r="S86">
        <v>2315.7792819576111</v>
      </c>
      <c r="T86">
        <v>2.8948657933362192</v>
      </c>
      <c r="U86">
        <v>1563.2275284015584</v>
      </c>
      <c r="V86">
        <v>3.0107644861423615</v>
      </c>
      <c r="W86">
        <v>1625.8128225168753</v>
      </c>
      <c r="X86">
        <v>3.4540027945594627</v>
      </c>
      <c r="Y86">
        <v>1865.1615090621099</v>
      </c>
      <c r="Z86">
        <v>3.4708124837430994</v>
      </c>
      <c r="AA86">
        <v>1874.2387412212736</v>
      </c>
      <c r="AB86">
        <v>3.724750333796401</v>
      </c>
      <c r="AC86">
        <v>2011.3651802500565</v>
      </c>
      <c r="AD86">
        <v>3.8297538087800875</v>
      </c>
      <c r="AE86">
        <v>2068.0670567412471</v>
      </c>
      <c r="AF86">
        <v>3.6473261892297657</v>
      </c>
      <c r="AG86">
        <v>1969.5561421840735</v>
      </c>
      <c r="AH86">
        <v>3.1777616720654795</v>
      </c>
      <c r="AI86">
        <v>1715.991302915359</v>
      </c>
      <c r="AJ86">
        <v>3.3135705420078807</v>
      </c>
      <c r="AK86">
        <v>1789.3280926842556</v>
      </c>
      <c r="AL86">
        <v>3.7064957189577914</v>
      </c>
      <c r="AM86">
        <v>2001.5076882372073</v>
      </c>
      <c r="AN86">
        <v>2.8335016822111894</v>
      </c>
      <c r="AO86">
        <v>1530.0909083940423</v>
      </c>
      <c r="AP86">
        <v>3.4708521338151312</v>
      </c>
      <c r="AQ86">
        <v>1874.2601522601708</v>
      </c>
      <c r="AR86">
        <v>3.9608871624537692</v>
      </c>
      <c r="AS86">
        <v>2138.8790677250354</v>
      </c>
      <c r="AT86">
        <v>3.123632026413051</v>
      </c>
      <c r="AU86">
        <v>1686.7612942630476</v>
      </c>
      <c r="AV86">
        <v>3.2511451028122345</v>
      </c>
      <c r="AW86">
        <v>1755.6183555186067</v>
      </c>
      <c r="AX86">
        <v>3.3409535479689625</v>
      </c>
      <c r="AY86">
        <v>1804.1149159032398</v>
      </c>
      <c r="AZ86">
        <v>3.9584275568089393</v>
      </c>
      <c r="BA86">
        <v>2137.5508806768271</v>
      </c>
      <c r="BB86">
        <v>4.0774999983671263</v>
      </c>
      <c r="BC86">
        <v>2201.849999118248</v>
      </c>
      <c r="BD86">
        <v>2.7640577926348655</v>
      </c>
      <c r="BE86">
        <v>1492.5912080228275</v>
      </c>
      <c r="BF86">
        <v>3.3083481695938453</v>
      </c>
      <c r="BG86">
        <v>1786.5080115806763</v>
      </c>
      <c r="BH86">
        <v>3.5826872321688144</v>
      </c>
      <c r="BI86">
        <v>1934.6511053711597</v>
      </c>
      <c r="BJ86">
        <v>3.9958606070575367</v>
      </c>
      <c r="BK86">
        <v>2157.7647278110699</v>
      </c>
      <c r="BL86">
        <v>2.6515850395989347</v>
      </c>
      <c r="BM86">
        <v>1431.8559213834246</v>
      </c>
      <c r="BN86">
        <v>3.4168035225525926</v>
      </c>
      <c r="BO86">
        <v>1845.0739021784</v>
      </c>
      <c r="BP86">
        <v>3.2378073189259453</v>
      </c>
      <c r="BQ86">
        <v>1748.4159522200105</v>
      </c>
      <c r="BR86">
        <v>3.0746271584723099</v>
      </c>
      <c r="BS86">
        <v>1660.2986655750474</v>
      </c>
      <c r="BT86">
        <v>3.2591912506881306</v>
      </c>
      <c r="BU86">
        <v>1759.9632753715905</v>
      </c>
      <c r="BV86">
        <v>2.9667469083202902</v>
      </c>
      <c r="BW86">
        <v>1602.0433304929568</v>
      </c>
      <c r="BX86">
        <v>2.9922262918807703</v>
      </c>
      <c r="BY86">
        <v>1615.802197615616</v>
      </c>
      <c r="BZ86">
        <v>3.1981323881351313</v>
      </c>
      <c r="CA86">
        <v>1726.991489592971</v>
      </c>
      <c r="CB86">
        <v>3.0141951295150826</v>
      </c>
      <c r="CC86">
        <v>1627.6653699381445</v>
      </c>
      <c r="CD86">
        <v>3.517164964595608</v>
      </c>
      <c r="CE86">
        <v>1899.2690808816283</v>
      </c>
      <c r="CF86">
        <v>3.6421802840911885</v>
      </c>
      <c r="CG86">
        <v>1966.7773534092419</v>
      </c>
      <c r="CH86">
        <v>4.0635107961076056</v>
      </c>
      <c r="CI86">
        <v>2194.2958298981071</v>
      </c>
      <c r="CJ86">
        <v>3.5835438971551015</v>
      </c>
      <c r="CK86">
        <v>1935.1137044637549</v>
      </c>
      <c r="CL86">
        <v>2.7131534523904008</v>
      </c>
      <c r="CM86">
        <v>1465.1028642908163</v>
      </c>
      <c r="CN86">
        <v>3.6725119474829597</v>
      </c>
      <c r="CO86">
        <v>1983.1564516407982</v>
      </c>
      <c r="CP86">
        <v>3.6266386470765197</v>
      </c>
      <c r="CQ86">
        <v>1958.3848694213207</v>
      </c>
      <c r="CR86">
        <v>3.8586459127974608</v>
      </c>
      <c r="CS86">
        <v>2083.6687929106288</v>
      </c>
      <c r="CT86">
        <v>3.4450411289190264</v>
      </c>
      <c r="CU86">
        <v>1860.3222096162742</v>
      </c>
    </row>
    <row r="87" spans="2:99" x14ac:dyDescent="0.2">
      <c r="B87" s="116" t="s">
        <v>131</v>
      </c>
      <c r="C87" s="116" t="s">
        <v>253</v>
      </c>
      <c r="D87">
        <v>14.204378525164604</v>
      </c>
      <c r="E87">
        <v>27766.719140991765</v>
      </c>
      <c r="F87">
        <v>4.8487534128453875</v>
      </c>
      <c r="G87">
        <v>9478.3431714301641</v>
      </c>
      <c r="H87">
        <v>3.870190846228128</v>
      </c>
      <c r="I87">
        <v>7565.4490662067446</v>
      </c>
      <c r="J87">
        <v>2.6202512918992591</v>
      </c>
      <c r="K87">
        <v>5122.0672254046713</v>
      </c>
      <c r="L87">
        <v>2.9048382576901899</v>
      </c>
      <c r="M87">
        <v>5678.3778261327834</v>
      </c>
      <c r="N87">
        <v>3.0088988125632699</v>
      </c>
      <c r="O87">
        <v>5881.7953987986793</v>
      </c>
      <c r="P87">
        <v>3.3264724556783762</v>
      </c>
      <c r="Q87">
        <v>6502.5883563600901</v>
      </c>
      <c r="R87">
        <v>2.7748989217356992</v>
      </c>
      <c r="S87">
        <v>5424.3724122089443</v>
      </c>
      <c r="T87">
        <v>3.4799953778105652</v>
      </c>
      <c r="U87">
        <v>6802.6949645440927</v>
      </c>
      <c r="V87">
        <v>4.1687508269663471</v>
      </c>
      <c r="W87">
        <v>8149.0741165538147</v>
      </c>
      <c r="X87">
        <v>2.5120020324068819</v>
      </c>
      <c r="Y87">
        <v>4910.4615729489724</v>
      </c>
      <c r="Z87">
        <v>3.1273424578339291</v>
      </c>
      <c r="AA87">
        <v>6113.3290365737648</v>
      </c>
      <c r="AB87">
        <v>3.4586967385252292</v>
      </c>
      <c r="AC87">
        <v>6761.0603844691177</v>
      </c>
      <c r="AD87">
        <v>3.12490880907239</v>
      </c>
      <c r="AE87">
        <v>6108.5717399747082</v>
      </c>
      <c r="AF87">
        <v>3.3023611660989101</v>
      </c>
      <c r="AG87">
        <v>6455.4556074901493</v>
      </c>
      <c r="AH87">
        <v>2.5694948049549686</v>
      </c>
      <c r="AI87">
        <v>5022.8484447259725</v>
      </c>
      <c r="AJ87">
        <v>2.305859937172956</v>
      </c>
      <c r="AK87">
        <v>4507.495005185694</v>
      </c>
      <c r="AL87">
        <v>3.2056630627468676</v>
      </c>
      <c r="AM87">
        <v>6266.4301550575765</v>
      </c>
      <c r="AN87">
        <v>2.8398265612741134</v>
      </c>
      <c r="AO87">
        <v>5551.2929619786364</v>
      </c>
      <c r="AP87">
        <v>3.7522083961721933</v>
      </c>
      <c r="AQ87">
        <v>7334.8169728374032</v>
      </c>
      <c r="AR87">
        <v>3.4840622328906403</v>
      </c>
      <c r="AS87">
        <v>6810.6448528546234</v>
      </c>
      <c r="AT87">
        <v>4.0982327333715531</v>
      </c>
      <c r="AU87">
        <v>8011.2253471947115</v>
      </c>
      <c r="AV87">
        <v>3.8969631025315996</v>
      </c>
      <c r="AW87">
        <v>7617.7834728287708</v>
      </c>
      <c r="AX87">
        <v>4.1133279290308726</v>
      </c>
      <c r="AY87">
        <v>8040.7334356695492</v>
      </c>
      <c r="AZ87">
        <v>3.2940328077601833</v>
      </c>
      <c r="BA87">
        <v>6439.1753326096059</v>
      </c>
      <c r="BB87">
        <v>2.0499868382423796</v>
      </c>
      <c r="BC87">
        <v>4007.3142713962034</v>
      </c>
      <c r="BD87">
        <v>3.5318091518141812</v>
      </c>
      <c r="BE87">
        <v>6903.9805299663612</v>
      </c>
      <c r="BF87">
        <v>3.2951232059852158</v>
      </c>
      <c r="BG87">
        <v>6441.3068430598996</v>
      </c>
      <c r="BH87">
        <v>3.0435346147181006</v>
      </c>
      <c r="BI87">
        <v>5949.5014648509432</v>
      </c>
      <c r="BJ87">
        <v>3.5294878448764351</v>
      </c>
      <c r="BK87">
        <v>6899.4428391644551</v>
      </c>
      <c r="BL87">
        <v>3.885527051308812</v>
      </c>
      <c r="BM87">
        <v>7595.4282798984659</v>
      </c>
      <c r="BN87">
        <v>4.3024820662352257</v>
      </c>
      <c r="BO87">
        <v>8410.4919430766186</v>
      </c>
      <c r="BP87">
        <v>3.2555008296994798</v>
      </c>
      <c r="BQ87">
        <v>6363.8530218965434</v>
      </c>
      <c r="BR87">
        <v>3.4515402969720026</v>
      </c>
      <c r="BS87">
        <v>6747.0709725208708</v>
      </c>
      <c r="BT87">
        <v>2.6947034605897056</v>
      </c>
      <c r="BU87">
        <v>5267.6063247607563</v>
      </c>
      <c r="BV87">
        <v>3.4671880333871088</v>
      </c>
      <c r="BW87">
        <v>6777.6591676651205</v>
      </c>
      <c r="BX87">
        <v>3.7920291411127023</v>
      </c>
      <c r="BY87">
        <v>7412.6585650471106</v>
      </c>
      <c r="BZ87">
        <v>3.4621967789106138</v>
      </c>
      <c r="CA87">
        <v>6767.9022634144676</v>
      </c>
      <c r="CB87">
        <v>3.2839053898201085</v>
      </c>
      <c r="CC87">
        <v>6419.3782560203481</v>
      </c>
      <c r="CD87">
        <v>2.9710590583740975</v>
      </c>
      <c r="CE87">
        <v>5807.8262473096856</v>
      </c>
      <c r="CF87">
        <v>3.3885472125275622</v>
      </c>
      <c r="CG87">
        <v>6623.9320910488786</v>
      </c>
      <c r="CH87">
        <v>2.4437466346721939</v>
      </c>
      <c r="CI87">
        <v>4777.0359214572045</v>
      </c>
      <c r="CJ87">
        <v>2.7192148053142935</v>
      </c>
      <c r="CK87">
        <v>5315.5211014283805</v>
      </c>
      <c r="CL87">
        <v>4.3903303677665617</v>
      </c>
      <c r="CM87">
        <v>8582.2178029100742</v>
      </c>
      <c r="CN87">
        <v>3.3654543375440733</v>
      </c>
      <c r="CO87">
        <v>6578.7901390311545</v>
      </c>
      <c r="CP87">
        <v>3.5548961799586367</v>
      </c>
      <c r="CQ87">
        <v>6949.1110525831427</v>
      </c>
      <c r="CR87">
        <v>3.5237798375444931</v>
      </c>
      <c r="CS87">
        <v>6888.2848264319746</v>
      </c>
      <c r="CT87">
        <v>3.7192553109217692</v>
      </c>
      <c r="CU87">
        <v>7270.4002817898745</v>
      </c>
    </row>
    <row r="88" spans="2:99" x14ac:dyDescent="0.2">
      <c r="C88" s="116" t="s">
        <v>254</v>
      </c>
      <c r="D88">
        <v>15.251542800202589</v>
      </c>
      <c r="E88">
        <v>28862.019595103378</v>
      </c>
      <c r="F88">
        <v>4.5635326238544813</v>
      </c>
      <c r="G88">
        <v>8636.0291373822201</v>
      </c>
      <c r="H88">
        <v>4.114074829456448</v>
      </c>
      <c r="I88">
        <v>7785.4752072633819</v>
      </c>
      <c r="J88">
        <v>2.8428401583378156</v>
      </c>
      <c r="K88">
        <v>5379.7907156384817</v>
      </c>
      <c r="L88">
        <v>2.9048382576901899</v>
      </c>
      <c r="M88">
        <v>5497.1159188529145</v>
      </c>
      <c r="N88">
        <v>2.7774450577507106</v>
      </c>
      <c r="O88">
        <v>5256.0370272874443</v>
      </c>
      <c r="P88">
        <v>3.5274175297399286</v>
      </c>
      <c r="Q88">
        <v>6675.2849332798405</v>
      </c>
      <c r="R88">
        <v>2.5226353833960902</v>
      </c>
      <c r="S88">
        <v>4773.8351995387611</v>
      </c>
      <c r="T88">
        <v>3.2537275725581329</v>
      </c>
      <c r="U88">
        <v>6157.3540583090107</v>
      </c>
      <c r="V88">
        <v>3.7055562906367525</v>
      </c>
      <c r="W88">
        <v>7012.3947244009896</v>
      </c>
      <c r="X88">
        <v>2.5120020324068819</v>
      </c>
      <c r="Y88">
        <v>4753.7126461267826</v>
      </c>
      <c r="Z88">
        <v>3.3465252521085849</v>
      </c>
      <c r="AA88">
        <v>6332.9643870902855</v>
      </c>
      <c r="AB88">
        <v>3.4586967385252292</v>
      </c>
      <c r="AC88">
        <v>6545.2377079851431</v>
      </c>
      <c r="AD88">
        <v>2.9152478383334439</v>
      </c>
      <c r="AE88">
        <v>5516.8150092622091</v>
      </c>
      <c r="AF88">
        <v>3.5387706453906786</v>
      </c>
      <c r="AG88">
        <v>6696.7695693373198</v>
      </c>
      <c r="AH88">
        <v>3.0379573667032322</v>
      </c>
      <c r="AI88">
        <v>5749.0305207491965</v>
      </c>
      <c r="AJ88">
        <v>2.5385320502344988</v>
      </c>
      <c r="AK88">
        <v>4803.918051863765</v>
      </c>
      <c r="AL88">
        <v>2.6811983658287071</v>
      </c>
      <c r="AM88">
        <v>5073.8997874942452</v>
      </c>
      <c r="AN88">
        <v>2.8209237836319909</v>
      </c>
      <c r="AO88">
        <v>5338.3161681451793</v>
      </c>
      <c r="AP88">
        <v>3.7522083961721933</v>
      </c>
      <c r="AQ88">
        <v>7100.6791689162583</v>
      </c>
      <c r="AR88">
        <v>3.1178664055156142</v>
      </c>
      <c r="AS88">
        <v>5900.2503857977481</v>
      </c>
      <c r="AT88">
        <v>4.0822471691607189</v>
      </c>
      <c r="AU88">
        <v>7725.2445429197442</v>
      </c>
      <c r="AV88">
        <v>3.5050612818568987</v>
      </c>
      <c r="AW88">
        <v>6632.9779697859949</v>
      </c>
      <c r="AX88">
        <v>4.0901263691012035</v>
      </c>
      <c r="AY88">
        <v>7740.1551408871173</v>
      </c>
      <c r="AZ88">
        <v>3.5108409011958357</v>
      </c>
      <c r="BA88">
        <v>6643.9153214229991</v>
      </c>
      <c r="BB88">
        <v>2.468378413152168</v>
      </c>
      <c r="BC88">
        <v>4671.1593090491624</v>
      </c>
      <c r="BD88">
        <v>4.0598794451625144</v>
      </c>
      <c r="BE88">
        <v>7682.9158620255421</v>
      </c>
      <c r="BF88">
        <v>3.2915187267958523</v>
      </c>
      <c r="BG88">
        <v>6228.8700385884704</v>
      </c>
      <c r="BH88">
        <v>3.0227481206430946</v>
      </c>
      <c r="BI88">
        <v>5720.2485435049921</v>
      </c>
      <c r="BJ88">
        <v>3.5483870028617801</v>
      </c>
      <c r="BK88">
        <v>6714.9675642156326</v>
      </c>
      <c r="BL88">
        <v>4.0687955176435278</v>
      </c>
      <c r="BM88">
        <v>7699.788637588611</v>
      </c>
      <c r="BN88">
        <v>4.5336423161495336</v>
      </c>
      <c r="BO88">
        <v>8579.4647190813776</v>
      </c>
      <c r="BP88">
        <v>3.2731943404730153</v>
      </c>
      <c r="BQ88">
        <v>6194.1929699111333</v>
      </c>
      <c r="BR88">
        <v>3.1359069431656583</v>
      </c>
      <c r="BS88">
        <v>5934.390299246691</v>
      </c>
      <c r="BT88">
        <v>2.4232360205213683</v>
      </c>
      <c r="BU88">
        <v>4585.7318452346371</v>
      </c>
      <c r="BV88">
        <v>3.0939659580840271</v>
      </c>
      <c r="BW88">
        <v>5855.0211790782123</v>
      </c>
      <c r="BX88">
        <v>4.0985484716208944</v>
      </c>
      <c r="BY88">
        <v>7756.0931276953797</v>
      </c>
      <c r="BZ88">
        <v>3.8606449814454691</v>
      </c>
      <c r="CA88">
        <v>7305.8845628874051</v>
      </c>
      <c r="CB88">
        <v>3.4698722214380044</v>
      </c>
      <c r="CC88">
        <v>6566.3861918492794</v>
      </c>
      <c r="CD88">
        <v>2.9579900430336732</v>
      </c>
      <c r="CE88">
        <v>5597.7003574369228</v>
      </c>
      <c r="CF88">
        <v>3.3915627442615479</v>
      </c>
      <c r="CG88">
        <v>6418.1933372405529</v>
      </c>
      <c r="CH88">
        <v>2.4446195151133234</v>
      </c>
      <c r="CI88">
        <v>4626.1979704004525</v>
      </c>
      <c r="CJ88">
        <v>3.1738934498605507</v>
      </c>
      <c r="CK88">
        <v>6006.2759645161059</v>
      </c>
      <c r="CL88">
        <v>4.6466210926170755</v>
      </c>
      <c r="CM88">
        <v>8793.2657556685535</v>
      </c>
      <c r="CN88">
        <v>3.1953407472050199</v>
      </c>
      <c r="CO88">
        <v>6046.8628300107794</v>
      </c>
      <c r="CP88">
        <v>3.5391970414261764</v>
      </c>
      <c r="CQ88">
        <v>6697.5764811948957</v>
      </c>
      <c r="CR88">
        <v>3.5096730115426724</v>
      </c>
      <c r="CS88">
        <v>6641.7052070433529</v>
      </c>
      <c r="CT88">
        <v>4.0889741142298588</v>
      </c>
      <c r="CU88">
        <v>7737.9746137685843</v>
      </c>
    </row>
    <row r="89" spans="2:99" x14ac:dyDescent="0.2">
      <c r="C89" s="116" t="s">
        <v>255</v>
      </c>
      <c r="D89">
        <v>13.220099950177266</v>
      </c>
      <c r="E89">
        <v>31696.511640545014</v>
      </c>
      <c r="F89">
        <v>3.9930910458726716</v>
      </c>
      <c r="G89">
        <v>9573.8350915843166</v>
      </c>
      <c r="H89">
        <v>3.870190846228128</v>
      </c>
      <c r="I89">
        <v>9279.1695729165585</v>
      </c>
      <c r="J89">
        <v>2.8822764210891845</v>
      </c>
      <c r="K89">
        <v>6910.5459472034281</v>
      </c>
      <c r="L89">
        <v>2.6143544319211709</v>
      </c>
      <c r="M89">
        <v>6268.1761859741991</v>
      </c>
      <c r="N89">
        <v>2.7774450577507106</v>
      </c>
      <c r="O89">
        <v>6659.2022704631036</v>
      </c>
      <c r="P89">
        <v>3.1124272321234665</v>
      </c>
      <c r="Q89">
        <v>7462.3555317392229</v>
      </c>
      <c r="R89">
        <v>2.5226353833960902</v>
      </c>
      <c r="S89">
        <v>6048.2705952304659</v>
      </c>
      <c r="T89">
        <v>2.9962351568780492</v>
      </c>
      <c r="U89">
        <v>7183.7734121308104</v>
      </c>
      <c r="V89">
        <v>3.7055562906367525</v>
      </c>
      <c r="W89">
        <v>8884.441762430677</v>
      </c>
      <c r="X89">
        <v>2.8260022864577423</v>
      </c>
      <c r="Y89">
        <v>6775.6230820110832</v>
      </c>
      <c r="Z89">
        <v>3.3465252521085849</v>
      </c>
      <c r="AA89">
        <v>8023.6289444555432</v>
      </c>
      <c r="AB89">
        <v>3.4586967385252292</v>
      </c>
      <c r="AC89">
        <v>8292.5713002880893</v>
      </c>
      <c r="AD89">
        <v>3.0869777653269597</v>
      </c>
      <c r="AE89">
        <v>7401.3378901479182</v>
      </c>
      <c r="AF89">
        <v>3.1020167002756573</v>
      </c>
      <c r="AG89">
        <v>7437.3952405809159</v>
      </c>
      <c r="AH89">
        <v>2.5345437286144072</v>
      </c>
      <c r="AI89">
        <v>6076.8220437259024</v>
      </c>
      <c r="AJ89">
        <v>2.3251154753201444</v>
      </c>
      <c r="AK89">
        <v>5574.6968636275778</v>
      </c>
      <c r="AL89">
        <v>3.0392058266631437</v>
      </c>
      <c r="AM89">
        <v>7286.7998900075527</v>
      </c>
      <c r="AN89">
        <v>2.8393024821666466</v>
      </c>
      <c r="AO89">
        <v>6807.5116312427517</v>
      </c>
      <c r="AP89">
        <v>3.3533833424939372</v>
      </c>
      <c r="AQ89">
        <v>8040.0719019634635</v>
      </c>
      <c r="AR89">
        <v>3.4840622328906403</v>
      </c>
      <c r="AS89">
        <v>8353.3876095785981</v>
      </c>
      <c r="AT89">
        <v>3.6351477293467447</v>
      </c>
      <c r="AU89">
        <v>8715.6301958817548</v>
      </c>
      <c r="AV89">
        <v>3.7092929448667227</v>
      </c>
      <c r="AW89">
        <v>8893.4007646124537</v>
      </c>
      <c r="AX89">
        <v>4.0669248091715335</v>
      </c>
      <c r="AY89">
        <v>9750.858922469668</v>
      </c>
      <c r="AZ89">
        <v>3.280062339018385</v>
      </c>
      <c r="BA89">
        <v>7864.2774640304797</v>
      </c>
      <c r="BB89">
        <v>2.0043800879291984</v>
      </c>
      <c r="BC89">
        <v>4805.7016988190462</v>
      </c>
      <c r="BD89">
        <v>3.2786759804082846</v>
      </c>
      <c r="BE89">
        <v>7860.9535306269026</v>
      </c>
      <c r="BF89">
        <v>3.2782937631872224</v>
      </c>
      <c r="BG89">
        <v>7860.0371266176844</v>
      </c>
      <c r="BH89">
        <v>3.042913363263247</v>
      </c>
      <c r="BI89">
        <v>7295.6890797599608</v>
      </c>
      <c r="BJ89">
        <v>3.7248759099962965</v>
      </c>
      <c r="BK89">
        <v>8930.7624818071199</v>
      </c>
      <c r="BL89">
        <v>3.8520663934702819</v>
      </c>
      <c r="BM89">
        <v>9235.7143849843469</v>
      </c>
      <c r="BN89">
        <v>3.9933969043717177</v>
      </c>
      <c r="BO89">
        <v>9574.5684179216296</v>
      </c>
      <c r="BP89">
        <v>3.4548407075725769</v>
      </c>
      <c r="BQ89">
        <v>8283.3260804760102</v>
      </c>
      <c r="BR89">
        <v>3.1154803482678757</v>
      </c>
      <c r="BS89">
        <v>7469.6756830070581</v>
      </c>
      <c r="BT89">
        <v>2.6769678629795113</v>
      </c>
      <c r="BU89">
        <v>6418.2981482796758</v>
      </c>
      <c r="BV89">
        <v>3.0373293191472674</v>
      </c>
      <c r="BW89">
        <v>7282.3007755874878</v>
      </c>
      <c r="BX89">
        <v>3.2724114070191375</v>
      </c>
      <c r="BY89">
        <v>7845.9335894690839</v>
      </c>
      <c r="BZ89">
        <v>3.660761707187024</v>
      </c>
      <c r="CA89">
        <v>8777.0422691516087</v>
      </c>
      <c r="CB89">
        <v>3.4688788037715641</v>
      </c>
      <c r="CC89">
        <v>8316.9838199227015</v>
      </c>
      <c r="CD89">
        <v>2.9318520123528247</v>
      </c>
      <c r="CE89">
        <v>7029.4083848171322</v>
      </c>
      <c r="CF89">
        <v>3.3702837560874781</v>
      </c>
      <c r="CG89">
        <v>8080.5923335953375</v>
      </c>
      <c r="CH89">
        <v>2.4075494727382232</v>
      </c>
      <c r="CI89">
        <v>5772.3406158371636</v>
      </c>
      <c r="CJ89">
        <v>3.1773775641019437</v>
      </c>
      <c r="CK89">
        <v>7618.0804476908197</v>
      </c>
      <c r="CL89">
        <v>3.6214581932150227</v>
      </c>
      <c r="CM89">
        <v>8682.8081640523378</v>
      </c>
      <c r="CN89">
        <v>2.970449549026033</v>
      </c>
      <c r="CO89">
        <v>7121.9498387448166</v>
      </c>
      <c r="CP89">
        <v>3.2990735889110403</v>
      </c>
      <c r="CQ89">
        <v>7909.8588367731099</v>
      </c>
      <c r="CR89">
        <v>3.3037532622764085</v>
      </c>
      <c r="CS89">
        <v>7921.078821633917</v>
      </c>
      <c r="CT89">
        <v>3.7033378740375449</v>
      </c>
      <c r="CU89">
        <v>8879.1228867924165</v>
      </c>
    </row>
    <row r="90" spans="2:99" x14ac:dyDescent="0.2">
      <c r="C90" s="116" t="s">
        <v>256</v>
      </c>
      <c r="D90">
        <v>14.220099950177266</v>
      </c>
      <c r="E90">
        <v>31244.403610529487</v>
      </c>
      <c r="F90">
        <v>4.2783118348635769</v>
      </c>
      <c r="G90">
        <v>9400.3067635622501</v>
      </c>
      <c r="H90">
        <v>3.5893488834567018</v>
      </c>
      <c r="I90">
        <v>7886.5173667310646</v>
      </c>
      <c r="J90">
        <v>2.8559336210694952</v>
      </c>
      <c r="K90">
        <v>6275.0573522138948</v>
      </c>
      <c r="L90">
        <v>2.9048382576901899</v>
      </c>
      <c r="M90">
        <v>6382.5106197968844</v>
      </c>
      <c r="N90">
        <v>2.5459913029381513</v>
      </c>
      <c r="O90">
        <v>5594.0520908157059</v>
      </c>
      <c r="P90">
        <v>3.5208674549932497</v>
      </c>
      <c r="Q90">
        <v>7736.0499721111673</v>
      </c>
      <c r="R90">
        <v>2.7748989217356992</v>
      </c>
      <c r="S90">
        <v>6097.0079108376776</v>
      </c>
      <c r="T90">
        <v>3.2381152673443072</v>
      </c>
      <c r="U90">
        <v>7114.7868654089116</v>
      </c>
      <c r="V90">
        <v>3.9371535588015494</v>
      </c>
      <c r="W90">
        <v>8650.7137993987635</v>
      </c>
      <c r="X90">
        <v>2.8260022864577423</v>
      </c>
      <c r="Y90">
        <v>6209.2922238049505</v>
      </c>
      <c r="Z90">
        <v>3.3578240913480863</v>
      </c>
      <c r="AA90">
        <v>7377.8110935100149</v>
      </c>
      <c r="AB90">
        <v>3.1926431432540578</v>
      </c>
      <c r="AC90">
        <v>7014.8755143578155</v>
      </c>
      <c r="AD90">
        <v>2.8867995555243713</v>
      </c>
      <c r="AE90">
        <v>6342.8759833981485</v>
      </c>
      <c r="AF90">
        <v>3.1195070775722908</v>
      </c>
      <c r="AG90">
        <v>6854.1809508418364</v>
      </c>
      <c r="AH90">
        <v>2.7862505476588195</v>
      </c>
      <c r="AI90">
        <v>6121.9497033159578</v>
      </c>
      <c r="AJ90">
        <v>2.3443710134673328</v>
      </c>
      <c r="AK90">
        <v>5151.0519907904236</v>
      </c>
      <c r="AL90">
        <v>3.21889723675294</v>
      </c>
      <c r="AM90">
        <v>7072.5610085935596</v>
      </c>
      <c r="AN90">
        <v>2.3658294185978512</v>
      </c>
      <c r="AO90">
        <v>5198.2003985431984</v>
      </c>
      <c r="AP90">
        <v>3.5625849352764982</v>
      </c>
      <c r="AQ90">
        <v>7827.7116197895211</v>
      </c>
      <c r="AR90">
        <v>2.8952580981894926</v>
      </c>
      <c r="AS90">
        <v>6361.4610933419526</v>
      </c>
      <c r="AT90">
        <v>3.6705840305025648</v>
      </c>
      <c r="AU90">
        <v>8065.0072318202347</v>
      </c>
      <c r="AV90">
        <v>3.3008296188470752</v>
      </c>
      <c r="AW90">
        <v>7252.5828385307932</v>
      </c>
      <c r="AX90">
        <v>3.8192209624765256</v>
      </c>
      <c r="AY90">
        <v>8391.5922987534213</v>
      </c>
      <c r="AZ90">
        <v>3.0632542455827321</v>
      </c>
      <c r="BA90">
        <v>6730.582228394378</v>
      </c>
      <c r="BB90">
        <v>2.2591826256972736</v>
      </c>
      <c r="BC90">
        <v>4963.8760651820494</v>
      </c>
      <c r="BD90">
        <v>4.0380754946259749</v>
      </c>
      <c r="BE90">
        <v>8872.4594767921917</v>
      </c>
      <c r="BF90">
        <v>3.2746892839978603</v>
      </c>
      <c r="BG90">
        <v>7195.1472948000983</v>
      </c>
      <c r="BH90">
        <v>3.2176608907746589</v>
      </c>
      <c r="BI90">
        <v>7069.8445092100801</v>
      </c>
      <c r="BJ90">
        <v>3.5483870028617801</v>
      </c>
      <c r="BK90">
        <v>7796.5159226879023</v>
      </c>
      <c r="BL90">
        <v>4.0501766135414963</v>
      </c>
      <c r="BM90">
        <v>8899.0480552733752</v>
      </c>
      <c r="BN90">
        <v>4.0128781323590177</v>
      </c>
      <c r="BO90">
        <v>8817.0958324192325</v>
      </c>
      <c r="BP90">
        <v>3.8712139740923064</v>
      </c>
      <c r="BQ90">
        <v>8505.831343875614</v>
      </c>
      <c r="BR90">
        <v>3.1563335380634414</v>
      </c>
      <c r="BS90">
        <v>6935.0960498329932</v>
      </c>
      <c r="BT90">
        <v>2.4232360205213683</v>
      </c>
      <c r="BU90">
        <v>5324.3341842895497</v>
      </c>
      <c r="BV90">
        <v>3.2805769957355677</v>
      </c>
      <c r="BW90">
        <v>7208.0837750301889</v>
      </c>
      <c r="BX90">
        <v>3.5322202740659203</v>
      </c>
      <c r="BY90">
        <v>7760.9943861776392</v>
      </c>
      <c r="BZ90">
        <v>3.6223486714167588</v>
      </c>
      <c r="CA90">
        <v>7959.024500836902</v>
      </c>
      <c r="CB90">
        <v>3.4728524744373255</v>
      </c>
      <c r="CC90">
        <v>7630.5514568336912</v>
      </c>
      <c r="CD90">
        <v>2.9710590583740975</v>
      </c>
      <c r="CE90">
        <v>6528.0109630595662</v>
      </c>
      <c r="CF90">
        <v>3.0983872280837681</v>
      </c>
      <c r="CG90">
        <v>6807.776417545655</v>
      </c>
      <c r="CH90">
        <v>2.2069605557682204</v>
      </c>
      <c r="CI90">
        <v>4849.1337331339337</v>
      </c>
      <c r="CJ90">
        <v>2.9569622556638677</v>
      </c>
      <c r="CK90">
        <v>6497.0374681446492</v>
      </c>
      <c r="CL90">
        <v>3.8777489180655356</v>
      </c>
      <c r="CM90">
        <v>8520.1899227735939</v>
      </c>
      <c r="CN90">
        <v>2.9841439509860161</v>
      </c>
      <c r="CO90">
        <v>6556.7610891064742</v>
      </c>
      <c r="CP90">
        <v>2.9179169587680671</v>
      </c>
      <c r="CQ90">
        <v>6411.2471418051964</v>
      </c>
      <c r="CR90">
        <v>3.3064927448460448</v>
      </c>
      <c r="CS90">
        <v>7265.0258589757295</v>
      </c>
      <c r="CT90">
        <v>3.8881972756915895</v>
      </c>
      <c r="CU90">
        <v>8543.1470541495601</v>
      </c>
    </row>
    <row r="91" spans="2:99" x14ac:dyDescent="0.2">
      <c r="C91" s="116" t="s">
        <v>257</v>
      </c>
      <c r="D91">
        <v>13.220099950177266</v>
      </c>
      <c r="E91">
        <v>30363.92556556714</v>
      </c>
      <c r="F91">
        <v>4.2783118348635769</v>
      </c>
      <c r="G91">
        <v>9826.4266223146624</v>
      </c>
      <c r="H91">
        <v>3.870190846228128</v>
      </c>
      <c r="I91">
        <v>8889.0543356167636</v>
      </c>
      <c r="J91">
        <v>2.8428401583378156</v>
      </c>
      <c r="K91">
        <v>6529.4352756702938</v>
      </c>
      <c r="L91">
        <v>2.9048382576901899</v>
      </c>
      <c r="M91">
        <v>6671.8325102628278</v>
      </c>
      <c r="N91">
        <v>2.5459913029381513</v>
      </c>
      <c r="O91">
        <v>5847.6328245883451</v>
      </c>
      <c r="P91">
        <v>3.3199223809316978</v>
      </c>
      <c r="Q91">
        <v>7625.1977245239223</v>
      </c>
      <c r="R91">
        <v>2.7748989217356992</v>
      </c>
      <c r="S91">
        <v>6373.3878434425533</v>
      </c>
      <c r="T91">
        <v>3.0040413094849616</v>
      </c>
      <c r="U91">
        <v>6899.6820796250586</v>
      </c>
      <c r="V91">
        <v>3.4739590224719556</v>
      </c>
      <c r="W91">
        <v>7978.9890828135867</v>
      </c>
      <c r="X91">
        <v>2.5120020324068819</v>
      </c>
      <c r="Y91">
        <v>5769.5662680321257</v>
      </c>
      <c r="Z91">
        <v>3.1047447793549265</v>
      </c>
      <c r="AA91">
        <v>7130.9778092223942</v>
      </c>
      <c r="AB91">
        <v>3.4586967385252292</v>
      </c>
      <c r="AC91">
        <v>7943.9346690447455</v>
      </c>
      <c r="AD91">
        <v>2.6866213457217838</v>
      </c>
      <c r="AE91">
        <v>6170.6319068537923</v>
      </c>
      <c r="AF91">
        <v>3.1583221001347836</v>
      </c>
      <c r="AG91">
        <v>7254.0341995895706</v>
      </c>
      <c r="AH91">
        <v>2.7687750094885386</v>
      </c>
      <c r="AI91">
        <v>6359.3224417932743</v>
      </c>
      <c r="AJ91">
        <v>2.0731878241114132</v>
      </c>
      <c r="AK91">
        <v>4761.697794419093</v>
      </c>
      <c r="AL91">
        <v>2.8595144165733473</v>
      </c>
      <c r="AM91">
        <v>6567.7327119856636</v>
      </c>
      <c r="AN91">
        <v>2.3653053394903845</v>
      </c>
      <c r="AO91">
        <v>5432.6333037415143</v>
      </c>
      <c r="AP91">
        <v>3.1246036178245102</v>
      </c>
      <c r="AQ91">
        <v>7176.5895894193345</v>
      </c>
      <c r="AR91">
        <v>3.2772580830199618</v>
      </c>
      <c r="AS91">
        <v>7527.2063650802475</v>
      </c>
      <c r="AT91">
        <v>4.0627964322157331</v>
      </c>
      <c r="AU91">
        <v>9331.430845513094</v>
      </c>
      <c r="AV91">
        <v>3.5381842925467923</v>
      </c>
      <c r="AW91">
        <v>8126.5016831214716</v>
      </c>
      <c r="AX91">
        <v>3.5898415355483722</v>
      </c>
      <c r="AY91">
        <v>8245.1480388475011</v>
      </c>
      <c r="AZ91">
        <v>2.8743870896306767</v>
      </c>
      <c r="BA91">
        <v>6601.892267463737</v>
      </c>
      <c r="BB91">
        <v>2.0347845881379856</v>
      </c>
      <c r="BC91">
        <v>4673.4932420353243</v>
      </c>
      <c r="BD91">
        <v>3.2792932142260756</v>
      </c>
      <c r="BE91">
        <v>7531.8806544344498</v>
      </c>
      <c r="BF91">
        <v>3.0877916249542552</v>
      </c>
      <c r="BG91">
        <v>7092.0398041949329</v>
      </c>
      <c r="BH91">
        <v>3.1981168996093592</v>
      </c>
      <c r="BI91">
        <v>7345.434895022775</v>
      </c>
      <c r="BJ91">
        <v>3.5105886868910905</v>
      </c>
      <c r="BK91">
        <v>8063.1200960514561</v>
      </c>
      <c r="BL91">
        <v>3.8691744374261012</v>
      </c>
      <c r="BM91">
        <v>8886.7198478802675</v>
      </c>
      <c r="BN91">
        <v>4.4946798601749345</v>
      </c>
      <c r="BO91">
        <v>10323.380702849789</v>
      </c>
      <c r="BP91">
        <v>3.2555008296994798</v>
      </c>
      <c r="BQ91">
        <v>7477.2343056537647</v>
      </c>
      <c r="BR91">
        <v>2.8407001842570976</v>
      </c>
      <c r="BS91">
        <v>6524.520183201701</v>
      </c>
      <c r="BT91">
        <v>2.4531165723477164</v>
      </c>
      <c r="BU91">
        <v>5634.3181433682348</v>
      </c>
      <c r="BV91">
        <v>2.8507182814957268</v>
      </c>
      <c r="BW91">
        <v>6547.5297489393843</v>
      </c>
      <c r="BX91">
        <v>3.2246821311531484</v>
      </c>
      <c r="BY91">
        <v>7406.4499188325508</v>
      </c>
      <c r="BZ91">
        <v>3.448293812002162</v>
      </c>
      <c r="CA91">
        <v>7920.0412274065648</v>
      </c>
      <c r="CB91">
        <v>3.4718590567708851</v>
      </c>
      <c r="CC91">
        <v>7974.1658815913679</v>
      </c>
      <c r="CD91">
        <v>3.1487380220011261</v>
      </c>
      <c r="CE91">
        <v>7232.0214889321851</v>
      </c>
      <c r="CF91">
        <v>3.1166506845238517</v>
      </c>
      <c r="CG91">
        <v>7158.3232922143816</v>
      </c>
      <c r="CH91">
        <v>2.4084223531793527</v>
      </c>
      <c r="CI91">
        <v>5531.6644607823364</v>
      </c>
      <c r="CJ91">
        <v>2.7018826634027966</v>
      </c>
      <c r="CK91">
        <v>6205.6841013035428</v>
      </c>
      <c r="CL91">
        <v>4.3903303677665617</v>
      </c>
      <c r="CM91">
        <v>10083.710788686238</v>
      </c>
      <c r="CN91">
        <v>3.1679519432850531</v>
      </c>
      <c r="CO91">
        <v>7276.1520233371093</v>
      </c>
      <c r="CP91">
        <v>3.3316957268990954</v>
      </c>
      <c r="CQ91">
        <v>7652.2387455418411</v>
      </c>
      <c r="CR91">
        <v>3.2910161775594053</v>
      </c>
      <c r="CS91">
        <v>7558.8059566184411</v>
      </c>
      <c r="CT91">
        <v>3.7033378740375449</v>
      </c>
      <c r="CU91">
        <v>8505.8264290894313</v>
      </c>
    </row>
    <row r="92" spans="2:99" x14ac:dyDescent="0.2">
      <c r="C92" s="116" t="s">
        <v>258</v>
      </c>
      <c r="D92">
        <v>14.220099950177266</v>
      </c>
      <c r="E92">
        <v>20203.918009211859</v>
      </c>
      <c r="F92">
        <v>5.1339742018362928</v>
      </c>
      <c r="G92">
        <v>7294.350545969005</v>
      </c>
      <c r="H92">
        <v>4.4072361187422437</v>
      </c>
      <c r="I92">
        <v>6261.8010775089797</v>
      </c>
      <c r="J92">
        <v>2.6202512918992591</v>
      </c>
      <c r="K92">
        <v>3722.8530355304674</v>
      </c>
      <c r="L92">
        <v>3.1953220834592084</v>
      </c>
      <c r="M92">
        <v>4539.9136161788429</v>
      </c>
      <c r="N92">
        <v>2.7774450577507106</v>
      </c>
      <c r="O92">
        <v>3946.1939380522094</v>
      </c>
      <c r="P92">
        <v>3.5339676044866071</v>
      </c>
      <c r="Q92">
        <v>5021.0611724545715</v>
      </c>
      <c r="R92">
        <v>2.7748989217356992</v>
      </c>
      <c r="S92">
        <v>3942.5763880020813</v>
      </c>
      <c r="T92">
        <v>3.5034138356313034</v>
      </c>
      <c r="U92">
        <v>4977.6503776649561</v>
      </c>
      <c r="V92">
        <v>3.9371535588015494</v>
      </c>
      <c r="W92">
        <v>5593.9077763452415</v>
      </c>
      <c r="X92">
        <v>3.1400025405086027</v>
      </c>
      <c r="Y92">
        <v>4461.3156095546228</v>
      </c>
      <c r="Z92">
        <v>3.8639827153344055</v>
      </c>
      <c r="AA92">
        <v>5489.9466419471228</v>
      </c>
      <c r="AB92">
        <v>3.724750333796401</v>
      </c>
      <c r="AC92">
        <v>5292.1252742579263</v>
      </c>
      <c r="AD92">
        <v>3.306121497002263</v>
      </c>
      <c r="AE92">
        <v>4697.3374229408155</v>
      </c>
      <c r="AF92">
        <v>3.5404363956094058</v>
      </c>
      <c r="AG92">
        <v>5030.2520308818439</v>
      </c>
      <c r="AH92">
        <v>3.0379573667032322</v>
      </c>
      <c r="AI92">
        <v>4316.3298266119518</v>
      </c>
      <c r="AJ92">
        <v>2.3251154753201444</v>
      </c>
      <c r="AK92">
        <v>3303.5240673348612</v>
      </c>
      <c r="AL92">
        <v>3.2063507424194455</v>
      </c>
      <c r="AM92">
        <v>4555.5831348295478</v>
      </c>
      <c r="AN92">
        <v>2.8792043538807577</v>
      </c>
      <c r="AO92">
        <v>4090.7735459937803</v>
      </c>
      <c r="AP92">
        <v>4.0005662527284862</v>
      </c>
      <c r="AQ92">
        <v>5684.0045318766333</v>
      </c>
      <c r="AR92">
        <v>3.2772580830199618</v>
      </c>
      <c r="AS92">
        <v>4656.3282843547613</v>
      </c>
      <c r="AT92">
        <v>3.9300031981571406</v>
      </c>
      <c r="AU92">
        <v>5583.748543941665</v>
      </c>
      <c r="AV92">
        <v>4.1011947655414236</v>
      </c>
      <c r="AW92">
        <v>5826.9775228812541</v>
      </c>
      <c r="AX92">
        <v>4.341731927926463</v>
      </c>
      <c r="AY92">
        <v>6168.7327231979189</v>
      </c>
      <c r="AZ92">
        <v>3.1191361205499257</v>
      </c>
      <c r="BA92">
        <v>4431.6686000773343</v>
      </c>
      <c r="BB92">
        <v>2.2591826256972736</v>
      </c>
      <c r="BC92">
        <v>3209.8466745906862</v>
      </c>
      <c r="BD92">
        <v>4.3136298503862029</v>
      </c>
      <c r="BE92">
        <v>6128.8052914287173</v>
      </c>
      <c r="BF92">
        <v>3.5289047142334349</v>
      </c>
      <c r="BG92">
        <v>5013.8678179828639</v>
      </c>
      <c r="BH92">
        <v>3.3930296697409239</v>
      </c>
      <c r="BI92">
        <v>4820.8165547679046</v>
      </c>
      <c r="BJ92">
        <v>3.7536800444994847</v>
      </c>
      <c r="BK92">
        <v>5333.228607224868</v>
      </c>
      <c r="BL92">
        <v>4.3189852996553029</v>
      </c>
      <c r="BM92">
        <v>6136.4143137502542</v>
      </c>
      <c r="BN92">
        <v>4.8037650220384416</v>
      </c>
      <c r="BO92">
        <v>6825.1893433122177</v>
      </c>
      <c r="BP92">
        <v>4.0501814821972077</v>
      </c>
      <c r="BQ92">
        <v>5754.4978499057925</v>
      </c>
      <c r="BR92">
        <v>3.685467271187215</v>
      </c>
      <c r="BS92">
        <v>5236.3118989027953</v>
      </c>
      <c r="BT92">
        <v>2.9523296173062366</v>
      </c>
      <c r="BU92">
        <v>4194.6699202687005</v>
      </c>
      <c r="BV92">
        <v>3.9112059073611398</v>
      </c>
      <c r="BW92">
        <v>5557.0413531787071</v>
      </c>
      <c r="BX92">
        <v>3.8407772293832694</v>
      </c>
      <c r="BY92">
        <v>5456.9762875077486</v>
      </c>
      <c r="BZ92">
        <v>4.0353590138510835</v>
      </c>
      <c r="CA92">
        <v>5733.4380868796197</v>
      </c>
      <c r="CB92">
        <v>3.7207075460806625</v>
      </c>
      <c r="CC92">
        <v>5286.3812814714047</v>
      </c>
      <c r="CD92">
        <v>3.3525550163090028</v>
      </c>
      <c r="CE92">
        <v>4763.3101671718314</v>
      </c>
      <c r="CF92">
        <v>3.157966378152512</v>
      </c>
      <c r="CG92">
        <v>4486.8386300790889</v>
      </c>
      <c r="CH92">
        <v>2.8802487501050402</v>
      </c>
      <c r="CI92">
        <v>4092.2574241492412</v>
      </c>
      <c r="CJ92">
        <v>3.2120418479249384</v>
      </c>
      <c r="CK92">
        <v>4563.6690575317525</v>
      </c>
      <c r="CL92">
        <v>4.1674276882238859</v>
      </c>
      <c r="CM92">
        <v>5921.0812594284971</v>
      </c>
      <c r="CN92">
        <v>3.5766511337630771</v>
      </c>
      <c r="CO92">
        <v>5081.7059308505795</v>
      </c>
      <c r="CP92">
        <v>3.7454744950301238</v>
      </c>
      <c r="CQ92">
        <v>5321.5701625388001</v>
      </c>
      <c r="CR92">
        <v>3.7303844574531668</v>
      </c>
      <c r="CS92">
        <v>5300.1302371494594</v>
      </c>
      <c r="CT92">
        <v>3.9200321494600381</v>
      </c>
      <c r="CU92">
        <v>5569.5816779528222</v>
      </c>
    </row>
    <row r="93" spans="2:99" x14ac:dyDescent="0.2">
      <c r="C93" s="116" t="s">
        <v>259</v>
      </c>
      <c r="D93">
        <v>13.220099950177266</v>
      </c>
      <c r="E93">
        <v>23431.305151694185</v>
      </c>
      <c r="F93">
        <v>4.8487534128453875</v>
      </c>
      <c r="G93">
        <v>8593.9305489271646</v>
      </c>
      <c r="H93">
        <v>4.114074829456448</v>
      </c>
      <c r="I93">
        <v>7291.7862277286076</v>
      </c>
      <c r="J93">
        <v>3.1310522129911011</v>
      </c>
      <c r="K93">
        <v>5549.4769423054277</v>
      </c>
      <c r="L93">
        <v>2.9048382576901899</v>
      </c>
      <c r="M93">
        <v>5148.5353279300925</v>
      </c>
      <c r="N93">
        <v>2.7774450577507106</v>
      </c>
      <c r="O93">
        <v>4922.7436203573589</v>
      </c>
      <c r="P93">
        <v>3.728362603801481</v>
      </c>
      <c r="Q93">
        <v>6608.1498789777443</v>
      </c>
      <c r="R93">
        <v>3.2794259984149172</v>
      </c>
      <c r="S93">
        <v>5812.4546395905991</v>
      </c>
      <c r="T93">
        <v>3.0196536146987873</v>
      </c>
      <c r="U93">
        <v>5352.0340666921302</v>
      </c>
      <c r="V93">
        <v>3.7055562906367525</v>
      </c>
      <c r="W93">
        <v>6567.7279695245797</v>
      </c>
      <c r="X93">
        <v>2.8260022864577423</v>
      </c>
      <c r="Y93">
        <v>5008.8064525177024</v>
      </c>
      <c r="Z93">
        <v>3.3578240913480863</v>
      </c>
      <c r="AA93">
        <v>5951.4074195053481</v>
      </c>
      <c r="AB93">
        <v>3.4586967385252292</v>
      </c>
      <c r="AC93">
        <v>6130.1940993621156</v>
      </c>
      <c r="AD93">
        <v>2.6771385847854261</v>
      </c>
      <c r="AE93">
        <v>4744.9604276736891</v>
      </c>
      <c r="AF93">
        <v>3.1566563499160569</v>
      </c>
      <c r="AG93">
        <v>5594.8577145912186</v>
      </c>
      <c r="AH93">
        <v>2.7687750094885386</v>
      </c>
      <c r="AI93">
        <v>4907.3768268174854</v>
      </c>
      <c r="AJ93">
        <v>2.3251154753201444</v>
      </c>
      <c r="AK93">
        <v>4121.0346684574233</v>
      </c>
      <c r="AL93">
        <v>3.2209602757706737</v>
      </c>
      <c r="AM93">
        <v>5708.8299927759417</v>
      </c>
      <c r="AN93">
        <v>2.6330164332752988</v>
      </c>
      <c r="AO93">
        <v>4666.7583263371389</v>
      </c>
      <c r="AP93">
        <v>3.5625849352764982</v>
      </c>
      <c r="AQ93">
        <v>6314.3255392840647</v>
      </c>
      <c r="AR93">
        <v>3.4840622328906403</v>
      </c>
      <c r="AS93">
        <v>6175.1519015753702</v>
      </c>
      <c r="AT93">
        <v>3.653732173108192</v>
      </c>
      <c r="AU93">
        <v>6475.8749036169593</v>
      </c>
      <c r="AV93">
        <v>3.6927314395217756</v>
      </c>
      <c r="AW93">
        <v>6544.9972034083949</v>
      </c>
      <c r="AX93">
        <v>4.2990218073455377</v>
      </c>
      <c r="AY93">
        <v>7619.5862513392303</v>
      </c>
      <c r="AZ93">
        <v>3.3080032765019816</v>
      </c>
      <c r="BA93">
        <v>5863.1050072721118</v>
      </c>
      <c r="BB93">
        <v>2.0347845881379856</v>
      </c>
      <c r="BC93">
        <v>3606.4522040157653</v>
      </c>
      <c r="BD93">
        <v>4.0816833956990557</v>
      </c>
      <c r="BE93">
        <v>7234.3756505370056</v>
      </c>
      <c r="BF93">
        <v>3.5120752714354428</v>
      </c>
      <c r="BG93">
        <v>6224.8022110921784</v>
      </c>
      <c r="BH93">
        <v>3.1981168996093592</v>
      </c>
      <c r="BI93">
        <v>5668.3423928676275</v>
      </c>
      <c r="BJ93">
        <v>4.1345511982213639</v>
      </c>
      <c r="BK93">
        <v>7328.0785437275445</v>
      </c>
      <c r="BL93">
        <v>3.8684190073529936</v>
      </c>
      <c r="BM93">
        <v>6856.3858486324452</v>
      </c>
      <c r="BN93">
        <v>5.0154440439654495</v>
      </c>
      <c r="BO93">
        <v>8889.373023524362</v>
      </c>
      <c r="BP93">
        <v>3.8703015447186901</v>
      </c>
      <c r="BQ93">
        <v>6859.7224578594059</v>
      </c>
      <c r="BR93">
        <v>3.4719668918697857</v>
      </c>
      <c r="BS93">
        <v>6153.7141191500077</v>
      </c>
      <c r="BT93">
        <v>2.9330516943740537</v>
      </c>
      <c r="BU93">
        <v>5198.5408231085721</v>
      </c>
      <c r="BV93">
        <v>3.6679582307728396</v>
      </c>
      <c r="BW93">
        <v>6501.0891682217807</v>
      </c>
      <c r="BX93">
        <v>3.5565943182012036</v>
      </c>
      <c r="BY93">
        <v>6303.7077695798125</v>
      </c>
      <c r="BZ93">
        <v>3.8348165666016203</v>
      </c>
      <c r="CA93">
        <v>6796.8288826447115</v>
      </c>
      <c r="CB93">
        <v>3.4898393563355246</v>
      </c>
      <c r="CC93">
        <v>6185.3912751690832</v>
      </c>
      <c r="CD93">
        <v>3.3656240316494275</v>
      </c>
      <c r="CE93">
        <v>5965.2320336954444</v>
      </c>
      <c r="CF93">
        <v>3.3520202996473945</v>
      </c>
      <c r="CG93">
        <v>5941.1207790950411</v>
      </c>
      <c r="CH93">
        <v>2.6796598331350379</v>
      </c>
      <c r="CI93">
        <v>4749.4290882485411</v>
      </c>
      <c r="CJ93">
        <v>3.1600454221904464</v>
      </c>
      <c r="CK93">
        <v>5600.864506290347</v>
      </c>
      <c r="CL93">
        <v>4.1674276882238859</v>
      </c>
      <c r="CM93">
        <v>7386.3488346080148</v>
      </c>
      <c r="CN93">
        <v>3.1816463452450363</v>
      </c>
      <c r="CO93">
        <v>5639.1499823123022</v>
      </c>
      <c r="CP93">
        <v>3.7454744950301238</v>
      </c>
      <c r="CQ93">
        <v>6638.4789949913911</v>
      </c>
      <c r="CR93">
        <v>3.3058078742036359</v>
      </c>
      <c r="CS93">
        <v>5859.2138762385239</v>
      </c>
      <c r="CT93">
        <v>3.7192553109217692</v>
      </c>
      <c r="CU93">
        <v>6592.0081130777435</v>
      </c>
    </row>
    <row r="94" spans="2:99" x14ac:dyDescent="0.2">
      <c r="C94" s="116" t="s">
        <v>260</v>
      </c>
      <c r="D94">
        <v>14.235821375189929</v>
      </c>
      <c r="E94">
        <v>34097.639357854918</v>
      </c>
      <c r="F94">
        <v>4.5635326238544813</v>
      </c>
      <c r="G94">
        <v>10930.573340656252</v>
      </c>
      <c r="H94">
        <v>3.5893488834567018</v>
      </c>
      <c r="I94">
        <v>8597.2084456554912</v>
      </c>
      <c r="J94">
        <v>3.1048652875277414</v>
      </c>
      <c r="K94">
        <v>7436.7733366864459</v>
      </c>
      <c r="L94">
        <v>2.9048382576901899</v>
      </c>
      <c r="M94">
        <v>6957.6685948195427</v>
      </c>
      <c r="N94">
        <v>2.5459913029381513</v>
      </c>
      <c r="O94">
        <v>6098.1583687974598</v>
      </c>
      <c r="P94">
        <v>3.5208674549932497</v>
      </c>
      <c r="Q94">
        <v>8433.1817281998319</v>
      </c>
      <c r="R94">
        <v>2.7748989217356992</v>
      </c>
      <c r="S94">
        <v>6646.4378973413459</v>
      </c>
      <c r="T94">
        <v>2.9884290042711363</v>
      </c>
      <c r="U94">
        <v>7157.8851510302256</v>
      </c>
      <c r="V94">
        <v>3.4739590224719556</v>
      </c>
      <c r="W94">
        <v>8320.8266506248274</v>
      </c>
      <c r="X94">
        <v>2.5120020324068819</v>
      </c>
      <c r="Y94">
        <v>6016.747268020963</v>
      </c>
      <c r="Z94">
        <v>2.8516654673617667</v>
      </c>
      <c r="AA94">
        <v>6830.3091274249027</v>
      </c>
      <c r="AB94">
        <v>2.9265895479828861</v>
      </c>
      <c r="AC94">
        <v>7009.7672853286085</v>
      </c>
      <c r="AD94">
        <v>3.0964605262633174</v>
      </c>
      <c r="AE94">
        <v>7416.642252505897</v>
      </c>
      <c r="AF94">
        <v>3.1558234748066933</v>
      </c>
      <c r="AG94">
        <v>7558.8283868569915</v>
      </c>
      <c r="AH94">
        <v>2.7687750094885386</v>
      </c>
      <c r="AI94">
        <v>6631.7699027269473</v>
      </c>
      <c r="AJ94">
        <v>2.5577875883816872</v>
      </c>
      <c r="AK94">
        <v>6126.4128316918168</v>
      </c>
      <c r="AL94">
        <v>2.6805106861561292</v>
      </c>
      <c r="AM94">
        <v>6420.35919548116</v>
      </c>
      <c r="AN94">
        <v>2.5925904824537209</v>
      </c>
      <c r="AO94">
        <v>6209.7727235731518</v>
      </c>
      <c r="AP94">
        <v>3.5625849352764982</v>
      </c>
      <c r="AQ94">
        <v>8533.1034369742683</v>
      </c>
      <c r="AR94">
        <v>3.1020622480601707</v>
      </c>
      <c r="AS94">
        <v>7430.0594965537202</v>
      </c>
      <c r="AT94">
        <v>3.8388135657169782</v>
      </c>
      <c r="AU94">
        <v>9194.7262526053055</v>
      </c>
      <c r="AV94">
        <v>3.1131594611821978</v>
      </c>
      <c r="AW94">
        <v>7456.6395414235994</v>
      </c>
      <c r="AX94">
        <v>3.8385208102759436</v>
      </c>
      <c r="AY94">
        <v>9194.0250447729395</v>
      </c>
      <c r="AZ94">
        <v>2.8604166208888779</v>
      </c>
      <c r="BA94">
        <v>6851.26989035304</v>
      </c>
      <c r="BB94">
        <v>2.228778125488486</v>
      </c>
      <c r="BC94">
        <v>5338.3693661700208</v>
      </c>
      <c r="BD94">
        <v>3.3004799309448249</v>
      </c>
      <c r="BE94">
        <v>7905.3095305990437</v>
      </c>
      <c r="BF94">
        <v>3.0541327393582702</v>
      </c>
      <c r="BG94">
        <v>7315.2587373109282</v>
      </c>
      <c r="BH94">
        <v>2.8486218445865354</v>
      </c>
      <c r="BI94">
        <v>6823.019042153669</v>
      </c>
      <c r="BJ94">
        <v>3.5294878448764351</v>
      </c>
      <c r="BK94">
        <v>8453.829286048036</v>
      </c>
      <c r="BL94">
        <v>3.4870403209470644</v>
      </c>
      <c r="BM94">
        <v>8352.1589767324076</v>
      </c>
      <c r="BN94">
        <v>4.2440383822733265</v>
      </c>
      <c r="BO94">
        <v>10165.320733221071</v>
      </c>
      <c r="BP94">
        <v>3.6364870746721398</v>
      </c>
      <c r="BQ94">
        <v>8710.1138412547079</v>
      </c>
      <c r="BR94">
        <v>2.901979968950446</v>
      </c>
      <c r="BS94">
        <v>6950.8224216301078</v>
      </c>
      <c r="BT94">
        <v>2.4401619545171522</v>
      </c>
      <c r="BU94">
        <v>5844.6759134594822</v>
      </c>
      <c r="BV94">
        <v>3.0656476386156477</v>
      </c>
      <c r="BW94">
        <v>7342.8392240121984</v>
      </c>
      <c r="BX94">
        <v>3.4844909981999317</v>
      </c>
      <c r="BY94">
        <v>8346.0528388884759</v>
      </c>
      <c r="BZ94">
        <v>3.448293812002162</v>
      </c>
      <c r="CA94">
        <v>8259.3533385075771</v>
      </c>
      <c r="CB94">
        <v>3.2220171497946675</v>
      </c>
      <c r="CC94">
        <v>7717.3754771881868</v>
      </c>
      <c r="CD94">
        <v>2.7803110794066441</v>
      </c>
      <c r="CE94">
        <v>6659.4010973947934</v>
      </c>
      <c r="CF94">
        <v>3.1166506845238517</v>
      </c>
      <c r="CG94">
        <v>7465.0017195715291</v>
      </c>
      <c r="CH94">
        <v>2.6434626712010671</v>
      </c>
      <c r="CI94">
        <v>6331.6217900607953</v>
      </c>
      <c r="CJ94">
        <v>2.7192148053142935</v>
      </c>
      <c r="CK94">
        <v>6513.063301688795</v>
      </c>
      <c r="CL94">
        <v>4.1507336655699678</v>
      </c>
      <c r="CM94">
        <v>9941.8372757731868</v>
      </c>
      <c r="CN94">
        <v>3.1679519432850531</v>
      </c>
      <c r="CO94">
        <v>7587.8784945563584</v>
      </c>
      <c r="CP94">
        <v>2.9179169587680671</v>
      </c>
      <c r="CQ94">
        <v>6988.9946996412737</v>
      </c>
      <c r="CR94">
        <v>2.9424526894582543</v>
      </c>
      <c r="CS94">
        <v>7047.7626817904102</v>
      </c>
      <c r="CT94">
        <v>3.317701633845231</v>
      </c>
      <c r="CU94">
        <v>7946.5589533860966</v>
      </c>
    </row>
    <row r="95" spans="2:99" x14ac:dyDescent="0.2">
      <c r="B95" s="116" t="s">
        <v>132</v>
      </c>
      <c r="C95" s="116" t="s">
        <v>261</v>
      </c>
      <c r="D95">
        <v>12.330149925265898</v>
      </c>
      <c r="E95">
        <v>21365.683790500749</v>
      </c>
      <c r="F95">
        <v>3.6132413105219325</v>
      </c>
      <c r="G95">
        <v>6261.0245428724047</v>
      </c>
      <c r="H95">
        <v>3.5154329243704865</v>
      </c>
      <c r="I95">
        <v>6091.5421713491787</v>
      </c>
      <c r="J95">
        <v>2.3582261627093333</v>
      </c>
      <c r="K95">
        <v>4086.3342947427327</v>
      </c>
      <c r="L95">
        <v>2.6722763662581506</v>
      </c>
      <c r="M95">
        <v>4630.5204874521232</v>
      </c>
      <c r="N95">
        <v>2.7774450577507106</v>
      </c>
      <c r="O95">
        <v>4812.7567960704309</v>
      </c>
      <c r="P95">
        <v>2.3806977580907231</v>
      </c>
      <c r="Q95">
        <v>4125.2730752196048</v>
      </c>
      <c r="R95">
        <v>2.7748989217356992</v>
      </c>
      <c r="S95">
        <v>4808.3448515836199</v>
      </c>
      <c r="T95">
        <v>3.6126999721280817</v>
      </c>
      <c r="U95">
        <v>6260.0865117035401</v>
      </c>
      <c r="V95">
        <v>3.4726276571630765</v>
      </c>
      <c r="W95">
        <v>6017.3692043321789</v>
      </c>
      <c r="X95">
        <v>2.8260022864577423</v>
      </c>
      <c r="Y95">
        <v>4896.896761973976</v>
      </c>
      <c r="Z95">
        <v>3.2516296894684436</v>
      </c>
      <c r="AA95">
        <v>5634.423925910919</v>
      </c>
      <c r="AB95">
        <v>2.8504622790482426</v>
      </c>
      <c r="AC95">
        <v>4939.2810371347941</v>
      </c>
      <c r="AD95">
        <v>2.7530006722762863</v>
      </c>
      <c r="AE95">
        <v>4770.3995649203489</v>
      </c>
      <c r="AF95">
        <v>2.4635826466962496</v>
      </c>
      <c r="AG95">
        <v>4268.8960101952616</v>
      </c>
      <c r="AH95">
        <v>3.6112731574731809</v>
      </c>
      <c r="AI95">
        <v>6257.6141272695277</v>
      </c>
      <c r="AJ95">
        <v>3.680745785624103</v>
      </c>
      <c r="AK95">
        <v>6377.996297329446</v>
      </c>
      <c r="AL95">
        <v>2.9882494980440923</v>
      </c>
      <c r="AM95">
        <v>5178.0387302108029</v>
      </c>
      <c r="AN95">
        <v>3.5043514498444006</v>
      </c>
      <c r="AO95">
        <v>6072.3401922903777</v>
      </c>
      <c r="AP95">
        <v>2.3269535104679977</v>
      </c>
      <c r="AQ95">
        <v>4032.1450429389465</v>
      </c>
      <c r="AR95">
        <v>2.5284105373239001</v>
      </c>
      <c r="AS95">
        <v>4381.2297790748544</v>
      </c>
      <c r="AT95">
        <v>2.9536699048315622</v>
      </c>
      <c r="AU95">
        <v>5118.1192110921311</v>
      </c>
      <c r="AV95">
        <v>2.8261202714476399</v>
      </c>
      <c r="AW95">
        <v>4897.1012063644703</v>
      </c>
      <c r="AX95">
        <v>2.6791518240636978</v>
      </c>
      <c r="AY95">
        <v>4642.4342807375751</v>
      </c>
      <c r="AZ95">
        <v>3.1610475267753215</v>
      </c>
      <c r="BA95">
        <v>5477.4631543962769</v>
      </c>
      <c r="BB95">
        <v>2.8229114088563159</v>
      </c>
      <c r="BC95">
        <v>4891.5408892662244</v>
      </c>
      <c r="BD95">
        <v>2.8246588121186473</v>
      </c>
      <c r="BE95">
        <v>4894.5687896391919</v>
      </c>
      <c r="BF95">
        <v>3.1719388389442171</v>
      </c>
      <c r="BG95">
        <v>5496.3356201225397</v>
      </c>
      <c r="BH95">
        <v>2.8498643474962426</v>
      </c>
      <c r="BI95">
        <v>4938.2449413414888</v>
      </c>
      <c r="BJ95">
        <v>2.3760586121426117</v>
      </c>
      <c r="BK95">
        <v>4117.2343631207177</v>
      </c>
      <c r="BL95">
        <v>2.7481898627489882</v>
      </c>
      <c r="BM95">
        <v>4762.0633941714468</v>
      </c>
      <c r="BN95">
        <v>2.1060508376746121</v>
      </c>
      <c r="BO95">
        <v>3649.3648915225676</v>
      </c>
      <c r="BP95">
        <v>2.8736021553532036</v>
      </c>
      <c r="BQ95">
        <v>4979.3778147960311</v>
      </c>
      <c r="BR95">
        <v>3.1563335380634414</v>
      </c>
      <c r="BS95">
        <v>5469.2947547563308</v>
      </c>
      <c r="BT95">
        <v>2.9701422168232625</v>
      </c>
      <c r="BU95">
        <v>5146.6624333113496</v>
      </c>
      <c r="BV95">
        <v>2.8763793071358754</v>
      </c>
      <c r="BW95">
        <v>4984.1900634050444</v>
      </c>
      <c r="BX95">
        <v>2.8440218558345269</v>
      </c>
      <c r="BY95">
        <v>4928.1210717900685</v>
      </c>
      <c r="BZ95">
        <v>3.1021616121460229</v>
      </c>
      <c r="CA95">
        <v>5375.4256415266282</v>
      </c>
      <c r="CB95">
        <v>2.3883471070686006</v>
      </c>
      <c r="CC95">
        <v>4138.5278671284714</v>
      </c>
      <c r="CD95">
        <v>2.3334700447696175</v>
      </c>
      <c r="CE95">
        <v>4043.436893576793</v>
      </c>
      <c r="CF95">
        <v>2.1764145067491629</v>
      </c>
      <c r="CG95">
        <v>3771.2910572949495</v>
      </c>
      <c r="CH95">
        <v>2.0462648544205342</v>
      </c>
      <c r="CI95">
        <v>3545.7677397399016</v>
      </c>
      <c r="CJ95">
        <v>2.1810027695154428</v>
      </c>
      <c r="CK95">
        <v>3779.241599016359</v>
      </c>
      <c r="CL95">
        <v>2.7149744583936268</v>
      </c>
      <c r="CM95">
        <v>4704.5077415044761</v>
      </c>
      <c r="CN95">
        <v>2.2626063837498509</v>
      </c>
      <c r="CO95">
        <v>3920.6443417617415</v>
      </c>
      <c r="CP95">
        <v>1.9678446616272773</v>
      </c>
      <c r="CQ95">
        <v>3409.8812296677461</v>
      </c>
      <c r="CR95">
        <v>2.1417838367463391</v>
      </c>
      <c r="CS95">
        <v>3711.2830323140561</v>
      </c>
      <c r="CT95">
        <v>2.2403800976894104</v>
      </c>
      <c r="CU95">
        <v>3882.1306332762101</v>
      </c>
    </row>
    <row r="96" spans="2:99" x14ac:dyDescent="0.2">
      <c r="C96" s="116" t="s">
        <v>262</v>
      </c>
      <c r="D96">
        <v>14.361592775291223</v>
      </c>
      <c r="E96">
        <v>11822.463172619733</v>
      </c>
      <c r="F96">
        <v>3.1374286788999566</v>
      </c>
      <c r="G96">
        <v>2582.7312884704443</v>
      </c>
      <c r="H96">
        <v>3.5154329243704865</v>
      </c>
      <c r="I96">
        <v>2893.9043833417841</v>
      </c>
      <c r="J96">
        <v>3.1443015502791103</v>
      </c>
      <c r="K96">
        <v>2588.3890361897634</v>
      </c>
      <c r="L96">
        <v>2.7303439929424833</v>
      </c>
      <c r="M96">
        <v>2247.6191749902518</v>
      </c>
      <c r="N96">
        <v>3.0088988125632699</v>
      </c>
      <c r="O96">
        <v>2476.9255025020834</v>
      </c>
      <c r="P96">
        <v>2.3937979075840805</v>
      </c>
      <c r="Q96">
        <v>1970.574437523215</v>
      </c>
      <c r="R96">
        <v>2.5226353833960902</v>
      </c>
      <c r="S96">
        <v>2076.6334476116613</v>
      </c>
      <c r="T96">
        <v>4.1198786508813363</v>
      </c>
      <c r="U96">
        <v>3391.4841054055159</v>
      </c>
      <c r="V96">
        <v>3.7055562906367525</v>
      </c>
      <c r="W96">
        <v>3050.4139384521745</v>
      </c>
      <c r="X96">
        <v>3.4540027945594627</v>
      </c>
      <c r="Y96">
        <v>2843.3351004813494</v>
      </c>
      <c r="Z96">
        <v>3.4821113229826008</v>
      </c>
      <c r="AA96">
        <v>2866.474041079277</v>
      </c>
      <c r="AB96">
        <v>3.1612044216927147</v>
      </c>
      <c r="AC96">
        <v>2602.3034799374423</v>
      </c>
      <c r="AD96">
        <v>3.2007708965632506</v>
      </c>
      <c r="AE96">
        <v>2634.8746020508679</v>
      </c>
      <c r="AF96">
        <v>2.8861777149520909</v>
      </c>
      <c r="AG96">
        <v>2375.9014949485609</v>
      </c>
      <c r="AH96">
        <v>3.6287486956434618</v>
      </c>
      <c r="AI96">
        <v>2987.1859262536973</v>
      </c>
      <c r="AJ96">
        <v>3.5105827624220129</v>
      </c>
      <c r="AK96">
        <v>2889.9117300258008</v>
      </c>
      <c r="AL96">
        <v>2.9877300785986063</v>
      </c>
      <c r="AM96">
        <v>2459.4994007023724</v>
      </c>
      <c r="AN96">
        <v>3.9982995283777183</v>
      </c>
      <c r="AO96">
        <v>3291.4001717605374</v>
      </c>
      <c r="AP96">
        <v>2.7845129598068517</v>
      </c>
      <c r="AQ96">
        <v>2292.2110685130001</v>
      </c>
      <c r="AR96">
        <v>2.944291700659988</v>
      </c>
      <c r="AS96">
        <v>2423.7409279833018</v>
      </c>
      <c r="AT96">
        <v>2.7659896326721642</v>
      </c>
      <c r="AU96">
        <v>2276.9626656157252</v>
      </c>
      <c r="AV96">
        <v>3.2345835974672879</v>
      </c>
      <c r="AW96">
        <v>2662.709217435071</v>
      </c>
      <c r="AX96">
        <v>2.6811026801288231</v>
      </c>
      <c r="AY96">
        <v>2207.0837262820469</v>
      </c>
      <c r="AZ96">
        <v>3.1470770580335228</v>
      </c>
      <c r="BA96">
        <v>2590.6738341731957</v>
      </c>
      <c r="BB96">
        <v>3.4527773970928104</v>
      </c>
      <c r="BC96">
        <v>2842.3263532868013</v>
      </c>
      <c r="BD96">
        <v>3.1201654169620419</v>
      </c>
      <c r="BE96">
        <v>2568.5201712431526</v>
      </c>
      <c r="BF96">
        <v>3.4766425975737696</v>
      </c>
      <c r="BG96">
        <v>2861.9721863227269</v>
      </c>
      <c r="BH96">
        <v>2.8694083386615423</v>
      </c>
      <c r="BI96">
        <v>2362.0969443861813</v>
      </c>
      <c r="BJ96">
        <v>2.5714466772624731</v>
      </c>
      <c r="BK96">
        <v>2116.8149047224679</v>
      </c>
      <c r="BL96">
        <v>2.9827824609511588</v>
      </c>
      <c r="BM96">
        <v>2455.4265218549936</v>
      </c>
      <c r="BN96">
        <v>2.3946843136184746</v>
      </c>
      <c r="BO96">
        <v>1971.304126970728</v>
      </c>
      <c r="BP96">
        <v>3.0888691143787916</v>
      </c>
      <c r="BQ96">
        <v>2542.7570549566212</v>
      </c>
      <c r="BR96">
        <v>3.7467470558805638</v>
      </c>
      <c r="BS96">
        <v>3084.3221764008799</v>
      </c>
      <c r="BT96">
        <v>2.7833814486406765</v>
      </c>
      <c r="BU96">
        <v>2291.2796085210048</v>
      </c>
      <c r="BV96">
        <v>2.8918916275648843</v>
      </c>
      <c r="BW96">
        <v>2380.6051878114126</v>
      </c>
      <c r="BX96">
        <v>2.6329610770583116</v>
      </c>
      <c r="BY96">
        <v>2167.4535586344018</v>
      </c>
      <c r="BZ96">
        <v>3.3046815783685402</v>
      </c>
      <c r="CA96">
        <v>2720.4138753129819</v>
      </c>
      <c r="CB96">
        <v>2.8650835331241944</v>
      </c>
      <c r="CC96">
        <v>2358.5367644678367</v>
      </c>
      <c r="CD96">
        <v>2.7672420640662199</v>
      </c>
      <c r="CE96">
        <v>2277.993667139312</v>
      </c>
      <c r="CF96">
        <v>2.6480403615035</v>
      </c>
      <c r="CG96">
        <v>2179.866825589681</v>
      </c>
      <c r="CH96">
        <v>2.3031271834704894</v>
      </c>
      <c r="CI96">
        <v>1895.9342974329068</v>
      </c>
      <c r="CJ96">
        <v>2.622698888120977</v>
      </c>
      <c r="CK96">
        <v>2159.0057247011882</v>
      </c>
      <c r="CL96">
        <v>3.5355387033988479</v>
      </c>
      <c r="CM96">
        <v>2910.4554606379315</v>
      </c>
      <c r="CN96">
        <v>2.6849999761878576</v>
      </c>
      <c r="CO96">
        <v>2210.2919803978443</v>
      </c>
      <c r="CP96">
        <v>2.226610383014977</v>
      </c>
      <c r="CQ96">
        <v>1832.945667297929</v>
      </c>
      <c r="CR96">
        <v>2.5797823753552822</v>
      </c>
      <c r="CS96">
        <v>2123.6768513924681</v>
      </c>
      <c r="CT96">
        <v>2.4252394993434554</v>
      </c>
      <c r="CU96">
        <v>1996.4571558595323</v>
      </c>
    </row>
    <row r="97" spans="2:99" x14ac:dyDescent="0.2">
      <c r="C97" s="116" t="s">
        <v>263</v>
      </c>
      <c r="D97">
        <v>12.345871350278561</v>
      </c>
      <c r="E97">
        <v>22578.129525389431</v>
      </c>
      <c r="F97">
        <v>3.6132413105219325</v>
      </c>
      <c r="G97">
        <v>6607.8957086825103</v>
      </c>
      <c r="H97">
        <v>3.2469102881134289</v>
      </c>
      <c r="I97">
        <v>5937.9495349018389</v>
      </c>
      <c r="J97">
        <v>2.3582261627093333</v>
      </c>
      <c r="K97">
        <v>4312.7240063628287</v>
      </c>
      <c r="L97">
        <v>2.7013101796003167</v>
      </c>
      <c r="M97">
        <v>4940.1560564530591</v>
      </c>
      <c r="N97">
        <v>2.5459913029381513</v>
      </c>
      <c r="O97">
        <v>4656.108894813291</v>
      </c>
      <c r="P97">
        <v>2.3806977580907231</v>
      </c>
      <c r="Q97">
        <v>4353.8200599963147</v>
      </c>
      <c r="R97">
        <v>2.7748989217356992</v>
      </c>
      <c r="S97">
        <v>5074.7351480702464</v>
      </c>
      <c r="T97">
        <v>3.6048938195211684</v>
      </c>
      <c r="U97">
        <v>6592.6298171403123</v>
      </c>
      <c r="V97">
        <v>3.2640569792838718</v>
      </c>
      <c r="W97">
        <v>5969.3074037143442</v>
      </c>
      <c r="X97">
        <v>3.4540027945594627</v>
      </c>
      <c r="Y97">
        <v>6316.6803106903453</v>
      </c>
      <c r="Z97">
        <v>2.9759526989962808</v>
      </c>
      <c r="AA97">
        <v>5442.422295924398</v>
      </c>
      <c r="AB97">
        <v>2.8504622790482426</v>
      </c>
      <c r="AC97">
        <v>5212.925415923426</v>
      </c>
      <c r="AD97">
        <v>3.1628398528178203</v>
      </c>
      <c r="AE97">
        <v>5784.2015228332293</v>
      </c>
      <c r="AF97">
        <v>2.6630942374101383</v>
      </c>
      <c r="AG97">
        <v>4870.2667413756608</v>
      </c>
      <c r="AH97">
        <v>3.3595663384287682</v>
      </c>
      <c r="AI97">
        <v>6143.9749197185311</v>
      </c>
      <c r="AJ97">
        <v>3.6431832044133037</v>
      </c>
      <c r="AK97">
        <v>6662.6534442310494</v>
      </c>
      <c r="AL97">
        <v>3.1547067341278159</v>
      </c>
      <c r="AM97">
        <v>5769.3276753729497</v>
      </c>
      <c r="AN97">
        <v>3.5432051633435782</v>
      </c>
      <c r="AO97">
        <v>6479.8136027227356</v>
      </c>
      <c r="AP97">
        <v>2.5361551032505592</v>
      </c>
      <c r="AQ97">
        <v>4638.1204528246226</v>
      </c>
      <c r="AR97">
        <v>2.33816816610691</v>
      </c>
      <c r="AS97">
        <v>4276.0419421763172</v>
      </c>
      <c r="AT97">
        <v>2.9536699048315622</v>
      </c>
      <c r="AU97">
        <v>5401.671521955961</v>
      </c>
      <c r="AV97">
        <v>2.6053271030928693</v>
      </c>
      <c r="AW97">
        <v>4764.6222061362396</v>
      </c>
      <c r="AX97">
        <v>2.6549748361014656</v>
      </c>
      <c r="AY97">
        <v>4855.4179802623603</v>
      </c>
      <c r="AZ97">
        <v>2.9442394333396691</v>
      </c>
      <c r="BA97">
        <v>5384.4250756915862</v>
      </c>
      <c r="BB97">
        <v>3.0017026961024222</v>
      </c>
      <c r="BC97">
        <v>5489.5138906321099</v>
      </c>
      <c r="BD97">
        <v>3.0971269987899195</v>
      </c>
      <c r="BE97">
        <v>5664.0258553870044</v>
      </c>
      <c r="BF97">
        <v>3.0018706226986049</v>
      </c>
      <c r="BG97">
        <v>5489.8209947912082</v>
      </c>
      <c r="BH97">
        <v>2.5003692924734193</v>
      </c>
      <c r="BI97">
        <v>4572.6753620753889</v>
      </c>
      <c r="BJ97">
        <v>2.1806705470227503</v>
      </c>
      <c r="BK97">
        <v>3988.0102963952058</v>
      </c>
      <c r="BL97">
        <v>2.5679431167067004</v>
      </c>
      <c r="BM97">
        <v>4696.2543718332136</v>
      </c>
      <c r="BN97">
        <v>2.3362406296565745</v>
      </c>
      <c r="BO97">
        <v>4272.5168635159434</v>
      </c>
      <c r="BP97">
        <v>2.6539191222750058</v>
      </c>
      <c r="BQ97">
        <v>4853.4872908165307</v>
      </c>
      <c r="BR97">
        <v>3.1563335380634414</v>
      </c>
      <c r="BS97">
        <v>5772.3027744104211</v>
      </c>
      <c r="BT97">
        <v>2.7116293945854895</v>
      </c>
      <c r="BU97">
        <v>4959.0278368179434</v>
      </c>
      <c r="BV97">
        <v>2.9046976266042557</v>
      </c>
      <c r="BW97">
        <v>5312.1110195338624</v>
      </c>
      <c r="BX97">
        <v>2.5862506135969023</v>
      </c>
      <c r="BY97">
        <v>4729.7351221460149</v>
      </c>
      <c r="BZ97">
        <v>2.929425098713462</v>
      </c>
      <c r="CA97">
        <v>5357.3326205271796</v>
      </c>
      <c r="CB97">
        <v>2.4083142419661208</v>
      </c>
      <c r="CC97">
        <v>4404.3250857076418</v>
      </c>
      <c r="CD97">
        <v>2.5658292894708405</v>
      </c>
      <c r="CE97">
        <v>4692.3886045842728</v>
      </c>
      <c r="CF97">
        <v>1.941931516132873</v>
      </c>
      <c r="CG97">
        <v>3551.4043567037979</v>
      </c>
      <c r="CH97">
        <v>2.1016653860593566</v>
      </c>
      <c r="CI97">
        <v>3843.5256580253513</v>
      </c>
      <c r="CJ97">
        <v>2.3658882924011428</v>
      </c>
      <c r="CK97">
        <v>4326.7365091432102</v>
      </c>
      <c r="CL97">
        <v>2.7666665288473085</v>
      </c>
      <c r="CM97">
        <v>5059.6797479559573</v>
      </c>
      <c r="CN97">
        <v>2.0651039894908307</v>
      </c>
      <c r="CO97">
        <v>3776.6621759808313</v>
      </c>
      <c r="CP97">
        <v>2.1747340456927917</v>
      </c>
      <c r="CQ97">
        <v>3977.1536227629772</v>
      </c>
      <c r="CR97">
        <v>2.1417838367463391</v>
      </c>
      <c r="CS97">
        <v>3916.8942806417049</v>
      </c>
      <c r="CT97">
        <v>2.4411569362276797</v>
      </c>
      <c r="CU97">
        <v>4464.3878049731802</v>
      </c>
    </row>
    <row r="98" spans="2:99" x14ac:dyDescent="0.2">
      <c r="C98" s="116" t="s">
        <v>264</v>
      </c>
      <c r="D98">
        <v>12.361592775291223</v>
      </c>
      <c r="E98">
        <v>15620.108630857989</v>
      </c>
      <c r="F98">
        <v>3.3392318063916782</v>
      </c>
      <c r="G98">
        <v>4219.4533105565242</v>
      </c>
      <c r="H98">
        <v>3.5400715773992246</v>
      </c>
      <c r="I98">
        <v>4473.2344452016596</v>
      </c>
      <c r="J98">
        <v>2.8822764210891845</v>
      </c>
      <c r="K98">
        <v>3642.0444856882932</v>
      </c>
      <c r="L98">
        <v>2.6867932729292336</v>
      </c>
      <c r="M98">
        <v>3395.0319796733793</v>
      </c>
      <c r="N98">
        <v>3.0088988125632699</v>
      </c>
      <c r="O98">
        <v>3802.0445395549477</v>
      </c>
      <c r="P98">
        <v>2.1928528335225281</v>
      </c>
      <c r="Q98">
        <v>2770.8888404390664</v>
      </c>
      <c r="R98">
        <v>2.7748989217356992</v>
      </c>
      <c r="S98">
        <v>3506.362277505229</v>
      </c>
      <c r="T98">
        <v>3.8233554721666887</v>
      </c>
      <c r="U98">
        <v>4831.1919746298272</v>
      </c>
      <c r="V98">
        <v>3.2640569792838718</v>
      </c>
      <c r="W98">
        <v>4124.4623990231003</v>
      </c>
      <c r="X98">
        <v>3.4540027945594627</v>
      </c>
      <c r="Y98">
        <v>4364.477931205337</v>
      </c>
      <c r="Z98">
        <v>3.2064343325104381</v>
      </c>
      <c r="AA98">
        <v>4051.6504225601893</v>
      </c>
      <c r="AB98">
        <v>2.8504622790482426</v>
      </c>
      <c r="AC98">
        <v>3601.8441358053592</v>
      </c>
      <c r="AD98">
        <v>3.1818053746905353</v>
      </c>
      <c r="AE98">
        <v>4020.52927145896</v>
      </c>
      <c r="AF98">
        <v>2.285144317482334</v>
      </c>
      <c r="AG98">
        <v>2887.5083595706769</v>
      </c>
      <c r="AH98">
        <v>3.3595663384287682</v>
      </c>
      <c r="AI98">
        <v>4245.1480252385909</v>
      </c>
      <c r="AJ98">
        <v>3.9153148888528002</v>
      </c>
      <c r="AK98">
        <v>4947.3918935543979</v>
      </c>
      <c r="AL98">
        <v>3.3496953572414183</v>
      </c>
      <c r="AM98">
        <v>4232.6750534102557</v>
      </c>
      <c r="AN98">
        <v>3.5631560992006341</v>
      </c>
      <c r="AO98">
        <v>4502.4040469499214</v>
      </c>
      <c r="AP98">
        <v>2.5361551032505592</v>
      </c>
      <c r="AQ98">
        <v>3204.6855884674064</v>
      </c>
      <c r="AR98">
        <v>2.5630493370277625</v>
      </c>
      <c r="AS98">
        <v>3238.6691422682807</v>
      </c>
      <c r="AT98">
        <v>2.9359517542536526</v>
      </c>
      <c r="AU98">
        <v>3709.8686366749153</v>
      </c>
      <c r="AV98">
        <v>2.8261202714476399</v>
      </c>
      <c r="AW98">
        <v>3571.0855750012374</v>
      </c>
      <c r="AX98">
        <v>2.431447977368689</v>
      </c>
      <c r="AY98">
        <v>3072.3776642030753</v>
      </c>
      <c r="AZ98">
        <v>2.9162984958560716</v>
      </c>
      <c r="BA98">
        <v>3685.034779363732</v>
      </c>
      <c r="BB98">
        <v>3.4504987712209982</v>
      </c>
      <c r="BC98">
        <v>4360.0502473148526</v>
      </c>
      <c r="BD98">
        <v>3.3751502898213124</v>
      </c>
      <c r="BE98">
        <v>4264.8399062182098</v>
      </c>
      <c r="BF98">
        <v>3.2560860529341791</v>
      </c>
      <c r="BG98">
        <v>4114.3903364876287</v>
      </c>
      <c r="BH98">
        <v>3.0630786058833999</v>
      </c>
      <c r="BI98">
        <v>3870.5061263942639</v>
      </c>
      <c r="BJ98">
        <v>2.1806705470227503</v>
      </c>
      <c r="BK98">
        <v>2755.4953032179469</v>
      </c>
      <c r="BL98">
        <v>2.7474344326758815</v>
      </c>
      <c r="BM98">
        <v>3471.6581491292436</v>
      </c>
      <c r="BN98">
        <v>2.665777477439728</v>
      </c>
      <c r="BO98">
        <v>3368.4764204928401</v>
      </c>
      <c r="BP98">
        <v>3.0915187588103574</v>
      </c>
      <c r="BQ98">
        <v>3906.4431036327674</v>
      </c>
      <c r="BR98">
        <v>3.4515402969720026</v>
      </c>
      <c r="BS98">
        <v>4361.3663192538224</v>
      </c>
      <c r="BT98">
        <v>2.7301746558100937</v>
      </c>
      <c r="BU98">
        <v>3449.8486950816341</v>
      </c>
      <c r="BV98">
        <v>2.718086588952715</v>
      </c>
      <c r="BW98">
        <v>3434.5742138006503</v>
      </c>
      <c r="BX98">
        <v>2.6096058453276072</v>
      </c>
      <c r="BY98">
        <v>3297.4979461559642</v>
      </c>
      <c r="BZ98">
        <v>2.9161813047960288</v>
      </c>
      <c r="CA98">
        <v>3684.8866967402619</v>
      </c>
      <c r="CB98">
        <v>2.655175895943017</v>
      </c>
      <c r="CC98">
        <v>3355.0802621135958</v>
      </c>
      <c r="CD98">
        <v>2.5503560544179189</v>
      </c>
      <c r="CE98">
        <v>3222.629910362482</v>
      </c>
      <c r="CF98">
        <v>2.1608109238308373</v>
      </c>
      <c r="CG98">
        <v>2730.400683352646</v>
      </c>
      <c r="CH98">
        <v>2.1007925056182271</v>
      </c>
      <c r="CI98">
        <v>2654.5614100991916</v>
      </c>
      <c r="CJ98">
        <v>2.4369478635058952</v>
      </c>
      <c r="CK98">
        <v>3079.3273203260492</v>
      </c>
      <c r="CL98">
        <v>3.2140818904245854</v>
      </c>
      <c r="CM98">
        <v>4061.3138767405057</v>
      </c>
      <c r="CN98">
        <v>2.2626063837498509</v>
      </c>
      <c r="CO98">
        <v>2859.0294265063112</v>
      </c>
      <c r="CP98">
        <v>2.2066204010958206</v>
      </c>
      <c r="CQ98">
        <v>2788.2855388246785</v>
      </c>
      <c r="CR98">
        <v>2.3766021086586546</v>
      </c>
      <c r="CS98">
        <v>3003.0744245010756</v>
      </c>
      <c r="CT98">
        <v>2.4252394993434554</v>
      </c>
      <c r="CU98">
        <v>3064.5326313703899</v>
      </c>
    </row>
    <row r="99" spans="2:99" x14ac:dyDescent="0.2">
      <c r="C99" s="116" t="s">
        <v>265</v>
      </c>
      <c r="D99">
        <v>9.2672642252152517</v>
      </c>
      <c r="E99">
        <v>50799.435576939919</v>
      </c>
      <c r="F99">
        <v>2.4163017302550558</v>
      </c>
      <c r="G99">
        <v>13245.199564566112</v>
      </c>
      <c r="H99">
        <v>2.4290230528278873</v>
      </c>
      <c r="I99">
        <v>13314.932766381346</v>
      </c>
      <c r="J99">
        <v>1.5721507751395551</v>
      </c>
      <c r="K99">
        <v>8617.9016890049843</v>
      </c>
      <c r="L99">
        <v>1.7429029546141139</v>
      </c>
      <c r="M99">
        <v>9553.8968360127255</v>
      </c>
      <c r="N99">
        <v>1.8516300385004736</v>
      </c>
      <c r="O99">
        <v>10149.895219044194</v>
      </c>
      <c r="P99">
        <v>1.7320120126793148</v>
      </c>
      <c r="Q99">
        <v>9494.1970487029303</v>
      </c>
      <c r="R99">
        <v>2.0181083067168721</v>
      </c>
      <c r="S99">
        <v>11062.462494099205</v>
      </c>
      <c r="T99">
        <v>2.8168042672670928</v>
      </c>
      <c r="U99">
        <v>15440.594271451295</v>
      </c>
      <c r="V99">
        <v>2.257074840625112</v>
      </c>
      <c r="W99">
        <v>12372.381446370613</v>
      </c>
      <c r="X99">
        <v>2.5120020324068819</v>
      </c>
      <c r="Y99">
        <v>13769.790340841562</v>
      </c>
      <c r="Z99">
        <v>2.3907022003334522</v>
      </c>
      <c r="AA99">
        <v>13104.87318134785</v>
      </c>
      <c r="AB99">
        <v>2.2624944042892738</v>
      </c>
      <c r="AC99">
        <v>12402.089326552083</v>
      </c>
      <c r="AD99">
        <v>2.0576384335049465</v>
      </c>
      <c r="AE99">
        <v>11279.150837100713</v>
      </c>
      <c r="AF99">
        <v>1.9844307948153963</v>
      </c>
      <c r="AG99">
        <v>10877.855844860076</v>
      </c>
      <c r="AH99">
        <v>2.5520192667846882</v>
      </c>
      <c r="AI99">
        <v>13989.148812806945</v>
      </c>
      <c r="AJ99">
        <v>2.3961610209317947</v>
      </c>
      <c r="AK99">
        <v>13134.796252339725</v>
      </c>
      <c r="AL99">
        <v>2.0160571011663899</v>
      </c>
      <c r="AM99">
        <v>11051.218605753682</v>
      </c>
      <c r="AN99">
        <v>2.7411200402037688</v>
      </c>
      <c r="AO99">
        <v>15025.723612380978</v>
      </c>
      <c r="AP99">
        <v>1.8498159292422791</v>
      </c>
      <c r="AQ99">
        <v>10139.950997734477</v>
      </c>
      <c r="AR99">
        <v>1.8884058242652035</v>
      </c>
      <c r="AS99">
        <v>10351.485366292138</v>
      </c>
      <c r="AT99">
        <v>2.0434854609927808</v>
      </c>
      <c r="AU99">
        <v>11201.569902978026</v>
      </c>
      <c r="AV99">
        <v>2.3845339347380987</v>
      </c>
      <c r="AW99">
        <v>13071.061216660361</v>
      </c>
      <c r="AX99">
        <v>1.8083273479395716</v>
      </c>
      <c r="AY99">
        <v>9912.5271904655547</v>
      </c>
      <c r="AZ99">
        <v>2.251903746807316</v>
      </c>
      <c r="BA99">
        <v>12344.035578498982</v>
      </c>
      <c r="BB99">
        <v>2.370317623951387</v>
      </c>
      <c r="BC99">
        <v>12993.133087451923</v>
      </c>
      <c r="BD99">
        <v>2.0173307601033388</v>
      </c>
      <c r="BE99">
        <v>11058.200294582461</v>
      </c>
      <c r="BF99">
        <v>2.4934397622274558</v>
      </c>
      <c r="BG99">
        <v>13668.039400626019</v>
      </c>
      <c r="BH99">
        <v>1.9125247248044592</v>
      </c>
      <c r="BI99">
        <v>10483.695531488123</v>
      </c>
      <c r="BJ99">
        <v>1.5189097197217873</v>
      </c>
      <c r="BK99">
        <v>8326.0555196269488</v>
      </c>
      <c r="BL99">
        <v>1.8440355578519425</v>
      </c>
      <c r="BM99">
        <v>10108.265313921207</v>
      </c>
      <c r="BN99">
        <v>1.5210202223281231</v>
      </c>
      <c r="BO99">
        <v>8337.6244507138381</v>
      </c>
      <c r="BP99">
        <v>2.180049249382062</v>
      </c>
      <c r="BQ99">
        <v>11950.157965412711</v>
      </c>
      <c r="BR99">
        <v>2.4842136406551871</v>
      </c>
      <c r="BS99">
        <v>13617.465492615473</v>
      </c>
      <c r="BT99">
        <v>2.1615615457327859</v>
      </c>
      <c r="BU99">
        <v>11848.815769088838</v>
      </c>
      <c r="BV99">
        <v>1.7983496197992261</v>
      </c>
      <c r="BW99">
        <v>9857.8332758914366</v>
      </c>
      <c r="BX99">
        <v>1.9214074270962143</v>
      </c>
      <c r="BY99">
        <v>10532.386952370607</v>
      </c>
      <c r="BZ99">
        <v>2.272845062322284</v>
      </c>
      <c r="CA99">
        <v>12458.827493625831</v>
      </c>
      <c r="CB99">
        <v>1.6188542512424269</v>
      </c>
      <c r="CC99">
        <v>8873.911463610486</v>
      </c>
      <c r="CD99">
        <v>1.7089500465055618</v>
      </c>
      <c r="CE99">
        <v>9367.7805749248873</v>
      </c>
      <c r="CF99">
        <v>1.6281883282054772</v>
      </c>
      <c r="CG99">
        <v>8925.0771398911438</v>
      </c>
      <c r="CH99">
        <v>1.5522073826189504</v>
      </c>
      <c r="CI99">
        <v>8508.5799885640372</v>
      </c>
      <c r="CJ99">
        <v>1.8332039555912147</v>
      </c>
      <c r="CK99">
        <v>10048.890802968801</v>
      </c>
      <c r="CL99">
        <v>1.9563562965283035</v>
      </c>
      <c r="CM99">
        <v>10723.962675049546</v>
      </c>
      <c r="CN99">
        <v>1.5879327892128905</v>
      </c>
      <c r="CO99">
        <v>8704.4123773493793</v>
      </c>
      <c r="CP99">
        <v>1.4488416536818267</v>
      </c>
      <c r="CQ99">
        <v>7941.9704088223007</v>
      </c>
      <c r="CR99">
        <v>1.5253943302323658</v>
      </c>
      <c r="CS99">
        <v>8361.6015606017354</v>
      </c>
      <c r="CT99">
        <v>1.6221321451903785</v>
      </c>
      <c r="CU99">
        <v>8891.8795670755771</v>
      </c>
    </row>
    <row r="100" spans="2:99" x14ac:dyDescent="0.2">
      <c r="C100" s="116" t="s">
        <v>266</v>
      </c>
      <c r="D100">
        <v>12.345871350278561</v>
      </c>
      <c r="E100">
        <v>20029.941678691936</v>
      </c>
      <c r="F100">
        <v>3.6244525953825839</v>
      </c>
      <c r="G100">
        <v>5880.3118907487033</v>
      </c>
      <c r="H100">
        <v>3.2469102881134289</v>
      </c>
      <c r="I100">
        <v>5267.7872514352266</v>
      </c>
      <c r="J100">
        <v>2.8822764210891845</v>
      </c>
      <c r="K100">
        <v>4676.2052655750922</v>
      </c>
      <c r="L100">
        <v>3.0208278187115019</v>
      </c>
      <c r="M100">
        <v>4900.9910530775405</v>
      </c>
      <c r="N100">
        <v>3.0088988125632699</v>
      </c>
      <c r="O100">
        <v>4881.6374335026485</v>
      </c>
      <c r="P100">
        <v>2.3741476833440438</v>
      </c>
      <c r="Q100">
        <v>3851.8172014573765</v>
      </c>
      <c r="R100">
        <v>2.7748989217356992</v>
      </c>
      <c r="S100">
        <v>4501.9960106239978</v>
      </c>
      <c r="T100">
        <v>4.0964601930605964</v>
      </c>
      <c r="U100">
        <v>6646.0970172215111</v>
      </c>
      <c r="V100">
        <v>3.4956542474486687</v>
      </c>
      <c r="W100">
        <v>5671.3494510607197</v>
      </c>
      <c r="X100">
        <v>2.8260022864577423</v>
      </c>
      <c r="Y100">
        <v>4584.9061095490406</v>
      </c>
      <c r="Z100">
        <v>3.4821113229826008</v>
      </c>
      <c r="AA100">
        <v>5649.3774104069707</v>
      </c>
      <c r="AB100">
        <v>2.8392901422049173</v>
      </c>
      <c r="AC100">
        <v>4606.4643267132578</v>
      </c>
      <c r="AD100">
        <v>3.191288135626893</v>
      </c>
      <c r="AE100">
        <v>5177.5458712410709</v>
      </c>
      <c r="AF100">
        <v>2.4280991245712107</v>
      </c>
      <c r="AG100">
        <v>3939.3480197043318</v>
      </c>
      <c r="AH100">
        <v>3.8280289001770313</v>
      </c>
      <c r="AI100">
        <v>6210.594087647215</v>
      </c>
      <c r="AJ100">
        <v>3.2163500545845949</v>
      </c>
      <c r="AK100">
        <v>5218.2063285580462</v>
      </c>
      <c r="AL100">
        <v>2.9770783630557536</v>
      </c>
      <c r="AM100">
        <v>4830.0119362216537</v>
      </c>
      <c r="AN100">
        <v>3.2765422277735974</v>
      </c>
      <c r="AO100">
        <v>5315.8621103398837</v>
      </c>
      <c r="AP100">
        <v>2.7453566960331202</v>
      </c>
      <c r="AQ100">
        <v>4454.0667036441337</v>
      </c>
      <c r="AR100">
        <v>2.544214694779344</v>
      </c>
      <c r="AS100">
        <v>4127.7339208100075</v>
      </c>
      <c r="AT100">
        <v>2.7128351809384346</v>
      </c>
      <c r="AU100">
        <v>4401.3037975545158</v>
      </c>
      <c r="AV100">
        <v>2.9972289237675702</v>
      </c>
      <c r="AW100">
        <v>4862.704205920506</v>
      </c>
      <c r="AX100">
        <v>2.4526986812332332</v>
      </c>
      <c r="AY100">
        <v>3979.258340432797</v>
      </c>
      <c r="AZ100">
        <v>2.7414018086458145</v>
      </c>
      <c r="BA100">
        <v>4447.6502943469695</v>
      </c>
      <c r="BB100">
        <v>3.4200942710122111</v>
      </c>
      <c r="BC100">
        <v>5548.7609452902107</v>
      </c>
      <c r="BD100">
        <v>3.3720641207323561</v>
      </c>
      <c r="BE100">
        <v>5470.836829476174</v>
      </c>
      <c r="BF100">
        <v>3.4093248263817997</v>
      </c>
      <c r="BG100">
        <v>5531.2885983218312</v>
      </c>
      <c r="BH100">
        <v>3.0630786058833999</v>
      </c>
      <c r="BI100">
        <v>4969.5387301852279</v>
      </c>
      <c r="BJ100">
        <v>2.1806705470227503</v>
      </c>
      <c r="BK100">
        <v>3537.9198954897097</v>
      </c>
      <c r="BL100">
        <v>2.5329715987219572</v>
      </c>
      <c r="BM100">
        <v>4109.4931217665035</v>
      </c>
      <c r="BN100">
        <v>2.357662773508566</v>
      </c>
      <c r="BO100">
        <v>3825.0720837402973</v>
      </c>
      <c r="BP100">
        <v>2.8904124513162168</v>
      </c>
      <c r="BQ100">
        <v>4689.4051610154302</v>
      </c>
      <c r="BR100">
        <v>3.1359069431656583</v>
      </c>
      <c r="BS100">
        <v>5087.6954245919633</v>
      </c>
      <c r="BT100">
        <v>2.7309843194245045</v>
      </c>
      <c r="BU100">
        <v>4430.7489598343154</v>
      </c>
      <c r="BV100">
        <v>2.7046040095659345</v>
      </c>
      <c r="BW100">
        <v>4387.9495451197718</v>
      </c>
      <c r="BX100">
        <v>2.5862506135969023</v>
      </c>
      <c r="BY100">
        <v>4195.9329954996138</v>
      </c>
      <c r="BZ100">
        <v>2.9161813047960288</v>
      </c>
      <c r="CA100">
        <v>4731.2125489010768</v>
      </c>
      <c r="CB100">
        <v>2.4272879591972005</v>
      </c>
      <c r="CC100">
        <v>3938.031985001538</v>
      </c>
      <c r="CD100">
        <v>2.5111490083966461</v>
      </c>
      <c r="CE100">
        <v>4074.0881512227184</v>
      </c>
      <c r="CF100">
        <v>2.4108974973654518</v>
      </c>
      <c r="CG100">
        <v>3911.4400997257085</v>
      </c>
      <c r="CH100">
        <v>2.1016653860593566</v>
      </c>
      <c r="CI100">
        <v>3409.7419223427</v>
      </c>
      <c r="CJ100">
        <v>2.1463384856924481</v>
      </c>
      <c r="CK100">
        <v>3482.2195591874274</v>
      </c>
      <c r="CL100">
        <v>2.7650565263553828</v>
      </c>
      <c r="CM100">
        <v>4486.0277083589726</v>
      </c>
      <c r="CN100">
        <v>2.2626063837498509</v>
      </c>
      <c r="CO100">
        <v>3670.8525969957577</v>
      </c>
      <c r="CP100">
        <v>2.175469828277818</v>
      </c>
      <c r="CQ100">
        <v>3529.4822493979318</v>
      </c>
      <c r="CR100">
        <v>2.3160655807969146</v>
      </c>
      <c r="CS100">
        <v>3757.5847982849141</v>
      </c>
      <c r="CT100">
        <v>2.6376933176046879</v>
      </c>
      <c r="CU100">
        <v>4279.3936384818453</v>
      </c>
    </row>
    <row r="101" spans="2:99" x14ac:dyDescent="0.2">
      <c r="C101" s="116" t="s">
        <v>267</v>
      </c>
      <c r="D101">
        <v>12.393035625316546</v>
      </c>
      <c r="E101">
        <v>14752.669608376815</v>
      </c>
      <c r="F101">
        <v>3.6356638802432353</v>
      </c>
      <c r="G101">
        <v>4327.8942830415472</v>
      </c>
      <c r="H101">
        <v>3.5400715773992246</v>
      </c>
      <c r="I101">
        <v>4214.1012057360367</v>
      </c>
      <c r="J101">
        <v>2.6202512918992591</v>
      </c>
      <c r="K101">
        <v>3119.1471378768779</v>
      </c>
      <c r="L101">
        <v>2.6867932729292336</v>
      </c>
      <c r="M101">
        <v>3198.3587120949592</v>
      </c>
      <c r="N101">
        <v>2.5459913029381513</v>
      </c>
      <c r="O101">
        <v>3030.7480470175751</v>
      </c>
      <c r="P101">
        <v>2.6012930563923118</v>
      </c>
      <c r="Q101">
        <v>3096.5792543294074</v>
      </c>
      <c r="R101">
        <v>2.7748989217356992</v>
      </c>
      <c r="S101">
        <v>3303.2396764341761</v>
      </c>
      <c r="T101">
        <v>4.1042663456675097</v>
      </c>
      <c r="U101">
        <v>4885.7186578826031</v>
      </c>
      <c r="V101">
        <v>3.727251515613466</v>
      </c>
      <c r="W101">
        <v>4436.9202041862691</v>
      </c>
      <c r="X101">
        <v>3.4540027945594627</v>
      </c>
      <c r="Y101">
        <v>4111.6449266435839</v>
      </c>
      <c r="Z101">
        <v>2.9759526989962808</v>
      </c>
      <c r="AA101">
        <v>3542.5740928851724</v>
      </c>
      <c r="AB101">
        <v>3.1165158743194139</v>
      </c>
      <c r="AC101">
        <v>3709.90049678983</v>
      </c>
      <c r="AD101">
        <v>3.4199146282385535</v>
      </c>
      <c r="AE101">
        <v>4071.0663734551736</v>
      </c>
      <c r="AF101">
        <v>2.6833346238007483</v>
      </c>
      <c r="AG101">
        <v>3194.2415361724102</v>
      </c>
      <c r="AH101">
        <v>3.3770418765990491</v>
      </c>
      <c r="AI101">
        <v>4020.0306499035078</v>
      </c>
      <c r="AJ101">
        <v>3.7009498188548688</v>
      </c>
      <c r="AK101">
        <v>4405.6106643648354</v>
      </c>
      <c r="AL101">
        <v>2.9877300785986063</v>
      </c>
      <c r="AM101">
        <v>3556.5938855637805</v>
      </c>
      <c r="AN101">
        <v>3.3153959412727749</v>
      </c>
      <c r="AO101">
        <v>3946.6473284911108</v>
      </c>
      <c r="AP101">
        <v>2.9741364207025467</v>
      </c>
      <c r="AQ101">
        <v>3540.4119952043111</v>
      </c>
      <c r="AR101">
        <v>2.5449723159775877</v>
      </c>
      <c r="AS101">
        <v>3029.5350449397201</v>
      </c>
      <c r="AT101">
        <v>2.9713880554094727</v>
      </c>
      <c r="AU101">
        <v>3537.140341159436</v>
      </c>
      <c r="AV101">
        <v>3.2014605867773942</v>
      </c>
      <c r="AW101">
        <v>3811.0186824998095</v>
      </c>
      <c r="AX101">
        <v>2.7004025279282411</v>
      </c>
      <c r="AY101">
        <v>3214.5591692457779</v>
      </c>
      <c r="AZ101">
        <v>3.1331065892917245</v>
      </c>
      <c r="BA101">
        <v>3729.6500838928682</v>
      </c>
      <c r="BB101">
        <v>3.2869097340792859</v>
      </c>
      <c r="BC101">
        <v>3912.7373474479814</v>
      </c>
      <c r="BD101">
        <v>3.1008304016966663</v>
      </c>
      <c r="BE101">
        <v>3691.2285101797111</v>
      </c>
      <c r="BF101">
        <v>3.6130519282233964</v>
      </c>
      <c r="BG101">
        <v>4300.9770153571308</v>
      </c>
      <c r="BH101">
        <v>3.2201458965940719</v>
      </c>
      <c r="BI101">
        <v>3833.2616753055827</v>
      </c>
      <c r="BJ101">
        <v>2.3949577701279563</v>
      </c>
      <c r="BK101">
        <v>2850.957729560319</v>
      </c>
      <c r="BL101">
        <v>2.5664322565604865</v>
      </c>
      <c r="BM101">
        <v>3055.0809582096026</v>
      </c>
      <c r="BN101">
        <v>2.355721857643875</v>
      </c>
      <c r="BO101">
        <v>2804.2512993392684</v>
      </c>
      <c r="BP101">
        <v>2.8744853701637259</v>
      </c>
      <c r="BQ101">
        <v>3421.7873846428988</v>
      </c>
      <c r="BR101">
        <v>3.2176133227567898</v>
      </c>
      <c r="BS101">
        <v>3830.2468994096821</v>
      </c>
      <c r="BT101">
        <v>3.2431519822135892</v>
      </c>
      <c r="BU101">
        <v>3860.6481196270561</v>
      </c>
      <c r="BV101">
        <v>3.0933384052980246</v>
      </c>
      <c r="BW101">
        <v>3682.310037666768</v>
      </c>
      <c r="BX101">
        <v>3.1282047670165936</v>
      </c>
      <c r="BY101">
        <v>3723.8149546565523</v>
      </c>
      <c r="BZ101">
        <v>2.9698156534567803</v>
      </c>
      <c r="CA101">
        <v>3535.2685538749511</v>
      </c>
      <c r="CB101">
        <v>2.4093076596325611</v>
      </c>
      <c r="CC101">
        <v>2868.0398380266006</v>
      </c>
      <c r="CD101">
        <v>2.3465390601100418</v>
      </c>
      <c r="CE101">
        <v>2793.3200971549936</v>
      </c>
      <c r="CF101">
        <v>2.4117841218727052</v>
      </c>
      <c r="CG101">
        <v>2870.987818677268</v>
      </c>
      <c r="CH101">
        <v>2.0462648544205342</v>
      </c>
      <c r="CI101">
        <v>2435.8736827022035</v>
      </c>
      <c r="CJ101">
        <v>2.3832204343126406</v>
      </c>
      <c r="CK101">
        <v>2836.985605005767</v>
      </c>
      <c r="CL101">
        <v>3.0245672561897474</v>
      </c>
      <c r="CM101">
        <v>3600.4448617682751</v>
      </c>
      <c r="CN101">
        <v>2.4464143760488883</v>
      </c>
      <c r="CO101">
        <v>2912.2116732485965</v>
      </c>
      <c r="CP101">
        <v>2.3816234297583061</v>
      </c>
      <c r="CQ101">
        <v>2835.0845307842874</v>
      </c>
      <c r="CR101">
        <v>2.1417838367463391</v>
      </c>
      <c r="CS101">
        <v>2549.5794792628417</v>
      </c>
      <c r="CT101">
        <v>2.4411569362276797</v>
      </c>
      <c r="CU101">
        <v>2905.9532168854298</v>
      </c>
    </row>
    <row r="102" spans="2:99" x14ac:dyDescent="0.2">
      <c r="C102" s="116" t="s">
        <v>268</v>
      </c>
      <c r="D102">
        <v>12.330149925265898</v>
      </c>
      <c r="E102">
        <v>23910.626735075628</v>
      </c>
      <c r="F102">
        <v>3.6020300256612812</v>
      </c>
      <c r="G102">
        <v>6985.0566257623559</v>
      </c>
      <c r="H102">
        <v>3.2715489411421674</v>
      </c>
      <c r="I102">
        <v>6344.1877066628904</v>
      </c>
      <c r="J102">
        <v>2.6202512918992591</v>
      </c>
      <c r="K102">
        <v>5081.1913052510426</v>
      </c>
      <c r="L102">
        <v>2.3238706061521515</v>
      </c>
      <c r="M102">
        <v>4506.4498794502515</v>
      </c>
      <c r="N102">
        <v>2.7774450577507106</v>
      </c>
      <c r="O102">
        <v>5386.0214559901779</v>
      </c>
      <c r="P102">
        <v>2.1928528335225281</v>
      </c>
      <c r="Q102">
        <v>4252.3802147668857</v>
      </c>
      <c r="R102">
        <v>2.2703718450564812</v>
      </c>
      <c r="S102">
        <v>4402.7050819335282</v>
      </c>
      <c r="T102">
        <v>3.5814753617004307</v>
      </c>
      <c r="U102">
        <v>6945.1970214094745</v>
      </c>
      <c r="V102">
        <v>3.507167542591465</v>
      </c>
      <c r="W102">
        <v>6801.0992985933681</v>
      </c>
      <c r="X102">
        <v>2.8260022864577423</v>
      </c>
      <c r="Y102">
        <v>5480.1836338988533</v>
      </c>
      <c r="Z102">
        <v>2.7115745477636195</v>
      </c>
      <c r="AA102">
        <v>5258.2853630232103</v>
      </c>
      <c r="AB102">
        <v>2.8504622790482426</v>
      </c>
      <c r="AC102">
        <v>5527.6164515303517</v>
      </c>
      <c r="AD102">
        <v>2.9531788820788747</v>
      </c>
      <c r="AE102">
        <v>5726.8044881273536</v>
      </c>
      <c r="AF102">
        <v>2.2446635447011141</v>
      </c>
      <c r="AG102">
        <v>4352.8515458844004</v>
      </c>
      <c r="AH102">
        <v>3.1428105957249177</v>
      </c>
      <c r="AI102">
        <v>6094.53830722976</v>
      </c>
      <c r="AJ102">
        <v>3.7009498188548688</v>
      </c>
      <c r="AK102">
        <v>7176.881888723361</v>
      </c>
      <c r="AL102">
        <v>2.7827774196147286</v>
      </c>
      <c r="AM102">
        <v>5396.3619721168816</v>
      </c>
      <c r="AN102">
        <v>3.2954450054157194</v>
      </c>
      <c r="AO102">
        <v>6390.5269545021629</v>
      </c>
      <c r="AP102">
        <v>2.5361551032505592</v>
      </c>
      <c r="AQ102">
        <v>4918.1119762234839</v>
      </c>
      <c r="AR102">
        <v>2.5434570735811</v>
      </c>
      <c r="AS102">
        <v>4932.2719570884683</v>
      </c>
      <c r="AT102">
        <v>2.5251549087790366</v>
      </c>
      <c r="AU102">
        <v>4896.7803991043074</v>
      </c>
      <c r="AV102">
        <v>2.8095587661026933</v>
      </c>
      <c r="AW102">
        <v>5448.2963592263422</v>
      </c>
      <c r="AX102">
        <v>2.3840694294767877</v>
      </c>
      <c r="AY102">
        <v>4623.1874376413862</v>
      </c>
      <c r="AZ102">
        <v>2.7274313399040166</v>
      </c>
      <c r="BA102">
        <v>5289.0348543418686</v>
      </c>
      <c r="BB102">
        <v>3.2093793996427755</v>
      </c>
      <c r="BC102">
        <v>6223.6285317872698</v>
      </c>
      <c r="BD102">
        <v>3.0989787002432934</v>
      </c>
      <c r="BE102">
        <v>6009.5394955117936</v>
      </c>
      <c r="BF102">
        <v>3.4261542691797913</v>
      </c>
      <c r="BG102">
        <v>6643.9983587934503</v>
      </c>
      <c r="BH102">
        <v>3.0447771176278073</v>
      </c>
      <c r="BI102">
        <v>5904.4317865038438</v>
      </c>
      <c r="BJ102">
        <v>2.1806705470227503</v>
      </c>
      <c r="BK102">
        <v>4228.7563247865173</v>
      </c>
      <c r="BL102">
        <v>2.7310818187931702</v>
      </c>
      <c r="BM102">
        <v>5296.1138630037149</v>
      </c>
      <c r="BN102">
        <v>2.0846286938226215</v>
      </c>
      <c r="BO102">
        <v>4042.5119630608274</v>
      </c>
      <c r="BP102">
        <v>3.0711756036052567</v>
      </c>
      <c r="BQ102">
        <v>5955.6237305113127</v>
      </c>
      <c r="BR102">
        <v>2.8611267791548802</v>
      </c>
      <c r="BS102">
        <v>5548.2970501371428</v>
      </c>
      <c r="BT102">
        <v>2.9685228895944422</v>
      </c>
      <c r="BU102">
        <v>5756.5595875015415</v>
      </c>
      <c r="BV102">
        <v>2.7052805899133441</v>
      </c>
      <c r="BW102">
        <v>5246.0801199599564</v>
      </c>
      <c r="BX102">
        <v>2.5364837129217563</v>
      </c>
      <c r="BY102">
        <v>4918.7492160978691</v>
      </c>
      <c r="BZ102">
        <v>2.9300842717044797</v>
      </c>
      <c r="CA102">
        <v>5682.0194196893262</v>
      </c>
      <c r="CB102">
        <v>2.1394986177588233</v>
      </c>
      <c r="CC102">
        <v>4148.9157195579101</v>
      </c>
      <c r="CD102">
        <v>2.1688600964830131</v>
      </c>
      <c r="CE102">
        <v>4205.8534990998587</v>
      </c>
      <c r="CF102">
        <v>2.4117841218727052</v>
      </c>
      <c r="CG102">
        <v>4676.9317691355491</v>
      </c>
      <c r="CH102">
        <v>2.0109405729276935</v>
      </c>
      <c r="CI102">
        <v>3899.6159590213829</v>
      </c>
      <c r="CJ102">
        <v>2.4161537146768719</v>
      </c>
      <c r="CK102">
        <v>4685.4052835013899</v>
      </c>
      <c r="CL102">
        <v>3.0062632310439028</v>
      </c>
      <c r="CM102">
        <v>5829.7456576403356</v>
      </c>
      <c r="CN102">
        <v>2.2352175798298846</v>
      </c>
      <c r="CO102">
        <v>4334.533930806112</v>
      </c>
      <c r="CP102">
        <v>1.9678446616272773</v>
      </c>
      <c r="CQ102">
        <v>3816.044367827616</v>
      </c>
      <c r="CR102">
        <v>2.3308572774411451</v>
      </c>
      <c r="CS102">
        <v>4519.9984324138686</v>
      </c>
      <c r="CT102">
        <v>2.2403800976894104</v>
      </c>
      <c r="CU102">
        <v>4344.5450854393039</v>
      </c>
    </row>
    <row r="103" spans="2:99" x14ac:dyDescent="0.2">
      <c r="C103" s="116" t="s">
        <v>269</v>
      </c>
      <c r="D103">
        <v>12.298707075240575</v>
      </c>
      <c r="E103">
        <v>24941.777948587885</v>
      </c>
      <c r="F103">
        <v>3.031588447679471</v>
      </c>
      <c r="G103">
        <v>6148.0613718939676</v>
      </c>
      <c r="H103">
        <v>3.2715489411421674</v>
      </c>
      <c r="I103">
        <v>6634.701252636316</v>
      </c>
      <c r="J103">
        <v>2.6202512918992591</v>
      </c>
      <c r="K103">
        <v>5313.8696199716978</v>
      </c>
      <c r="L103">
        <v>2.3238706061521515</v>
      </c>
      <c r="M103">
        <v>4712.8095892765632</v>
      </c>
      <c r="N103">
        <v>2.5459913029381513</v>
      </c>
      <c r="O103">
        <v>5163.2703623585712</v>
      </c>
      <c r="P103">
        <v>1.9788076099676186</v>
      </c>
      <c r="Q103">
        <v>4013.0218330143307</v>
      </c>
      <c r="R103">
        <v>2.2703718450564812</v>
      </c>
      <c r="S103">
        <v>4604.3141017745438</v>
      </c>
      <c r="T103">
        <v>3.838967777380514</v>
      </c>
      <c r="U103">
        <v>7785.4266525276826</v>
      </c>
      <c r="V103">
        <v>3.4956542474486687</v>
      </c>
      <c r="W103">
        <v>7089.1868138259006</v>
      </c>
      <c r="X103">
        <v>3.4540027945594627</v>
      </c>
      <c r="Y103">
        <v>7004.7176673665899</v>
      </c>
      <c r="Z103">
        <v>2.9533550205172783</v>
      </c>
      <c r="AA103">
        <v>5989.4039816090408</v>
      </c>
      <c r="AB103">
        <v>2.8392901422049173</v>
      </c>
      <c r="AC103">
        <v>5758.0804083915718</v>
      </c>
      <c r="AD103">
        <v>3.1818053746905353</v>
      </c>
      <c r="AE103">
        <v>6452.7012998724058</v>
      </c>
      <c r="AF103">
        <v>2.4272662494618471</v>
      </c>
      <c r="AG103">
        <v>4922.4959539086258</v>
      </c>
      <c r="AH103">
        <v>3.5763220811326191</v>
      </c>
      <c r="AI103">
        <v>7252.7811805369511</v>
      </c>
      <c r="AJ103">
        <v>2.965370898459442</v>
      </c>
      <c r="AK103">
        <v>6013.7721820757488</v>
      </c>
      <c r="AL103">
        <v>2.7941168148301592</v>
      </c>
      <c r="AM103">
        <v>5666.4689004755628</v>
      </c>
      <c r="AN103">
        <v>3.5232542274865226</v>
      </c>
      <c r="AO103">
        <v>7145.1595733426675</v>
      </c>
      <c r="AP103">
        <v>2.5361551032505592</v>
      </c>
      <c r="AQ103">
        <v>5143.3225493921336</v>
      </c>
      <c r="AR103">
        <v>2.3532147023641095</v>
      </c>
      <c r="AS103">
        <v>4772.3194163944136</v>
      </c>
      <c r="AT103">
        <v>2.918233603675743</v>
      </c>
      <c r="AU103">
        <v>5918.1777482544067</v>
      </c>
      <c r="AV103">
        <v>2.6425470332873249</v>
      </c>
      <c r="AW103">
        <v>5359.0853835066946</v>
      </c>
      <c r="AX103">
        <v>2.3821185734116619</v>
      </c>
      <c r="AY103">
        <v>4830.9364668788503</v>
      </c>
      <c r="AZ103">
        <v>2.9302689645978703</v>
      </c>
      <c r="BA103">
        <v>5942.585460204481</v>
      </c>
      <c r="BB103">
        <v>3.0465499044583337</v>
      </c>
      <c r="BC103">
        <v>6178.4032062415008</v>
      </c>
      <c r="BD103">
        <v>2.8240415783008563</v>
      </c>
      <c r="BE103">
        <v>5727.1563207941363</v>
      </c>
      <c r="BF103">
        <v>3.0018706226986049</v>
      </c>
      <c r="BG103">
        <v>6087.7936228327708</v>
      </c>
      <c r="BH103">
        <v>2.5192920321838654</v>
      </c>
      <c r="BI103">
        <v>5109.1242412688789</v>
      </c>
      <c r="BJ103">
        <v>2.1806705470227503</v>
      </c>
      <c r="BK103">
        <v>4422.3998693621379</v>
      </c>
      <c r="BL103">
        <v>2.7132183447642446</v>
      </c>
      <c r="BM103">
        <v>5502.4068031818879</v>
      </c>
      <c r="BN103">
        <v>2.1255320656619126</v>
      </c>
      <c r="BO103">
        <v>4310.5790291623589</v>
      </c>
      <c r="BP103">
        <v>3.0357885820581871</v>
      </c>
      <c r="BQ103">
        <v>6156.5792444140034</v>
      </c>
      <c r="BR103">
        <v>2.8611267791548802</v>
      </c>
      <c r="BS103">
        <v>5802.3651081260969</v>
      </c>
      <c r="BT103">
        <v>2.7116293945854895</v>
      </c>
      <c r="BU103">
        <v>5499.1844122193725</v>
      </c>
      <c r="BV103">
        <v>2.8912150472174751</v>
      </c>
      <c r="BW103">
        <v>5863.3841157570396</v>
      </c>
      <c r="BX103">
        <v>2.561876569461619</v>
      </c>
      <c r="BY103">
        <v>5195.4856828681632</v>
      </c>
      <c r="BZ103">
        <v>2.7282234784729806</v>
      </c>
      <c r="CA103">
        <v>5532.8372143432043</v>
      </c>
      <c r="CB103">
        <v>2.40732082429968</v>
      </c>
      <c r="CC103">
        <v>4882.046631679751</v>
      </c>
      <c r="CD103">
        <v>2.3334700447696175</v>
      </c>
      <c r="CE103">
        <v>4732.2772507927839</v>
      </c>
      <c r="CF103">
        <v>2.1581510503090784</v>
      </c>
      <c r="CG103">
        <v>4376.7303300268113</v>
      </c>
      <c r="CH103">
        <v>2.0840032453129362</v>
      </c>
      <c r="CI103">
        <v>4226.3585814946346</v>
      </c>
      <c r="CJ103">
        <v>2.1610741224158012</v>
      </c>
      <c r="CK103">
        <v>4382.6583202592446</v>
      </c>
      <c r="CL103">
        <v>2.7316684810475453</v>
      </c>
      <c r="CM103">
        <v>5539.8236795644216</v>
      </c>
      <c r="CN103">
        <v>2.0651039894908307</v>
      </c>
      <c r="CO103">
        <v>4188.0308906874052</v>
      </c>
      <c r="CP103">
        <v>1.9344867410541973</v>
      </c>
      <c r="CQ103">
        <v>3923.1391108579119</v>
      </c>
      <c r="CR103">
        <v>2.1115155728154691</v>
      </c>
      <c r="CS103">
        <v>4282.1535816697715</v>
      </c>
      <c r="CT103">
        <v>2.6100989009975004</v>
      </c>
      <c r="CU103">
        <v>5293.280571222931</v>
      </c>
    </row>
    <row r="104" spans="2:99" x14ac:dyDescent="0.2">
      <c r="C104" s="116" t="s">
        <v>270</v>
      </c>
      <c r="D104">
        <v>12.345871350278561</v>
      </c>
      <c r="E104">
        <v>25585.583786317289</v>
      </c>
      <c r="F104">
        <v>3.3168092366703763</v>
      </c>
      <c r="G104">
        <v>6873.7554620756882</v>
      </c>
      <c r="H104">
        <v>3.2592296146277979</v>
      </c>
      <c r="I104">
        <v>6754.4274533546486</v>
      </c>
      <c r="J104">
        <v>2.6202512918992591</v>
      </c>
      <c r="K104">
        <v>5430.2087773320245</v>
      </c>
      <c r="L104">
        <v>2.3672756338180481</v>
      </c>
      <c r="M104">
        <v>4905.9420235245234</v>
      </c>
      <c r="N104">
        <v>2.7774450577507106</v>
      </c>
      <c r="O104">
        <v>5755.9771376825729</v>
      </c>
      <c r="P104">
        <v>1.9657074604742608</v>
      </c>
      <c r="Q104">
        <v>4073.7321410868581</v>
      </c>
      <c r="R104">
        <v>2.5226353833960902</v>
      </c>
      <c r="S104">
        <v>5227.9095685500579</v>
      </c>
      <c r="T104">
        <v>3.5892815143073431</v>
      </c>
      <c r="U104">
        <v>7438.4270102505379</v>
      </c>
      <c r="V104">
        <v>3.4841409523058724</v>
      </c>
      <c r="W104">
        <v>7220.5337095586901</v>
      </c>
      <c r="X104">
        <v>3.4540027945594627</v>
      </c>
      <c r="Y104">
        <v>7158.0753914450306</v>
      </c>
      <c r="Z104">
        <v>3.2064343325104381</v>
      </c>
      <c r="AA104">
        <v>6645.014510694632</v>
      </c>
      <c r="AB104">
        <v>2.8281180053615924</v>
      </c>
      <c r="AC104">
        <v>5860.9917543113643</v>
      </c>
      <c r="AD104">
        <v>2.7340351504035709</v>
      </c>
      <c r="AE104">
        <v>5666.0144456963608</v>
      </c>
      <c r="AF104">
        <v>2.4433422603056392</v>
      </c>
      <c r="AG104">
        <v>5063.5825002574065</v>
      </c>
      <c r="AH104">
        <v>3.1253350575546364</v>
      </c>
      <c r="AI104">
        <v>6476.9443732762284</v>
      </c>
      <c r="AJ104">
        <v>3.3922040482881504</v>
      </c>
      <c r="AK104">
        <v>7030.0036696723628</v>
      </c>
      <c r="AL104">
        <v>2.7807143805969949</v>
      </c>
      <c r="AM104">
        <v>5762.7524823492122</v>
      </c>
      <c r="AN104">
        <v>3.5421570051286455</v>
      </c>
      <c r="AO104">
        <v>7340.7661774286053</v>
      </c>
      <c r="AP104">
        <v>2.7649348279199861</v>
      </c>
      <c r="AQ104">
        <v>5730.0509373813793</v>
      </c>
      <c r="AR104">
        <v>2.3231216298497097</v>
      </c>
      <c r="AS104">
        <v>4814.4372657005388</v>
      </c>
      <c r="AT104">
        <v>2.5428730593569462</v>
      </c>
      <c r="AU104">
        <v>5269.8501282113357</v>
      </c>
      <c r="AV104">
        <v>2.8261202714476399</v>
      </c>
      <c r="AW104">
        <v>5856.8516505480893</v>
      </c>
      <c r="AX104">
        <v>2.1305130145864024</v>
      </c>
      <c r="AY104">
        <v>4415.2751714288606</v>
      </c>
      <c r="AZ104">
        <v>2.9442394333396691</v>
      </c>
      <c r="BA104">
        <v>6101.6418016531306</v>
      </c>
      <c r="BB104">
        <v>2.8061900748373811</v>
      </c>
      <c r="BC104">
        <v>5815.548311092989</v>
      </c>
      <c r="BD104">
        <v>2.8664150117383542</v>
      </c>
      <c r="BE104">
        <v>5940.3584703265651</v>
      </c>
      <c r="BF104">
        <v>3.018700065496597</v>
      </c>
      <c r="BG104">
        <v>6255.9540157351476</v>
      </c>
      <c r="BH104">
        <v>2.8303203563309429</v>
      </c>
      <c r="BI104">
        <v>5865.5559064602467</v>
      </c>
      <c r="BJ104">
        <v>2.1428722310520607</v>
      </c>
      <c r="BK104">
        <v>4440.8884116322906</v>
      </c>
      <c r="BL104">
        <v>2.3489477023141343</v>
      </c>
      <c r="BM104">
        <v>4867.9592182758124</v>
      </c>
      <c r="BN104">
        <v>2.1235911497972211</v>
      </c>
      <c r="BO104">
        <v>4400.9302988397612</v>
      </c>
      <c r="BP104">
        <v>3.0543653076422435</v>
      </c>
      <c r="BQ104">
        <v>6329.8666635577856</v>
      </c>
      <c r="BR104">
        <v>3.4515402969720026</v>
      </c>
      <c r="BS104">
        <v>7152.9721114447784</v>
      </c>
      <c r="BT104">
        <v>2.7124390581998998</v>
      </c>
      <c r="BU104">
        <v>5621.2587042134728</v>
      </c>
      <c r="BV104">
        <v>2.9040210462568465</v>
      </c>
      <c r="BW104">
        <v>6018.2932162626894</v>
      </c>
      <c r="BX104">
        <v>2.276674845874973</v>
      </c>
      <c r="BY104">
        <v>4718.1809505912943</v>
      </c>
      <c r="BZ104">
        <v>2.9022783378875774</v>
      </c>
      <c r="CA104">
        <v>6014.6816274382154</v>
      </c>
      <c r="CB104">
        <v>2.6352087610454968</v>
      </c>
      <c r="CC104">
        <v>5461.2066363906879</v>
      </c>
      <c r="CD104">
        <v>2.1581953008550863</v>
      </c>
      <c r="CE104">
        <v>4472.6439414920806</v>
      </c>
      <c r="CF104">
        <v>2.1581510503090784</v>
      </c>
      <c r="CG104">
        <v>4472.5522366605346</v>
      </c>
      <c r="CH104">
        <v>2.0813846039895472</v>
      </c>
      <c r="CI104">
        <v>4313.4614533079375</v>
      </c>
      <c r="CJ104">
        <v>2.3312240085781486</v>
      </c>
      <c r="CK104">
        <v>4831.2286353773552</v>
      </c>
      <c r="CL104">
        <v>3.0046532285519776</v>
      </c>
      <c r="CM104">
        <v>6226.8433508511189</v>
      </c>
      <c r="CN104">
        <v>2.0514095875308476</v>
      </c>
      <c r="CO104">
        <v>4251.3412291989289</v>
      </c>
      <c r="CP104">
        <v>1.7765305639707651</v>
      </c>
      <c r="CQ104">
        <v>3681.681940773014</v>
      </c>
      <c r="CR104">
        <v>2.3146958395120962</v>
      </c>
      <c r="CS104">
        <v>4796.9756578048682</v>
      </c>
      <c r="CT104">
        <v>2.4517723723394647</v>
      </c>
      <c r="CU104">
        <v>5081.0530644363071</v>
      </c>
    </row>
    <row r="105" spans="2:99" x14ac:dyDescent="0.2">
      <c r="C105" s="116" t="s">
        <v>271</v>
      </c>
      <c r="D105">
        <v>11.330149925265898</v>
      </c>
      <c r="E105">
        <v>22637.639550681266</v>
      </c>
      <c r="F105">
        <v>3.3280205215310277</v>
      </c>
      <c r="G105">
        <v>6649.385002018993</v>
      </c>
      <c r="H105">
        <v>3.2469102881134289</v>
      </c>
      <c r="I105">
        <v>6487.3267556506307</v>
      </c>
      <c r="J105">
        <v>2.6202512918992591</v>
      </c>
      <c r="K105">
        <v>5235.2620812147197</v>
      </c>
      <c r="L105">
        <v>2.4108263538312977</v>
      </c>
      <c r="M105">
        <v>4816.8310549549333</v>
      </c>
      <c r="N105">
        <v>2.5459913029381513</v>
      </c>
      <c r="O105">
        <v>5086.8906232704267</v>
      </c>
      <c r="P105">
        <v>2.1797526840291708</v>
      </c>
      <c r="Q105">
        <v>4355.1458626902831</v>
      </c>
      <c r="R105">
        <v>2.5226353833960902</v>
      </c>
      <c r="S105">
        <v>5040.2254960253886</v>
      </c>
      <c r="T105">
        <v>3.6048938195211684</v>
      </c>
      <c r="U105">
        <v>7202.5778514032945</v>
      </c>
      <c r="V105">
        <v>3.2640569792838718</v>
      </c>
      <c r="W105">
        <v>6521.5858446091761</v>
      </c>
      <c r="X105">
        <v>2.8260022864577423</v>
      </c>
      <c r="Y105">
        <v>5646.3525683425687</v>
      </c>
      <c r="Z105">
        <v>2.9759526989962808</v>
      </c>
      <c r="AA105">
        <v>5945.9534925945691</v>
      </c>
      <c r="AB105">
        <v>2.8504622790482426</v>
      </c>
      <c r="AC105">
        <v>5695.2236335383886</v>
      </c>
      <c r="AD105">
        <v>2.7530006722762863</v>
      </c>
      <c r="AE105">
        <v>5500.4953432080201</v>
      </c>
      <c r="AF105">
        <v>2.4450080105243668</v>
      </c>
      <c r="AG105">
        <v>4885.1260050276851</v>
      </c>
      <c r="AH105">
        <v>3.0903839812140745</v>
      </c>
      <c r="AI105">
        <v>6174.587194465721</v>
      </c>
      <c r="AJ105">
        <v>3.1768904832066411</v>
      </c>
      <c r="AK105">
        <v>6347.4271854468689</v>
      </c>
      <c r="AL105">
        <v>2.7801949611515089</v>
      </c>
      <c r="AM105">
        <v>5554.8295323807151</v>
      </c>
      <c r="AN105">
        <v>3.5038273707369338</v>
      </c>
      <c r="AO105">
        <v>7000.6470867323942</v>
      </c>
      <c r="AP105">
        <v>2.7649348279199861</v>
      </c>
      <c r="AQ105">
        <v>5524.3397861841322</v>
      </c>
      <c r="AR105">
        <v>2.5276529161256565</v>
      </c>
      <c r="AS105">
        <v>5050.2505264190613</v>
      </c>
      <c r="AT105">
        <v>2.5074367582011265</v>
      </c>
      <c r="AU105">
        <v>5009.8586428858507</v>
      </c>
      <c r="AV105">
        <v>3.1683375760875006</v>
      </c>
      <c r="AW105">
        <v>6330.3384770228258</v>
      </c>
      <c r="AX105">
        <v>2.1759407064131775</v>
      </c>
      <c r="AY105">
        <v>4347.5295314135283</v>
      </c>
      <c r="AZ105">
        <v>2.9023280271142733</v>
      </c>
      <c r="BA105">
        <v>5798.8513981743181</v>
      </c>
      <c r="BB105">
        <v>3.2420625257233748</v>
      </c>
      <c r="BC105">
        <v>6477.6409263953028</v>
      </c>
      <c r="BD105">
        <v>2.8452282950196053</v>
      </c>
      <c r="BE105">
        <v>5684.7661334491713</v>
      </c>
      <c r="BF105">
        <v>3.1887682817422096</v>
      </c>
      <c r="BG105">
        <v>6371.1590269209346</v>
      </c>
      <c r="BH105">
        <v>2.8315628592406497</v>
      </c>
      <c r="BI105">
        <v>5657.4625927628176</v>
      </c>
      <c r="BJ105">
        <v>2.1806705470227503</v>
      </c>
      <c r="BK105">
        <v>4356.9797529514553</v>
      </c>
      <c r="BL105">
        <v>2.7295709586469559</v>
      </c>
      <c r="BM105">
        <v>5453.6827753766174</v>
      </c>
      <c r="BN105">
        <v>2.3752030856311745</v>
      </c>
      <c r="BO105">
        <v>4745.6557650910863</v>
      </c>
      <c r="BP105">
        <v>2.8700692961111156</v>
      </c>
      <c r="BQ105">
        <v>5734.3984536300086</v>
      </c>
      <c r="BR105">
        <v>3.4106871071764364</v>
      </c>
      <c r="BS105">
        <v>6814.55284013852</v>
      </c>
      <c r="BT105">
        <v>2.7140583854287206</v>
      </c>
      <c r="BU105">
        <v>5422.6886540865835</v>
      </c>
      <c r="BV105">
        <v>2.4889980720986045</v>
      </c>
      <c r="BW105">
        <v>4973.0181480530118</v>
      </c>
      <c r="BX105">
        <v>2.254338426548848</v>
      </c>
      <c r="BY105">
        <v>4504.1681762445978</v>
      </c>
      <c r="BZ105">
        <v>2.7149796845555474</v>
      </c>
      <c r="CA105">
        <v>5424.5294097419837</v>
      </c>
      <c r="CB105">
        <v>2.4063274066332396</v>
      </c>
      <c r="CC105">
        <v>4807.8421584532125</v>
      </c>
      <c r="CD105">
        <v>2.3334700447696175</v>
      </c>
      <c r="CE105">
        <v>4662.2731494496957</v>
      </c>
      <c r="CF105">
        <v>2.1398875938689943</v>
      </c>
      <c r="CG105">
        <v>4275.4954125502509</v>
      </c>
      <c r="CH105">
        <v>2.047806083378966</v>
      </c>
      <c r="CI105">
        <v>4091.5165545911741</v>
      </c>
      <c r="CJ105">
        <v>2.4005525762241375</v>
      </c>
      <c r="CK105">
        <v>4796.3040472958264</v>
      </c>
      <c r="CL105">
        <v>2.9545711605902212</v>
      </c>
      <c r="CM105">
        <v>5903.2331788592619</v>
      </c>
      <c r="CN105">
        <v>2.0651039894908307</v>
      </c>
      <c r="CO105">
        <v>4126.0777710026796</v>
      </c>
      <c r="CP105">
        <v>1.9656373138722001</v>
      </c>
      <c r="CQ105">
        <v>3927.3433531166556</v>
      </c>
      <c r="CR105">
        <v>2.1263072694596996</v>
      </c>
      <c r="CS105">
        <v>4248.3619243804796</v>
      </c>
      <c r="CT105">
        <v>2.4523031441450538</v>
      </c>
      <c r="CU105">
        <v>4899.7016820018171</v>
      </c>
    </row>
    <row r="107" spans="2:99" x14ac:dyDescent="0.2">
      <c r="B107" s="119" t="s">
        <v>276</v>
      </c>
    </row>
    <row r="108" spans="2:99" x14ac:dyDescent="0.2">
      <c r="C108" s="116" t="s">
        <v>277</v>
      </c>
      <c r="D108" s="116" t="s">
        <v>92</v>
      </c>
      <c r="E108" s="116" t="s">
        <v>93</v>
      </c>
      <c r="F108" s="116" t="s">
        <v>94</v>
      </c>
      <c r="G108" s="116" t="s">
        <v>95</v>
      </c>
      <c r="H108" s="116" t="s">
        <v>96</v>
      </c>
      <c r="I108" s="116" t="s">
        <v>97</v>
      </c>
      <c r="J108" s="116" t="s">
        <v>98</v>
      </c>
      <c r="K108" s="116" t="s">
        <v>99</v>
      </c>
      <c r="L108" s="116" t="s">
        <v>100</v>
      </c>
      <c r="M108" s="116" t="s">
        <v>101</v>
      </c>
      <c r="N108" s="116" t="s">
        <v>102</v>
      </c>
      <c r="O108" s="116" t="s">
        <v>103</v>
      </c>
    </row>
    <row r="109" spans="2:99" x14ac:dyDescent="0.2">
      <c r="C109" s="116" t="s">
        <v>126</v>
      </c>
      <c r="D109">
        <f>SUM(D$6:D$19)+SUM(F$6:F$19)+SUM(H$6:H$19)+SUM(J$6:J$19)</f>
        <v>250</v>
      </c>
      <c r="E109">
        <f>SUM(L$6:L$19)+SUM(N$6:N$19)+SUM(P$6:P$19)+SUM(R$6:R$19)</f>
        <v>365</v>
      </c>
      <c r="F109">
        <f>SUM(T$6:T$19)+SUM(V$6:V$19)+SUM(X$6:X$19)+SUM(Z$6:Z$19)</f>
        <v>358</v>
      </c>
      <c r="G109">
        <f>SUM(AB$6:AB$19)+SUM(AD$6:AD$19)+SUM(AF$6:AF$19)+SUM(AH$6:AH$19)</f>
        <v>346</v>
      </c>
      <c r="H109">
        <f>SUM(AJ$6:AJ$19)+SUM(AL$6:AL$19)+SUM(AN$6:AN$19)+SUM(AP$6:AP$19)</f>
        <v>383</v>
      </c>
      <c r="I109">
        <f>SUM(AR$6:AR$19)+SUM(AT$6:AT$19)+SUM(AV$6:AV$19)+SUM(AX$6:AX$19)</f>
        <v>324</v>
      </c>
      <c r="J109">
        <f>SUM(AZ$6:AZ$19)+SUM(BB$6:BB$19)+SUM(BD$6:BD$19)+SUM(BF$6:BF$19)</f>
        <v>393</v>
      </c>
      <c r="K109">
        <f>SUM(BH$6:BH$19)+SUM(BJ$6:BJ$19)+SUM(BL$6:BL$19)+SUM(BN$6:BN$19)</f>
        <v>387</v>
      </c>
      <c r="L109">
        <f>SUM(BP$6:BP$19)+SUM(BR$6:BR$19)+SUM(BT$6:BT$19)+SUM(BV$6:BV$19)</f>
        <v>456</v>
      </c>
      <c r="M109">
        <f>SUM(BX$6:BX$19)+SUM(BZ$6:BZ$19)+SUM(CB$6:CB$19)+SUM(CD$6:CD$19)</f>
        <v>353</v>
      </c>
      <c r="N109">
        <f>SUM(CF$6:CF$19)+SUM(CH$6:CH$19)+SUM(CJ$6:CJ$19)+SUM(CL$6:CL$19)</f>
        <v>480</v>
      </c>
      <c r="O109">
        <f>SUM(CN$6:CN$19)+SUM(CP$6:CP$19)+SUM(CR$6:CR$19)+SUM(CT$6:CT$19)</f>
        <v>444</v>
      </c>
    </row>
    <row r="110" spans="2:99" x14ac:dyDescent="0.2">
      <c r="C110" s="116" t="s">
        <v>127</v>
      </c>
      <c r="D110">
        <f>SUM(D$20:D$36)+SUM(F$20:F$36)+SUM(H$20:H$36)+SUM(J$20:J$36)</f>
        <v>450</v>
      </c>
      <c r="E110">
        <f>SUM(L$20:L$36)+SUM(N$20:N$36)+SUM(P$20:P$36)+SUM(R$20:R$36)</f>
        <v>528</v>
      </c>
      <c r="F110">
        <f>SUM(T$20:T$36)+SUM(V$20:V$36)+SUM(X$20:X$36)+SUM(Z$20:Z$36)</f>
        <v>471</v>
      </c>
      <c r="G110">
        <f>SUM(AB$20:AB$36)+SUM(AD$20:AD$36)+SUM(AF$20:AF$36)+SUM(AH$20:AH$36)</f>
        <v>427</v>
      </c>
      <c r="H110">
        <f>SUM(AJ$20:AJ$36)+SUM(AL$20:AL$36)+SUM(AN$20:AN$36)+SUM(AP$20:AP$36)</f>
        <v>452</v>
      </c>
      <c r="I110">
        <f>SUM(AR$20:AR$36)+SUM(AT$20:AT$36)+SUM(AV$20:AV$36)+SUM(AX$20:AX$36)</f>
        <v>474</v>
      </c>
      <c r="J110">
        <f>SUM(AZ$20:AZ$36)+SUM(BB$20:BB$36)+SUM(BD$20:BD$36)+SUM(BF$20:BF$36)</f>
        <v>514</v>
      </c>
      <c r="K110">
        <f>SUM(BH$20:BH$36)+SUM(BJ$20:BJ$36)+SUM(BL$20:BL$36)+SUM(BN$20:BN$36)</f>
        <v>459</v>
      </c>
      <c r="L110">
        <f>SUM(BP$20:BP$36)+SUM(BR$20:BR$36)+SUM(BT$20:BT$36)+SUM(BV$20:BV$36)</f>
        <v>561</v>
      </c>
      <c r="M110">
        <f>SUM(BX$20:BX$36)+SUM(BZ$20:BZ$36)+SUM(CB$20:CB$36)+SUM(CD$20:CD$36)</f>
        <v>451</v>
      </c>
      <c r="N110">
        <f>SUM(CF$20:CF$36)+SUM(CH$20:CH$36)+SUM(CJ$20:CJ$36)+SUM(CL$20:CL$36)</f>
        <v>660</v>
      </c>
      <c r="O110">
        <f>SUM(CN$20:CN$36)+SUM(CP$20:CP$36)+SUM(CR$20:CR$36)+SUM(CT$20:CT$36)</f>
        <v>528</v>
      </c>
    </row>
    <row r="111" spans="2:99" x14ac:dyDescent="0.2">
      <c r="C111" s="116" t="s">
        <v>128</v>
      </c>
      <c r="D111">
        <f>SUM(D$37:D$48)+SUM(F$37:F$48)+SUM(H$37:H$48)+SUM(J$37:J$48)</f>
        <v>1042</v>
      </c>
      <c r="E111">
        <f>SUM(L$37:L$48)+SUM(N$37:N$48)+SUM(P$37:P$48)+SUM(R$37:R$48)</f>
        <v>961</v>
      </c>
      <c r="F111">
        <f>SUM(T$37:T$48)+SUM(V$37:V$48)+SUM(X$37:X$48)+SUM(Z$37:Z$48)</f>
        <v>956</v>
      </c>
      <c r="G111">
        <f>SUM(AB$37:AB$48)+SUM(AD$37:AD$48)+SUM(AF$37:AF$48)+SUM(AH$37:AH$48)</f>
        <v>889</v>
      </c>
      <c r="H111">
        <f>SUM(AJ$37:AJ$48)+SUM(AL$37:AL$48)+SUM(AN$37:AN$48)+SUM(AP$37:AP$48)</f>
        <v>875</v>
      </c>
      <c r="I111">
        <f>SUM(AR$37:AR$48)+SUM(AT$37:AT$48)+SUM(AV$37:AV$48)+SUM(AX$37:AX$48)</f>
        <v>867</v>
      </c>
      <c r="J111">
        <f>SUM(AZ$37:AZ$48)+SUM(BB$37:BB$48)+SUM(BD$37:BD$48)+SUM(BF$37:BF$48)</f>
        <v>1127</v>
      </c>
      <c r="K111">
        <f>SUM(BH$37:BH$48)+SUM(BJ$37:BJ$48)+SUM(BL$37:BL$48)+SUM(BN$37:BN$48)</f>
        <v>954</v>
      </c>
      <c r="L111">
        <f>SUM(BP$37:BP$48)+SUM(BR$37:BR$48)+SUM(BT$37:BT$48)+SUM(BV$37:BV$48)</f>
        <v>1061</v>
      </c>
      <c r="M111">
        <f>SUM(BX$37:BX$48)+SUM(BZ$37:BZ$48)+SUM(CB$37:CB$48)+SUM(CD$37:CD$48)</f>
        <v>956</v>
      </c>
      <c r="N111">
        <f>SUM(CF$37:CF$48)+SUM(CH$37:CH$48)+SUM(CJ$37:CJ$48)+SUM(CL$37:CL$48)</f>
        <v>984</v>
      </c>
      <c r="O111">
        <f>SUM(CN$37:CN$48)+SUM(CP$37:CP$48)+SUM(CR$37:CR$48)+SUM(CT$37:CT$48)</f>
        <v>1069</v>
      </c>
    </row>
    <row r="112" spans="2:99" x14ac:dyDescent="0.2">
      <c r="C112" s="116" t="s">
        <v>129</v>
      </c>
      <c r="D112">
        <f>SUM(D$49:D$70)+SUM(F$49:F$70)+SUM(H$49:H$70)+SUM(J$49:J$70)</f>
        <v>1145.1192286158239</v>
      </c>
      <c r="E112">
        <f>SUM(L$49:L$70)+SUM(N$49:N$70)+SUM(P$49:P$70)+SUM(R$49:R$70)</f>
        <v>1049.1457598442098</v>
      </c>
      <c r="F112">
        <f>SUM(T$49:T$70)+SUM(V$49:V$70)+SUM(X$49:X$70)+SUM(Z$49:Z$70)</f>
        <v>1136.7446578681897</v>
      </c>
      <c r="G112">
        <f>SUM(AB$49:AB$70)+SUM(AD$49:AD$70)+SUM(AF$49:AF$70)+SUM(AH$49:AH$70)</f>
        <v>925.22077886900945</v>
      </c>
      <c r="H112">
        <f>SUM(AJ$49:AJ$70)+SUM(AL$49:AL$70)+SUM(AN$49:AN$70)+SUM(AP$49:AP$70)</f>
        <v>1067.0535775352282</v>
      </c>
      <c r="I112">
        <f>SUM(AR$49:AR$70)+SUM(AT$49:AT$70)+SUM(AV$49:AV$70)+SUM(AX$49:AX$70)</f>
        <v>935.08463549751332</v>
      </c>
      <c r="J112">
        <f>SUM(AZ$49:AZ$70)+SUM(BB$49:BB$70)+SUM(BD$49:BD$70)+SUM(BF$49:BF$70)</f>
        <v>778.17754158361481</v>
      </c>
      <c r="K112">
        <f>SUM(BH$49:BH$70)+SUM(BJ$49:BJ$70)+SUM(BL$49:BL$70)+SUM(BN$49:BN$70)</f>
        <v>1069.2926753607176</v>
      </c>
      <c r="L112">
        <f>SUM(BP$49:BP$70)+SUM(BR$49:BR$70)+SUM(BT$49:BT$70)+SUM(BV$49:BV$70)</f>
        <v>937.73620224010324</v>
      </c>
      <c r="M112">
        <f>SUM(BX$49:BX$70)+SUM(BZ$49:BZ$70)+SUM(CB$49:CB$70)+SUM(CD$49:CD$70)</f>
        <v>1000.6119774024362</v>
      </c>
      <c r="N112">
        <f>SUM(CF$49:CF$70)+SUM(CH$49:CH$70)+SUM(CJ$49:CJ$70)+SUM(CL$49:CL$70)</f>
        <v>970.03129433101992</v>
      </c>
      <c r="O112">
        <f>SUM(CN$49:CN$70)+SUM(CP$49:CP$70)+SUM(CR$49:CR$70)+SUM(CT$49:CT$70)</f>
        <v>1012.4781969144076</v>
      </c>
    </row>
    <row r="113" spans="2:15" x14ac:dyDescent="0.2">
      <c r="C113" s="116" t="s">
        <v>130</v>
      </c>
      <c r="D113">
        <f>SUM(D$71:D$86)+SUM(F$71:F$86)+SUM(H$71:H$86)+SUM(J$71:J$86)</f>
        <v>449.38588757363067</v>
      </c>
      <c r="E113">
        <f>SUM(L$71:L$86)+SUM(N$71:N$86)+SUM(P$71:P$86)+SUM(R$71:R$86)</f>
        <v>249.19196936652332</v>
      </c>
      <c r="F113">
        <f>SUM(T$71:T$86)+SUM(V$71:V$86)+SUM(X$71:X$86)+SUM(Z$71:Z$86)</f>
        <v>197.06754980662566</v>
      </c>
      <c r="G113">
        <f>SUM(AB$71:AB$86)+SUM(AD$71:AD$86)+SUM(AF$71:AF$86)+SUM(AH$71:AH$86)</f>
        <v>227.8740605168241</v>
      </c>
      <c r="H113">
        <f>SUM(AJ$71:AJ$86)+SUM(AL$71:AL$86)+SUM(AN$71:AN$86)+SUM(AP$71:AP$86)</f>
        <v>213.40433595825704</v>
      </c>
      <c r="I113">
        <f>SUM(AR$71:AR$86)+SUM(AT$71:AT$86)+SUM(AV$71:AV$86)+SUM(AX$71:AX$86)</f>
        <v>214.18412819357457</v>
      </c>
      <c r="J113">
        <f>SUM(AZ$71:AZ$86)+SUM(BB$71:BB$86)+SUM(BD$71:BD$86)+SUM(BF$71:BF$86)</f>
        <v>223.44319529998097</v>
      </c>
      <c r="K113">
        <f>SUM(BH$71:BH$86)+SUM(BJ$71:BJ$86)+SUM(BL$71:BL$86)+SUM(BN$71:BN$86)</f>
        <v>209.35801177325391</v>
      </c>
      <c r="L113">
        <f>SUM(BP$71:BP$86)+SUM(BR$71:BR$86)+SUM(BT$71:BT$86)+SUM(BV$71:BV$86)</f>
        <v>214.46148881104904</v>
      </c>
      <c r="M113">
        <f>SUM(BX$71:BX$86)+SUM(BZ$71:BZ$86)+SUM(CB$71:CB$86)+SUM(CD$71:CD$86)</f>
        <v>217.77503125403481</v>
      </c>
      <c r="N113">
        <f>SUM(CF$71:CF$86)+SUM(CH$71:CH$86)+SUM(CJ$71:CJ$86)+SUM(CL$71:CL$86)</f>
        <v>233.07188089606612</v>
      </c>
      <c r="O113">
        <f>SUM(CN$71:CN$86)+SUM(CP$71:CP$86)+SUM(CR$71:CR$86)+SUM(CT$71:CT$86)</f>
        <v>242.07701571565499</v>
      </c>
    </row>
    <row r="114" spans="2:15" x14ac:dyDescent="0.2">
      <c r="C114" s="116" t="s">
        <v>131</v>
      </c>
      <c r="D114">
        <f>SUM(D$87:D$94)+SUM(F$87:F$94)+SUM(H$87:H$94)+SUM(J$87:J$94)</f>
        <v>202.62546996868389</v>
      </c>
      <c r="E114">
        <f>SUM(L$87:L$94)+SUM(N$87:N$94)+SUM(P$87:P$94)+SUM(R$87:R$94)</f>
        <v>94.784855104535751</v>
      </c>
      <c r="F114">
        <f>SUM(T$87:T$94)+SUM(V$87:V$94)+SUM(X$87:X$94)+SUM(Z$87:Z$94)</f>
        <v>103.61370763640858</v>
      </c>
      <c r="G114">
        <f>SUM(AB$87:AB$94)+SUM(AD$87:AD$94)+SUM(AF$87:AF$94)+SUM(AH$87:AH$94)</f>
        <v>99.264165392594194</v>
      </c>
      <c r="H114">
        <f>SUM(AJ$87:AJ$94)+SUM(AL$87:AL$94)+SUM(AN$87:AN$94)+SUM(AP$87:AP$94)</f>
        <v>92.914109118231138</v>
      </c>
      <c r="I114">
        <f>SUM(AR$87:AR$94)+SUM(AT$87:AT$94)+SUM(AV$87:AV$94)+SUM(AX$87:AX$94)</f>
        <v>118.1095797058277</v>
      </c>
      <c r="J114">
        <f>SUM(AZ$87:AZ$94)+SUM(BB$87:BB$94)+SUM(BD$87:BD$94)+SUM(BF$87:BF$94)</f>
        <v>98.855647086826011</v>
      </c>
      <c r="K114">
        <f>SUM(BH$87:BH$94)+SUM(BJ$87:BJ$94)+SUM(BL$87:BL$94)+SUM(BN$87:BN$94)</f>
        <v>121.04469920694316</v>
      </c>
      <c r="L114">
        <f>SUM(BP$87:BP$94)+SUM(BR$87:BR$94)+SUM(BT$87:BT$94)+SUM(BV$87:BV$94)</f>
        <v>101.79798979361486</v>
      </c>
      <c r="M114">
        <f>SUM(BX$87:BX$94)+SUM(BZ$87:BZ$94)+SUM(CB$87:CB$94)+SUM(CD$87:CD$94)</f>
        <v>110.25358963412273</v>
      </c>
      <c r="N114">
        <f>SUM(CF$87:CF$94)+SUM(CH$87:CH$94)+SUM(CJ$87:CJ$94)+SUM(CL$87:CL$94)</f>
        <v>103.33944956894206</v>
      </c>
      <c r="O114">
        <f>SUM(CN$87:CN$94)+SUM(CP$87:CP$94)+SUM(CR$87:CR$94)+SUM(CT$87:CT$94)</f>
        <v>109.63468699316013</v>
      </c>
    </row>
    <row r="115" spans="2:15" x14ac:dyDescent="0.2">
      <c r="C115" s="116" t="s">
        <v>132</v>
      </c>
      <c r="D115">
        <f>SUM(D$95:D$105)+SUM(F$95:F$105)+SUM(H$95:H$105)+SUM(J$95:J$105)</f>
        <v>234.75007021687844</v>
      </c>
      <c r="E115">
        <f>SUM(L$95:L$105)+SUM(N$95:N$105)+SUM(P$95:P$105)+SUM(R$95:R$105)</f>
        <v>109.43559027252761</v>
      </c>
      <c r="F115">
        <f>SUM(T$95:T$105)+SUM(V$95:V$105)+SUM(X$95:X$105)+SUM(Z$95:Z$105)</f>
        <v>145.88251423693896</v>
      </c>
      <c r="G115">
        <f>SUM(AB$95:AB$105)+SUM(AD$95:AD$105)+SUM(AF$95:AF$105)+SUM(AH$95:AH$105)</f>
        <v>127.49374227236393</v>
      </c>
      <c r="H115">
        <f>SUM(AJ$95:AJ$105)+SUM(AL$95:AL$105)+SUM(AN$95:AN$105)+SUM(AP$95:AP$105)</f>
        <v>135.05977321539794</v>
      </c>
      <c r="I115">
        <f>SUM(AR$95:AR$105)+SUM(AT$95:AT$105)+SUM(AV$95:AV$105)+SUM(AX$95:AX$105)</f>
        <v>114.93233305631915</v>
      </c>
      <c r="J115">
        <f>SUM(AZ$95:AZ$105)+SUM(BB$95:BB$105)+SUM(BD$95:BD$105)+SUM(BF$95:BF$105)</f>
        <v>133.50857448430958</v>
      </c>
      <c r="K115">
        <f>SUM(BH$95:BH$105)+SUM(BJ$95:BJ$105)+SUM(BL$95:BL$105)+SUM(BN$95:BN$105)</f>
        <v>107.75141168714168</v>
      </c>
      <c r="L115">
        <f>SUM(BP$95:BP$105)+SUM(BR$95:BR$105)+SUM(BT$95:BT$105)+SUM(BV$95:BV$105)</f>
        <v>127.0319615405576</v>
      </c>
      <c r="M115">
        <f>SUM(BX$95:BX$105)+SUM(BZ$95:BZ$105)+SUM(CB$95:CB$105)+SUM(CD$95:CD$105)</f>
        <v>111.76319045407953</v>
      </c>
      <c r="N115">
        <f>SUM(CF$95:CF$105)+SUM(CH$95:CH$105)+SUM(CJ$95:CJ$105)+SUM(CL$95:CL$105)</f>
        <v>103.67486600270264</v>
      </c>
      <c r="O115">
        <f>SUM(CN$95:CN$105)+SUM(CP$95:CP$105)+SUM(CR$95:CR$105)+SUM(CT$95:CT$105)</f>
        <v>96.309473923514489</v>
      </c>
    </row>
    <row r="116" spans="2:15" x14ac:dyDescent="0.2">
      <c r="C116" s="116" t="s">
        <v>278</v>
      </c>
      <c r="D116">
        <f t="shared" ref="D116:O116" si="0">SUM(D$109:D$115)</f>
        <v>3773.8806563750168</v>
      </c>
      <c r="E116">
        <f t="shared" si="0"/>
        <v>3356.5581745877962</v>
      </c>
      <c r="F116">
        <f t="shared" si="0"/>
        <v>3368.3084295481631</v>
      </c>
      <c r="G116">
        <f t="shared" si="0"/>
        <v>3041.8527470507915</v>
      </c>
      <c r="H116">
        <f t="shared" si="0"/>
        <v>3218.431795827114</v>
      </c>
      <c r="I116">
        <f t="shared" si="0"/>
        <v>3047.3106764532349</v>
      </c>
      <c r="J116">
        <f t="shared" si="0"/>
        <v>3267.9849584547314</v>
      </c>
      <c r="K116">
        <f t="shared" si="0"/>
        <v>3307.4467980280565</v>
      </c>
      <c r="L116">
        <f t="shared" si="0"/>
        <v>3459.0276423853243</v>
      </c>
      <c r="M116">
        <f t="shared" si="0"/>
        <v>3200.4037887446734</v>
      </c>
      <c r="N116">
        <f t="shared" si="0"/>
        <v>3534.1174907987311</v>
      </c>
      <c r="O116">
        <f t="shared" si="0"/>
        <v>3501.4993735467374</v>
      </c>
    </row>
    <row r="118" spans="2:15" x14ac:dyDescent="0.2">
      <c r="B118" s="118" t="s">
        <v>279</v>
      </c>
    </row>
    <row r="119" spans="2:15" x14ac:dyDescent="0.2">
      <c r="C119" s="116" t="s">
        <v>277</v>
      </c>
      <c r="D119" s="116" t="s">
        <v>92</v>
      </c>
      <c r="E119" s="116" t="s">
        <v>93</v>
      </c>
      <c r="F119" s="116" t="s">
        <v>94</v>
      </c>
      <c r="G119" s="116" t="s">
        <v>95</v>
      </c>
      <c r="H119" s="116" t="s">
        <v>96</v>
      </c>
      <c r="I119" s="116" t="s">
        <v>97</v>
      </c>
      <c r="J119" s="116" t="s">
        <v>98</v>
      </c>
      <c r="K119" s="116" t="s">
        <v>99</v>
      </c>
      <c r="L119" s="116" t="s">
        <v>100</v>
      </c>
      <c r="M119" s="116" t="s">
        <v>101</v>
      </c>
      <c r="N119" s="116" t="s">
        <v>102</v>
      </c>
      <c r="O119" s="116" t="s">
        <v>103</v>
      </c>
    </row>
    <row r="120" spans="2:15" x14ac:dyDescent="0.2">
      <c r="C120" s="116" t="s">
        <v>126</v>
      </c>
      <c r="D120">
        <f>D109*pricing!D33*2000</f>
        <v>1519354.7427740449</v>
      </c>
      <c r="E120">
        <f>E109*pricing!E33*2000</f>
        <v>2218257.9244501055</v>
      </c>
      <c r="F120">
        <f>F109*pricing!F33*2000</f>
        <v>2175715.9916524319</v>
      </c>
      <c r="G120">
        <f>G109*pricing!G33*2000</f>
        <v>2102786.9639992784</v>
      </c>
      <c r="H120">
        <f>H109*pricing!H33*2000</f>
        <v>2327651.465929837</v>
      </c>
      <c r="I120">
        <f>I109*pricing!I33*2000</f>
        <v>1969083.746635162</v>
      </c>
      <c r="J120">
        <f>J109*pricing!J33*2000</f>
        <v>2388425.6556407986</v>
      </c>
      <c r="K120">
        <f>K109*pricing!K33*2000</f>
        <v>2351961.1418142212</v>
      </c>
      <c r="L120">
        <f>L109*pricing!L33*2000</f>
        <v>2771303.0508198575</v>
      </c>
      <c r="M120">
        <f>M109*pricing!M33*2000</f>
        <v>2145328.8967969511</v>
      </c>
      <c r="N120">
        <f>N109*pricing!N33*2000</f>
        <v>2917161.1061261659</v>
      </c>
      <c r="O120">
        <f>O109*pricing!O33*2000</f>
        <v>2698374.0231667035</v>
      </c>
    </row>
    <row r="121" spans="2:15" x14ac:dyDescent="0.2">
      <c r="C121" s="116" t="s">
        <v>127</v>
      </c>
      <c r="D121">
        <f>D110*pricing!D34*2000</f>
        <v>2480273.9092686726</v>
      </c>
      <c r="E121">
        <f>E110*pricing!E34*2000</f>
        <v>2910188.053541909</v>
      </c>
      <c r="F121">
        <f>F110*pricing!F34*2000</f>
        <v>2596020.0250345436</v>
      </c>
      <c r="G121">
        <f>G110*pricing!G34*2000</f>
        <v>2353504.3539060517</v>
      </c>
      <c r="H121">
        <f>H110*pricing!H34*2000</f>
        <v>2491297.348865422</v>
      </c>
      <c r="I121">
        <f>I110*pricing!I34*2000</f>
        <v>2612555.1844296684</v>
      </c>
      <c r="J121">
        <f>J110*pricing!J34*2000</f>
        <v>2833023.9763646615</v>
      </c>
      <c r="K121">
        <f>K110*pricing!K34*2000</f>
        <v>2529879.3874540459</v>
      </c>
      <c r="L121">
        <f>L110*pricing!L34*2000</f>
        <v>3092074.8068882786</v>
      </c>
      <c r="M121">
        <f>M110*pricing!M34*2000</f>
        <v>2485785.6290670475</v>
      </c>
      <c r="N121">
        <f>N110*pricing!N34*2000</f>
        <v>3637735.0669273864</v>
      </c>
      <c r="O121">
        <f>O110*pricing!O34*2000</f>
        <v>2910188.053541909</v>
      </c>
    </row>
    <row r="122" spans="2:15" x14ac:dyDescent="0.2">
      <c r="C122" s="116" t="s">
        <v>128</v>
      </c>
      <c r="D122">
        <f>D111*pricing!D35*2000</f>
        <v>4587940.5572312307</v>
      </c>
      <c r="E122">
        <f>E111*pricing!E35*2000</f>
        <v>4231296.4256230453</v>
      </c>
      <c r="F122">
        <f>F111*pricing!F35*2000</f>
        <v>4209281.3557706876</v>
      </c>
      <c r="G122">
        <f>G111*pricing!G35*2000</f>
        <v>3914279.4197491021</v>
      </c>
      <c r="H122">
        <f>H111*pricing!H35*2000</f>
        <v>3852637.2241625022</v>
      </c>
      <c r="I122">
        <f>I111*pricing!I35*2000</f>
        <v>3817413.1123987306</v>
      </c>
      <c r="J122">
        <f>J111*pricing!J35*2000</f>
        <v>4962196.7447213028</v>
      </c>
      <c r="K122">
        <f>K111*pricing!K35*2000</f>
        <v>4200475.3278297447</v>
      </c>
      <c r="L122">
        <f>L111*pricing!L35*2000</f>
        <v>4671597.8226701878</v>
      </c>
      <c r="M122">
        <f>M111*pricing!M35*2000</f>
        <v>4209281.3557706876</v>
      </c>
      <c r="N122">
        <f>N111*pricing!N35*2000</f>
        <v>4332565.7469438883</v>
      </c>
      <c r="O122">
        <f>O111*pricing!O35*2000</f>
        <v>4706821.9344339594</v>
      </c>
    </row>
    <row r="123" spans="2:15" x14ac:dyDescent="0.2">
      <c r="C123" s="116" t="s">
        <v>129</v>
      </c>
      <c r="D123">
        <f>D112*pricing!D36*2000</f>
        <v>5212781.4279347723</v>
      </c>
      <c r="E123">
        <f>E112*pricing!E36*2000</f>
        <v>4775893.5449220333</v>
      </c>
      <c r="F123">
        <f>F112*pricing!F36*2000</f>
        <v>5174658.9287492847</v>
      </c>
      <c r="G123">
        <f>G112*pricing!G36*2000</f>
        <v>4211765.5282564266</v>
      </c>
      <c r="H123">
        <f>H112*pricing!H36*2000</f>
        <v>4857413.0383877223</v>
      </c>
      <c r="I123">
        <f>I112*pricing!I36*2000</f>
        <v>4256667.5151901608</v>
      </c>
      <c r="J123">
        <f>J112*pricing!J36*2000</f>
        <v>3542399.1974235824</v>
      </c>
      <c r="K123">
        <f>K112*pricing!K36*2000</f>
        <v>4867605.8002140597</v>
      </c>
      <c r="L123">
        <f>L112*pricing!L36*2000</f>
        <v>4268737.9070980931</v>
      </c>
      <c r="M123">
        <f>M112*pricing!M36*2000</f>
        <v>4554959.3457419919</v>
      </c>
      <c r="N123">
        <f>N112*pricing!N36*2000</f>
        <v>4415750.7700891951</v>
      </c>
      <c r="O123">
        <f>O112*pricing!O36*2000</f>
        <v>4608976.4359681075</v>
      </c>
    </row>
    <row r="124" spans="2:15" x14ac:dyDescent="0.2">
      <c r="C124" s="116" t="s">
        <v>130</v>
      </c>
      <c r="D124">
        <f>D113*pricing!D37*2000</f>
        <v>1857970.9872186836</v>
      </c>
      <c r="E124">
        <f>E113*pricing!E37*2000</f>
        <v>1030275.8990290442</v>
      </c>
      <c r="F124">
        <f>F113*pricing!F37*2000</f>
        <v>814769.22214872937</v>
      </c>
      <c r="G124">
        <f>G113*pricing!G37*2000</f>
        <v>942137.71479551308</v>
      </c>
      <c r="H124">
        <f>H113*pricing!H37*2000</f>
        <v>882313.12046296778</v>
      </c>
      <c r="I124">
        <f>I113*pricing!I37*2000</f>
        <v>885537.1454921047</v>
      </c>
      <c r="J124">
        <f>J113*pricing!J37*2000</f>
        <v>923818.45010827458</v>
      </c>
      <c r="K124">
        <f>K113*pricing!K37*2000</f>
        <v>865583.72786630923</v>
      </c>
      <c r="L124">
        <f>L113*pricing!L37*2000</f>
        <v>886683.88372869475</v>
      </c>
      <c r="M124">
        <f>M113*pricing!M37*2000</f>
        <v>900383.61461527401</v>
      </c>
      <c r="N124">
        <f>N113*pricing!N37*2000</f>
        <v>963627.9300613926</v>
      </c>
      <c r="O124">
        <f>O113*pricing!O37*2000</f>
        <v>1000859.3600938888</v>
      </c>
    </row>
    <row r="125" spans="2:15" x14ac:dyDescent="0.2">
      <c r="C125" s="116" t="s">
        <v>131</v>
      </c>
      <c r="D125">
        <f>D114*pricing!D38*2000</f>
        <v>837399.50557810115</v>
      </c>
      <c r="E125">
        <f>E114*pricing!E38*2000</f>
        <v>391721.68638571148</v>
      </c>
      <c r="F125">
        <f>F114*pricing!F38*2000</f>
        <v>428209.08723494789</v>
      </c>
      <c r="G125">
        <f>G114*pricing!G38*2000</f>
        <v>410233.5359628193</v>
      </c>
      <c r="H125">
        <f>H114*pricing!H38*2000</f>
        <v>383990.3692702679</v>
      </c>
      <c r="I125">
        <f>I114*pricing!I38*2000</f>
        <v>488116.83775481617</v>
      </c>
      <c r="J125">
        <f>J114*pricing!J38*2000</f>
        <v>408545.23376012605</v>
      </c>
      <c r="K125">
        <f>K114*pricing!K38*2000</f>
        <v>500246.93975742522</v>
      </c>
      <c r="L125">
        <f>L114*pricing!L38*2000</f>
        <v>420705.18743370479</v>
      </c>
      <c r="M125">
        <f>M114*pricing!M38*2000</f>
        <v>455650.0298905879</v>
      </c>
      <c r="N125">
        <f>N114*pricing!N38*2000</f>
        <v>427075.64843215194</v>
      </c>
      <c r="O125">
        <f>O114*pricing!O38*2000</f>
        <v>453092.2627667255</v>
      </c>
    </row>
    <row r="126" spans="2:15" x14ac:dyDescent="0.2">
      <c r="C126" s="116" t="s">
        <v>132</v>
      </c>
      <c r="D126">
        <f>D115*pricing!D39*2000</f>
        <v>1152901.7178454516</v>
      </c>
      <c r="E126">
        <f>E115*pricing!E39*2000</f>
        <v>537458.7530562391</v>
      </c>
      <c r="F126">
        <f>F115*pricing!F39*2000</f>
        <v>716456.44711414352</v>
      </c>
      <c r="G126">
        <f>G115*pricing!G39*2000</f>
        <v>626145.73169054266</v>
      </c>
      <c r="H126">
        <f>H115*pricing!H39*2000</f>
        <v>663303.93174320692</v>
      </c>
      <c r="I126">
        <f>I115*pricing!I39*2000</f>
        <v>564454.29002086329</v>
      </c>
      <c r="J126">
        <f>J115*pricing!J39*2000</f>
        <v>655685.70321556809</v>
      </c>
      <c r="K126">
        <f>K115*pricing!K39*2000</f>
        <v>529187.43546959863</v>
      </c>
      <c r="L126">
        <f>L115*pricing!L39*2000</f>
        <v>623877.83972154104</v>
      </c>
      <c r="M126">
        <f>M115*pricing!M39*2000</f>
        <v>548890.03503749426</v>
      </c>
      <c r="N126">
        <f>N115*pricing!N39*2000</f>
        <v>509166.75339643384</v>
      </c>
      <c r="O126">
        <f>O115*pricing!O39*2000</f>
        <v>472993.92851567367</v>
      </c>
    </row>
    <row r="127" spans="2:15" x14ac:dyDescent="0.2">
      <c r="C127" s="116" t="s">
        <v>278</v>
      </c>
      <c r="D127">
        <f>SUM(D$120:D$126)</f>
        <v>17648622.84785096</v>
      </c>
      <c r="E127">
        <f t="shared" ref="E127:O127" si="1">SUM(E$120:E$126)</f>
        <v>16095092.28700809</v>
      </c>
      <c r="F127">
        <f t="shared" si="1"/>
        <v>16115111.057704771</v>
      </c>
      <c r="G127">
        <f t="shared" si="1"/>
        <v>14560853.248359736</v>
      </c>
      <c r="H127">
        <f t="shared" si="1"/>
        <v>15458606.498821924</v>
      </c>
      <c r="I127">
        <f t="shared" si="1"/>
        <v>14593827.831921507</v>
      </c>
      <c r="J127">
        <f t="shared" si="1"/>
        <v>15714094.961234314</v>
      </c>
      <c r="K127">
        <f t="shared" si="1"/>
        <v>15844939.760405404</v>
      </c>
      <c r="L127">
        <f t="shared" si="1"/>
        <v>16734980.498360358</v>
      </c>
      <c r="M127">
        <f t="shared" si="1"/>
        <v>15300278.906920034</v>
      </c>
      <c r="N127">
        <f t="shared" si="1"/>
        <v>17203083.021976616</v>
      </c>
      <c r="O127">
        <f t="shared" si="1"/>
        <v>16851305.998486966</v>
      </c>
    </row>
    <row r="129" spans="2:15" x14ac:dyDescent="0.2">
      <c r="B129" s="118" t="s">
        <v>280</v>
      </c>
    </row>
    <row r="130" spans="2:15" x14ac:dyDescent="0.2">
      <c r="C130" s="120" t="s">
        <v>277</v>
      </c>
      <c r="D130" s="120" t="s">
        <v>92</v>
      </c>
      <c r="E130" s="120" t="s">
        <v>93</v>
      </c>
      <c r="F130" s="120" t="s">
        <v>94</v>
      </c>
      <c r="G130" s="120" t="s">
        <v>95</v>
      </c>
      <c r="H130" s="120" t="s">
        <v>96</v>
      </c>
      <c r="I130" s="120" t="s">
        <v>97</v>
      </c>
      <c r="J130" s="120" t="s">
        <v>98</v>
      </c>
      <c r="K130" s="120" t="s">
        <v>99</v>
      </c>
      <c r="L130" s="120" t="s">
        <v>100</v>
      </c>
      <c r="M130" s="120" t="s">
        <v>101</v>
      </c>
      <c r="N130" s="120" t="s">
        <v>102</v>
      </c>
      <c r="O130" s="120" t="s">
        <v>103</v>
      </c>
    </row>
    <row r="131" spans="2:15" x14ac:dyDescent="0.2">
      <c r="C131" s="120" t="s">
        <v>126</v>
      </c>
      <c r="D131" s="121">
        <f>SUM(E$6:E$19)+SUM(G$6:G$19)+SUM(I$6:I$19)+SUM(K$6:K$19)</f>
        <v>127130.4</v>
      </c>
      <c r="E131" s="121">
        <f>SUM(M$6:M$19)+SUM(O$6:O$19)+SUM(Q$6:Q$19)+SUM(S$6:S$19)</f>
        <v>184375.2</v>
      </c>
      <c r="F131" s="121">
        <f>SUM(U$6:U$19)+SUM(W$6:W$19)+SUM(Y$6:Y$19)+SUM(AA$6:AA$19)</f>
        <v>180234</v>
      </c>
      <c r="G131" s="121">
        <f>SUM(AC$6:AC$19)+SUM(AE$6:AE$19)+SUM(AG$6:AG$19)+SUM(AI$6:AI$19)</f>
        <v>174237.59999999998</v>
      </c>
      <c r="H131" s="121">
        <f>SUM(AK$6:AK$19)+SUM(AM$6:AM$19)+SUM(AO$6:AO$19)+SUM(AQ$6:AQ$19)</f>
        <v>193441.19999999998</v>
      </c>
      <c r="I131" s="121">
        <f>SUM(AS$6:AS$19)+SUM(AU$6:AU$19)+SUM(AW$6:AW$19)+SUM(AY$6:AY$19)</f>
        <v>163653.60000000003</v>
      </c>
      <c r="J131" s="121">
        <f>SUM(BA$6:BA$19)+SUM(BC$6:BC$19)+SUM(BE$6:BE$19)+SUM(BG$6:BG$19)</f>
        <v>197931.59999999998</v>
      </c>
      <c r="K131" s="121">
        <f>SUM(BI$6:BI$19)+SUM(BK$6:BK$19)+SUM(BM$6:BM$19)+SUM(BO$6:BO$19)</f>
        <v>195477.59999999998</v>
      </c>
      <c r="L131" s="121">
        <f>SUM(BQ$6:BQ$19)+SUM(BS$6:BS$19)+SUM(BU$6:BU$19)+SUM(BW$6:BW$19)</f>
        <v>230290.8</v>
      </c>
      <c r="M131" s="121">
        <f>SUM(BY$6:BY$19)+SUM(CA$6:CA$19)+SUM(CC$6:CC$19)+SUM(CE$6:CE$19)</f>
        <v>178278</v>
      </c>
      <c r="N131" s="121">
        <f>SUM(CG$6:CG$19)+SUM(CI$6:CI$19)+SUM(CK$6:CK$19)+SUM(CM$6:CM$19)</f>
        <v>243804</v>
      </c>
      <c r="O131" s="121">
        <f>SUM(CO$6:CO$19)+SUM(CQ$6:CQ$19)+SUM(CS$6:CS$19)+SUM(CU$6:CU$19)</f>
        <v>224041.2</v>
      </c>
    </row>
    <row r="132" spans="2:15" x14ac:dyDescent="0.2">
      <c r="C132" s="120" t="s">
        <v>127</v>
      </c>
      <c r="D132" s="121">
        <f>SUM(E$20:E$36)+SUM(G$20:G$36)+SUM(I$20:I$36)+SUM(K$20:K$36)</f>
        <v>192565.2</v>
      </c>
      <c r="E132" s="121">
        <f>SUM(M$20:M$36)+SUM(O$20:O$36)+SUM(Q$20:Q$36)+SUM(S$20:S$36)</f>
        <v>226094.39999999997</v>
      </c>
      <c r="F132" s="121">
        <f>SUM(U$20:U$36)+SUM(W$20:W$36)+SUM(Y$20:Y$36)+SUM(AA$20:AA$36)</f>
        <v>201327.59999999998</v>
      </c>
      <c r="G132" s="121">
        <f>SUM(AC$20:AC$36)+SUM(AE$20:AE$36)+SUM(AG$20:AG$36)+SUM(AI$20:AI$36)</f>
        <v>183703.2</v>
      </c>
      <c r="H132" s="121">
        <f>SUM(AK$20:AK$36)+SUM(AM$20:AM$36)+SUM(AO$20:AO$36)+SUM(AQ$20:AQ$36)</f>
        <v>193824</v>
      </c>
      <c r="I132" s="121">
        <f>SUM(AS$20:AS$36)+SUM(AU$20:AU$36)+SUM(AW$20:AW$36)+SUM(AY$20:AY$36)</f>
        <v>204423.6</v>
      </c>
      <c r="J132" s="121">
        <f>SUM(BA$20:BA$36)+SUM(BC$20:BC$36)+SUM(BE$20:BE$36)+SUM(BG$20:BG$36)</f>
        <v>218355.6</v>
      </c>
      <c r="K132" s="121">
        <f>SUM(BI$20:BI$36)+SUM(BK$20:BK$36)+SUM(BM$20:BM$36)+SUM(BO$20:BO$36)</f>
        <v>195210</v>
      </c>
      <c r="L132" s="121">
        <f>SUM(BQ$20:BQ$36)+SUM(BS$20:BS$36)+SUM(BU$20:BU$36)+SUM(BW$20:BW$36)</f>
        <v>239319.59999999998</v>
      </c>
      <c r="M132" s="121">
        <f>SUM(BY$20:BY$36)+SUM(CA$20:CA$36)+SUM(CC$20:CC$36)+SUM(CE$20:CE$36)</f>
        <v>192955.2</v>
      </c>
      <c r="N132" s="121">
        <f>SUM(CG$20:CG$36)+SUM(CI$20:CI$36)+SUM(CK$20:CK$36)+SUM(CM$20:CM$36)</f>
        <v>280706.39999999997</v>
      </c>
      <c r="O132" s="121">
        <f>SUM(CO$20:CO$36)+SUM(CQ$20:CQ$36)+SUM(CS$20:CS$36)+SUM(CU$20:CU$36)</f>
        <v>225191.99999999997</v>
      </c>
    </row>
    <row r="133" spans="2:15" x14ac:dyDescent="0.2">
      <c r="C133" s="120" t="s">
        <v>128</v>
      </c>
      <c r="D133" s="121">
        <f>SUM(E$37:E$48)+SUM(G$37:G$48)+SUM(I$37:I$48)+SUM(K$37:K$48)</f>
        <v>1088935.2</v>
      </c>
      <c r="E133" s="121">
        <f>SUM(M$37:M$48)+SUM(O$37:O$48)+SUM(Q$37:Q$48)+SUM(S$37:S$48)</f>
        <v>1005817.2</v>
      </c>
      <c r="F133" s="121">
        <f>SUM(U$37:U$48)+SUM(W$37:W$48)+SUM(Y$37:Y$48)+SUM(AA$37:AA$48)</f>
        <v>1003500.0000000001</v>
      </c>
      <c r="G133" s="121">
        <f>SUM(AC$37:AC$48)+SUM(AE$37:AE$48)+SUM(AG$37:AG$48)+SUM(AI$37:AI$48)</f>
        <v>927763.2</v>
      </c>
      <c r="H133" s="121">
        <f>SUM(AK$37:AK$48)+SUM(AM$37:AM$48)+SUM(AO$37:AO$48)+SUM(AQ$37:AQ$48)</f>
        <v>912382.79999999993</v>
      </c>
      <c r="I133" s="121">
        <f>SUM(AS$37:AS$48)+SUM(AU$37:AU$48)+SUM(AW$37:AW$48)+SUM(AY$37:AY$48)</f>
        <v>907875.6</v>
      </c>
      <c r="J133" s="121">
        <f>SUM(BA$37:BA$48)+SUM(BC$37:BC$48)+SUM(BE$37:BE$48)+SUM(BG$37:BG$48)</f>
        <v>1181024.3999999999</v>
      </c>
      <c r="K133" s="121">
        <f>SUM(BI$37:BI$48)+SUM(BK$37:BK$48)+SUM(BM$37:BM$48)+SUM(BO$37:BO$48)</f>
        <v>1001206.8</v>
      </c>
      <c r="L133" s="121">
        <f>SUM(BQ$37:BQ$48)+SUM(BS$37:BS$48)+SUM(BU$37:BU$48)+SUM(BW$37:BW$48)</f>
        <v>1113248.3999999999</v>
      </c>
      <c r="M133" s="121">
        <f>SUM(BY$37:BY$48)+SUM(CA$37:CA$48)+SUM(CC$37:CC$48)+SUM(CE$37:CE$48)</f>
        <v>1000441.2</v>
      </c>
      <c r="N133" s="121">
        <f>SUM(CG$37:CG$48)+SUM(CI$37:CI$48)+SUM(CK$37:CK$48)+SUM(CM$37:CM$48)</f>
        <v>1029042</v>
      </c>
      <c r="O133" s="121">
        <f>SUM(CO$37:CO$48)+SUM(CQ$37:CQ$48)+SUM(CS$37:CS$48)+SUM(CU$37:CU$48)</f>
        <v>1118347.2000000002</v>
      </c>
    </row>
    <row r="134" spans="2:15" x14ac:dyDescent="0.2">
      <c r="C134" s="120" t="s">
        <v>129</v>
      </c>
      <c r="D134" s="121">
        <f>SUM(E$49:E$70)+SUM(G$49:G$70)+SUM(I$49:I$70)+SUM(K$49:K$70)</f>
        <v>944047.68930013373</v>
      </c>
      <c r="E134" s="121">
        <f>SUM(M$49:M$70)+SUM(O$49:O$70)+SUM(Q$49:Q$70)+SUM(S$49:S$70)</f>
        <v>855807.38829924213</v>
      </c>
      <c r="F134" s="121">
        <f>SUM(U$49:U$70)+SUM(W$49:W$70)+SUM(Y$49:Y$70)+SUM(AA$49:AA$70)</f>
        <v>927720.5901862575</v>
      </c>
      <c r="G134" s="121">
        <f>SUM(AC$49:AC$70)+SUM(AE$49:AE$70)+SUM(AG$49:AG$70)+SUM(AI$49:AI$70)</f>
        <v>755377.99004521838</v>
      </c>
      <c r="H134" s="121">
        <f>SUM(AK$49:AK$70)+SUM(AM$49:AM$70)+SUM(AO$49:AO$70)+SUM(AQ$49:AQ$70)</f>
        <v>868131.7285329561</v>
      </c>
      <c r="I134" s="121">
        <f>SUM(AS$49:AS$70)+SUM(AU$49:AU$70)+SUM(AW$49:AW$70)+SUM(AY$49:AY$70)</f>
        <v>761874.22841729363</v>
      </c>
      <c r="J134" s="121">
        <f>SUM(BA$49:BA$70)+SUM(BC$49:BC$70)+SUM(BE$49:BE$70)+SUM(BG$49:BG$70)</f>
        <v>636023.78773280606</v>
      </c>
      <c r="K134" s="121">
        <f>SUM(BI$49:BI$70)+SUM(BK$49:BK$70)+SUM(BM$49:BM$70)+SUM(BO$49:BO$70)</f>
        <v>872284.43185489334</v>
      </c>
      <c r="L134" s="121">
        <f>SUM(BQ$49:BQ$70)+SUM(BS$49:BS$70)+SUM(BU$49:BU$70)+SUM(BW$49:BW$70)</f>
        <v>765220.04209592647</v>
      </c>
      <c r="M134" s="121">
        <f>SUM(BY$49:BY$70)+SUM(CA$49:CA$70)+SUM(CC$49:CC$70)+SUM(CE$49:CE$70)</f>
        <v>813028.85566047882</v>
      </c>
      <c r="N134" s="121">
        <f>SUM(CG$49:CG$70)+SUM(CI$49:CI$70)+SUM(CK$49:CK$70)+SUM(CM$49:CM$70)</f>
        <v>790782.01611550967</v>
      </c>
      <c r="O134" s="121">
        <f>SUM(CO$49:CO$70)+SUM(CQ$49:CQ$70)+SUM(CS$49:CS$70)+SUM(CU$49:CU$70)</f>
        <v>826328.98783547163</v>
      </c>
    </row>
    <row r="135" spans="2:15" x14ac:dyDescent="0.2">
      <c r="C135" s="120" t="s">
        <v>130</v>
      </c>
      <c r="D135" s="121">
        <f>SUM(E$71:E$86)+SUM(G$71:G$86)+SUM(I$71:I$86)+SUM(K$71:K$86)</f>
        <v>249655.33535955896</v>
      </c>
      <c r="E135" s="121">
        <f>SUM(M$71:M$86)+SUM(O$71:O$86)+SUM(Q$71:Q$86)+SUM(S$71:S$86)</f>
        <v>138738.42100961093</v>
      </c>
      <c r="F135" s="121">
        <f>SUM(U$71:U$86)+SUM(W$71:W$86)+SUM(Y$71:Y$86)+SUM(AA$71:AA$86)</f>
        <v>109174.70852077963</v>
      </c>
      <c r="G135" s="121">
        <f>SUM(AC$71:AC$86)+SUM(AE$71:AE$86)+SUM(AG$71:AG$86)+SUM(AI$71:AI$86)</f>
        <v>127251.74294391199</v>
      </c>
      <c r="H135" s="121">
        <f>SUM(AK$71:AK$86)+SUM(AM$71:AM$86)+SUM(AO$71:AO$86)+SUM(AQ$71:AQ$86)</f>
        <v>118302.92025193127</v>
      </c>
      <c r="I135" s="121">
        <f>SUM(AS$71:AS$86)+SUM(AU$71:AU$86)+SUM(AW$71:AW$86)+SUM(AY$71:AY$86)</f>
        <v>119137.14191606492</v>
      </c>
      <c r="J135" s="121">
        <f>SUM(BA$71:BA$86)+SUM(BC$71:BC$86)+SUM(BE$71:BE$86)+SUM(BG$71:BG$86)</f>
        <v>124824.26436193983</v>
      </c>
      <c r="K135" s="121">
        <f>SUM(BI$71:BI$86)+SUM(BK$71:BK$86)+SUM(BM$71:BM$86)+SUM(BO$71:BO$86)</f>
        <v>116015.38884533828</v>
      </c>
      <c r="L135" s="121">
        <f>SUM(BQ$71:BQ$86)+SUM(BS$71:BS$86)+SUM(BU$71:BU$86)+SUM(BW$71:BW$86)</f>
        <v>119274.54633717184</v>
      </c>
      <c r="M135" s="121">
        <f>SUM(BY$71:BY$86)+SUM(CA$71:CA$86)+SUM(CC$71:CC$86)+SUM(CE$71:CE$86)</f>
        <v>120997.89476349772</v>
      </c>
      <c r="N135" s="121">
        <f>SUM(CG$71:CG$86)+SUM(CI$71:CI$86)+SUM(CK$71:CK$86)+SUM(CM$71:CM$86)</f>
        <v>129490.71819879641</v>
      </c>
      <c r="O135" s="121">
        <f>SUM(CO$71:CO$86)+SUM(CQ$71:CQ$86)+SUM(CS$71:CS$86)+SUM(CU$71:CU$86)</f>
        <v>134449.40231469518</v>
      </c>
    </row>
    <row r="136" spans="2:15" x14ac:dyDescent="0.2">
      <c r="C136" s="120" t="s">
        <v>131</v>
      </c>
      <c r="D136" s="121">
        <f>SUM(E$87:E$94)+SUM(G$87:G$94)+SUM(I$87:I$94)+SUM(K$87:K$94)</f>
        <v>411882.69842360442</v>
      </c>
      <c r="E136" s="121">
        <f>SUM(M$87:M$94)+SUM(O$87:O$94)+SUM(Q$87:Q$94)+SUM(S$87:S$94)</f>
        <v>192532.15832294722</v>
      </c>
      <c r="F136" s="121">
        <f>SUM(U$87:U$94)+SUM(W$87:W$94)+SUM(Y$87:Y$94)+SUM(AA$87:AA$94)</f>
        <v>209959.83644024425</v>
      </c>
      <c r="G136" s="121">
        <f>SUM(AC$87:AC$94)+SUM(AE$87:AE$94)+SUM(AG$87:AG$94)+SUM(AI$87:AI$94)</f>
        <v>201456.16227848729</v>
      </c>
      <c r="H136" s="121">
        <f>SUM(AK$87:AK$94)+SUM(AM$87:AM$94)+SUM(AO$87:AO$94)+SUM(AQ$87:AQ$94)</f>
        <v>188608.58897021221</v>
      </c>
      <c r="I136" s="121">
        <f>SUM(AS$87:AS$94)+SUM(AU$87:AU$94)+SUM(AW$87:AW$94)+SUM(AY$87:AY$94)</f>
        <v>239820.07070516059</v>
      </c>
      <c r="J136" s="121">
        <f>SUM(BA$87:BA$94)+SUM(BC$87:BC$94)+SUM(BE$87:BE$94)+SUM(BG$87:BG$94)</f>
        <v>200194.10934293922</v>
      </c>
      <c r="K136" s="121">
        <f>SUM(BI$87:BI$94)+SUM(BK$87:BK$94)+SUM(BM$87:BM$94)+SUM(BO$87:BO$94)</f>
        <v>245459.3848832114</v>
      </c>
      <c r="L136" s="121">
        <f>SUM(BQ$87:BQ$94)+SUM(BS$87:BS$94)+SUM(BU$87:BU$94)+SUM(BW$87:BW$94)</f>
        <v>205640.11319280788</v>
      </c>
      <c r="M136" s="121">
        <f>SUM(BY$87:BY$94)+SUM(CA$87:CA$94)+SUM(CC$87:CC$94)+SUM(CE$87:CE$94)</f>
        <v>223487.90599479032</v>
      </c>
      <c r="N136" s="121">
        <f>SUM(CG$87:CG$94)+SUM(CI$87:CI$94)+SUM(CK$87:CK$94)+SUM(CM$87:CM$94)</f>
        <v>209943.11535695504</v>
      </c>
      <c r="O136" s="121">
        <f>SUM(CO$87:CO$94)+SUM(CQ$87:CQ$94)+SUM(CS$87:CS$94)+SUM(CU$87:CU$94)</f>
        <v>221984.95391890756</v>
      </c>
    </row>
    <row r="137" spans="2:15" x14ac:dyDescent="0.2">
      <c r="C137" s="120" t="s">
        <v>132</v>
      </c>
      <c r="D137" s="121">
        <f>SUM(E$95:E$105)+SUM(G$95:G$105)+SUM(I$95:I$105)+SUM(K$95:K$105)</f>
        <v>444342.20168058947</v>
      </c>
      <c r="E137" s="121">
        <f>SUM(M$95:M$105)+SUM(O$95:O$105)+SUM(Q$95:Q$105)+SUM(S$95:S$105)</f>
        <v>206977.24098220514</v>
      </c>
      <c r="F137" s="121">
        <f>SUM(U$95:U$105)+SUM(W$95:W$105)+SUM(Y$95:Y$105)+SUM(AA$95:AA$105)</f>
        <v>277001.55406522664</v>
      </c>
      <c r="G137" s="121">
        <f>SUM(AC$95:AC$105)+SUM(AE$95:AE$105)+SUM(AG$95:AG$105)+SUM(AI$95:AI$105)</f>
        <v>242491.12570284412</v>
      </c>
      <c r="H137" s="121">
        <f>SUM(AK$95:AK$105)+SUM(AM$95:AM$105)+SUM(AO$95:AO$105)+SUM(AQ$95:AQ$105)</f>
        <v>255791.1376663289</v>
      </c>
      <c r="I137" s="121">
        <f>SUM(AS$95:AS$105)+SUM(AU$95:AU$105)+SUM(AW$95:AW$105)+SUM(AY$95:AY$105)</f>
        <v>218874.47942394714</v>
      </c>
      <c r="J137" s="121">
        <f>SUM(BA$95:BA$105)+SUM(BC$95:BC$105)+SUM(BE$95:BE$105)+SUM(BG$95:BG$105)</f>
        <v>253320.10000406351</v>
      </c>
      <c r="K137" s="121">
        <f>SUM(BI$95:BI$105)+SUM(BK$95:BK$105)+SUM(BM$95:BM$105)+SUM(BO$95:BO$105)</f>
        <v>202214.79789221153</v>
      </c>
      <c r="L137" s="121">
        <f>SUM(BQ$95:BQ$105)+SUM(BS$95:BS$105)+SUM(BU$95:BU$105)+SUM(BW$95:BW$105)</f>
        <v>241487.83654223598</v>
      </c>
      <c r="M137" s="121">
        <f>SUM(BY$95:BY$105)+SUM(CA$95:CA$105)+SUM(CC$95:CC$105)+SUM(CE$95:CE$105)</f>
        <v>211210.11188071439</v>
      </c>
      <c r="N137" s="121">
        <f>SUM(CG$95:CG$105)+SUM(CI$95:CI$105)+SUM(CK$95:CK$105)+SUM(CM$95:CM$105)</f>
        <v>196021.15632264316</v>
      </c>
      <c r="O137" s="121">
        <f>SUM(CO$95:CO$105)+SUM(CQ$95:CQ$105)+SUM(CS$95:CS$105)+SUM(CU$95:CU$105)</f>
        <v>180991.59948835894</v>
      </c>
    </row>
    <row r="138" spans="2:15" x14ac:dyDescent="0.2">
      <c r="C138" s="120" t="s">
        <v>278</v>
      </c>
      <c r="D138">
        <f t="shared" ref="D138:O138" si="2">SUM(D$131:D$137)</f>
        <v>3458558.7247638865</v>
      </c>
      <c r="E138">
        <f t="shared" si="2"/>
        <v>2810342.0086140051</v>
      </c>
      <c r="F138">
        <f t="shared" si="2"/>
        <v>2908918.2892125081</v>
      </c>
      <c r="G138">
        <f t="shared" si="2"/>
        <v>2612281.0209704614</v>
      </c>
      <c r="H138">
        <f t="shared" si="2"/>
        <v>2730482.3754214281</v>
      </c>
      <c r="I138">
        <f t="shared" si="2"/>
        <v>2615658.7204624661</v>
      </c>
      <c r="J138">
        <f t="shared" si="2"/>
        <v>2811673.8614417482</v>
      </c>
      <c r="K138">
        <f t="shared" si="2"/>
        <v>2827868.4034756548</v>
      </c>
      <c r="L138">
        <f t="shared" si="2"/>
        <v>2914481.3381681424</v>
      </c>
      <c r="M138">
        <f t="shared" si="2"/>
        <v>2740399.1682994813</v>
      </c>
      <c r="N138">
        <f t="shared" si="2"/>
        <v>2879789.405993904</v>
      </c>
      <c r="O138">
        <f t="shared" si="2"/>
        <v>2931335.3435574332</v>
      </c>
    </row>
  </sheetData>
  <pageMargins left="0.75" right="0.75" top="1" bottom="1" header="0.5" footer="0.5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01"/>
  <sheetViews>
    <sheetView workbookViewId="0"/>
  </sheetViews>
  <sheetFormatPr defaultRowHeight="12.75" x14ac:dyDescent="0.2"/>
  <cols>
    <col min="3" max="3" width="14.5703125" bestFit="1" customWidth="1"/>
    <col min="4" max="4" width="16.85546875" bestFit="1" customWidth="1"/>
    <col min="5" max="5" width="22.85546875" bestFit="1" customWidth="1"/>
  </cols>
  <sheetData>
    <row r="1" spans="1:5" x14ac:dyDescent="0.2">
      <c r="A1" s="116" t="s">
        <v>167</v>
      </c>
      <c r="B1" s="116" t="s">
        <v>168</v>
      </c>
      <c r="C1" s="116" t="s">
        <v>169</v>
      </c>
      <c r="D1" s="116" t="s">
        <v>170</v>
      </c>
      <c r="E1" s="116" t="s">
        <v>171</v>
      </c>
    </row>
    <row r="2" spans="1:5" x14ac:dyDescent="0.2">
      <c r="A2" s="116" t="s">
        <v>126</v>
      </c>
      <c r="B2" s="116" t="s">
        <v>172</v>
      </c>
      <c r="C2" t="s">
        <v>59</v>
      </c>
      <c r="D2">
        <v>482</v>
      </c>
      <c r="E2">
        <v>578.4</v>
      </c>
    </row>
    <row r="3" spans="1:5" x14ac:dyDescent="0.2">
      <c r="B3" s="116" t="s">
        <v>173</v>
      </c>
      <c r="C3" t="s">
        <v>59</v>
      </c>
      <c r="D3">
        <v>657</v>
      </c>
      <c r="E3">
        <v>788.4</v>
      </c>
    </row>
    <row r="4" spans="1:5" x14ac:dyDescent="0.2">
      <c r="B4" s="116" t="s">
        <v>174</v>
      </c>
      <c r="C4" t="s">
        <v>59</v>
      </c>
      <c r="D4">
        <v>258</v>
      </c>
      <c r="E4">
        <v>309.59999999999997</v>
      </c>
    </row>
    <row r="5" spans="1:5" x14ac:dyDescent="0.2">
      <c r="B5" s="116" t="s">
        <v>175</v>
      </c>
      <c r="C5" t="s">
        <v>59</v>
      </c>
      <c r="D5">
        <v>585</v>
      </c>
      <c r="E5">
        <v>702</v>
      </c>
    </row>
    <row r="6" spans="1:5" x14ac:dyDescent="0.2">
      <c r="B6" s="116" t="s">
        <v>176</v>
      </c>
      <c r="C6" t="s">
        <v>59</v>
      </c>
      <c r="D6">
        <v>454</v>
      </c>
      <c r="E6">
        <v>544.79999999999995</v>
      </c>
    </row>
    <row r="7" spans="1:5" x14ac:dyDescent="0.2">
      <c r="B7" s="116" t="s">
        <v>177</v>
      </c>
      <c r="C7" t="s">
        <v>59</v>
      </c>
      <c r="D7">
        <v>444</v>
      </c>
      <c r="E7">
        <v>532.79999999999995</v>
      </c>
    </row>
    <row r="8" spans="1:5" x14ac:dyDescent="0.2">
      <c r="B8" s="116" t="s">
        <v>178</v>
      </c>
      <c r="C8" t="s">
        <v>59</v>
      </c>
      <c r="D8">
        <v>469</v>
      </c>
      <c r="E8">
        <v>562.79999999999995</v>
      </c>
    </row>
    <row r="9" spans="1:5" x14ac:dyDescent="0.2">
      <c r="B9" s="116" t="s">
        <v>179</v>
      </c>
      <c r="C9" t="s">
        <v>59</v>
      </c>
      <c r="D9">
        <v>71</v>
      </c>
      <c r="E9">
        <v>85.2</v>
      </c>
    </row>
    <row r="10" spans="1:5" x14ac:dyDescent="0.2">
      <c r="B10" s="116" t="s">
        <v>180</v>
      </c>
      <c r="C10" t="s">
        <v>59</v>
      </c>
      <c r="D10">
        <v>407</v>
      </c>
      <c r="E10">
        <v>488.4</v>
      </c>
    </row>
    <row r="11" spans="1:5" x14ac:dyDescent="0.2">
      <c r="B11" s="116" t="s">
        <v>181</v>
      </c>
      <c r="C11" t="s">
        <v>59</v>
      </c>
      <c r="D11">
        <v>636</v>
      </c>
      <c r="E11">
        <v>763.19999999999993</v>
      </c>
    </row>
    <row r="12" spans="1:5" x14ac:dyDescent="0.2">
      <c r="B12" s="116" t="s">
        <v>182</v>
      </c>
      <c r="C12" t="s">
        <v>59</v>
      </c>
      <c r="D12">
        <v>284</v>
      </c>
      <c r="E12">
        <v>340.8</v>
      </c>
    </row>
    <row r="13" spans="1:5" x14ac:dyDescent="0.2">
      <c r="B13" s="116" t="s">
        <v>183</v>
      </c>
      <c r="C13" t="s">
        <v>59</v>
      </c>
      <c r="D13">
        <v>352</v>
      </c>
      <c r="E13">
        <v>422.4</v>
      </c>
    </row>
    <row r="14" spans="1:5" x14ac:dyDescent="0.2">
      <c r="B14" s="116" t="s">
        <v>184</v>
      </c>
      <c r="C14" t="s">
        <v>59</v>
      </c>
      <c r="D14">
        <v>544</v>
      </c>
      <c r="E14">
        <v>652.79999999999995</v>
      </c>
    </row>
    <row r="15" spans="1:5" x14ac:dyDescent="0.2">
      <c r="B15" s="116" t="s">
        <v>185</v>
      </c>
      <c r="C15" t="s">
        <v>59</v>
      </c>
      <c r="D15">
        <v>275</v>
      </c>
      <c r="E15">
        <v>330</v>
      </c>
    </row>
    <row r="16" spans="1:5" x14ac:dyDescent="0.2">
      <c r="A16" s="116" t="s">
        <v>127</v>
      </c>
      <c r="B16" s="116" t="s">
        <v>186</v>
      </c>
      <c r="C16" t="s">
        <v>59</v>
      </c>
      <c r="D16">
        <v>239</v>
      </c>
      <c r="E16">
        <v>286.8</v>
      </c>
    </row>
    <row r="17" spans="2:5" x14ac:dyDescent="0.2">
      <c r="B17" s="116" t="s">
        <v>187</v>
      </c>
      <c r="C17" t="s">
        <v>59</v>
      </c>
      <c r="D17">
        <v>52</v>
      </c>
      <c r="E17">
        <v>62.4</v>
      </c>
    </row>
    <row r="18" spans="2:5" x14ac:dyDescent="0.2">
      <c r="B18" s="116" t="s">
        <v>188</v>
      </c>
      <c r="C18" t="s">
        <v>59</v>
      </c>
      <c r="D18">
        <v>156</v>
      </c>
      <c r="E18">
        <v>187.2</v>
      </c>
    </row>
    <row r="19" spans="2:5" x14ac:dyDescent="0.2">
      <c r="B19" s="116" t="s">
        <v>189</v>
      </c>
      <c r="C19" t="s">
        <v>59</v>
      </c>
      <c r="D19">
        <v>245</v>
      </c>
      <c r="E19">
        <v>294</v>
      </c>
    </row>
    <row r="20" spans="2:5" x14ac:dyDescent="0.2">
      <c r="B20" s="116" t="s">
        <v>190</v>
      </c>
      <c r="C20" t="s">
        <v>59</v>
      </c>
      <c r="D20">
        <v>306</v>
      </c>
      <c r="E20">
        <v>367.2</v>
      </c>
    </row>
    <row r="21" spans="2:5" x14ac:dyDescent="0.2">
      <c r="B21" s="116" t="s">
        <v>191</v>
      </c>
      <c r="C21" t="s">
        <v>59</v>
      </c>
      <c r="D21">
        <v>442</v>
      </c>
      <c r="E21">
        <v>530.4</v>
      </c>
    </row>
    <row r="22" spans="2:5" x14ac:dyDescent="0.2">
      <c r="B22" s="116" t="s">
        <v>192</v>
      </c>
      <c r="C22" t="s">
        <v>59</v>
      </c>
      <c r="D22">
        <v>405</v>
      </c>
      <c r="E22">
        <v>486</v>
      </c>
    </row>
    <row r="23" spans="2:5" x14ac:dyDescent="0.2">
      <c r="B23" s="116" t="s">
        <v>193</v>
      </c>
      <c r="C23" t="s">
        <v>59</v>
      </c>
      <c r="D23">
        <v>356</v>
      </c>
      <c r="E23">
        <v>427.2</v>
      </c>
    </row>
    <row r="24" spans="2:5" x14ac:dyDescent="0.2">
      <c r="B24" s="116" t="s">
        <v>194</v>
      </c>
      <c r="C24" t="s">
        <v>59</v>
      </c>
      <c r="D24">
        <v>615</v>
      </c>
      <c r="E24">
        <v>738</v>
      </c>
    </row>
    <row r="25" spans="2:5" x14ac:dyDescent="0.2">
      <c r="B25" s="116" t="s">
        <v>195</v>
      </c>
      <c r="C25" t="s">
        <v>59</v>
      </c>
      <c r="D25">
        <v>282</v>
      </c>
      <c r="E25">
        <v>338.4</v>
      </c>
    </row>
    <row r="26" spans="2:5" x14ac:dyDescent="0.2">
      <c r="B26" s="116" t="s">
        <v>196</v>
      </c>
      <c r="C26" t="s">
        <v>59</v>
      </c>
      <c r="D26">
        <v>116</v>
      </c>
      <c r="E26">
        <v>139.19999999999999</v>
      </c>
    </row>
    <row r="27" spans="2:5" x14ac:dyDescent="0.2">
      <c r="B27" s="116" t="s">
        <v>197</v>
      </c>
      <c r="C27" t="s">
        <v>59</v>
      </c>
      <c r="D27">
        <v>284</v>
      </c>
      <c r="E27">
        <v>340.8</v>
      </c>
    </row>
    <row r="28" spans="2:5" x14ac:dyDescent="0.2">
      <c r="B28" s="116" t="s">
        <v>198</v>
      </c>
      <c r="C28" t="s">
        <v>59</v>
      </c>
      <c r="D28">
        <v>700</v>
      </c>
      <c r="E28">
        <v>840</v>
      </c>
    </row>
    <row r="29" spans="2:5" x14ac:dyDescent="0.2">
      <c r="B29" s="116" t="s">
        <v>199</v>
      </c>
      <c r="C29" t="s">
        <v>59</v>
      </c>
      <c r="D29">
        <v>395</v>
      </c>
      <c r="E29">
        <v>474</v>
      </c>
    </row>
    <row r="30" spans="2:5" x14ac:dyDescent="0.2">
      <c r="B30" s="116" t="s">
        <v>200</v>
      </c>
      <c r="C30" t="s">
        <v>59</v>
      </c>
      <c r="D30">
        <v>457</v>
      </c>
      <c r="E30">
        <v>548.4</v>
      </c>
    </row>
    <row r="31" spans="2:5" x14ac:dyDescent="0.2">
      <c r="B31" s="116" t="s">
        <v>201</v>
      </c>
      <c r="C31" t="s">
        <v>59</v>
      </c>
      <c r="D31">
        <v>419</v>
      </c>
      <c r="E31">
        <v>502.7999999999999</v>
      </c>
    </row>
    <row r="32" spans="2:5" x14ac:dyDescent="0.2">
      <c r="B32" s="116" t="s">
        <v>202</v>
      </c>
      <c r="C32" t="s">
        <v>59</v>
      </c>
      <c r="D32">
        <v>634</v>
      </c>
      <c r="E32">
        <v>760.8</v>
      </c>
    </row>
    <row r="33" spans="1:5" x14ac:dyDescent="0.2">
      <c r="A33" s="116" t="s">
        <v>128</v>
      </c>
      <c r="B33" s="116" t="s">
        <v>203</v>
      </c>
      <c r="C33" t="s">
        <v>59</v>
      </c>
      <c r="D33">
        <v>717</v>
      </c>
      <c r="E33">
        <v>860.4</v>
      </c>
    </row>
    <row r="34" spans="1:5" x14ac:dyDescent="0.2">
      <c r="B34" s="116" t="s">
        <v>204</v>
      </c>
      <c r="C34" t="s">
        <v>59</v>
      </c>
      <c r="D34">
        <v>1035</v>
      </c>
      <c r="E34">
        <v>1242</v>
      </c>
    </row>
    <row r="35" spans="1:5" x14ac:dyDescent="0.2">
      <c r="B35" s="116" t="s">
        <v>205</v>
      </c>
      <c r="C35" t="s">
        <v>59</v>
      </c>
      <c r="D35">
        <v>1186</v>
      </c>
      <c r="E35">
        <v>1423.2</v>
      </c>
    </row>
    <row r="36" spans="1:5" x14ac:dyDescent="0.2">
      <c r="B36" s="116" t="s">
        <v>206</v>
      </c>
      <c r="C36" t="s">
        <v>59</v>
      </c>
      <c r="D36">
        <v>604</v>
      </c>
      <c r="E36">
        <v>724.8</v>
      </c>
    </row>
    <row r="37" spans="1:5" x14ac:dyDescent="0.2">
      <c r="B37" s="116" t="s">
        <v>207</v>
      </c>
      <c r="C37" t="s">
        <v>59</v>
      </c>
      <c r="D37">
        <v>550</v>
      </c>
      <c r="E37">
        <v>660</v>
      </c>
    </row>
    <row r="38" spans="1:5" x14ac:dyDescent="0.2">
      <c r="B38" s="116" t="s">
        <v>208</v>
      </c>
      <c r="C38" t="s">
        <v>59</v>
      </c>
      <c r="D38">
        <v>705</v>
      </c>
      <c r="E38">
        <v>846</v>
      </c>
    </row>
    <row r="39" spans="1:5" x14ac:dyDescent="0.2">
      <c r="B39" s="116" t="s">
        <v>209</v>
      </c>
      <c r="C39" t="s">
        <v>59</v>
      </c>
      <c r="D39">
        <v>852</v>
      </c>
      <c r="E39">
        <v>1022.4</v>
      </c>
    </row>
    <row r="40" spans="1:5" x14ac:dyDescent="0.2">
      <c r="B40" s="116" t="s">
        <v>210</v>
      </c>
      <c r="C40" t="s">
        <v>59</v>
      </c>
      <c r="D40">
        <v>852</v>
      </c>
      <c r="E40">
        <v>1022.4</v>
      </c>
    </row>
    <row r="41" spans="1:5" x14ac:dyDescent="0.2">
      <c r="B41" s="116" t="s">
        <v>211</v>
      </c>
      <c r="C41" t="s">
        <v>59</v>
      </c>
      <c r="D41">
        <v>1041</v>
      </c>
      <c r="E41">
        <v>1249.2</v>
      </c>
    </row>
    <row r="42" spans="1:5" x14ac:dyDescent="0.2">
      <c r="B42" s="116" t="s">
        <v>212</v>
      </c>
      <c r="C42" t="s">
        <v>59</v>
      </c>
      <c r="D42">
        <v>1010</v>
      </c>
      <c r="E42">
        <v>1212</v>
      </c>
    </row>
    <row r="43" spans="1:5" x14ac:dyDescent="0.2">
      <c r="B43" s="116" t="s">
        <v>213</v>
      </c>
      <c r="C43" t="s">
        <v>59</v>
      </c>
      <c r="D43">
        <v>1273</v>
      </c>
      <c r="E43">
        <v>1527.6</v>
      </c>
    </row>
    <row r="44" spans="1:5" x14ac:dyDescent="0.2">
      <c r="B44" s="116" t="s">
        <v>214</v>
      </c>
      <c r="C44" t="s">
        <v>59</v>
      </c>
      <c r="D44">
        <v>723</v>
      </c>
      <c r="E44">
        <v>867.6</v>
      </c>
    </row>
    <row r="45" spans="1:5" x14ac:dyDescent="0.2">
      <c r="A45" s="116" t="s">
        <v>129</v>
      </c>
      <c r="B45" s="116" t="s">
        <v>215</v>
      </c>
      <c r="C45" t="s">
        <v>22</v>
      </c>
      <c r="D45">
        <v>821</v>
      </c>
      <c r="E45">
        <v>985.19999999999993</v>
      </c>
    </row>
    <row r="46" spans="1:5" x14ac:dyDescent="0.2">
      <c r="B46" s="116" t="s">
        <v>216</v>
      </c>
      <c r="C46" t="s">
        <v>59</v>
      </c>
      <c r="D46">
        <v>235</v>
      </c>
      <c r="E46">
        <v>282</v>
      </c>
    </row>
    <row r="47" spans="1:5" x14ac:dyDescent="0.2">
      <c r="B47" s="116" t="s">
        <v>217</v>
      </c>
      <c r="C47" t="s">
        <v>59</v>
      </c>
      <c r="D47">
        <v>712</v>
      </c>
      <c r="E47">
        <v>854.4</v>
      </c>
    </row>
    <row r="48" spans="1:5" x14ac:dyDescent="0.2">
      <c r="B48" s="116" t="s">
        <v>218</v>
      </c>
      <c r="C48" t="s">
        <v>59</v>
      </c>
      <c r="D48">
        <v>450</v>
      </c>
      <c r="E48">
        <v>540</v>
      </c>
    </row>
    <row r="49" spans="2:5" x14ac:dyDescent="0.2">
      <c r="B49" s="116" t="s">
        <v>219</v>
      </c>
      <c r="C49" t="s">
        <v>59</v>
      </c>
      <c r="D49">
        <v>339</v>
      </c>
      <c r="E49">
        <v>406.8</v>
      </c>
    </row>
    <row r="50" spans="2:5" x14ac:dyDescent="0.2">
      <c r="B50" s="116" t="s">
        <v>220</v>
      </c>
      <c r="C50" t="s">
        <v>59</v>
      </c>
      <c r="D50">
        <v>279</v>
      </c>
      <c r="E50">
        <v>334.8</v>
      </c>
    </row>
    <row r="51" spans="2:5" x14ac:dyDescent="0.2">
      <c r="B51" s="116" t="s">
        <v>221</v>
      </c>
      <c r="C51" t="s">
        <v>59</v>
      </c>
      <c r="D51">
        <v>553</v>
      </c>
      <c r="E51">
        <v>663.6</v>
      </c>
    </row>
    <row r="52" spans="2:5" x14ac:dyDescent="0.2">
      <c r="B52" s="116" t="s">
        <v>222</v>
      </c>
      <c r="C52" t="s">
        <v>22</v>
      </c>
      <c r="D52">
        <v>959</v>
      </c>
      <c r="E52">
        <v>1150.8</v>
      </c>
    </row>
    <row r="53" spans="2:5" x14ac:dyDescent="0.2">
      <c r="B53" s="116" t="s">
        <v>223</v>
      </c>
      <c r="C53" t="s">
        <v>59</v>
      </c>
      <c r="D53">
        <v>1176</v>
      </c>
      <c r="E53">
        <v>1411.2</v>
      </c>
    </row>
    <row r="54" spans="2:5" x14ac:dyDescent="0.2">
      <c r="B54" s="116" t="s">
        <v>224</v>
      </c>
      <c r="C54" t="s">
        <v>22</v>
      </c>
      <c r="D54">
        <v>981</v>
      </c>
      <c r="E54">
        <v>1177.2</v>
      </c>
    </row>
    <row r="55" spans="2:5" x14ac:dyDescent="0.2">
      <c r="B55" s="116" t="s">
        <v>225</v>
      </c>
      <c r="C55" t="s">
        <v>59</v>
      </c>
      <c r="D55">
        <v>253</v>
      </c>
      <c r="E55">
        <v>303.59999999999997</v>
      </c>
    </row>
    <row r="56" spans="2:5" x14ac:dyDescent="0.2">
      <c r="B56" s="116" t="s">
        <v>226</v>
      </c>
      <c r="C56" t="s">
        <v>59</v>
      </c>
      <c r="D56">
        <v>543</v>
      </c>
      <c r="E56">
        <v>651.6</v>
      </c>
    </row>
    <row r="57" spans="2:5" x14ac:dyDescent="0.2">
      <c r="B57" s="116" t="s">
        <v>227</v>
      </c>
      <c r="C57" t="s">
        <v>59</v>
      </c>
      <c r="D57">
        <v>793</v>
      </c>
      <c r="E57">
        <v>951.59999999999991</v>
      </c>
    </row>
    <row r="58" spans="2:5" x14ac:dyDescent="0.2">
      <c r="B58" s="116" t="s">
        <v>228</v>
      </c>
      <c r="C58" t="s">
        <v>59</v>
      </c>
      <c r="D58">
        <v>1421</v>
      </c>
      <c r="E58">
        <v>1705.2</v>
      </c>
    </row>
    <row r="59" spans="2:5" x14ac:dyDescent="0.2">
      <c r="B59" s="116" t="s">
        <v>229</v>
      </c>
      <c r="C59" t="s">
        <v>59</v>
      </c>
      <c r="D59">
        <v>663</v>
      </c>
      <c r="E59">
        <v>795.6</v>
      </c>
    </row>
    <row r="60" spans="2:5" x14ac:dyDescent="0.2">
      <c r="B60" s="116" t="s">
        <v>230</v>
      </c>
      <c r="C60" t="s">
        <v>59</v>
      </c>
      <c r="D60">
        <v>841</v>
      </c>
      <c r="E60">
        <v>1009.1999999999998</v>
      </c>
    </row>
    <row r="61" spans="2:5" x14ac:dyDescent="0.2">
      <c r="B61" s="116" t="s">
        <v>231</v>
      </c>
      <c r="C61" t="s">
        <v>59</v>
      </c>
      <c r="D61">
        <v>855</v>
      </c>
      <c r="E61">
        <v>1026</v>
      </c>
    </row>
    <row r="62" spans="2:5" x14ac:dyDescent="0.2">
      <c r="B62" s="116" t="s">
        <v>232</v>
      </c>
      <c r="C62" t="s">
        <v>59</v>
      </c>
      <c r="D62">
        <v>992</v>
      </c>
      <c r="E62">
        <v>1190.3999999999999</v>
      </c>
    </row>
    <row r="63" spans="2:5" x14ac:dyDescent="0.2">
      <c r="B63" s="116" t="s">
        <v>233</v>
      </c>
      <c r="C63" t="s">
        <v>59</v>
      </c>
      <c r="D63">
        <v>936</v>
      </c>
      <c r="E63">
        <v>1123.2</v>
      </c>
    </row>
    <row r="64" spans="2:5" x14ac:dyDescent="0.2">
      <c r="B64" s="116" t="s">
        <v>234</v>
      </c>
      <c r="C64" t="s">
        <v>59</v>
      </c>
      <c r="D64">
        <v>861</v>
      </c>
      <c r="E64">
        <v>1033.2</v>
      </c>
    </row>
    <row r="65" spans="1:5" x14ac:dyDescent="0.2">
      <c r="B65" s="116" t="s">
        <v>235</v>
      </c>
      <c r="C65" t="s">
        <v>59</v>
      </c>
      <c r="D65">
        <v>632</v>
      </c>
      <c r="E65">
        <v>758.4</v>
      </c>
    </row>
    <row r="66" spans="1:5" x14ac:dyDescent="0.2">
      <c r="B66" s="116" t="s">
        <v>236</v>
      </c>
      <c r="C66" t="s">
        <v>59</v>
      </c>
      <c r="D66">
        <v>446</v>
      </c>
      <c r="E66">
        <v>535.19999999999993</v>
      </c>
    </row>
    <row r="67" spans="1:5" x14ac:dyDescent="0.2">
      <c r="A67" s="116" t="s">
        <v>130</v>
      </c>
      <c r="B67" s="116" t="s">
        <v>237</v>
      </c>
      <c r="C67" t="s">
        <v>22</v>
      </c>
      <c r="D67">
        <v>470</v>
      </c>
      <c r="E67">
        <v>564</v>
      </c>
    </row>
    <row r="68" spans="1:5" x14ac:dyDescent="0.2">
      <c r="B68" s="116" t="s">
        <v>238</v>
      </c>
      <c r="C68" t="s">
        <v>22</v>
      </c>
      <c r="D68">
        <v>62</v>
      </c>
      <c r="E68">
        <v>74.399999999999991</v>
      </c>
    </row>
    <row r="69" spans="1:5" x14ac:dyDescent="0.2">
      <c r="B69" s="116" t="s">
        <v>239</v>
      </c>
      <c r="C69" t="s">
        <v>22</v>
      </c>
      <c r="D69">
        <v>466</v>
      </c>
      <c r="E69">
        <v>559.19999999999993</v>
      </c>
    </row>
    <row r="70" spans="1:5" x14ac:dyDescent="0.2">
      <c r="B70" s="116" t="s">
        <v>240</v>
      </c>
      <c r="C70" t="s">
        <v>22</v>
      </c>
      <c r="D70">
        <v>336</v>
      </c>
      <c r="E70">
        <v>403.2</v>
      </c>
    </row>
    <row r="71" spans="1:5" x14ac:dyDescent="0.2">
      <c r="B71" s="116" t="s">
        <v>241</v>
      </c>
      <c r="C71" t="s">
        <v>22</v>
      </c>
      <c r="D71">
        <v>536</v>
      </c>
      <c r="E71">
        <v>643.19999999999993</v>
      </c>
    </row>
    <row r="72" spans="1:5" x14ac:dyDescent="0.2">
      <c r="B72" s="116" t="s">
        <v>242</v>
      </c>
      <c r="C72" t="s">
        <v>22</v>
      </c>
      <c r="D72">
        <v>649</v>
      </c>
      <c r="E72">
        <v>778.8</v>
      </c>
    </row>
    <row r="73" spans="1:5" x14ac:dyDescent="0.2">
      <c r="B73" s="116" t="s">
        <v>243</v>
      </c>
      <c r="C73" t="s">
        <v>22</v>
      </c>
      <c r="D73">
        <v>232</v>
      </c>
      <c r="E73">
        <v>278.39999999999998</v>
      </c>
    </row>
    <row r="74" spans="1:5" x14ac:dyDescent="0.2">
      <c r="B74" s="116" t="s">
        <v>244</v>
      </c>
      <c r="C74" t="s">
        <v>22</v>
      </c>
      <c r="D74">
        <v>460</v>
      </c>
      <c r="E74">
        <v>552</v>
      </c>
    </row>
    <row r="75" spans="1:5" x14ac:dyDescent="0.2">
      <c r="B75" s="116" t="s">
        <v>245</v>
      </c>
      <c r="C75" t="s">
        <v>22</v>
      </c>
      <c r="D75">
        <v>631</v>
      </c>
      <c r="E75">
        <v>757.19999999999993</v>
      </c>
    </row>
    <row r="76" spans="1:5" x14ac:dyDescent="0.2">
      <c r="B76" s="116" t="s">
        <v>246</v>
      </c>
      <c r="C76" t="s">
        <v>22</v>
      </c>
      <c r="D76">
        <v>671</v>
      </c>
      <c r="E76">
        <v>805.19999999999993</v>
      </c>
    </row>
    <row r="77" spans="1:5" x14ac:dyDescent="0.2">
      <c r="B77" s="116" t="s">
        <v>247</v>
      </c>
      <c r="C77" t="s">
        <v>22</v>
      </c>
      <c r="D77">
        <v>628</v>
      </c>
      <c r="E77">
        <v>753.6</v>
      </c>
    </row>
    <row r="78" spans="1:5" x14ac:dyDescent="0.2">
      <c r="B78" s="116" t="s">
        <v>248</v>
      </c>
      <c r="C78" t="s">
        <v>22</v>
      </c>
      <c r="D78">
        <v>424</v>
      </c>
      <c r="E78">
        <v>508.7999999999999</v>
      </c>
    </row>
    <row r="79" spans="1:5" x14ac:dyDescent="0.2">
      <c r="B79" s="116" t="s">
        <v>249</v>
      </c>
      <c r="C79" t="s">
        <v>22</v>
      </c>
      <c r="D79">
        <v>717</v>
      </c>
      <c r="E79">
        <v>860.4</v>
      </c>
    </row>
    <row r="80" spans="1:5" x14ac:dyDescent="0.2">
      <c r="B80" s="116" t="s">
        <v>250</v>
      </c>
      <c r="C80" t="s">
        <v>22</v>
      </c>
      <c r="D80">
        <v>651</v>
      </c>
      <c r="E80">
        <v>781.19999999999993</v>
      </c>
    </row>
    <row r="81" spans="1:5" x14ac:dyDescent="0.2">
      <c r="B81" s="116" t="s">
        <v>251</v>
      </c>
      <c r="C81" t="s">
        <v>22</v>
      </c>
      <c r="D81">
        <v>125</v>
      </c>
      <c r="E81">
        <v>150</v>
      </c>
    </row>
    <row r="82" spans="1:5" x14ac:dyDescent="0.2">
      <c r="B82" s="116" t="s">
        <v>252</v>
      </c>
      <c r="C82" t="s">
        <v>22</v>
      </c>
      <c r="D82">
        <v>450</v>
      </c>
      <c r="E82">
        <v>540</v>
      </c>
    </row>
    <row r="83" spans="1:5" x14ac:dyDescent="0.2">
      <c r="A83" s="116" t="s">
        <v>131</v>
      </c>
      <c r="B83" s="116" t="s">
        <v>253</v>
      </c>
      <c r="C83" t="s">
        <v>22</v>
      </c>
      <c r="D83">
        <v>1629</v>
      </c>
      <c r="E83">
        <v>1954.8</v>
      </c>
    </row>
    <row r="84" spans="1:5" x14ac:dyDescent="0.2">
      <c r="B84" s="116" t="s">
        <v>254</v>
      </c>
      <c r="C84" t="s">
        <v>22</v>
      </c>
      <c r="D84">
        <v>1577</v>
      </c>
      <c r="E84">
        <v>1892.3999999999999</v>
      </c>
    </row>
    <row r="85" spans="1:5" x14ac:dyDescent="0.2">
      <c r="B85" s="116" t="s">
        <v>255</v>
      </c>
      <c r="C85" t="s">
        <v>22</v>
      </c>
      <c r="D85">
        <v>1998</v>
      </c>
      <c r="E85">
        <v>2397.6</v>
      </c>
    </row>
    <row r="86" spans="1:5" x14ac:dyDescent="0.2">
      <c r="B86" s="116" t="s">
        <v>256</v>
      </c>
      <c r="C86" t="s">
        <v>22</v>
      </c>
      <c r="D86">
        <v>1831</v>
      </c>
      <c r="E86">
        <v>2197.1999999999998</v>
      </c>
    </row>
    <row r="87" spans="1:5" x14ac:dyDescent="0.2">
      <c r="B87" s="116" t="s">
        <v>257</v>
      </c>
      <c r="C87" t="s">
        <v>22</v>
      </c>
      <c r="D87">
        <v>1914</v>
      </c>
      <c r="E87">
        <v>2296.7999999999997</v>
      </c>
    </row>
    <row r="88" spans="1:5" x14ac:dyDescent="0.2">
      <c r="B88" s="116" t="s">
        <v>258</v>
      </c>
      <c r="C88" t="s">
        <v>22</v>
      </c>
      <c r="D88">
        <v>1184</v>
      </c>
      <c r="E88">
        <v>1420.8</v>
      </c>
    </row>
    <row r="89" spans="1:5" x14ac:dyDescent="0.2">
      <c r="B89" s="116" t="s">
        <v>259</v>
      </c>
      <c r="C89" t="s">
        <v>22</v>
      </c>
      <c r="D89">
        <v>1477</v>
      </c>
      <c r="E89">
        <v>1772.3999999999999</v>
      </c>
    </row>
    <row r="90" spans="1:5" x14ac:dyDescent="0.2">
      <c r="B90" s="116" t="s">
        <v>260</v>
      </c>
      <c r="C90" t="s">
        <v>22</v>
      </c>
      <c r="D90">
        <v>1996</v>
      </c>
      <c r="E90">
        <v>2395.1999999999998</v>
      </c>
    </row>
    <row r="91" spans="1:5" x14ac:dyDescent="0.2">
      <c r="A91" s="116" t="s">
        <v>132</v>
      </c>
      <c r="B91" s="116" t="s">
        <v>261</v>
      </c>
      <c r="C91" t="s">
        <v>22</v>
      </c>
      <c r="D91">
        <v>1444</v>
      </c>
      <c r="E91">
        <v>1732.8</v>
      </c>
    </row>
    <row r="92" spans="1:5" x14ac:dyDescent="0.2">
      <c r="B92" s="116" t="s">
        <v>262</v>
      </c>
      <c r="C92" t="s">
        <v>22</v>
      </c>
      <c r="D92">
        <v>686</v>
      </c>
      <c r="E92">
        <v>823.19999999999993</v>
      </c>
    </row>
    <row r="93" spans="1:5" x14ac:dyDescent="0.2">
      <c r="B93" s="116" t="s">
        <v>263</v>
      </c>
      <c r="C93" t="s">
        <v>22</v>
      </c>
      <c r="D93">
        <v>1524</v>
      </c>
      <c r="E93">
        <v>1828.8</v>
      </c>
    </row>
    <row r="94" spans="1:5" x14ac:dyDescent="0.2">
      <c r="B94" s="116" t="s">
        <v>264</v>
      </c>
      <c r="C94" t="s">
        <v>22</v>
      </c>
      <c r="D94">
        <v>1053</v>
      </c>
      <c r="E94">
        <v>1263.5999999999999</v>
      </c>
    </row>
    <row r="95" spans="1:5" x14ac:dyDescent="0.2">
      <c r="B95" s="116" t="s">
        <v>265</v>
      </c>
      <c r="C95" t="s">
        <v>22</v>
      </c>
      <c r="D95">
        <v>4568</v>
      </c>
      <c r="E95">
        <v>5481.5999999999995</v>
      </c>
    </row>
    <row r="96" spans="1:5" x14ac:dyDescent="0.2">
      <c r="B96" s="116" t="s">
        <v>266</v>
      </c>
      <c r="C96" t="s">
        <v>22</v>
      </c>
      <c r="D96">
        <v>1352</v>
      </c>
      <c r="E96">
        <v>1622.3999999999999</v>
      </c>
    </row>
    <row r="97" spans="2:5" x14ac:dyDescent="0.2">
      <c r="B97" s="116" t="s">
        <v>267</v>
      </c>
      <c r="C97" t="s">
        <v>22</v>
      </c>
      <c r="D97">
        <v>992</v>
      </c>
      <c r="E97">
        <v>1190.3999999999999</v>
      </c>
    </row>
    <row r="98" spans="2:5" x14ac:dyDescent="0.2">
      <c r="B98" s="116" t="s">
        <v>268</v>
      </c>
      <c r="C98" t="s">
        <v>22</v>
      </c>
      <c r="D98">
        <v>1616</v>
      </c>
      <c r="E98">
        <v>1939.1999999999998</v>
      </c>
    </row>
    <row r="99" spans="2:5" x14ac:dyDescent="0.2">
      <c r="B99" s="116" t="s">
        <v>269</v>
      </c>
      <c r="C99" t="s">
        <v>22</v>
      </c>
      <c r="D99">
        <v>1690</v>
      </c>
      <c r="E99">
        <v>2028</v>
      </c>
    </row>
    <row r="100" spans="2:5" x14ac:dyDescent="0.2">
      <c r="B100" s="116" t="s">
        <v>270</v>
      </c>
      <c r="C100" t="s">
        <v>22</v>
      </c>
      <c r="D100">
        <v>1727</v>
      </c>
      <c r="E100">
        <v>2072.4</v>
      </c>
    </row>
    <row r="101" spans="2:5" x14ac:dyDescent="0.2">
      <c r="B101" s="116" t="s">
        <v>271</v>
      </c>
      <c r="C101" t="s">
        <v>22</v>
      </c>
      <c r="D101">
        <v>1665</v>
      </c>
      <c r="E101">
        <v>1998</v>
      </c>
    </row>
  </sheetData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9</vt:i4>
      </vt:variant>
    </vt:vector>
  </HeadingPairs>
  <TitlesOfParts>
    <vt:vector size="26" baseType="lpstr">
      <vt:lpstr>basic_info</vt:lpstr>
      <vt:lpstr>facilities</vt:lpstr>
      <vt:lpstr>raw_materials</vt:lpstr>
      <vt:lpstr>shipping_manufacturing</vt:lpstr>
      <vt:lpstr>pricing</vt:lpstr>
      <vt:lpstr>annual_report</vt:lpstr>
      <vt:lpstr>grove</vt:lpstr>
      <vt:lpstr>P01</vt:lpstr>
      <vt:lpstr>P05</vt:lpstr>
      <vt:lpstr>P07</vt:lpstr>
      <vt:lpstr>S15</vt:lpstr>
      <vt:lpstr>S61</vt:lpstr>
      <vt:lpstr>ORA</vt:lpstr>
      <vt:lpstr>POJ</vt:lpstr>
      <vt:lpstr>ROJ</vt:lpstr>
      <vt:lpstr>FCOJ</vt:lpstr>
      <vt:lpstr>market</vt:lpstr>
      <vt:lpstr>AddColumn1</vt:lpstr>
      <vt:lpstr>AddColumn2</vt:lpstr>
      <vt:lpstr>AddColumn3</vt:lpstr>
      <vt:lpstr>AddRow3</vt:lpstr>
      <vt:lpstr>AddRow4</vt:lpstr>
      <vt:lpstr>Table1</vt:lpstr>
      <vt:lpstr>Table2</vt:lpstr>
      <vt:lpstr>Table3</vt:lpstr>
      <vt:lpstr>Table4</vt:lpstr>
    </vt:vector>
  </TitlesOfParts>
  <Company>Princeton University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Stella Ma</dc:creator>
  <cp:lastModifiedBy>Jeff</cp:lastModifiedBy>
  <dcterms:created xsi:type="dcterms:W3CDTF">2003-07-09T21:14:27Z</dcterms:created>
  <dcterms:modified xsi:type="dcterms:W3CDTF">2015-09-29T20:18:52Z</dcterms:modified>
</cp:coreProperties>
</file>