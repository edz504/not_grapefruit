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notgrapefruit\Results\"/>
    </mc:Choice>
  </mc:AlternateContent>
  <bookViews>
    <workbookView xWindow="0" yWindow="465" windowWidth="28800" windowHeight="1746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3" r:id="rId6"/>
    <sheet name="grove" sheetId="22" r:id="rId7"/>
    <sheet name="P02" sheetId="21" r:id="rId8"/>
    <sheet name="P03" sheetId="20" r:id="rId9"/>
    <sheet name="P05" sheetId="19" r:id="rId10"/>
    <sheet name="P09" sheetId="18" r:id="rId11"/>
    <sheet name="S35" sheetId="17" r:id="rId12"/>
    <sheet name="S51" sheetId="16" r:id="rId13"/>
    <sheet name="S59" sheetId="15" r:id="rId14"/>
    <sheet name="S73" sheetId="14" r:id="rId15"/>
    <sheet name="ORA" sheetId="13" r:id="rId16"/>
    <sheet name="POJ" sheetId="12" r:id="rId17"/>
    <sheet name="ROJ" sheetId="11" r:id="rId18"/>
    <sheet name="FCOJ" sheetId="10" r:id="rId19"/>
    <sheet name="market" sheetId="9" r:id="rId20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3" l="1"/>
  <c r="S15" i="23"/>
  <c r="T19" i="23" s="1"/>
  <c r="S14" i="23"/>
  <c r="H40" i="23"/>
  <c r="H39" i="23"/>
  <c r="H38" i="23"/>
  <c r="S36" i="23" s="1"/>
  <c r="H35" i="23"/>
  <c r="S42" i="23" s="1"/>
  <c r="H34" i="23"/>
  <c r="S39" i="23" s="1"/>
  <c r="H33" i="23"/>
  <c r="H30" i="23"/>
  <c r="H29" i="23"/>
  <c r="S37" i="23" s="1"/>
  <c r="H28" i="23"/>
  <c r="H27" i="23"/>
  <c r="H24" i="23"/>
  <c r="H23" i="23"/>
  <c r="H15" i="23"/>
  <c r="H14" i="23"/>
  <c r="H13" i="23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170" i="17"/>
  <c r="AZ121" i="17"/>
  <c r="AZ108" i="17"/>
  <c r="AZ99" i="17"/>
  <c r="AZ92" i="17"/>
  <c r="AZ42" i="18"/>
  <c r="AZ43" i="18"/>
  <c r="AZ53" i="18"/>
  <c r="AZ54" i="18"/>
  <c r="AZ64" i="18"/>
  <c r="AZ65" i="18"/>
  <c r="AZ75" i="18"/>
  <c r="AZ76" i="18"/>
  <c r="AZ42" i="19"/>
  <c r="AZ43" i="19"/>
  <c r="AZ53" i="19"/>
  <c r="AZ54" i="19"/>
  <c r="AZ64" i="19"/>
  <c r="AZ65" i="19"/>
  <c r="AZ75" i="19"/>
  <c r="AZ76" i="19"/>
  <c r="AZ42" i="20"/>
  <c r="AZ43" i="20"/>
  <c r="AZ53" i="20"/>
  <c r="AZ54" i="20"/>
  <c r="AZ64" i="20"/>
  <c r="AZ65" i="20"/>
  <c r="AZ75" i="20"/>
  <c r="AZ76" i="20"/>
  <c r="AZ42" i="21"/>
  <c r="AZ43" i="21"/>
  <c r="AZ53" i="21"/>
  <c r="AZ54" i="21"/>
  <c r="AZ64" i="21"/>
  <c r="AZ65" i="21"/>
  <c r="AZ75" i="21"/>
  <c r="AZ76" i="21"/>
  <c r="T25" i="23"/>
  <c r="D109" i="10"/>
  <c r="E109" i="10"/>
  <c r="E120" i="10" s="1"/>
  <c r="F109" i="10"/>
  <c r="G109" i="10"/>
  <c r="H109" i="10"/>
  <c r="H116" i="10" s="1"/>
  <c r="I109" i="10"/>
  <c r="J109" i="10"/>
  <c r="K109" i="10"/>
  <c r="L109" i="10"/>
  <c r="M109" i="10"/>
  <c r="N109" i="10"/>
  <c r="O109" i="10"/>
  <c r="D110" i="10"/>
  <c r="E110" i="10"/>
  <c r="E121" i="10" s="1"/>
  <c r="F110" i="10"/>
  <c r="G110" i="10"/>
  <c r="H110" i="10"/>
  <c r="I110" i="10"/>
  <c r="I121" i="10" s="1"/>
  <c r="J110" i="10"/>
  <c r="J116" i="10" s="1"/>
  <c r="K110" i="10"/>
  <c r="L110" i="10"/>
  <c r="M110" i="10"/>
  <c r="M121" i="10" s="1"/>
  <c r="N110" i="10"/>
  <c r="O110" i="10"/>
  <c r="D111" i="10"/>
  <c r="E111" i="10"/>
  <c r="E122" i="10" s="1"/>
  <c r="F111" i="10"/>
  <c r="G111" i="10"/>
  <c r="G122" i="10" s="1"/>
  <c r="H111" i="10"/>
  <c r="I111" i="10"/>
  <c r="I122" i="10" s="1"/>
  <c r="J111" i="10"/>
  <c r="K111" i="10"/>
  <c r="L111" i="10"/>
  <c r="M111" i="10"/>
  <c r="M122" i="10" s="1"/>
  <c r="N111" i="10"/>
  <c r="O111" i="10"/>
  <c r="O122" i="10" s="1"/>
  <c r="D112" i="10"/>
  <c r="E112" i="10"/>
  <c r="E123" i="10" s="1"/>
  <c r="F112" i="10"/>
  <c r="G112" i="10"/>
  <c r="H112" i="10"/>
  <c r="I112" i="10"/>
  <c r="I123" i="10" s="1"/>
  <c r="J112" i="10"/>
  <c r="K112" i="10"/>
  <c r="K123" i="10" s="1"/>
  <c r="L112" i="10"/>
  <c r="M112" i="10"/>
  <c r="M123" i="10" s="1"/>
  <c r="N112" i="10"/>
  <c r="O112" i="10"/>
  <c r="D113" i="10"/>
  <c r="E113" i="10"/>
  <c r="E124" i="10" s="1"/>
  <c r="F113" i="10"/>
  <c r="G113" i="10"/>
  <c r="G124" i="10" s="1"/>
  <c r="H113" i="10"/>
  <c r="I113" i="10"/>
  <c r="I124" i="10" s="1"/>
  <c r="J113" i="10"/>
  <c r="K113" i="10"/>
  <c r="L113" i="10"/>
  <c r="M113" i="10"/>
  <c r="M124" i="10" s="1"/>
  <c r="N113" i="10"/>
  <c r="O113" i="10"/>
  <c r="O124" i="10" s="1"/>
  <c r="D114" i="10"/>
  <c r="E114" i="10"/>
  <c r="E125" i="10" s="1"/>
  <c r="F114" i="10"/>
  <c r="G114" i="10"/>
  <c r="H114" i="10"/>
  <c r="I114" i="10"/>
  <c r="I125" i="10" s="1"/>
  <c r="J114" i="10"/>
  <c r="K114" i="10"/>
  <c r="K125" i="10" s="1"/>
  <c r="L114" i="10"/>
  <c r="M114" i="10"/>
  <c r="M125" i="10" s="1"/>
  <c r="N114" i="10"/>
  <c r="O114" i="10"/>
  <c r="D115" i="10"/>
  <c r="E115" i="10"/>
  <c r="E126" i="10" s="1"/>
  <c r="F115" i="10"/>
  <c r="G115" i="10"/>
  <c r="G126" i="10" s="1"/>
  <c r="H115" i="10"/>
  <c r="I115" i="10"/>
  <c r="I126" i="10" s="1"/>
  <c r="J115" i="10"/>
  <c r="K115" i="10"/>
  <c r="L115" i="10"/>
  <c r="M115" i="10"/>
  <c r="M126" i="10" s="1"/>
  <c r="N115" i="10"/>
  <c r="O115" i="10"/>
  <c r="O126" i="10" s="1"/>
  <c r="D116" i="10"/>
  <c r="E116" i="10"/>
  <c r="L116" i="10"/>
  <c r="D120" i="10"/>
  <c r="F120" i="10"/>
  <c r="H120" i="10"/>
  <c r="H127" i="10" s="1"/>
  <c r="J120" i="10"/>
  <c r="K120" i="10"/>
  <c r="L120" i="10"/>
  <c r="N120" i="10"/>
  <c r="N127" i="10" s="1"/>
  <c r="D121" i="10"/>
  <c r="F121" i="10"/>
  <c r="G121" i="10"/>
  <c r="H121" i="10"/>
  <c r="J121" i="10"/>
  <c r="L121" i="10"/>
  <c r="N121" i="10"/>
  <c r="O121" i="10"/>
  <c r="D122" i="10"/>
  <c r="F122" i="10"/>
  <c r="H122" i="10"/>
  <c r="J122" i="10"/>
  <c r="K122" i="10"/>
  <c r="L122" i="10"/>
  <c r="N122" i="10"/>
  <c r="D123" i="10"/>
  <c r="F123" i="10"/>
  <c r="G123" i="10"/>
  <c r="H123" i="10"/>
  <c r="J123" i="10"/>
  <c r="L123" i="10"/>
  <c r="N123" i="10"/>
  <c r="O123" i="10"/>
  <c r="D124" i="10"/>
  <c r="F124" i="10"/>
  <c r="H124" i="10"/>
  <c r="J124" i="10"/>
  <c r="K124" i="10"/>
  <c r="L124" i="10"/>
  <c r="N124" i="10"/>
  <c r="D125" i="10"/>
  <c r="F125" i="10"/>
  <c r="G125" i="10"/>
  <c r="H125" i="10"/>
  <c r="J125" i="10"/>
  <c r="L125" i="10"/>
  <c r="N125" i="10"/>
  <c r="O125" i="10"/>
  <c r="D126" i="10"/>
  <c r="F126" i="10"/>
  <c r="H126" i="10"/>
  <c r="J126" i="10"/>
  <c r="K126" i="10"/>
  <c r="L126" i="10"/>
  <c r="N126" i="10"/>
  <c r="D127" i="10"/>
  <c r="L127" i="10"/>
  <c r="D131" i="10"/>
  <c r="E131" i="10"/>
  <c r="F131" i="10"/>
  <c r="G131" i="10"/>
  <c r="H131" i="10"/>
  <c r="H138" i="10" s="1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J138" i="10"/>
  <c r="L138" i="10"/>
  <c r="D109" i="11"/>
  <c r="E109" i="11"/>
  <c r="F109" i="11"/>
  <c r="G109" i="11"/>
  <c r="H109" i="11"/>
  <c r="H116" i="11" s="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I116" i="11" s="1"/>
  <c r="J110" i="11"/>
  <c r="K110" i="11"/>
  <c r="K121" i="11" s="1"/>
  <c r="L110" i="11"/>
  <c r="M110" i="11"/>
  <c r="N110" i="11"/>
  <c r="O110" i="11"/>
  <c r="D111" i="11"/>
  <c r="E111" i="11"/>
  <c r="E116" i="11" s="1"/>
  <c r="F111" i="11"/>
  <c r="F122" i="11" s="1"/>
  <c r="G111" i="11"/>
  <c r="G122" i="11" s="1"/>
  <c r="H111" i="11"/>
  <c r="I111" i="11"/>
  <c r="J111" i="11"/>
  <c r="K111" i="11"/>
  <c r="L111" i="11"/>
  <c r="M111" i="11"/>
  <c r="N111" i="11"/>
  <c r="N122" i="11" s="1"/>
  <c r="O111" i="11"/>
  <c r="O122" i="11" s="1"/>
  <c r="D112" i="11"/>
  <c r="E112" i="11"/>
  <c r="F112" i="11"/>
  <c r="G112" i="11"/>
  <c r="H112" i="11"/>
  <c r="I112" i="11"/>
  <c r="J112" i="11"/>
  <c r="J123" i="11" s="1"/>
  <c r="K112" i="11"/>
  <c r="K123" i="11" s="1"/>
  <c r="L112" i="11"/>
  <c r="M112" i="11"/>
  <c r="N112" i="11"/>
  <c r="O112" i="11"/>
  <c r="D113" i="11"/>
  <c r="E113" i="11"/>
  <c r="F113" i="11"/>
  <c r="F124" i="11" s="1"/>
  <c r="G113" i="11"/>
  <c r="G124" i="11" s="1"/>
  <c r="H113" i="11"/>
  <c r="I113" i="11"/>
  <c r="J113" i="11"/>
  <c r="K113" i="11"/>
  <c r="L113" i="11"/>
  <c r="M113" i="11"/>
  <c r="N113" i="11"/>
  <c r="N124" i="11" s="1"/>
  <c r="O113" i="11"/>
  <c r="O124" i="11" s="1"/>
  <c r="D114" i="11"/>
  <c r="E114" i="11"/>
  <c r="F114" i="11"/>
  <c r="G114" i="11"/>
  <c r="H114" i="11"/>
  <c r="I114" i="11"/>
  <c r="J114" i="11"/>
  <c r="J125" i="11" s="1"/>
  <c r="K114" i="11"/>
  <c r="K125" i="11" s="1"/>
  <c r="L114" i="11"/>
  <c r="M114" i="11"/>
  <c r="N114" i="11"/>
  <c r="O114" i="11"/>
  <c r="D115" i="11"/>
  <c r="E115" i="11"/>
  <c r="F115" i="11"/>
  <c r="F126" i="11" s="1"/>
  <c r="G115" i="11"/>
  <c r="G126" i="11" s="1"/>
  <c r="H115" i="11"/>
  <c r="I115" i="11"/>
  <c r="J115" i="11"/>
  <c r="K115" i="11"/>
  <c r="L115" i="11"/>
  <c r="M115" i="11"/>
  <c r="N115" i="11"/>
  <c r="N126" i="11" s="1"/>
  <c r="O115" i="11"/>
  <c r="O126" i="11" s="1"/>
  <c r="D116" i="11"/>
  <c r="K116" i="11"/>
  <c r="L116" i="11"/>
  <c r="M116" i="11"/>
  <c r="D120" i="11"/>
  <c r="E120" i="11"/>
  <c r="G120" i="11"/>
  <c r="H120" i="11"/>
  <c r="H127" i="11" s="1"/>
  <c r="I120" i="11"/>
  <c r="J120" i="11"/>
  <c r="K120" i="11"/>
  <c r="L120" i="11"/>
  <c r="M120" i="11"/>
  <c r="O120" i="11"/>
  <c r="D121" i="11"/>
  <c r="E121" i="11"/>
  <c r="E127" i="11" s="1"/>
  <c r="F121" i="11"/>
  <c r="G121" i="11"/>
  <c r="H121" i="11"/>
  <c r="I121" i="11"/>
  <c r="L121" i="11"/>
  <c r="M121" i="11"/>
  <c r="N121" i="11"/>
  <c r="O121" i="11"/>
  <c r="D122" i="11"/>
  <c r="E122" i="11"/>
  <c r="H122" i="11"/>
  <c r="I122" i="11"/>
  <c r="J122" i="11"/>
  <c r="K122" i="11"/>
  <c r="L122" i="11"/>
  <c r="M122" i="11"/>
  <c r="D123" i="11"/>
  <c r="E123" i="11"/>
  <c r="F123" i="11"/>
  <c r="G123" i="11"/>
  <c r="H123" i="11"/>
  <c r="I123" i="11"/>
  <c r="L123" i="11"/>
  <c r="M123" i="11"/>
  <c r="N123" i="11"/>
  <c r="O123" i="11"/>
  <c r="D124" i="11"/>
  <c r="E124" i="11"/>
  <c r="H124" i="11"/>
  <c r="I124" i="11"/>
  <c r="J124" i="11"/>
  <c r="K124" i="11"/>
  <c r="L124" i="11"/>
  <c r="M124" i="11"/>
  <c r="D125" i="11"/>
  <c r="E125" i="11"/>
  <c r="F125" i="11"/>
  <c r="G125" i="11"/>
  <c r="H125" i="11"/>
  <c r="I125" i="11"/>
  <c r="L125" i="11"/>
  <c r="M125" i="11"/>
  <c r="N125" i="11"/>
  <c r="O125" i="11"/>
  <c r="D126" i="11"/>
  <c r="E126" i="11"/>
  <c r="H126" i="11"/>
  <c r="I126" i="11"/>
  <c r="J126" i="11"/>
  <c r="K126" i="11"/>
  <c r="L126" i="11"/>
  <c r="M126" i="11"/>
  <c r="D127" i="11"/>
  <c r="L127" i="11"/>
  <c r="D131" i="11"/>
  <c r="E131" i="11"/>
  <c r="F131" i="11"/>
  <c r="G131" i="11"/>
  <c r="H131" i="11"/>
  <c r="H138" i="11" s="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K138" i="11" s="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I138" i="11"/>
  <c r="L138" i="11"/>
  <c r="M138" i="11"/>
  <c r="D109" i="12"/>
  <c r="E109" i="12"/>
  <c r="F109" i="12"/>
  <c r="G109" i="12"/>
  <c r="H109" i="12"/>
  <c r="H116" i="12" s="1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J121" i="12" s="1"/>
  <c r="K110" i="12"/>
  <c r="L110" i="12"/>
  <c r="M110" i="12"/>
  <c r="N110" i="12"/>
  <c r="O110" i="12"/>
  <c r="D111" i="12"/>
  <c r="E111" i="12"/>
  <c r="E122" i="12" s="1"/>
  <c r="F111" i="12"/>
  <c r="F122" i="12" s="1"/>
  <c r="G111" i="12"/>
  <c r="G122" i="12" s="1"/>
  <c r="H111" i="12"/>
  <c r="I111" i="12"/>
  <c r="J111" i="12"/>
  <c r="K111" i="12"/>
  <c r="L111" i="12"/>
  <c r="M111" i="12"/>
  <c r="M122" i="12" s="1"/>
  <c r="N111" i="12"/>
  <c r="N122" i="12" s="1"/>
  <c r="O111" i="12"/>
  <c r="O122" i="12" s="1"/>
  <c r="D112" i="12"/>
  <c r="E112" i="12"/>
  <c r="F112" i="12"/>
  <c r="G112" i="12"/>
  <c r="H112" i="12"/>
  <c r="I112" i="12"/>
  <c r="I123" i="12" s="1"/>
  <c r="J112" i="12"/>
  <c r="J123" i="12" s="1"/>
  <c r="K112" i="12"/>
  <c r="K123" i="12" s="1"/>
  <c r="L112" i="12"/>
  <c r="M112" i="12"/>
  <c r="N112" i="12"/>
  <c r="O112" i="12"/>
  <c r="D113" i="12"/>
  <c r="E113" i="12"/>
  <c r="E124" i="12" s="1"/>
  <c r="F113" i="12"/>
  <c r="F124" i="12" s="1"/>
  <c r="G113" i="12"/>
  <c r="G124" i="12" s="1"/>
  <c r="H113" i="12"/>
  <c r="I113" i="12"/>
  <c r="J113" i="12"/>
  <c r="K113" i="12"/>
  <c r="L113" i="12"/>
  <c r="M113" i="12"/>
  <c r="M124" i="12" s="1"/>
  <c r="N113" i="12"/>
  <c r="N124" i="12" s="1"/>
  <c r="O113" i="12"/>
  <c r="O124" i="12" s="1"/>
  <c r="D114" i="12"/>
  <c r="E114" i="12"/>
  <c r="F114" i="12"/>
  <c r="G114" i="12"/>
  <c r="H114" i="12"/>
  <c r="I114" i="12"/>
  <c r="I125" i="12" s="1"/>
  <c r="J114" i="12"/>
  <c r="J125" i="12" s="1"/>
  <c r="K114" i="12"/>
  <c r="K125" i="12" s="1"/>
  <c r="L114" i="12"/>
  <c r="M114" i="12"/>
  <c r="N114" i="12"/>
  <c r="O114" i="12"/>
  <c r="D115" i="12"/>
  <c r="E115" i="12"/>
  <c r="E126" i="12" s="1"/>
  <c r="F115" i="12"/>
  <c r="F126" i="12" s="1"/>
  <c r="G115" i="12"/>
  <c r="G126" i="12" s="1"/>
  <c r="H115" i="12"/>
  <c r="I115" i="12"/>
  <c r="J115" i="12"/>
  <c r="K115" i="12"/>
  <c r="L115" i="12"/>
  <c r="M115" i="12"/>
  <c r="M126" i="12" s="1"/>
  <c r="N115" i="12"/>
  <c r="N126" i="12" s="1"/>
  <c r="O115" i="12"/>
  <c r="O126" i="12" s="1"/>
  <c r="D116" i="12"/>
  <c r="J116" i="12"/>
  <c r="L116" i="12"/>
  <c r="D120" i="12"/>
  <c r="H120" i="12"/>
  <c r="H127" i="12" s="1"/>
  <c r="I120" i="12"/>
  <c r="J120" i="12"/>
  <c r="K120" i="12"/>
  <c r="L120" i="12"/>
  <c r="D121" i="12"/>
  <c r="E121" i="12"/>
  <c r="F121" i="12"/>
  <c r="G121" i="12"/>
  <c r="H121" i="12"/>
  <c r="L121" i="12"/>
  <c r="M121" i="12"/>
  <c r="N121" i="12"/>
  <c r="O121" i="12"/>
  <c r="D122" i="12"/>
  <c r="H122" i="12"/>
  <c r="I122" i="12"/>
  <c r="J122" i="12"/>
  <c r="K122" i="12"/>
  <c r="L122" i="12"/>
  <c r="D123" i="12"/>
  <c r="E123" i="12"/>
  <c r="F123" i="12"/>
  <c r="G123" i="12"/>
  <c r="H123" i="12"/>
  <c r="L123" i="12"/>
  <c r="M123" i="12"/>
  <c r="N123" i="12"/>
  <c r="O123" i="12"/>
  <c r="D124" i="12"/>
  <c r="H124" i="12"/>
  <c r="I124" i="12"/>
  <c r="J124" i="12"/>
  <c r="K124" i="12"/>
  <c r="L124" i="12"/>
  <c r="D125" i="12"/>
  <c r="E125" i="12"/>
  <c r="F125" i="12"/>
  <c r="G125" i="12"/>
  <c r="H125" i="12"/>
  <c r="L125" i="12"/>
  <c r="M125" i="12"/>
  <c r="N125" i="12"/>
  <c r="O125" i="12"/>
  <c r="D126" i="12"/>
  <c r="H126" i="12"/>
  <c r="I126" i="12"/>
  <c r="J126" i="12"/>
  <c r="K126" i="12"/>
  <c r="L126" i="12"/>
  <c r="D127" i="12"/>
  <c r="L127" i="12"/>
  <c r="D131" i="12"/>
  <c r="E131" i="12"/>
  <c r="F131" i="12"/>
  <c r="G131" i="12"/>
  <c r="H131" i="12"/>
  <c r="H138" i="12" s="1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J138" i="12" s="1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L138" i="12"/>
  <c r="D109" i="13"/>
  <c r="E109" i="13"/>
  <c r="E120" i="13" s="1"/>
  <c r="F109" i="13"/>
  <c r="G109" i="13"/>
  <c r="H109" i="13"/>
  <c r="H116" i="13" s="1"/>
  <c r="I109" i="13"/>
  <c r="J109" i="13"/>
  <c r="K109" i="13"/>
  <c r="L109" i="13"/>
  <c r="M109" i="13"/>
  <c r="M120" i="13" s="1"/>
  <c r="N109" i="13"/>
  <c r="O109" i="13"/>
  <c r="D110" i="13"/>
  <c r="E110" i="13"/>
  <c r="F110" i="13"/>
  <c r="G110" i="13"/>
  <c r="H110" i="13"/>
  <c r="I110" i="13"/>
  <c r="I121" i="13" s="1"/>
  <c r="J110" i="13"/>
  <c r="K110" i="13"/>
  <c r="L110" i="13"/>
  <c r="M110" i="13"/>
  <c r="N110" i="13"/>
  <c r="O110" i="13"/>
  <c r="D111" i="13"/>
  <c r="E111" i="13"/>
  <c r="E122" i="13" s="1"/>
  <c r="F111" i="13"/>
  <c r="F122" i="13" s="1"/>
  <c r="G111" i="13"/>
  <c r="H111" i="13"/>
  <c r="I111" i="13"/>
  <c r="J111" i="13"/>
  <c r="K111" i="13"/>
  <c r="L111" i="13"/>
  <c r="M111" i="13"/>
  <c r="M122" i="13" s="1"/>
  <c r="N111" i="13"/>
  <c r="N122" i="13" s="1"/>
  <c r="O111" i="13"/>
  <c r="D112" i="13"/>
  <c r="E112" i="13"/>
  <c r="F112" i="13"/>
  <c r="G112" i="13"/>
  <c r="H112" i="13"/>
  <c r="I112" i="13"/>
  <c r="I123" i="13" s="1"/>
  <c r="J112" i="13"/>
  <c r="J123" i="13" s="1"/>
  <c r="K112" i="13"/>
  <c r="L112" i="13"/>
  <c r="M112" i="13"/>
  <c r="N112" i="13"/>
  <c r="O112" i="13"/>
  <c r="D113" i="13"/>
  <c r="E113" i="13"/>
  <c r="E124" i="13" s="1"/>
  <c r="F113" i="13"/>
  <c r="F124" i="13" s="1"/>
  <c r="G113" i="13"/>
  <c r="H113" i="13"/>
  <c r="I113" i="13"/>
  <c r="J113" i="13"/>
  <c r="K113" i="13"/>
  <c r="L113" i="13"/>
  <c r="M113" i="13"/>
  <c r="M124" i="13" s="1"/>
  <c r="N113" i="13"/>
  <c r="N124" i="13" s="1"/>
  <c r="O113" i="13"/>
  <c r="D114" i="13"/>
  <c r="E114" i="13"/>
  <c r="F114" i="13"/>
  <c r="G114" i="13"/>
  <c r="H114" i="13"/>
  <c r="I114" i="13"/>
  <c r="I125" i="13" s="1"/>
  <c r="J114" i="13"/>
  <c r="J125" i="13" s="1"/>
  <c r="K114" i="13"/>
  <c r="L114" i="13"/>
  <c r="M114" i="13"/>
  <c r="N114" i="13"/>
  <c r="O114" i="13"/>
  <c r="D115" i="13"/>
  <c r="E115" i="13"/>
  <c r="E126" i="13" s="1"/>
  <c r="F115" i="13"/>
  <c r="F126" i="13" s="1"/>
  <c r="G115" i="13"/>
  <c r="H115" i="13"/>
  <c r="I115" i="13"/>
  <c r="J115" i="13"/>
  <c r="K115" i="13"/>
  <c r="L115" i="13"/>
  <c r="M115" i="13"/>
  <c r="M126" i="13" s="1"/>
  <c r="N115" i="13"/>
  <c r="N126" i="13" s="1"/>
  <c r="O115" i="13"/>
  <c r="D116" i="13"/>
  <c r="I116" i="13"/>
  <c r="K116" i="13"/>
  <c r="L116" i="13"/>
  <c r="M116" i="13"/>
  <c r="D120" i="13"/>
  <c r="G120" i="13"/>
  <c r="G127" i="13" s="1"/>
  <c r="H120" i="13"/>
  <c r="H127" i="13" s="1"/>
  <c r="I120" i="13"/>
  <c r="J120" i="13"/>
  <c r="K120" i="13"/>
  <c r="L120" i="13"/>
  <c r="O120" i="13"/>
  <c r="D121" i="13"/>
  <c r="E121" i="13"/>
  <c r="F121" i="13"/>
  <c r="G121" i="13"/>
  <c r="H121" i="13"/>
  <c r="K121" i="13"/>
  <c r="L121" i="13"/>
  <c r="M121" i="13"/>
  <c r="N121" i="13"/>
  <c r="O121" i="13"/>
  <c r="D122" i="13"/>
  <c r="G122" i="13"/>
  <c r="H122" i="13"/>
  <c r="I122" i="13"/>
  <c r="J122" i="13"/>
  <c r="K122" i="13"/>
  <c r="L122" i="13"/>
  <c r="O122" i="13"/>
  <c r="D123" i="13"/>
  <c r="E123" i="13"/>
  <c r="F123" i="13"/>
  <c r="G123" i="13"/>
  <c r="H123" i="13"/>
  <c r="K123" i="13"/>
  <c r="L123" i="13"/>
  <c r="M123" i="13"/>
  <c r="N123" i="13"/>
  <c r="O123" i="13"/>
  <c r="D124" i="13"/>
  <c r="G124" i="13"/>
  <c r="H124" i="13"/>
  <c r="I124" i="13"/>
  <c r="J124" i="13"/>
  <c r="K124" i="13"/>
  <c r="L124" i="13"/>
  <c r="O124" i="13"/>
  <c r="D125" i="13"/>
  <c r="E125" i="13"/>
  <c r="F125" i="13"/>
  <c r="G125" i="13"/>
  <c r="H125" i="13"/>
  <c r="K125" i="13"/>
  <c r="L125" i="13"/>
  <c r="M125" i="13"/>
  <c r="N125" i="13"/>
  <c r="O125" i="13"/>
  <c r="D126" i="13"/>
  <c r="G126" i="13"/>
  <c r="H126" i="13"/>
  <c r="I126" i="13"/>
  <c r="J126" i="13"/>
  <c r="K126" i="13"/>
  <c r="L126" i="13"/>
  <c r="O126" i="13"/>
  <c r="D127" i="13"/>
  <c r="L127" i="13"/>
  <c r="D131" i="13"/>
  <c r="E131" i="13"/>
  <c r="E138" i="13" s="1"/>
  <c r="F131" i="13"/>
  <c r="G131" i="13"/>
  <c r="H131" i="13"/>
  <c r="H138" i="13" s="1"/>
  <c r="I131" i="13"/>
  <c r="I138" i="13" s="1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K138" i="13"/>
  <c r="L138" i="13"/>
  <c r="M138" i="13"/>
  <c r="AZ14" i="14"/>
  <c r="AY259" i="14" s="1"/>
  <c r="AY181" i="14"/>
  <c r="AY179" i="14"/>
  <c r="AY177" i="14"/>
  <c r="AY260" i="14" s="1"/>
  <c r="AY175" i="14"/>
  <c r="AY14" i="14"/>
  <c r="AX259" i="14" s="1"/>
  <c r="AX181" i="14"/>
  <c r="AX179" i="14"/>
  <c r="AX177" i="14"/>
  <c r="AX175" i="14"/>
  <c r="AX14" i="14"/>
  <c r="AW259" i="14" s="1"/>
  <c r="AW181" i="14"/>
  <c r="AW179" i="14"/>
  <c r="AW177" i="14"/>
  <c r="AW175" i="14"/>
  <c r="AW14" i="14"/>
  <c r="AV259" i="14" s="1"/>
  <c r="AV181" i="14"/>
  <c r="AV179" i="14"/>
  <c r="AV177" i="14"/>
  <c r="AV175" i="14"/>
  <c r="AV260" i="14" s="1"/>
  <c r="AU260" i="14"/>
  <c r="AU259" i="14"/>
  <c r="AV14" i="14"/>
  <c r="AU181" i="14"/>
  <c r="AU179" i="14"/>
  <c r="AU177" i="14"/>
  <c r="AU175" i="14"/>
  <c r="AT260" i="14"/>
  <c r="AU14" i="14"/>
  <c r="AT259" i="14" s="1"/>
  <c r="AT181" i="14"/>
  <c r="AT179" i="14"/>
  <c r="AT177" i="14"/>
  <c r="AT175" i="14"/>
  <c r="AS259" i="14"/>
  <c r="AT14" i="14"/>
  <c r="AS181" i="14"/>
  <c r="AS260" i="14" s="1"/>
  <c r="AS179" i="14"/>
  <c r="AS177" i="14"/>
  <c r="AS175" i="14"/>
  <c r="AS14" i="14"/>
  <c r="AR259" i="14" s="1"/>
  <c r="AR181" i="14"/>
  <c r="AR179" i="14"/>
  <c r="AR260" i="14" s="1"/>
  <c r="AR177" i="14"/>
  <c r="AR175" i="14"/>
  <c r="AQ259" i="14"/>
  <c r="AR14" i="14"/>
  <c r="AQ181" i="14"/>
  <c r="AQ179" i="14"/>
  <c r="AQ177" i="14"/>
  <c r="AQ175" i="14"/>
  <c r="AQ14" i="14"/>
  <c r="AP259" i="14" s="1"/>
  <c r="AP181" i="14"/>
  <c r="AP179" i="14"/>
  <c r="AP177" i="14"/>
  <c r="AP175" i="14"/>
  <c r="AP14" i="14"/>
  <c r="AO259" i="14" s="1"/>
  <c r="AO181" i="14"/>
  <c r="AO179" i="14"/>
  <c r="AO177" i="14"/>
  <c r="AO175" i="14"/>
  <c r="AO260" i="14" s="1"/>
  <c r="AO14" i="14"/>
  <c r="AN259" i="14" s="1"/>
  <c r="AN181" i="14"/>
  <c r="AN179" i="14"/>
  <c r="AN177" i="14"/>
  <c r="AN175" i="14"/>
  <c r="AN260" i="14" s="1"/>
  <c r="AM259" i="14"/>
  <c r="AN14" i="14"/>
  <c r="AM181" i="14"/>
  <c r="AM179" i="14"/>
  <c r="AM177" i="14"/>
  <c r="AM260" i="14" s="1"/>
  <c r="AM175" i="14"/>
  <c r="AM14" i="14"/>
  <c r="AL259" i="14" s="1"/>
  <c r="AL181" i="14"/>
  <c r="AL179" i="14"/>
  <c r="AL177" i="14"/>
  <c r="AL175" i="14"/>
  <c r="AL260" i="14" s="1"/>
  <c r="AK259" i="14"/>
  <c r="AL14" i="14"/>
  <c r="AK181" i="14"/>
  <c r="AK260" i="14" s="1"/>
  <c r="AK179" i="14"/>
  <c r="AK177" i="14"/>
  <c r="AK175" i="14"/>
  <c r="AK14" i="14"/>
  <c r="AJ259" i="14" s="1"/>
  <c r="AJ181" i="14"/>
  <c r="AJ179" i="14"/>
  <c r="AJ260" i="14" s="1"/>
  <c r="AJ177" i="14"/>
  <c r="AJ175" i="14"/>
  <c r="AJ14" i="14"/>
  <c r="AI259" i="14" s="1"/>
  <c r="AI181" i="14"/>
  <c r="AI179" i="14"/>
  <c r="AI177" i="14"/>
  <c r="AI175" i="14"/>
  <c r="AI14" i="14"/>
  <c r="AH259" i="14" s="1"/>
  <c r="AH181" i="14"/>
  <c r="AH179" i="14"/>
  <c r="AH177" i="14"/>
  <c r="AH175" i="14"/>
  <c r="AH14" i="14"/>
  <c r="AG259" i="14" s="1"/>
  <c r="AG181" i="14"/>
  <c r="AG179" i="14"/>
  <c r="AG177" i="14"/>
  <c r="AG175" i="14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177" i="14"/>
  <c r="AE175" i="14"/>
  <c r="AD260" i="14"/>
  <c r="AD259" i="14"/>
  <c r="AE14" i="14"/>
  <c r="AD181" i="14"/>
  <c r="AD179" i="14"/>
  <c r="AD177" i="14"/>
  <c r="AD175" i="14"/>
  <c r="AC260" i="14"/>
  <c r="AC259" i="14"/>
  <c r="AD14" i="14"/>
  <c r="AC181" i="14"/>
  <c r="AC179" i="14"/>
  <c r="AC177" i="14"/>
  <c r="AC175" i="14"/>
  <c r="AB260" i="14"/>
  <c r="AC14" i="14"/>
  <c r="AB259" i="14" s="1"/>
  <c r="AB181" i="14"/>
  <c r="AB179" i="14"/>
  <c r="AB177" i="14"/>
  <c r="AB175" i="14"/>
  <c r="AB14" i="14"/>
  <c r="AA259" i="14" s="1"/>
  <c r="AA181" i="14"/>
  <c r="AA179" i="14"/>
  <c r="AA177" i="14"/>
  <c r="AA175" i="14"/>
  <c r="AA14" i="14"/>
  <c r="Z259" i="14" s="1"/>
  <c r="Z181" i="14"/>
  <c r="Z179" i="14"/>
  <c r="Z177" i="14"/>
  <c r="Z175" i="14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260" i="14" s="1"/>
  <c r="X177" i="14"/>
  <c r="X175" i="14"/>
  <c r="W259" i="14"/>
  <c r="X14" i="14"/>
  <c r="W181" i="14"/>
  <c r="W179" i="14"/>
  <c r="W177" i="14"/>
  <c r="W260" i="14" s="1"/>
  <c r="W175" i="14"/>
  <c r="W14" i="14"/>
  <c r="V259" i="14" s="1"/>
  <c r="V181" i="14"/>
  <c r="V179" i="14"/>
  <c r="V177" i="14"/>
  <c r="V175" i="14"/>
  <c r="V260" i="14" s="1"/>
  <c r="V14" i="14"/>
  <c r="U259" i="14" s="1"/>
  <c r="U181" i="14"/>
  <c r="U260" i="14" s="1"/>
  <c r="U179" i="14"/>
  <c r="U177" i="14"/>
  <c r="U175" i="14"/>
  <c r="T259" i="14"/>
  <c r="U14" i="14"/>
  <c r="T181" i="14"/>
  <c r="T179" i="14"/>
  <c r="T260" i="14" s="1"/>
  <c r="T177" i="14"/>
  <c r="T175" i="14"/>
  <c r="T14" i="14"/>
  <c r="S259" i="14" s="1"/>
  <c r="S181" i="14"/>
  <c r="S179" i="14"/>
  <c r="S177" i="14"/>
  <c r="S260" i="14" s="1"/>
  <c r="S175" i="14"/>
  <c r="S14" i="14"/>
  <c r="R259" i="14" s="1"/>
  <c r="R181" i="14"/>
  <c r="R179" i="14"/>
  <c r="R177" i="14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P260" i="14" s="1"/>
  <c r="O260" i="14"/>
  <c r="O259" i="14"/>
  <c r="P14" i="14"/>
  <c r="O181" i="14"/>
  <c r="O179" i="14"/>
  <c r="O177" i="14"/>
  <c r="O175" i="14"/>
  <c r="N260" i="14"/>
  <c r="O14" i="14"/>
  <c r="N259" i="14" s="1"/>
  <c r="N181" i="14"/>
  <c r="N179" i="14"/>
  <c r="N177" i="14"/>
  <c r="N175" i="14"/>
  <c r="M259" i="14"/>
  <c r="N14" i="14"/>
  <c r="M181" i="14"/>
  <c r="M260" i="14" s="1"/>
  <c r="M179" i="14"/>
  <c r="M177" i="14"/>
  <c r="M175" i="14"/>
  <c r="M14" i="14"/>
  <c r="L259" i="14" s="1"/>
  <c r="L181" i="14"/>
  <c r="L179" i="14"/>
  <c r="L260" i="14" s="1"/>
  <c r="L177" i="14"/>
  <c r="L175" i="14"/>
  <c r="K259" i="14"/>
  <c r="L14" i="14"/>
  <c r="K181" i="14"/>
  <c r="K179" i="14"/>
  <c r="K177" i="14"/>
  <c r="K175" i="14"/>
  <c r="K14" i="14"/>
  <c r="J259" i="14" s="1"/>
  <c r="J181" i="14"/>
  <c r="J179" i="14"/>
  <c r="J177" i="14"/>
  <c r="J175" i="14"/>
  <c r="J14" i="14"/>
  <c r="I259" i="14" s="1"/>
  <c r="I181" i="14"/>
  <c r="I179" i="14"/>
  <c r="I177" i="14"/>
  <c r="I175" i="14"/>
  <c r="I14" i="14"/>
  <c r="H259" i="14" s="1"/>
  <c r="H181" i="14"/>
  <c r="H179" i="14"/>
  <c r="H177" i="14"/>
  <c r="H175" i="14"/>
  <c r="G259" i="14"/>
  <c r="H14" i="14"/>
  <c r="G181" i="14"/>
  <c r="G179" i="14"/>
  <c r="G177" i="14"/>
  <c r="G260" i="14" s="1"/>
  <c r="G175" i="14"/>
  <c r="G14" i="14"/>
  <c r="F259" i="14" s="1"/>
  <c r="F181" i="14"/>
  <c r="F179" i="14"/>
  <c r="F177" i="14"/>
  <c r="F175" i="14"/>
  <c r="F260" i="14" s="1"/>
  <c r="E259" i="14"/>
  <c r="F14" i="14"/>
  <c r="E181" i="14"/>
  <c r="E260" i="14" s="1"/>
  <c r="E179" i="14"/>
  <c r="E177" i="14"/>
  <c r="E175" i="14"/>
  <c r="D260" i="14"/>
  <c r="E14" i="14"/>
  <c r="D259" i="14" s="1"/>
  <c r="D181" i="14"/>
  <c r="D179" i="14"/>
  <c r="D177" i="14"/>
  <c r="D175" i="14"/>
  <c r="AZ14" i="15"/>
  <c r="AY259" i="15" s="1"/>
  <c r="AY181" i="15"/>
  <c r="AY179" i="15"/>
  <c r="AY177" i="15"/>
  <c r="AY175" i="15"/>
  <c r="AY14" i="15"/>
  <c r="AX259" i="15" s="1"/>
  <c r="AX181" i="15"/>
  <c r="AX179" i="15"/>
  <c r="AX177" i="15"/>
  <c r="AX175" i="15"/>
  <c r="AX14" i="15"/>
  <c r="AW259" i="15" s="1"/>
  <c r="AW181" i="15"/>
  <c r="AW179" i="15"/>
  <c r="AW177" i="15"/>
  <c r="AW175" i="15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175" i="15"/>
  <c r="AT259" i="15"/>
  <c r="AU14" i="15"/>
  <c r="AT181" i="15"/>
  <c r="AT179" i="15"/>
  <c r="AT177" i="15"/>
  <c r="AT175" i="15"/>
  <c r="AT260" i="15" s="1"/>
  <c r="AS260" i="15"/>
  <c r="AS259" i="15"/>
  <c r="AT14" i="15"/>
  <c r="AS181" i="15"/>
  <c r="AS179" i="15"/>
  <c r="AS177" i="15"/>
  <c r="AS175" i="15"/>
  <c r="AR260" i="15"/>
  <c r="AS14" i="15"/>
  <c r="AR259" i="15" s="1"/>
  <c r="AR181" i="15"/>
  <c r="AR179" i="15"/>
  <c r="AR177" i="15"/>
  <c r="AR175" i="15"/>
  <c r="AR14" i="15"/>
  <c r="AQ259" i="15" s="1"/>
  <c r="AQ181" i="15"/>
  <c r="AQ179" i="15"/>
  <c r="AQ177" i="15"/>
  <c r="AQ175" i="15"/>
  <c r="AQ14" i="15"/>
  <c r="AP259" i="15" s="1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260" i="15" s="1"/>
  <c r="AN177" i="15"/>
  <c r="AN175" i="15"/>
  <c r="AM259" i="15"/>
  <c r="AN14" i="15"/>
  <c r="AM181" i="15"/>
  <c r="AM179" i="15"/>
  <c r="AM177" i="15"/>
  <c r="AM260" i="15" s="1"/>
  <c r="AM175" i="15"/>
  <c r="AM14" i="15"/>
  <c r="AL259" i="15" s="1"/>
  <c r="AL181" i="15"/>
  <c r="AL179" i="15"/>
  <c r="AL177" i="15"/>
  <c r="AL175" i="15"/>
  <c r="AL260" i="15" s="1"/>
  <c r="AL14" i="15"/>
  <c r="AK259" i="15" s="1"/>
  <c r="AK181" i="15"/>
  <c r="AK260" i="15" s="1"/>
  <c r="AK179" i="15"/>
  <c r="AK177" i="15"/>
  <c r="AK175" i="15"/>
  <c r="AJ259" i="15"/>
  <c r="AK14" i="15"/>
  <c r="AJ181" i="15"/>
  <c r="AJ179" i="15"/>
  <c r="AJ260" i="15" s="1"/>
  <c r="AJ177" i="15"/>
  <c r="AJ175" i="15"/>
  <c r="AI259" i="15"/>
  <c r="AJ14" i="15"/>
  <c r="AI181" i="15"/>
  <c r="AI179" i="15"/>
  <c r="AI177" i="15"/>
  <c r="AI260" i="15" s="1"/>
  <c r="AI175" i="15"/>
  <c r="AI14" i="15"/>
  <c r="AH259" i="15" s="1"/>
  <c r="AH181" i="15"/>
  <c r="AH179" i="15"/>
  <c r="AH177" i="15"/>
  <c r="AH175" i="15"/>
  <c r="AH14" i="15"/>
  <c r="AG259" i="15" s="1"/>
  <c r="AG181" i="15"/>
  <c r="AG179" i="15"/>
  <c r="AG177" i="15"/>
  <c r="AG175" i="15"/>
  <c r="AF260" i="15"/>
  <c r="AG14" i="15"/>
  <c r="AF259" i="15" s="1"/>
  <c r="AF181" i="15"/>
  <c r="AF179" i="15"/>
  <c r="AF177" i="15"/>
  <c r="AF175" i="15"/>
  <c r="AE259" i="15"/>
  <c r="AF14" i="15"/>
  <c r="AE181" i="15"/>
  <c r="AE179" i="15"/>
  <c r="AE177" i="15"/>
  <c r="AE175" i="15"/>
  <c r="AE260" i="15" s="1"/>
  <c r="AD260" i="15"/>
  <c r="AE14" i="15"/>
  <c r="AD259" i="15" s="1"/>
  <c r="AD181" i="15"/>
  <c r="AD179" i="15"/>
  <c r="AD177" i="15"/>
  <c r="AD175" i="15"/>
  <c r="AC259" i="15"/>
  <c r="AD14" i="15"/>
  <c r="AC181" i="15"/>
  <c r="AC260" i="15" s="1"/>
  <c r="AC179" i="15"/>
  <c r="AC177" i="15"/>
  <c r="AC175" i="15"/>
  <c r="AC14" i="15"/>
  <c r="AB259" i="15" s="1"/>
  <c r="AB181" i="15"/>
  <c r="AB179" i="15"/>
  <c r="AB260" i="15" s="1"/>
  <c r="AB177" i="15"/>
  <c r="AB175" i="15"/>
  <c r="AA259" i="15"/>
  <c r="AB14" i="15"/>
  <c r="AA181" i="15"/>
  <c r="AA179" i="15"/>
  <c r="AA177" i="15"/>
  <c r="AA175" i="15"/>
  <c r="AA14" i="15"/>
  <c r="Z259" i="15" s="1"/>
  <c r="Z181" i="15"/>
  <c r="Z179" i="15"/>
  <c r="Z177" i="15"/>
  <c r="Z175" i="15"/>
  <c r="Z14" i="15"/>
  <c r="Y259" i="15" s="1"/>
  <c r="Y181" i="15"/>
  <c r="Y179" i="15"/>
  <c r="Y177" i="15"/>
  <c r="Y175" i="15"/>
  <c r="Y14" i="15"/>
  <c r="X259" i="15" s="1"/>
  <c r="X181" i="15"/>
  <c r="X179" i="15"/>
  <c r="X177" i="15"/>
  <c r="X175" i="15"/>
  <c r="X260" i="15" s="1"/>
  <c r="W260" i="15"/>
  <c r="W259" i="15"/>
  <c r="X14" i="15"/>
  <c r="W181" i="15"/>
  <c r="W179" i="15"/>
  <c r="W177" i="15"/>
  <c r="W175" i="15"/>
  <c r="V260" i="15"/>
  <c r="V259" i="15"/>
  <c r="W14" i="15"/>
  <c r="V181" i="15"/>
  <c r="V179" i="15"/>
  <c r="V177" i="15"/>
  <c r="V175" i="15"/>
  <c r="U259" i="15"/>
  <c r="V14" i="15"/>
  <c r="U181" i="15"/>
  <c r="U260" i="15" s="1"/>
  <c r="U179" i="15"/>
  <c r="U177" i="15"/>
  <c r="U175" i="15"/>
  <c r="U14" i="15"/>
  <c r="T259" i="15" s="1"/>
  <c r="T181" i="15"/>
  <c r="T260" i="15" s="1"/>
  <c r="T179" i="15"/>
  <c r="T177" i="15"/>
  <c r="T175" i="15"/>
  <c r="T14" i="15"/>
  <c r="S259" i="15" s="1"/>
  <c r="S181" i="15"/>
  <c r="S179" i="15"/>
  <c r="S177" i="15"/>
  <c r="S175" i="15"/>
  <c r="S14" i="15"/>
  <c r="R259" i="15" s="1"/>
  <c r="R181" i="15"/>
  <c r="R179" i="15"/>
  <c r="R177" i="15"/>
  <c r="R175" i="15"/>
  <c r="R14" i="15"/>
  <c r="Q259" i="15" s="1"/>
  <c r="Q181" i="15"/>
  <c r="Q179" i="15"/>
  <c r="Q177" i="15"/>
  <c r="Q175" i="15"/>
  <c r="Q14" i="15"/>
  <c r="P259" i="15" s="1"/>
  <c r="P181" i="15"/>
  <c r="P179" i="15"/>
  <c r="P177" i="15"/>
  <c r="P175" i="15"/>
  <c r="O259" i="15"/>
  <c r="P14" i="15"/>
  <c r="O181" i="15"/>
  <c r="O179" i="15"/>
  <c r="O177" i="15"/>
  <c r="O175" i="15"/>
  <c r="O260" i="15" s="1"/>
  <c r="N260" i="15"/>
  <c r="N259" i="15"/>
  <c r="O14" i="15"/>
  <c r="N181" i="15"/>
  <c r="N179" i="15"/>
  <c r="N177" i="15"/>
  <c r="N175" i="15"/>
  <c r="M260" i="15"/>
  <c r="M259" i="15"/>
  <c r="N14" i="15"/>
  <c r="M181" i="15"/>
  <c r="M179" i="15"/>
  <c r="M177" i="15"/>
  <c r="M175" i="15"/>
  <c r="L260" i="15"/>
  <c r="M14" i="15"/>
  <c r="L259" i="15" s="1"/>
  <c r="L181" i="15"/>
  <c r="L179" i="15"/>
  <c r="L177" i="15"/>
  <c r="L175" i="15"/>
  <c r="L14" i="15"/>
  <c r="K259" i="15" s="1"/>
  <c r="K181" i="15"/>
  <c r="K179" i="15"/>
  <c r="K177" i="15"/>
  <c r="K175" i="15"/>
  <c r="K14" i="15"/>
  <c r="J259" i="15" s="1"/>
  <c r="J181" i="15"/>
  <c r="J179" i="15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260" i="15" s="1"/>
  <c r="H177" i="15"/>
  <c r="H175" i="15"/>
  <c r="G259" i="15"/>
  <c r="H14" i="15"/>
  <c r="G181" i="15"/>
  <c r="G179" i="15"/>
  <c r="G177" i="15"/>
  <c r="G260" i="15" s="1"/>
  <c r="G175" i="15"/>
  <c r="G14" i="15"/>
  <c r="F259" i="15" s="1"/>
  <c r="F181" i="15"/>
  <c r="F179" i="15"/>
  <c r="F177" i="15"/>
  <c r="F175" i="15"/>
  <c r="F260" i="15" s="1"/>
  <c r="F14" i="15"/>
  <c r="E259" i="15" s="1"/>
  <c r="E181" i="15"/>
  <c r="E260" i="15" s="1"/>
  <c r="E179" i="15"/>
  <c r="E177" i="15"/>
  <c r="E175" i="15"/>
  <c r="D259" i="15"/>
  <c r="E14" i="15"/>
  <c r="D181" i="15"/>
  <c r="D179" i="15"/>
  <c r="D260" i="15" s="1"/>
  <c r="D177" i="15"/>
  <c r="D175" i="15"/>
  <c r="AY259" i="16"/>
  <c r="AZ14" i="16"/>
  <c r="AY181" i="16"/>
  <c r="AY179" i="16"/>
  <c r="AY177" i="16"/>
  <c r="AY260" i="16" s="1"/>
  <c r="AY175" i="16"/>
  <c r="AY14" i="16"/>
  <c r="AX259" i="16" s="1"/>
  <c r="AX181" i="16"/>
  <c r="AX179" i="16"/>
  <c r="AX177" i="16"/>
  <c r="AX175" i="16"/>
  <c r="AX14" i="16"/>
  <c r="AW259" i="16" s="1"/>
  <c r="AW181" i="16"/>
  <c r="AW179" i="16"/>
  <c r="AW177" i="16"/>
  <c r="AW175" i="16"/>
  <c r="AW260" i="16" s="1"/>
  <c r="AV260" i="16"/>
  <c r="AW14" i="16"/>
  <c r="AV259" i="16" s="1"/>
  <c r="AV181" i="16"/>
  <c r="AV179" i="16"/>
  <c r="AV177" i="16"/>
  <c r="AV175" i="16"/>
  <c r="AU259" i="16"/>
  <c r="AV14" i="16"/>
  <c r="AU181" i="16"/>
  <c r="AU179" i="16"/>
  <c r="AU177" i="16"/>
  <c r="AU175" i="16"/>
  <c r="AU260" i="16" s="1"/>
  <c r="AT260" i="16"/>
  <c r="AU14" i="16"/>
  <c r="AT259" i="16" s="1"/>
  <c r="AT181" i="16"/>
  <c r="AT179" i="16"/>
  <c r="AT177" i="16"/>
  <c r="AT175" i="16"/>
  <c r="AS260" i="16"/>
  <c r="AS259" i="16"/>
  <c r="AT14" i="16"/>
  <c r="AS181" i="16"/>
  <c r="AS179" i="16"/>
  <c r="AS177" i="16"/>
  <c r="AS175" i="16"/>
  <c r="AS14" i="16"/>
  <c r="AR259" i="16" s="1"/>
  <c r="AR181" i="16"/>
  <c r="AR179" i="16"/>
  <c r="AR260" i="16" s="1"/>
  <c r="AR177" i="16"/>
  <c r="AR175" i="16"/>
  <c r="AQ259" i="16"/>
  <c r="AR14" i="16"/>
  <c r="AQ181" i="16"/>
  <c r="AQ179" i="16"/>
  <c r="AQ177" i="16"/>
  <c r="AQ175" i="16"/>
  <c r="AQ14" i="16"/>
  <c r="AP259" i="16" s="1"/>
  <c r="AP181" i="16"/>
  <c r="AP179" i="16"/>
  <c r="AP177" i="16"/>
  <c r="AP175" i="16"/>
  <c r="AP260" i="16" s="1"/>
  <c r="AP14" i="16"/>
  <c r="AO259" i="16" s="1"/>
  <c r="AO181" i="16"/>
  <c r="AO179" i="16"/>
  <c r="AO177" i="16"/>
  <c r="AO175" i="16"/>
  <c r="AO14" i="16"/>
  <c r="AN259" i="16" s="1"/>
  <c r="AN181" i="16"/>
  <c r="AN179" i="16"/>
  <c r="AN177" i="16"/>
  <c r="AN175" i="16"/>
  <c r="AN260" i="16" s="1"/>
  <c r="AM260" i="16"/>
  <c r="AM259" i="16"/>
  <c r="AN14" i="16"/>
  <c r="AM181" i="16"/>
  <c r="AM179" i="16"/>
  <c r="AM177" i="16"/>
  <c r="AM175" i="16"/>
  <c r="AL260" i="16"/>
  <c r="AL259" i="16"/>
  <c r="AM14" i="16"/>
  <c r="AL181" i="16"/>
  <c r="AL179" i="16"/>
  <c r="AL177" i="16"/>
  <c r="AL175" i="16"/>
  <c r="AK259" i="16"/>
  <c r="AL14" i="16"/>
  <c r="AK181" i="16"/>
  <c r="AK260" i="16" s="1"/>
  <c r="AK179" i="16"/>
  <c r="AK177" i="16"/>
  <c r="AK175" i="16"/>
  <c r="AK14" i="16"/>
  <c r="AJ259" i="16" s="1"/>
  <c r="AJ181" i="16"/>
  <c r="AJ260" i="16" s="1"/>
  <c r="AJ179" i="16"/>
  <c r="AJ177" i="16"/>
  <c r="AJ175" i="16"/>
  <c r="AJ14" i="16"/>
  <c r="AI259" i="16" s="1"/>
  <c r="AI181" i="16"/>
  <c r="AI179" i="16"/>
  <c r="AI177" i="16"/>
  <c r="AI260" i="16" s="1"/>
  <c r="AI175" i="16"/>
  <c r="AI14" i="16"/>
  <c r="AH259" i="16" s="1"/>
  <c r="AH181" i="16"/>
  <c r="AH179" i="16"/>
  <c r="AH177" i="16"/>
  <c r="AH175" i="16"/>
  <c r="AH14" i="16"/>
  <c r="AG259" i="16" s="1"/>
  <c r="AG181" i="16"/>
  <c r="AG179" i="16"/>
  <c r="AG177" i="16"/>
  <c r="AG175" i="16"/>
  <c r="AG14" i="16"/>
  <c r="AF259" i="16" s="1"/>
  <c r="AF181" i="16"/>
  <c r="AF179" i="16"/>
  <c r="AF177" i="16"/>
  <c r="AF175" i="16"/>
  <c r="AF260" i="16" s="1"/>
  <c r="AE259" i="16"/>
  <c r="AF14" i="16"/>
  <c r="AE181" i="16"/>
  <c r="AE179" i="16"/>
  <c r="AE177" i="16"/>
  <c r="AE175" i="16"/>
  <c r="AD259" i="16"/>
  <c r="AE14" i="16"/>
  <c r="AD181" i="16"/>
  <c r="AD179" i="16"/>
  <c r="AD177" i="16"/>
  <c r="AD175" i="16"/>
  <c r="AD260" i="16" s="1"/>
  <c r="AC260" i="16"/>
  <c r="AC259" i="16"/>
  <c r="AD14" i="16"/>
  <c r="AC181" i="16"/>
  <c r="AC179" i="16"/>
  <c r="AC177" i="16"/>
  <c r="AC175" i="16"/>
  <c r="AB260" i="16"/>
  <c r="AC14" i="16"/>
  <c r="AB259" i="16" s="1"/>
  <c r="AB181" i="16"/>
  <c r="AB179" i="16"/>
  <c r="AB177" i="16"/>
  <c r="AB175" i="16"/>
  <c r="AB14" i="16"/>
  <c r="AA259" i="16" s="1"/>
  <c r="AA181" i="16"/>
  <c r="AA260" i="16" s="1"/>
  <c r="AA179" i="16"/>
  <c r="AA177" i="16"/>
  <c r="AA175" i="16"/>
  <c r="Z259" i="16"/>
  <c r="AA14" i="16"/>
  <c r="Z181" i="16"/>
  <c r="Z179" i="16"/>
  <c r="Z177" i="16"/>
  <c r="Z175" i="16"/>
  <c r="Z14" i="16"/>
  <c r="Y259" i="16" s="1"/>
  <c r="Y181" i="16"/>
  <c r="Y179" i="16"/>
  <c r="Y177" i="16"/>
  <c r="Y175" i="16"/>
  <c r="X260" i="16"/>
  <c r="Y14" i="16"/>
  <c r="X259" i="16" s="1"/>
  <c r="X181" i="16"/>
  <c r="X179" i="16"/>
  <c r="X177" i="16"/>
  <c r="X175" i="16"/>
  <c r="W259" i="16"/>
  <c r="X14" i="16"/>
  <c r="W181" i="16"/>
  <c r="W179" i="16"/>
  <c r="W177" i="16"/>
  <c r="W175" i="16"/>
  <c r="W260" i="16" s="1"/>
  <c r="V260" i="16"/>
  <c r="W14" i="16"/>
  <c r="V259" i="16" s="1"/>
  <c r="V181" i="16"/>
  <c r="V179" i="16"/>
  <c r="V177" i="16"/>
  <c r="V175" i="16"/>
  <c r="U260" i="16"/>
  <c r="U259" i="16"/>
  <c r="V14" i="16"/>
  <c r="U181" i="16"/>
  <c r="U179" i="16"/>
  <c r="U177" i="16"/>
  <c r="U175" i="16"/>
  <c r="U14" i="16"/>
  <c r="T259" i="16" s="1"/>
  <c r="T181" i="16"/>
  <c r="T179" i="16"/>
  <c r="T260" i="16" s="1"/>
  <c r="T177" i="16"/>
  <c r="T175" i="16"/>
  <c r="T14" i="16"/>
  <c r="S259" i="16" s="1"/>
  <c r="S181" i="16"/>
  <c r="S179" i="16"/>
  <c r="S177" i="16"/>
  <c r="S175" i="16"/>
  <c r="R259" i="16"/>
  <c r="S14" i="16"/>
  <c r="R181" i="16"/>
  <c r="R179" i="16"/>
  <c r="R177" i="16"/>
  <c r="R175" i="16"/>
  <c r="R14" i="16"/>
  <c r="Q259" i="16" s="1"/>
  <c r="Q181" i="16"/>
  <c r="Q179" i="16"/>
  <c r="Q177" i="16"/>
  <c r="Q175" i="16"/>
  <c r="Q14" i="16"/>
  <c r="P259" i="16" s="1"/>
  <c r="P181" i="16"/>
  <c r="P179" i="16"/>
  <c r="P177" i="16"/>
  <c r="P175" i="16"/>
  <c r="P260" i="16" s="1"/>
  <c r="O259" i="16"/>
  <c r="P14" i="16"/>
  <c r="O181" i="16"/>
  <c r="O179" i="16"/>
  <c r="O177" i="16"/>
  <c r="O175" i="16"/>
  <c r="N259" i="16"/>
  <c r="O14" i="16"/>
  <c r="N181" i="16"/>
  <c r="N179" i="16"/>
  <c r="N177" i="16"/>
  <c r="N260" i="16" s="1"/>
  <c r="N175" i="16"/>
  <c r="M260" i="16"/>
  <c r="M259" i="16"/>
  <c r="N14" i="16"/>
  <c r="M181" i="16"/>
  <c r="M179" i="16"/>
  <c r="M177" i="16"/>
  <c r="M175" i="16"/>
  <c r="L260" i="16"/>
  <c r="L259" i="16"/>
  <c r="M14" i="16"/>
  <c r="L181" i="16"/>
  <c r="L179" i="16"/>
  <c r="L177" i="16"/>
  <c r="L175" i="16"/>
  <c r="K260" i="16"/>
  <c r="L14" i="16"/>
  <c r="K259" i="16" s="1"/>
  <c r="K181" i="16"/>
  <c r="K179" i="16"/>
  <c r="K177" i="16"/>
  <c r="K175" i="16"/>
  <c r="K14" i="16"/>
  <c r="J259" i="16" s="1"/>
  <c r="J181" i="16"/>
  <c r="J179" i="16"/>
  <c r="J177" i="16"/>
  <c r="J175" i="16"/>
  <c r="J14" i="16"/>
  <c r="I259" i="16" s="1"/>
  <c r="I181" i="16"/>
  <c r="I179" i="16"/>
  <c r="I177" i="16"/>
  <c r="I175" i="16"/>
  <c r="H260" i="16"/>
  <c r="I14" i="16"/>
  <c r="H259" i="16" s="1"/>
  <c r="H181" i="16"/>
  <c r="H179" i="16"/>
  <c r="H177" i="16"/>
  <c r="H175" i="16"/>
  <c r="G260" i="16"/>
  <c r="G259" i="16"/>
  <c r="H14" i="16"/>
  <c r="G181" i="16"/>
  <c r="G179" i="16"/>
  <c r="G177" i="16"/>
  <c r="G175" i="16"/>
  <c r="F260" i="16"/>
  <c r="F259" i="16"/>
  <c r="G14" i="16"/>
  <c r="F181" i="16"/>
  <c r="F179" i="16"/>
  <c r="F177" i="16"/>
  <c r="F175" i="16"/>
  <c r="F14" i="16"/>
  <c r="E181" i="16"/>
  <c r="E260" i="16" s="1"/>
  <c r="E179" i="16"/>
  <c r="E177" i="16"/>
  <c r="E175" i="16"/>
  <c r="D259" i="16"/>
  <c r="E14" i="16"/>
  <c r="D181" i="16"/>
  <c r="D179" i="16"/>
  <c r="D260" i="16" s="1"/>
  <c r="D177" i="16"/>
  <c r="D175" i="16"/>
  <c r="AZ14" i="17"/>
  <c r="AY259" i="17" s="1"/>
  <c r="AY181" i="17"/>
  <c r="AY179" i="17"/>
  <c r="AY177" i="17"/>
  <c r="AY175" i="17"/>
  <c r="AX259" i="17"/>
  <c r="AY14" i="17"/>
  <c r="AX181" i="17"/>
  <c r="AX179" i="17"/>
  <c r="AX177" i="17"/>
  <c r="AX175" i="17"/>
  <c r="AX14" i="17"/>
  <c r="AW259" i="17" s="1"/>
  <c r="AW181" i="17"/>
  <c r="AW179" i="17"/>
  <c r="AW177" i="17"/>
  <c r="AW175" i="17"/>
  <c r="AW14" i="17"/>
  <c r="AV259" i="17" s="1"/>
  <c r="AV181" i="17"/>
  <c r="AV179" i="17"/>
  <c r="AV177" i="17"/>
  <c r="AV175" i="17"/>
  <c r="AV260" i="17" s="1"/>
  <c r="AU259" i="17"/>
  <c r="AV14" i="17"/>
  <c r="AU181" i="17"/>
  <c r="AU179" i="17"/>
  <c r="AU177" i="17"/>
  <c r="AU175" i="17"/>
  <c r="AT259" i="17"/>
  <c r="AU14" i="17"/>
  <c r="AT181" i="17"/>
  <c r="AT179" i="17"/>
  <c r="AT177" i="17"/>
  <c r="AT260" i="17" s="1"/>
  <c r="AT175" i="17"/>
  <c r="AS259" i="17"/>
  <c r="AT14" i="17"/>
  <c r="AS181" i="17"/>
  <c r="AS179" i="17"/>
  <c r="AS177" i="17"/>
  <c r="AS175" i="17"/>
  <c r="AS260" i="17" s="1"/>
  <c r="AR260" i="17"/>
  <c r="AS14" i="17"/>
  <c r="AR259" i="17" s="1"/>
  <c r="AR181" i="17"/>
  <c r="AR179" i="17"/>
  <c r="AR177" i="17"/>
  <c r="AR175" i="17"/>
  <c r="AQ260" i="17"/>
  <c r="AQ259" i="17"/>
  <c r="AR14" i="17"/>
  <c r="AQ181" i="17"/>
  <c r="AQ179" i="17"/>
  <c r="AQ177" i="17"/>
  <c r="AQ175" i="17"/>
  <c r="AQ14" i="17"/>
  <c r="AP259" i="17" s="1"/>
  <c r="AP181" i="17"/>
  <c r="AP179" i="17"/>
  <c r="AP177" i="17"/>
  <c r="AP175" i="17"/>
  <c r="AP14" i="17"/>
  <c r="AO259" i="17" s="1"/>
  <c r="AO181" i="17"/>
  <c r="AO179" i="17"/>
  <c r="AO177" i="17"/>
  <c r="AO175" i="17"/>
  <c r="AO14" i="17"/>
  <c r="AN259" i="17" s="1"/>
  <c r="AN181" i="17"/>
  <c r="AN179" i="17"/>
  <c r="AN177" i="17"/>
  <c r="AN175" i="17"/>
  <c r="AM260" i="17"/>
  <c r="AM259" i="17"/>
  <c r="AN14" i="17"/>
  <c r="AM181" i="17"/>
  <c r="AM179" i="17"/>
  <c r="AM177" i="17"/>
  <c r="AM175" i="17"/>
  <c r="AL260" i="17"/>
  <c r="AL259" i="17"/>
  <c r="AM14" i="17"/>
  <c r="AL181" i="17"/>
  <c r="AL179" i="17"/>
  <c r="AL177" i="17"/>
  <c r="AL175" i="17"/>
  <c r="AK260" i="17"/>
  <c r="AL14" i="17"/>
  <c r="AK259" i="17" s="1"/>
  <c r="AK181" i="17"/>
  <c r="AK179" i="17"/>
  <c r="AK177" i="17"/>
  <c r="AK175" i="17"/>
  <c r="AK14" i="17"/>
  <c r="AJ259" i="17" s="1"/>
  <c r="AJ181" i="17"/>
  <c r="AJ179" i="17"/>
  <c r="AJ260" i="17" s="1"/>
  <c r="AJ177" i="17"/>
  <c r="AJ175" i="17"/>
  <c r="AJ14" i="17"/>
  <c r="AI259" i="17" s="1"/>
  <c r="AI181" i="17"/>
  <c r="AI179" i="17"/>
  <c r="AI177" i="17"/>
  <c r="AI260" i="17" s="1"/>
  <c r="AI175" i="17"/>
  <c r="AH259" i="17"/>
  <c r="AI14" i="17"/>
  <c r="AH181" i="17"/>
  <c r="AH179" i="17"/>
  <c r="AH177" i="17"/>
  <c r="AH175" i="17"/>
  <c r="AH14" i="17"/>
  <c r="AG259" i="17" s="1"/>
  <c r="AG181" i="17"/>
  <c r="AG179" i="17"/>
  <c r="AG177" i="17"/>
  <c r="AG175" i="17"/>
  <c r="AG14" i="17"/>
  <c r="AF259" i="17" s="1"/>
  <c r="AF181" i="17"/>
  <c r="AF179" i="17"/>
  <c r="AF177" i="17"/>
  <c r="AF175" i="17"/>
  <c r="AE259" i="17"/>
  <c r="AF14" i="17"/>
  <c r="AE181" i="17"/>
  <c r="AE179" i="17"/>
  <c r="AE177" i="17"/>
  <c r="AE175" i="17"/>
  <c r="AE260" i="17" s="1"/>
  <c r="AD259" i="17"/>
  <c r="AE14" i="17"/>
  <c r="AD181" i="17"/>
  <c r="AD179" i="17"/>
  <c r="AD177" i="17"/>
  <c r="AD260" i="17" s="1"/>
  <c r="AD175" i="17"/>
  <c r="AC259" i="17"/>
  <c r="AD14" i="17"/>
  <c r="AC181" i="17"/>
  <c r="AC179" i="17"/>
  <c r="AC177" i="17"/>
  <c r="AC175" i="17"/>
  <c r="AC260" i="17" s="1"/>
  <c r="AB260" i="17"/>
  <c r="AB259" i="17"/>
  <c r="AC14" i="17"/>
  <c r="AB181" i="17"/>
  <c r="AB179" i="17"/>
  <c r="AB177" i="17"/>
  <c r="AB175" i="17"/>
  <c r="AA260" i="17"/>
  <c r="AB14" i="17"/>
  <c r="AA259" i="17" s="1"/>
  <c r="AA181" i="17"/>
  <c r="AA179" i="17"/>
  <c r="AA177" i="17"/>
  <c r="AA175" i="17"/>
  <c r="AA14" i="17"/>
  <c r="Z259" i="17" s="1"/>
  <c r="Z181" i="17"/>
  <c r="Z179" i="17"/>
  <c r="Z177" i="17"/>
  <c r="Z175" i="17"/>
  <c r="Z14" i="17"/>
  <c r="Y259" i="17" s="1"/>
  <c r="Y181" i="17"/>
  <c r="Y179" i="17"/>
  <c r="Y177" i="17"/>
  <c r="Y175" i="17"/>
  <c r="X260" i="17"/>
  <c r="Y14" i="17"/>
  <c r="X259" i="17" s="1"/>
  <c r="X181" i="17"/>
  <c r="X179" i="17"/>
  <c r="X177" i="17"/>
  <c r="X175" i="17"/>
  <c r="W260" i="17"/>
  <c r="W259" i="17"/>
  <c r="X14" i="17"/>
  <c r="W181" i="17"/>
  <c r="W179" i="17"/>
  <c r="W177" i="17"/>
  <c r="W175" i="17"/>
  <c r="V260" i="17"/>
  <c r="V259" i="17"/>
  <c r="W14" i="17"/>
  <c r="V181" i="17"/>
  <c r="V179" i="17"/>
  <c r="V177" i="17"/>
  <c r="V175" i="17"/>
  <c r="U259" i="17"/>
  <c r="V14" i="17"/>
  <c r="U181" i="17"/>
  <c r="U260" i="17" s="1"/>
  <c r="U179" i="17"/>
  <c r="U177" i="17"/>
  <c r="U175" i="17"/>
  <c r="T259" i="17"/>
  <c r="U14" i="17"/>
  <c r="T181" i="17"/>
  <c r="T179" i="17"/>
  <c r="T177" i="17"/>
  <c r="T175" i="17"/>
  <c r="T14" i="17"/>
  <c r="S259" i="17" s="1"/>
  <c r="S181" i="17"/>
  <c r="S179" i="17"/>
  <c r="S177" i="17"/>
  <c r="S175" i="17"/>
  <c r="R259" i="17"/>
  <c r="S14" i="17"/>
  <c r="R181" i="17"/>
  <c r="R179" i="17"/>
  <c r="R177" i="17"/>
  <c r="R175" i="17"/>
  <c r="R14" i="17"/>
  <c r="Q259" i="17" s="1"/>
  <c r="Q181" i="17"/>
  <c r="Q179" i="17"/>
  <c r="Q177" i="17"/>
  <c r="Q175" i="17"/>
  <c r="P260" i="17"/>
  <c r="Q14" i="17"/>
  <c r="P259" i="17" s="1"/>
  <c r="P181" i="17"/>
  <c r="P179" i="17"/>
  <c r="P177" i="17"/>
  <c r="P175" i="17"/>
  <c r="O259" i="17"/>
  <c r="P14" i="17"/>
  <c r="O181" i="17"/>
  <c r="O179" i="17"/>
  <c r="O177" i="17"/>
  <c r="O175" i="17"/>
  <c r="N260" i="17"/>
  <c r="N259" i="17"/>
  <c r="O14" i="17"/>
  <c r="N181" i="17"/>
  <c r="N179" i="17"/>
  <c r="N177" i="17"/>
  <c r="N175" i="17"/>
  <c r="M259" i="17"/>
  <c r="N14" i="17"/>
  <c r="M181" i="17"/>
  <c r="M179" i="17"/>
  <c r="M177" i="17"/>
  <c r="M175" i="17"/>
  <c r="M260" i="17" s="1"/>
  <c r="L260" i="17"/>
  <c r="M14" i="17"/>
  <c r="L259" i="17" s="1"/>
  <c r="L181" i="17"/>
  <c r="L179" i="17"/>
  <c r="L177" i="17"/>
  <c r="L175" i="17"/>
  <c r="K259" i="17"/>
  <c r="L14" i="17"/>
  <c r="K181" i="17"/>
  <c r="K260" i="17" s="1"/>
  <c r="K179" i="17"/>
  <c r="K177" i="17"/>
  <c r="K175" i="17"/>
  <c r="J259" i="17"/>
  <c r="K14" i="17"/>
  <c r="J181" i="17"/>
  <c r="J179" i="17"/>
  <c r="J177" i="17"/>
  <c r="J175" i="17"/>
  <c r="J14" i="17"/>
  <c r="I259" i="17" s="1"/>
  <c r="I181" i="17"/>
  <c r="I179" i="17"/>
  <c r="I177" i="17"/>
  <c r="I175" i="17"/>
  <c r="I14" i="17"/>
  <c r="H259" i="17" s="1"/>
  <c r="H181" i="17"/>
  <c r="H179" i="17"/>
  <c r="H177" i="17"/>
  <c r="H175" i="17"/>
  <c r="G259" i="17"/>
  <c r="H14" i="17"/>
  <c r="G181" i="17"/>
  <c r="G179" i="17"/>
  <c r="G177" i="17"/>
  <c r="G175" i="17"/>
  <c r="G260" i="17" s="1"/>
  <c r="F260" i="17"/>
  <c r="F259" i="17"/>
  <c r="G14" i="17"/>
  <c r="F181" i="17"/>
  <c r="F179" i="17"/>
  <c r="F177" i="17"/>
  <c r="F175" i="17"/>
  <c r="E260" i="17"/>
  <c r="F14" i="17"/>
  <c r="E259" i="17" s="1"/>
  <c r="E181" i="17"/>
  <c r="E179" i="17"/>
  <c r="E177" i="17"/>
  <c r="E175" i="17"/>
  <c r="E14" i="17"/>
  <c r="D181" i="17"/>
  <c r="D179" i="17"/>
  <c r="D177" i="17"/>
  <c r="D175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0" i="18" s="1"/>
  <c r="AV15" i="18"/>
  <c r="AV16" i="18"/>
  <c r="AV13" i="18"/>
  <c r="AV17" i="18"/>
  <c r="AV29" i="18"/>
  <c r="AU14" i="18"/>
  <c r="AU15" i="18"/>
  <c r="AU10" i="18" s="1"/>
  <c r="AU13" i="18" s="1"/>
  <c r="AU16" i="18"/>
  <c r="AU17" i="18"/>
  <c r="AU29" i="18"/>
  <c r="AT14" i="18"/>
  <c r="AT15" i="18"/>
  <c r="AT16" i="18"/>
  <c r="AT10" i="18"/>
  <c r="AT13" i="18" s="1"/>
  <c r="AT17" i="18"/>
  <c r="AT29" i="18"/>
  <c r="AS14" i="18"/>
  <c r="AS15" i="18"/>
  <c r="AS16" i="18"/>
  <c r="AS10" i="18"/>
  <c r="AS13" i="18" s="1"/>
  <c r="AS17" i="18"/>
  <c r="AS29" i="18"/>
  <c r="AR14" i="18"/>
  <c r="AR15" i="18"/>
  <c r="AR10" i="18" s="1"/>
  <c r="AR16" i="18"/>
  <c r="AR13" i="18"/>
  <c r="AR17" i="18"/>
  <c r="AR29" i="18"/>
  <c r="AQ14" i="18"/>
  <c r="AQ15" i="18"/>
  <c r="AQ10" i="18" s="1"/>
  <c r="AQ13" i="18" s="1"/>
  <c r="AQ16" i="18"/>
  <c r="AQ17" i="18"/>
  <c r="AQ29" i="18"/>
  <c r="AP14" i="18"/>
  <c r="AP15" i="18"/>
  <c r="AP16" i="18"/>
  <c r="AP10" i="18"/>
  <c r="AP13" i="18" s="1"/>
  <c r="AP17" i="18"/>
  <c r="AP29" i="18"/>
  <c r="AO14" i="18"/>
  <c r="AO15" i="18"/>
  <c r="AO16" i="18"/>
  <c r="AO10" i="18" s="1"/>
  <c r="AO13" i="18" s="1"/>
  <c r="AO17" i="18"/>
  <c r="AO29" i="18"/>
  <c r="AN14" i="18"/>
  <c r="AN15" i="18"/>
  <c r="AN16" i="18"/>
  <c r="AN10" i="18"/>
  <c r="AN13" i="18" s="1"/>
  <c r="AN17" i="18"/>
  <c r="AN29" i="18"/>
  <c r="AM14" i="18"/>
  <c r="AM10" i="18" s="1"/>
  <c r="AM13" i="18" s="1"/>
  <c r="AM15" i="18"/>
  <c r="AM16" i="18"/>
  <c r="AM17" i="18"/>
  <c r="AM29" i="18"/>
  <c r="AL14" i="18"/>
  <c r="AL10" i="18" s="1"/>
  <c r="AL15" i="18"/>
  <c r="AL16" i="18"/>
  <c r="AL13" i="18"/>
  <c r="AL17" i="18"/>
  <c r="AL29" i="18"/>
  <c r="AK14" i="18"/>
  <c r="AK15" i="18"/>
  <c r="AK16" i="18"/>
  <c r="AK10" i="18"/>
  <c r="AK13" i="18" s="1"/>
  <c r="AK17" i="18"/>
  <c r="AK29" i="18"/>
  <c r="AJ16" i="18"/>
  <c r="AJ17" i="18"/>
  <c r="AJ21" i="18"/>
  <c r="AJ23" i="18" s="1"/>
  <c r="AJ22" i="18"/>
  <c r="AJ29" i="18"/>
  <c r="AJ33" i="18"/>
  <c r="AJ39" i="18" s="1"/>
  <c r="AJ44" i="18"/>
  <c r="AJ50" i="18" s="1"/>
  <c r="AJ55" i="18"/>
  <c r="AJ61" i="18" s="1"/>
  <c r="AJ66" i="18"/>
  <c r="AJ72" i="18" s="1"/>
  <c r="AI14" i="18"/>
  <c r="AI15" i="18"/>
  <c r="AI16" i="18"/>
  <c r="AI17" i="18"/>
  <c r="AI29" i="18"/>
  <c r="AH14" i="18"/>
  <c r="AH10" i="18" s="1"/>
  <c r="AH15" i="18"/>
  <c r="AH16" i="18"/>
  <c r="AH13" i="18"/>
  <c r="AH17" i="18"/>
  <c r="AH29" i="18"/>
  <c r="AG14" i="18"/>
  <c r="AG10" i="18" s="1"/>
  <c r="AG15" i="18"/>
  <c r="AG16" i="18"/>
  <c r="AG13" i="18"/>
  <c r="AG17" i="18"/>
  <c r="AG29" i="18"/>
  <c r="AF14" i="18"/>
  <c r="AF15" i="18"/>
  <c r="AF10" i="18" s="1"/>
  <c r="AF13" i="18" s="1"/>
  <c r="AF16" i="18"/>
  <c r="AF17" i="18"/>
  <c r="AF29" i="18"/>
  <c r="AE14" i="18"/>
  <c r="AE15" i="18"/>
  <c r="AE16" i="18"/>
  <c r="AE17" i="18"/>
  <c r="AE29" i="18"/>
  <c r="AD14" i="18"/>
  <c r="AD15" i="18"/>
  <c r="AD10" i="18" s="1"/>
  <c r="AD13" i="18" s="1"/>
  <c r="AD16" i="18"/>
  <c r="AD17" i="18"/>
  <c r="AD29" i="18"/>
  <c r="AC14" i="18"/>
  <c r="AC10" i="18" s="1"/>
  <c r="AC13" i="18" s="1"/>
  <c r="AC15" i="18"/>
  <c r="AC16" i="18"/>
  <c r="AC17" i="18"/>
  <c r="AC29" i="18"/>
  <c r="AB14" i="18"/>
  <c r="AB15" i="18"/>
  <c r="AB16" i="18"/>
  <c r="AB10" i="18"/>
  <c r="AB13" i="18" s="1"/>
  <c r="AB17" i="18"/>
  <c r="AB29" i="18"/>
  <c r="AA14" i="18"/>
  <c r="AA15" i="18"/>
  <c r="AA16" i="18"/>
  <c r="AA17" i="18"/>
  <c r="AA29" i="18"/>
  <c r="Z14" i="18"/>
  <c r="Z15" i="18"/>
  <c r="Z16" i="18"/>
  <c r="Z10" i="18"/>
  <c r="Z13" i="18" s="1"/>
  <c r="Z17" i="18"/>
  <c r="Z29" i="18"/>
  <c r="Y14" i="18"/>
  <c r="Y10" i="18" s="1"/>
  <c r="Y13" i="18" s="1"/>
  <c r="Y15" i="18"/>
  <c r="Y16" i="18"/>
  <c r="Y17" i="18"/>
  <c r="Y29" i="18"/>
  <c r="X14" i="18"/>
  <c r="X15" i="18"/>
  <c r="X10" i="18" s="1"/>
  <c r="X13" i="18" s="1"/>
  <c r="X16" i="18"/>
  <c r="X17" i="18"/>
  <c r="X29" i="18"/>
  <c r="W14" i="18"/>
  <c r="W15" i="18"/>
  <c r="W16" i="18"/>
  <c r="W17" i="18"/>
  <c r="W29" i="18"/>
  <c r="V14" i="18"/>
  <c r="V15" i="18"/>
  <c r="V10" i="18" s="1"/>
  <c r="V13" i="18" s="1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6" i="18"/>
  <c r="T17" i="18"/>
  <c r="T29" i="18"/>
  <c r="S14" i="18"/>
  <c r="S10" i="18" s="1"/>
  <c r="S15" i="18"/>
  <c r="S16" i="18"/>
  <c r="S13" i="18"/>
  <c r="S17" i="18"/>
  <c r="S29" i="18"/>
  <c r="R14" i="18"/>
  <c r="R15" i="18"/>
  <c r="R16" i="18"/>
  <c r="R10" i="18" s="1"/>
  <c r="R13" i="18" s="1"/>
  <c r="R17" i="18"/>
  <c r="R29" i="18"/>
  <c r="Q14" i="18"/>
  <c r="Q15" i="18"/>
  <c r="Q16" i="18"/>
  <c r="Q17" i="18"/>
  <c r="Q29" i="18"/>
  <c r="P14" i="18"/>
  <c r="P15" i="18"/>
  <c r="P16" i="18"/>
  <c r="P10" i="18"/>
  <c r="P13" i="18" s="1"/>
  <c r="P17" i="18"/>
  <c r="P29" i="18"/>
  <c r="O14" i="18"/>
  <c r="O15" i="18"/>
  <c r="O16" i="18"/>
  <c r="O17" i="18"/>
  <c r="O29" i="18"/>
  <c r="N14" i="18"/>
  <c r="N15" i="18"/>
  <c r="N16" i="18"/>
  <c r="N10" i="18"/>
  <c r="N13" i="18" s="1"/>
  <c r="N17" i="18"/>
  <c r="N29" i="18"/>
  <c r="M14" i="18"/>
  <c r="M10" i="18" s="1"/>
  <c r="M13" i="18" s="1"/>
  <c r="M15" i="18"/>
  <c r="M16" i="18"/>
  <c r="M17" i="18"/>
  <c r="M29" i="18"/>
  <c r="L14" i="18"/>
  <c r="L15" i="18"/>
  <c r="L16" i="18"/>
  <c r="L17" i="18"/>
  <c r="L29" i="18"/>
  <c r="K14" i="18"/>
  <c r="K10" i="18" s="1"/>
  <c r="K15" i="18"/>
  <c r="K16" i="18"/>
  <c r="K13" i="18"/>
  <c r="K17" i="18"/>
  <c r="K29" i="18"/>
  <c r="J14" i="18"/>
  <c r="J15" i="18"/>
  <c r="J16" i="18"/>
  <c r="J10" i="18" s="1"/>
  <c r="J13" i="18" s="1"/>
  <c r="J17" i="18"/>
  <c r="J29" i="18"/>
  <c r="I14" i="18"/>
  <c r="I10" i="18" s="1"/>
  <c r="I13" i="18" s="1"/>
  <c r="I15" i="18"/>
  <c r="I16" i="18"/>
  <c r="I17" i="18"/>
  <c r="I29" i="18"/>
  <c r="H14" i="18"/>
  <c r="H15" i="18"/>
  <c r="H16" i="18"/>
  <c r="H10" i="18"/>
  <c r="H13" i="18" s="1"/>
  <c r="H17" i="18"/>
  <c r="H29" i="18"/>
  <c r="G14" i="18"/>
  <c r="G10" i="18" s="1"/>
  <c r="G13" i="18" s="1"/>
  <c r="G15" i="18"/>
  <c r="G16" i="18"/>
  <c r="G17" i="18"/>
  <c r="G29" i="18"/>
  <c r="F14" i="18"/>
  <c r="F15" i="18"/>
  <c r="F10" i="18" s="1"/>
  <c r="F13" i="18" s="1"/>
  <c r="F16" i="18"/>
  <c r="F17" i="18"/>
  <c r="F29" i="18"/>
  <c r="E14" i="18"/>
  <c r="E15" i="18"/>
  <c r="E16" i="18"/>
  <c r="E17" i="18"/>
  <c r="E27" i="18"/>
  <c r="E29" i="18"/>
  <c r="D14" i="18"/>
  <c r="D15" i="18"/>
  <c r="D16" i="18"/>
  <c r="D17" i="18"/>
  <c r="D27" i="18"/>
  <c r="D29" i="18"/>
  <c r="D30" i="18"/>
  <c r="AY14" i="19"/>
  <c r="AY15" i="19"/>
  <c r="AY16" i="19"/>
  <c r="AY10" i="19"/>
  <c r="AY13" i="19" s="1"/>
  <c r="AY17" i="19"/>
  <c r="AY29" i="19"/>
  <c r="AX14" i="19"/>
  <c r="AX10" i="19" s="1"/>
  <c r="AX15" i="19"/>
  <c r="AX16" i="19"/>
  <c r="AX13" i="19"/>
  <c r="AX17" i="19"/>
  <c r="AX29" i="19"/>
  <c r="AW14" i="19"/>
  <c r="AW15" i="19"/>
  <c r="AW10" i="19" s="1"/>
  <c r="AW13" i="19" s="1"/>
  <c r="AW16" i="19"/>
  <c r="AW17" i="19"/>
  <c r="AW29" i="19"/>
  <c r="AV14" i="19"/>
  <c r="AV10" i="19" s="1"/>
  <c r="AV13" i="19" s="1"/>
  <c r="AV15" i="19"/>
  <c r="AV16" i="19"/>
  <c r="AV17" i="19"/>
  <c r="AV29" i="19"/>
  <c r="AU14" i="19"/>
  <c r="AU15" i="19"/>
  <c r="AU10" i="19" s="1"/>
  <c r="AU13" i="19" s="1"/>
  <c r="AU16" i="19"/>
  <c r="AU17" i="19"/>
  <c r="AU29" i="19"/>
  <c r="AT14" i="19"/>
  <c r="AT10" i="19" s="1"/>
  <c r="AT13" i="19" s="1"/>
  <c r="AT15" i="19"/>
  <c r="AT16" i="19"/>
  <c r="AT17" i="19"/>
  <c r="AT29" i="19"/>
  <c r="AS14" i="19"/>
  <c r="AS15" i="19"/>
  <c r="AS16" i="19"/>
  <c r="AS17" i="19"/>
  <c r="AS29" i="19"/>
  <c r="AR14" i="19"/>
  <c r="AR10" i="19" s="1"/>
  <c r="AR15" i="19"/>
  <c r="AR16" i="19"/>
  <c r="AR13" i="19"/>
  <c r="AR17" i="19"/>
  <c r="AR29" i="19"/>
  <c r="AQ14" i="19"/>
  <c r="AQ15" i="19"/>
  <c r="AQ16" i="19"/>
  <c r="AQ10" i="19"/>
  <c r="AQ13" i="19" s="1"/>
  <c r="AQ17" i="19"/>
  <c r="AQ29" i="19"/>
  <c r="AP14" i="19"/>
  <c r="AP15" i="19"/>
  <c r="AP16" i="19"/>
  <c r="AP17" i="19"/>
  <c r="AP29" i="19"/>
  <c r="AO14" i="19"/>
  <c r="AO15" i="19"/>
  <c r="AO10" i="19" s="1"/>
  <c r="AO13" i="19" s="1"/>
  <c r="AO16" i="19"/>
  <c r="AO17" i="19"/>
  <c r="AO29" i="19"/>
  <c r="AN14" i="19"/>
  <c r="AN15" i="19"/>
  <c r="AN16" i="19"/>
  <c r="AN17" i="19"/>
  <c r="AN29" i="19"/>
  <c r="AM14" i="19"/>
  <c r="AM15" i="19"/>
  <c r="AM16" i="19"/>
  <c r="AM10" i="19"/>
  <c r="AM13" i="19" s="1"/>
  <c r="AM17" i="19"/>
  <c r="AM29" i="19"/>
  <c r="AL14" i="19"/>
  <c r="AL10" i="19" s="1"/>
  <c r="AL13" i="19" s="1"/>
  <c r="AL15" i="19"/>
  <c r="AL16" i="19"/>
  <c r="AL17" i="19"/>
  <c r="AL29" i="19"/>
  <c r="AK14" i="19"/>
  <c r="AK10" i="19" s="1"/>
  <c r="AK13" i="19" s="1"/>
  <c r="AK15" i="19"/>
  <c r="AK16" i="19"/>
  <c r="AK17" i="19"/>
  <c r="AK29" i="19"/>
  <c r="AJ14" i="19"/>
  <c r="AJ10" i="19" s="1"/>
  <c r="AJ15" i="19"/>
  <c r="AJ16" i="19"/>
  <c r="AJ13" i="19"/>
  <c r="AJ17" i="19"/>
  <c r="AJ29" i="19"/>
  <c r="AI14" i="19"/>
  <c r="AI15" i="19"/>
  <c r="AI16" i="19"/>
  <c r="AI10" i="19"/>
  <c r="AI13" i="19" s="1"/>
  <c r="AI17" i="19"/>
  <c r="AI29" i="19"/>
  <c r="AH14" i="19"/>
  <c r="AH15" i="19"/>
  <c r="AH10" i="19" s="1"/>
  <c r="AH13" i="19" s="1"/>
  <c r="AH16" i="19"/>
  <c r="AH17" i="19"/>
  <c r="AH29" i="19"/>
  <c r="AG14" i="19"/>
  <c r="AG15" i="19"/>
  <c r="AG10" i="19" s="1"/>
  <c r="AG13" i="19" s="1"/>
  <c r="AG16" i="19"/>
  <c r="AG17" i="19"/>
  <c r="AG29" i="19"/>
  <c r="AF14" i="19"/>
  <c r="AF10" i="19" s="1"/>
  <c r="AF13" i="19" s="1"/>
  <c r="AF15" i="19"/>
  <c r="AF16" i="19"/>
  <c r="AF17" i="19"/>
  <c r="AF29" i="19"/>
  <c r="AE14" i="19"/>
  <c r="AE15" i="19"/>
  <c r="AE16" i="19"/>
  <c r="AE10" i="19"/>
  <c r="AE13" i="19" s="1"/>
  <c r="AE17" i="19"/>
  <c r="AE29" i="19"/>
  <c r="AD14" i="19"/>
  <c r="AD15" i="19"/>
  <c r="AD16" i="19"/>
  <c r="AD17" i="19"/>
  <c r="AD29" i="19"/>
  <c r="AC14" i="19"/>
  <c r="AC15" i="19"/>
  <c r="AC16" i="19"/>
  <c r="AC17" i="19"/>
  <c r="AC29" i="19"/>
  <c r="AB14" i="19"/>
  <c r="AB10" i="19" s="1"/>
  <c r="AB15" i="19"/>
  <c r="AB16" i="19"/>
  <c r="AB13" i="19"/>
  <c r="AB17" i="19"/>
  <c r="AB29" i="19"/>
  <c r="AA21" i="19"/>
  <c r="AA23" i="19" s="1"/>
  <c r="AA22" i="19"/>
  <c r="AA29" i="19"/>
  <c r="AA33" i="19"/>
  <c r="AA39" i="19" s="1"/>
  <c r="AA44" i="19"/>
  <c r="AA45" i="19"/>
  <c r="AA51" i="19" s="1"/>
  <c r="AA50" i="19"/>
  <c r="AA55" i="19"/>
  <c r="AA67" i="19"/>
  <c r="AA73" i="19" s="1"/>
  <c r="Z14" i="19"/>
  <c r="AA15" i="19" s="1"/>
  <c r="Z15" i="19"/>
  <c r="AA16" i="19" s="1"/>
  <c r="Z16" i="19"/>
  <c r="AA17" i="19" s="1"/>
  <c r="Z17" i="19"/>
  <c r="Z29" i="19"/>
  <c r="Y14" i="19"/>
  <c r="Y15" i="19"/>
  <c r="Y16" i="19"/>
  <c r="Y10" i="19"/>
  <c r="Y13" i="19" s="1"/>
  <c r="Y17" i="19"/>
  <c r="Y29" i="19"/>
  <c r="X14" i="19"/>
  <c r="X10" i="19" s="1"/>
  <c r="X13" i="19" s="1"/>
  <c r="X15" i="19"/>
  <c r="X16" i="19"/>
  <c r="X17" i="19"/>
  <c r="X29" i="19"/>
  <c r="W14" i="19"/>
  <c r="W15" i="19"/>
  <c r="W16" i="19"/>
  <c r="W10" i="19"/>
  <c r="W13" i="19" s="1"/>
  <c r="W17" i="19"/>
  <c r="W29" i="19"/>
  <c r="V14" i="19"/>
  <c r="V10" i="19" s="1"/>
  <c r="V13" i="19" s="1"/>
  <c r="V15" i="19"/>
  <c r="V16" i="19"/>
  <c r="V17" i="19"/>
  <c r="V29" i="19"/>
  <c r="U14" i="19"/>
  <c r="U15" i="19"/>
  <c r="U10" i="19" s="1"/>
  <c r="U13" i="19" s="1"/>
  <c r="U16" i="19"/>
  <c r="U17" i="19"/>
  <c r="U29" i="19"/>
  <c r="T14" i="19"/>
  <c r="T15" i="19"/>
  <c r="T16" i="19"/>
  <c r="T10" i="19"/>
  <c r="T13" i="19" s="1"/>
  <c r="T17" i="19"/>
  <c r="T29" i="19"/>
  <c r="S14" i="19"/>
  <c r="S15" i="19"/>
  <c r="S16" i="19"/>
  <c r="S17" i="19"/>
  <c r="S29" i="19"/>
  <c r="R14" i="19"/>
  <c r="R15" i="19"/>
  <c r="R16" i="19"/>
  <c r="R10" i="19"/>
  <c r="R13" i="19" s="1"/>
  <c r="R17" i="19"/>
  <c r="R29" i="19"/>
  <c r="Q14" i="19"/>
  <c r="Q10" i="19" s="1"/>
  <c r="Q13" i="19" s="1"/>
  <c r="Q15" i="19"/>
  <c r="Q16" i="19"/>
  <c r="Q17" i="19"/>
  <c r="Q29" i="19"/>
  <c r="P14" i="19"/>
  <c r="P15" i="19"/>
  <c r="P10" i="19" s="1"/>
  <c r="P13" i="19" s="1"/>
  <c r="P16" i="19"/>
  <c r="P17" i="19"/>
  <c r="P21" i="19"/>
  <c r="P29" i="19"/>
  <c r="O14" i="19"/>
  <c r="O10" i="19" s="1"/>
  <c r="O13" i="19" s="1"/>
  <c r="O15" i="19"/>
  <c r="O16" i="19"/>
  <c r="O17" i="19"/>
  <c r="O29" i="19"/>
  <c r="N14" i="19"/>
  <c r="N15" i="19"/>
  <c r="N16" i="19"/>
  <c r="N10" i="19"/>
  <c r="N13" i="19"/>
  <c r="N17" i="19"/>
  <c r="N22" i="19"/>
  <c r="N29" i="19"/>
  <c r="M14" i="19"/>
  <c r="M15" i="19"/>
  <c r="M16" i="19"/>
  <c r="M10" i="19"/>
  <c r="M13" i="19" s="1"/>
  <c r="M17" i="19"/>
  <c r="M29" i="19"/>
  <c r="L14" i="19"/>
  <c r="L15" i="19"/>
  <c r="L16" i="19"/>
  <c r="L10" i="19"/>
  <c r="L13" i="19" s="1"/>
  <c r="L17" i="19"/>
  <c r="L29" i="19"/>
  <c r="K14" i="19"/>
  <c r="K15" i="19"/>
  <c r="K16" i="19"/>
  <c r="K17" i="19"/>
  <c r="K29" i="19"/>
  <c r="J14" i="19"/>
  <c r="J15" i="19"/>
  <c r="J16" i="19"/>
  <c r="J10" i="19"/>
  <c r="J13" i="19" s="1"/>
  <c r="J17" i="19"/>
  <c r="J29" i="19"/>
  <c r="I14" i="19"/>
  <c r="I10" i="19" s="1"/>
  <c r="I13" i="19" s="1"/>
  <c r="I15" i="19"/>
  <c r="I16" i="19"/>
  <c r="I17" i="19"/>
  <c r="I21" i="19"/>
  <c r="I29" i="19"/>
  <c r="H14" i="19"/>
  <c r="H15" i="19"/>
  <c r="H10" i="19" s="1"/>
  <c r="H13" i="19" s="1"/>
  <c r="H16" i="19"/>
  <c r="H17" i="19"/>
  <c r="H29" i="19"/>
  <c r="G14" i="19"/>
  <c r="G10" i="19" s="1"/>
  <c r="G13" i="19" s="1"/>
  <c r="G15" i="19"/>
  <c r="G16" i="19"/>
  <c r="G17" i="19"/>
  <c r="G29" i="19"/>
  <c r="F14" i="19"/>
  <c r="F15" i="19"/>
  <c r="F16" i="19"/>
  <c r="F10" i="19"/>
  <c r="F13" i="19"/>
  <c r="F17" i="19"/>
  <c r="F29" i="19"/>
  <c r="E14" i="19"/>
  <c r="E15" i="19"/>
  <c r="E16" i="19"/>
  <c r="E10" i="19" s="1"/>
  <c r="E13" i="19" s="1"/>
  <c r="E17" i="19"/>
  <c r="E29" i="19"/>
  <c r="D14" i="19"/>
  <c r="D15" i="19"/>
  <c r="D16" i="19"/>
  <c r="D10" i="19"/>
  <c r="D17" i="19"/>
  <c r="D27" i="19"/>
  <c r="D29" i="19"/>
  <c r="AY14" i="20"/>
  <c r="AY15" i="20"/>
  <c r="AY16" i="20"/>
  <c r="AY17" i="20"/>
  <c r="AY29" i="20"/>
  <c r="AX14" i="20"/>
  <c r="AX15" i="20"/>
  <c r="AX16" i="20"/>
  <c r="AX10" i="20"/>
  <c r="AX13" i="20" s="1"/>
  <c r="AX17" i="20"/>
  <c r="AX29" i="20"/>
  <c r="AW14" i="20"/>
  <c r="AW10" i="20" s="1"/>
  <c r="AW13" i="20" s="1"/>
  <c r="AW15" i="20"/>
  <c r="AW16" i="20"/>
  <c r="AW17" i="20"/>
  <c r="AW29" i="20"/>
  <c r="AV14" i="20"/>
  <c r="AV15" i="20"/>
  <c r="AV10" i="20" s="1"/>
  <c r="AV13" i="20" s="1"/>
  <c r="AV16" i="20"/>
  <c r="AV17" i="20"/>
  <c r="AV29" i="20"/>
  <c r="AU14" i="20"/>
  <c r="AU10" i="20" s="1"/>
  <c r="AU13" i="20" s="1"/>
  <c r="AU15" i="20"/>
  <c r="AU16" i="20"/>
  <c r="AU17" i="20"/>
  <c r="AU29" i="20"/>
  <c r="AT14" i="20"/>
  <c r="AT15" i="20"/>
  <c r="AT16" i="20"/>
  <c r="AT10" i="20"/>
  <c r="AT13" i="20"/>
  <c r="AT17" i="20"/>
  <c r="AT29" i="20"/>
  <c r="AS14" i="20"/>
  <c r="AS15" i="20"/>
  <c r="AS16" i="20"/>
  <c r="AS10" i="20" s="1"/>
  <c r="AS13" i="20" s="1"/>
  <c r="AS17" i="20"/>
  <c r="AS29" i="20"/>
  <c r="AR14" i="20"/>
  <c r="AR15" i="20"/>
  <c r="AR16" i="20"/>
  <c r="AR10" i="20"/>
  <c r="AR13" i="20" s="1"/>
  <c r="AR17" i="20"/>
  <c r="AR29" i="20"/>
  <c r="AQ14" i="20"/>
  <c r="AQ15" i="20"/>
  <c r="AQ16" i="20"/>
  <c r="AQ17" i="20"/>
  <c r="AQ29" i="20"/>
  <c r="AP14" i="20"/>
  <c r="AP15" i="20"/>
  <c r="AP16" i="20"/>
  <c r="AP10" i="20"/>
  <c r="AP13" i="20" s="1"/>
  <c r="AP17" i="20"/>
  <c r="AP29" i="20"/>
  <c r="AO14" i="20"/>
  <c r="AO15" i="20"/>
  <c r="AO16" i="20"/>
  <c r="AO17" i="20"/>
  <c r="AO29" i="20"/>
  <c r="AN14" i="20"/>
  <c r="AN15" i="20"/>
  <c r="AN10" i="20" s="1"/>
  <c r="AN13" i="20" s="1"/>
  <c r="AN16" i="20"/>
  <c r="AN17" i="20"/>
  <c r="AN29" i="20"/>
  <c r="AM14" i="20"/>
  <c r="AM10" i="20" s="1"/>
  <c r="AM15" i="20"/>
  <c r="AM16" i="20"/>
  <c r="AM13" i="20"/>
  <c r="AM17" i="20"/>
  <c r="AM29" i="20"/>
  <c r="AL14" i="20"/>
  <c r="AL15" i="20"/>
  <c r="AL16" i="20"/>
  <c r="AL10" i="20"/>
  <c r="AL13" i="20" s="1"/>
  <c r="AL17" i="20"/>
  <c r="AL29" i="20"/>
  <c r="AK14" i="20"/>
  <c r="AK15" i="20"/>
  <c r="AK10" i="20" s="1"/>
  <c r="AK13" i="20" s="1"/>
  <c r="AK16" i="20"/>
  <c r="AK17" i="20"/>
  <c r="AK21" i="20"/>
  <c r="AK29" i="20"/>
  <c r="AJ14" i="20"/>
  <c r="AJ15" i="20"/>
  <c r="AJ16" i="20"/>
  <c r="AJ10" i="20"/>
  <c r="AJ13" i="20"/>
  <c r="AJ17" i="20"/>
  <c r="AJ29" i="20"/>
  <c r="AI14" i="20"/>
  <c r="AI15" i="20"/>
  <c r="AI16" i="20"/>
  <c r="AI10" i="20"/>
  <c r="AI13" i="20" s="1"/>
  <c r="AI17" i="20"/>
  <c r="AI29" i="20"/>
  <c r="AH14" i="20"/>
  <c r="AH15" i="20"/>
  <c r="AH10" i="20" s="1"/>
  <c r="AH13" i="20" s="1"/>
  <c r="AH16" i="20"/>
  <c r="AH17" i="20"/>
  <c r="AH29" i="20"/>
  <c r="AG14" i="20"/>
  <c r="AG15" i="20"/>
  <c r="AG16" i="20"/>
  <c r="AG17" i="20"/>
  <c r="AG29" i="20"/>
  <c r="AF14" i="20"/>
  <c r="AF15" i="20"/>
  <c r="AF16" i="20"/>
  <c r="AF17" i="20"/>
  <c r="AF29" i="20"/>
  <c r="AE14" i="20"/>
  <c r="AE10" i="20" s="1"/>
  <c r="AE13" i="20" s="1"/>
  <c r="AE15" i="20"/>
  <c r="AE16" i="20"/>
  <c r="AE17" i="20"/>
  <c r="AE29" i="20"/>
  <c r="AD14" i="20"/>
  <c r="AD15" i="20"/>
  <c r="AD16" i="20"/>
  <c r="AD10" i="20" s="1"/>
  <c r="AD13" i="20" s="1"/>
  <c r="AD17" i="20"/>
  <c r="AD29" i="20"/>
  <c r="AC14" i="20"/>
  <c r="AC15" i="20"/>
  <c r="AC10" i="20" s="1"/>
  <c r="AC16" i="20"/>
  <c r="AC13" i="20"/>
  <c r="AC17" i="20"/>
  <c r="AC29" i="20"/>
  <c r="AB14" i="20"/>
  <c r="AB15" i="20"/>
  <c r="AB16" i="20"/>
  <c r="AB10" i="20"/>
  <c r="AB13" i="20" s="1"/>
  <c r="AB17" i="20"/>
  <c r="AB29" i="20"/>
  <c r="AA14" i="20"/>
  <c r="AA15" i="20"/>
  <c r="AA16" i="20"/>
  <c r="AA10" i="20"/>
  <c r="AA13" i="20"/>
  <c r="AA17" i="20"/>
  <c r="AA29" i="20"/>
  <c r="Z14" i="20"/>
  <c r="Z15" i="20"/>
  <c r="Z16" i="20"/>
  <c r="Z10" i="20"/>
  <c r="Z13" i="20" s="1"/>
  <c r="Z17" i="20"/>
  <c r="Z29" i="20"/>
  <c r="Y14" i="20"/>
  <c r="Y15" i="20"/>
  <c r="Y16" i="20"/>
  <c r="Y17" i="20"/>
  <c r="Y29" i="20"/>
  <c r="X14" i="20"/>
  <c r="X10" i="20" s="1"/>
  <c r="X13" i="20" s="1"/>
  <c r="X15" i="20"/>
  <c r="X16" i="20"/>
  <c r="X17" i="20"/>
  <c r="X29" i="20"/>
  <c r="W21" i="20"/>
  <c r="W22" i="20"/>
  <c r="W23" i="20"/>
  <c r="W29" i="20"/>
  <c r="W55" i="20"/>
  <c r="W56" i="20"/>
  <c r="W62" i="20" s="1"/>
  <c r="V14" i="20"/>
  <c r="V10" i="20" s="1"/>
  <c r="V13" i="20" s="1"/>
  <c r="W14" i="20" s="1"/>
  <c r="V15" i="20"/>
  <c r="W16" i="20" s="1"/>
  <c r="V16" i="20"/>
  <c r="W17" i="20" s="1"/>
  <c r="V17" i="20"/>
  <c r="V29" i="20"/>
  <c r="U14" i="20"/>
  <c r="U15" i="20"/>
  <c r="U16" i="20"/>
  <c r="U10" i="20"/>
  <c r="U13" i="20"/>
  <c r="U17" i="20"/>
  <c r="U29" i="20"/>
  <c r="T14" i="20"/>
  <c r="T15" i="20"/>
  <c r="T16" i="20"/>
  <c r="T10" i="20"/>
  <c r="T13" i="20"/>
  <c r="T17" i="20"/>
  <c r="T29" i="20"/>
  <c r="S14" i="20"/>
  <c r="S15" i="20"/>
  <c r="S16" i="20"/>
  <c r="S10" i="20" s="1"/>
  <c r="S13" i="20" s="1"/>
  <c r="S17" i="20"/>
  <c r="S29" i="20"/>
  <c r="R16" i="20"/>
  <c r="R21" i="20"/>
  <c r="R22" i="20"/>
  <c r="R23" i="20"/>
  <c r="R24" i="20"/>
  <c r="R29" i="20"/>
  <c r="R33" i="20"/>
  <c r="R35" i="20" s="1"/>
  <c r="R34" i="20"/>
  <c r="R40" i="20"/>
  <c r="R44" i="20"/>
  <c r="R45" i="20"/>
  <c r="R51" i="20" s="1"/>
  <c r="R55" i="20"/>
  <c r="R56" i="20"/>
  <c r="R57" i="20"/>
  <c r="R61" i="20"/>
  <c r="R62" i="20"/>
  <c r="R66" i="20"/>
  <c r="R68" i="20" s="1"/>
  <c r="R67" i="20"/>
  <c r="R73" i="20"/>
  <c r="Q14" i="20"/>
  <c r="R15" i="20" s="1"/>
  <c r="Q15" i="20"/>
  <c r="Q16" i="20"/>
  <c r="R17" i="20" s="1"/>
  <c r="Q17" i="20"/>
  <c r="Q29" i="20"/>
  <c r="P14" i="20"/>
  <c r="P15" i="20"/>
  <c r="P16" i="20"/>
  <c r="P17" i="20"/>
  <c r="P29" i="20"/>
  <c r="O21" i="20"/>
  <c r="O23" i="20" s="1"/>
  <c r="O22" i="20"/>
  <c r="O29" i="20"/>
  <c r="O34" i="20"/>
  <c r="O40" i="20" s="1"/>
  <c r="O55" i="20"/>
  <c r="N14" i="20"/>
  <c r="N10" i="20" s="1"/>
  <c r="N13" i="20" s="1"/>
  <c r="O14" i="20" s="1"/>
  <c r="N15" i="20"/>
  <c r="O16" i="20" s="1"/>
  <c r="N16" i="20"/>
  <c r="O17" i="20" s="1"/>
  <c r="N17" i="20"/>
  <c r="N21" i="20"/>
  <c r="N29" i="20"/>
  <c r="M14" i="20"/>
  <c r="M10" i="20" s="1"/>
  <c r="M13" i="20" s="1"/>
  <c r="M15" i="20"/>
  <c r="M16" i="20"/>
  <c r="M17" i="20"/>
  <c r="M29" i="20"/>
  <c r="L14" i="20"/>
  <c r="L15" i="20"/>
  <c r="L16" i="20"/>
  <c r="L10" i="20"/>
  <c r="L13" i="20"/>
  <c r="L17" i="20"/>
  <c r="L29" i="20"/>
  <c r="K14" i="20"/>
  <c r="K15" i="20"/>
  <c r="K16" i="20"/>
  <c r="K10" i="20"/>
  <c r="K13" i="20"/>
  <c r="K17" i="20"/>
  <c r="K29" i="20"/>
  <c r="J14" i="20"/>
  <c r="J15" i="20"/>
  <c r="J16" i="20"/>
  <c r="J17" i="20"/>
  <c r="J29" i="20"/>
  <c r="I14" i="20"/>
  <c r="I10" i="20" s="1"/>
  <c r="I13" i="20" s="1"/>
  <c r="I15" i="20"/>
  <c r="I16" i="20"/>
  <c r="I17" i="20"/>
  <c r="I29" i="20"/>
  <c r="H14" i="20"/>
  <c r="H15" i="20"/>
  <c r="H16" i="20"/>
  <c r="H17" i="20"/>
  <c r="H29" i="20"/>
  <c r="G14" i="20"/>
  <c r="G10" i="20" s="1"/>
  <c r="G13" i="20" s="1"/>
  <c r="G15" i="20"/>
  <c r="G16" i="20"/>
  <c r="G17" i="20"/>
  <c r="G29" i="20"/>
  <c r="F14" i="20"/>
  <c r="F10" i="20" s="1"/>
  <c r="F13" i="20" s="1"/>
  <c r="F15" i="20"/>
  <c r="F16" i="20"/>
  <c r="F17" i="20"/>
  <c r="F29" i="20"/>
  <c r="E14" i="20"/>
  <c r="E15" i="20"/>
  <c r="E16" i="20"/>
  <c r="E10" i="20"/>
  <c r="E13" i="20"/>
  <c r="E17" i="20"/>
  <c r="E29" i="20"/>
  <c r="D14" i="20"/>
  <c r="D15" i="20"/>
  <c r="D16" i="20"/>
  <c r="D10" i="20"/>
  <c r="D17" i="20"/>
  <c r="D27" i="20"/>
  <c r="D29" i="20"/>
  <c r="D30" i="20"/>
  <c r="AY14" i="21"/>
  <c r="AY15" i="21"/>
  <c r="AY16" i="21"/>
  <c r="AY10" i="21"/>
  <c r="AY13" i="21" s="1"/>
  <c r="AY17" i="21"/>
  <c r="AY29" i="21"/>
  <c r="AX14" i="21"/>
  <c r="AX15" i="21"/>
  <c r="AX16" i="21"/>
  <c r="AX10" i="21"/>
  <c r="AX13" i="21" s="1"/>
  <c r="AX17" i="21"/>
  <c r="AX29" i="21"/>
  <c r="AW14" i="21"/>
  <c r="AW15" i="21"/>
  <c r="AW16" i="21"/>
  <c r="AW10" i="21"/>
  <c r="AW13" i="21" s="1"/>
  <c r="AW17" i="21"/>
  <c r="AW29" i="21"/>
  <c r="AV14" i="21"/>
  <c r="AV10" i="21" s="1"/>
  <c r="AV13" i="21" s="1"/>
  <c r="AV15" i="21"/>
  <c r="AV16" i="21"/>
  <c r="AV17" i="21"/>
  <c r="AV29" i="21"/>
  <c r="AU14" i="21"/>
  <c r="AU15" i="21"/>
  <c r="AU16" i="21"/>
  <c r="AU10" i="21"/>
  <c r="AU13" i="21"/>
  <c r="AU17" i="21"/>
  <c r="AU29" i="21"/>
  <c r="AT14" i="21"/>
  <c r="AT15" i="21"/>
  <c r="AT16" i="21"/>
  <c r="AT10" i="21"/>
  <c r="AT13" i="21"/>
  <c r="AT17" i="21"/>
  <c r="AT29" i="21"/>
  <c r="AS14" i="21"/>
  <c r="AS15" i="21"/>
  <c r="AS10" i="21" s="1"/>
  <c r="AS13" i="21" s="1"/>
  <c r="AS16" i="21"/>
  <c r="AS17" i="21"/>
  <c r="AS29" i="21"/>
  <c r="AR14" i="21"/>
  <c r="AR10" i="21" s="1"/>
  <c r="AR13" i="21" s="1"/>
  <c r="AR15" i="21"/>
  <c r="AR16" i="21"/>
  <c r="AR17" i="21"/>
  <c r="AR29" i="21"/>
  <c r="AQ14" i="21"/>
  <c r="AQ15" i="21"/>
  <c r="AQ16" i="21"/>
  <c r="AQ17" i="21"/>
  <c r="AQ29" i="21"/>
  <c r="AP14" i="21"/>
  <c r="AP10" i="21" s="1"/>
  <c r="AP13" i="21" s="1"/>
  <c r="AP15" i="21"/>
  <c r="AP16" i="21"/>
  <c r="AP17" i="21"/>
  <c r="AP29" i="21"/>
  <c r="AO14" i="21"/>
  <c r="AO15" i="21"/>
  <c r="AO16" i="21"/>
  <c r="AO10" i="21"/>
  <c r="AO13" i="21" s="1"/>
  <c r="AO17" i="21"/>
  <c r="AO29" i="21"/>
  <c r="AN14" i="21"/>
  <c r="AN10" i="21" s="1"/>
  <c r="AN13" i="21" s="1"/>
  <c r="AN15" i="21"/>
  <c r="AN16" i="21"/>
  <c r="AN17" i="21"/>
  <c r="AN29" i="21"/>
  <c r="AM14" i="21"/>
  <c r="AM15" i="21"/>
  <c r="AM16" i="21"/>
  <c r="AM10" i="21"/>
  <c r="AM13" i="21"/>
  <c r="AM17" i="21"/>
  <c r="AM29" i="21"/>
  <c r="AL14" i="21"/>
  <c r="AL15" i="21"/>
  <c r="AL16" i="21"/>
  <c r="AL10" i="21"/>
  <c r="AL13" i="21" s="1"/>
  <c r="AL17" i="21"/>
  <c r="AL29" i="21"/>
  <c r="AK14" i="21"/>
  <c r="AK15" i="21"/>
  <c r="AK10" i="21" s="1"/>
  <c r="AK13" i="21" s="1"/>
  <c r="AK16" i="21"/>
  <c r="AK17" i="21"/>
  <c r="AK29" i="21"/>
  <c r="AJ14" i="21"/>
  <c r="AJ10" i="21" s="1"/>
  <c r="AJ13" i="21" s="1"/>
  <c r="AJ15" i="21"/>
  <c r="AJ16" i="21"/>
  <c r="AJ17" i="21"/>
  <c r="AJ29" i="21"/>
  <c r="AI14" i="21"/>
  <c r="AI15" i="21"/>
  <c r="AI16" i="21"/>
  <c r="AI17" i="21"/>
  <c r="AI29" i="21"/>
  <c r="AH14" i="21"/>
  <c r="AH10" i="21" s="1"/>
  <c r="AH13" i="21" s="1"/>
  <c r="AH15" i="21"/>
  <c r="AH16" i="21"/>
  <c r="AH17" i="21"/>
  <c r="AH29" i="21"/>
  <c r="AG14" i="21"/>
  <c r="AG15" i="21"/>
  <c r="AG16" i="21"/>
  <c r="AG10" i="21"/>
  <c r="AG13" i="21" s="1"/>
  <c r="AG17" i="21"/>
  <c r="AG29" i="21"/>
  <c r="AF14" i="21"/>
  <c r="AF15" i="21"/>
  <c r="AF16" i="21"/>
  <c r="AF10" i="21" s="1"/>
  <c r="AF13" i="21" s="1"/>
  <c r="AF17" i="21"/>
  <c r="AF29" i="21"/>
  <c r="AE14" i="21"/>
  <c r="AE15" i="21"/>
  <c r="AE16" i="21"/>
  <c r="AE10" i="21"/>
  <c r="AE13" i="21"/>
  <c r="AE17" i="21"/>
  <c r="AE29" i="21"/>
  <c r="AD14" i="21"/>
  <c r="AD15" i="21"/>
  <c r="AD16" i="21"/>
  <c r="AD10" i="21" s="1"/>
  <c r="AD13" i="21" s="1"/>
  <c r="AD17" i="21"/>
  <c r="AD29" i="21"/>
  <c r="AC14" i="21"/>
  <c r="AC15" i="21"/>
  <c r="AC10" i="21" s="1"/>
  <c r="AC13" i="21" s="1"/>
  <c r="AC16" i="21"/>
  <c r="AC17" i="21"/>
  <c r="AC29" i="21"/>
  <c r="AB14" i="21"/>
  <c r="AB10" i="21" s="1"/>
  <c r="AB13" i="21" s="1"/>
  <c r="AB15" i="21"/>
  <c r="AB16" i="21"/>
  <c r="AB17" i="21"/>
  <c r="AB29" i="21"/>
  <c r="AA14" i="21"/>
  <c r="AA15" i="21"/>
  <c r="AA16" i="21"/>
  <c r="AA17" i="21"/>
  <c r="AA29" i="21"/>
  <c r="Z14" i="21"/>
  <c r="Z10" i="21" s="1"/>
  <c r="Z13" i="21" s="1"/>
  <c r="Z15" i="21"/>
  <c r="Z16" i="21"/>
  <c r="Z17" i="21"/>
  <c r="Z29" i="21"/>
  <c r="Y14" i="21"/>
  <c r="Y15" i="21"/>
  <c r="Y16" i="21"/>
  <c r="Y10" i="21"/>
  <c r="Y13" i="21" s="1"/>
  <c r="Y17" i="21"/>
  <c r="Y29" i="21"/>
  <c r="X16" i="21"/>
  <c r="X21" i="21"/>
  <c r="X22" i="21"/>
  <c r="X24" i="21"/>
  <c r="X29" i="21"/>
  <c r="X33" i="21"/>
  <c r="X34" i="21"/>
  <c r="X40" i="21" s="1"/>
  <c r="X44" i="21"/>
  <c r="X45" i="21"/>
  <c r="X46" i="21"/>
  <c r="X50" i="21"/>
  <c r="X51" i="21"/>
  <c r="X56" i="21"/>
  <c r="X62" i="21"/>
  <c r="X66" i="21"/>
  <c r="X72" i="21" s="1"/>
  <c r="X67" i="21"/>
  <c r="X73" i="21" s="1"/>
  <c r="X68" i="21"/>
  <c r="W15" i="21"/>
  <c r="W17" i="21"/>
  <c r="W21" i="21"/>
  <c r="W23" i="21" s="1"/>
  <c r="W22" i="21"/>
  <c r="W24" i="21"/>
  <c r="W29" i="21"/>
  <c r="W33" i="21"/>
  <c r="W34" i="21"/>
  <c r="W40" i="21"/>
  <c r="W44" i="21"/>
  <c r="W45" i="21"/>
  <c r="W51" i="21" s="1"/>
  <c r="W46" i="21"/>
  <c r="W50" i="21"/>
  <c r="W55" i="21"/>
  <c r="W56" i="21"/>
  <c r="W57" i="21"/>
  <c r="W61" i="21"/>
  <c r="W62" i="21"/>
  <c r="W66" i="21"/>
  <c r="W67" i="21"/>
  <c r="W73" i="21" s="1"/>
  <c r="V14" i="21"/>
  <c r="V15" i="21"/>
  <c r="W16" i="21" s="1"/>
  <c r="X17" i="21" s="1"/>
  <c r="V16" i="21"/>
  <c r="V10" i="21" s="1"/>
  <c r="V13" i="21" s="1"/>
  <c r="W14" i="21" s="1"/>
  <c r="V17" i="21"/>
  <c r="V29" i="21"/>
  <c r="U14" i="21"/>
  <c r="U15" i="21"/>
  <c r="U10" i="21" s="1"/>
  <c r="U13" i="21" s="1"/>
  <c r="U16" i="21"/>
  <c r="U17" i="21"/>
  <c r="U29" i="21"/>
  <c r="T14" i="21"/>
  <c r="T10" i="21" s="1"/>
  <c r="T13" i="21" s="1"/>
  <c r="T15" i="21"/>
  <c r="T16" i="21"/>
  <c r="T17" i="21"/>
  <c r="T29" i="21"/>
  <c r="S14" i="21"/>
  <c r="S15" i="21"/>
  <c r="S16" i="21"/>
  <c r="S10" i="21"/>
  <c r="S13" i="21"/>
  <c r="S17" i="21"/>
  <c r="S29" i="21"/>
  <c r="R14" i="21"/>
  <c r="R15" i="21"/>
  <c r="R16" i="21"/>
  <c r="R10" i="21"/>
  <c r="R13" i="21"/>
  <c r="R17" i="21"/>
  <c r="R29" i="21"/>
  <c r="Q14" i="21"/>
  <c r="Q15" i="21"/>
  <c r="Q10" i="21" s="1"/>
  <c r="Q13" i="21" s="1"/>
  <c r="Q16" i="21"/>
  <c r="Q17" i="21"/>
  <c r="Q29" i="21"/>
  <c r="P14" i="21"/>
  <c r="P15" i="21"/>
  <c r="P16" i="21"/>
  <c r="P17" i="21"/>
  <c r="P29" i="21"/>
  <c r="O14" i="21"/>
  <c r="O15" i="21"/>
  <c r="O16" i="21"/>
  <c r="O17" i="21"/>
  <c r="O29" i="21"/>
  <c r="N14" i="21"/>
  <c r="N10" i="21" s="1"/>
  <c r="N13" i="21" s="1"/>
  <c r="N15" i="21"/>
  <c r="N16" i="21"/>
  <c r="N17" i="21"/>
  <c r="N29" i="21"/>
  <c r="M14" i="21"/>
  <c r="M15" i="21"/>
  <c r="M16" i="21"/>
  <c r="M10" i="21"/>
  <c r="M13" i="21"/>
  <c r="M17" i="21"/>
  <c r="M29" i="21"/>
  <c r="L14" i="21"/>
  <c r="L15" i="21"/>
  <c r="L16" i="21"/>
  <c r="L10" i="21"/>
  <c r="L13" i="21"/>
  <c r="M21" i="21" s="1"/>
  <c r="L17" i="21"/>
  <c r="L29" i="21"/>
  <c r="K14" i="21"/>
  <c r="K15" i="21"/>
  <c r="K16" i="21"/>
  <c r="K10" i="21"/>
  <c r="K13" i="21"/>
  <c r="K17" i="21"/>
  <c r="K29" i="21"/>
  <c r="J14" i="21"/>
  <c r="J15" i="21"/>
  <c r="J16" i="21"/>
  <c r="J10" i="21"/>
  <c r="J13" i="21"/>
  <c r="J17" i="21"/>
  <c r="J29" i="21"/>
  <c r="I14" i="21"/>
  <c r="I10" i="21" s="1"/>
  <c r="I13" i="21" s="1"/>
  <c r="I15" i="21"/>
  <c r="I16" i="21"/>
  <c r="I17" i="21"/>
  <c r="I29" i="21"/>
  <c r="H14" i="21"/>
  <c r="H10" i="21" s="1"/>
  <c r="H13" i="21" s="1"/>
  <c r="H15" i="21"/>
  <c r="H16" i="21"/>
  <c r="H17" i="21"/>
  <c r="H29" i="21"/>
  <c r="G14" i="21"/>
  <c r="G15" i="21"/>
  <c r="G16" i="21"/>
  <c r="G17" i="21"/>
  <c r="G29" i="21"/>
  <c r="F14" i="21"/>
  <c r="F10" i="21" s="1"/>
  <c r="F13" i="21" s="1"/>
  <c r="G21" i="21" s="1"/>
  <c r="F15" i="21"/>
  <c r="F16" i="21"/>
  <c r="F17" i="21"/>
  <c r="F29" i="21"/>
  <c r="E14" i="21"/>
  <c r="E15" i="21"/>
  <c r="E16" i="21"/>
  <c r="E10" i="21"/>
  <c r="E13" i="21"/>
  <c r="F21" i="21" s="1"/>
  <c r="E17" i="21"/>
  <c r="E29" i="21"/>
  <c r="D14" i="21"/>
  <c r="D15" i="21"/>
  <c r="D16" i="21"/>
  <c r="D10" i="21"/>
  <c r="D13" i="21"/>
  <c r="E21" i="21" s="1"/>
  <c r="D17" i="21"/>
  <c r="D27" i="21"/>
  <c r="D29" i="21"/>
  <c r="D30" i="21"/>
  <c r="B21" i="18"/>
  <c r="B21" i="19"/>
  <c r="G21" i="19" s="1"/>
  <c r="B21" i="20"/>
  <c r="B21" i="21"/>
  <c r="N21" i="21" s="1"/>
  <c r="D151" i="22"/>
  <c r="E151" i="22"/>
  <c r="F151" i="22"/>
  <c r="G151" i="22"/>
  <c r="H151" i="22"/>
  <c r="I151" i="22"/>
  <c r="J151" i="22"/>
  <c r="K151" i="22"/>
  <c r="L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Y151" i="22"/>
  <c r="Z151" i="22"/>
  <c r="AA151" i="22"/>
  <c r="AB151" i="22"/>
  <c r="AC151" i="22"/>
  <c r="AD151" i="22"/>
  <c r="AE151" i="22"/>
  <c r="AF151" i="22"/>
  <c r="AG151" i="22"/>
  <c r="AH151" i="22"/>
  <c r="AI151" i="22"/>
  <c r="AJ151" i="22"/>
  <c r="AK151" i="22"/>
  <c r="AL151" i="22"/>
  <c r="AM151" i="22"/>
  <c r="AN151" i="22"/>
  <c r="AO151" i="22"/>
  <c r="AP151" i="22"/>
  <c r="AQ151" i="22"/>
  <c r="AR151" i="22"/>
  <c r="AS151" i="22"/>
  <c r="AT151" i="22"/>
  <c r="AU151" i="22"/>
  <c r="AV151" i="22"/>
  <c r="AW151" i="22"/>
  <c r="AX151" i="22"/>
  <c r="C151" i="22"/>
  <c r="D142" i="22"/>
  <c r="E142" i="22"/>
  <c r="F142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C142" i="22"/>
  <c r="D133" i="22"/>
  <c r="E133" i="22"/>
  <c r="F133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C133" i="22"/>
  <c r="D124" i="22"/>
  <c r="E124" i="22"/>
  <c r="F124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C124" i="22"/>
  <c r="D115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C115" i="22"/>
  <c r="D106" i="22"/>
  <c r="E106" i="22"/>
  <c r="F106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C106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C93" i="22"/>
  <c r="D93" i="22"/>
  <c r="E93" i="22"/>
  <c r="F93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C19" i="22"/>
  <c r="C28" i="22" s="1"/>
  <c r="D19" i="22"/>
  <c r="D28" i="22" s="1"/>
  <c r="E19" i="22"/>
  <c r="E28" i="22" s="1"/>
  <c r="F19" i="22"/>
  <c r="F28" i="22" s="1"/>
  <c r="G19" i="22"/>
  <c r="G28" i="22" s="1"/>
  <c r="H19" i="22"/>
  <c r="H28" i="22" s="1"/>
  <c r="I19" i="22"/>
  <c r="I28" i="22" s="1"/>
  <c r="J19" i="22"/>
  <c r="J28" i="22" s="1"/>
  <c r="K19" i="22"/>
  <c r="K28" i="22" s="1"/>
  <c r="L19" i="22"/>
  <c r="L28" i="22" s="1"/>
  <c r="M19" i="22"/>
  <c r="M28" i="22" s="1"/>
  <c r="N19" i="22"/>
  <c r="N28" i="22" s="1"/>
  <c r="C20" i="22"/>
  <c r="C29" i="22" s="1"/>
  <c r="D20" i="22"/>
  <c r="D29" i="22" s="1"/>
  <c r="E20" i="22"/>
  <c r="E29" i="22" s="1"/>
  <c r="F20" i="22"/>
  <c r="F29" i="22" s="1"/>
  <c r="G20" i="22"/>
  <c r="G29" i="22" s="1"/>
  <c r="H20" i="22"/>
  <c r="H29" i="22" s="1"/>
  <c r="I20" i="22"/>
  <c r="I29" i="22" s="1"/>
  <c r="J20" i="22"/>
  <c r="J29" i="22" s="1"/>
  <c r="K20" i="22"/>
  <c r="K29" i="22" s="1"/>
  <c r="L20" i="22"/>
  <c r="L29" i="22" s="1"/>
  <c r="M20" i="22"/>
  <c r="M29" i="22" s="1"/>
  <c r="N20" i="22"/>
  <c r="N29" i="22" s="1"/>
  <c r="C21" i="22"/>
  <c r="C30" i="22" s="1"/>
  <c r="D21" i="22"/>
  <c r="D30" i="22" s="1"/>
  <c r="E21" i="22"/>
  <c r="E30" i="22" s="1"/>
  <c r="F21" i="22"/>
  <c r="F30" i="22" s="1"/>
  <c r="G21" i="22"/>
  <c r="G30" i="22" s="1"/>
  <c r="H21" i="22"/>
  <c r="H30" i="22" s="1"/>
  <c r="I21" i="22"/>
  <c r="I30" i="22" s="1"/>
  <c r="J21" i="22"/>
  <c r="J30" i="22" s="1"/>
  <c r="K21" i="22"/>
  <c r="K30" i="22" s="1"/>
  <c r="L21" i="22"/>
  <c r="L30" i="22" s="1"/>
  <c r="M21" i="22"/>
  <c r="M30" i="22" s="1"/>
  <c r="N21" i="22"/>
  <c r="N30" i="22" s="1"/>
  <c r="C22" i="22"/>
  <c r="C31" i="22" s="1"/>
  <c r="D22" i="22"/>
  <c r="D31" i="22" s="1"/>
  <c r="E22" i="22"/>
  <c r="E31" i="22" s="1"/>
  <c r="F22" i="22"/>
  <c r="F31" i="22" s="1"/>
  <c r="G22" i="22"/>
  <c r="G31" i="22" s="1"/>
  <c r="H22" i="22"/>
  <c r="H31" i="22" s="1"/>
  <c r="I22" i="22"/>
  <c r="I31" i="22" s="1"/>
  <c r="J22" i="22"/>
  <c r="J31" i="22" s="1"/>
  <c r="K22" i="22"/>
  <c r="K31" i="22" s="1"/>
  <c r="L22" i="22"/>
  <c r="L31" i="22" s="1"/>
  <c r="M22" i="22"/>
  <c r="M31" i="22" s="1"/>
  <c r="N22" i="22"/>
  <c r="N31" i="22" s="1"/>
  <c r="C23" i="22"/>
  <c r="C32" i="22" s="1"/>
  <c r="D23" i="22"/>
  <c r="D32" i="22" s="1"/>
  <c r="E23" i="22"/>
  <c r="E32" i="22" s="1"/>
  <c r="F23" i="22"/>
  <c r="F32" i="22" s="1"/>
  <c r="G23" i="22"/>
  <c r="G32" i="22" s="1"/>
  <c r="H23" i="22"/>
  <c r="H32" i="22" s="1"/>
  <c r="I23" i="22"/>
  <c r="I32" i="22" s="1"/>
  <c r="J23" i="22"/>
  <c r="J32" i="22" s="1"/>
  <c r="K23" i="22"/>
  <c r="K32" i="22" s="1"/>
  <c r="L23" i="22"/>
  <c r="L32" i="22" s="1"/>
  <c r="M23" i="22"/>
  <c r="M32" i="22" s="1"/>
  <c r="N23" i="22"/>
  <c r="N32" i="22" s="1"/>
  <c r="C24" i="22"/>
  <c r="C33" i="22" s="1"/>
  <c r="D24" i="22"/>
  <c r="D33" i="22" s="1"/>
  <c r="E24" i="22"/>
  <c r="E33" i="22" s="1"/>
  <c r="F24" i="22"/>
  <c r="F33" i="22" s="1"/>
  <c r="G24" i="22"/>
  <c r="G33" i="22" s="1"/>
  <c r="H24" i="22"/>
  <c r="H33" i="22" s="1"/>
  <c r="I24" i="22"/>
  <c r="I33" i="22" s="1"/>
  <c r="J24" i="22"/>
  <c r="J33" i="22" s="1"/>
  <c r="K24" i="22"/>
  <c r="K33" i="22" s="1"/>
  <c r="L24" i="22"/>
  <c r="L33" i="22" s="1"/>
  <c r="M24" i="22"/>
  <c r="M33" i="22" s="1"/>
  <c r="N24" i="22"/>
  <c r="N33" i="22" s="1"/>
  <c r="B22" i="20"/>
  <c r="B22" i="19"/>
  <c r="AE21" i="21" l="1"/>
  <c r="F44" i="21"/>
  <c r="F66" i="21"/>
  <c r="F23" i="21"/>
  <c r="F55" i="21"/>
  <c r="F33" i="21"/>
  <c r="N33" i="21"/>
  <c r="N44" i="21"/>
  <c r="N66" i="21"/>
  <c r="N55" i="21"/>
  <c r="N23" i="21"/>
  <c r="M23" i="21"/>
  <c r="M44" i="21"/>
  <c r="M66" i="21"/>
  <c r="M55" i="21"/>
  <c r="M33" i="21"/>
  <c r="AM21" i="21"/>
  <c r="R21" i="21"/>
  <c r="R22" i="21"/>
  <c r="F21" i="19"/>
  <c r="F22" i="19"/>
  <c r="J21" i="21"/>
  <c r="E23" i="21"/>
  <c r="E44" i="21"/>
  <c r="E33" i="21"/>
  <c r="E55" i="21"/>
  <c r="E66" i="21"/>
  <c r="G44" i="21"/>
  <c r="G66" i="21"/>
  <c r="G33" i="21"/>
  <c r="G23" i="21"/>
  <c r="G55" i="21"/>
  <c r="X15" i="21"/>
  <c r="W10" i="21"/>
  <c r="W13" i="21" s="1"/>
  <c r="X14" i="21" s="1"/>
  <c r="X10" i="21" s="1"/>
  <c r="X13" i="21" s="1"/>
  <c r="AO21" i="21"/>
  <c r="AO22" i="21"/>
  <c r="T21" i="20"/>
  <c r="T22" i="20"/>
  <c r="N56" i="19"/>
  <c r="N62" i="19" s="1"/>
  <c r="N24" i="19"/>
  <c r="N34" i="19"/>
  <c r="N40" i="19" s="1"/>
  <c r="N67" i="19"/>
  <c r="N73" i="19" s="1"/>
  <c r="N45" i="19"/>
  <c r="N51" i="19" s="1"/>
  <c r="L21" i="21"/>
  <c r="P10" i="21"/>
  <c r="P13" i="21" s="1"/>
  <c r="AK44" i="20"/>
  <c r="AK55" i="20"/>
  <c r="AK23" i="20"/>
  <c r="AK33" i="20"/>
  <c r="AK66" i="20"/>
  <c r="G22" i="20"/>
  <c r="AG21" i="21"/>
  <c r="AW21" i="21"/>
  <c r="I66" i="19"/>
  <c r="I33" i="19"/>
  <c r="I23" i="19"/>
  <c r="I55" i="19"/>
  <c r="I44" i="19"/>
  <c r="V21" i="21"/>
  <c r="AD21" i="21"/>
  <c r="AH21" i="21"/>
  <c r="AH22" i="21"/>
  <c r="AQ21" i="21"/>
  <c r="G10" i="21"/>
  <c r="G13" i="21" s="1"/>
  <c r="AV21" i="21"/>
  <c r="G21" i="20"/>
  <c r="J10" i="20"/>
  <c r="J13" i="20" s="1"/>
  <c r="N22" i="20"/>
  <c r="D22" i="20"/>
  <c r="V22" i="20"/>
  <c r="AF22" i="20"/>
  <c r="H22" i="20"/>
  <c r="I21" i="21"/>
  <c r="J21" i="20"/>
  <c r="J22" i="20"/>
  <c r="N44" i="20"/>
  <c r="N66" i="20"/>
  <c r="N23" i="20"/>
  <c r="N55" i="20"/>
  <c r="N33" i="20"/>
  <c r="W10" i="20"/>
  <c r="W13" i="20" s="1"/>
  <c r="AC22" i="20"/>
  <c r="AC21" i="20"/>
  <c r="AM22" i="20"/>
  <c r="AM21" i="20"/>
  <c r="E27" i="21"/>
  <c r="T21" i="21"/>
  <c r="Z21" i="21"/>
  <c r="Z22" i="21"/>
  <c r="AI21" i="21"/>
  <c r="AB21" i="20"/>
  <c r="AB22" i="20"/>
  <c r="AW21" i="20"/>
  <c r="D21" i="20"/>
  <c r="AS21" i="20"/>
  <c r="AO21" i="20"/>
  <c r="U21" i="20"/>
  <c r="AE21" i="20"/>
  <c r="D21" i="21"/>
  <c r="O21" i="21"/>
  <c r="O10" i="21"/>
  <c r="O13" i="21" s="1"/>
  <c r="S21" i="21"/>
  <c r="AN22" i="21"/>
  <c r="AN21" i="21"/>
  <c r="AT22" i="21"/>
  <c r="AT21" i="21"/>
  <c r="AU21" i="21"/>
  <c r="AX21" i="21"/>
  <c r="G44" i="19"/>
  <c r="G55" i="19"/>
  <c r="G23" i="19"/>
  <c r="G66" i="19"/>
  <c r="G33" i="19"/>
  <c r="AZ17" i="21"/>
  <c r="K21" i="21"/>
  <c r="X35" i="21"/>
  <c r="X39" i="21"/>
  <c r="O22" i="21"/>
  <c r="W39" i="21"/>
  <c r="W35" i="21"/>
  <c r="AA21" i="21"/>
  <c r="F21" i="20"/>
  <c r="AV21" i="20"/>
  <c r="P44" i="19"/>
  <c r="P66" i="19"/>
  <c r="P23" i="19"/>
  <c r="P33" i="19"/>
  <c r="P55" i="19"/>
  <c r="D22" i="19"/>
  <c r="AY22" i="19"/>
  <c r="W22" i="19"/>
  <c r="AK22" i="19"/>
  <c r="AI22" i="19"/>
  <c r="P22" i="19"/>
  <c r="AF21" i="21"/>
  <c r="AL21" i="21"/>
  <c r="AP21" i="21"/>
  <c r="AP22" i="21"/>
  <c r="D13" i="20"/>
  <c r="AY21" i="21"/>
  <c r="M22" i="20"/>
  <c r="M21" i="20"/>
  <c r="AE22" i="20"/>
  <c r="AV21" i="18"/>
  <c r="D21" i="18"/>
  <c r="AS21" i="18"/>
  <c r="AL21" i="18"/>
  <c r="AR21" i="18"/>
  <c r="Y21" i="18"/>
  <c r="AG21" i="18"/>
  <c r="AJ21" i="20"/>
  <c r="AJ22" i="20"/>
  <c r="N21" i="19"/>
  <c r="AA10" i="21"/>
  <c r="AA13" i="21" s="1"/>
  <c r="AI10" i="21"/>
  <c r="AI13" i="21" s="1"/>
  <c r="AQ10" i="21"/>
  <c r="AQ13" i="21" s="1"/>
  <c r="W68" i="21"/>
  <c r="W72" i="21"/>
  <c r="X55" i="21"/>
  <c r="X23" i="21"/>
  <c r="AI22" i="20"/>
  <c r="AI21" i="20"/>
  <c r="F22" i="20"/>
  <c r="AD21" i="20"/>
  <c r="AD22" i="20"/>
  <c r="AL21" i="20"/>
  <c r="AL22" i="20"/>
  <c r="D21" i="19"/>
  <c r="AJ21" i="19"/>
  <c r="Q21" i="19"/>
  <c r="AR21" i="19"/>
  <c r="O45" i="20"/>
  <c r="O51" i="20" s="1"/>
  <c r="O67" i="20"/>
  <c r="O73" i="20" s="1"/>
  <c r="O24" i="20"/>
  <c r="U21" i="21"/>
  <c r="AC21" i="21"/>
  <c r="AK21" i="21"/>
  <c r="AS21" i="21"/>
  <c r="O56" i="20"/>
  <c r="O62" i="20" s="1"/>
  <c r="V21" i="20"/>
  <c r="Y21" i="20"/>
  <c r="Y22" i="20"/>
  <c r="AA22" i="20"/>
  <c r="AA21" i="20"/>
  <c r="AY21" i="20"/>
  <c r="AY22" i="20"/>
  <c r="AZ17" i="20"/>
  <c r="P10" i="20"/>
  <c r="P13" i="20" s="1"/>
  <c r="W45" i="20"/>
  <c r="W51" i="20" s="1"/>
  <c r="W67" i="20"/>
  <c r="W73" i="20" s="1"/>
  <c r="W24" i="20"/>
  <c r="AQ21" i="20"/>
  <c r="AQ22" i="20"/>
  <c r="AV22" i="20"/>
  <c r="AE22" i="18"/>
  <c r="AE21" i="18"/>
  <c r="R46" i="20"/>
  <c r="R50" i="20"/>
  <c r="W57" i="20"/>
  <c r="W61" i="20"/>
  <c r="W66" i="20"/>
  <c r="W33" i="20"/>
  <c r="W44" i="20"/>
  <c r="Y10" i="20"/>
  <c r="Y13" i="20" s="1"/>
  <c r="AT21" i="20"/>
  <c r="AT22" i="20"/>
  <c r="AU22" i="20"/>
  <c r="AU21" i="20"/>
  <c r="AG21" i="19"/>
  <c r="AG22" i="19"/>
  <c r="AP22" i="19"/>
  <c r="AP21" i="19"/>
  <c r="W34" i="20"/>
  <c r="W40" i="20" s="1"/>
  <c r="AG10" i="20"/>
  <c r="AG13" i="20" s="1"/>
  <c r="AK22" i="20"/>
  <c r="AN22" i="20"/>
  <c r="AN21" i="20"/>
  <c r="AX21" i="20"/>
  <c r="AX22" i="20"/>
  <c r="I22" i="19"/>
  <c r="AN21" i="19"/>
  <c r="AN22" i="19"/>
  <c r="AX22" i="19"/>
  <c r="AX21" i="19"/>
  <c r="AF21" i="20"/>
  <c r="AF10" i="20"/>
  <c r="AF13" i="20" s="1"/>
  <c r="H21" i="19"/>
  <c r="O21" i="18"/>
  <c r="O22" i="18"/>
  <c r="E27" i="20"/>
  <c r="H21" i="20"/>
  <c r="H10" i="20"/>
  <c r="H13" i="20" s="1"/>
  <c r="L21" i="20"/>
  <c r="L22" i="20"/>
  <c r="O57" i="20"/>
  <c r="O61" i="20"/>
  <c r="O66" i="20"/>
  <c r="O33" i="20"/>
  <c r="O44" i="20"/>
  <c r="Q10" i="20"/>
  <c r="Q13" i="20" s="1"/>
  <c r="R14" i="20" s="1"/>
  <c r="R10" i="20" s="1"/>
  <c r="R13" i="20" s="1"/>
  <c r="U22" i="20"/>
  <c r="D30" i="19"/>
  <c r="E27" i="19"/>
  <c r="K21" i="19"/>
  <c r="K22" i="19"/>
  <c r="S21" i="19"/>
  <c r="S22" i="19"/>
  <c r="AC10" i="19"/>
  <c r="AC13" i="19" s="1"/>
  <c r="AM21" i="19"/>
  <c r="AM22" i="19"/>
  <c r="T21" i="18"/>
  <c r="T22" i="18"/>
  <c r="O15" i="20"/>
  <c r="O10" i="20" s="1"/>
  <c r="O13" i="20" s="1"/>
  <c r="W15" i="20"/>
  <c r="AS22" i="20"/>
  <c r="M22" i="19"/>
  <c r="M21" i="19"/>
  <c r="R21" i="19"/>
  <c r="R22" i="19"/>
  <c r="AF21" i="19"/>
  <c r="AF22" i="19"/>
  <c r="AI21" i="19"/>
  <c r="E30" i="18"/>
  <c r="F27" i="18"/>
  <c r="L21" i="18"/>
  <c r="W22" i="18"/>
  <c r="W21" i="18"/>
  <c r="R39" i="20"/>
  <c r="AO22" i="20"/>
  <c r="AQ10" i="20"/>
  <c r="AQ13" i="20" s="1"/>
  <c r="D13" i="19"/>
  <c r="AV21" i="19"/>
  <c r="AV22" i="19"/>
  <c r="R72" i="20"/>
  <c r="AO10" i="20"/>
  <c r="AO13" i="20" s="1"/>
  <c r="AW22" i="20"/>
  <c r="G22" i="19"/>
  <c r="H22" i="19"/>
  <c r="O22" i="19"/>
  <c r="O21" i="19"/>
  <c r="Q22" i="19"/>
  <c r="AC22" i="19"/>
  <c r="AW21" i="19"/>
  <c r="AW22" i="19"/>
  <c r="Q21" i="18"/>
  <c r="J21" i="19"/>
  <c r="J22" i="19"/>
  <c r="Y21" i="19"/>
  <c r="Y22" i="19"/>
  <c r="AS21" i="19"/>
  <c r="H21" i="18"/>
  <c r="AY10" i="20"/>
  <c r="AY13" i="20" s="1"/>
  <c r="K10" i="19"/>
  <c r="K13" i="19" s="1"/>
  <c r="S10" i="19"/>
  <c r="S13" i="19" s="1"/>
  <c r="AH22" i="19"/>
  <c r="AH21" i="19"/>
  <c r="AS22" i="19"/>
  <c r="V22" i="19"/>
  <c r="V21" i="19"/>
  <c r="AS10" i="19"/>
  <c r="AS13" i="19" s="1"/>
  <c r="V21" i="18"/>
  <c r="V22" i="18"/>
  <c r="AZ17" i="19"/>
  <c r="Z22" i="19"/>
  <c r="Z21" i="19"/>
  <c r="AA61" i="19"/>
  <c r="AD10" i="19"/>
  <c r="AD13" i="19" s="1"/>
  <c r="N21" i="18"/>
  <c r="U21" i="19"/>
  <c r="U22" i="19"/>
  <c r="AC21" i="19"/>
  <c r="AL22" i="19"/>
  <c r="AL21" i="19"/>
  <c r="AU21" i="19"/>
  <c r="AU22" i="19"/>
  <c r="W21" i="19"/>
  <c r="AA56" i="19"/>
  <c r="AA62" i="19" s="1"/>
  <c r="AA24" i="19"/>
  <c r="AA34" i="19"/>
  <c r="AR22" i="19"/>
  <c r="J21" i="18"/>
  <c r="K21" i="18"/>
  <c r="Z21" i="18"/>
  <c r="Z22" i="18"/>
  <c r="X21" i="19"/>
  <c r="X22" i="19"/>
  <c r="AA46" i="19"/>
  <c r="AJ22" i="19"/>
  <c r="AP10" i="19"/>
  <c r="AP13" i="19" s="1"/>
  <c r="I22" i="18"/>
  <c r="I21" i="18"/>
  <c r="AH21" i="18"/>
  <c r="AK21" i="19"/>
  <c r="AY21" i="19"/>
  <c r="G21" i="18"/>
  <c r="S21" i="18"/>
  <c r="AG22" i="18"/>
  <c r="AN10" i="19"/>
  <c r="AN13" i="19" s="1"/>
  <c r="G22" i="18"/>
  <c r="AC22" i="18"/>
  <c r="AC21" i="18"/>
  <c r="AZ17" i="18"/>
  <c r="L10" i="18"/>
  <c r="L13" i="18" s="1"/>
  <c r="T10" i="18"/>
  <c r="T13" i="18" s="1"/>
  <c r="AA22" i="18"/>
  <c r="AA21" i="18"/>
  <c r="I116" i="10"/>
  <c r="I120" i="10"/>
  <c r="I127" i="10" s="1"/>
  <c r="Z10" i="19"/>
  <c r="Z13" i="19" s="1"/>
  <c r="AA14" i="19" s="1"/>
  <c r="AA10" i="19" s="1"/>
  <c r="AA13" i="19" s="1"/>
  <c r="AA66" i="19"/>
  <c r="E10" i="18"/>
  <c r="E13" i="18" s="1"/>
  <c r="O10" i="18"/>
  <c r="O13" i="18" s="1"/>
  <c r="Y22" i="18"/>
  <c r="AD21" i="18"/>
  <c r="AD22" i="18"/>
  <c r="AW21" i="18"/>
  <c r="D10" i="18"/>
  <c r="M116" i="10"/>
  <c r="M120" i="10"/>
  <c r="M127" i="10" s="1"/>
  <c r="E127" i="10"/>
  <c r="S10" i="23" s="1"/>
  <c r="AI22" i="18"/>
  <c r="AI21" i="18"/>
  <c r="E259" i="16"/>
  <c r="BA14" i="16"/>
  <c r="S260" i="16"/>
  <c r="Q10" i="18"/>
  <c r="Q13" i="18" s="1"/>
  <c r="AO21" i="18"/>
  <c r="AP21" i="18"/>
  <c r="AP22" i="18"/>
  <c r="AA10" i="18"/>
  <c r="AA13" i="18" s="1"/>
  <c r="AJ56" i="18"/>
  <c r="AJ45" i="18"/>
  <c r="AJ24" i="18"/>
  <c r="AJ67" i="18"/>
  <c r="AL22" i="18"/>
  <c r="AM21" i="18"/>
  <c r="AM22" i="18"/>
  <c r="AT21" i="18"/>
  <c r="AI10" i="18"/>
  <c r="AI13" i="18" s="1"/>
  <c r="AJ14" i="18" s="1"/>
  <c r="AJ15" i="18"/>
  <c r="AN22" i="18"/>
  <c r="AQ21" i="18"/>
  <c r="AQ22" i="18"/>
  <c r="K127" i="11"/>
  <c r="K138" i="10"/>
  <c r="O138" i="10"/>
  <c r="G138" i="10"/>
  <c r="AJ34" i="18"/>
  <c r="AJ40" i="18" s="1"/>
  <c r="AS22" i="18"/>
  <c r="AU22" i="18"/>
  <c r="W10" i="18"/>
  <c r="W13" i="18" s="1"/>
  <c r="AE10" i="18"/>
  <c r="AE13" i="18" s="1"/>
  <c r="AN21" i="18"/>
  <c r="AU21" i="18"/>
  <c r="M127" i="13"/>
  <c r="E127" i="13"/>
  <c r="AW10" i="18"/>
  <c r="AW13" i="18" s="1"/>
  <c r="BA14" i="17"/>
  <c r="D259" i="17"/>
  <c r="AZ259" i="17" s="1"/>
  <c r="BA14" i="15"/>
  <c r="AX10" i="18"/>
  <c r="AX13" i="18" s="1"/>
  <c r="O260" i="16"/>
  <c r="AW260" i="14"/>
  <c r="AN260" i="17"/>
  <c r="M138" i="10"/>
  <c r="I138" i="10"/>
  <c r="K121" i="10"/>
  <c r="K127" i="10" s="1"/>
  <c r="K116" i="10"/>
  <c r="O116" i="10"/>
  <c r="O120" i="10"/>
  <c r="O127" i="10" s="1"/>
  <c r="G116" i="10"/>
  <c r="G120" i="10"/>
  <c r="G127" i="10" s="1"/>
  <c r="D260" i="17"/>
  <c r="H260" i="17"/>
  <c r="T260" i="17"/>
  <c r="AF260" i="17"/>
  <c r="AV260" i="15"/>
  <c r="AY260" i="15"/>
  <c r="AZ259" i="14"/>
  <c r="J121" i="13"/>
  <c r="J127" i="13" s="1"/>
  <c r="J116" i="13"/>
  <c r="N116" i="13"/>
  <c r="N120" i="13"/>
  <c r="N127" i="13" s="1"/>
  <c r="F116" i="13"/>
  <c r="F120" i="13"/>
  <c r="F127" i="13" s="1"/>
  <c r="M138" i="12"/>
  <c r="I127" i="11"/>
  <c r="Y260" i="17"/>
  <c r="AH260" i="17"/>
  <c r="I260" i="16"/>
  <c r="AZ260" i="16" s="1"/>
  <c r="R260" i="16"/>
  <c r="AE260" i="16"/>
  <c r="P260" i="15"/>
  <c r="S260" i="15"/>
  <c r="AG260" i="15"/>
  <c r="AU260" i="15"/>
  <c r="I260" i="14"/>
  <c r="O127" i="13"/>
  <c r="J121" i="11"/>
  <c r="J127" i="11" s="1"/>
  <c r="S9" i="23" s="1"/>
  <c r="J116" i="11"/>
  <c r="N116" i="11"/>
  <c r="N120" i="11"/>
  <c r="N127" i="11" s="1"/>
  <c r="F116" i="11"/>
  <c r="F120" i="11"/>
  <c r="F127" i="11" s="1"/>
  <c r="J127" i="10"/>
  <c r="Y260" i="16"/>
  <c r="K127" i="13"/>
  <c r="I138" i="12"/>
  <c r="K121" i="12"/>
  <c r="K127" i="12" s="1"/>
  <c r="K116" i="12"/>
  <c r="O116" i="12"/>
  <c r="O120" i="12"/>
  <c r="O127" i="12" s="1"/>
  <c r="G116" i="12"/>
  <c r="G120" i="12"/>
  <c r="G127" i="12" s="1"/>
  <c r="M127" i="11"/>
  <c r="F127" i="10"/>
  <c r="O260" i="17"/>
  <c r="S260" i="17"/>
  <c r="AU260" i="17"/>
  <c r="AY260" i="17"/>
  <c r="AO260" i="16"/>
  <c r="J260" i="15"/>
  <c r="AZ260" i="15" s="1"/>
  <c r="Y260" i="15"/>
  <c r="H260" i="14"/>
  <c r="AE260" i="14"/>
  <c r="J138" i="13"/>
  <c r="N138" i="13"/>
  <c r="F138" i="13"/>
  <c r="J127" i="12"/>
  <c r="BA14" i="14"/>
  <c r="I260" i="17"/>
  <c r="R260" i="17"/>
  <c r="AO260" i="17"/>
  <c r="AX260" i="17"/>
  <c r="AZ259" i="16"/>
  <c r="I127" i="13"/>
  <c r="K138" i="12"/>
  <c r="O138" i="12"/>
  <c r="G138" i="12"/>
  <c r="I121" i="12"/>
  <c r="I127" i="12" s="1"/>
  <c r="I116" i="12"/>
  <c r="M120" i="12"/>
  <c r="M127" i="12" s="1"/>
  <c r="M116" i="12"/>
  <c r="E120" i="12"/>
  <c r="E127" i="12" s="1"/>
  <c r="E116" i="12"/>
  <c r="H8" i="23" s="1"/>
  <c r="J138" i="11"/>
  <c r="N138" i="11"/>
  <c r="F138" i="11"/>
  <c r="Z260" i="14"/>
  <c r="AI260" i="14"/>
  <c r="O138" i="13"/>
  <c r="G138" i="13"/>
  <c r="S31" i="23" s="1"/>
  <c r="T32" i="23" s="1"/>
  <c r="N116" i="12"/>
  <c r="F116" i="12"/>
  <c r="O116" i="11"/>
  <c r="G116" i="11"/>
  <c r="H9" i="23" s="1"/>
  <c r="AH260" i="16"/>
  <c r="AQ260" i="16"/>
  <c r="R260" i="15"/>
  <c r="AA260" i="15"/>
  <c r="AX260" i="15"/>
  <c r="K260" i="14"/>
  <c r="AH260" i="14"/>
  <c r="AQ260" i="14"/>
  <c r="N138" i="12"/>
  <c r="F138" i="12"/>
  <c r="O138" i="11"/>
  <c r="G138" i="11"/>
  <c r="N116" i="10"/>
  <c r="F116" i="10"/>
  <c r="Z260" i="15"/>
  <c r="J260" i="14"/>
  <c r="AZ260" i="14" s="1"/>
  <c r="AP260" i="14"/>
  <c r="E116" i="13"/>
  <c r="N138" i="10"/>
  <c r="F138" i="10"/>
  <c r="Q260" i="17"/>
  <c r="AG260" i="17"/>
  <c r="AW260" i="17"/>
  <c r="Q260" i="16"/>
  <c r="AG260" i="16"/>
  <c r="Q260" i="15"/>
  <c r="AW260" i="15"/>
  <c r="AG260" i="14"/>
  <c r="N120" i="12"/>
  <c r="N127" i="12" s="1"/>
  <c r="F120" i="12"/>
  <c r="F127" i="12" s="1"/>
  <c r="O127" i="11"/>
  <c r="G127" i="11"/>
  <c r="J260" i="17"/>
  <c r="Z260" i="17"/>
  <c r="AP260" i="17"/>
  <c r="J260" i="16"/>
  <c r="Z260" i="16"/>
  <c r="AX260" i="16"/>
  <c r="AZ259" i="15"/>
  <c r="K260" i="15"/>
  <c r="AH260" i="15"/>
  <c r="AQ260" i="15"/>
  <c r="R260" i="14"/>
  <c r="AA260" i="14"/>
  <c r="AX260" i="14"/>
  <c r="O116" i="13"/>
  <c r="G116" i="13"/>
  <c r="S40" i="23"/>
  <c r="T43" i="23" s="1"/>
  <c r="B22" i="18"/>
  <c r="J22" i="18" s="1"/>
  <c r="B22" i="21"/>
  <c r="AE22" i="21" s="1"/>
  <c r="P21" i="20" l="1"/>
  <c r="P22" i="20"/>
  <c r="AE56" i="21"/>
  <c r="AE62" i="21" s="1"/>
  <c r="AE34" i="21"/>
  <c r="AE40" i="21" s="1"/>
  <c r="AE45" i="21"/>
  <c r="AE51" i="21" s="1"/>
  <c r="AE67" i="21"/>
  <c r="AE73" i="21" s="1"/>
  <c r="AE24" i="21"/>
  <c r="J56" i="18"/>
  <c r="J62" i="18" s="1"/>
  <c r="J24" i="18"/>
  <c r="J34" i="18"/>
  <c r="J40" i="18" s="1"/>
  <c r="J45" i="18"/>
  <c r="J51" i="18" s="1"/>
  <c r="J67" i="18"/>
  <c r="J73" i="18" s="1"/>
  <c r="AI55" i="18"/>
  <c r="AI44" i="18"/>
  <c r="AI33" i="18"/>
  <c r="AI23" i="18"/>
  <c r="AI66" i="18"/>
  <c r="AA40" i="19"/>
  <c r="AA35" i="19"/>
  <c r="AW34" i="19"/>
  <c r="AW40" i="19" s="1"/>
  <c r="AW56" i="19"/>
  <c r="AW62" i="19" s="1"/>
  <c r="AW24" i="19"/>
  <c r="AW67" i="19"/>
  <c r="AW73" i="19" s="1"/>
  <c r="AW45" i="19"/>
  <c r="AW51" i="19" s="1"/>
  <c r="K67" i="19"/>
  <c r="K73" i="19" s="1"/>
  <c r="K34" i="19"/>
  <c r="K40" i="19" s="1"/>
  <c r="K45" i="19"/>
  <c r="K51" i="19" s="1"/>
  <c r="K56" i="19"/>
  <c r="K62" i="19" s="1"/>
  <c r="K24" i="19"/>
  <c r="F56" i="19"/>
  <c r="F62" i="19" s="1"/>
  <c r="F24" i="19"/>
  <c r="F34" i="19"/>
  <c r="F40" i="19" s="1"/>
  <c r="F45" i="19"/>
  <c r="F51" i="19" s="1"/>
  <c r="F67" i="19"/>
  <c r="F73" i="19" s="1"/>
  <c r="AU45" i="18"/>
  <c r="AU51" i="18" s="1"/>
  <c r="AU24" i="18"/>
  <c r="AU34" i="18"/>
  <c r="AU40" i="18" s="1"/>
  <c r="AU56" i="18"/>
  <c r="AU62" i="18" s="1"/>
  <c r="AU67" i="18"/>
  <c r="AU73" i="18" s="1"/>
  <c r="AP33" i="18"/>
  <c r="AP66" i="18"/>
  <c r="AP55" i="18"/>
  <c r="AP23" i="18"/>
  <c r="AP44" i="18"/>
  <c r="AD66" i="18"/>
  <c r="AD23" i="18"/>
  <c r="AD44" i="18"/>
  <c r="AD55" i="18"/>
  <c r="AD33" i="18"/>
  <c r="AH33" i="18"/>
  <c r="AH23" i="18"/>
  <c r="AH66" i="18"/>
  <c r="AH44" i="18"/>
  <c r="AH55" i="18"/>
  <c r="U45" i="19"/>
  <c r="U51" i="19" s="1"/>
  <c r="U34" i="19"/>
  <c r="U40" i="19" s="1"/>
  <c r="U56" i="19"/>
  <c r="U62" i="19" s="1"/>
  <c r="U67" i="19"/>
  <c r="U73" i="19" s="1"/>
  <c r="U24" i="19"/>
  <c r="AG55" i="18"/>
  <c r="AG33" i="18"/>
  <c r="AG23" i="18"/>
  <c r="AG44" i="18"/>
  <c r="AG66" i="18"/>
  <c r="F23" i="19"/>
  <c r="F44" i="19"/>
  <c r="F66" i="19"/>
  <c r="F55" i="19"/>
  <c r="F33" i="19"/>
  <c r="H10" i="23"/>
  <c r="AO33" i="18"/>
  <c r="AO23" i="18"/>
  <c r="AO66" i="18"/>
  <c r="AO55" i="18"/>
  <c r="AO44" i="18"/>
  <c r="W33" i="18"/>
  <c r="W55" i="18"/>
  <c r="W66" i="18"/>
  <c r="W44" i="18"/>
  <c r="W23" i="18"/>
  <c r="Q21" i="20"/>
  <c r="Q22" i="20"/>
  <c r="M44" i="20"/>
  <c r="M55" i="20"/>
  <c r="M23" i="20"/>
  <c r="M66" i="20"/>
  <c r="M33" i="20"/>
  <c r="K22" i="20"/>
  <c r="K21" i="20"/>
  <c r="R67" i="21"/>
  <c r="R73" i="21" s="1"/>
  <c r="R34" i="21"/>
  <c r="R40" i="21" s="1"/>
  <c r="R56" i="21"/>
  <c r="R62" i="21" s="1"/>
  <c r="R24" i="21"/>
  <c r="R45" i="21"/>
  <c r="R51" i="21" s="1"/>
  <c r="T21" i="19"/>
  <c r="T22" i="19"/>
  <c r="W46" i="20"/>
  <c r="W50" i="20"/>
  <c r="AR22" i="21"/>
  <c r="AR21" i="21"/>
  <c r="W67" i="19"/>
  <c r="W73" i="19" s="1"/>
  <c r="W34" i="19"/>
  <c r="W40" i="19" s="1"/>
  <c r="W56" i="19"/>
  <c r="W62" i="19" s="1"/>
  <c r="W45" i="19"/>
  <c r="W51" i="19" s="1"/>
  <c r="W24" i="19"/>
  <c r="Z33" i="21"/>
  <c r="Z44" i="21"/>
  <c r="Z55" i="21"/>
  <c r="Z66" i="21"/>
  <c r="Z23" i="21"/>
  <c r="I66" i="21"/>
  <c r="I55" i="21"/>
  <c r="I23" i="21"/>
  <c r="I33" i="21"/>
  <c r="I44" i="21"/>
  <c r="I39" i="19"/>
  <c r="R33" i="21"/>
  <c r="R23" i="21"/>
  <c r="R55" i="21"/>
  <c r="R66" i="21"/>
  <c r="R44" i="21"/>
  <c r="S8" i="23"/>
  <c r="AJ10" i="18"/>
  <c r="AJ13" i="18" s="1"/>
  <c r="F22" i="18"/>
  <c r="F21" i="18"/>
  <c r="AQ21" i="19"/>
  <c r="AQ22" i="19"/>
  <c r="N22" i="18"/>
  <c r="V23" i="18"/>
  <c r="V44" i="18"/>
  <c r="V66" i="18"/>
  <c r="V33" i="18"/>
  <c r="V55" i="18"/>
  <c r="O44" i="19"/>
  <c r="O55" i="19"/>
  <c r="O23" i="19"/>
  <c r="O33" i="19"/>
  <c r="O66" i="19"/>
  <c r="M55" i="19"/>
  <c r="M23" i="19"/>
  <c r="M33" i="19"/>
  <c r="M44" i="19"/>
  <c r="M66" i="19"/>
  <c r="L23" i="20"/>
  <c r="L44" i="20"/>
  <c r="L55" i="20"/>
  <c r="L66" i="20"/>
  <c r="L33" i="20"/>
  <c r="AG34" i="19"/>
  <c r="AG40" i="19" s="1"/>
  <c r="AG56" i="19"/>
  <c r="AG62" i="19" s="1"/>
  <c r="AG24" i="19"/>
  <c r="AG45" i="19"/>
  <c r="AG51" i="19" s="1"/>
  <c r="AG67" i="19"/>
  <c r="AG73" i="19" s="1"/>
  <c r="AS23" i="21"/>
  <c r="AS66" i="21"/>
  <c r="AS33" i="21"/>
  <c r="AS55" i="21"/>
  <c r="AS44" i="21"/>
  <c r="AJ22" i="21"/>
  <c r="AJ21" i="21"/>
  <c r="AY55" i="21"/>
  <c r="AY23" i="21"/>
  <c r="AY33" i="21"/>
  <c r="AY66" i="21"/>
  <c r="AY44" i="21"/>
  <c r="AY56" i="19"/>
  <c r="AY62" i="19" s="1"/>
  <c r="AY24" i="19"/>
  <c r="AY34" i="19"/>
  <c r="AY40" i="19" s="1"/>
  <c r="AY45" i="19"/>
  <c r="AY51" i="19" s="1"/>
  <c r="AY67" i="19"/>
  <c r="AY73" i="19" s="1"/>
  <c r="AX23" i="21"/>
  <c r="AX33" i="21"/>
  <c r="AX44" i="21"/>
  <c r="AX66" i="21"/>
  <c r="AX55" i="21"/>
  <c r="AS55" i="20"/>
  <c r="AS23" i="20"/>
  <c r="AS33" i="20"/>
  <c r="AS66" i="20"/>
  <c r="AS44" i="20"/>
  <c r="N39" i="20"/>
  <c r="I22" i="21"/>
  <c r="AV55" i="21"/>
  <c r="AV23" i="21"/>
  <c r="AV44" i="21"/>
  <c r="AV33" i="21"/>
  <c r="AV66" i="21"/>
  <c r="I72" i="19"/>
  <c r="G61" i="21"/>
  <c r="E50" i="21"/>
  <c r="AM22" i="21"/>
  <c r="N61" i="21"/>
  <c r="AZ260" i="17"/>
  <c r="AN66" i="18"/>
  <c r="AN55" i="18"/>
  <c r="AN23" i="18"/>
  <c r="AN44" i="18"/>
  <c r="AN33" i="18"/>
  <c r="AT22" i="18"/>
  <c r="AJ46" i="18"/>
  <c r="AJ51" i="18"/>
  <c r="AZ10" i="18"/>
  <c r="D13" i="18"/>
  <c r="M22" i="18"/>
  <c r="M21" i="18"/>
  <c r="S22" i="18"/>
  <c r="AJ24" i="19"/>
  <c r="AJ45" i="19"/>
  <c r="AJ51" i="19" s="1"/>
  <c r="AJ67" i="19"/>
  <c r="AJ73" i="19" s="1"/>
  <c r="AJ34" i="19"/>
  <c r="AJ40" i="19" s="1"/>
  <c r="AJ56" i="19"/>
  <c r="AJ62" i="19" s="1"/>
  <c r="AU66" i="19"/>
  <c r="AU33" i="19"/>
  <c r="AU23" i="19"/>
  <c r="AU44" i="19"/>
  <c r="AU55" i="19"/>
  <c r="AE21" i="19"/>
  <c r="AE22" i="19"/>
  <c r="AT22" i="19"/>
  <c r="AT21" i="19"/>
  <c r="Q55" i="18"/>
  <c r="Q23" i="18"/>
  <c r="Q33" i="18"/>
  <c r="Q66" i="18"/>
  <c r="Q44" i="18"/>
  <c r="O24" i="19"/>
  <c r="O45" i="19"/>
  <c r="O51" i="19" s="1"/>
  <c r="O56" i="19"/>
  <c r="O62" i="19" s="1"/>
  <c r="O34" i="19"/>
  <c r="O40" i="19" s="1"/>
  <c r="O67" i="19"/>
  <c r="O73" i="19" s="1"/>
  <c r="E22" i="19"/>
  <c r="E21" i="19"/>
  <c r="AZ21" i="19" s="1"/>
  <c r="F30" i="18"/>
  <c r="G27" i="18"/>
  <c r="M56" i="19"/>
  <c r="M62" i="19" s="1"/>
  <c r="M24" i="19"/>
  <c r="M67" i="19"/>
  <c r="M73" i="19" s="1"/>
  <c r="M45" i="19"/>
  <c r="M51" i="19" s="1"/>
  <c r="M34" i="19"/>
  <c r="M40" i="19" s="1"/>
  <c r="AD22" i="19"/>
  <c r="AD21" i="19"/>
  <c r="S22" i="20"/>
  <c r="S21" i="20"/>
  <c r="I21" i="20"/>
  <c r="I22" i="20"/>
  <c r="AZ22" i="20" s="1"/>
  <c r="AX55" i="19"/>
  <c r="AX23" i="19"/>
  <c r="AX33" i="19"/>
  <c r="AX44" i="19"/>
  <c r="AX66" i="19"/>
  <c r="AN45" i="20"/>
  <c r="AN51" i="20" s="1"/>
  <c r="AN56" i="20"/>
  <c r="AN62" i="20" s="1"/>
  <c r="AN34" i="20"/>
  <c r="AN40" i="20" s="1"/>
  <c r="AN24" i="20"/>
  <c r="AN67" i="20"/>
  <c r="AN73" i="20" s="1"/>
  <c r="AG55" i="19"/>
  <c r="AG23" i="19"/>
  <c r="AG44" i="19"/>
  <c r="AG66" i="19"/>
  <c r="AG33" i="19"/>
  <c r="W68" i="20"/>
  <c r="W72" i="20"/>
  <c r="AQ67" i="20"/>
  <c r="AQ73" i="20" s="1"/>
  <c r="AQ34" i="20"/>
  <c r="AQ40" i="20" s="1"/>
  <c r="AQ45" i="20"/>
  <c r="AQ51" i="20" s="1"/>
  <c r="AQ24" i="20"/>
  <c r="AQ56" i="20"/>
  <c r="AQ62" i="20" s="1"/>
  <c r="AY33" i="20"/>
  <c r="AY55" i="20"/>
  <c r="AY44" i="20"/>
  <c r="AY66" i="20"/>
  <c r="AY23" i="20"/>
  <c r="AK23" i="21"/>
  <c r="AK66" i="21"/>
  <c r="AK33" i="21"/>
  <c r="AK44" i="21"/>
  <c r="AK55" i="21"/>
  <c r="AJ44" i="19"/>
  <c r="AJ33" i="19"/>
  <c r="AJ55" i="19"/>
  <c r="AJ23" i="19"/>
  <c r="AJ66" i="19"/>
  <c r="AI56" i="20"/>
  <c r="AI62" i="20" s="1"/>
  <c r="AI24" i="20"/>
  <c r="AI67" i="20"/>
  <c r="AI73" i="20" s="1"/>
  <c r="AI34" i="20"/>
  <c r="AI40" i="20" s="1"/>
  <c r="AI45" i="20"/>
  <c r="AI51" i="20" s="1"/>
  <c r="AB22" i="21"/>
  <c r="AB21" i="21"/>
  <c r="AS23" i="18"/>
  <c r="AS66" i="18"/>
  <c r="AS55" i="18"/>
  <c r="AS44" i="18"/>
  <c r="AS33" i="18"/>
  <c r="AY22" i="21"/>
  <c r="AF55" i="21"/>
  <c r="AF23" i="21"/>
  <c r="AF44" i="21"/>
  <c r="AF33" i="21"/>
  <c r="AF66" i="21"/>
  <c r="D34" i="19"/>
  <c r="D40" i="19" s="1"/>
  <c r="D56" i="19"/>
  <c r="D62" i="19" s="1"/>
  <c r="D24" i="19"/>
  <c r="D67" i="19"/>
  <c r="D73" i="19" s="1"/>
  <c r="D45" i="19"/>
  <c r="D51" i="19" s="1"/>
  <c r="AA66" i="21"/>
  <c r="AA44" i="21"/>
  <c r="AA23" i="21"/>
  <c r="AA55" i="21"/>
  <c r="AA33" i="21"/>
  <c r="AU22" i="21"/>
  <c r="P21" i="21"/>
  <c r="P22" i="21"/>
  <c r="D23" i="20"/>
  <c r="D44" i="20"/>
  <c r="D55" i="20"/>
  <c r="D66" i="20"/>
  <c r="D33" i="20"/>
  <c r="T22" i="21"/>
  <c r="N61" i="20"/>
  <c r="N57" i="20"/>
  <c r="H67" i="20"/>
  <c r="H73" i="20" s="1"/>
  <c r="H34" i="20"/>
  <c r="H40" i="20" s="1"/>
  <c r="H45" i="20"/>
  <c r="H51" i="20" s="1"/>
  <c r="H24" i="20"/>
  <c r="H56" i="20"/>
  <c r="H62" i="20" s="1"/>
  <c r="AV22" i="21"/>
  <c r="V55" i="21"/>
  <c r="V33" i="21"/>
  <c r="V23" i="21"/>
  <c r="V66" i="21"/>
  <c r="V44" i="21"/>
  <c r="AW22" i="21"/>
  <c r="AK57" i="20"/>
  <c r="AK61" i="20"/>
  <c r="AM23" i="21"/>
  <c r="AM44" i="21"/>
  <c r="AM55" i="21"/>
  <c r="AM66" i="21"/>
  <c r="AM33" i="21"/>
  <c r="N72" i="21"/>
  <c r="AQ34" i="18"/>
  <c r="AQ40" i="18" s="1"/>
  <c r="AQ67" i="18"/>
  <c r="AQ73" i="18" s="1"/>
  <c r="AQ56" i="18"/>
  <c r="AQ62" i="18" s="1"/>
  <c r="AQ45" i="18"/>
  <c r="AQ51" i="18" s="1"/>
  <c r="AQ24" i="18"/>
  <c r="AP67" i="18"/>
  <c r="AP73" i="18" s="1"/>
  <c r="AP34" i="18"/>
  <c r="AP40" i="18" s="1"/>
  <c r="AP24" i="18"/>
  <c r="AP45" i="18"/>
  <c r="AP51" i="18" s="1"/>
  <c r="AP56" i="18"/>
  <c r="AP62" i="18" s="1"/>
  <c r="AD34" i="18"/>
  <c r="AD40" i="18" s="1"/>
  <c r="AD56" i="18"/>
  <c r="AD62" i="18" s="1"/>
  <c r="AD24" i="18"/>
  <c r="AD67" i="18"/>
  <c r="AD73" i="18" s="1"/>
  <c r="AD45" i="18"/>
  <c r="AD51" i="18" s="1"/>
  <c r="AC45" i="18"/>
  <c r="AC51" i="18" s="1"/>
  <c r="AC67" i="18"/>
  <c r="AC73" i="18" s="1"/>
  <c r="AC24" i="18"/>
  <c r="AC34" i="18"/>
  <c r="AC40" i="18" s="1"/>
  <c r="AC56" i="18"/>
  <c r="AC62" i="18" s="1"/>
  <c r="X33" i="19"/>
  <c r="X55" i="19"/>
  <c r="X44" i="19"/>
  <c r="X66" i="19"/>
  <c r="X23" i="19"/>
  <c r="Z55" i="19"/>
  <c r="Z23" i="19"/>
  <c r="Z33" i="19"/>
  <c r="Z44" i="19"/>
  <c r="Z66" i="19"/>
  <c r="AS45" i="19"/>
  <c r="AS51" i="19" s="1"/>
  <c r="AS34" i="19"/>
  <c r="AS40" i="19" s="1"/>
  <c r="AS56" i="19"/>
  <c r="AS62" i="19" s="1"/>
  <c r="AS24" i="19"/>
  <c r="AS67" i="19"/>
  <c r="AS73" i="19" s="1"/>
  <c r="AW45" i="20"/>
  <c r="AW51" i="20" s="1"/>
  <c r="AW67" i="20"/>
  <c r="AW73" i="20" s="1"/>
  <c r="AW24" i="20"/>
  <c r="AW56" i="20"/>
  <c r="AW62" i="20" s="1"/>
  <c r="AW34" i="20"/>
  <c r="AW40" i="20" s="1"/>
  <c r="AF67" i="19"/>
  <c r="AF73" i="19" s="1"/>
  <c r="AF34" i="19"/>
  <c r="AF40" i="19" s="1"/>
  <c r="AF24" i="19"/>
  <c r="AF45" i="19"/>
  <c r="AF51" i="19" s="1"/>
  <c r="AF56" i="19"/>
  <c r="AF62" i="19" s="1"/>
  <c r="O67" i="18"/>
  <c r="O73" i="18" s="1"/>
  <c r="O34" i="18"/>
  <c r="O40" i="18" s="1"/>
  <c r="O24" i="18"/>
  <c r="O45" i="18"/>
  <c r="O51" i="18" s="1"/>
  <c r="O56" i="18"/>
  <c r="O62" i="18" s="1"/>
  <c r="Y67" i="20"/>
  <c r="Y73" i="20" s="1"/>
  <c r="Y34" i="20"/>
  <c r="Y40" i="20" s="1"/>
  <c r="Y45" i="20"/>
  <c r="Y51" i="20" s="1"/>
  <c r="Y56" i="20"/>
  <c r="Y62" i="20" s="1"/>
  <c r="Y24" i="20"/>
  <c r="AJ23" i="20"/>
  <c r="AJ44" i="20"/>
  <c r="AJ55" i="20"/>
  <c r="AJ33" i="20"/>
  <c r="AJ66" i="20"/>
  <c r="AP45" i="21"/>
  <c r="AP51" i="21" s="1"/>
  <c r="AP67" i="21"/>
  <c r="AP73" i="21" s="1"/>
  <c r="AP24" i="21"/>
  <c r="AP34" i="21"/>
  <c r="AP40" i="21" s="1"/>
  <c r="AP56" i="21"/>
  <c r="AP62" i="21" s="1"/>
  <c r="AT24" i="21"/>
  <c r="AT67" i="21"/>
  <c r="AT73" i="21" s="1"/>
  <c r="AT34" i="21"/>
  <c r="AT40" i="21" s="1"/>
  <c r="AT56" i="21"/>
  <c r="AT62" i="21" s="1"/>
  <c r="AT45" i="21"/>
  <c r="AT51" i="21" s="1"/>
  <c r="AB23" i="20"/>
  <c r="AB44" i="20"/>
  <c r="AB55" i="20"/>
  <c r="AB33" i="20"/>
  <c r="AB66" i="20"/>
  <c r="D56" i="20"/>
  <c r="D62" i="20" s="1"/>
  <c r="D24" i="20"/>
  <c r="D34" i="20"/>
  <c r="D40" i="20" s="1"/>
  <c r="D45" i="20"/>
  <c r="D51" i="20" s="1"/>
  <c r="D67" i="20"/>
  <c r="D73" i="20" s="1"/>
  <c r="AG44" i="21"/>
  <c r="AG66" i="21"/>
  <c r="AG23" i="21"/>
  <c r="AG33" i="21"/>
  <c r="AG55" i="21"/>
  <c r="F39" i="21"/>
  <c r="S7" i="23"/>
  <c r="AQ55" i="18"/>
  <c r="AQ44" i="18"/>
  <c r="AQ33" i="18"/>
  <c r="AQ23" i="18"/>
  <c r="AQ66" i="18"/>
  <c r="AM33" i="18"/>
  <c r="AM44" i="18"/>
  <c r="AM23" i="18"/>
  <c r="AM55" i="18"/>
  <c r="AM66" i="18"/>
  <c r="AI56" i="18"/>
  <c r="AI62" i="18" s="1"/>
  <c r="AI45" i="18"/>
  <c r="AI51" i="18" s="1"/>
  <c r="AI67" i="18"/>
  <c r="AI73" i="18" s="1"/>
  <c r="AI24" i="18"/>
  <c r="AI34" i="18"/>
  <c r="AI40" i="18" s="1"/>
  <c r="G67" i="18"/>
  <c r="G73" i="18" s="1"/>
  <c r="G34" i="18"/>
  <c r="G40" i="18" s="1"/>
  <c r="G24" i="18"/>
  <c r="G56" i="18"/>
  <c r="G62" i="18" s="1"/>
  <c r="G45" i="18"/>
  <c r="G51" i="18" s="1"/>
  <c r="Z56" i="18"/>
  <c r="Z62" i="18" s="1"/>
  <c r="Z34" i="18"/>
  <c r="Z40" i="18" s="1"/>
  <c r="Z67" i="18"/>
  <c r="Z73" i="18" s="1"/>
  <c r="Z24" i="18"/>
  <c r="Z45" i="18"/>
  <c r="Z51" i="18" s="1"/>
  <c r="Z56" i="19"/>
  <c r="Z62" i="19" s="1"/>
  <c r="Z24" i="19"/>
  <c r="Z45" i="19"/>
  <c r="Z51" i="19" s="1"/>
  <c r="Z67" i="19"/>
  <c r="Z73" i="19" s="1"/>
  <c r="Z34" i="19"/>
  <c r="Z40" i="19" s="1"/>
  <c r="AP21" i="20"/>
  <c r="AP22" i="20"/>
  <c r="T45" i="18"/>
  <c r="T51" i="18" s="1"/>
  <c r="T34" i="18"/>
  <c r="T40" i="18" s="1"/>
  <c r="T56" i="18"/>
  <c r="T62" i="18" s="1"/>
  <c r="T24" i="18"/>
  <c r="T67" i="18"/>
  <c r="T73" i="18" s="1"/>
  <c r="O33" i="18"/>
  <c r="O44" i="18"/>
  <c r="O23" i="18"/>
  <c r="O55" i="18"/>
  <c r="O66" i="18"/>
  <c r="AT23" i="20"/>
  <c r="AT44" i="20"/>
  <c r="AT66" i="20"/>
  <c r="AT33" i="20"/>
  <c r="AT55" i="20"/>
  <c r="Y33" i="20"/>
  <c r="Y55" i="20"/>
  <c r="Y66" i="20"/>
  <c r="Y44" i="20"/>
  <c r="Y23" i="20"/>
  <c r="AI56" i="19"/>
  <c r="AI62" i="19" s="1"/>
  <c r="AI24" i="19"/>
  <c r="AI34" i="19"/>
  <c r="AI40" i="19" s="1"/>
  <c r="AI45" i="19"/>
  <c r="AI51" i="19" s="1"/>
  <c r="AI67" i="19"/>
  <c r="AI73" i="19" s="1"/>
  <c r="AN55" i="21"/>
  <c r="AN23" i="21"/>
  <c r="AN44" i="21"/>
  <c r="AN33" i="21"/>
  <c r="AN66" i="21"/>
  <c r="AI66" i="21"/>
  <c r="AI44" i="21"/>
  <c r="AI23" i="21"/>
  <c r="AI55" i="21"/>
  <c r="AI33" i="21"/>
  <c r="N45" i="20"/>
  <c r="N51" i="20" s="1"/>
  <c r="N56" i="20"/>
  <c r="N62" i="20" s="1"/>
  <c r="N24" i="20"/>
  <c r="N67" i="20"/>
  <c r="N73" i="20" s="1"/>
  <c r="N34" i="20"/>
  <c r="N40" i="20" s="1"/>
  <c r="I61" i="19"/>
  <c r="F61" i="21"/>
  <c r="AN67" i="18"/>
  <c r="AN73" i="18" s="1"/>
  <c r="AN56" i="18"/>
  <c r="AN62" i="18" s="1"/>
  <c r="AN24" i="18"/>
  <c r="AN45" i="18"/>
  <c r="AN51" i="18" s="1"/>
  <c r="AN34" i="18"/>
  <c r="AN40" i="18" s="1"/>
  <c r="AO21" i="19"/>
  <c r="AO22" i="19"/>
  <c r="Z23" i="18"/>
  <c r="Z44" i="18"/>
  <c r="Z66" i="18"/>
  <c r="Z33" i="18"/>
  <c r="Z55" i="18"/>
  <c r="U44" i="19"/>
  <c r="U23" i="19"/>
  <c r="U55" i="19"/>
  <c r="U33" i="19"/>
  <c r="U66" i="19"/>
  <c r="AH56" i="19"/>
  <c r="AH62" i="19" s="1"/>
  <c r="AH24" i="19"/>
  <c r="AH45" i="19"/>
  <c r="AH51" i="19" s="1"/>
  <c r="AH67" i="19"/>
  <c r="AH73" i="19" s="1"/>
  <c r="AH34" i="19"/>
  <c r="AH40" i="19" s="1"/>
  <c r="T44" i="18"/>
  <c r="T23" i="18"/>
  <c r="T55" i="18"/>
  <c r="T66" i="18"/>
  <c r="T33" i="18"/>
  <c r="AX67" i="20"/>
  <c r="AX73" i="20" s="1"/>
  <c r="AX34" i="20"/>
  <c r="AX40" i="20" s="1"/>
  <c r="AX56" i="20"/>
  <c r="AX62" i="20" s="1"/>
  <c r="AX45" i="20"/>
  <c r="AX51" i="20" s="1"/>
  <c r="AX24" i="20"/>
  <c r="Z21" i="20"/>
  <c r="Z22" i="20"/>
  <c r="Y55" i="18"/>
  <c r="Y33" i="18"/>
  <c r="Y23" i="18"/>
  <c r="Y44" i="18"/>
  <c r="Y66" i="18"/>
  <c r="AK45" i="19"/>
  <c r="AK51" i="19" s="1"/>
  <c r="AK34" i="19"/>
  <c r="AK40" i="19" s="1"/>
  <c r="AK56" i="19"/>
  <c r="AK62" i="19" s="1"/>
  <c r="AK67" i="19"/>
  <c r="AK73" i="19" s="1"/>
  <c r="AK24" i="19"/>
  <c r="G50" i="19"/>
  <c r="U44" i="20"/>
  <c r="U55" i="20"/>
  <c r="U23" i="20"/>
  <c r="U66" i="20"/>
  <c r="U33" i="20"/>
  <c r="J55" i="20"/>
  <c r="J23" i="20"/>
  <c r="J66" i="20"/>
  <c r="J33" i="20"/>
  <c r="J44" i="20"/>
  <c r="Y21" i="21"/>
  <c r="Y22" i="21"/>
  <c r="D22" i="21"/>
  <c r="AK22" i="21"/>
  <c r="AC22" i="21"/>
  <c r="U22" i="21"/>
  <c r="AS22" i="21"/>
  <c r="E22" i="21"/>
  <c r="AQ22" i="21"/>
  <c r="G22" i="21"/>
  <c r="N22" i="21"/>
  <c r="M22" i="21"/>
  <c r="AU44" i="18"/>
  <c r="AU23" i="18"/>
  <c r="AU55" i="18"/>
  <c r="AU33" i="18"/>
  <c r="AU66" i="18"/>
  <c r="AJ73" i="18"/>
  <c r="AJ68" i="18"/>
  <c r="R21" i="18"/>
  <c r="R22" i="18"/>
  <c r="AA24" i="18"/>
  <c r="AA45" i="18"/>
  <c r="AA51" i="18" s="1"/>
  <c r="AA67" i="18"/>
  <c r="AA73" i="18" s="1"/>
  <c r="AA34" i="18"/>
  <c r="AA40" i="18" s="1"/>
  <c r="AA56" i="18"/>
  <c r="AA62" i="18" s="1"/>
  <c r="I56" i="18"/>
  <c r="I62" i="18" s="1"/>
  <c r="I45" i="18"/>
  <c r="I51" i="18" s="1"/>
  <c r="I67" i="18"/>
  <c r="I73" i="18" s="1"/>
  <c r="I34" i="18"/>
  <c r="I40" i="18" s="1"/>
  <c r="I24" i="18"/>
  <c r="W66" i="19"/>
  <c r="W33" i="19"/>
  <c r="W23" i="19"/>
  <c r="W44" i="19"/>
  <c r="W55" i="19"/>
  <c r="V45" i="18"/>
  <c r="V51" i="18" s="1"/>
  <c r="V67" i="18"/>
  <c r="V73" i="18" s="1"/>
  <c r="V56" i="18"/>
  <c r="V62" i="18" s="1"/>
  <c r="V24" i="18"/>
  <c r="V34" i="18"/>
  <c r="V40" i="18" s="1"/>
  <c r="Q45" i="19"/>
  <c r="Q51" i="19" s="1"/>
  <c r="Q67" i="19"/>
  <c r="Q73" i="19" s="1"/>
  <c r="Q24" i="19"/>
  <c r="Q56" i="19"/>
  <c r="Q62" i="19" s="1"/>
  <c r="Q34" i="19"/>
  <c r="Q40" i="19" s="1"/>
  <c r="W67" i="18"/>
  <c r="W73" i="18" s="1"/>
  <c r="W24" i="18"/>
  <c r="W45" i="18"/>
  <c r="W51" i="18" s="1"/>
  <c r="W56" i="18"/>
  <c r="W62" i="18" s="1"/>
  <c r="W34" i="18"/>
  <c r="W40" i="18" s="1"/>
  <c r="AM67" i="19"/>
  <c r="AM73" i="19" s="1"/>
  <c r="AM34" i="19"/>
  <c r="AM40" i="19" s="1"/>
  <c r="AM56" i="19"/>
  <c r="AM62" i="19" s="1"/>
  <c r="AM45" i="19"/>
  <c r="AM51" i="19" s="1"/>
  <c r="AM24" i="19"/>
  <c r="AG21" i="20"/>
  <c r="AG22" i="20"/>
  <c r="AP56" i="19"/>
  <c r="AP62" i="19" s="1"/>
  <c r="AP24" i="19"/>
  <c r="AP45" i="19"/>
  <c r="AP51" i="19" s="1"/>
  <c r="AP67" i="19"/>
  <c r="AP73" i="19" s="1"/>
  <c r="AP34" i="19"/>
  <c r="AP40" i="19" s="1"/>
  <c r="AR44" i="19"/>
  <c r="AR33" i="19"/>
  <c r="AR55" i="19"/>
  <c r="AR23" i="19"/>
  <c r="AR66" i="19"/>
  <c r="AR55" i="18"/>
  <c r="AR23" i="18"/>
  <c r="AR33" i="18"/>
  <c r="AR66" i="18"/>
  <c r="AR44" i="18"/>
  <c r="AL22" i="21"/>
  <c r="AV44" i="20"/>
  <c r="AV66" i="20"/>
  <c r="AV23" i="20"/>
  <c r="AV55" i="20"/>
  <c r="AV33" i="20"/>
  <c r="K22" i="21"/>
  <c r="AX22" i="21"/>
  <c r="AO66" i="20"/>
  <c r="AO33" i="20"/>
  <c r="AO23" i="20"/>
  <c r="AO44" i="20"/>
  <c r="AO55" i="20"/>
  <c r="X21" i="20"/>
  <c r="X22" i="20"/>
  <c r="G66" i="20"/>
  <c r="G33" i="20"/>
  <c r="G44" i="20"/>
  <c r="G23" i="20"/>
  <c r="G55" i="20"/>
  <c r="AD55" i="21"/>
  <c r="AD33" i="21"/>
  <c r="AD23" i="21"/>
  <c r="AD66" i="21"/>
  <c r="AD44" i="21"/>
  <c r="AK35" i="20"/>
  <c r="AK39" i="20"/>
  <c r="E39" i="21"/>
  <c r="AH22" i="18"/>
  <c r="D22" i="18"/>
  <c r="AO22" i="18"/>
  <c r="U22" i="18"/>
  <c r="U21" i="18"/>
  <c r="S44" i="18"/>
  <c r="S33" i="18"/>
  <c r="S55" i="18"/>
  <c r="S23" i="18"/>
  <c r="S66" i="18"/>
  <c r="K22" i="18"/>
  <c r="AU67" i="19"/>
  <c r="AU73" i="19" s="1"/>
  <c r="AU34" i="19"/>
  <c r="AU40" i="19" s="1"/>
  <c r="AU56" i="19"/>
  <c r="AU62" i="19" s="1"/>
  <c r="AU24" i="19"/>
  <c r="AU45" i="19"/>
  <c r="AU51" i="19" s="1"/>
  <c r="L21" i="19"/>
  <c r="L22" i="19"/>
  <c r="J66" i="19"/>
  <c r="J33" i="19"/>
  <c r="J44" i="19"/>
  <c r="J55" i="19"/>
  <c r="J23" i="19"/>
  <c r="AV33" i="19"/>
  <c r="AV55" i="19"/>
  <c r="AV23" i="19"/>
  <c r="AV66" i="19"/>
  <c r="AV44" i="19"/>
  <c r="L44" i="18"/>
  <c r="L23" i="18"/>
  <c r="L55" i="18"/>
  <c r="L66" i="18"/>
  <c r="L33" i="18"/>
  <c r="AM66" i="19"/>
  <c r="AM33" i="19"/>
  <c r="AM23" i="19"/>
  <c r="AM44" i="19"/>
  <c r="AM55" i="19"/>
  <c r="U24" i="20"/>
  <c r="U45" i="20"/>
  <c r="U51" i="20" s="1"/>
  <c r="U56" i="20"/>
  <c r="U62" i="20" s="1"/>
  <c r="U67" i="20"/>
  <c r="U73" i="20" s="1"/>
  <c r="U34" i="20"/>
  <c r="U40" i="20" s="1"/>
  <c r="AF66" i="20"/>
  <c r="AF33" i="20"/>
  <c r="AF44" i="20"/>
  <c r="AF23" i="20"/>
  <c r="AF55" i="20"/>
  <c r="AN44" i="20"/>
  <c r="AN66" i="20"/>
  <c r="AN23" i="20"/>
  <c r="AN33" i="20"/>
  <c r="AN55" i="20"/>
  <c r="W35" i="20"/>
  <c r="W39" i="20"/>
  <c r="AV45" i="20"/>
  <c r="AV51" i="20" s="1"/>
  <c r="AV56" i="20"/>
  <c r="AV62" i="20" s="1"/>
  <c r="AV34" i="20"/>
  <c r="AV40" i="20" s="1"/>
  <c r="AV24" i="20"/>
  <c r="AV67" i="20"/>
  <c r="AV73" i="20" s="1"/>
  <c r="AY67" i="20"/>
  <c r="AY73" i="20" s="1"/>
  <c r="AY34" i="20"/>
  <c r="AY40" i="20" s="1"/>
  <c r="AY45" i="20"/>
  <c r="AY51" i="20" s="1"/>
  <c r="AY24" i="20"/>
  <c r="AY56" i="20"/>
  <c r="AY62" i="20" s="1"/>
  <c r="Q66" i="19"/>
  <c r="Q33" i="19"/>
  <c r="Q44" i="19"/>
  <c r="Q23" i="19"/>
  <c r="Q55" i="19"/>
  <c r="AI55" i="20"/>
  <c r="AI23" i="20"/>
  <c r="AI33" i="20"/>
  <c r="AI44" i="20"/>
  <c r="AI66" i="20"/>
  <c r="AL44" i="18"/>
  <c r="AL33" i="18"/>
  <c r="AL55" i="18"/>
  <c r="AL66" i="18"/>
  <c r="AL23" i="18"/>
  <c r="AI22" i="21"/>
  <c r="F44" i="20"/>
  <c r="F66" i="20"/>
  <c r="F23" i="20"/>
  <c r="F33" i="20"/>
  <c r="F55" i="20"/>
  <c r="K44" i="21"/>
  <c r="K55" i="21"/>
  <c r="K23" i="21"/>
  <c r="K33" i="21"/>
  <c r="K66" i="21"/>
  <c r="S55" i="21"/>
  <c r="S44" i="21"/>
  <c r="S23" i="21"/>
  <c r="S66" i="21"/>
  <c r="S33" i="21"/>
  <c r="T33" i="21"/>
  <c r="T55" i="21"/>
  <c r="T44" i="21"/>
  <c r="T23" i="21"/>
  <c r="T66" i="21"/>
  <c r="AD22" i="21"/>
  <c r="F50" i="21"/>
  <c r="H7" i="23"/>
  <c r="AJ35" i="18"/>
  <c r="AF21" i="18"/>
  <c r="AF22" i="18"/>
  <c r="AT44" i="18"/>
  <c r="AT33" i="18"/>
  <c r="AT23" i="18"/>
  <c r="AT66" i="18"/>
  <c r="AT55" i="18"/>
  <c r="AJ62" i="18"/>
  <c r="AJ57" i="18"/>
  <c r="AW66" i="18"/>
  <c r="AW33" i="18"/>
  <c r="AW44" i="18"/>
  <c r="AW55" i="18"/>
  <c r="AW23" i="18"/>
  <c r="AA68" i="19"/>
  <c r="AA72" i="19"/>
  <c r="G33" i="18"/>
  <c r="G44" i="18"/>
  <c r="G23" i="18"/>
  <c r="G66" i="18"/>
  <c r="G55" i="18"/>
  <c r="J23" i="18"/>
  <c r="J66" i="18"/>
  <c r="J55" i="18"/>
  <c r="J33" i="18"/>
  <c r="J44" i="18"/>
  <c r="AL66" i="19"/>
  <c r="AL33" i="19"/>
  <c r="AL55" i="19"/>
  <c r="AL44" i="19"/>
  <c r="AL23" i="19"/>
  <c r="V66" i="19"/>
  <c r="V33" i="19"/>
  <c r="V55" i="19"/>
  <c r="V44" i="19"/>
  <c r="V23" i="19"/>
  <c r="H22" i="18"/>
  <c r="Q22" i="18"/>
  <c r="H45" i="19"/>
  <c r="H51" i="19" s="1"/>
  <c r="H56" i="19"/>
  <c r="H62" i="19" s="1"/>
  <c r="H34" i="19"/>
  <c r="H40" i="19" s="1"/>
  <c r="H24" i="19"/>
  <c r="H67" i="19"/>
  <c r="H73" i="19" s="1"/>
  <c r="AZ10" i="19"/>
  <c r="AS56" i="20"/>
  <c r="AS62" i="20" s="1"/>
  <c r="AS24" i="20"/>
  <c r="AS67" i="20"/>
  <c r="AS73" i="20" s="1"/>
  <c r="AS45" i="20"/>
  <c r="AS51" i="20" s="1"/>
  <c r="AS34" i="20"/>
  <c r="AS40" i="20" s="1"/>
  <c r="S67" i="19"/>
  <c r="S73" i="19" s="1"/>
  <c r="S34" i="19"/>
  <c r="S40" i="19" s="1"/>
  <c r="S45" i="19"/>
  <c r="S51" i="19" s="1"/>
  <c r="S56" i="19"/>
  <c r="S62" i="19" s="1"/>
  <c r="S24" i="19"/>
  <c r="O46" i="20"/>
  <c r="O50" i="20"/>
  <c r="H66" i="20"/>
  <c r="H33" i="20"/>
  <c r="H44" i="20"/>
  <c r="H55" i="20"/>
  <c r="H23" i="20"/>
  <c r="AX56" i="19"/>
  <c r="AX62" i="19" s="1"/>
  <c r="AX24" i="19"/>
  <c r="AX45" i="19"/>
  <c r="AX51" i="19" s="1"/>
  <c r="AX67" i="19"/>
  <c r="AX73" i="19" s="1"/>
  <c r="AX34" i="19"/>
  <c r="AX40" i="19" s="1"/>
  <c r="AK24" i="20"/>
  <c r="AK45" i="20"/>
  <c r="AK51" i="20" s="1"/>
  <c r="AK56" i="20"/>
  <c r="AK62" i="20" s="1"/>
  <c r="AK34" i="20"/>
  <c r="AK40" i="20" s="1"/>
  <c r="AK67" i="20"/>
  <c r="AK73" i="20" s="1"/>
  <c r="AU44" i="20"/>
  <c r="AU55" i="20"/>
  <c r="AU23" i="20"/>
  <c r="AU66" i="20"/>
  <c r="AU33" i="20"/>
  <c r="AQ33" i="20"/>
  <c r="AQ55" i="20"/>
  <c r="AQ66" i="20"/>
  <c r="AQ23" i="20"/>
  <c r="AQ44" i="20"/>
  <c r="AA55" i="20"/>
  <c r="AA23" i="20"/>
  <c r="AA33" i="20"/>
  <c r="AA44" i="20"/>
  <c r="AA66" i="20"/>
  <c r="AC23" i="21"/>
  <c r="AC66" i="21"/>
  <c r="AC33" i="21"/>
  <c r="AC55" i="21"/>
  <c r="AC44" i="21"/>
  <c r="D55" i="19"/>
  <c r="D23" i="19"/>
  <c r="D66" i="19"/>
  <c r="D44" i="19"/>
  <c r="D33" i="19"/>
  <c r="N23" i="19"/>
  <c r="N44" i="19"/>
  <c r="N33" i="19"/>
  <c r="N66" i="19"/>
  <c r="N55" i="19"/>
  <c r="D23" i="18"/>
  <c r="D44" i="18"/>
  <c r="D55" i="18"/>
  <c r="D33" i="18"/>
  <c r="D66" i="18"/>
  <c r="E22" i="20"/>
  <c r="E21" i="20"/>
  <c r="AF22" i="21"/>
  <c r="P61" i="19"/>
  <c r="G35" i="19"/>
  <c r="G39" i="19"/>
  <c r="AU23" i="21"/>
  <c r="AU44" i="21"/>
  <c r="AU55" i="21"/>
  <c r="AU66" i="21"/>
  <c r="AU33" i="21"/>
  <c r="O44" i="21"/>
  <c r="O33" i="21"/>
  <c r="O66" i="21"/>
  <c r="O55" i="21"/>
  <c r="O23" i="21"/>
  <c r="AW66" i="20"/>
  <c r="AW33" i="20"/>
  <c r="AW23" i="20"/>
  <c r="AW55" i="20"/>
  <c r="AW44" i="20"/>
  <c r="F27" i="21"/>
  <c r="E30" i="21"/>
  <c r="AF67" i="20"/>
  <c r="AF73" i="20" s="1"/>
  <c r="AF34" i="20"/>
  <c r="AF40" i="20" s="1"/>
  <c r="AF45" i="20"/>
  <c r="AF51" i="20" s="1"/>
  <c r="AF24" i="20"/>
  <c r="AF56" i="20"/>
  <c r="AF62" i="20" s="1"/>
  <c r="H21" i="21"/>
  <c r="H22" i="21"/>
  <c r="V22" i="21"/>
  <c r="AW44" i="21"/>
  <c r="AW66" i="21"/>
  <c r="AW23" i="21"/>
  <c r="AW33" i="21"/>
  <c r="AW55" i="21"/>
  <c r="AK46" i="20"/>
  <c r="AK50" i="20"/>
  <c r="T56" i="20"/>
  <c r="T62" i="20" s="1"/>
  <c r="T24" i="20"/>
  <c r="T34" i="20"/>
  <c r="T40" i="20" s="1"/>
  <c r="T67" i="20"/>
  <c r="T73" i="20" s="1"/>
  <c r="T45" i="20"/>
  <c r="T51" i="20" s="1"/>
  <c r="G39" i="21"/>
  <c r="J22" i="21"/>
  <c r="M39" i="21"/>
  <c r="N50" i="21"/>
  <c r="AE23" i="21"/>
  <c r="AE44" i="21"/>
  <c r="AE55" i="21"/>
  <c r="AE66" i="21"/>
  <c r="AE33" i="21"/>
  <c r="AM45" i="18"/>
  <c r="AM51" i="18" s="1"/>
  <c r="AM34" i="18"/>
  <c r="AM40" i="18" s="1"/>
  <c r="AM56" i="18"/>
  <c r="AM62" i="18" s="1"/>
  <c r="AM24" i="18"/>
  <c r="AM67" i="18"/>
  <c r="AM73" i="18" s="1"/>
  <c r="AK44" i="19"/>
  <c r="AK66" i="19"/>
  <c r="AK23" i="19"/>
  <c r="AK55" i="19"/>
  <c r="AK33" i="19"/>
  <c r="AC44" i="19"/>
  <c r="AC66" i="19"/>
  <c r="AC23" i="19"/>
  <c r="AC33" i="19"/>
  <c r="AC55" i="19"/>
  <c r="AS44" i="19"/>
  <c r="AS66" i="19"/>
  <c r="AS23" i="19"/>
  <c r="AS33" i="19"/>
  <c r="AS55" i="19"/>
  <c r="AO45" i="20"/>
  <c r="AO51" i="20" s="1"/>
  <c r="AO67" i="20"/>
  <c r="AO73" i="20" s="1"/>
  <c r="AO24" i="20"/>
  <c r="AO34" i="20"/>
  <c r="AO40" i="20" s="1"/>
  <c r="AO56" i="20"/>
  <c r="AO62" i="20" s="1"/>
  <c r="O68" i="20"/>
  <c r="O72" i="20"/>
  <c r="AN33" i="19"/>
  <c r="AN55" i="19"/>
  <c r="AN44" i="19"/>
  <c r="AN66" i="19"/>
  <c r="AN23" i="19"/>
  <c r="AT56" i="20"/>
  <c r="AT62" i="20" s="1"/>
  <c r="AT24" i="20"/>
  <c r="AT34" i="20"/>
  <c r="AT40" i="20" s="1"/>
  <c r="AT45" i="20"/>
  <c r="AT51" i="20" s="1"/>
  <c r="AT67" i="20"/>
  <c r="AT73" i="20" s="1"/>
  <c r="AL44" i="20"/>
  <c r="AL23" i="20"/>
  <c r="AL66" i="20"/>
  <c r="AL55" i="20"/>
  <c r="AL33" i="20"/>
  <c r="AV55" i="18"/>
  <c r="AV44" i="18"/>
  <c r="AV66" i="18"/>
  <c r="AV33" i="18"/>
  <c r="AV23" i="18"/>
  <c r="P45" i="19"/>
  <c r="P51" i="19" s="1"/>
  <c r="P56" i="19"/>
  <c r="P62" i="19" s="1"/>
  <c r="P67" i="19"/>
  <c r="P73" i="19" s="1"/>
  <c r="P34" i="19"/>
  <c r="P40" i="19" s="1"/>
  <c r="P24" i="19"/>
  <c r="O67" i="21"/>
  <c r="O73" i="21" s="1"/>
  <c r="O45" i="21"/>
  <c r="O51" i="21" s="1"/>
  <c r="O34" i="21"/>
  <c r="O40" i="21" s="1"/>
  <c r="O56" i="21"/>
  <c r="O62" i="21" s="1"/>
  <c r="O24" i="21"/>
  <c r="D55" i="21"/>
  <c r="D23" i="21"/>
  <c r="D44" i="21"/>
  <c r="D66" i="21"/>
  <c r="D33" i="21"/>
  <c r="AM24" i="20"/>
  <c r="AM45" i="20"/>
  <c r="AM51" i="20" s="1"/>
  <c r="AM34" i="20"/>
  <c r="AM40" i="20" s="1"/>
  <c r="AM67" i="20"/>
  <c r="AM73" i="20" s="1"/>
  <c r="AM56" i="20"/>
  <c r="AM62" i="20" s="1"/>
  <c r="N50" i="20"/>
  <c r="AQ66" i="21"/>
  <c r="AQ44" i="21"/>
  <c r="AQ23" i="21"/>
  <c r="AQ55" i="21"/>
  <c r="AQ33" i="21"/>
  <c r="I46" i="19"/>
  <c r="I50" i="19"/>
  <c r="L55" i="21"/>
  <c r="L23" i="21"/>
  <c r="L44" i="21"/>
  <c r="L33" i="21"/>
  <c r="L66" i="21"/>
  <c r="AO56" i="21"/>
  <c r="AO62" i="21" s="1"/>
  <c r="AO24" i="21"/>
  <c r="AO67" i="21"/>
  <c r="AO73" i="21" s="1"/>
  <c r="AO34" i="21"/>
  <c r="AO40" i="21" s="1"/>
  <c r="AO45" i="21"/>
  <c r="AO51" i="21" s="1"/>
  <c r="G50" i="21"/>
  <c r="M72" i="21"/>
  <c r="AH55" i="19"/>
  <c r="AH23" i="19"/>
  <c r="AH33" i="19"/>
  <c r="AH44" i="19"/>
  <c r="AH66" i="19"/>
  <c r="Y34" i="19"/>
  <c r="Y40" i="19" s="1"/>
  <c r="Y56" i="19"/>
  <c r="Y62" i="19" s="1"/>
  <c r="Y45" i="19"/>
  <c r="Y51" i="19" s="1"/>
  <c r="Y24" i="19"/>
  <c r="Y67" i="19"/>
  <c r="Y73" i="19" s="1"/>
  <c r="AW55" i="19"/>
  <c r="AW23" i="19"/>
  <c r="AW44" i="19"/>
  <c r="AW66" i="19"/>
  <c r="AW33" i="19"/>
  <c r="AF33" i="19"/>
  <c r="AF55" i="19"/>
  <c r="AF23" i="19"/>
  <c r="AF66" i="19"/>
  <c r="AF44" i="19"/>
  <c r="K33" i="19"/>
  <c r="K55" i="19"/>
  <c r="K44" i="19"/>
  <c r="K66" i="19"/>
  <c r="K23" i="19"/>
  <c r="I45" i="19"/>
  <c r="I51" i="19" s="1"/>
  <c r="I67" i="19"/>
  <c r="I73" i="19" s="1"/>
  <c r="I24" i="19"/>
  <c r="I56" i="19"/>
  <c r="I62" i="19" s="1"/>
  <c r="I34" i="19"/>
  <c r="I40" i="19" s="1"/>
  <c r="AD45" i="20"/>
  <c r="AD51" i="20" s="1"/>
  <c r="AD56" i="20"/>
  <c r="AD62" i="20" s="1"/>
  <c r="AD24" i="20"/>
  <c r="AD34" i="20"/>
  <c r="AD40" i="20" s="1"/>
  <c r="AD67" i="20"/>
  <c r="AD73" i="20" s="1"/>
  <c r="AE45" i="20"/>
  <c r="AE51" i="20" s="1"/>
  <c r="AE67" i="20"/>
  <c r="AE73" i="20" s="1"/>
  <c r="AE24" i="20"/>
  <c r="AE34" i="20"/>
  <c r="AE40" i="20" s="1"/>
  <c r="AE56" i="20"/>
  <c r="AE62" i="20" s="1"/>
  <c r="AP33" i="21"/>
  <c r="AP44" i="21"/>
  <c r="AP23" i="21"/>
  <c r="AP55" i="21"/>
  <c r="AP66" i="21"/>
  <c r="P72" i="19"/>
  <c r="G57" i="19"/>
  <c r="G61" i="19"/>
  <c r="AE66" i="20"/>
  <c r="AE33" i="20"/>
  <c r="AE44" i="20"/>
  <c r="AE23" i="20"/>
  <c r="AE55" i="20"/>
  <c r="AC44" i="20"/>
  <c r="AC55" i="20"/>
  <c r="AC23" i="20"/>
  <c r="AC33" i="20"/>
  <c r="AC66" i="20"/>
  <c r="J34" i="20"/>
  <c r="J40" i="20" s="1"/>
  <c r="J56" i="20"/>
  <c r="J62" i="20" s="1"/>
  <c r="J67" i="20"/>
  <c r="J73" i="20" s="1"/>
  <c r="J24" i="20"/>
  <c r="J45" i="20"/>
  <c r="J51" i="20" s="1"/>
  <c r="AH45" i="21"/>
  <c r="AH51" i="21" s="1"/>
  <c r="AH67" i="21"/>
  <c r="AH73" i="21" s="1"/>
  <c r="AH24" i="21"/>
  <c r="AH34" i="21"/>
  <c r="AH40" i="21" s="1"/>
  <c r="AH56" i="21"/>
  <c r="AH62" i="21" s="1"/>
  <c r="G45" i="20"/>
  <c r="G51" i="20" s="1"/>
  <c r="G67" i="20"/>
  <c r="G73" i="20" s="1"/>
  <c r="G24" i="20"/>
  <c r="G34" i="20"/>
  <c r="G40" i="20" s="1"/>
  <c r="G56" i="20"/>
  <c r="G62" i="20" s="1"/>
  <c r="AO44" i="21"/>
  <c r="AO66" i="21"/>
  <c r="AO23" i="21"/>
  <c r="AO33" i="21"/>
  <c r="AO55" i="21"/>
  <c r="E72" i="21"/>
  <c r="M50" i="21"/>
  <c r="AY21" i="18"/>
  <c r="AY22" i="18"/>
  <c r="AS56" i="18"/>
  <c r="AS62" i="18" s="1"/>
  <c r="AS24" i="18"/>
  <c r="AS34" i="18"/>
  <c r="AS40" i="18" s="1"/>
  <c r="AS45" i="18"/>
  <c r="AS51" i="18" s="1"/>
  <c r="AS67" i="18"/>
  <c r="AS73" i="18" s="1"/>
  <c r="AL67" i="18"/>
  <c r="AL73" i="18" s="1"/>
  <c r="AL24" i="18"/>
  <c r="AL34" i="18"/>
  <c r="AL40" i="18" s="1"/>
  <c r="AL45" i="18"/>
  <c r="AL51" i="18" s="1"/>
  <c r="AL56" i="18"/>
  <c r="AL62" i="18" s="1"/>
  <c r="Y24" i="18"/>
  <c r="Y45" i="18"/>
  <c r="Y51" i="18" s="1"/>
  <c r="Y67" i="18"/>
  <c r="Y73" i="18" s="1"/>
  <c r="Y56" i="18"/>
  <c r="Y62" i="18" s="1"/>
  <c r="Y34" i="18"/>
  <c r="Y40" i="18" s="1"/>
  <c r="AA33" i="18"/>
  <c r="AA55" i="18"/>
  <c r="AA44" i="18"/>
  <c r="AA66" i="18"/>
  <c r="AA23" i="18"/>
  <c r="I55" i="18"/>
  <c r="I23" i="18"/>
  <c r="I33" i="18"/>
  <c r="I66" i="18"/>
  <c r="I44" i="18"/>
  <c r="Y55" i="19"/>
  <c r="Y23" i="19"/>
  <c r="Y44" i="19"/>
  <c r="Y66" i="19"/>
  <c r="Y33" i="19"/>
  <c r="AC45" i="19"/>
  <c r="AC51" i="19" s="1"/>
  <c r="AC34" i="19"/>
  <c r="AC40" i="19" s="1"/>
  <c r="AC56" i="19"/>
  <c r="AC62" i="19" s="1"/>
  <c r="AC24" i="19"/>
  <c r="AC67" i="19"/>
  <c r="AC73" i="19" s="1"/>
  <c r="R67" i="19"/>
  <c r="R73" i="19" s="1"/>
  <c r="R34" i="19"/>
  <c r="R40" i="19" s="1"/>
  <c r="R24" i="19"/>
  <c r="R56" i="19"/>
  <c r="R62" i="19" s="1"/>
  <c r="R45" i="19"/>
  <c r="R51" i="19" s="1"/>
  <c r="F27" i="19"/>
  <c r="E30" i="19"/>
  <c r="H44" i="19"/>
  <c r="H66" i="19"/>
  <c r="H23" i="19"/>
  <c r="H55" i="19"/>
  <c r="H33" i="19"/>
  <c r="AP55" i="19"/>
  <c r="AP23" i="19"/>
  <c r="AP33" i="19"/>
  <c r="AP66" i="19"/>
  <c r="AP44" i="19"/>
  <c r="AE33" i="18"/>
  <c r="AE55" i="18"/>
  <c r="AE66" i="18"/>
  <c r="AE44" i="18"/>
  <c r="AE23" i="18"/>
  <c r="V44" i="20"/>
  <c r="V66" i="20"/>
  <c r="V23" i="20"/>
  <c r="V33" i="20"/>
  <c r="V55" i="20"/>
  <c r="AD44" i="20"/>
  <c r="AD66" i="20"/>
  <c r="AD23" i="20"/>
  <c r="AD33" i="20"/>
  <c r="AD55" i="20"/>
  <c r="AL55" i="21"/>
  <c r="AL33" i="21"/>
  <c r="AL66" i="21"/>
  <c r="AL23" i="21"/>
  <c r="AL44" i="21"/>
  <c r="P46" i="19"/>
  <c r="P50" i="19"/>
  <c r="AN24" i="21"/>
  <c r="AN45" i="21"/>
  <c r="AN51" i="21" s="1"/>
  <c r="AN56" i="21"/>
  <c r="AN62" i="21" s="1"/>
  <c r="AN34" i="21"/>
  <c r="AN40" i="21" s="1"/>
  <c r="AN67" i="21"/>
  <c r="AN73" i="21" s="1"/>
  <c r="Z45" i="21"/>
  <c r="Z51" i="21" s="1"/>
  <c r="Z67" i="21"/>
  <c r="Z73" i="21" s="1"/>
  <c r="Z24" i="21"/>
  <c r="Z34" i="21"/>
  <c r="Z40" i="21" s="1"/>
  <c r="Z56" i="21"/>
  <c r="Z62" i="21" s="1"/>
  <c r="AC24" i="20"/>
  <c r="AC45" i="20"/>
  <c r="AC51" i="20" s="1"/>
  <c r="AC56" i="20"/>
  <c r="AC62" i="20" s="1"/>
  <c r="AC67" i="20"/>
  <c r="AC73" i="20" s="1"/>
  <c r="AC34" i="20"/>
  <c r="AC40" i="20" s="1"/>
  <c r="AH33" i="21"/>
  <c r="AH44" i="21"/>
  <c r="AH66" i="21"/>
  <c r="AH23" i="21"/>
  <c r="AH55" i="21"/>
  <c r="AK72" i="20"/>
  <c r="E61" i="21"/>
  <c r="P21" i="18"/>
  <c r="P22" i="18"/>
  <c r="AG24" i="18"/>
  <c r="AG45" i="18"/>
  <c r="AG51" i="18" s="1"/>
  <c r="AG67" i="18"/>
  <c r="AG73" i="18" s="1"/>
  <c r="AG56" i="18"/>
  <c r="AG62" i="18" s="1"/>
  <c r="AG34" i="18"/>
  <c r="AG40" i="18" s="1"/>
  <c r="K44" i="18"/>
  <c r="K33" i="18"/>
  <c r="K55" i="18"/>
  <c r="K23" i="18"/>
  <c r="K66" i="18"/>
  <c r="N66" i="18"/>
  <c r="N33" i="18"/>
  <c r="N23" i="18"/>
  <c r="N44" i="18"/>
  <c r="N55" i="18"/>
  <c r="J67" i="19"/>
  <c r="J73" i="19" s="1"/>
  <c r="J34" i="19"/>
  <c r="J40" i="19" s="1"/>
  <c r="J56" i="19"/>
  <c r="J62" i="19" s="1"/>
  <c r="J24" i="19"/>
  <c r="J45" i="19"/>
  <c r="J51" i="19" s="1"/>
  <c r="AV67" i="19"/>
  <c r="AV73" i="19" s="1"/>
  <c r="AV34" i="19"/>
  <c r="AV40" i="19" s="1"/>
  <c r="AV24" i="19"/>
  <c r="AV45" i="19"/>
  <c r="AV51" i="19" s="1"/>
  <c r="AV56" i="19"/>
  <c r="AV62" i="19" s="1"/>
  <c r="R66" i="19"/>
  <c r="R33" i="19"/>
  <c r="R44" i="19"/>
  <c r="R55" i="19"/>
  <c r="R23" i="19"/>
  <c r="L56" i="20"/>
  <c r="L62" i="20" s="1"/>
  <c r="L24" i="20"/>
  <c r="L34" i="20"/>
  <c r="L40" i="20" s="1"/>
  <c r="L45" i="20"/>
  <c r="L51" i="20" s="1"/>
  <c r="L67" i="20"/>
  <c r="L73" i="20" s="1"/>
  <c r="AX66" i="20"/>
  <c r="AX33" i="20"/>
  <c r="AX44" i="20"/>
  <c r="AX55" i="20"/>
  <c r="AX23" i="20"/>
  <c r="AE67" i="18"/>
  <c r="AE73" i="18" s="1"/>
  <c r="AE24" i="18"/>
  <c r="AE45" i="18"/>
  <c r="AE51" i="18" s="1"/>
  <c r="AE34" i="18"/>
  <c r="AE40" i="18" s="1"/>
  <c r="AE56" i="18"/>
  <c r="AE62" i="18" s="1"/>
  <c r="F45" i="20"/>
  <c r="F51" i="20" s="1"/>
  <c r="F56" i="20"/>
  <c r="F62" i="20" s="1"/>
  <c r="F24" i="20"/>
  <c r="F67" i="20"/>
  <c r="F73" i="20" s="1"/>
  <c r="F34" i="20"/>
  <c r="F40" i="20" s="1"/>
  <c r="M24" i="20"/>
  <c r="M45" i="20"/>
  <c r="M51" i="20" s="1"/>
  <c r="M56" i="20"/>
  <c r="M62" i="20" s="1"/>
  <c r="M34" i="20"/>
  <c r="M40" i="20" s="1"/>
  <c r="M67" i="20"/>
  <c r="M73" i="20" s="1"/>
  <c r="S22" i="21"/>
  <c r="F72" i="21"/>
  <c r="AX22" i="18"/>
  <c r="AX21" i="18"/>
  <c r="X21" i="18"/>
  <c r="X22" i="18"/>
  <c r="AR22" i="18"/>
  <c r="AB21" i="18"/>
  <c r="AB22" i="18"/>
  <c r="AW22" i="18"/>
  <c r="AB22" i="19"/>
  <c r="AB21" i="19"/>
  <c r="AC33" i="18"/>
  <c r="AC55" i="18"/>
  <c r="AC23" i="18"/>
  <c r="AC44" i="18"/>
  <c r="AC66" i="18"/>
  <c r="AY23" i="19"/>
  <c r="AY44" i="19"/>
  <c r="AY66" i="19"/>
  <c r="AY55" i="19"/>
  <c r="AY33" i="19"/>
  <c r="X67" i="19"/>
  <c r="X73" i="19" s="1"/>
  <c r="X34" i="19"/>
  <c r="X40" i="19" s="1"/>
  <c r="X24" i="19"/>
  <c r="X45" i="19"/>
  <c r="X51" i="19" s="1"/>
  <c r="X56" i="19"/>
  <c r="X62" i="19" s="1"/>
  <c r="AR24" i="19"/>
  <c r="AR45" i="19"/>
  <c r="AR51" i="19" s="1"/>
  <c r="AR67" i="19"/>
  <c r="AR73" i="19" s="1"/>
  <c r="AR56" i="19"/>
  <c r="AR62" i="19" s="1"/>
  <c r="AR34" i="19"/>
  <c r="AR40" i="19" s="1"/>
  <c r="AL45" i="19"/>
  <c r="AL51" i="19" s="1"/>
  <c r="AL67" i="19"/>
  <c r="AL73" i="19" s="1"/>
  <c r="AL24" i="19"/>
  <c r="AL34" i="19"/>
  <c r="AL40" i="19" s="1"/>
  <c r="AL56" i="19"/>
  <c r="AL62" i="19" s="1"/>
  <c r="AA57" i="19"/>
  <c r="V45" i="19"/>
  <c r="V51" i="19" s="1"/>
  <c r="V67" i="19"/>
  <c r="V73" i="19" s="1"/>
  <c r="V24" i="19"/>
  <c r="V56" i="19"/>
  <c r="V62" i="19" s="1"/>
  <c r="V34" i="19"/>
  <c r="V40" i="19" s="1"/>
  <c r="H55" i="18"/>
  <c r="H44" i="18"/>
  <c r="H66" i="18"/>
  <c r="H33" i="18"/>
  <c r="H23" i="18"/>
  <c r="L22" i="18"/>
  <c r="G24" i="19"/>
  <c r="G45" i="19"/>
  <c r="G51" i="19" s="1"/>
  <c r="G56" i="19"/>
  <c r="G62" i="19" s="1"/>
  <c r="G34" i="19"/>
  <c r="G40" i="19" s="1"/>
  <c r="G67" i="19"/>
  <c r="G73" i="19" s="1"/>
  <c r="AR21" i="20"/>
  <c r="AR22" i="20"/>
  <c r="AI23" i="19"/>
  <c r="AI44" i="19"/>
  <c r="AI66" i="19"/>
  <c r="AI55" i="19"/>
  <c r="AI33" i="19"/>
  <c r="S33" i="19"/>
  <c r="S55" i="19"/>
  <c r="S44" i="19"/>
  <c r="S66" i="19"/>
  <c r="S23" i="19"/>
  <c r="O39" i="20"/>
  <c r="O35" i="20"/>
  <c r="F27" i="20"/>
  <c r="E30" i="20"/>
  <c r="AN67" i="19"/>
  <c r="AN73" i="19" s="1"/>
  <c r="AN34" i="19"/>
  <c r="AN40" i="19" s="1"/>
  <c r="AN24" i="19"/>
  <c r="AN45" i="19"/>
  <c r="AN51" i="19" s="1"/>
  <c r="AN56" i="19"/>
  <c r="AN62" i="19" s="1"/>
  <c r="AH21" i="20"/>
  <c r="AH22" i="20"/>
  <c r="AU24" i="20"/>
  <c r="AU45" i="20"/>
  <c r="AU51" i="20" s="1"/>
  <c r="AU56" i="20"/>
  <c r="AU62" i="20" s="1"/>
  <c r="AU67" i="20"/>
  <c r="AU73" i="20" s="1"/>
  <c r="AU34" i="20"/>
  <c r="AU40" i="20" s="1"/>
  <c r="AA56" i="20"/>
  <c r="AA62" i="20" s="1"/>
  <c r="AA24" i="20"/>
  <c r="AA67" i="20"/>
  <c r="AA73" i="20" s="1"/>
  <c r="AA34" i="20"/>
  <c r="AA40" i="20" s="1"/>
  <c r="AA45" i="20"/>
  <c r="AA51" i="20" s="1"/>
  <c r="U23" i="21"/>
  <c r="U66" i="21"/>
  <c r="U33" i="21"/>
  <c r="U55" i="21"/>
  <c r="U44" i="21"/>
  <c r="AL45" i="20"/>
  <c r="AL51" i="20" s="1"/>
  <c r="AL24" i="20"/>
  <c r="AL34" i="20"/>
  <c r="AL40" i="20" s="1"/>
  <c r="AL56" i="20"/>
  <c r="AL62" i="20" s="1"/>
  <c r="AL67" i="20"/>
  <c r="AL73" i="20" s="1"/>
  <c r="X57" i="21"/>
  <c r="X61" i="21"/>
  <c r="AJ56" i="20"/>
  <c r="AJ62" i="20" s="1"/>
  <c r="AJ24" i="20"/>
  <c r="AJ34" i="20"/>
  <c r="AJ40" i="20" s="1"/>
  <c r="AJ45" i="20"/>
  <c r="AJ51" i="20" s="1"/>
  <c r="AJ67" i="20"/>
  <c r="AJ73" i="20" s="1"/>
  <c r="AV22" i="18"/>
  <c r="AZ10" i="20"/>
  <c r="P39" i="19"/>
  <c r="G72" i="19"/>
  <c r="G68" i="19"/>
  <c r="AT55" i="21"/>
  <c r="AT33" i="21"/>
  <c r="AT23" i="21"/>
  <c r="AT66" i="21"/>
  <c r="AT44" i="21"/>
  <c r="L22" i="21"/>
  <c r="AB56" i="20"/>
  <c r="AB62" i="20" s="1"/>
  <c r="AB24" i="20"/>
  <c r="AB34" i="20"/>
  <c r="AB40" i="20" s="1"/>
  <c r="AB67" i="20"/>
  <c r="AB73" i="20" s="1"/>
  <c r="AB45" i="20"/>
  <c r="AB51" i="20" s="1"/>
  <c r="AM44" i="20"/>
  <c r="AM55" i="20"/>
  <c r="AM23" i="20"/>
  <c r="AM33" i="20"/>
  <c r="AM66" i="20"/>
  <c r="N72" i="20"/>
  <c r="V45" i="20"/>
  <c r="V51" i="20" s="1"/>
  <c r="V56" i="20"/>
  <c r="V62" i="20" s="1"/>
  <c r="V24" i="20"/>
  <c r="V67" i="20"/>
  <c r="V73" i="20" s="1"/>
  <c r="V34" i="20"/>
  <c r="V40" i="20" s="1"/>
  <c r="AZ10" i="21"/>
  <c r="F22" i="21"/>
  <c r="AG22" i="21"/>
  <c r="Q22" i="21"/>
  <c r="Q21" i="21"/>
  <c r="T23" i="20"/>
  <c r="T44" i="20"/>
  <c r="T55" i="20"/>
  <c r="T33" i="20"/>
  <c r="T66" i="20"/>
  <c r="G72" i="21"/>
  <c r="J33" i="21"/>
  <c r="J23" i="21"/>
  <c r="J55" i="21"/>
  <c r="J44" i="21"/>
  <c r="J66" i="21"/>
  <c r="M61" i="21"/>
  <c r="N39" i="21"/>
  <c r="AA22" i="21"/>
  <c r="AT50" i="21" l="1"/>
  <c r="AT46" i="21"/>
  <c r="U61" i="21"/>
  <c r="AD46" i="20"/>
  <c r="AD50" i="20"/>
  <c r="AP57" i="21"/>
  <c r="AP61" i="21"/>
  <c r="AF50" i="19"/>
  <c r="AF46" i="19"/>
  <c r="AQ68" i="21"/>
  <c r="AQ72" i="21"/>
  <c r="AC61" i="19"/>
  <c r="AC57" i="19"/>
  <c r="O68" i="21"/>
  <c r="O72" i="21"/>
  <c r="N50" i="19"/>
  <c r="N46" i="19"/>
  <c r="AL72" i="19"/>
  <c r="AL68" i="19"/>
  <c r="AT50" i="18"/>
  <c r="AT46" i="18"/>
  <c r="AM46" i="19"/>
  <c r="AM50" i="19"/>
  <c r="N24" i="21"/>
  <c r="N67" i="21"/>
  <c r="N45" i="21"/>
  <c r="N56" i="21"/>
  <c r="N34" i="21"/>
  <c r="AG56" i="21"/>
  <c r="AG62" i="21" s="1"/>
  <c r="AG24" i="21"/>
  <c r="AG34" i="21"/>
  <c r="AG40" i="21" s="1"/>
  <c r="AG67" i="21"/>
  <c r="AG73" i="21" s="1"/>
  <c r="AG45" i="21"/>
  <c r="AG51" i="21" s="1"/>
  <c r="AB44" i="18"/>
  <c r="AB66" i="18"/>
  <c r="AB23" i="18"/>
  <c r="AB55" i="18"/>
  <c r="AB33" i="18"/>
  <c r="P34" i="18"/>
  <c r="P40" i="18" s="1"/>
  <c r="P24" i="18"/>
  <c r="P67" i="18"/>
  <c r="P73" i="18" s="1"/>
  <c r="P45" i="18"/>
  <c r="P51" i="18" s="1"/>
  <c r="P56" i="18"/>
  <c r="P62" i="18" s="1"/>
  <c r="AL57" i="21"/>
  <c r="AL61" i="21"/>
  <c r="AP50" i="19"/>
  <c r="AP46" i="19"/>
  <c r="Y46" i="19"/>
  <c r="Y50" i="19"/>
  <c r="AP35" i="21"/>
  <c r="AP39" i="21"/>
  <c r="AH57" i="19"/>
  <c r="AH61" i="19"/>
  <c r="AN35" i="19"/>
  <c r="AN39" i="19"/>
  <c r="AC68" i="19"/>
  <c r="AC72" i="19"/>
  <c r="AU39" i="21"/>
  <c r="D46" i="19"/>
  <c r="D50" i="19"/>
  <c r="AU46" i="20"/>
  <c r="AU50" i="20"/>
  <c r="V72" i="19"/>
  <c r="V68" i="19"/>
  <c r="K39" i="21"/>
  <c r="Q72" i="19"/>
  <c r="Q68" i="19"/>
  <c r="AN68" i="20"/>
  <c r="AN72" i="20"/>
  <c r="L34" i="19"/>
  <c r="L40" i="19" s="1"/>
  <c r="L56" i="19"/>
  <c r="L62" i="19" s="1"/>
  <c r="L24" i="19"/>
  <c r="L67" i="19"/>
  <c r="L73" i="19" s="1"/>
  <c r="L45" i="19"/>
  <c r="L51" i="19" s="1"/>
  <c r="X67" i="20"/>
  <c r="X73" i="20" s="1"/>
  <c r="X34" i="20"/>
  <c r="X40" i="20" s="1"/>
  <c r="X45" i="20"/>
  <c r="X51" i="20" s="1"/>
  <c r="X56" i="20"/>
  <c r="X62" i="20" s="1"/>
  <c r="X24" i="20"/>
  <c r="U39" i="19"/>
  <c r="U35" i="19"/>
  <c r="AT46" i="20"/>
  <c r="AT50" i="20"/>
  <c r="Z50" i="19"/>
  <c r="Z46" i="19"/>
  <c r="X35" i="19"/>
  <c r="X39" i="19"/>
  <c r="V72" i="21"/>
  <c r="D50" i="20"/>
  <c r="D46" i="20"/>
  <c r="AS46" i="18"/>
  <c r="AS50" i="18"/>
  <c r="AK61" i="21"/>
  <c r="AU39" i="19"/>
  <c r="AU35" i="19"/>
  <c r="Z50" i="21"/>
  <c r="Z46" i="21"/>
  <c r="M57" i="20"/>
  <c r="M61" i="20"/>
  <c r="F57" i="19"/>
  <c r="F61" i="19"/>
  <c r="F24" i="21"/>
  <c r="F45" i="21"/>
  <c r="F56" i="21"/>
  <c r="F34" i="21"/>
  <c r="F67" i="21"/>
  <c r="AC57" i="20"/>
  <c r="AC61" i="20"/>
  <c r="AF35" i="19"/>
  <c r="AF39" i="19"/>
  <c r="AQ39" i="21"/>
  <c r="AC46" i="19"/>
  <c r="AC50" i="19"/>
  <c r="AW35" i="20"/>
  <c r="AW39" i="20"/>
  <c r="AT61" i="18"/>
  <c r="AI34" i="21"/>
  <c r="AI40" i="21" s="1"/>
  <c r="AI45" i="21"/>
  <c r="AI51" i="21" s="1"/>
  <c r="AI67" i="21"/>
  <c r="AI73" i="21" s="1"/>
  <c r="AI24" i="21"/>
  <c r="AI56" i="21"/>
  <c r="AI62" i="21" s="1"/>
  <c r="AN46" i="20"/>
  <c r="AN50" i="20"/>
  <c r="L55" i="19"/>
  <c r="L23" i="19"/>
  <c r="L66" i="19"/>
  <c r="L44" i="19"/>
  <c r="L33" i="19"/>
  <c r="AD39" i="21"/>
  <c r="AS34" i="21"/>
  <c r="AS40" i="21" s="1"/>
  <c r="AS56" i="21"/>
  <c r="AS62" i="21" s="1"/>
  <c r="AS67" i="21"/>
  <c r="AS73" i="21" s="1"/>
  <c r="AS24" i="21"/>
  <c r="AS45" i="21"/>
  <c r="AS51" i="21" s="1"/>
  <c r="H72" i="18"/>
  <c r="AY39" i="19"/>
  <c r="AY35" i="19"/>
  <c r="AC57" i="18"/>
  <c r="AC61" i="18"/>
  <c r="N46" i="18"/>
  <c r="N50" i="18"/>
  <c r="AH35" i="21"/>
  <c r="AH39" i="21"/>
  <c r="AD39" i="20"/>
  <c r="AD35" i="20"/>
  <c r="V46" i="20"/>
  <c r="V50" i="20"/>
  <c r="Y61" i="19"/>
  <c r="Y57" i="19"/>
  <c r="AO61" i="21"/>
  <c r="AO57" i="21"/>
  <c r="AC46" i="20"/>
  <c r="AC50" i="20"/>
  <c r="AW35" i="19"/>
  <c r="AW39" i="19"/>
  <c r="AQ61" i="21"/>
  <c r="AL39" i="20"/>
  <c r="AL35" i="20"/>
  <c r="Q56" i="18"/>
  <c r="Q62" i="18" s="1"/>
  <c r="Q45" i="18"/>
  <c r="Q51" i="18" s="1"/>
  <c r="Q67" i="18"/>
  <c r="Q73" i="18" s="1"/>
  <c r="Q34" i="18"/>
  <c r="Q40" i="18" s="1"/>
  <c r="Q24" i="18"/>
  <c r="J61" i="21"/>
  <c r="T46" i="20"/>
  <c r="T50" i="20"/>
  <c r="L56" i="21"/>
  <c r="L62" i="21" s="1"/>
  <c r="L45" i="21"/>
  <c r="L51" i="21" s="1"/>
  <c r="L24" i="21"/>
  <c r="L67" i="21"/>
  <c r="L73" i="21" s="1"/>
  <c r="L34" i="21"/>
  <c r="L40" i="21" s="1"/>
  <c r="P35" i="19"/>
  <c r="U50" i="21"/>
  <c r="AH55" i="20"/>
  <c r="AH23" i="20"/>
  <c r="AH66" i="20"/>
  <c r="AH33" i="20"/>
  <c r="AH44" i="20"/>
  <c r="AI57" i="19"/>
  <c r="AI61" i="19"/>
  <c r="H61" i="18"/>
  <c r="H57" i="18"/>
  <c r="AY68" i="19"/>
  <c r="AY72" i="19"/>
  <c r="AB44" i="19"/>
  <c r="AB33" i="19"/>
  <c r="AB55" i="19"/>
  <c r="AB23" i="19"/>
  <c r="AB66" i="19"/>
  <c r="AX33" i="18"/>
  <c r="AX23" i="18"/>
  <c r="AX44" i="18"/>
  <c r="AX55" i="18"/>
  <c r="AX66" i="18"/>
  <c r="AX68" i="20"/>
  <c r="AX72" i="20"/>
  <c r="R46" i="19"/>
  <c r="R50" i="19"/>
  <c r="N39" i="18"/>
  <c r="N35" i="18"/>
  <c r="AK68" i="20"/>
  <c r="AL50" i="21"/>
  <c r="AD68" i="20"/>
  <c r="AD72" i="20"/>
  <c r="AE50" i="18"/>
  <c r="AE46" i="18"/>
  <c r="AP57" i="19"/>
  <c r="AP61" i="19"/>
  <c r="I72" i="18"/>
  <c r="I68" i="18"/>
  <c r="AA35" i="18"/>
  <c r="AA39" i="18"/>
  <c r="AY34" i="18"/>
  <c r="AY40" i="18" s="1"/>
  <c r="AY67" i="18"/>
  <c r="AY73" i="18" s="1"/>
  <c r="AY45" i="18"/>
  <c r="AY51" i="18" s="1"/>
  <c r="AY24" i="18"/>
  <c r="AY56" i="18"/>
  <c r="AY62" i="18" s="1"/>
  <c r="AP68" i="21"/>
  <c r="AP72" i="21"/>
  <c r="K35" i="19"/>
  <c r="K39" i="19"/>
  <c r="AW46" i="19"/>
  <c r="AW50" i="19"/>
  <c r="AH72" i="19"/>
  <c r="AH68" i="19"/>
  <c r="L50" i="21"/>
  <c r="L46" i="21"/>
  <c r="AQ50" i="21"/>
  <c r="AL68" i="20"/>
  <c r="AL72" i="20"/>
  <c r="AS46" i="19"/>
  <c r="AS50" i="19"/>
  <c r="AE39" i="21"/>
  <c r="AE35" i="21"/>
  <c r="V24" i="21"/>
  <c r="V67" i="21"/>
  <c r="V73" i="21" s="1"/>
  <c r="V34" i="21"/>
  <c r="V40" i="21" s="1"/>
  <c r="V56" i="21"/>
  <c r="V62" i="21" s="1"/>
  <c r="V45" i="21"/>
  <c r="V51" i="21" s="1"/>
  <c r="O61" i="21"/>
  <c r="O57" i="21"/>
  <c r="D72" i="18"/>
  <c r="N39" i="19"/>
  <c r="N35" i="19"/>
  <c r="AA35" i="20"/>
  <c r="AA39" i="20"/>
  <c r="AU35" i="20"/>
  <c r="AU39" i="20"/>
  <c r="H61" i="20"/>
  <c r="H57" i="20"/>
  <c r="AL35" i="19"/>
  <c r="AL39" i="19"/>
  <c r="G68" i="18"/>
  <c r="G72" i="18"/>
  <c r="AW50" i="18"/>
  <c r="AT39" i="18"/>
  <c r="AD24" i="21"/>
  <c r="AD67" i="21"/>
  <c r="AD73" i="21" s="1"/>
  <c r="AD34" i="21"/>
  <c r="AD40" i="21" s="1"/>
  <c r="AD56" i="21"/>
  <c r="AD62" i="21" s="1"/>
  <c r="AD45" i="21"/>
  <c r="AD51" i="21" s="1"/>
  <c r="F61" i="20"/>
  <c r="F57" i="20"/>
  <c r="AL61" i="18"/>
  <c r="AL57" i="18"/>
  <c r="Q57" i="19"/>
  <c r="Q61" i="19"/>
  <c r="AF46" i="20"/>
  <c r="AF50" i="20"/>
  <c r="AM61" i="19"/>
  <c r="AM57" i="19"/>
  <c r="J61" i="19"/>
  <c r="J57" i="19"/>
  <c r="S50" i="18"/>
  <c r="S46" i="18"/>
  <c r="AV68" i="20"/>
  <c r="AV72" i="20"/>
  <c r="AR72" i="19"/>
  <c r="AR68" i="19"/>
  <c r="W61" i="19"/>
  <c r="W57" i="19"/>
  <c r="R23" i="18"/>
  <c r="R66" i="18"/>
  <c r="R55" i="18"/>
  <c r="R44" i="18"/>
  <c r="R33" i="18"/>
  <c r="M56" i="21"/>
  <c r="M24" i="21"/>
  <c r="M45" i="21"/>
  <c r="M34" i="21"/>
  <c r="M67" i="21"/>
  <c r="AK34" i="21"/>
  <c r="AK40" i="21" s="1"/>
  <c r="AK56" i="21"/>
  <c r="AK62" i="21" s="1"/>
  <c r="AK67" i="21"/>
  <c r="AK73" i="21" s="1"/>
  <c r="AK24" i="21"/>
  <c r="AK45" i="21"/>
  <c r="AK51" i="21" s="1"/>
  <c r="J57" i="20"/>
  <c r="J61" i="20"/>
  <c r="Y35" i="18"/>
  <c r="Y39" i="18"/>
  <c r="Z61" i="18"/>
  <c r="Z57" i="18"/>
  <c r="AI50" i="21"/>
  <c r="Y35" i="20"/>
  <c r="Y39" i="20"/>
  <c r="AP67" i="20"/>
  <c r="AP73" i="20" s="1"/>
  <c r="AP34" i="20"/>
  <c r="AP40" i="20" s="1"/>
  <c r="AP56" i="20"/>
  <c r="AP62" i="20" s="1"/>
  <c r="AP24" i="20"/>
  <c r="AP45" i="20"/>
  <c r="AP51" i="20" s="1"/>
  <c r="T11" i="23"/>
  <c r="T45" i="23" s="1"/>
  <c r="AB57" i="20"/>
  <c r="AB61" i="20"/>
  <c r="AJ46" i="20"/>
  <c r="AJ50" i="20"/>
  <c r="AV24" i="21"/>
  <c r="AV45" i="21"/>
  <c r="AV51" i="21" s="1"/>
  <c r="AV56" i="21"/>
  <c r="AV62" i="21" s="1"/>
  <c r="AV34" i="21"/>
  <c r="AV40" i="21" s="1"/>
  <c r="AV67" i="21"/>
  <c r="AV73" i="21" s="1"/>
  <c r="T45" i="21"/>
  <c r="T51" i="21" s="1"/>
  <c r="T34" i="21"/>
  <c r="T40" i="21" s="1"/>
  <c r="T56" i="21"/>
  <c r="T62" i="21" s="1"/>
  <c r="T67" i="21"/>
  <c r="T73" i="21" s="1"/>
  <c r="T24" i="21"/>
  <c r="P55" i="21"/>
  <c r="P66" i="21"/>
  <c r="P33" i="21"/>
  <c r="P44" i="21"/>
  <c r="P23" i="21"/>
  <c r="AZ23" i="21" s="1"/>
  <c r="AB33" i="21"/>
  <c r="AB55" i="21"/>
  <c r="AB66" i="21"/>
  <c r="AB44" i="21"/>
  <c r="AB23" i="21"/>
  <c r="AX50" i="19"/>
  <c r="AX46" i="19"/>
  <c r="AD66" i="19"/>
  <c r="AD33" i="19"/>
  <c r="AD55" i="19"/>
  <c r="AD23" i="19"/>
  <c r="AD44" i="19"/>
  <c r="Q50" i="18"/>
  <c r="Q46" i="18"/>
  <c r="AE66" i="19"/>
  <c r="AE33" i="19"/>
  <c r="AE23" i="19"/>
  <c r="AE44" i="19"/>
  <c r="AE55" i="19"/>
  <c r="I68" i="19"/>
  <c r="N35" i="20"/>
  <c r="AX72" i="21"/>
  <c r="AS50" i="21"/>
  <c r="M50" i="19"/>
  <c r="M46" i="19"/>
  <c r="O50" i="19"/>
  <c r="O46" i="19"/>
  <c r="AQ23" i="19"/>
  <c r="AQ44" i="19"/>
  <c r="AQ66" i="19"/>
  <c r="AQ33" i="19"/>
  <c r="AQ55" i="19"/>
  <c r="I72" i="21"/>
  <c r="T34" i="19"/>
  <c r="T40" i="19" s="1"/>
  <c r="T56" i="19"/>
  <c r="T62" i="19" s="1"/>
  <c r="T45" i="19"/>
  <c r="T51" i="19" s="1"/>
  <c r="T24" i="19"/>
  <c r="T67" i="19"/>
  <c r="T73" i="19" s="1"/>
  <c r="K56" i="20"/>
  <c r="K62" i="20" s="1"/>
  <c r="K24" i="20"/>
  <c r="K67" i="20"/>
  <c r="K73" i="20" s="1"/>
  <c r="K34" i="20"/>
  <c r="K40" i="20" s="1"/>
  <c r="K45" i="20"/>
  <c r="K51" i="20" s="1"/>
  <c r="AG72" i="18"/>
  <c r="AG68" i="18"/>
  <c r="AD61" i="18"/>
  <c r="AD57" i="18"/>
  <c r="AP39" i="18"/>
  <c r="AP35" i="18"/>
  <c r="AM57" i="20"/>
  <c r="AM61" i="20"/>
  <c r="AY46" i="19"/>
  <c r="AY50" i="19"/>
  <c r="AE72" i="18"/>
  <c r="AE68" i="18"/>
  <c r="AE46" i="20"/>
  <c r="AE50" i="20"/>
  <c r="J67" i="21"/>
  <c r="J73" i="21" s="1"/>
  <c r="J24" i="21"/>
  <c r="J34" i="21"/>
  <c r="J40" i="21" s="1"/>
  <c r="J56" i="21"/>
  <c r="J62" i="21" s="1"/>
  <c r="J45" i="21"/>
  <c r="J51" i="21" s="1"/>
  <c r="D39" i="18"/>
  <c r="AW39" i="18"/>
  <c r="AL35" i="18"/>
  <c r="AL39" i="18"/>
  <c r="AF35" i="20"/>
  <c r="AF39" i="20"/>
  <c r="U66" i="18"/>
  <c r="U55" i="18"/>
  <c r="U23" i="18"/>
  <c r="U44" i="18"/>
  <c r="U33" i="18"/>
  <c r="G46" i="20"/>
  <c r="G50" i="20"/>
  <c r="AV46" i="20"/>
  <c r="AV50" i="20"/>
  <c r="W46" i="19"/>
  <c r="W50" i="19"/>
  <c r="AZ22" i="21"/>
  <c r="D56" i="21"/>
  <c r="D62" i="21" s="1"/>
  <c r="D24" i="21"/>
  <c r="D67" i="21"/>
  <c r="D73" i="21" s="1"/>
  <c r="D34" i="21"/>
  <c r="D40" i="21" s="1"/>
  <c r="D45" i="21"/>
  <c r="D51" i="21" s="1"/>
  <c r="U35" i="20"/>
  <c r="U39" i="20"/>
  <c r="Y57" i="18"/>
  <c r="Y61" i="18"/>
  <c r="T39" i="18"/>
  <c r="T35" i="18"/>
  <c r="Z39" i="18"/>
  <c r="Z35" i="18"/>
  <c r="AI72" i="21"/>
  <c r="AT57" i="20"/>
  <c r="AT61" i="20"/>
  <c r="O50" i="18"/>
  <c r="O46" i="18"/>
  <c r="AP66" i="20"/>
  <c r="AP33" i="20"/>
  <c r="AP44" i="20"/>
  <c r="AP23" i="20"/>
  <c r="AP55" i="20"/>
  <c r="AM50" i="18"/>
  <c r="AM46" i="18"/>
  <c r="AB46" i="20"/>
  <c r="AB50" i="20"/>
  <c r="X68" i="19"/>
  <c r="X72" i="19"/>
  <c r="AU56" i="21"/>
  <c r="AU62" i="21" s="1"/>
  <c r="AU34" i="21"/>
  <c r="AU40" i="21" s="1"/>
  <c r="AU45" i="21"/>
  <c r="AU51" i="21" s="1"/>
  <c r="AU67" i="21"/>
  <c r="AU73" i="21" s="1"/>
  <c r="AU24" i="21"/>
  <c r="AF61" i="21"/>
  <c r="AB67" i="21"/>
  <c r="AB73" i="21" s="1"/>
  <c r="AB45" i="21"/>
  <c r="AB51" i="21" s="1"/>
  <c r="AB34" i="21"/>
  <c r="AB40" i="21" s="1"/>
  <c r="AB24" i="21"/>
  <c r="AB56" i="21"/>
  <c r="AB62" i="21" s="1"/>
  <c r="AJ57" i="19"/>
  <c r="AJ61" i="19"/>
  <c r="AG61" i="19"/>
  <c r="AG57" i="19"/>
  <c r="AX35" i="19"/>
  <c r="AX39" i="19"/>
  <c r="AD45" i="19"/>
  <c r="AD51" i="19" s="1"/>
  <c r="AD67" i="19"/>
  <c r="AD73" i="19" s="1"/>
  <c r="AD24" i="19"/>
  <c r="AD56" i="19"/>
  <c r="AD62" i="19" s="1"/>
  <c r="AD34" i="19"/>
  <c r="AD40" i="19" s="1"/>
  <c r="E55" i="19"/>
  <c r="E23" i="19"/>
  <c r="E33" i="19"/>
  <c r="E44" i="19"/>
  <c r="E66" i="19"/>
  <c r="Q72" i="18"/>
  <c r="Q68" i="18"/>
  <c r="AU61" i="19"/>
  <c r="AU57" i="19"/>
  <c r="AX50" i="21"/>
  <c r="AX46" i="21"/>
  <c r="AY50" i="21"/>
  <c r="AS61" i="21"/>
  <c r="M35" i="19"/>
  <c r="M39" i="19"/>
  <c r="V61" i="18"/>
  <c r="V57" i="18"/>
  <c r="F66" i="18"/>
  <c r="F33" i="18"/>
  <c r="F23" i="18"/>
  <c r="F55" i="18"/>
  <c r="F44" i="18"/>
  <c r="R39" i="21"/>
  <c r="R35" i="21"/>
  <c r="T55" i="19"/>
  <c r="T23" i="19"/>
  <c r="AZ23" i="19" s="1"/>
  <c r="T66" i="19"/>
  <c r="T44" i="19"/>
  <c r="T33" i="19"/>
  <c r="M35" i="20"/>
  <c r="M39" i="20"/>
  <c r="W50" i="18"/>
  <c r="W46" i="18"/>
  <c r="AO39" i="18"/>
  <c r="AG50" i="18"/>
  <c r="AG46" i="18"/>
  <c r="AD46" i="18"/>
  <c r="AD50" i="18"/>
  <c r="AI35" i="18"/>
  <c r="AI39" i="18"/>
  <c r="J39" i="21"/>
  <c r="Q66" i="21"/>
  <c r="Q55" i="21"/>
  <c r="Q33" i="21"/>
  <c r="Q23" i="21"/>
  <c r="Q44" i="21"/>
  <c r="AM46" i="20"/>
  <c r="AM50" i="20"/>
  <c r="AT72" i="21"/>
  <c r="AT68" i="21"/>
  <c r="U39" i="21"/>
  <c r="AI46" i="19"/>
  <c r="AI50" i="19"/>
  <c r="AW67" i="18"/>
  <c r="AW73" i="18" s="1"/>
  <c r="AW24" i="18"/>
  <c r="AW34" i="18"/>
  <c r="AW40" i="18" s="1"/>
  <c r="AW56" i="18"/>
  <c r="AW62" i="18" s="1"/>
  <c r="AW45" i="18"/>
  <c r="AW51" i="18" s="1"/>
  <c r="R68" i="19"/>
  <c r="R72" i="19"/>
  <c r="K72" i="18"/>
  <c r="K68" i="18"/>
  <c r="AH57" i="21"/>
  <c r="AH61" i="21"/>
  <c r="AL72" i="21"/>
  <c r="V61" i="20"/>
  <c r="V57" i="20"/>
  <c r="AE57" i="18"/>
  <c r="AE61" i="18"/>
  <c r="H61" i="19"/>
  <c r="H57" i="19"/>
  <c r="Y35" i="19"/>
  <c r="Y39" i="19"/>
  <c r="AO46" i="21"/>
  <c r="AO50" i="21"/>
  <c r="AC72" i="20"/>
  <c r="AC68" i="20"/>
  <c r="AE35" i="20"/>
  <c r="AE39" i="20"/>
  <c r="AF68" i="19"/>
  <c r="AF72" i="19"/>
  <c r="AW61" i="19"/>
  <c r="AW57" i="19"/>
  <c r="AH35" i="19"/>
  <c r="AH39" i="19"/>
  <c r="L61" i="21"/>
  <c r="D72" i="21"/>
  <c r="D68" i="21"/>
  <c r="AV39" i="18"/>
  <c r="AL46" i="20"/>
  <c r="AL50" i="20"/>
  <c r="AN50" i="19"/>
  <c r="AN46" i="19"/>
  <c r="AC39" i="19"/>
  <c r="AC35" i="19"/>
  <c r="AK46" i="19"/>
  <c r="AK50" i="19"/>
  <c r="AE61" i="21"/>
  <c r="AE57" i="21"/>
  <c r="H66" i="21"/>
  <c r="H33" i="21"/>
  <c r="H23" i="21"/>
  <c r="H55" i="21"/>
  <c r="H44" i="21"/>
  <c r="AW46" i="20"/>
  <c r="AW50" i="20"/>
  <c r="O39" i="21"/>
  <c r="O35" i="21"/>
  <c r="D61" i="18"/>
  <c r="AC61" i="21"/>
  <c r="AA57" i="20"/>
  <c r="AA61" i="20"/>
  <c r="H35" i="20"/>
  <c r="H39" i="20"/>
  <c r="V57" i="19"/>
  <c r="V61" i="19"/>
  <c r="J46" i="18"/>
  <c r="J50" i="18"/>
  <c r="G50" i="18"/>
  <c r="G46" i="18"/>
  <c r="AW68" i="18"/>
  <c r="AW72" i="18"/>
  <c r="AF34" i="18"/>
  <c r="AF40" i="18" s="1"/>
  <c r="AF56" i="18"/>
  <c r="AF62" i="18" s="1"/>
  <c r="AF45" i="18"/>
  <c r="AF51" i="18" s="1"/>
  <c r="AF24" i="18"/>
  <c r="AF67" i="18"/>
  <c r="AF73" i="18" s="1"/>
  <c r="S61" i="21"/>
  <c r="AL50" i="18"/>
  <c r="AL46" i="18"/>
  <c r="Q46" i="19"/>
  <c r="Q50" i="19"/>
  <c r="AN39" i="20"/>
  <c r="AN35" i="20"/>
  <c r="AF68" i="20"/>
  <c r="AF72" i="20"/>
  <c r="AV50" i="19"/>
  <c r="AV46" i="19"/>
  <c r="J35" i="19"/>
  <c r="J39" i="19"/>
  <c r="U45" i="18"/>
  <c r="U51" i="18" s="1"/>
  <c r="U24" i="18"/>
  <c r="U56" i="18"/>
  <c r="U62" i="18" s="1"/>
  <c r="U34" i="18"/>
  <c r="U40" i="18" s="1"/>
  <c r="U67" i="18"/>
  <c r="U73" i="18" s="1"/>
  <c r="AD50" i="21"/>
  <c r="AD46" i="21"/>
  <c r="G39" i="20"/>
  <c r="G35" i="20"/>
  <c r="AO72" i="20"/>
  <c r="AO68" i="20"/>
  <c r="AL24" i="21"/>
  <c r="AL67" i="21"/>
  <c r="AL73" i="21" s="1"/>
  <c r="AL34" i="21"/>
  <c r="AL40" i="21" s="1"/>
  <c r="AL56" i="21"/>
  <c r="AL62" i="21" s="1"/>
  <c r="AL45" i="21"/>
  <c r="AL51" i="21" s="1"/>
  <c r="AR57" i="19"/>
  <c r="AR61" i="19"/>
  <c r="AG67" i="20"/>
  <c r="AG73" i="20" s="1"/>
  <c r="AG34" i="20"/>
  <c r="AG40" i="20" s="1"/>
  <c r="AG45" i="20"/>
  <c r="AG51" i="20" s="1"/>
  <c r="AG24" i="20"/>
  <c r="AG56" i="20"/>
  <c r="AG62" i="20" s="1"/>
  <c r="G45" i="21"/>
  <c r="G67" i="21"/>
  <c r="G24" i="21"/>
  <c r="G56" i="21"/>
  <c r="G34" i="21"/>
  <c r="Y56" i="21"/>
  <c r="Y62" i="21" s="1"/>
  <c r="Y24" i="21"/>
  <c r="Y67" i="21"/>
  <c r="Y73" i="21" s="1"/>
  <c r="Y34" i="21"/>
  <c r="Y40" i="21" s="1"/>
  <c r="Y45" i="21"/>
  <c r="Y51" i="21" s="1"/>
  <c r="U72" i="20"/>
  <c r="U68" i="20"/>
  <c r="Z34" i="20"/>
  <c r="Z40" i="20" s="1"/>
  <c r="Z56" i="20"/>
  <c r="Z62" i="20" s="1"/>
  <c r="Z67" i="20"/>
  <c r="Z73" i="20" s="1"/>
  <c r="Z45" i="20"/>
  <c r="Z51" i="20" s="1"/>
  <c r="Z24" i="20"/>
  <c r="T68" i="18"/>
  <c r="T72" i="18"/>
  <c r="Z68" i="18"/>
  <c r="Z72" i="18"/>
  <c r="AN72" i="21"/>
  <c r="AN68" i="21"/>
  <c r="AT39" i="20"/>
  <c r="AT35" i="20"/>
  <c r="O35" i="18"/>
  <c r="O39" i="18"/>
  <c r="AM39" i="18"/>
  <c r="AM35" i="18"/>
  <c r="X50" i="19"/>
  <c r="X46" i="19"/>
  <c r="AW56" i="21"/>
  <c r="AW62" i="21" s="1"/>
  <c r="AW24" i="21"/>
  <c r="AW34" i="21"/>
  <c r="AW40" i="21" s="1"/>
  <c r="AW67" i="21"/>
  <c r="AW73" i="21" s="1"/>
  <c r="AW45" i="21"/>
  <c r="AW51" i="21" s="1"/>
  <c r="D68" i="20"/>
  <c r="D72" i="20"/>
  <c r="AA39" i="21"/>
  <c r="AY56" i="21"/>
  <c r="AY62" i="21" s="1"/>
  <c r="AY24" i="21"/>
  <c r="AY67" i="21"/>
  <c r="AY73" i="21" s="1"/>
  <c r="AY34" i="21"/>
  <c r="AY40" i="21" s="1"/>
  <c r="AY45" i="21"/>
  <c r="AY51" i="21" s="1"/>
  <c r="AJ35" i="19"/>
  <c r="AJ39" i="19"/>
  <c r="AY68" i="20"/>
  <c r="AY72" i="20"/>
  <c r="E56" i="19"/>
  <c r="E62" i="19" s="1"/>
  <c r="E24" i="19"/>
  <c r="AZ24" i="19" s="1"/>
  <c r="E67" i="19"/>
  <c r="E73" i="19" s="1"/>
  <c r="E45" i="19"/>
  <c r="E51" i="19" s="1"/>
  <c r="E34" i="19"/>
  <c r="E40" i="19" s="1"/>
  <c r="Q39" i="18"/>
  <c r="AU46" i="19"/>
  <c r="AU50" i="19"/>
  <c r="AT24" i="18"/>
  <c r="AT67" i="18"/>
  <c r="AT73" i="18" s="1"/>
  <c r="AT45" i="18"/>
  <c r="AT51" i="18" s="1"/>
  <c r="AT56" i="18"/>
  <c r="AT62" i="18" s="1"/>
  <c r="AT34" i="18"/>
  <c r="AT40" i="18" s="1"/>
  <c r="AV72" i="21"/>
  <c r="AV68" i="21"/>
  <c r="AS50" i="20"/>
  <c r="AS46" i="20"/>
  <c r="AX39" i="21"/>
  <c r="AY72" i="21"/>
  <c r="AS39" i="21"/>
  <c r="AS35" i="21"/>
  <c r="L39" i="20"/>
  <c r="L35" i="20"/>
  <c r="V39" i="18"/>
  <c r="V35" i="18"/>
  <c r="F67" i="18"/>
  <c r="F73" i="18" s="1"/>
  <c r="F56" i="18"/>
  <c r="F62" i="18" s="1"/>
  <c r="F34" i="18"/>
  <c r="F40" i="18" s="1"/>
  <c r="F45" i="18"/>
  <c r="F51" i="18" s="1"/>
  <c r="F24" i="18"/>
  <c r="Z68" i="21"/>
  <c r="Z72" i="21"/>
  <c r="M72" i="20"/>
  <c r="M68" i="20"/>
  <c r="W72" i="18"/>
  <c r="W68" i="18"/>
  <c r="AH61" i="18"/>
  <c r="AI50" i="18"/>
  <c r="AI46" i="18"/>
  <c r="Q67" i="21"/>
  <c r="Q73" i="21" s="1"/>
  <c r="Q34" i="21"/>
  <c r="Q40" i="21" s="1"/>
  <c r="Q56" i="21"/>
  <c r="Q62" i="21" s="1"/>
  <c r="Q45" i="21"/>
  <c r="Q51" i="21" s="1"/>
  <c r="Q24" i="21"/>
  <c r="AV45" i="18"/>
  <c r="AV51" i="18" s="1"/>
  <c r="AV34" i="18"/>
  <c r="AV40" i="18" s="1"/>
  <c r="AV56" i="18"/>
  <c r="AV62" i="18" s="1"/>
  <c r="AV24" i="18"/>
  <c r="AV67" i="18"/>
  <c r="AV73" i="18" s="1"/>
  <c r="U72" i="21"/>
  <c r="S68" i="19"/>
  <c r="S72" i="19"/>
  <c r="L45" i="18"/>
  <c r="L51" i="18" s="1"/>
  <c r="L34" i="18"/>
  <c r="L40" i="18" s="1"/>
  <c r="L56" i="18"/>
  <c r="L62" i="18" s="1"/>
  <c r="L24" i="18"/>
  <c r="L67" i="18"/>
  <c r="L73" i="18" s="1"/>
  <c r="AC72" i="18"/>
  <c r="AC68" i="18"/>
  <c r="AB34" i="18"/>
  <c r="AB40" i="18" s="1"/>
  <c r="AB56" i="18"/>
  <c r="AB62" i="18" s="1"/>
  <c r="AB24" i="18"/>
  <c r="AB45" i="18"/>
  <c r="AB51" i="18" s="1"/>
  <c r="AB67" i="18"/>
  <c r="AB73" i="18" s="1"/>
  <c r="AL35" i="21"/>
  <c r="AL39" i="21"/>
  <c r="V39" i="20"/>
  <c r="V35" i="20"/>
  <c r="AE35" i="18"/>
  <c r="AE39" i="18"/>
  <c r="Y68" i="19"/>
  <c r="Y72" i="19"/>
  <c r="I57" i="18"/>
  <c r="I61" i="18"/>
  <c r="AC35" i="20"/>
  <c r="AC39" i="20"/>
  <c r="AE72" i="20"/>
  <c r="AE68" i="20"/>
  <c r="AP50" i="21"/>
  <c r="AP46" i="21"/>
  <c r="N46" i="20"/>
  <c r="D46" i="21"/>
  <c r="D50" i="21"/>
  <c r="AV72" i="18"/>
  <c r="AN57" i="19"/>
  <c r="AN61" i="19"/>
  <c r="AE46" i="21"/>
  <c r="AE50" i="21"/>
  <c r="AW61" i="21"/>
  <c r="AW57" i="20"/>
  <c r="AW61" i="20"/>
  <c r="O50" i="21"/>
  <c r="O46" i="21"/>
  <c r="P57" i="19"/>
  <c r="D50" i="18"/>
  <c r="D35" i="19"/>
  <c r="D39" i="19"/>
  <c r="AC39" i="21"/>
  <c r="AQ50" i="20"/>
  <c r="AQ46" i="20"/>
  <c r="AU57" i="20"/>
  <c r="AU61" i="20"/>
  <c r="H68" i="20"/>
  <c r="H72" i="20"/>
  <c r="V35" i="19"/>
  <c r="V39" i="19"/>
  <c r="J39" i="18"/>
  <c r="J35" i="18"/>
  <c r="G35" i="18"/>
  <c r="G39" i="18"/>
  <c r="AF23" i="18"/>
  <c r="AF44" i="18"/>
  <c r="AF66" i="18"/>
  <c r="AF33" i="18"/>
  <c r="AF55" i="18"/>
  <c r="T46" i="21"/>
  <c r="T50" i="21"/>
  <c r="K72" i="21"/>
  <c r="F72" i="20"/>
  <c r="F68" i="20"/>
  <c r="AI72" i="20"/>
  <c r="AI68" i="20"/>
  <c r="Q35" i="19"/>
  <c r="Q39" i="19"/>
  <c r="AM39" i="19"/>
  <c r="AM35" i="19"/>
  <c r="AV68" i="19"/>
  <c r="AV72" i="19"/>
  <c r="J68" i="19"/>
  <c r="J72" i="19"/>
  <c r="K24" i="18"/>
  <c r="K67" i="18"/>
  <c r="K73" i="18" s="1"/>
  <c r="K56" i="18"/>
  <c r="K62" i="18" s="1"/>
  <c r="K34" i="18"/>
  <c r="K40" i="18" s="1"/>
  <c r="K45" i="18"/>
  <c r="K51" i="18" s="1"/>
  <c r="AO67" i="18"/>
  <c r="AO73" i="18" s="1"/>
  <c r="AO56" i="18"/>
  <c r="AO62" i="18" s="1"/>
  <c r="AO24" i="18"/>
  <c r="AO45" i="18"/>
  <c r="AO51" i="18" s="1"/>
  <c r="AO34" i="18"/>
  <c r="AO40" i="18" s="1"/>
  <c r="AD72" i="21"/>
  <c r="G68" i="20"/>
  <c r="G72" i="20"/>
  <c r="AX45" i="21"/>
  <c r="AX51" i="21" s="1"/>
  <c r="AX67" i="21"/>
  <c r="AX73" i="21" s="1"/>
  <c r="AX24" i="21"/>
  <c r="AX34" i="21"/>
  <c r="AX40" i="21" s="1"/>
  <c r="AX56" i="21"/>
  <c r="AX62" i="21" s="1"/>
  <c r="AR50" i="18"/>
  <c r="AR35" i="19"/>
  <c r="AR39" i="19"/>
  <c r="AG33" i="20"/>
  <c r="AG55" i="20"/>
  <c r="AG66" i="20"/>
  <c r="AG23" i="20"/>
  <c r="AG44" i="20"/>
  <c r="W39" i="19"/>
  <c r="W35" i="19"/>
  <c r="AU68" i="18"/>
  <c r="AU72" i="18"/>
  <c r="AQ34" i="21"/>
  <c r="AQ40" i="21" s="1"/>
  <c r="AQ45" i="21"/>
  <c r="AQ51" i="21" s="1"/>
  <c r="AQ67" i="21"/>
  <c r="AQ73" i="21" s="1"/>
  <c r="AQ24" i="21"/>
  <c r="AQ56" i="21"/>
  <c r="AQ62" i="21" s="1"/>
  <c r="Y44" i="21"/>
  <c r="Y66" i="21"/>
  <c r="Y23" i="21"/>
  <c r="Y55" i="21"/>
  <c r="Y33" i="21"/>
  <c r="Z55" i="20"/>
  <c r="Z23" i="20"/>
  <c r="Z66" i="20"/>
  <c r="Z33" i="20"/>
  <c r="Z44" i="20"/>
  <c r="T61" i="18"/>
  <c r="T57" i="18"/>
  <c r="U72" i="19"/>
  <c r="U68" i="19"/>
  <c r="Z46" i="18"/>
  <c r="Z50" i="18"/>
  <c r="AN35" i="21"/>
  <c r="AN39" i="21"/>
  <c r="AT68" i="20"/>
  <c r="AT72" i="20"/>
  <c r="AQ68" i="18"/>
  <c r="AQ72" i="18"/>
  <c r="AG61" i="21"/>
  <c r="Z72" i="19"/>
  <c r="Z68" i="19"/>
  <c r="X57" i="19"/>
  <c r="X61" i="19"/>
  <c r="AM39" i="21"/>
  <c r="V50" i="21"/>
  <c r="D57" i="20"/>
  <c r="D61" i="20"/>
  <c r="AA61" i="21"/>
  <c r="AS39" i="18"/>
  <c r="AS35" i="18"/>
  <c r="AJ50" i="19"/>
  <c r="AJ46" i="19"/>
  <c r="AY50" i="20"/>
  <c r="AY46" i="20"/>
  <c r="AX57" i="19"/>
  <c r="AX61" i="19"/>
  <c r="S24" i="18"/>
  <c r="S67" i="18"/>
  <c r="S73" i="18" s="1"/>
  <c r="S56" i="18"/>
  <c r="S62" i="18" s="1"/>
  <c r="S34" i="18"/>
  <c r="S40" i="18" s="1"/>
  <c r="S45" i="18"/>
  <c r="S51" i="18" s="1"/>
  <c r="AN35" i="18"/>
  <c r="AN39" i="18"/>
  <c r="AM56" i="21"/>
  <c r="AM62" i="21" s="1"/>
  <c r="AM34" i="21"/>
  <c r="AM40" i="21" s="1"/>
  <c r="AM45" i="21"/>
  <c r="AM51" i="21" s="1"/>
  <c r="AM67" i="21"/>
  <c r="AM73" i="21" s="1"/>
  <c r="AM24" i="21"/>
  <c r="AV39" i="21"/>
  <c r="AS72" i="20"/>
  <c r="AS68" i="20"/>
  <c r="AY35" i="21"/>
  <c r="AY39" i="21"/>
  <c r="AS68" i="21"/>
  <c r="AS72" i="21"/>
  <c r="L68" i="20"/>
  <c r="L72" i="20"/>
  <c r="M57" i="19"/>
  <c r="M61" i="19"/>
  <c r="V68" i="18"/>
  <c r="V72" i="18"/>
  <c r="AK22" i="18"/>
  <c r="AK21" i="18"/>
  <c r="I35" i="19"/>
  <c r="Z57" i="21"/>
  <c r="Z61" i="21"/>
  <c r="AR33" i="21"/>
  <c r="AR55" i="21"/>
  <c r="AR66" i="21"/>
  <c r="AR44" i="21"/>
  <c r="AR23" i="21"/>
  <c r="W57" i="18"/>
  <c r="W61" i="18"/>
  <c r="F39" i="19"/>
  <c r="F35" i="19"/>
  <c r="AG35" i="18"/>
  <c r="AG39" i="18"/>
  <c r="AH50" i="18"/>
  <c r="AH46" i="18"/>
  <c r="AD68" i="18"/>
  <c r="AD72" i="18"/>
  <c r="AI61" i="18"/>
  <c r="AI57" i="18"/>
  <c r="N72" i="18"/>
  <c r="H39" i="19"/>
  <c r="H35" i="19"/>
  <c r="AN68" i="19"/>
  <c r="AN72" i="19"/>
  <c r="H45" i="21"/>
  <c r="H51" i="21" s="1"/>
  <c r="H34" i="21"/>
  <c r="H40" i="21" s="1"/>
  <c r="H67" i="21"/>
  <c r="H73" i="21" s="1"/>
  <c r="H24" i="21"/>
  <c r="H56" i="21"/>
  <c r="H62" i="21" s="1"/>
  <c r="F39" i="20"/>
  <c r="F35" i="20"/>
  <c r="J46" i="19"/>
  <c r="J50" i="19"/>
  <c r="D39" i="20"/>
  <c r="D35" i="20"/>
  <c r="AC50" i="18"/>
  <c r="AC46" i="18"/>
  <c r="AF57" i="19"/>
  <c r="AF61" i="19"/>
  <c r="K34" i="21"/>
  <c r="K40" i="21" s="1"/>
  <c r="K24" i="21"/>
  <c r="K56" i="21"/>
  <c r="K62" i="21" s="1"/>
  <c r="K67" i="21"/>
  <c r="K73" i="21" s="1"/>
  <c r="K45" i="21"/>
  <c r="K51" i="21" s="1"/>
  <c r="J46" i="20"/>
  <c r="J50" i="20"/>
  <c r="V46" i="18"/>
  <c r="V50" i="18"/>
  <c r="AH68" i="18"/>
  <c r="AH72" i="18"/>
  <c r="T68" i="20"/>
  <c r="T72" i="20"/>
  <c r="S61" i="19"/>
  <c r="S57" i="19"/>
  <c r="H39" i="18"/>
  <c r="AX61" i="20"/>
  <c r="AX57" i="20"/>
  <c r="K35" i="18"/>
  <c r="K39" i="18"/>
  <c r="AD61" i="20"/>
  <c r="AD57" i="20"/>
  <c r="H46" i="19"/>
  <c r="H50" i="19"/>
  <c r="AA72" i="18"/>
  <c r="AA68" i="18"/>
  <c r="D61" i="21"/>
  <c r="AS39" i="19"/>
  <c r="AS35" i="19"/>
  <c r="D68" i="19"/>
  <c r="D72" i="19"/>
  <c r="AV57" i="19"/>
  <c r="AV61" i="19"/>
  <c r="X66" i="20"/>
  <c r="X33" i="20"/>
  <c r="X44" i="20"/>
  <c r="X55" i="20"/>
  <c r="X23" i="20"/>
  <c r="AR35" i="18"/>
  <c r="AR39" i="18"/>
  <c r="AU61" i="18"/>
  <c r="AU57" i="18"/>
  <c r="J35" i="20"/>
  <c r="J39" i="20"/>
  <c r="U46" i="20"/>
  <c r="U50" i="20"/>
  <c r="Y72" i="18"/>
  <c r="Y68" i="18"/>
  <c r="T46" i="18"/>
  <c r="T50" i="18"/>
  <c r="U57" i="19"/>
  <c r="U61" i="19"/>
  <c r="AO34" i="19"/>
  <c r="AO40" i="19" s="1"/>
  <c r="AO56" i="19"/>
  <c r="AO62" i="19" s="1"/>
  <c r="AO24" i="19"/>
  <c r="AO67" i="19"/>
  <c r="AO73" i="19" s="1"/>
  <c r="AO45" i="19"/>
  <c r="AO51" i="19" s="1"/>
  <c r="AI35" i="21"/>
  <c r="AI39" i="21"/>
  <c r="Y50" i="20"/>
  <c r="Y46" i="20"/>
  <c r="AQ35" i="18"/>
  <c r="AQ39" i="18"/>
  <c r="AJ68" i="20"/>
  <c r="AJ72" i="20"/>
  <c r="Z35" i="19"/>
  <c r="Z39" i="19"/>
  <c r="AM61" i="21"/>
  <c r="AM57" i="21"/>
  <c r="AA46" i="21"/>
  <c r="AA50" i="21"/>
  <c r="AF72" i="21"/>
  <c r="AS57" i="18"/>
  <c r="AS61" i="18"/>
  <c r="AK46" i="21"/>
  <c r="AK50" i="21"/>
  <c r="AY35" i="20"/>
  <c r="AY39" i="20"/>
  <c r="AG35" i="19"/>
  <c r="AG39" i="19"/>
  <c r="I33" i="20"/>
  <c r="I55" i="20"/>
  <c r="I66" i="20"/>
  <c r="I23" i="20"/>
  <c r="I44" i="20"/>
  <c r="AT66" i="19"/>
  <c r="AT33" i="19"/>
  <c r="AT55" i="19"/>
  <c r="AT23" i="19"/>
  <c r="AT44" i="19"/>
  <c r="AU68" i="19"/>
  <c r="AU72" i="19"/>
  <c r="M45" i="18"/>
  <c r="M51" i="18" s="1"/>
  <c r="M24" i="18"/>
  <c r="M56" i="18"/>
  <c r="M62" i="18" s="1"/>
  <c r="M34" i="18"/>
  <c r="M40" i="18" s="1"/>
  <c r="M67" i="18"/>
  <c r="M73" i="18" s="1"/>
  <c r="AY57" i="21"/>
  <c r="AY61" i="21"/>
  <c r="L50" i="20"/>
  <c r="L46" i="20"/>
  <c r="O35" i="19"/>
  <c r="O39" i="19"/>
  <c r="R50" i="21"/>
  <c r="R46" i="21"/>
  <c r="I39" i="21"/>
  <c r="Z35" i="21"/>
  <c r="Z39" i="21"/>
  <c r="M50" i="20"/>
  <c r="M46" i="20"/>
  <c r="AO50" i="18"/>
  <c r="F68" i="19"/>
  <c r="F72" i="19"/>
  <c r="AB24" i="19"/>
  <c r="AB45" i="19"/>
  <c r="AB51" i="19" s="1"/>
  <c r="AB67" i="19"/>
  <c r="AB73" i="19" s="1"/>
  <c r="AB56" i="19"/>
  <c r="AB62" i="19" s="1"/>
  <c r="AB34" i="19"/>
  <c r="AB40" i="19" s="1"/>
  <c r="R35" i="19"/>
  <c r="R39" i="19"/>
  <c r="AY23" i="18"/>
  <c r="AY55" i="18"/>
  <c r="AY33" i="18"/>
  <c r="AY66" i="18"/>
  <c r="AY44" i="18"/>
  <c r="AH50" i="19"/>
  <c r="AH46" i="19"/>
  <c r="D35" i="21"/>
  <c r="D39" i="21"/>
  <c r="AE68" i="21"/>
  <c r="AE72" i="21"/>
  <c r="G27" i="21"/>
  <c r="F30" i="21"/>
  <c r="AC50" i="21"/>
  <c r="AU72" i="20"/>
  <c r="AU68" i="20"/>
  <c r="V46" i="19"/>
  <c r="V50" i="19"/>
  <c r="S50" i="21"/>
  <c r="AN61" i="20"/>
  <c r="AN57" i="20"/>
  <c r="L50" i="18"/>
  <c r="AO39" i="20"/>
  <c r="AO35" i="20"/>
  <c r="AT35" i="21"/>
  <c r="AT39" i="21"/>
  <c r="S50" i="19"/>
  <c r="S46" i="19"/>
  <c r="S34" i="21"/>
  <c r="S40" i="21" s="1"/>
  <c r="S24" i="21"/>
  <c r="S56" i="21"/>
  <c r="S62" i="21" s="1"/>
  <c r="S67" i="21"/>
  <c r="S73" i="21" s="1"/>
  <c r="S45" i="21"/>
  <c r="S51" i="21" s="1"/>
  <c r="K57" i="18"/>
  <c r="K61" i="18"/>
  <c r="AH68" i="21"/>
  <c r="AH72" i="21"/>
  <c r="AS61" i="19"/>
  <c r="AS57" i="19"/>
  <c r="AW39" i="21"/>
  <c r="AW35" i="21"/>
  <c r="J57" i="18"/>
  <c r="J61" i="18"/>
  <c r="T61" i="21"/>
  <c r="T57" i="21"/>
  <c r="AI50" i="20"/>
  <c r="AI46" i="20"/>
  <c r="AM68" i="19"/>
  <c r="AM72" i="19"/>
  <c r="D34" i="18"/>
  <c r="D40" i="18" s="1"/>
  <c r="D24" i="18"/>
  <c r="D45" i="18"/>
  <c r="D51" i="18" s="1"/>
  <c r="D67" i="18"/>
  <c r="D73" i="18" s="1"/>
  <c r="D56" i="18"/>
  <c r="D62" i="18" s="1"/>
  <c r="AR50" i="19"/>
  <c r="AR46" i="19"/>
  <c r="W68" i="19"/>
  <c r="W72" i="19"/>
  <c r="E56" i="21"/>
  <c r="E45" i="21"/>
  <c r="E24" i="21"/>
  <c r="E67" i="21"/>
  <c r="E34" i="21"/>
  <c r="U57" i="20"/>
  <c r="U61" i="20"/>
  <c r="AY61" i="20"/>
  <c r="AY57" i="20"/>
  <c r="I67" i="20"/>
  <c r="I73" i="20" s="1"/>
  <c r="I34" i="20"/>
  <c r="I40" i="20" s="1"/>
  <c r="I45" i="20"/>
  <c r="I51" i="20" s="1"/>
  <c r="I24" i="20"/>
  <c r="I56" i="20"/>
  <c r="I62" i="20" s="1"/>
  <c r="Q57" i="18"/>
  <c r="Q61" i="18"/>
  <c r="AN46" i="18"/>
  <c r="AN50" i="18"/>
  <c r="AV50" i="21"/>
  <c r="AV46" i="21"/>
  <c r="O72" i="19"/>
  <c r="O68" i="19"/>
  <c r="AR67" i="21"/>
  <c r="AR73" i="21" s="1"/>
  <c r="AR45" i="21"/>
  <c r="AR51" i="21" s="1"/>
  <c r="AR34" i="21"/>
  <c r="AR40" i="21" s="1"/>
  <c r="AR56" i="21"/>
  <c r="AR62" i="21" s="1"/>
  <c r="AR24" i="21"/>
  <c r="AG57" i="18"/>
  <c r="AG61" i="18"/>
  <c r="AT57" i="21"/>
  <c r="AT61" i="21"/>
  <c r="K68" i="19"/>
  <c r="K72" i="19"/>
  <c r="AV57" i="18"/>
  <c r="AV61" i="18"/>
  <c r="AF24" i="21"/>
  <c r="AF45" i="21"/>
  <c r="AF51" i="21" s="1"/>
  <c r="AF56" i="21"/>
  <c r="AF62" i="21" s="1"/>
  <c r="AF34" i="21"/>
  <c r="AF40" i="21" s="1"/>
  <c r="AF67" i="21"/>
  <c r="AF73" i="21" s="1"/>
  <c r="T39" i="21"/>
  <c r="AI35" i="20"/>
  <c r="AI39" i="20"/>
  <c r="AH34" i="18"/>
  <c r="AH40" i="18" s="1"/>
  <c r="AH24" i="18"/>
  <c r="AH56" i="18"/>
  <c r="AH62" i="18" s="1"/>
  <c r="AH45" i="18"/>
  <c r="AH51" i="18" s="1"/>
  <c r="AH67" i="18"/>
  <c r="AH73" i="18" s="1"/>
  <c r="T39" i="20"/>
  <c r="T35" i="20"/>
  <c r="K50" i="19"/>
  <c r="K46" i="19"/>
  <c r="L72" i="21"/>
  <c r="AK39" i="19"/>
  <c r="AK35" i="19"/>
  <c r="AW72" i="21"/>
  <c r="AW72" i="20"/>
  <c r="AW68" i="20"/>
  <c r="AU61" i="21"/>
  <c r="E44" i="20"/>
  <c r="E55" i="20"/>
  <c r="E23" i="20"/>
  <c r="AZ23" i="20" s="1"/>
  <c r="E33" i="20"/>
  <c r="E66" i="20"/>
  <c r="N57" i="19"/>
  <c r="N61" i="19"/>
  <c r="AA72" i="20"/>
  <c r="AA68" i="20"/>
  <c r="AQ57" i="20"/>
  <c r="AQ61" i="20"/>
  <c r="AL46" i="19"/>
  <c r="AL50" i="19"/>
  <c r="AT72" i="18"/>
  <c r="AT68" i="18"/>
  <c r="S35" i="21"/>
  <c r="S39" i="21"/>
  <c r="K57" i="21"/>
  <c r="K61" i="21"/>
  <c r="AF61" i="20"/>
  <c r="AF57" i="20"/>
  <c r="L68" i="18"/>
  <c r="L72" i="18"/>
  <c r="AV35" i="19"/>
  <c r="AV39" i="19"/>
  <c r="S57" i="18"/>
  <c r="S61" i="18"/>
  <c r="AD57" i="21"/>
  <c r="AD61" i="21"/>
  <c r="AO57" i="20"/>
  <c r="AO61" i="20"/>
  <c r="AV61" i="20"/>
  <c r="AV57" i="20"/>
  <c r="U34" i="21"/>
  <c r="U40" i="21" s="1"/>
  <c r="U56" i="21"/>
  <c r="U62" i="21" s="1"/>
  <c r="U67" i="21"/>
  <c r="U73" i="21" s="1"/>
  <c r="U24" i="21"/>
  <c r="U45" i="21"/>
  <c r="U51" i="21" s="1"/>
  <c r="J68" i="20"/>
  <c r="J72" i="20"/>
  <c r="Y50" i="18"/>
  <c r="Y46" i="18"/>
  <c r="AO55" i="19"/>
  <c r="AO23" i="19"/>
  <c r="AO44" i="19"/>
  <c r="AO66" i="19"/>
  <c r="AO33" i="19"/>
  <c r="AI61" i="21"/>
  <c r="AI57" i="21"/>
  <c r="AN57" i="21"/>
  <c r="AN61" i="21"/>
  <c r="Y68" i="20"/>
  <c r="Y72" i="20"/>
  <c r="O68" i="18"/>
  <c r="O72" i="18"/>
  <c r="AM68" i="18"/>
  <c r="AM72" i="18"/>
  <c r="AQ46" i="18"/>
  <c r="AQ50" i="18"/>
  <c r="AG68" i="21"/>
  <c r="AG72" i="21"/>
  <c r="AB68" i="20"/>
  <c r="AB72" i="20"/>
  <c r="AJ39" i="20"/>
  <c r="AJ35" i="20"/>
  <c r="AM46" i="21"/>
  <c r="AM50" i="21"/>
  <c r="V35" i="21"/>
  <c r="V39" i="21"/>
  <c r="AZ21" i="20"/>
  <c r="AA72" i="21"/>
  <c r="AF35" i="21"/>
  <c r="AF39" i="21"/>
  <c r="AS68" i="18"/>
  <c r="AS72" i="18"/>
  <c r="AK39" i="21"/>
  <c r="AK35" i="21"/>
  <c r="AG68" i="19"/>
  <c r="AG72" i="19"/>
  <c r="S55" i="20"/>
  <c r="S23" i="20"/>
  <c r="S33" i="20"/>
  <c r="S44" i="20"/>
  <c r="S66" i="20"/>
  <c r="AT45" i="19"/>
  <c r="AT51" i="19" s="1"/>
  <c r="AT67" i="19"/>
  <c r="AT73" i="19" s="1"/>
  <c r="AT24" i="19"/>
  <c r="AT56" i="19"/>
  <c r="AT62" i="19" s="1"/>
  <c r="AT34" i="19"/>
  <c r="AT40" i="19" s="1"/>
  <c r="E22" i="18"/>
  <c r="E21" i="18"/>
  <c r="AN61" i="18"/>
  <c r="AN57" i="18"/>
  <c r="AV57" i="21"/>
  <c r="AV61" i="21"/>
  <c r="AS57" i="20"/>
  <c r="AS61" i="20"/>
  <c r="AJ33" i="21"/>
  <c r="AJ55" i="21"/>
  <c r="AJ66" i="21"/>
  <c r="AJ44" i="21"/>
  <c r="AJ23" i="21"/>
  <c r="N67" i="18"/>
  <c r="N73" i="18" s="1"/>
  <c r="N56" i="18"/>
  <c r="N62" i="18" s="1"/>
  <c r="N34" i="18"/>
  <c r="N40" i="18" s="1"/>
  <c r="N45" i="18"/>
  <c r="N51" i="18" s="1"/>
  <c r="N24" i="18"/>
  <c r="R68" i="21"/>
  <c r="R72" i="21"/>
  <c r="Q67" i="20"/>
  <c r="Q73" i="20" s="1"/>
  <c r="Q34" i="20"/>
  <c r="Q40" i="20" s="1"/>
  <c r="Q45" i="20"/>
  <c r="Q51" i="20" s="1"/>
  <c r="Q24" i="20"/>
  <c r="Q56" i="20"/>
  <c r="Q62" i="20" s="1"/>
  <c r="AO57" i="18"/>
  <c r="AO61" i="18"/>
  <c r="F46" i="19"/>
  <c r="F50" i="19"/>
  <c r="AH39" i="18"/>
  <c r="AH35" i="18"/>
  <c r="AP57" i="18"/>
  <c r="AP61" i="18"/>
  <c r="P67" i="20"/>
  <c r="P73" i="20" s="1"/>
  <c r="P34" i="20"/>
  <c r="P40" i="20" s="1"/>
  <c r="P45" i="20"/>
  <c r="P51" i="20" s="1"/>
  <c r="P24" i="20"/>
  <c r="P56" i="20"/>
  <c r="P62" i="20" s="1"/>
  <c r="AA34" i="21"/>
  <c r="AA40" i="21" s="1"/>
  <c r="AA45" i="21"/>
  <c r="AA51" i="21" s="1"/>
  <c r="AA67" i="21"/>
  <c r="AA73" i="21" s="1"/>
  <c r="AA24" i="21"/>
  <c r="AA56" i="21"/>
  <c r="AA62" i="21" s="1"/>
  <c r="AI68" i="19"/>
  <c r="AI72" i="19"/>
  <c r="AX67" i="18"/>
  <c r="AX73" i="18" s="1"/>
  <c r="AX24" i="18"/>
  <c r="AX56" i="18"/>
  <c r="AX62" i="18" s="1"/>
  <c r="AX45" i="18"/>
  <c r="AX51" i="18" s="1"/>
  <c r="AX34" i="18"/>
  <c r="AX40" i="18" s="1"/>
  <c r="I35" i="18"/>
  <c r="I39" i="18"/>
  <c r="AO68" i="21"/>
  <c r="AO72" i="21"/>
  <c r="AK68" i="19"/>
  <c r="AK72" i="19"/>
  <c r="H46" i="20"/>
  <c r="H50" i="20"/>
  <c r="T72" i="21"/>
  <c r="T68" i="21"/>
  <c r="AR34" i="20"/>
  <c r="AR40" i="20" s="1"/>
  <c r="AR56" i="20"/>
  <c r="AR62" i="20" s="1"/>
  <c r="AR24" i="20"/>
  <c r="AR67" i="20"/>
  <c r="AR73" i="20" s="1"/>
  <c r="AR45" i="20"/>
  <c r="AR51" i="20" s="1"/>
  <c r="H68" i="19"/>
  <c r="H72" i="19"/>
  <c r="AV46" i="18"/>
  <c r="AV50" i="18"/>
  <c r="AC68" i="21"/>
  <c r="AC72" i="21"/>
  <c r="F46" i="20"/>
  <c r="F50" i="20"/>
  <c r="S72" i="18"/>
  <c r="S68" i="18"/>
  <c r="AR72" i="18"/>
  <c r="AU39" i="18"/>
  <c r="AU35" i="18"/>
  <c r="AN50" i="21"/>
  <c r="AN46" i="21"/>
  <c r="AG39" i="21"/>
  <c r="AG35" i="21"/>
  <c r="AM68" i="21"/>
  <c r="AM72" i="21"/>
  <c r="AZ22" i="19"/>
  <c r="M66" i="18"/>
  <c r="M55" i="18"/>
  <c r="M23" i="18"/>
  <c r="M44" i="18"/>
  <c r="M33" i="18"/>
  <c r="AS35" i="20"/>
  <c r="AS39" i="20"/>
  <c r="L57" i="20"/>
  <c r="L61" i="20"/>
  <c r="I50" i="21"/>
  <c r="W35" i="18"/>
  <c r="W39" i="18"/>
  <c r="AP50" i="18"/>
  <c r="AP46" i="18"/>
  <c r="N68" i="20"/>
  <c r="AR55" i="20"/>
  <c r="AR23" i="20"/>
  <c r="AR66" i="20"/>
  <c r="AR44" i="20"/>
  <c r="AR33" i="20"/>
  <c r="AR56" i="18"/>
  <c r="AR62" i="18" s="1"/>
  <c r="AR45" i="18"/>
  <c r="AR51" i="18" s="1"/>
  <c r="AR67" i="18"/>
  <c r="AR73" i="18" s="1"/>
  <c r="AR24" i="18"/>
  <c r="AR34" i="18"/>
  <c r="AR40" i="18" s="1"/>
  <c r="N61" i="18"/>
  <c r="N57" i="18"/>
  <c r="P55" i="18"/>
  <c r="P44" i="18"/>
  <c r="P66" i="18"/>
  <c r="P33" i="18"/>
  <c r="P23" i="18"/>
  <c r="AH50" i="21"/>
  <c r="AH46" i="21"/>
  <c r="V72" i="20"/>
  <c r="V68" i="20"/>
  <c r="AP72" i="19"/>
  <c r="AP68" i="19"/>
  <c r="AU72" i="21"/>
  <c r="AQ68" i="20"/>
  <c r="AQ72" i="20"/>
  <c r="J68" i="18"/>
  <c r="J72" i="18"/>
  <c r="L39" i="18"/>
  <c r="L35" i="18"/>
  <c r="AV39" i="20"/>
  <c r="AV35" i="20"/>
  <c r="J68" i="21"/>
  <c r="J72" i="21"/>
  <c r="AM72" i="20"/>
  <c r="AM68" i="20"/>
  <c r="S35" i="19"/>
  <c r="S39" i="19"/>
  <c r="X34" i="18"/>
  <c r="X40" i="18" s="1"/>
  <c r="X56" i="18"/>
  <c r="X62" i="18" s="1"/>
  <c r="X45" i="18"/>
  <c r="X51" i="18" s="1"/>
  <c r="X24" i="18"/>
  <c r="X67" i="18"/>
  <c r="X73" i="18" s="1"/>
  <c r="AX46" i="20"/>
  <c r="AX50" i="20"/>
  <c r="K50" i="18"/>
  <c r="K46" i="18"/>
  <c r="AP35" i="19"/>
  <c r="AP39" i="19"/>
  <c r="AA50" i="18"/>
  <c r="AA46" i="18"/>
  <c r="AZ21" i="21"/>
  <c r="J50" i="21"/>
  <c r="J46" i="21"/>
  <c r="T57" i="20"/>
  <c r="T61" i="20"/>
  <c r="AM35" i="20"/>
  <c r="AM39" i="20"/>
  <c r="AH34" i="20"/>
  <c r="AH40" i="20" s="1"/>
  <c r="AH56" i="20"/>
  <c r="AH62" i="20" s="1"/>
  <c r="AH67" i="20"/>
  <c r="AH73" i="20" s="1"/>
  <c r="AH24" i="20"/>
  <c r="AH45" i="20"/>
  <c r="AH51" i="20" s="1"/>
  <c r="F30" i="20"/>
  <c r="G27" i="20"/>
  <c r="AI39" i="19"/>
  <c r="AI35" i="19"/>
  <c r="H50" i="18"/>
  <c r="H46" i="18"/>
  <c r="AY57" i="19"/>
  <c r="AY61" i="19"/>
  <c r="AC35" i="18"/>
  <c r="AC39" i="18"/>
  <c r="X23" i="18"/>
  <c r="X44" i="18"/>
  <c r="X66" i="18"/>
  <c r="X33" i="18"/>
  <c r="X55" i="18"/>
  <c r="AX35" i="20"/>
  <c r="AX39" i="20"/>
  <c r="R61" i="19"/>
  <c r="R57" i="19"/>
  <c r="G27" i="19"/>
  <c r="F30" i="19"/>
  <c r="I50" i="18"/>
  <c r="I46" i="18"/>
  <c r="AA57" i="18"/>
  <c r="AA61" i="18"/>
  <c r="AO39" i="21"/>
  <c r="AO35" i="21"/>
  <c r="AE57" i="20"/>
  <c r="AE61" i="20"/>
  <c r="P68" i="19"/>
  <c r="K61" i="19"/>
  <c r="K57" i="19"/>
  <c r="AW68" i="19"/>
  <c r="AW72" i="19"/>
  <c r="L35" i="21"/>
  <c r="L39" i="21"/>
  <c r="AL61" i="20"/>
  <c r="AL57" i="20"/>
  <c r="AS68" i="19"/>
  <c r="AS72" i="19"/>
  <c r="AK61" i="19"/>
  <c r="AK57" i="19"/>
  <c r="AW46" i="21"/>
  <c r="AW50" i="21"/>
  <c r="AU50" i="21"/>
  <c r="E24" i="20"/>
  <c r="E45" i="20"/>
  <c r="E51" i="20" s="1"/>
  <c r="E56" i="20"/>
  <c r="E62" i="20" s="1"/>
  <c r="E67" i="20"/>
  <c r="E73" i="20" s="1"/>
  <c r="E34" i="20"/>
  <c r="E40" i="20" s="1"/>
  <c r="N68" i="19"/>
  <c r="N72" i="19"/>
  <c r="D57" i="19"/>
  <c r="D61" i="19"/>
  <c r="AA50" i="20"/>
  <c r="AA46" i="20"/>
  <c r="AQ35" i="20"/>
  <c r="AQ39" i="20"/>
  <c r="H34" i="18"/>
  <c r="H40" i="18" s="1"/>
  <c r="H24" i="18"/>
  <c r="H56" i="18"/>
  <c r="H62" i="18" s="1"/>
  <c r="H45" i="18"/>
  <c r="H51" i="18" s="1"/>
  <c r="H67" i="18"/>
  <c r="H73" i="18" s="1"/>
  <c r="AL57" i="19"/>
  <c r="AL61" i="19"/>
  <c r="G57" i="18"/>
  <c r="G61" i="18"/>
  <c r="AW57" i="18"/>
  <c r="AW61" i="18"/>
  <c r="S72" i="21"/>
  <c r="K50" i="21"/>
  <c r="K46" i="21"/>
  <c r="AL72" i="18"/>
  <c r="AL68" i="18"/>
  <c r="AI57" i="20"/>
  <c r="AI61" i="20"/>
  <c r="L61" i="18"/>
  <c r="S35" i="18"/>
  <c r="S39" i="18"/>
  <c r="G57" i="20"/>
  <c r="G61" i="20"/>
  <c r="AO46" i="20"/>
  <c r="AO50" i="20"/>
  <c r="AR61" i="18"/>
  <c r="R56" i="18"/>
  <c r="R62" i="18" s="1"/>
  <c r="R24" i="18"/>
  <c r="R34" i="18"/>
  <c r="R40" i="18" s="1"/>
  <c r="R45" i="18"/>
  <c r="R51" i="18" s="1"/>
  <c r="R67" i="18"/>
  <c r="R73" i="18" s="1"/>
  <c r="AU50" i="18"/>
  <c r="AU46" i="18"/>
  <c r="AC34" i="21"/>
  <c r="AC40" i="21" s="1"/>
  <c r="AC56" i="21"/>
  <c r="AC62" i="21" s="1"/>
  <c r="AC67" i="21"/>
  <c r="AC73" i="21" s="1"/>
  <c r="AC24" i="21"/>
  <c r="AC45" i="21"/>
  <c r="AC51" i="21" s="1"/>
  <c r="G46" i="19"/>
  <c r="U46" i="19"/>
  <c r="U50" i="19"/>
  <c r="I57" i="19"/>
  <c r="Y57" i="20"/>
  <c r="Y61" i="20"/>
  <c r="O57" i="18"/>
  <c r="O61" i="18"/>
  <c r="AM61" i="18"/>
  <c r="AM57" i="18"/>
  <c r="AQ61" i="18"/>
  <c r="AQ57" i="18"/>
  <c r="AG46" i="21"/>
  <c r="AG50" i="21"/>
  <c r="AB39" i="20"/>
  <c r="AB35" i="20"/>
  <c r="AJ57" i="20"/>
  <c r="AJ61" i="20"/>
  <c r="Z57" i="19"/>
  <c r="Z61" i="19"/>
  <c r="V57" i="21"/>
  <c r="V61" i="21"/>
  <c r="P45" i="21"/>
  <c r="P51" i="21" s="1"/>
  <c r="P34" i="21"/>
  <c r="P40" i="21" s="1"/>
  <c r="P67" i="21"/>
  <c r="P73" i="21" s="1"/>
  <c r="P56" i="21"/>
  <c r="P62" i="21" s="1"/>
  <c r="P24" i="21"/>
  <c r="AF46" i="21"/>
  <c r="AF50" i="21"/>
  <c r="AJ72" i="19"/>
  <c r="AJ68" i="19"/>
  <c r="AK68" i="21"/>
  <c r="AK72" i="21"/>
  <c r="AG46" i="19"/>
  <c r="AG50" i="19"/>
  <c r="AX72" i="19"/>
  <c r="AX68" i="19"/>
  <c r="S56" i="20"/>
  <c r="S62" i="20" s="1"/>
  <c r="S24" i="20"/>
  <c r="AZ24" i="20" s="1"/>
  <c r="S67" i="20"/>
  <c r="S73" i="20" s="1"/>
  <c r="S34" i="20"/>
  <c r="S40" i="20" s="1"/>
  <c r="S45" i="20"/>
  <c r="S51" i="20" s="1"/>
  <c r="H27" i="18"/>
  <c r="G30" i="18"/>
  <c r="AE67" i="19"/>
  <c r="AE73" i="19" s="1"/>
  <c r="AE34" i="19"/>
  <c r="AE40" i="19" s="1"/>
  <c r="AE56" i="19"/>
  <c r="AE62" i="19" s="1"/>
  <c r="AE24" i="19"/>
  <c r="AE45" i="19"/>
  <c r="AE51" i="19" s="1"/>
  <c r="AN72" i="18"/>
  <c r="AN68" i="18"/>
  <c r="I67" i="21"/>
  <c r="I73" i="21" s="1"/>
  <c r="I34" i="21"/>
  <c r="I40" i="21" s="1"/>
  <c r="I45" i="21"/>
  <c r="I51" i="21" s="1"/>
  <c r="I24" i="21"/>
  <c r="I56" i="21"/>
  <c r="I62" i="21" s="1"/>
  <c r="AX57" i="21"/>
  <c r="AX61" i="21"/>
  <c r="AJ67" i="21"/>
  <c r="AJ73" i="21" s="1"/>
  <c r="AJ45" i="21"/>
  <c r="AJ51" i="21" s="1"/>
  <c r="AJ34" i="21"/>
  <c r="AJ40" i="21" s="1"/>
  <c r="AJ24" i="21"/>
  <c r="AJ56" i="21"/>
  <c r="AJ62" i="21" s="1"/>
  <c r="M72" i="19"/>
  <c r="M68" i="19"/>
  <c r="O57" i="19"/>
  <c r="O61" i="19"/>
  <c r="AQ56" i="19"/>
  <c r="AQ62" i="19" s="1"/>
  <c r="AQ24" i="19"/>
  <c r="AQ34" i="19"/>
  <c r="AQ40" i="19" s="1"/>
  <c r="AQ67" i="19"/>
  <c r="AQ73" i="19" s="1"/>
  <c r="AQ45" i="19"/>
  <c r="AQ51" i="19" s="1"/>
  <c r="R57" i="21"/>
  <c r="R61" i="21"/>
  <c r="I61" i="21"/>
  <c r="K55" i="20"/>
  <c r="K23" i="20"/>
  <c r="K33" i="20"/>
  <c r="K66" i="20"/>
  <c r="K44" i="20"/>
  <c r="Q33" i="20"/>
  <c r="Q55" i="20"/>
  <c r="Q66" i="20"/>
  <c r="Q44" i="20"/>
  <c r="Q23" i="20"/>
  <c r="AO68" i="18"/>
  <c r="AO72" i="18"/>
  <c r="AD39" i="18"/>
  <c r="AD35" i="18"/>
  <c r="AP68" i="18"/>
  <c r="AP72" i="18"/>
  <c r="AI72" i="18"/>
  <c r="AI68" i="18"/>
  <c r="P66" i="20"/>
  <c r="P33" i="20"/>
  <c r="P44" i="20"/>
  <c r="P55" i="20"/>
  <c r="P23" i="20"/>
  <c r="K72" i="20" l="1"/>
  <c r="K68" i="20"/>
  <c r="X46" i="18"/>
  <c r="X50" i="18"/>
  <c r="M46" i="18"/>
  <c r="M50" i="18"/>
  <c r="S50" i="20"/>
  <c r="S46" i="20"/>
  <c r="E73" i="21"/>
  <c r="E68" i="21"/>
  <c r="G30" i="21"/>
  <c r="H27" i="21"/>
  <c r="Y61" i="21"/>
  <c r="Y57" i="21"/>
  <c r="H68" i="21"/>
  <c r="H72" i="21"/>
  <c r="E50" i="19"/>
  <c r="E46" i="19"/>
  <c r="AQ46" i="19"/>
  <c r="AQ50" i="19"/>
  <c r="AE68" i="19"/>
  <c r="AE72" i="19"/>
  <c r="R68" i="18"/>
  <c r="R72" i="18"/>
  <c r="AH35" i="20"/>
  <c r="AH39" i="20"/>
  <c r="L46" i="19"/>
  <c r="L50" i="19"/>
  <c r="P68" i="20"/>
  <c r="P72" i="20"/>
  <c r="K35" i="20"/>
  <c r="K39" i="20"/>
  <c r="AR68" i="20"/>
  <c r="AR72" i="20"/>
  <c r="Q50" i="20"/>
  <c r="Q46" i="20"/>
  <c r="E62" i="21"/>
  <c r="E57" i="21"/>
  <c r="X61" i="20"/>
  <c r="X57" i="20"/>
  <c r="Y46" i="21"/>
  <c r="Y50" i="21"/>
  <c r="AF68" i="18"/>
  <c r="AF72" i="18"/>
  <c r="P68" i="21"/>
  <c r="P72" i="21"/>
  <c r="N51" i="21"/>
  <c r="N46" i="21"/>
  <c r="P46" i="20"/>
  <c r="P50" i="20"/>
  <c r="K50" i="20"/>
  <c r="K46" i="20"/>
  <c r="AU46" i="21"/>
  <c r="X68" i="18"/>
  <c r="X72" i="18"/>
  <c r="P61" i="18"/>
  <c r="P57" i="18"/>
  <c r="AR35" i="20"/>
  <c r="AR39" i="20"/>
  <c r="M35" i="18"/>
  <c r="M39" i="18"/>
  <c r="AJ72" i="21"/>
  <c r="AJ68" i="21"/>
  <c r="S72" i="20"/>
  <c r="S68" i="20"/>
  <c r="AO46" i="19"/>
  <c r="AO50" i="19"/>
  <c r="E40" i="21"/>
  <c r="E35" i="21"/>
  <c r="AY46" i="18"/>
  <c r="AY50" i="18"/>
  <c r="AT35" i="19"/>
  <c r="AT39" i="19"/>
  <c r="AR35" i="21"/>
  <c r="AR39" i="21"/>
  <c r="AA57" i="21"/>
  <c r="Y39" i="21"/>
  <c r="Y35" i="21"/>
  <c r="AG68" i="20"/>
  <c r="AG72" i="20"/>
  <c r="U68" i="21"/>
  <c r="AY68" i="21"/>
  <c r="Q35" i="18"/>
  <c r="AA35" i="21"/>
  <c r="D57" i="18"/>
  <c r="H35" i="21"/>
  <c r="H39" i="21"/>
  <c r="L57" i="21"/>
  <c r="J35" i="21"/>
  <c r="AO35" i="18"/>
  <c r="T68" i="19"/>
  <c r="T72" i="19"/>
  <c r="F39" i="18"/>
  <c r="F35" i="18"/>
  <c r="AY46" i="21"/>
  <c r="E72" i="19"/>
  <c r="E68" i="19"/>
  <c r="AQ68" i="19"/>
  <c r="AQ72" i="19"/>
  <c r="AS46" i="21"/>
  <c r="AE39" i="19"/>
  <c r="AE35" i="19"/>
  <c r="AD35" i="19"/>
  <c r="AD39" i="19"/>
  <c r="AB35" i="21"/>
  <c r="AB39" i="21"/>
  <c r="R57" i="18"/>
  <c r="R61" i="18"/>
  <c r="AX72" i="18"/>
  <c r="AX68" i="18"/>
  <c r="AB35" i="19"/>
  <c r="AB39" i="19"/>
  <c r="AH46" i="20"/>
  <c r="AH50" i="20"/>
  <c r="J57" i="21"/>
  <c r="AQ57" i="21"/>
  <c r="L35" i="19"/>
  <c r="L39" i="19"/>
  <c r="F73" i="21"/>
  <c r="F68" i="21"/>
  <c r="AB39" i="18"/>
  <c r="AB35" i="18"/>
  <c r="AR46" i="20"/>
  <c r="AR50" i="20"/>
  <c r="E66" i="18"/>
  <c r="E55" i="18"/>
  <c r="E23" i="18"/>
  <c r="E44" i="18"/>
  <c r="E33" i="18"/>
  <c r="AZ21" i="18"/>
  <c r="E72" i="20"/>
  <c r="E68" i="20"/>
  <c r="S46" i="21"/>
  <c r="AY68" i="18"/>
  <c r="AY72" i="18"/>
  <c r="AT72" i="19"/>
  <c r="AT68" i="19"/>
  <c r="F68" i="18"/>
  <c r="F72" i="18"/>
  <c r="AD72" i="19"/>
  <c r="AD68" i="19"/>
  <c r="AB61" i="18"/>
  <c r="AB57" i="18"/>
  <c r="AJ35" i="21"/>
  <c r="AJ39" i="21"/>
  <c r="E45" i="18"/>
  <c r="E51" i="18" s="1"/>
  <c r="E24" i="18"/>
  <c r="AZ24" i="18" s="1"/>
  <c r="E56" i="18"/>
  <c r="E62" i="18" s="1"/>
  <c r="E34" i="18"/>
  <c r="E40" i="18" s="1"/>
  <c r="E67" i="18"/>
  <c r="E73" i="18" s="1"/>
  <c r="S35" i="20"/>
  <c r="S39" i="20"/>
  <c r="AO61" i="19"/>
  <c r="AO57" i="19"/>
  <c r="E35" i="20"/>
  <c r="E39" i="20"/>
  <c r="AY35" i="18"/>
  <c r="AY39" i="18"/>
  <c r="I50" i="20"/>
  <c r="I46" i="20"/>
  <c r="AG35" i="20"/>
  <c r="AG39" i="20"/>
  <c r="AF61" i="18"/>
  <c r="AF57" i="18"/>
  <c r="G40" i="21"/>
  <c r="G35" i="21"/>
  <c r="T57" i="19"/>
  <c r="T61" i="19"/>
  <c r="E35" i="19"/>
  <c r="E39" i="19"/>
  <c r="U35" i="18"/>
  <c r="U39" i="18"/>
  <c r="AX68" i="21"/>
  <c r="P46" i="21"/>
  <c r="P50" i="21"/>
  <c r="M40" i="21"/>
  <c r="M35" i="21"/>
  <c r="AX50" i="18"/>
  <c r="AX46" i="18"/>
  <c r="AH68" i="20"/>
  <c r="AH72" i="20"/>
  <c r="L68" i="19"/>
  <c r="L72" i="19"/>
  <c r="F62" i="21"/>
  <c r="F57" i="21"/>
  <c r="N40" i="21"/>
  <c r="N35" i="21"/>
  <c r="G30" i="20"/>
  <c r="H27" i="20"/>
  <c r="I46" i="21"/>
  <c r="M57" i="18"/>
  <c r="M61" i="18"/>
  <c r="AW68" i="21"/>
  <c r="E51" i="21"/>
  <c r="E46" i="21"/>
  <c r="AY61" i="18"/>
  <c r="AY57" i="18"/>
  <c r="H35" i="18"/>
  <c r="AV35" i="21"/>
  <c r="Z46" i="20"/>
  <c r="Z50" i="20"/>
  <c r="Y68" i="21"/>
  <c r="Y72" i="21"/>
  <c r="AF39" i="18"/>
  <c r="AF35" i="18"/>
  <c r="AC35" i="21"/>
  <c r="AX35" i="21"/>
  <c r="G62" i="21"/>
  <c r="G57" i="21"/>
  <c r="S57" i="21"/>
  <c r="Q46" i="21"/>
  <c r="Q50" i="21"/>
  <c r="AP61" i="20"/>
  <c r="AP57" i="20"/>
  <c r="U46" i="18"/>
  <c r="U50" i="18"/>
  <c r="AW35" i="18"/>
  <c r="P35" i="21"/>
  <c r="P39" i="21"/>
  <c r="M51" i="21"/>
  <c r="M46" i="21"/>
  <c r="AQ35" i="21"/>
  <c r="F51" i="21"/>
  <c r="F46" i="21"/>
  <c r="V68" i="21"/>
  <c r="AU35" i="21"/>
  <c r="AB68" i="18"/>
  <c r="AB72" i="18"/>
  <c r="N62" i="21"/>
  <c r="N57" i="21"/>
  <c r="P39" i="20"/>
  <c r="P35" i="20"/>
  <c r="H27" i="19"/>
  <c r="G30" i="19"/>
  <c r="AJ61" i="21"/>
  <c r="AJ57" i="21"/>
  <c r="AG57" i="20"/>
  <c r="AG61" i="20"/>
  <c r="AB50" i="19"/>
  <c r="AB46" i="19"/>
  <c r="F40" i="21"/>
  <c r="F35" i="21"/>
  <c r="AR57" i="20"/>
  <c r="AR61" i="20"/>
  <c r="I68" i="20"/>
  <c r="I72" i="20"/>
  <c r="U57" i="21"/>
  <c r="Q68" i="20"/>
  <c r="Q72" i="20"/>
  <c r="L57" i="18"/>
  <c r="AU68" i="21"/>
  <c r="P35" i="18"/>
  <c r="P39" i="18"/>
  <c r="E46" i="20"/>
  <c r="E50" i="20"/>
  <c r="L46" i="18"/>
  <c r="I35" i="21"/>
  <c r="AT46" i="19"/>
  <c r="AT50" i="19"/>
  <c r="I61" i="20"/>
  <c r="I57" i="20"/>
  <c r="X46" i="20"/>
  <c r="X50" i="20"/>
  <c r="AR50" i="21"/>
  <c r="AR46" i="21"/>
  <c r="AK24" i="18"/>
  <c r="AK67" i="18"/>
  <c r="AK73" i="18" s="1"/>
  <c r="AK34" i="18"/>
  <c r="AK40" i="18" s="1"/>
  <c r="AK45" i="18"/>
  <c r="AK51" i="18" s="1"/>
  <c r="AK56" i="18"/>
  <c r="AK62" i="18" s="1"/>
  <c r="AG57" i="21"/>
  <c r="Z68" i="20"/>
  <c r="Z72" i="20"/>
  <c r="AF46" i="18"/>
  <c r="AF50" i="18"/>
  <c r="AV68" i="18"/>
  <c r="G73" i="21"/>
  <c r="G68" i="21"/>
  <c r="H46" i="21"/>
  <c r="H50" i="21"/>
  <c r="AV35" i="18"/>
  <c r="U35" i="21"/>
  <c r="Q39" i="21"/>
  <c r="Q35" i="21"/>
  <c r="F46" i="18"/>
  <c r="F50" i="18"/>
  <c r="AP46" i="20"/>
  <c r="AP50" i="20"/>
  <c r="AI68" i="21"/>
  <c r="U57" i="18"/>
  <c r="U61" i="18"/>
  <c r="I68" i="21"/>
  <c r="AE61" i="19"/>
  <c r="AE57" i="19"/>
  <c r="AD46" i="19"/>
  <c r="AD50" i="19"/>
  <c r="AB50" i="21"/>
  <c r="AB46" i="21"/>
  <c r="P57" i="21"/>
  <c r="P61" i="21"/>
  <c r="AI46" i="21"/>
  <c r="M62" i="21"/>
  <c r="M57" i="21"/>
  <c r="AT35" i="18"/>
  <c r="AQ46" i="21"/>
  <c r="AB72" i="19"/>
  <c r="AB68" i="19"/>
  <c r="AT57" i="18"/>
  <c r="N73" i="21"/>
  <c r="N68" i="21"/>
  <c r="K57" i="20"/>
  <c r="K61" i="20"/>
  <c r="S57" i="20"/>
  <c r="S61" i="20"/>
  <c r="E57" i="20"/>
  <c r="E61" i="20"/>
  <c r="T35" i="21"/>
  <c r="AK66" i="18"/>
  <c r="AK44" i="18"/>
  <c r="AK33" i="18"/>
  <c r="AK55" i="18"/>
  <c r="AK23" i="18"/>
  <c r="V46" i="21"/>
  <c r="AX35" i="18"/>
  <c r="AX39" i="18"/>
  <c r="Q57" i="20"/>
  <c r="Q61" i="20"/>
  <c r="I57" i="21"/>
  <c r="H30" i="18"/>
  <c r="I27" i="18"/>
  <c r="AR57" i="18"/>
  <c r="S68" i="21"/>
  <c r="X61" i="18"/>
  <c r="X57" i="18"/>
  <c r="P68" i="18"/>
  <c r="P72" i="18"/>
  <c r="AR68" i="18"/>
  <c r="AA68" i="21"/>
  <c r="AO35" i="19"/>
  <c r="AO39" i="19"/>
  <c r="AU57" i="21"/>
  <c r="L68" i="21"/>
  <c r="AZ22" i="18"/>
  <c r="AO46" i="18"/>
  <c r="I35" i="20"/>
  <c r="I39" i="20"/>
  <c r="X39" i="20"/>
  <c r="X35" i="20"/>
  <c r="D57" i="21"/>
  <c r="AR72" i="21"/>
  <c r="AR68" i="21"/>
  <c r="AM35" i="21"/>
  <c r="AG50" i="20"/>
  <c r="AG46" i="20"/>
  <c r="AR46" i="18"/>
  <c r="AD68" i="21"/>
  <c r="AW57" i="21"/>
  <c r="AH57" i="18"/>
  <c r="G51" i="21"/>
  <c r="G46" i="21"/>
  <c r="AC57" i="21"/>
  <c r="H57" i="21"/>
  <c r="H61" i="21"/>
  <c r="AL68" i="21"/>
  <c r="Q61" i="21"/>
  <c r="Q57" i="21"/>
  <c r="T35" i="19"/>
  <c r="T39" i="19"/>
  <c r="F61" i="18"/>
  <c r="F57" i="18"/>
  <c r="AF57" i="21"/>
  <c r="AP35" i="20"/>
  <c r="AP39" i="20"/>
  <c r="U72" i="18"/>
  <c r="U68" i="18"/>
  <c r="D35" i="18"/>
  <c r="AQ57" i="19"/>
  <c r="AQ61" i="19"/>
  <c r="AE46" i="19"/>
  <c r="AE50" i="19"/>
  <c r="AB72" i="21"/>
  <c r="AB68" i="21"/>
  <c r="R39" i="18"/>
  <c r="R35" i="18"/>
  <c r="U46" i="21"/>
  <c r="AK57" i="21"/>
  <c r="AZ24" i="21"/>
  <c r="M73" i="21"/>
  <c r="M68" i="21"/>
  <c r="AX61" i="18"/>
  <c r="AX57" i="18"/>
  <c r="M72" i="18"/>
  <c r="M68" i="18"/>
  <c r="Z35" i="20"/>
  <c r="Z39" i="20"/>
  <c r="E57" i="19"/>
  <c r="E61" i="19"/>
  <c r="D68" i="18"/>
  <c r="AH61" i="20"/>
  <c r="AH57" i="20"/>
  <c r="L57" i="19"/>
  <c r="L61" i="19"/>
  <c r="K35" i="21"/>
  <c r="AB46" i="18"/>
  <c r="AB50" i="18"/>
  <c r="P61" i="20"/>
  <c r="P57" i="20"/>
  <c r="Q35" i="20"/>
  <c r="Q39" i="20"/>
  <c r="X39" i="18"/>
  <c r="X35" i="18"/>
  <c r="P46" i="18"/>
  <c r="P50" i="18"/>
  <c r="AJ50" i="21"/>
  <c r="AJ46" i="21"/>
  <c r="AO68" i="19"/>
  <c r="AO72" i="19"/>
  <c r="AC46" i="21"/>
  <c r="AT57" i="19"/>
  <c r="AT61" i="19"/>
  <c r="AF68" i="21"/>
  <c r="X68" i="20"/>
  <c r="X72" i="20"/>
  <c r="N68" i="18"/>
  <c r="AR61" i="21"/>
  <c r="AR57" i="21"/>
  <c r="Z57" i="20"/>
  <c r="Z61" i="20"/>
  <c r="K68" i="21"/>
  <c r="D46" i="18"/>
  <c r="Q72" i="21"/>
  <c r="Q68" i="21"/>
  <c r="T46" i="19"/>
  <c r="T50" i="19"/>
  <c r="AS57" i="21"/>
  <c r="AP68" i="20"/>
  <c r="AP72" i="20"/>
  <c r="AQ39" i="19"/>
  <c r="AQ35" i="19"/>
  <c r="AD57" i="19"/>
  <c r="AD61" i="19"/>
  <c r="AB61" i="21"/>
  <c r="AB57" i="21"/>
  <c r="R46" i="18"/>
  <c r="R50" i="18"/>
  <c r="AW46" i="18"/>
  <c r="AL46" i="21"/>
  <c r="AB57" i="19"/>
  <c r="AB61" i="19"/>
  <c r="H68" i="18"/>
  <c r="AD35" i="21"/>
  <c r="H30" i="19" l="1"/>
  <c r="I27" i="19"/>
  <c r="E46" i="18"/>
  <c r="E50" i="18"/>
  <c r="H30" i="20"/>
  <c r="I27" i="20"/>
  <c r="E72" i="18"/>
  <c r="E68" i="18"/>
  <c r="H30" i="21"/>
  <c r="I27" i="21"/>
  <c r="I30" i="18"/>
  <c r="J27" i="18"/>
  <c r="AK57" i="18"/>
  <c r="AK61" i="18"/>
  <c r="E35" i="18"/>
  <c r="E39" i="18"/>
  <c r="AK72" i="18"/>
  <c r="AK68" i="18"/>
  <c r="AZ23" i="18"/>
  <c r="AK35" i="18"/>
  <c r="AK39" i="18"/>
  <c r="AK46" i="18"/>
  <c r="AK50" i="18"/>
  <c r="E61" i="18"/>
  <c r="E57" i="18"/>
  <c r="I30" i="20" l="1"/>
  <c r="J27" i="20"/>
  <c r="I30" i="21"/>
  <c r="J27" i="21"/>
  <c r="I30" i="19"/>
  <c r="J27" i="19"/>
  <c r="K27" i="18"/>
  <c r="J30" i="18"/>
  <c r="L27" i="18" l="1"/>
  <c r="K30" i="18"/>
  <c r="K27" i="21"/>
  <c r="J30" i="21"/>
  <c r="J30" i="20"/>
  <c r="K27" i="20"/>
  <c r="J30" i="19"/>
  <c r="K27" i="19"/>
  <c r="K30" i="19" l="1"/>
  <c r="L27" i="19"/>
  <c r="L27" i="20"/>
  <c r="K30" i="20"/>
  <c r="L27" i="21"/>
  <c r="K30" i="21"/>
  <c r="M27" i="18"/>
  <c r="L30" i="18"/>
  <c r="M27" i="21" l="1"/>
  <c r="L30" i="21"/>
  <c r="M30" i="18"/>
  <c r="N27" i="18"/>
  <c r="L30" i="19"/>
  <c r="M27" i="19"/>
  <c r="M27" i="20"/>
  <c r="L30" i="20"/>
  <c r="N27" i="19" l="1"/>
  <c r="M30" i="19"/>
  <c r="N30" i="18"/>
  <c r="O27" i="18"/>
  <c r="N27" i="20"/>
  <c r="M30" i="20"/>
  <c r="M30" i="21"/>
  <c r="N27" i="21"/>
  <c r="N30" i="20" l="1"/>
  <c r="O27" i="20"/>
  <c r="P27" i="18"/>
  <c r="O30" i="18"/>
  <c r="O27" i="21"/>
  <c r="N30" i="21"/>
  <c r="O27" i="19"/>
  <c r="N30" i="19"/>
  <c r="O30" i="21" l="1"/>
  <c r="P27" i="21"/>
  <c r="O30" i="20"/>
  <c r="P27" i="20"/>
  <c r="P27" i="19"/>
  <c r="O30" i="19"/>
  <c r="P30" i="18"/>
  <c r="Q27" i="18"/>
  <c r="P30" i="19" l="1"/>
  <c r="Q27" i="19"/>
  <c r="Q30" i="18"/>
  <c r="R27" i="18"/>
  <c r="P30" i="20"/>
  <c r="Q27" i="20"/>
  <c r="P30" i="21"/>
  <c r="Q27" i="21"/>
  <c r="Q30" i="21" l="1"/>
  <c r="R27" i="21"/>
  <c r="Q30" i="20"/>
  <c r="R27" i="20"/>
  <c r="S27" i="18"/>
  <c r="R30" i="18"/>
  <c r="Q30" i="19"/>
  <c r="R27" i="19"/>
  <c r="R30" i="19" l="1"/>
  <c r="S27" i="19"/>
  <c r="T27" i="18"/>
  <c r="S30" i="18"/>
  <c r="R30" i="20"/>
  <c r="S27" i="20"/>
  <c r="S27" i="21"/>
  <c r="R30" i="21"/>
  <c r="T27" i="20" l="1"/>
  <c r="S30" i="20"/>
  <c r="U27" i="18"/>
  <c r="T30" i="18"/>
  <c r="S30" i="21"/>
  <c r="T27" i="21"/>
  <c r="S30" i="19"/>
  <c r="T27" i="19"/>
  <c r="U27" i="19" l="1"/>
  <c r="T30" i="19"/>
  <c r="T30" i="21"/>
  <c r="U27" i="21"/>
  <c r="V27" i="18"/>
  <c r="U30" i="18"/>
  <c r="U27" i="20"/>
  <c r="T30" i="20"/>
  <c r="U30" i="21" l="1"/>
  <c r="V27" i="21"/>
  <c r="V27" i="20"/>
  <c r="U30" i="20"/>
  <c r="V30" i="18"/>
  <c r="W27" i="18"/>
  <c r="U30" i="19"/>
  <c r="V27" i="19"/>
  <c r="V30" i="19" l="1"/>
  <c r="W27" i="19"/>
  <c r="X27" i="18"/>
  <c r="W30" i="18"/>
  <c r="W27" i="21"/>
  <c r="V30" i="21"/>
  <c r="V30" i="20"/>
  <c r="W27" i="20"/>
  <c r="W30" i="20" l="1"/>
  <c r="X27" i="20"/>
  <c r="W30" i="19"/>
  <c r="X27" i="19"/>
  <c r="X27" i="21"/>
  <c r="W30" i="21"/>
  <c r="X30" i="18"/>
  <c r="Y27" i="18"/>
  <c r="Z27" i="18" l="1"/>
  <c r="Y30" i="18"/>
  <c r="Y27" i="19"/>
  <c r="X30" i="19"/>
  <c r="Y27" i="21"/>
  <c r="X30" i="21"/>
  <c r="X30" i="20"/>
  <c r="Y27" i="20"/>
  <c r="Y30" i="20" l="1"/>
  <c r="Z27" i="20"/>
  <c r="Y30" i="21"/>
  <c r="Z27" i="21"/>
  <c r="Y30" i="19"/>
  <c r="Z27" i="19"/>
  <c r="Z30" i="18"/>
  <c r="AA27" i="18"/>
  <c r="AB27" i="18" l="1"/>
  <c r="AA30" i="18"/>
  <c r="AA27" i="21"/>
  <c r="Z30" i="21"/>
  <c r="AA27" i="19"/>
  <c r="Z30" i="19"/>
  <c r="Z30" i="20"/>
  <c r="AA27" i="20"/>
  <c r="AB27" i="20" l="1"/>
  <c r="AA30" i="20"/>
  <c r="AB27" i="19"/>
  <c r="AA30" i="19"/>
  <c r="AA30" i="21"/>
  <c r="AB27" i="21"/>
  <c r="AB30" i="18"/>
  <c r="AC27" i="18"/>
  <c r="AD27" i="18" l="1"/>
  <c r="AC30" i="18"/>
  <c r="AB30" i="21"/>
  <c r="AC27" i="21"/>
  <c r="AC27" i="19"/>
  <c r="AB30" i="19"/>
  <c r="AC27" i="20"/>
  <c r="AB30" i="20"/>
  <c r="AD27" i="20" l="1"/>
  <c r="AC30" i="20"/>
  <c r="AC30" i="19"/>
  <c r="AD27" i="19"/>
  <c r="AC30" i="21"/>
  <c r="AD27" i="21"/>
  <c r="AD30" i="18"/>
  <c r="AE27" i="18"/>
  <c r="AF27" i="18" l="1"/>
  <c r="AE30" i="18"/>
  <c r="AE27" i="21"/>
  <c r="AD30" i="21"/>
  <c r="AD30" i="19"/>
  <c r="AE27" i="19"/>
  <c r="AD30" i="20"/>
  <c r="AE27" i="20"/>
  <c r="AE30" i="19" l="1"/>
  <c r="AF27" i="19"/>
  <c r="AE30" i="20"/>
  <c r="AF27" i="20"/>
  <c r="AF27" i="21"/>
  <c r="AE30" i="21"/>
  <c r="AF30" i="18"/>
  <c r="AG27" i="18"/>
  <c r="AG27" i="21" l="1"/>
  <c r="AF30" i="21"/>
  <c r="AF30" i="20"/>
  <c r="AG27" i="20"/>
  <c r="AG27" i="19"/>
  <c r="AF30" i="19"/>
  <c r="AH27" i="18"/>
  <c r="AG30" i="18"/>
  <c r="AI27" i="18" l="1"/>
  <c r="AH30" i="18"/>
  <c r="AG30" i="20"/>
  <c r="AH27" i="20"/>
  <c r="AG30" i="21"/>
  <c r="AH27" i="21"/>
  <c r="AG30" i="19"/>
  <c r="AH27" i="19"/>
  <c r="AI27" i="19" l="1"/>
  <c r="AH30" i="19"/>
  <c r="AI27" i="21"/>
  <c r="AH30" i="21"/>
  <c r="AH30" i="20"/>
  <c r="AI27" i="20"/>
  <c r="AI30" i="18"/>
  <c r="AJ27" i="18"/>
  <c r="AK27" i="18" l="1"/>
  <c r="AJ30" i="18"/>
  <c r="AJ27" i="20"/>
  <c r="AI30" i="20"/>
  <c r="AI30" i="21"/>
  <c r="AJ27" i="21"/>
  <c r="AJ27" i="19"/>
  <c r="AI30" i="19"/>
  <c r="AK27" i="19" l="1"/>
  <c r="AJ30" i="19"/>
  <c r="AL27" i="18"/>
  <c r="AK30" i="18"/>
  <c r="AJ30" i="21"/>
  <c r="AK27" i="21"/>
  <c r="AK27" i="20"/>
  <c r="AJ30" i="20"/>
  <c r="AL27" i="20" l="1"/>
  <c r="AK30" i="20"/>
  <c r="AK30" i="21"/>
  <c r="AL27" i="21"/>
  <c r="AL30" i="18"/>
  <c r="AM27" i="18"/>
  <c r="AK30" i="19"/>
  <c r="AL27" i="19"/>
  <c r="AL30" i="19" l="1"/>
  <c r="AM27" i="19"/>
  <c r="AM27" i="21"/>
  <c r="AL30" i="21"/>
  <c r="AN27" i="18"/>
  <c r="AM30" i="18"/>
  <c r="AM27" i="20"/>
  <c r="AL30" i="20"/>
  <c r="AN30" i="18" l="1"/>
  <c r="AO27" i="18"/>
  <c r="AN27" i="20"/>
  <c r="AM30" i="20"/>
  <c r="AM30" i="21"/>
  <c r="AN27" i="21"/>
  <c r="AM30" i="19"/>
  <c r="AN27" i="19"/>
  <c r="AO27" i="21" l="1"/>
  <c r="AN30" i="21"/>
  <c r="AP27" i="18"/>
  <c r="AO30" i="18"/>
  <c r="AO27" i="19"/>
  <c r="AN30" i="19"/>
  <c r="AN30" i="20"/>
  <c r="AO27" i="20"/>
  <c r="AO30" i="19" l="1"/>
  <c r="AP27" i="19"/>
  <c r="AO30" i="20"/>
  <c r="AP27" i="20"/>
  <c r="AQ27" i="18"/>
  <c r="AP30" i="18"/>
  <c r="AO30" i="21"/>
  <c r="AP27" i="21"/>
  <c r="AQ27" i="21" l="1"/>
  <c r="AP30" i="21"/>
  <c r="AQ27" i="19"/>
  <c r="AP30" i="19"/>
  <c r="AQ30" i="18"/>
  <c r="AR27" i="18"/>
  <c r="AP30" i="20"/>
  <c r="AQ27" i="20"/>
  <c r="AQ30" i="20" l="1"/>
  <c r="AR27" i="20"/>
  <c r="AS27" i="18"/>
  <c r="AR30" i="18"/>
  <c r="AR27" i="19"/>
  <c r="AQ30" i="19"/>
  <c r="AQ30" i="21"/>
  <c r="AR27" i="21"/>
  <c r="AR30" i="21" l="1"/>
  <c r="AS27" i="21"/>
  <c r="AS27" i="19"/>
  <c r="AR30" i="19"/>
  <c r="AT27" i="18"/>
  <c r="AS30" i="18"/>
  <c r="AR30" i="20"/>
  <c r="AS27" i="20"/>
  <c r="AT27" i="20" l="1"/>
  <c r="AS30" i="20"/>
  <c r="AU27" i="18"/>
  <c r="AT30" i="18"/>
  <c r="AS30" i="19"/>
  <c r="AT27" i="19"/>
  <c r="AS30" i="21"/>
  <c r="AT27" i="21"/>
  <c r="AU27" i="21" l="1"/>
  <c r="AT30" i="21"/>
  <c r="AT30" i="19"/>
  <c r="AU27" i="19"/>
  <c r="AV27" i="18"/>
  <c r="AU30" i="18"/>
  <c r="AU27" i="20"/>
  <c r="AT30" i="20"/>
  <c r="AV27" i="20" l="1"/>
  <c r="AU30" i="20"/>
  <c r="AU30" i="19"/>
  <c r="AV27" i="19"/>
  <c r="AV30" i="18"/>
  <c r="AW27" i="18"/>
  <c r="AU30" i="21"/>
  <c r="AV27" i="21"/>
  <c r="AW27" i="21" l="1"/>
  <c r="AV30" i="21"/>
  <c r="AW30" i="18"/>
  <c r="AX27" i="18"/>
  <c r="AW27" i="19"/>
  <c r="AV30" i="19"/>
  <c r="AV30" i="20"/>
  <c r="AW27" i="20"/>
  <c r="AW30" i="20" l="1"/>
  <c r="AX27" i="20"/>
  <c r="AW30" i="19"/>
  <c r="AX27" i="19"/>
  <c r="AY27" i="18"/>
  <c r="AY30" i="18" s="1"/>
  <c r="AZ30" i="18" s="1"/>
  <c r="AX30" i="18"/>
  <c r="AW30" i="21"/>
  <c r="AX27" i="21"/>
  <c r="AY27" i="21" l="1"/>
  <c r="AY30" i="21" s="1"/>
  <c r="AX30" i="21"/>
  <c r="AY27" i="19"/>
  <c r="AY30" i="19" s="1"/>
  <c r="AZ30" i="19" s="1"/>
  <c r="AX30" i="19"/>
  <c r="AX30" i="20"/>
  <c r="AY27" i="20"/>
  <c r="AY30" i="20" s="1"/>
  <c r="AZ30" i="20" s="1"/>
  <c r="AZ30" i="21" l="1"/>
  <c r="C30" i="7" l="1"/>
  <c r="C29" i="7"/>
  <c r="C28" i="7"/>
  <c r="C27" i="7"/>
  <c r="C31" i="7" s="1"/>
  <c r="I19" i="7"/>
  <c r="J19" i="7" s="1"/>
  <c r="G19" i="7"/>
  <c r="H19" i="7" s="1"/>
  <c r="E19" i="7"/>
  <c r="F19" i="7" s="1"/>
  <c r="C19" i="7"/>
  <c r="D19" i="7" s="1"/>
  <c r="G8" i="7"/>
  <c r="C8" i="7"/>
  <c r="I7" i="7"/>
  <c r="E7" i="7"/>
  <c r="J6" i="7"/>
  <c r="H6" i="7"/>
  <c r="F6" i="7"/>
  <c r="D6" i="7"/>
  <c r="K6" i="7" s="1"/>
  <c r="K31" i="7"/>
  <c r="J31" i="7"/>
  <c r="I31" i="7"/>
  <c r="H31" i="7"/>
  <c r="G31" i="7"/>
  <c r="F31" i="7"/>
  <c r="E31" i="7"/>
  <c r="D31" i="7"/>
  <c r="K11" i="7"/>
  <c r="K10" i="7"/>
  <c r="K9" i="7"/>
  <c r="K8" i="7"/>
  <c r="K7" i="7"/>
  <c r="G12" i="5"/>
  <c r="G9" i="5"/>
  <c r="D16" i="5"/>
  <c r="P36" i="6"/>
  <c r="P30" i="6"/>
  <c r="G21" i="5"/>
  <c r="G6" i="5"/>
  <c r="H6" i="5" s="1"/>
  <c r="G7" i="5"/>
  <c r="H7" i="5"/>
  <c r="G8" i="5"/>
  <c r="G16" i="5" s="1"/>
  <c r="H8" i="5"/>
  <c r="H9" i="5"/>
  <c r="G10" i="5"/>
  <c r="H10" i="5" s="1"/>
  <c r="G11" i="5"/>
  <c r="H11" i="5" s="1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 s="1"/>
  <c r="G37" i="5"/>
  <c r="G107" i="5" s="1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</calcChain>
</file>

<file path=xl/sharedStrings.xml><?xml version="1.0" encoding="utf-8"?>
<sst xmlns="http://schemas.openxmlformats.org/spreadsheetml/2006/main" count="3157" uniqueCount="414">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</sst>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3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8" t="s">
        <v>165</v>
      </c>
      <c r="E4" s="99"/>
      <c r="F4" s="100"/>
    </row>
    <row r="5" spans="2:6" x14ac:dyDescent="0.2">
      <c r="B5" s="6"/>
      <c r="C5" s="7" t="s">
        <v>111</v>
      </c>
      <c r="D5" s="101">
        <v>2017</v>
      </c>
      <c r="E5" s="102"/>
      <c r="F5" s="103"/>
    </row>
    <row r="6" spans="2:6" x14ac:dyDescent="0.2">
      <c r="B6" s="3"/>
      <c r="C6" s="3"/>
      <c r="D6" s="3"/>
      <c r="E6" s="3"/>
      <c r="F6" s="3"/>
    </row>
    <row r="8" spans="2:6" x14ac:dyDescent="0.2">
      <c r="B8">
        <v>4</v>
      </c>
      <c r="C8" t="s">
        <v>337</v>
      </c>
      <c r="D8">
        <v>4</v>
      </c>
      <c r="E8" t="s">
        <v>338</v>
      </c>
    </row>
    <row r="10" spans="2:6" x14ac:dyDescent="0.2">
      <c r="C10" t="s">
        <v>7</v>
      </c>
      <c r="E10" t="s">
        <v>34</v>
      </c>
    </row>
    <row r="11" spans="2:6" x14ac:dyDescent="0.2">
      <c r="C11" t="s">
        <v>8</v>
      </c>
      <c r="E11" t="s">
        <v>49</v>
      </c>
    </row>
    <row r="12" spans="2:6" x14ac:dyDescent="0.2">
      <c r="C12" t="s">
        <v>10</v>
      </c>
      <c r="E12" t="s">
        <v>57</v>
      </c>
    </row>
    <row r="13" spans="2:6" x14ac:dyDescent="0.2">
      <c r="C13" t="s">
        <v>14</v>
      </c>
      <c r="E13" t="s">
        <v>70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9" workbookViewId="0"/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2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1000</v>
      </c>
      <c r="E51" s="15" t="s">
        <v>166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3000</v>
      </c>
      <c r="E66" s="15" t="s">
        <v>166</v>
      </c>
      <c r="F66" s="15" t="s">
        <v>6</v>
      </c>
      <c r="G66" s="15">
        <f t="shared" si="3"/>
        <v>3000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750</v>
      </c>
      <c r="E74" s="15" t="s">
        <v>166</v>
      </c>
      <c r="F74" s="15" t="s">
        <v>6</v>
      </c>
      <c r="G74" s="15">
        <f t="shared" si="5"/>
        <v>750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1400</v>
      </c>
      <c r="E87" s="15" t="s">
        <v>166</v>
      </c>
      <c r="F87" s="15" t="s">
        <v>6</v>
      </c>
      <c r="G87" s="15">
        <f t="shared" si="5"/>
        <v>1400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1976</v>
      </c>
      <c r="D6" s="86">
        <v>1976</v>
      </c>
      <c r="E6" s="86">
        <v>1976</v>
      </c>
      <c r="F6" s="86">
        <v>1976</v>
      </c>
      <c r="G6" s="86">
        <v>1976</v>
      </c>
      <c r="H6" s="86">
        <v>1976</v>
      </c>
      <c r="I6" s="86">
        <v>1976</v>
      </c>
      <c r="J6" s="86">
        <v>1976</v>
      </c>
      <c r="K6" s="86">
        <v>1976</v>
      </c>
      <c r="L6" s="86">
        <v>1976</v>
      </c>
      <c r="M6" s="86">
        <v>1976</v>
      </c>
      <c r="N6" s="86">
        <v>1976</v>
      </c>
    </row>
    <row r="7" spans="2:14" x14ac:dyDescent="0.2">
      <c r="B7" s="36" t="s">
        <v>105</v>
      </c>
      <c r="C7" s="87">
        <v>314</v>
      </c>
      <c r="D7" s="87">
        <v>314</v>
      </c>
      <c r="E7" s="87">
        <v>314</v>
      </c>
      <c r="F7" s="87">
        <v>314</v>
      </c>
      <c r="G7" s="87">
        <v>314</v>
      </c>
      <c r="H7" s="87">
        <v>314</v>
      </c>
      <c r="I7" s="87">
        <v>314</v>
      </c>
      <c r="J7" s="87">
        <v>314</v>
      </c>
      <c r="K7" s="87">
        <v>314</v>
      </c>
      <c r="L7" s="87">
        <v>314</v>
      </c>
      <c r="M7" s="87">
        <v>314</v>
      </c>
      <c r="N7" s="87">
        <v>314</v>
      </c>
    </row>
    <row r="8" spans="2:14" x14ac:dyDescent="0.2">
      <c r="B8" s="36" t="s">
        <v>106</v>
      </c>
      <c r="C8" s="87">
        <v>389</v>
      </c>
      <c r="D8" s="87">
        <v>389</v>
      </c>
      <c r="E8" s="87">
        <v>389</v>
      </c>
      <c r="F8" s="87">
        <v>389</v>
      </c>
      <c r="G8" s="87">
        <v>389</v>
      </c>
      <c r="H8" s="87">
        <v>389</v>
      </c>
      <c r="I8" s="87">
        <v>389</v>
      </c>
      <c r="J8" s="87">
        <v>389</v>
      </c>
      <c r="K8" s="87">
        <v>389</v>
      </c>
      <c r="L8" s="87">
        <v>389</v>
      </c>
      <c r="M8" s="87">
        <v>389</v>
      </c>
      <c r="N8" s="87">
        <v>389</v>
      </c>
    </row>
    <row r="9" spans="2:14" x14ac:dyDescent="0.2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 x14ac:dyDescent="0.2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2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</v>
      </c>
      <c r="G17" s="89">
        <v>0.9</v>
      </c>
      <c r="H17" s="89">
        <v>1000000</v>
      </c>
      <c r="I17" s="29" t="s">
        <v>110</v>
      </c>
    </row>
    <row r="18" spans="2:33" x14ac:dyDescent="0.2">
      <c r="B18" s="36" t="s">
        <v>105</v>
      </c>
      <c r="C18" s="90">
        <v>1.1000000000000001</v>
      </c>
      <c r="D18" s="90">
        <v>0.65</v>
      </c>
      <c r="E18" s="90">
        <v>1</v>
      </c>
      <c r="F18" s="90">
        <v>0.8</v>
      </c>
      <c r="G18" s="90">
        <v>0.9</v>
      </c>
      <c r="H18" s="90">
        <v>1000000</v>
      </c>
      <c r="I18" s="29" t="s">
        <v>110</v>
      </c>
    </row>
    <row r="19" spans="2:33" x14ac:dyDescent="0.2">
      <c r="B19" s="36" t="s">
        <v>106</v>
      </c>
      <c r="C19" s="90">
        <v>1.1000000000000001</v>
      </c>
      <c r="D19" s="90">
        <v>0.72</v>
      </c>
      <c r="E19" s="90">
        <v>1</v>
      </c>
      <c r="F19" s="90">
        <v>0.82</v>
      </c>
      <c r="G19" s="90">
        <v>0.9</v>
      </c>
      <c r="H19" s="90">
        <v>1000000</v>
      </c>
      <c r="I19" s="29" t="s">
        <v>110</v>
      </c>
    </row>
    <row r="20" spans="2:33" x14ac:dyDescent="0.2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2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2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0.71662753591933626</v>
      </c>
      <c r="E30" s="35">
        <v>0</v>
      </c>
      <c r="F30" s="47">
        <v>0.7118064307683698</v>
      </c>
      <c r="G30" s="46">
        <v>0</v>
      </c>
      <c r="H30" s="47">
        <v>0.65742258166301204</v>
      </c>
      <c r="I30" s="46">
        <v>0</v>
      </c>
      <c r="J30" s="47">
        <v>0.8608485705892801</v>
      </c>
      <c r="K30" s="46">
        <v>0</v>
      </c>
      <c r="L30" s="47">
        <v>0.91910454752448723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0.68616087553988669</v>
      </c>
      <c r="G31" s="79">
        <v>0</v>
      </c>
      <c r="H31" s="61">
        <v>0.64171751702829749</v>
      </c>
      <c r="I31" s="62">
        <v>0</v>
      </c>
      <c r="J31" s="61">
        <v>0.8295043288750632</v>
      </c>
      <c r="K31" s="62">
        <v>0</v>
      </c>
      <c r="L31" s="61">
        <v>0.85195298768145433</v>
      </c>
      <c r="M31" s="62"/>
      <c r="N31" s="63">
        <v>0.87181858933515421</v>
      </c>
      <c r="O31" s="88"/>
      <c r="P31" s="63">
        <f>O31+M31+K31+I31+G31</f>
        <v>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0.65376248745918275</v>
      </c>
      <c r="I32" s="79">
        <v>0</v>
      </c>
      <c r="J32" s="61">
        <v>0.84540928358710421</v>
      </c>
      <c r="K32" s="62">
        <v>0</v>
      </c>
      <c r="L32" s="61">
        <v>0.79341974686465555</v>
      </c>
      <c r="M32" s="62"/>
      <c r="N32" s="63">
        <v>0.87729954875381289</v>
      </c>
      <c r="O32" s="88"/>
      <c r="P32" s="63">
        <f>O32+M32+K32+I32</f>
        <v>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0.76962524616122252</v>
      </c>
      <c r="K33" s="79">
        <v>0</v>
      </c>
      <c r="L33" s="61">
        <v>0.75112057603575599</v>
      </c>
      <c r="M33" s="62"/>
      <c r="N33" s="63">
        <v>0.80188642998529402</v>
      </c>
      <c r="O33" s="88"/>
      <c r="P33" s="63">
        <f>O33+M33+K33</f>
        <v>0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0.73914561780691146</v>
      </c>
      <c r="M34" s="79"/>
      <c r="N34" s="63">
        <v>0.73716643524096881</v>
      </c>
      <c r="O34" s="88"/>
      <c r="P34" s="63">
        <f>O34+M34</f>
        <v>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0.67792213259339329</v>
      </c>
      <c r="O35" s="88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1.0587453955633634</v>
      </c>
      <c r="E36" s="35">
        <v>0</v>
      </c>
      <c r="F36" s="73">
        <v>1.0938135695671274</v>
      </c>
      <c r="G36" s="74">
        <v>0</v>
      </c>
      <c r="H36" s="73">
        <v>1.1014713588815135</v>
      </c>
      <c r="I36" s="74">
        <v>0</v>
      </c>
      <c r="J36" s="73">
        <v>1.042842908637313</v>
      </c>
      <c r="K36" s="74">
        <v>136000</v>
      </c>
      <c r="L36" s="66">
        <v>1.1390647533197611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1.0288140534879155</v>
      </c>
      <c r="G37" s="79">
        <v>0</v>
      </c>
      <c r="H37" s="61">
        <v>1.0108999284690923</v>
      </c>
      <c r="I37" s="62">
        <v>0</v>
      </c>
      <c r="J37" s="61">
        <v>1.0032828986441651</v>
      </c>
      <c r="K37" s="62">
        <v>136000</v>
      </c>
      <c r="L37" s="61">
        <v>1.0357981248188022</v>
      </c>
      <c r="M37" s="62"/>
      <c r="N37" s="61">
        <v>0.97406708065219405</v>
      </c>
      <c r="O37" s="88"/>
      <c r="P37" s="63">
        <f>O37+M37+K37+I37+G37</f>
        <v>136000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0.98955166281759732</v>
      </c>
      <c r="I38" s="79">
        <v>0</v>
      </c>
      <c r="J38" s="61">
        <v>0.95103433990902408</v>
      </c>
      <c r="K38" s="62">
        <v>136000</v>
      </c>
      <c r="L38" s="61">
        <v>0.9919351074281193</v>
      </c>
      <c r="M38" s="62"/>
      <c r="N38" s="61">
        <v>0.94692158975803442</v>
      </c>
      <c r="O38" s="88"/>
      <c r="P38" s="63">
        <f>O38+M38+K38+I38</f>
        <v>136000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0.9180320969671012</v>
      </c>
      <c r="K39" s="79">
        <v>136000</v>
      </c>
      <c r="L39" s="61">
        <v>0.95493263137485418</v>
      </c>
      <c r="M39" s="62"/>
      <c r="N39" s="61">
        <v>0.93709078332824058</v>
      </c>
      <c r="O39" s="88"/>
      <c r="P39" s="63">
        <f>O39+M39+K39</f>
        <v>136000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0.9100411573201419</v>
      </c>
      <c r="M40" s="79">
        <v>89461</v>
      </c>
      <c r="N40" s="61">
        <v>0.92721692835977987</v>
      </c>
      <c r="O40" s="88"/>
      <c r="P40" s="63">
        <f>O40+M40</f>
        <v>89461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0.89172850017249583</v>
      </c>
      <c r="O41" s="88">
        <v>89461</v>
      </c>
      <c r="P41" s="64">
        <f>O41</f>
        <v>89461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v>8.1999999999999993</v>
      </c>
      <c r="D47" s="91">
        <v>8.1999999999999993</v>
      </c>
      <c r="E47" s="91">
        <v>8.1999999999999993</v>
      </c>
      <c r="F47" s="91">
        <v>8.1999999999999993</v>
      </c>
      <c r="G47" s="91">
        <v>8.1999999999999993</v>
      </c>
      <c r="H47" s="91">
        <v>8.1999999999999993</v>
      </c>
      <c r="I47" s="91">
        <v>8.1999999999999993</v>
      </c>
      <c r="J47" s="91">
        <v>8.1999999999999993</v>
      </c>
      <c r="K47" s="91">
        <v>8.1999999999999993</v>
      </c>
      <c r="L47" s="91">
        <v>9</v>
      </c>
      <c r="M47" s="91">
        <v>9</v>
      </c>
      <c r="N47" s="91">
        <v>8.1999999999999993</v>
      </c>
      <c r="O47" s="33">
        <f>SUM(C47:N47)</f>
        <v>100.00000000000001</v>
      </c>
    </row>
    <row r="48" spans="2:17" x14ac:dyDescent="0.2">
      <c r="B48" s="37" t="s">
        <v>113</v>
      </c>
      <c r="C48" s="91">
        <v>8.1999999999999993</v>
      </c>
      <c r="D48" s="91">
        <v>8.1999999999999993</v>
      </c>
      <c r="E48" s="91">
        <v>8.1999999999999993</v>
      </c>
      <c r="F48" s="91">
        <v>8.1999999999999993</v>
      </c>
      <c r="G48" s="91">
        <v>8.1999999999999993</v>
      </c>
      <c r="H48" s="91">
        <v>8.1999999999999993</v>
      </c>
      <c r="I48" s="91">
        <v>8.1999999999999993</v>
      </c>
      <c r="J48" s="91">
        <v>8.1999999999999993</v>
      </c>
      <c r="K48" s="91">
        <v>8.1999999999999993</v>
      </c>
      <c r="L48" s="91">
        <v>9</v>
      </c>
      <c r="M48" s="91">
        <v>9</v>
      </c>
      <c r="N48" s="91">
        <v>8.1999999999999993</v>
      </c>
      <c r="O48" s="33">
        <f>SUM(C48:N48)</f>
        <v>100.00000000000001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7"/>
  <sheetViews>
    <sheetView showGridLines="0" topLeftCell="A12" workbookViewId="0">
      <selection activeCell="B36" sqref="B36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20" x14ac:dyDescent="0.2">
      <c r="B2" s="28" t="s">
        <v>114</v>
      </c>
    </row>
    <row r="3" spans="2:20" x14ac:dyDescent="0.2">
      <c r="B3" s="30" t="s">
        <v>144</v>
      </c>
    </row>
    <row r="4" spans="2:20" x14ac:dyDescent="0.2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2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2">
      <c r="B6" s="45" t="s">
        <v>163</v>
      </c>
      <c r="C6" s="92"/>
      <c r="D6" s="92">
        <f>639/1979 * 100</f>
        <v>32.289034866093985</v>
      </c>
      <c r="E6" s="92"/>
      <c r="F6" s="92">
        <f>181/1979 * 100</f>
        <v>9.1460333501768574</v>
      </c>
      <c r="G6" s="92"/>
      <c r="H6" s="92">
        <f>100*858/1979</f>
        <v>43.355229914098032</v>
      </c>
      <c r="I6" s="92"/>
      <c r="J6" s="92">
        <f>100*301/1979</f>
        <v>15.209701869631127</v>
      </c>
      <c r="K6" s="96">
        <f>SUM($C$6:$J$6)</f>
        <v>100.00000000000001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2">
      <c r="B7" s="45" t="s">
        <v>105</v>
      </c>
      <c r="C7" s="92"/>
      <c r="D7" s="92"/>
      <c r="E7" s="92">
        <f>100*183/316</f>
        <v>57.911392405063289</v>
      </c>
      <c r="F7" s="92"/>
      <c r="G7" s="92"/>
      <c r="H7" s="92"/>
      <c r="I7" s="92">
        <f>100*133/316</f>
        <v>42.088607594936711</v>
      </c>
      <c r="J7" s="92"/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2">
      <c r="B8" s="45" t="s">
        <v>106</v>
      </c>
      <c r="C8" s="92">
        <f>100*193/389</f>
        <v>49.614395886889461</v>
      </c>
      <c r="D8" s="92"/>
      <c r="E8" s="92"/>
      <c r="F8" s="92"/>
      <c r="G8" s="92">
        <f>100*196/389</f>
        <v>50.385604113110539</v>
      </c>
      <c r="H8" s="92"/>
      <c r="I8" s="92"/>
      <c r="J8" s="92"/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2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/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2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/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2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3"/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2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2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2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2">
      <c r="B19" s="45" t="s">
        <v>120</v>
      </c>
      <c r="C19" s="93">
        <f>100*(146/(146+47))</f>
        <v>75.647668393782382</v>
      </c>
      <c r="D19" s="44">
        <f>100-$C$19</f>
        <v>24.352331606217618</v>
      </c>
      <c r="E19" s="93">
        <f>100*((91+217+77)/(91+217+77+67+133+54))</f>
        <v>60.250391236306733</v>
      </c>
      <c r="F19" s="44">
        <f>100-$E$19</f>
        <v>39.749608763693267</v>
      </c>
      <c r="G19" s="93">
        <f>100*((34+70)/(34+70+22+57))</f>
        <v>56.830601092896174</v>
      </c>
      <c r="H19" s="44">
        <f>100-$G$19</f>
        <v>43.169398907103826</v>
      </c>
      <c r="I19" s="93">
        <f>100*(109/(109+73))</f>
        <v>59.890109890109891</v>
      </c>
      <c r="J19" s="33">
        <f>100-$I$19</f>
        <v>40.109890109890109</v>
      </c>
      <c r="Q19" s="50"/>
      <c r="R19" s="50"/>
      <c r="S19" s="50"/>
    </row>
    <row r="20" spans="2:20" x14ac:dyDescent="0.2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2">
      <c r="I21" s="50"/>
      <c r="J21" s="50"/>
      <c r="K21" s="50"/>
    </row>
    <row r="22" spans="2:20" x14ac:dyDescent="0.2">
      <c r="B22" s="52" t="s">
        <v>114</v>
      </c>
      <c r="I22" s="50"/>
      <c r="J22" s="50"/>
      <c r="K22" s="50"/>
    </row>
    <row r="23" spans="2:20" x14ac:dyDescent="0.2">
      <c r="B23" s="55" t="s">
        <v>145</v>
      </c>
      <c r="I23" s="50"/>
      <c r="J23" s="50"/>
      <c r="K23" s="50"/>
    </row>
    <row r="24" spans="2:20" x14ac:dyDescent="0.2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2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2">
      <c r="B27" s="45" t="s">
        <v>34</v>
      </c>
      <c r="C27" s="92">
        <f>100*479/2841</f>
        <v>16.860260471664908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2">
      <c r="B28" s="45" t="s">
        <v>49</v>
      </c>
      <c r="C28" s="92">
        <f>100*(476+400+440)/2841</f>
        <v>46.321717705033436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2">
      <c r="B29" s="45" t="s">
        <v>57</v>
      </c>
      <c r="C29" s="92">
        <f>100*(100+194)/2841</f>
        <v>10.348468848996832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2">
      <c r="B30" s="45" t="s">
        <v>70</v>
      </c>
      <c r="C30" s="92">
        <f>100*(752/2841)</f>
        <v>26.469552974304822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2">
      <c r="B31" s="45" t="s">
        <v>150</v>
      </c>
      <c r="C31" s="97">
        <f>SUM($C$27:$C$30)</f>
        <v>100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2">
      <c r="I33" s="50"/>
      <c r="J33" s="50"/>
      <c r="K33" s="50"/>
    </row>
    <row r="34" spans="2:14" x14ac:dyDescent="0.2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2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2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2">
      <c r="B38" s="45" t="s">
        <v>34</v>
      </c>
      <c r="C38" s="92">
        <v>10</v>
      </c>
      <c r="D38" s="92">
        <v>10</v>
      </c>
      <c r="E38" s="92">
        <v>10</v>
      </c>
      <c r="F38" s="92">
        <v>10</v>
      </c>
      <c r="G38" s="92">
        <v>10</v>
      </c>
      <c r="H38" s="92">
        <v>10</v>
      </c>
      <c r="I38" s="92">
        <v>10</v>
      </c>
      <c r="J38" s="92">
        <v>10</v>
      </c>
      <c r="K38" s="92">
        <v>10</v>
      </c>
      <c r="L38" s="92">
        <v>10</v>
      </c>
      <c r="M38" s="92">
        <v>10</v>
      </c>
      <c r="N38" s="92">
        <v>10</v>
      </c>
    </row>
    <row r="39" spans="2:14" x14ac:dyDescent="0.2">
      <c r="B39" s="45" t="s">
        <v>49</v>
      </c>
      <c r="C39" s="92">
        <v>18</v>
      </c>
      <c r="D39" s="92">
        <v>18</v>
      </c>
      <c r="E39" s="92">
        <v>18</v>
      </c>
      <c r="F39" s="92">
        <v>18</v>
      </c>
      <c r="G39" s="92">
        <v>18</v>
      </c>
      <c r="H39" s="92">
        <v>18</v>
      </c>
      <c r="I39" s="92">
        <v>18</v>
      </c>
      <c r="J39" s="92">
        <v>18</v>
      </c>
      <c r="K39" s="92">
        <v>18</v>
      </c>
      <c r="L39" s="92">
        <v>18</v>
      </c>
      <c r="M39" s="92">
        <v>18</v>
      </c>
      <c r="N39" s="92">
        <v>18</v>
      </c>
    </row>
    <row r="40" spans="2:14" x14ac:dyDescent="0.2">
      <c r="B40" s="45" t="s">
        <v>57</v>
      </c>
      <c r="C40" s="92">
        <v>23</v>
      </c>
      <c r="D40" s="92">
        <v>23</v>
      </c>
      <c r="E40" s="92">
        <v>23</v>
      </c>
      <c r="F40" s="92">
        <v>23</v>
      </c>
      <c r="G40" s="92">
        <v>23</v>
      </c>
      <c r="H40" s="92">
        <v>23</v>
      </c>
      <c r="I40" s="92">
        <v>23</v>
      </c>
      <c r="J40" s="92">
        <v>23</v>
      </c>
      <c r="K40" s="92">
        <v>23</v>
      </c>
      <c r="L40" s="92">
        <v>23</v>
      </c>
      <c r="M40" s="92">
        <v>23</v>
      </c>
      <c r="N40" s="92">
        <v>23</v>
      </c>
    </row>
    <row r="41" spans="2:14" x14ac:dyDescent="0.2">
      <c r="B41" s="45" t="s">
        <v>70</v>
      </c>
      <c r="C41" s="93">
        <v>10</v>
      </c>
      <c r="D41" s="93">
        <v>10</v>
      </c>
      <c r="E41" s="93">
        <v>10</v>
      </c>
      <c r="F41" s="93">
        <v>10</v>
      </c>
      <c r="G41" s="93">
        <v>10</v>
      </c>
      <c r="H41" s="93">
        <v>10</v>
      </c>
      <c r="I41" s="93">
        <v>10</v>
      </c>
      <c r="J41" s="93">
        <v>10</v>
      </c>
      <c r="K41" s="93">
        <v>10</v>
      </c>
      <c r="L41" s="93">
        <v>10</v>
      </c>
      <c r="M41" s="93">
        <v>10</v>
      </c>
      <c r="N41" s="93">
        <v>10</v>
      </c>
    </row>
    <row r="42" spans="2:14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2">
      <c r="I43" s="50"/>
      <c r="J43" s="50"/>
      <c r="K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2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2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2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2">
      <c r="I65" s="50"/>
      <c r="J65" s="50"/>
    </row>
    <row r="66" spans="9:10" x14ac:dyDescent="0.2">
      <c r="I66" s="50"/>
      <c r="J66" s="50"/>
    </row>
    <row r="67" spans="9:10" x14ac:dyDescent="0.2">
      <c r="I67" s="50"/>
      <c r="J67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R37" sqref="R37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2.0499999999999998</v>
      </c>
      <c r="E6" s="88">
        <v>2.0499999999999998</v>
      </c>
      <c r="F6" s="88">
        <v>2.0499999999999998</v>
      </c>
      <c r="G6" s="88">
        <v>2.0499999999999998</v>
      </c>
      <c r="H6" s="88">
        <v>2.0499999999999998</v>
      </c>
      <c r="I6" s="88">
        <v>2.0499999999999998</v>
      </c>
      <c r="J6" s="88">
        <v>2.0499999999999998</v>
      </c>
      <c r="K6" s="88">
        <v>2.0499999999999998</v>
      </c>
      <c r="L6" s="88">
        <v>2.0499999999999998</v>
      </c>
      <c r="M6" s="88">
        <v>2.0499999999999998</v>
      </c>
      <c r="N6" s="88">
        <v>2.0499999999999998</v>
      </c>
      <c r="O6" s="88">
        <v>2.0499999999999998</v>
      </c>
    </row>
    <row r="7" spans="2:15" x14ac:dyDescent="0.2">
      <c r="C7" s="36" t="s">
        <v>127</v>
      </c>
      <c r="D7" s="88">
        <v>1.95</v>
      </c>
      <c r="E7" s="88">
        <v>1.95</v>
      </c>
      <c r="F7" s="88">
        <v>1.95</v>
      </c>
      <c r="G7" s="88">
        <v>1.95</v>
      </c>
      <c r="H7" s="88">
        <v>1.95</v>
      </c>
      <c r="I7" s="88">
        <v>1.95</v>
      </c>
      <c r="J7" s="88">
        <v>1.95</v>
      </c>
      <c r="K7" s="88">
        <v>1.95</v>
      </c>
      <c r="L7" s="88">
        <v>1.95</v>
      </c>
      <c r="M7" s="88">
        <v>1.95</v>
      </c>
      <c r="N7" s="88">
        <v>1.95</v>
      </c>
      <c r="O7" s="88">
        <v>1.95</v>
      </c>
    </row>
    <row r="8" spans="2:15" x14ac:dyDescent="0.2">
      <c r="C8" s="36" t="s">
        <v>128</v>
      </c>
      <c r="D8" s="88">
        <v>1.85</v>
      </c>
      <c r="E8" s="88">
        <v>1.85</v>
      </c>
      <c r="F8" s="88">
        <v>1.85</v>
      </c>
      <c r="G8" s="88">
        <v>1.85</v>
      </c>
      <c r="H8" s="88">
        <v>1.85</v>
      </c>
      <c r="I8" s="88">
        <v>1.85</v>
      </c>
      <c r="J8" s="88">
        <v>1.85</v>
      </c>
      <c r="K8" s="88">
        <v>1.85</v>
      </c>
      <c r="L8" s="88">
        <v>1.85</v>
      </c>
      <c r="M8" s="88">
        <v>1.85</v>
      </c>
      <c r="N8" s="88">
        <v>1.85</v>
      </c>
      <c r="O8" s="88">
        <v>1.85</v>
      </c>
    </row>
    <row r="9" spans="2:15" x14ac:dyDescent="0.2">
      <c r="C9" s="36" t="s">
        <v>129</v>
      </c>
      <c r="D9" s="88">
        <v>2.12</v>
      </c>
      <c r="E9" s="88">
        <v>2.12</v>
      </c>
      <c r="F9" s="88">
        <v>2.12</v>
      </c>
      <c r="G9" s="88">
        <v>2.12</v>
      </c>
      <c r="H9" s="88">
        <v>2.12</v>
      </c>
      <c r="I9" s="88">
        <v>2.12</v>
      </c>
      <c r="J9" s="88">
        <v>2.12</v>
      </c>
      <c r="K9" s="88">
        <v>2.12</v>
      </c>
      <c r="L9" s="88">
        <v>2.12</v>
      </c>
      <c r="M9" s="88">
        <v>2.12</v>
      </c>
      <c r="N9" s="88">
        <v>2.12</v>
      </c>
      <c r="O9" s="88">
        <v>2.12</v>
      </c>
    </row>
    <row r="10" spans="2:15" x14ac:dyDescent="0.2">
      <c r="C10" s="36" t="s">
        <v>130</v>
      </c>
      <c r="D10" s="88">
        <v>2.2999999999999998</v>
      </c>
      <c r="E10" s="88">
        <v>2.2999999999999998</v>
      </c>
      <c r="F10" s="88">
        <v>2.2999999999999998</v>
      </c>
      <c r="G10" s="88">
        <v>2.2999999999999998</v>
      </c>
      <c r="H10" s="88">
        <v>2.2999999999999998</v>
      </c>
      <c r="I10" s="88">
        <v>2.2999999999999998</v>
      </c>
      <c r="J10" s="88">
        <v>2.2999999999999998</v>
      </c>
      <c r="K10" s="88">
        <v>2.2999999999999998</v>
      </c>
      <c r="L10" s="88">
        <v>2.2999999999999998</v>
      </c>
      <c r="M10" s="88">
        <v>2.2999999999999998</v>
      </c>
      <c r="N10" s="88">
        <v>2.2999999999999998</v>
      </c>
      <c r="O10" s="88">
        <v>2.2999999999999998</v>
      </c>
    </row>
    <row r="11" spans="2:15" x14ac:dyDescent="0.2">
      <c r="C11" s="36" t="s">
        <v>131</v>
      </c>
      <c r="D11" s="88">
        <v>2.63</v>
      </c>
      <c r="E11" s="88">
        <v>2.63</v>
      </c>
      <c r="F11" s="88">
        <v>2.63</v>
      </c>
      <c r="G11" s="88">
        <v>2.63</v>
      </c>
      <c r="H11" s="88">
        <v>2.63</v>
      </c>
      <c r="I11" s="88">
        <v>2.63</v>
      </c>
      <c r="J11" s="88">
        <v>2.63</v>
      </c>
      <c r="K11" s="88">
        <v>2.63</v>
      </c>
      <c r="L11" s="88">
        <v>2.63</v>
      </c>
      <c r="M11" s="88">
        <v>2.63</v>
      </c>
      <c r="N11" s="88">
        <v>2.63</v>
      </c>
      <c r="O11" s="88">
        <v>2.63</v>
      </c>
    </row>
    <row r="12" spans="2:15" x14ac:dyDescent="0.2">
      <c r="C12" s="37" t="s">
        <v>132</v>
      </c>
      <c r="D12" s="88">
        <v>3.15</v>
      </c>
      <c r="E12" s="88">
        <v>3.15</v>
      </c>
      <c r="F12" s="88">
        <v>3.15</v>
      </c>
      <c r="G12" s="88">
        <v>3.15</v>
      </c>
      <c r="H12" s="88">
        <v>3.15</v>
      </c>
      <c r="I12" s="88">
        <v>3.15</v>
      </c>
      <c r="J12" s="88">
        <v>3.15</v>
      </c>
      <c r="K12" s="88">
        <v>3.15</v>
      </c>
      <c r="L12" s="88">
        <v>3.15</v>
      </c>
      <c r="M12" s="88">
        <v>3.15</v>
      </c>
      <c r="N12" s="88">
        <v>3.15</v>
      </c>
      <c r="O12" s="88">
        <v>3.15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2.5</v>
      </c>
      <c r="E15" s="88">
        <v>2.5</v>
      </c>
      <c r="F15" s="88">
        <v>2.5</v>
      </c>
      <c r="G15" s="88">
        <v>2.5</v>
      </c>
      <c r="H15" s="88">
        <v>2.5</v>
      </c>
      <c r="I15" s="88">
        <v>2.5</v>
      </c>
      <c r="J15" s="88">
        <v>2.5</v>
      </c>
      <c r="K15" s="88">
        <v>2.5</v>
      </c>
      <c r="L15" s="88">
        <v>2.5</v>
      </c>
      <c r="M15" s="88">
        <v>2.5</v>
      </c>
      <c r="N15" s="88">
        <v>2.5</v>
      </c>
      <c r="O15" s="88">
        <v>2.5</v>
      </c>
    </row>
    <row r="16" spans="2:15" x14ac:dyDescent="0.2">
      <c r="C16" s="36" t="s">
        <v>127</v>
      </c>
      <c r="D16" s="88">
        <v>2.4500000000000002</v>
      </c>
      <c r="E16" s="88">
        <v>2.4500000000000002</v>
      </c>
      <c r="F16" s="88">
        <v>2.4500000000000002</v>
      </c>
      <c r="G16" s="88">
        <v>2.4500000000000002</v>
      </c>
      <c r="H16" s="88">
        <v>2.4500000000000002</v>
      </c>
      <c r="I16" s="88">
        <v>2.4500000000000002</v>
      </c>
      <c r="J16" s="88">
        <v>2.4500000000000002</v>
      </c>
      <c r="K16" s="88">
        <v>2.4500000000000002</v>
      </c>
      <c r="L16" s="88">
        <v>2.4500000000000002</v>
      </c>
      <c r="M16" s="88">
        <v>2.4500000000000002</v>
      </c>
      <c r="N16" s="88">
        <v>2.4500000000000002</v>
      </c>
      <c r="O16" s="88">
        <v>2.4500000000000002</v>
      </c>
    </row>
    <row r="17" spans="2:15" x14ac:dyDescent="0.2">
      <c r="C17" s="36" t="s">
        <v>128</v>
      </c>
      <c r="D17" s="88">
        <v>2.65</v>
      </c>
      <c r="E17" s="88">
        <v>2.65</v>
      </c>
      <c r="F17" s="88">
        <v>2.65</v>
      </c>
      <c r="G17" s="88">
        <v>2.65</v>
      </c>
      <c r="H17" s="88">
        <v>2.65</v>
      </c>
      <c r="I17" s="88">
        <v>2.65</v>
      </c>
      <c r="J17" s="88">
        <v>2.65</v>
      </c>
      <c r="K17" s="88">
        <v>2.65</v>
      </c>
      <c r="L17" s="88">
        <v>2.65</v>
      </c>
      <c r="M17" s="88">
        <v>2.65</v>
      </c>
      <c r="N17" s="88">
        <v>2.65</v>
      </c>
      <c r="O17" s="88">
        <v>2.65</v>
      </c>
    </row>
    <row r="18" spans="2:15" x14ac:dyDescent="0.2">
      <c r="C18" s="36" t="s">
        <v>129</v>
      </c>
      <c r="D18" s="88">
        <v>3.85</v>
      </c>
      <c r="E18" s="88">
        <v>3.85</v>
      </c>
      <c r="F18" s="88">
        <v>3.85</v>
      </c>
      <c r="G18" s="88">
        <v>3.85</v>
      </c>
      <c r="H18" s="88">
        <v>3.85</v>
      </c>
      <c r="I18" s="88">
        <v>3.85</v>
      </c>
      <c r="J18" s="88">
        <v>3.85</v>
      </c>
      <c r="K18" s="88">
        <v>3.85</v>
      </c>
      <c r="L18" s="88">
        <v>3.85</v>
      </c>
      <c r="M18" s="88">
        <v>3.85</v>
      </c>
      <c r="N18" s="88">
        <v>3.85</v>
      </c>
      <c r="O18" s="88">
        <v>3.85</v>
      </c>
    </row>
    <row r="19" spans="2:15" x14ac:dyDescent="0.2">
      <c r="C19" s="36" t="s">
        <v>130</v>
      </c>
      <c r="D19" s="88">
        <v>3.45</v>
      </c>
      <c r="E19" s="88">
        <v>3.45</v>
      </c>
      <c r="F19" s="88">
        <v>3.45</v>
      </c>
      <c r="G19" s="88">
        <v>3.45</v>
      </c>
      <c r="H19" s="88">
        <v>3.45</v>
      </c>
      <c r="I19" s="88">
        <v>3.45</v>
      </c>
      <c r="J19" s="88">
        <v>3.45</v>
      </c>
      <c r="K19" s="88">
        <v>3.45</v>
      </c>
      <c r="L19" s="88">
        <v>3.45</v>
      </c>
      <c r="M19" s="88">
        <v>3.45</v>
      </c>
      <c r="N19" s="88">
        <v>3.45</v>
      </c>
      <c r="O19" s="88">
        <v>3.45</v>
      </c>
    </row>
    <row r="20" spans="2:15" x14ac:dyDescent="0.2">
      <c r="C20" s="36" t="s">
        <v>131</v>
      </c>
      <c r="D20" s="88">
        <v>2.25</v>
      </c>
      <c r="E20" s="88">
        <v>2.25</v>
      </c>
      <c r="F20" s="88">
        <v>2.25</v>
      </c>
      <c r="G20" s="88">
        <v>2.25</v>
      </c>
      <c r="H20" s="88">
        <v>2.25</v>
      </c>
      <c r="I20" s="88">
        <v>2.25</v>
      </c>
      <c r="J20" s="88">
        <v>2.25</v>
      </c>
      <c r="K20" s="88">
        <v>2.25</v>
      </c>
      <c r="L20" s="88">
        <v>2.25</v>
      </c>
      <c r="M20" s="88">
        <v>2.25</v>
      </c>
      <c r="N20" s="88">
        <v>2.25</v>
      </c>
      <c r="O20" s="88">
        <v>2.25</v>
      </c>
    </row>
    <row r="21" spans="2:15" x14ac:dyDescent="0.2">
      <c r="C21" s="37" t="s">
        <v>132</v>
      </c>
      <c r="D21" s="88">
        <v>2.2599999999999998</v>
      </c>
      <c r="E21" s="88">
        <v>2.2599999999999998</v>
      </c>
      <c r="F21" s="88">
        <v>2.2599999999999998</v>
      </c>
      <c r="G21" s="88">
        <v>2.2599999999999998</v>
      </c>
      <c r="H21" s="88">
        <v>2.2599999999999998</v>
      </c>
      <c r="I21" s="88">
        <v>2.2599999999999998</v>
      </c>
      <c r="J21" s="88">
        <v>2.2599999999999998</v>
      </c>
      <c r="K21" s="88">
        <v>2.2599999999999998</v>
      </c>
      <c r="L21" s="88">
        <v>2.2599999999999998</v>
      </c>
      <c r="M21" s="88">
        <v>2.2599999999999998</v>
      </c>
      <c r="N21" s="88">
        <v>2.2599999999999998</v>
      </c>
      <c r="O21" s="88">
        <v>2.2599999999999998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3.55</v>
      </c>
      <c r="E24" s="88">
        <v>3.55</v>
      </c>
      <c r="F24" s="88">
        <v>3.55</v>
      </c>
      <c r="G24" s="88">
        <v>3.55</v>
      </c>
      <c r="H24" s="88">
        <v>3.55</v>
      </c>
      <c r="I24" s="88">
        <v>3.55</v>
      </c>
      <c r="J24" s="88">
        <v>3.55</v>
      </c>
      <c r="K24" s="88">
        <v>3.55</v>
      </c>
      <c r="L24" s="88">
        <v>3.55</v>
      </c>
      <c r="M24" s="88">
        <v>3.55</v>
      </c>
      <c r="N24" s="88">
        <v>3.55</v>
      </c>
      <c r="O24" s="88">
        <v>3.55</v>
      </c>
    </row>
    <row r="25" spans="2:15" x14ac:dyDescent="0.2">
      <c r="C25" s="36" t="s">
        <v>127</v>
      </c>
      <c r="D25" s="88">
        <v>3.56</v>
      </c>
      <c r="E25" s="88">
        <v>3.56</v>
      </c>
      <c r="F25" s="88">
        <v>3.56</v>
      </c>
      <c r="G25" s="88">
        <v>3.56</v>
      </c>
      <c r="H25" s="88">
        <v>3.56</v>
      </c>
      <c r="I25" s="88">
        <v>3.56</v>
      </c>
      <c r="J25" s="88">
        <v>3.56</v>
      </c>
      <c r="K25" s="88">
        <v>3.56</v>
      </c>
      <c r="L25" s="88">
        <v>3.56</v>
      </c>
      <c r="M25" s="88">
        <v>3.56</v>
      </c>
      <c r="N25" s="88">
        <v>3.56</v>
      </c>
      <c r="O25" s="88">
        <v>3.56</v>
      </c>
    </row>
    <row r="26" spans="2:15" x14ac:dyDescent="0.2">
      <c r="C26" s="36" t="s">
        <v>128</v>
      </c>
      <c r="D26" s="88">
        <v>3.85</v>
      </c>
      <c r="E26" s="88">
        <v>3.85</v>
      </c>
      <c r="F26" s="88">
        <v>3.85</v>
      </c>
      <c r="G26" s="88">
        <v>3.85</v>
      </c>
      <c r="H26" s="88">
        <v>3.85</v>
      </c>
      <c r="I26" s="88">
        <v>3.85</v>
      </c>
      <c r="J26" s="88">
        <v>3.85</v>
      </c>
      <c r="K26" s="88">
        <v>3.85</v>
      </c>
      <c r="L26" s="88">
        <v>3.85</v>
      </c>
      <c r="M26" s="88">
        <v>3.85</v>
      </c>
      <c r="N26" s="88">
        <v>3.85</v>
      </c>
      <c r="O26" s="88">
        <v>3.85</v>
      </c>
    </row>
    <row r="27" spans="2:15" x14ac:dyDescent="0.2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 x14ac:dyDescent="0.2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 x14ac:dyDescent="0.2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 x14ac:dyDescent="0.2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1.65</v>
      </c>
      <c r="E33" s="88">
        <v>1.65</v>
      </c>
      <c r="F33" s="88">
        <v>1.65</v>
      </c>
      <c r="G33" s="88">
        <v>1.65</v>
      </c>
      <c r="H33" s="88">
        <v>1.65</v>
      </c>
      <c r="I33" s="88">
        <v>1.65</v>
      </c>
      <c r="J33" s="88">
        <v>1.65</v>
      </c>
      <c r="K33" s="88">
        <v>1.65</v>
      </c>
      <c r="L33" s="88">
        <v>1.65</v>
      </c>
      <c r="M33" s="88">
        <v>1.65</v>
      </c>
      <c r="N33" s="88">
        <v>1.65</v>
      </c>
      <c r="O33" s="88">
        <v>1.65</v>
      </c>
    </row>
    <row r="34" spans="3:15" x14ac:dyDescent="0.2">
      <c r="C34" s="36" t="s">
        <v>127</v>
      </c>
      <c r="D34" s="88">
        <v>1.65</v>
      </c>
      <c r="E34" s="88">
        <v>1.65</v>
      </c>
      <c r="F34" s="88">
        <v>1.65</v>
      </c>
      <c r="G34" s="88">
        <v>1.65</v>
      </c>
      <c r="H34" s="88">
        <v>1.65</v>
      </c>
      <c r="I34" s="88">
        <v>1.65</v>
      </c>
      <c r="J34" s="88">
        <v>1.65</v>
      </c>
      <c r="K34" s="88">
        <v>1.65</v>
      </c>
      <c r="L34" s="88">
        <v>1.65</v>
      </c>
      <c r="M34" s="88">
        <v>1.65</v>
      </c>
      <c r="N34" s="88">
        <v>1.65</v>
      </c>
      <c r="O34" s="88">
        <v>1.65</v>
      </c>
    </row>
    <row r="35" spans="3:15" x14ac:dyDescent="0.2">
      <c r="C35" s="36" t="s">
        <v>128</v>
      </c>
      <c r="D35" s="88">
        <v>1.7</v>
      </c>
      <c r="E35" s="88">
        <v>1.7</v>
      </c>
      <c r="F35" s="88">
        <v>1.7</v>
      </c>
      <c r="G35" s="88">
        <v>1.7</v>
      </c>
      <c r="H35" s="88">
        <v>1.7</v>
      </c>
      <c r="I35" s="88">
        <v>1.7</v>
      </c>
      <c r="J35" s="88">
        <v>1.7</v>
      </c>
      <c r="K35" s="88">
        <v>1.7</v>
      </c>
      <c r="L35" s="88">
        <v>1.7</v>
      </c>
      <c r="M35" s="88">
        <v>1.7</v>
      </c>
      <c r="N35" s="88">
        <v>1.7</v>
      </c>
      <c r="O35" s="88">
        <v>1.7</v>
      </c>
    </row>
    <row r="36" spans="3:15" x14ac:dyDescent="0.2">
      <c r="C36" s="36" t="s">
        <v>129</v>
      </c>
      <c r="D36" s="88">
        <v>1.35</v>
      </c>
      <c r="E36" s="88">
        <v>1.35</v>
      </c>
      <c r="F36" s="88">
        <v>1.35</v>
      </c>
      <c r="G36" s="88">
        <v>1.35</v>
      </c>
      <c r="H36" s="88">
        <v>1.35</v>
      </c>
      <c r="I36" s="88">
        <v>1.35</v>
      </c>
      <c r="J36" s="88">
        <v>1.35</v>
      </c>
      <c r="K36" s="88">
        <v>1.35</v>
      </c>
      <c r="L36" s="88">
        <v>1.35</v>
      </c>
      <c r="M36" s="88">
        <v>1.35</v>
      </c>
      <c r="N36" s="88">
        <v>1.35</v>
      </c>
      <c r="O36" s="88">
        <v>1.35</v>
      </c>
    </row>
    <row r="37" spans="3:15" x14ac:dyDescent="0.2">
      <c r="C37" s="36" t="s">
        <v>130</v>
      </c>
      <c r="D37" s="88">
        <v>1.6</v>
      </c>
      <c r="E37" s="88">
        <v>1.6</v>
      </c>
      <c r="F37" s="88">
        <v>1.6</v>
      </c>
      <c r="G37" s="88">
        <v>1.6</v>
      </c>
      <c r="H37" s="88">
        <v>1.6</v>
      </c>
      <c r="I37" s="88">
        <v>1.6</v>
      </c>
      <c r="J37" s="88">
        <v>1.6</v>
      </c>
      <c r="K37" s="88">
        <v>1.6</v>
      </c>
      <c r="L37" s="88">
        <v>1.6</v>
      </c>
      <c r="M37" s="88">
        <v>1.6</v>
      </c>
      <c r="N37" s="88">
        <v>1.6</v>
      </c>
      <c r="O37" s="88">
        <v>1.6</v>
      </c>
    </row>
    <row r="38" spans="3:15" x14ac:dyDescent="0.2">
      <c r="C38" s="36" t="s">
        <v>131</v>
      </c>
      <c r="D38" s="88">
        <v>2.1</v>
      </c>
      <c r="E38" s="88">
        <v>2.1</v>
      </c>
      <c r="F38" s="88">
        <v>2.1</v>
      </c>
      <c r="G38" s="88">
        <v>2.1</v>
      </c>
      <c r="H38" s="88">
        <v>2.1</v>
      </c>
      <c r="I38" s="88">
        <v>2.1</v>
      </c>
      <c r="J38" s="88">
        <v>2.1</v>
      </c>
      <c r="K38" s="88">
        <v>2.1</v>
      </c>
      <c r="L38" s="88">
        <v>2.1</v>
      </c>
      <c r="M38" s="88">
        <v>2.1</v>
      </c>
      <c r="N38" s="88">
        <v>2.1</v>
      </c>
      <c r="O38" s="88">
        <v>2.1</v>
      </c>
    </row>
    <row r="39" spans="3:15" x14ac:dyDescent="0.2">
      <c r="C39" s="37" t="s">
        <v>132</v>
      </c>
      <c r="D39" s="88">
        <v>2</v>
      </c>
      <c r="E39" s="88">
        <v>2</v>
      </c>
      <c r="F39" s="88">
        <v>2</v>
      </c>
      <c r="G39" s="88">
        <v>2</v>
      </c>
      <c r="H39" s="88">
        <v>2</v>
      </c>
      <c r="I39" s="88">
        <v>2</v>
      </c>
      <c r="J39" s="88">
        <v>2</v>
      </c>
      <c r="K39" s="88">
        <v>2</v>
      </c>
      <c r="L39" s="88">
        <v>2</v>
      </c>
      <c r="M39" s="88">
        <v>2</v>
      </c>
      <c r="N39" s="88">
        <v>2</v>
      </c>
      <c r="O39" s="88">
        <v>2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5" customWidth="1"/>
    <col min="2" max="6" width="9.140625" style="105"/>
    <col min="7" max="7" width="2.7109375" style="105" customWidth="1"/>
    <col min="8" max="8" width="11.140625" style="105" customWidth="1"/>
    <col min="9" max="10" width="9.140625" style="105"/>
    <col min="11" max="12" width="4.7109375" style="105" customWidth="1"/>
    <col min="13" max="17" width="9.140625" style="105"/>
    <col min="18" max="18" width="2.7109375" style="105" customWidth="1"/>
    <col min="19" max="19" width="14.7109375" style="105" customWidth="1"/>
    <col min="20" max="20" width="16.7109375" style="105" customWidth="1"/>
    <col min="21" max="21" width="4.7109375" style="105" customWidth="1"/>
    <col min="22" max="16384" width="9.140625" style="105"/>
  </cols>
  <sheetData>
    <row r="1" spans="1:20" x14ac:dyDescent="0.2">
      <c r="A1" s="184"/>
    </row>
    <row r="2" spans="1:20" ht="15.75" x14ac:dyDescent="0.25">
      <c r="C2" s="185" t="s">
        <v>165</v>
      </c>
      <c r="D2" s="185"/>
      <c r="E2" s="185"/>
      <c r="F2" s="185"/>
      <c r="G2" s="185"/>
      <c r="H2" s="185"/>
    </row>
    <row r="3" spans="1:20" ht="18.75" x14ac:dyDescent="0.25">
      <c r="C3" s="186" t="s">
        <v>413</v>
      </c>
      <c r="D3" s="186"/>
      <c r="E3" s="186"/>
      <c r="F3" s="186"/>
      <c r="G3" s="186"/>
    </row>
    <row r="5" spans="1:20" ht="15.75" x14ac:dyDescent="0.25">
      <c r="A5" s="187" t="s">
        <v>352</v>
      </c>
      <c r="B5" s="188"/>
      <c r="G5" s="189"/>
      <c r="L5" s="187" t="s">
        <v>353</v>
      </c>
      <c r="M5" s="188"/>
      <c r="R5" s="189"/>
    </row>
    <row r="6" spans="1:20" x14ac:dyDescent="0.2">
      <c r="A6" s="190" t="s">
        <v>354</v>
      </c>
      <c r="B6" s="188"/>
      <c r="G6" s="191"/>
      <c r="H6" s="115"/>
      <c r="L6" s="190" t="s">
        <v>355</v>
      </c>
      <c r="M6" s="188"/>
      <c r="S6" s="130"/>
    </row>
    <row r="7" spans="1:20" x14ac:dyDescent="0.2">
      <c r="A7" s="188"/>
      <c r="B7" s="188" t="s">
        <v>356</v>
      </c>
      <c r="G7" s="191"/>
      <c r="H7" s="192">
        <f>SUM(ORA!$D$116:$O$116)</f>
        <v>22651.929584507499</v>
      </c>
      <c r="L7" s="188"/>
      <c r="M7" s="188" t="s">
        <v>356</v>
      </c>
      <c r="S7" s="193">
        <f>SUM(ORA!$D$127:$O$127)</f>
        <v>98533245.901134133</v>
      </c>
    </row>
    <row r="8" spans="1:20" x14ac:dyDescent="0.2">
      <c r="A8" s="188"/>
      <c r="B8" s="188" t="s">
        <v>357</v>
      </c>
      <c r="G8" s="191"/>
      <c r="H8" s="194">
        <f>SUM(POJ!$D$116:$O$116)</f>
        <v>22559.782521156591</v>
      </c>
      <c r="L8" s="188"/>
      <c r="M8" s="188" t="s">
        <v>357</v>
      </c>
      <c r="S8" s="195">
        <f>SUM(POJ!$D$127:$O$127)</f>
        <v>129593782.48586509</v>
      </c>
    </row>
    <row r="9" spans="1:20" x14ac:dyDescent="0.2">
      <c r="A9" s="188"/>
      <c r="B9" s="188" t="s">
        <v>358</v>
      </c>
      <c r="G9" s="191"/>
      <c r="H9" s="194">
        <f>SUM(ROJ!$D$116:$O$116)</f>
        <v>23520.139517809581</v>
      </c>
      <c r="L9" s="188"/>
      <c r="M9" s="188" t="s">
        <v>358</v>
      </c>
      <c r="S9" s="195">
        <f>SUM(ROJ!$D$127:$O$127)</f>
        <v>175514237.72875881</v>
      </c>
    </row>
    <row r="10" spans="1:20" x14ac:dyDescent="0.2">
      <c r="A10" s="188"/>
      <c r="B10" s="188" t="s">
        <v>359</v>
      </c>
      <c r="G10" s="191"/>
      <c r="H10" s="196">
        <f>SUM(FCOJ!$D$116:$O$116)</f>
        <v>131569.62633102864</v>
      </c>
      <c r="L10" s="188"/>
      <c r="M10" s="188" t="s">
        <v>359</v>
      </c>
      <c r="S10" s="197">
        <f>SUM(FCOJ!$D$127:$O$127)</f>
        <v>420686373.45486158</v>
      </c>
    </row>
    <row r="11" spans="1:20" x14ac:dyDescent="0.2">
      <c r="A11" s="188"/>
      <c r="B11" s="188"/>
      <c r="G11" s="191"/>
      <c r="M11" s="188" t="s">
        <v>360</v>
      </c>
      <c r="T11" s="198">
        <f>SUM($S$7:$S$10)</f>
        <v>824327639.57061958</v>
      </c>
    </row>
    <row r="12" spans="1:20" x14ac:dyDescent="0.2">
      <c r="A12" s="190" t="s">
        <v>361</v>
      </c>
      <c r="B12" s="188"/>
      <c r="G12" s="191"/>
    </row>
    <row r="13" spans="1:20" x14ac:dyDescent="0.2">
      <c r="A13" s="188"/>
      <c r="B13" s="188" t="s">
        <v>362</v>
      </c>
      <c r="G13" s="191"/>
      <c r="H13" s="199">
        <f>SUM(grove!$C$48:$AX$53)</f>
        <v>128268.39999999994</v>
      </c>
      <c r="L13" s="190" t="s">
        <v>363</v>
      </c>
      <c r="M13" s="188"/>
    </row>
    <row r="14" spans="1:20" x14ac:dyDescent="0.2">
      <c r="A14" s="188"/>
      <c r="B14" s="188" t="s">
        <v>364</v>
      </c>
      <c r="G14" s="191"/>
      <c r="H14" s="192">
        <f>raw_materials!$P$30</f>
        <v>0</v>
      </c>
      <c r="L14" s="188"/>
      <c r="M14" s="188" t="s">
        <v>365</v>
      </c>
      <c r="S14" s="193">
        <f>SUM(grove!$C$58:$AX$63)</f>
        <v>177891727.13927507</v>
      </c>
    </row>
    <row r="15" spans="1:20" x14ac:dyDescent="0.2">
      <c r="A15" s="188"/>
      <c r="B15" s="188" t="s">
        <v>366</v>
      </c>
      <c r="G15" s="191"/>
      <c r="H15" s="196">
        <f>raw_materials!$P$36</f>
        <v>136000</v>
      </c>
      <c r="L15" s="188"/>
      <c r="M15" s="188" t="s">
        <v>367</v>
      </c>
      <c r="S15" s="195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8"/>
      <c r="B16" s="188" t="s">
        <v>368</v>
      </c>
      <c r="G16" s="191"/>
      <c r="H16" s="200">
        <v>34237.370459230558</v>
      </c>
      <c r="L16" s="188"/>
      <c r="M16" s="188" t="s">
        <v>369</v>
      </c>
      <c r="S16" s="195">
        <f>(raw_materials!D36*raw_materials!E36+raw_materials!F36*raw_materials!G36+raw_materials!H36*raw_materials!I36+raw_materials!J36*raw_materials!K36+raw_materials!L36*raw_materials!M36)*2000</f>
        <v>283653271.14934909</v>
      </c>
    </row>
    <row r="17" spans="1:21" x14ac:dyDescent="0.2">
      <c r="A17" s="188"/>
      <c r="B17" s="188" t="s">
        <v>370</v>
      </c>
      <c r="G17" s="191"/>
      <c r="H17" s="201">
        <v>20789.770008720909</v>
      </c>
      <c r="L17" s="188"/>
      <c r="M17" s="188" t="s">
        <v>371</v>
      </c>
      <c r="S17" s="195">
        <v>23638296.645919986</v>
      </c>
    </row>
    <row r="18" spans="1:21" x14ac:dyDescent="0.2">
      <c r="A18" s="188"/>
      <c r="B18" s="188" t="s">
        <v>372</v>
      </c>
      <c r="G18" s="191"/>
      <c r="H18" s="202">
        <v>25235.505320032702</v>
      </c>
      <c r="L18" s="188"/>
      <c r="M18" s="188" t="s">
        <v>373</v>
      </c>
      <c r="S18" s="197">
        <v>41889937.796550527</v>
      </c>
    </row>
    <row r="19" spans="1:21" x14ac:dyDescent="0.2">
      <c r="A19" s="188"/>
      <c r="B19" s="188" t="s">
        <v>374</v>
      </c>
      <c r="G19" s="191"/>
      <c r="H19" s="201">
        <v>71670.982681271256</v>
      </c>
      <c r="L19" s="188"/>
      <c r="M19" s="188" t="s">
        <v>375</v>
      </c>
      <c r="S19" s="203" t="s">
        <v>376</v>
      </c>
      <c r="T19" s="204">
        <f>SUM($S$14:$S$18)</f>
        <v>527073232.73109466</v>
      </c>
      <c r="U19" s="105" t="s">
        <v>377</v>
      </c>
    </row>
    <row r="20" spans="1:21" x14ac:dyDescent="0.2">
      <c r="A20" s="188"/>
      <c r="B20" s="188" t="s">
        <v>378</v>
      </c>
      <c r="G20" s="191"/>
      <c r="H20" s="196">
        <v>217.93917969344227</v>
      </c>
      <c r="L20" s="188"/>
      <c r="M20" s="188"/>
    </row>
    <row r="21" spans="1:21" x14ac:dyDescent="0.2">
      <c r="A21" s="188"/>
      <c r="B21" s="188"/>
      <c r="G21" s="191"/>
      <c r="L21" s="190" t="s">
        <v>379</v>
      </c>
      <c r="M21" s="188"/>
      <c r="S21" s="130"/>
    </row>
    <row r="22" spans="1:21" x14ac:dyDescent="0.2">
      <c r="A22" s="190" t="s">
        <v>380</v>
      </c>
      <c r="B22" s="188"/>
      <c r="G22" s="191"/>
      <c r="L22" s="188"/>
      <c r="M22" s="188" t="s">
        <v>381</v>
      </c>
      <c r="S22" s="195">
        <v>68474740.918461099</v>
      </c>
    </row>
    <row r="23" spans="1:21" x14ac:dyDescent="0.2">
      <c r="A23" s="188"/>
      <c r="B23" s="188" t="s">
        <v>382</v>
      </c>
      <c r="G23" s="191"/>
      <c r="H23" s="192">
        <f>SUM(raw_materials!$O$31:$O$35)</f>
        <v>0</v>
      </c>
      <c r="L23" s="188"/>
      <c r="M23" s="188" t="s">
        <v>383</v>
      </c>
      <c r="S23" s="195">
        <v>20789770.008720919</v>
      </c>
    </row>
    <row r="24" spans="1:21" x14ac:dyDescent="0.2">
      <c r="A24" s="188"/>
      <c r="B24" s="188" t="s">
        <v>384</v>
      </c>
      <c r="G24" s="191"/>
      <c r="H24" s="196">
        <f>SUM(raw_materials!$O$37:$O$41)</f>
        <v>89461</v>
      </c>
      <c r="L24" s="188"/>
      <c r="M24" s="188" t="s">
        <v>385</v>
      </c>
      <c r="S24" s="197">
        <v>16403078.458021253</v>
      </c>
    </row>
    <row r="25" spans="1:21" x14ac:dyDescent="0.2">
      <c r="A25" s="188"/>
      <c r="B25" s="188"/>
      <c r="G25" s="191"/>
      <c r="L25" s="188"/>
      <c r="M25" s="188" t="s">
        <v>386</v>
      </c>
      <c r="S25" s="203" t="s">
        <v>376</v>
      </c>
      <c r="T25" s="204">
        <f>SUM($S$22:$S$24)</f>
        <v>105667589.38520327</v>
      </c>
      <c r="U25" s="105" t="s">
        <v>377</v>
      </c>
    </row>
    <row r="26" spans="1:21" x14ac:dyDescent="0.2">
      <c r="A26" s="190" t="s">
        <v>387</v>
      </c>
      <c r="B26" s="188"/>
      <c r="G26" s="191"/>
      <c r="L26" s="188"/>
      <c r="M26" s="188"/>
    </row>
    <row r="27" spans="1:21" x14ac:dyDescent="0.2">
      <c r="A27" s="188"/>
      <c r="B27" s="188" t="s">
        <v>388</v>
      </c>
      <c r="G27" s="191"/>
      <c r="H27" s="192">
        <f>SUMIF(facilities!$C$6:$C$15,"&gt;0",facilities!$C$6:$C$15)</f>
        <v>0</v>
      </c>
      <c r="L27" s="190" t="s">
        <v>389</v>
      </c>
      <c r="M27" s="188"/>
    </row>
    <row r="28" spans="1:21" x14ac:dyDescent="0.2">
      <c r="A28" s="188"/>
      <c r="B28" s="188" t="s">
        <v>390</v>
      </c>
      <c r="G28" s="191"/>
      <c r="H28" s="194">
        <f>SUMIF(facilities!$C$36:$C$106,"&gt;0",facilities!$C$36:$C$106)</f>
        <v>0</v>
      </c>
      <c r="L28" s="188"/>
      <c r="M28" s="188" t="s">
        <v>391</v>
      </c>
      <c r="S28" s="193">
        <v>18806112</v>
      </c>
    </row>
    <row r="29" spans="1:21" x14ac:dyDescent="0.2">
      <c r="A29" s="188"/>
      <c r="B29" s="188" t="s">
        <v>392</v>
      </c>
      <c r="G29" s="191"/>
      <c r="H29" s="194">
        <f>SUMIF(facilities!$C$6:$C$15,"&lt;0",facilities!$C$6:$C$15)</f>
        <v>0</v>
      </c>
      <c r="L29" s="188"/>
      <c r="M29" s="188" t="s">
        <v>393</v>
      </c>
      <c r="S29" s="195">
        <v>-1.1244082998018718E-9</v>
      </c>
    </row>
    <row r="30" spans="1:21" x14ac:dyDescent="0.2">
      <c r="A30" s="188"/>
      <c r="B30" s="188" t="s">
        <v>394</v>
      </c>
      <c r="G30" s="191"/>
      <c r="H30" s="196">
        <f>SUMIF(facilities!$C$36:$C$106,"&lt;0",facilities!$C$36:$C$106)</f>
        <v>0</v>
      </c>
      <c r="L30" s="188"/>
      <c r="M30" s="188" t="s">
        <v>395</v>
      </c>
      <c r="S30" s="195">
        <v>3881458.4093400687</v>
      </c>
    </row>
    <row r="31" spans="1:21" x14ac:dyDescent="0.2">
      <c r="L31" s="188"/>
      <c r="M31" s="188" t="s">
        <v>396</v>
      </c>
      <c r="S31" s="197">
        <f>SUM(ORA!D138:O138)+SUM(POJ!D138:O138)+SUM(ROJ!D138:O138)+SUM(FCOJ!D138:O138)</f>
        <v>103238198.49320671</v>
      </c>
    </row>
    <row r="32" spans="1:21" x14ac:dyDescent="0.2">
      <c r="A32" s="190" t="s">
        <v>397</v>
      </c>
      <c r="B32" s="188"/>
      <c r="G32" s="191"/>
      <c r="L32" s="188"/>
      <c r="M32" s="188" t="s">
        <v>398</v>
      </c>
      <c r="S32" s="118" t="s">
        <v>376</v>
      </c>
      <c r="T32" s="204">
        <f>SUM($S$28:$S$31)</f>
        <v>125925768.90254678</v>
      </c>
      <c r="U32" s="105" t="s">
        <v>377</v>
      </c>
    </row>
    <row r="33" spans="1:21" x14ac:dyDescent="0.2">
      <c r="A33" s="188"/>
      <c r="B33" s="188" t="s">
        <v>399</v>
      </c>
      <c r="G33" s="191"/>
      <c r="H33" s="192">
        <f>COUNTIF(facilities!$H$6:$H$15,"=new")</f>
        <v>0</v>
      </c>
      <c r="M33" s="188"/>
    </row>
    <row r="34" spans="1:21" x14ac:dyDescent="0.2">
      <c r="A34" s="188"/>
      <c r="B34" s="188" t="s">
        <v>400</v>
      </c>
      <c r="G34" s="191"/>
      <c r="H34" s="194">
        <f>COUNTIF(facilities!$H$36:$H$106,"=new")</f>
        <v>0</v>
      </c>
      <c r="L34" s="190" t="s">
        <v>401</v>
      </c>
      <c r="M34" s="188"/>
    </row>
    <row r="35" spans="1:21" x14ac:dyDescent="0.2">
      <c r="B35" s="188" t="s">
        <v>18</v>
      </c>
      <c r="H35" s="196">
        <f>SUMIF(facilities!$C$21:$C$30,"&gt;0",facilities!$C$21:$C$30)</f>
        <v>0</v>
      </c>
      <c r="L35" s="188"/>
      <c r="M35" s="188" t="s">
        <v>402</v>
      </c>
      <c r="S35" s="193">
        <v>35750000</v>
      </c>
    </row>
    <row r="36" spans="1:21" x14ac:dyDescent="0.2">
      <c r="L36" s="188"/>
      <c r="M36" s="188" t="s">
        <v>403</v>
      </c>
      <c r="S36" s="195">
        <f>H33*12000000-H38*70/100*12000000</f>
        <v>0</v>
      </c>
    </row>
    <row r="37" spans="1:21" x14ac:dyDescent="0.2">
      <c r="A37" s="190" t="s">
        <v>404</v>
      </c>
      <c r="L37" s="188"/>
      <c r="M37" s="188" t="s">
        <v>405</v>
      </c>
      <c r="S37" s="195">
        <f>H27*8000+H29*70/100*8000</f>
        <v>0</v>
      </c>
    </row>
    <row r="38" spans="1:21" x14ac:dyDescent="0.2">
      <c r="B38" s="188" t="s">
        <v>399</v>
      </c>
      <c r="H38" s="192">
        <f>COUNTIF(facilities!$H$6:$H$15,"=sold")</f>
        <v>0</v>
      </c>
      <c r="L38" s="188"/>
      <c r="M38" s="188" t="s">
        <v>406</v>
      </c>
      <c r="S38" s="195">
        <v>33997500</v>
      </c>
    </row>
    <row r="39" spans="1:21" x14ac:dyDescent="0.2">
      <c r="B39" s="188" t="s">
        <v>400</v>
      </c>
      <c r="H39" s="194">
        <f>COUNTIF(facilities!$H$36:$H$106,"=sold")</f>
        <v>0</v>
      </c>
      <c r="L39" s="188"/>
      <c r="M39" s="188" t="s">
        <v>407</v>
      </c>
      <c r="S39" s="195">
        <f>H34*9000000-H39*80/100*9000000</f>
        <v>0</v>
      </c>
    </row>
    <row r="40" spans="1:21" x14ac:dyDescent="0.2">
      <c r="B40" s="188" t="s">
        <v>18</v>
      </c>
      <c r="H40" s="196">
        <f>-SUMIF(facilities!$C$21:$C$30,"&lt;0",facilities!$C$21:$C$30)</f>
        <v>0</v>
      </c>
      <c r="L40" s="188"/>
      <c r="M40" s="188" t="s">
        <v>408</v>
      </c>
      <c r="S40" s="195">
        <f>H28*6000+H30*80/100*6000</f>
        <v>0</v>
      </c>
    </row>
    <row r="41" spans="1:21" x14ac:dyDescent="0.2">
      <c r="L41" s="188"/>
      <c r="M41" s="188" t="s">
        <v>409</v>
      </c>
      <c r="S41" s="195">
        <v>28770</v>
      </c>
    </row>
    <row r="42" spans="1:21" x14ac:dyDescent="0.2">
      <c r="L42" s="188"/>
      <c r="M42" s="188" t="s">
        <v>410</v>
      </c>
      <c r="S42" s="197">
        <f>H35*100000-H40*60/100*100000</f>
        <v>0</v>
      </c>
    </row>
    <row r="43" spans="1:21" x14ac:dyDescent="0.2">
      <c r="L43" s="188"/>
      <c r="M43" s="188" t="s">
        <v>411</v>
      </c>
      <c r="S43" s="182" t="s">
        <v>376</v>
      </c>
      <c r="T43" s="204">
        <f>SUM($S$35:$S$42)</f>
        <v>69776270</v>
      </c>
      <c r="U43" s="105" t="s">
        <v>377</v>
      </c>
    </row>
    <row r="44" spans="1:21" x14ac:dyDescent="0.2">
      <c r="L44" s="188"/>
      <c r="S44" s="115"/>
    </row>
    <row r="45" spans="1:21" ht="14.25" thickBot="1" x14ac:dyDescent="0.3">
      <c r="L45" s="205" t="s">
        <v>412</v>
      </c>
      <c r="M45" s="188"/>
      <c r="T45" s="206">
        <f>$T$11-$T$19-$T$25-$T$32-$T$43</f>
        <v>-4115221.4482251257</v>
      </c>
    </row>
    <row r="46" spans="1:21" ht="13.5" thickTop="1" x14ac:dyDescent="0.2">
      <c r="M46" s="188"/>
    </row>
    <row r="316" spans="1:1" x14ac:dyDescent="0.2">
      <c r="A316" s="184"/>
    </row>
    <row r="317" spans="1:1" x14ac:dyDescent="0.2">
      <c r="A317" s="184"/>
    </row>
    <row r="318" spans="1:1" x14ac:dyDescent="0.2">
      <c r="A318" s="184"/>
    </row>
    <row r="319" spans="1:1" x14ac:dyDescent="0.2">
      <c r="A319" s="184"/>
    </row>
    <row r="320" spans="1:1" x14ac:dyDescent="0.2">
      <c r="A320" s="184"/>
    </row>
    <row r="321" spans="1:1" x14ac:dyDescent="0.2">
      <c r="A321" s="184"/>
    </row>
    <row r="322" spans="1:1" x14ac:dyDescent="0.2">
      <c r="A322" s="184"/>
    </row>
    <row r="323" spans="1:1" x14ac:dyDescent="0.2">
      <c r="A323" s="184"/>
    </row>
    <row r="325" spans="1:1" x14ac:dyDescent="0.2">
      <c r="A325" s="184"/>
    </row>
    <row r="326" spans="1:1" x14ac:dyDescent="0.2">
      <c r="A326" s="184"/>
    </row>
    <row r="327" spans="1:1" x14ac:dyDescent="0.2">
      <c r="A327" s="184"/>
    </row>
    <row r="328" spans="1:1" x14ac:dyDescent="0.2">
      <c r="A328" s="184"/>
    </row>
    <row r="329" spans="1:1" x14ac:dyDescent="0.2">
      <c r="A329" s="184"/>
    </row>
    <row r="330" spans="1:1" x14ac:dyDescent="0.2">
      <c r="A330" s="184"/>
    </row>
    <row r="331" spans="1:1" x14ac:dyDescent="0.2">
      <c r="A331" s="184"/>
    </row>
    <row r="332" spans="1:1" x14ac:dyDescent="0.2">
      <c r="A332" s="184"/>
    </row>
    <row r="334" spans="1:1" x14ac:dyDescent="0.2">
      <c r="A334" s="184"/>
    </row>
    <row r="335" spans="1:1" x14ac:dyDescent="0.2">
      <c r="A335" s="184"/>
    </row>
    <row r="336" spans="1:1" x14ac:dyDescent="0.2">
      <c r="A336" s="184"/>
    </row>
    <row r="337" spans="1:1" x14ac:dyDescent="0.2">
      <c r="A337" s="184"/>
    </row>
    <row r="338" spans="1:1" x14ac:dyDescent="0.2">
      <c r="A338" s="184"/>
    </row>
    <row r="339" spans="1:1" x14ac:dyDescent="0.2">
      <c r="A339" s="184"/>
    </row>
    <row r="340" spans="1:1" x14ac:dyDescent="0.2">
      <c r="A340" s="184"/>
    </row>
    <row r="341" spans="1:1" x14ac:dyDescent="0.2">
      <c r="A341" s="184"/>
    </row>
    <row r="343" spans="1:1" x14ac:dyDescent="0.2">
      <c r="A343" s="184"/>
    </row>
    <row r="344" spans="1:1" x14ac:dyDescent="0.2">
      <c r="A344" s="184"/>
    </row>
    <row r="345" spans="1:1" x14ac:dyDescent="0.2">
      <c r="A345" s="184"/>
    </row>
    <row r="346" spans="1:1" x14ac:dyDescent="0.2">
      <c r="A346" s="184"/>
    </row>
    <row r="347" spans="1:1" x14ac:dyDescent="0.2">
      <c r="A347" s="184"/>
    </row>
    <row r="348" spans="1:1" x14ac:dyDescent="0.2">
      <c r="A348" s="184"/>
    </row>
    <row r="349" spans="1:1" x14ac:dyDescent="0.2">
      <c r="A349" s="184"/>
    </row>
    <row r="350" spans="1:1" x14ac:dyDescent="0.2">
      <c r="A350" s="184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51"/>
  <sheetViews>
    <sheetView topLeftCell="A26" workbookViewId="0">
      <selection activeCell="C38" sqref="C38:AX43"/>
    </sheetView>
  </sheetViews>
  <sheetFormatPr defaultRowHeight="12.75" x14ac:dyDescent="0.2"/>
  <cols>
    <col min="1" max="1" width="4.7109375" style="105" customWidth="1"/>
    <col min="2" max="2" width="15.7109375" style="105" customWidth="1"/>
    <col min="3" max="16384" width="9.140625" style="105"/>
  </cols>
  <sheetData>
    <row r="2" spans="2:14" x14ac:dyDescent="0.2">
      <c r="B2" s="107" t="s">
        <v>313</v>
      </c>
    </row>
    <row r="3" spans="2:14" x14ac:dyDescent="0.2">
      <c r="B3" s="108" t="s">
        <v>314</v>
      </c>
    </row>
    <row r="4" spans="2:14" x14ac:dyDescent="0.2">
      <c r="B4" s="175" t="s">
        <v>91</v>
      </c>
      <c r="C4" s="175" t="s">
        <v>92</v>
      </c>
      <c r="D4" s="175" t="s">
        <v>93</v>
      </c>
      <c r="E4" s="175" t="s">
        <v>94</v>
      </c>
      <c r="F4" s="175" t="s">
        <v>95</v>
      </c>
      <c r="G4" s="175" t="s">
        <v>96</v>
      </c>
      <c r="H4" s="175" t="s">
        <v>97</v>
      </c>
      <c r="I4" s="175" t="s">
        <v>98</v>
      </c>
      <c r="J4" s="175" t="s">
        <v>99</v>
      </c>
      <c r="K4" s="175" t="s">
        <v>100</v>
      </c>
      <c r="L4" s="175" t="s">
        <v>101</v>
      </c>
      <c r="M4" s="175" t="s">
        <v>102</v>
      </c>
      <c r="N4" s="175" t="s">
        <v>103</v>
      </c>
    </row>
    <row r="5" spans="2:14" x14ac:dyDescent="0.2">
      <c r="B5" s="176" t="s">
        <v>104</v>
      </c>
      <c r="C5" s="105">
        <v>0.6956776926667162</v>
      </c>
      <c r="D5" s="105">
        <v>0.70893771579435316</v>
      </c>
      <c r="E5" s="105">
        <v>0.67513404971840119</v>
      </c>
      <c r="F5" s="105">
        <v>0.68907855068396406</v>
      </c>
      <c r="G5" s="105">
        <v>0.91155978361089207</v>
      </c>
      <c r="H5" s="105">
        <v>0.57359344981269089</v>
      </c>
      <c r="I5" s="105">
        <v>0.6822598726056387</v>
      </c>
      <c r="J5" s="105">
        <v>0.66468835128811843</v>
      </c>
      <c r="K5" s="105">
        <v>0.76683331412070888</v>
      </c>
      <c r="L5" s="105">
        <v>0.65992305890336511</v>
      </c>
      <c r="M5" s="105">
        <v>0.62523898566967995</v>
      </c>
      <c r="N5" s="105">
        <v>0.54769675105215843</v>
      </c>
    </row>
    <row r="6" spans="2:14" x14ac:dyDescent="0.2">
      <c r="B6" s="176" t="s">
        <v>105</v>
      </c>
      <c r="C6" s="105">
        <v>0.67720933546487072</v>
      </c>
      <c r="D6" s="105">
        <v>0.73743969299697476</v>
      </c>
      <c r="E6" s="105">
        <v>0.67819143902170453</v>
      </c>
      <c r="F6" s="105">
        <v>0.74410380454096259</v>
      </c>
      <c r="G6" s="105">
        <v>0.77421059855592955</v>
      </c>
      <c r="H6" s="105">
        <v>0.71009494666300721</v>
      </c>
      <c r="I6" s="105">
        <v>0.73053028130024378</v>
      </c>
      <c r="J6" s="105">
        <v>0.72226679137160299</v>
      </c>
      <c r="K6" s="105">
        <v>0.66435578683880925</v>
      </c>
      <c r="L6" s="105">
        <v>0.69154565952031744</v>
      </c>
      <c r="M6" s="105">
        <v>0.73025494978980754</v>
      </c>
      <c r="N6" s="105">
        <v>0.66364164939638304</v>
      </c>
    </row>
    <row r="7" spans="2:14" x14ac:dyDescent="0.2">
      <c r="B7" s="176" t="s">
        <v>106</v>
      </c>
      <c r="C7" s="105">
        <v>0.78429756049083499</v>
      </c>
      <c r="D7" s="105">
        <v>0.74026198392049813</v>
      </c>
      <c r="E7" s="105">
        <v>0.68906069839674056</v>
      </c>
      <c r="F7" s="105">
        <v>0.70282562058970943</v>
      </c>
      <c r="G7" s="105">
        <v>0.74870003453191958</v>
      </c>
      <c r="H7" s="105">
        <v>0.67832171492994686</v>
      </c>
      <c r="I7" s="105">
        <v>0.77689781696284954</v>
      </c>
      <c r="J7" s="105">
        <v>0.95750067177995035</v>
      </c>
      <c r="K7" s="105">
        <v>0.6999546565966337</v>
      </c>
      <c r="L7" s="105">
        <v>0.75450204280241329</v>
      </c>
      <c r="M7" s="105">
        <v>0.80625058998164845</v>
      </c>
      <c r="N7" s="105">
        <v>0.74936342438128234</v>
      </c>
    </row>
    <row r="8" spans="2:14" x14ac:dyDescent="0.2">
      <c r="B8" s="176" t="s">
        <v>107</v>
      </c>
      <c r="C8" s="105">
        <v>0.82686478616593861</v>
      </c>
      <c r="D8" s="105">
        <v>0.77720537521499833</v>
      </c>
      <c r="E8" s="105">
        <v>0.70862843717851665</v>
      </c>
      <c r="F8" s="105">
        <v>0.9567003867028564</v>
      </c>
      <c r="G8" s="105">
        <v>0.6759725694345049</v>
      </c>
      <c r="H8" s="105">
        <v>0.66714753876946375</v>
      </c>
      <c r="I8" s="105">
        <v>0.66499383683211599</v>
      </c>
      <c r="J8" s="105">
        <v>0.66490505621163776</v>
      </c>
      <c r="K8" s="105">
        <v>0.66870438638762031</v>
      </c>
      <c r="L8" s="105">
        <v>0.706971601268927</v>
      </c>
      <c r="M8" s="105">
        <v>0.69987468565327593</v>
      </c>
      <c r="N8" s="105">
        <v>0.67123754563270754</v>
      </c>
    </row>
    <row r="9" spans="2:14" x14ac:dyDescent="0.2">
      <c r="B9" s="176" t="s">
        <v>108</v>
      </c>
      <c r="C9" s="105">
        <v>2.0209003543853759</v>
      </c>
      <c r="D9" s="105">
        <v>2.0102072036266327</v>
      </c>
      <c r="E9" s="105">
        <v>2.0549026226997378</v>
      </c>
      <c r="F9" s="105">
        <v>2.1017184650897982</v>
      </c>
      <c r="G9" s="105">
        <v>2.0623146390914919</v>
      </c>
      <c r="H9" s="105">
        <v>2.0461450135707855</v>
      </c>
      <c r="I9" s="105">
        <v>2.0915472006797793</v>
      </c>
      <c r="J9" s="105">
        <v>2.0834107077121735</v>
      </c>
      <c r="K9" s="105">
        <v>2.0673599815368653</v>
      </c>
      <c r="L9" s="105">
        <v>2.1056427752971651</v>
      </c>
      <c r="M9" s="105">
        <v>2.0141525483131408</v>
      </c>
      <c r="N9" s="105">
        <v>2.0372987663745881</v>
      </c>
    </row>
    <row r="10" spans="2:14" x14ac:dyDescent="0.2">
      <c r="B10" s="176" t="s">
        <v>109</v>
      </c>
      <c r="C10" s="105">
        <v>0.65558350086212158</v>
      </c>
      <c r="D10" s="105">
        <v>0.6463091313838959</v>
      </c>
      <c r="E10" s="105">
        <v>0.64114273786544806</v>
      </c>
      <c r="F10" s="105">
        <v>0.67436042428016663</v>
      </c>
      <c r="G10" s="105">
        <v>0.66530184745788579</v>
      </c>
      <c r="H10" s="105">
        <v>0.68944413065910337</v>
      </c>
      <c r="I10" s="105">
        <v>0.61986762285232544</v>
      </c>
      <c r="J10" s="105">
        <v>0.6387961208820343</v>
      </c>
      <c r="K10" s="105">
        <v>0.69516370296478269</v>
      </c>
      <c r="L10" s="105">
        <v>0.65535172820091248</v>
      </c>
      <c r="M10" s="105">
        <v>0.68066533803939822</v>
      </c>
      <c r="N10" s="105">
        <v>0.60584145188331606</v>
      </c>
    </row>
    <row r="11" spans="2:14" x14ac:dyDescent="0.2">
      <c r="B11" s="177"/>
      <c r="C11" s="106"/>
      <c r="D11" s="106"/>
      <c r="E11" s="106"/>
      <c r="F11" s="106"/>
      <c r="G11" s="106"/>
    </row>
    <row r="12" spans="2:14" x14ac:dyDescent="0.2">
      <c r="B12" s="109" t="s">
        <v>315</v>
      </c>
      <c r="C12" s="106"/>
      <c r="D12" s="106"/>
      <c r="E12" s="106"/>
      <c r="F12" s="106"/>
      <c r="G12" s="106"/>
    </row>
    <row r="13" spans="2:14" x14ac:dyDescent="0.2">
      <c r="B13" s="176" t="s">
        <v>316</v>
      </c>
      <c r="C13" s="176" t="s">
        <v>92</v>
      </c>
      <c r="D13" s="176" t="s">
        <v>93</v>
      </c>
      <c r="E13" s="175" t="s">
        <v>94</v>
      </c>
      <c r="F13" s="175" t="s">
        <v>95</v>
      </c>
      <c r="G13" s="175" t="s">
        <v>96</v>
      </c>
      <c r="H13" s="175" t="s">
        <v>97</v>
      </c>
      <c r="I13" s="175" t="s">
        <v>98</v>
      </c>
      <c r="J13" s="175" t="s">
        <v>99</v>
      </c>
      <c r="K13" s="175" t="s">
        <v>100</v>
      </c>
      <c r="L13" s="175" t="s">
        <v>101</v>
      </c>
      <c r="M13" s="175" t="s">
        <v>102</v>
      </c>
      <c r="N13" s="175" t="s">
        <v>103</v>
      </c>
    </row>
    <row r="14" spans="2:14" x14ac:dyDescent="0.2">
      <c r="B14" s="175" t="s">
        <v>317</v>
      </c>
      <c r="C14" s="106">
        <v>0.32739731483535339</v>
      </c>
      <c r="D14" s="106">
        <v>0.32861257228595314</v>
      </c>
      <c r="E14" s="106">
        <v>0.32982441022414066</v>
      </c>
      <c r="F14" s="106">
        <v>0.3310294187593868</v>
      </c>
      <c r="G14" s="106">
        <v>0.33222420721785434</v>
      </c>
      <c r="H14" s="105">
        <v>0.33340541368313481</v>
      </c>
      <c r="I14" s="105">
        <v>0.33456971445606687</v>
      </c>
      <c r="J14" s="105">
        <v>0.33571383340701827</v>
      </c>
      <c r="K14" s="105">
        <v>0.33683455119431632</v>
      </c>
      <c r="L14" s="105">
        <v>0.33792871432288668</v>
      </c>
      <c r="M14" s="105">
        <v>0.33899324401761299</v>
      </c>
      <c r="N14" s="105">
        <v>0.34002514488644664</v>
      </c>
    </row>
    <row r="15" spans="2:14" x14ac:dyDescent="0.2">
      <c r="B15" s="175" t="s">
        <v>318</v>
      </c>
      <c r="C15" s="105">
        <v>1.1904617820182022</v>
      </c>
      <c r="D15" s="105">
        <v>1.1936180989210179</v>
      </c>
      <c r="E15" s="105">
        <v>1.1967655345247965</v>
      </c>
      <c r="F15" s="105">
        <v>1.1998952325208527</v>
      </c>
      <c r="G15" s="105">
        <v>1.2029983865108895</v>
      </c>
      <c r="H15" s="105">
        <v>1.2060662647865916</v>
      </c>
      <c r="I15" s="105">
        <v>1.2090902348990593</v>
      </c>
      <c r="J15" s="105">
        <v>1.2120617879489399</v>
      </c>
      <c r="K15" s="105">
        <v>1.2149725625289181</v>
      </c>
      <c r="L15" s="105">
        <v>1.2178143682511875</v>
      </c>
      <c r="M15" s="105">
        <v>1.2205792087937042</v>
      </c>
      <c r="N15" s="105">
        <v>1.2232593044003779</v>
      </c>
    </row>
    <row r="16" spans="2:14" x14ac:dyDescent="0.2">
      <c r="B16" s="106"/>
    </row>
    <row r="17" spans="2:14" x14ac:dyDescent="0.2">
      <c r="B17" s="108" t="s">
        <v>319</v>
      </c>
    </row>
    <row r="18" spans="2:14" x14ac:dyDescent="0.2">
      <c r="B18" s="104" t="s">
        <v>91</v>
      </c>
      <c r="C18" s="104" t="s">
        <v>92</v>
      </c>
      <c r="D18" s="104" t="s">
        <v>93</v>
      </c>
      <c r="E18" s="104" t="s">
        <v>94</v>
      </c>
      <c r="F18" s="104" t="s">
        <v>95</v>
      </c>
      <c r="G18" s="104" t="s">
        <v>96</v>
      </c>
      <c r="H18" s="104" t="s">
        <v>97</v>
      </c>
      <c r="I18" s="104" t="s">
        <v>98</v>
      </c>
      <c r="J18" s="104" t="s">
        <v>99</v>
      </c>
      <c r="K18" s="104" t="s">
        <v>100</v>
      </c>
      <c r="L18" s="104" t="s">
        <v>101</v>
      </c>
      <c r="M18" s="104" t="s">
        <v>102</v>
      </c>
      <c r="N18" s="104" t="s">
        <v>103</v>
      </c>
    </row>
    <row r="19" spans="2:14" x14ac:dyDescent="0.2">
      <c r="B19" s="178" t="s">
        <v>104</v>
      </c>
      <c r="C19" s="105">
        <f>C5</f>
        <v>0.6956776926667162</v>
      </c>
      <c r="D19" s="105">
        <f t="shared" ref="D19:N20" si="0">D5</f>
        <v>0.70893771579435316</v>
      </c>
      <c r="E19" s="105">
        <f t="shared" si="0"/>
        <v>0.67513404971840119</v>
      </c>
      <c r="F19" s="105">
        <f t="shared" si="0"/>
        <v>0.68907855068396406</v>
      </c>
      <c r="G19" s="105">
        <f t="shared" si="0"/>
        <v>0.91155978361089207</v>
      </c>
      <c r="H19" s="105">
        <f t="shared" si="0"/>
        <v>0.57359344981269089</v>
      </c>
      <c r="I19" s="105">
        <f t="shared" si="0"/>
        <v>0.6822598726056387</v>
      </c>
      <c r="J19" s="105">
        <f t="shared" si="0"/>
        <v>0.66468835128811843</v>
      </c>
      <c r="K19" s="105">
        <f t="shared" si="0"/>
        <v>0.76683331412070888</v>
      </c>
      <c r="L19" s="105">
        <f t="shared" si="0"/>
        <v>0.65992305890336511</v>
      </c>
      <c r="M19" s="105">
        <f t="shared" si="0"/>
        <v>0.62523898566967995</v>
      </c>
      <c r="N19" s="105">
        <f t="shared" si="0"/>
        <v>0.54769675105215843</v>
      </c>
    </row>
    <row r="20" spans="2:14" x14ac:dyDescent="0.2">
      <c r="B20" s="178" t="s">
        <v>105</v>
      </c>
      <c r="C20" s="105">
        <f>C6</f>
        <v>0.67720933546487072</v>
      </c>
      <c r="D20" s="105">
        <f t="shared" si="0"/>
        <v>0.73743969299697476</v>
      </c>
      <c r="E20" s="105">
        <f t="shared" si="0"/>
        <v>0.67819143902170453</v>
      </c>
      <c r="F20" s="105">
        <f t="shared" si="0"/>
        <v>0.74410380454096259</v>
      </c>
      <c r="G20" s="105">
        <f t="shared" si="0"/>
        <v>0.77421059855592955</v>
      </c>
      <c r="H20" s="105">
        <f t="shared" si="0"/>
        <v>0.71009494666300721</v>
      </c>
      <c r="I20" s="105">
        <f t="shared" si="0"/>
        <v>0.73053028130024378</v>
      </c>
      <c r="J20" s="105">
        <f t="shared" si="0"/>
        <v>0.72226679137160299</v>
      </c>
      <c r="K20" s="105">
        <f t="shared" si="0"/>
        <v>0.66435578683880925</v>
      </c>
      <c r="L20" s="105">
        <f t="shared" si="0"/>
        <v>0.69154565952031744</v>
      </c>
      <c r="M20" s="105">
        <f t="shared" si="0"/>
        <v>0.73025494978980754</v>
      </c>
      <c r="N20" s="105">
        <f t="shared" si="0"/>
        <v>0.66364164939638304</v>
      </c>
    </row>
    <row r="21" spans="2:14" x14ac:dyDescent="0.2">
      <c r="B21" s="178" t="s">
        <v>106</v>
      </c>
      <c r="C21" s="105">
        <f t="shared" ref="C21:N22" si="1">C7</f>
        <v>0.78429756049083499</v>
      </c>
      <c r="D21" s="105">
        <f t="shared" si="1"/>
        <v>0.74026198392049813</v>
      </c>
      <c r="E21" s="105">
        <f t="shared" si="1"/>
        <v>0.68906069839674056</v>
      </c>
      <c r="F21" s="105">
        <f t="shared" si="1"/>
        <v>0.70282562058970943</v>
      </c>
      <c r="G21" s="105">
        <f t="shared" si="1"/>
        <v>0.74870003453191958</v>
      </c>
      <c r="H21" s="105">
        <f t="shared" si="1"/>
        <v>0.67832171492994686</v>
      </c>
      <c r="I21" s="105">
        <f t="shared" si="1"/>
        <v>0.77689781696284954</v>
      </c>
      <c r="J21" s="105">
        <f t="shared" si="1"/>
        <v>0.95750067177995035</v>
      </c>
      <c r="K21" s="105">
        <f t="shared" si="1"/>
        <v>0.6999546565966337</v>
      </c>
      <c r="L21" s="105">
        <f t="shared" si="1"/>
        <v>0.75450204280241329</v>
      </c>
      <c r="M21" s="105">
        <f t="shared" si="1"/>
        <v>0.80625058998164845</v>
      </c>
      <c r="N21" s="105">
        <f t="shared" si="1"/>
        <v>0.74936342438128234</v>
      </c>
    </row>
    <row r="22" spans="2:14" x14ac:dyDescent="0.2">
      <c r="B22" s="178" t="s">
        <v>107</v>
      </c>
      <c r="C22" s="105">
        <f t="shared" si="1"/>
        <v>0.82686478616593861</v>
      </c>
      <c r="D22" s="105">
        <f t="shared" si="1"/>
        <v>0.77720537521499833</v>
      </c>
      <c r="E22" s="105">
        <f t="shared" si="1"/>
        <v>0.70862843717851665</v>
      </c>
      <c r="F22" s="105">
        <f t="shared" si="1"/>
        <v>0.9567003867028564</v>
      </c>
      <c r="G22" s="105">
        <f t="shared" si="1"/>
        <v>0.6759725694345049</v>
      </c>
      <c r="H22" s="105">
        <f t="shared" si="1"/>
        <v>0.66714753876946375</v>
      </c>
      <c r="I22" s="105">
        <f t="shared" si="1"/>
        <v>0.66499383683211599</v>
      </c>
      <c r="J22" s="105">
        <f t="shared" si="1"/>
        <v>0.66490505621163776</v>
      </c>
      <c r="K22" s="105">
        <f t="shared" si="1"/>
        <v>0.66870438638762031</v>
      </c>
      <c r="L22" s="105">
        <f t="shared" si="1"/>
        <v>0.706971601268927</v>
      </c>
      <c r="M22" s="105">
        <f t="shared" si="1"/>
        <v>0.69987468565327593</v>
      </c>
      <c r="N22" s="105">
        <f t="shared" si="1"/>
        <v>0.67123754563270754</v>
      </c>
    </row>
    <row r="23" spans="2:14" x14ac:dyDescent="0.2">
      <c r="B23" s="178" t="s">
        <v>108</v>
      </c>
      <c r="C23" s="105">
        <f>C9*C14</f>
        <v>0.66163734957558618</v>
      </c>
      <c r="D23" s="105">
        <f t="shared" ref="D23:N24" si="2">D9*D14</f>
        <v>0.66057936001150053</v>
      </c>
      <c r="E23" s="105">
        <f t="shared" si="2"/>
        <v>0.67775704559998085</v>
      </c>
      <c r="F23" s="105">
        <f t="shared" si="2"/>
        <v>0.69573064189454648</v>
      </c>
      <c r="G23" s="105">
        <f t="shared" si="2"/>
        <v>0.68515084600594633</v>
      </c>
      <c r="H23" s="105">
        <f t="shared" si="2"/>
        <v>0.6821958247052512</v>
      </c>
      <c r="I23" s="105">
        <f t="shared" si="2"/>
        <v>0.69976834970281976</v>
      </c>
      <c r="J23" s="105">
        <f t="shared" si="2"/>
        <v>0.69942979524728266</v>
      </c>
      <c r="K23" s="105">
        <f t="shared" si="2"/>
        <v>0.69635827153806007</v>
      </c>
      <c r="L23" s="105">
        <f t="shared" si="2"/>
        <v>0.71155715587944601</v>
      </c>
      <c r="M23" s="105">
        <f t="shared" si="2"/>
        <v>0.68278410629901365</v>
      </c>
      <c r="N23" s="105">
        <f t="shared" si="2"/>
        <v>0.69273280821349836</v>
      </c>
    </row>
    <row r="24" spans="2:14" x14ac:dyDescent="0.2">
      <c r="B24" s="178" t="s">
        <v>109</v>
      </c>
      <c r="C24" s="105">
        <f>C10*C15</f>
        <v>0.78044710269805284</v>
      </c>
      <c r="D24" s="105">
        <f t="shared" si="2"/>
        <v>0.77144627671774024</v>
      </c>
      <c r="E24" s="105">
        <f t="shared" si="2"/>
        <v>0.76729753138823442</v>
      </c>
      <c r="F24" s="105">
        <f t="shared" si="2"/>
        <v>0.80916185809451147</v>
      </c>
      <c r="G24" s="105">
        <f t="shared" si="2"/>
        <v>0.80035704903455052</v>
      </c>
      <c r="H24" s="105">
        <f t="shared" si="2"/>
        <v>0.83151530744306368</v>
      </c>
      <c r="I24" s="105">
        <f t="shared" si="2"/>
        <v>0.74947588972083967</v>
      </c>
      <c r="J24" s="105">
        <f t="shared" si="2"/>
        <v>0.77426036841112567</v>
      </c>
      <c r="K24" s="105">
        <f t="shared" si="2"/>
        <v>0.8446048255682137</v>
      </c>
      <c r="L24" s="105">
        <f t="shared" si="2"/>
        <v>0.79809675086131815</v>
      </c>
      <c r="M24" s="105">
        <f t="shared" si="2"/>
        <v>0.83080595975742788</v>
      </c>
      <c r="N24" s="105">
        <f t="shared" si="2"/>
        <v>0.74110119300770017</v>
      </c>
    </row>
    <row r="25" spans="2:14" x14ac:dyDescent="0.2">
      <c r="B25" s="177"/>
    </row>
    <row r="26" spans="2:14" x14ac:dyDescent="0.2">
      <c r="B26" s="109" t="s">
        <v>320</v>
      </c>
    </row>
    <row r="27" spans="2:14" x14ac:dyDescent="0.2">
      <c r="B27" s="104" t="s">
        <v>321</v>
      </c>
      <c r="C27" s="104" t="s">
        <v>92</v>
      </c>
      <c r="D27" s="104" t="s">
        <v>93</v>
      </c>
      <c r="E27" s="104" t="s">
        <v>94</v>
      </c>
      <c r="F27" s="104" t="s">
        <v>95</v>
      </c>
      <c r="G27" s="104" t="s">
        <v>96</v>
      </c>
      <c r="H27" s="104" t="s">
        <v>97</v>
      </c>
      <c r="I27" s="104" t="s">
        <v>98</v>
      </c>
      <c r="J27" s="104" t="s">
        <v>99</v>
      </c>
      <c r="K27" s="104" t="s">
        <v>100</v>
      </c>
      <c r="L27" s="104" t="s">
        <v>101</v>
      </c>
      <c r="M27" s="104" t="s">
        <v>102</v>
      </c>
      <c r="N27" s="104" t="s">
        <v>103</v>
      </c>
    </row>
    <row r="28" spans="2:14" x14ac:dyDescent="0.2">
      <c r="B28" s="104" t="s">
        <v>104</v>
      </c>
      <c r="C28" s="105">
        <f>IF(C19&lt;=raw_materials!$D17,raw_materials!$C17,IF(C19&lt;=raw_materials!$F17,raw_materials!$E17,IF(C19&lt;=raw_materials!$H17,raw_materials!$G17,0)))</f>
        <v>1</v>
      </c>
      <c r="D28" s="105">
        <f>IF(D19&lt;=raw_materials!$D17,raw_materials!$C17,IF(D19&lt;=raw_materials!$F17,raw_materials!$E17,IF(D19&lt;=raw_materials!$H17,raw_materials!$G17,0)))</f>
        <v>0.9</v>
      </c>
      <c r="E28" s="105">
        <f>IF(E19&lt;=raw_materials!$D17,raw_materials!$C17,IF(E19&lt;=raw_materials!$F17,raw_materials!$E17,IF(E19&lt;=raw_materials!$H17,raw_materials!$G17,0)))</f>
        <v>1</v>
      </c>
      <c r="F28" s="105">
        <f>IF(F19&lt;=raw_materials!$D17,raw_materials!$C17,IF(F19&lt;=raw_materials!$F17,raw_materials!$E17,IF(F19&lt;=raw_materials!$H17,raw_materials!$G17,0)))</f>
        <v>1</v>
      </c>
      <c r="G28" s="105">
        <f>IF(G19&lt;=raw_materials!$D17,raw_materials!$C17,IF(G19&lt;=raw_materials!$F17,raw_materials!$E17,IF(G19&lt;=raw_materials!$H17,raw_materials!$G17,0)))</f>
        <v>0.9</v>
      </c>
      <c r="H28" s="105">
        <f>IF(H19&lt;=raw_materials!$D17,raw_materials!$C17,IF(H19&lt;=raw_materials!$F17,raw_materials!$E17,IF(H19&lt;=raw_materials!$H17,raw_materials!$G17,0)))</f>
        <v>1.1000000000000001</v>
      </c>
      <c r="I28" s="105">
        <f>IF(I19&lt;=raw_materials!$D17,raw_materials!$C17,IF(I19&lt;=raw_materials!$F17,raw_materials!$E17,IF(I19&lt;=raw_materials!$H17,raw_materials!$G17,0)))</f>
        <v>1</v>
      </c>
      <c r="J28" s="105">
        <f>IF(J19&lt;=raw_materials!$D17,raw_materials!$C17,IF(J19&lt;=raw_materials!$F17,raw_materials!$E17,IF(J19&lt;=raw_materials!$H17,raw_materials!$G17,0)))</f>
        <v>1</v>
      </c>
      <c r="K28" s="105">
        <f>IF(K19&lt;=raw_materials!$D17,raw_materials!$C17,IF(K19&lt;=raw_materials!$F17,raw_materials!$E17,IF(K19&lt;=raw_materials!$H17,raw_materials!$G17,0)))</f>
        <v>0.9</v>
      </c>
      <c r="L28" s="105">
        <f>IF(L19&lt;=raw_materials!$D17,raw_materials!$C17,IF(L19&lt;=raw_materials!$F17,raw_materials!$E17,IF(L19&lt;=raw_materials!$H17,raw_materials!$G17,0)))</f>
        <v>1</v>
      </c>
      <c r="M28" s="105">
        <f>IF(M19&lt;=raw_materials!$D17,raw_materials!$C17,IF(M19&lt;=raw_materials!$F17,raw_materials!$E17,IF(M19&lt;=raw_materials!$H17,raw_materials!$G17,0)))</f>
        <v>1</v>
      </c>
      <c r="N28" s="105">
        <f>IF(N19&lt;=raw_materials!$D17,raw_materials!$C17,IF(N19&lt;=raw_materials!$F17,raw_materials!$E17,IF(N19&lt;=raw_materials!$H17,raw_materials!$G17,0)))</f>
        <v>1.1000000000000001</v>
      </c>
    </row>
    <row r="29" spans="2:14" x14ac:dyDescent="0.2">
      <c r="B29" s="104" t="s">
        <v>105</v>
      </c>
      <c r="C29" s="105">
        <f>IF(C20&lt;=raw_materials!$D18,raw_materials!$C18,IF(C20&lt;=raw_materials!$F18,raw_materials!$E18,IF(C20&lt;=raw_materials!$H18,raw_materials!$G18,0)))</f>
        <v>1</v>
      </c>
      <c r="D29" s="105">
        <f>IF(D20&lt;=raw_materials!$D18,raw_materials!$C18,IF(D20&lt;=raw_materials!$F18,raw_materials!$E18,IF(D20&lt;=raw_materials!$H18,raw_materials!$G18,0)))</f>
        <v>1</v>
      </c>
      <c r="E29" s="105">
        <f>IF(E20&lt;=raw_materials!$D18,raw_materials!$C18,IF(E20&lt;=raw_materials!$F18,raw_materials!$E18,IF(E20&lt;=raw_materials!$H18,raw_materials!$G18,0)))</f>
        <v>1</v>
      </c>
      <c r="F29" s="105">
        <f>IF(F20&lt;=raw_materials!$D18,raw_materials!$C18,IF(F20&lt;=raw_materials!$F18,raw_materials!$E18,IF(F20&lt;=raw_materials!$H18,raw_materials!$G18,0)))</f>
        <v>1</v>
      </c>
      <c r="G29" s="105">
        <f>IF(G20&lt;=raw_materials!$D18,raw_materials!$C18,IF(G20&lt;=raw_materials!$F18,raw_materials!$E18,IF(G20&lt;=raw_materials!$H18,raw_materials!$G18,0)))</f>
        <v>1</v>
      </c>
      <c r="H29" s="105">
        <f>IF(H20&lt;=raw_materials!$D18,raw_materials!$C18,IF(H20&lt;=raw_materials!$F18,raw_materials!$E18,IF(H20&lt;=raw_materials!$H18,raw_materials!$G18,0)))</f>
        <v>1</v>
      </c>
      <c r="I29" s="105">
        <f>IF(I20&lt;=raw_materials!$D18,raw_materials!$C18,IF(I20&lt;=raw_materials!$F18,raw_materials!$E18,IF(I20&lt;=raw_materials!$H18,raw_materials!$G18,0)))</f>
        <v>1</v>
      </c>
      <c r="J29" s="105">
        <f>IF(J20&lt;=raw_materials!$D18,raw_materials!$C18,IF(J20&lt;=raw_materials!$F18,raw_materials!$E18,IF(J20&lt;=raw_materials!$H18,raw_materials!$G18,0)))</f>
        <v>1</v>
      </c>
      <c r="K29" s="105">
        <f>IF(K20&lt;=raw_materials!$D18,raw_materials!$C18,IF(K20&lt;=raw_materials!$F18,raw_materials!$E18,IF(K20&lt;=raw_materials!$H18,raw_materials!$G18,0)))</f>
        <v>1</v>
      </c>
      <c r="L29" s="105">
        <f>IF(L20&lt;=raw_materials!$D18,raw_materials!$C18,IF(L20&lt;=raw_materials!$F18,raw_materials!$E18,IF(L20&lt;=raw_materials!$H18,raw_materials!$G18,0)))</f>
        <v>1</v>
      </c>
      <c r="M29" s="105">
        <f>IF(M20&lt;=raw_materials!$D18,raw_materials!$C18,IF(M20&lt;=raw_materials!$F18,raw_materials!$E18,IF(M20&lt;=raw_materials!$H18,raw_materials!$G18,0)))</f>
        <v>1</v>
      </c>
      <c r="N29" s="105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4" t="s">
        <v>106</v>
      </c>
      <c r="C30" s="105">
        <f>IF(C21&lt;=raw_materials!$D19,raw_materials!$C19,IF(C21&lt;=raw_materials!$F19,raw_materials!$E19,IF(C21&lt;=raw_materials!$H19,raw_materials!$G19,0)))</f>
        <v>1</v>
      </c>
      <c r="D30" s="105">
        <f>IF(D21&lt;=raw_materials!$D19,raw_materials!$C19,IF(D21&lt;=raw_materials!$F19,raw_materials!$E19,IF(D21&lt;=raw_materials!$H19,raw_materials!$G19,0)))</f>
        <v>1</v>
      </c>
      <c r="E30" s="105">
        <f>IF(E21&lt;=raw_materials!$D19,raw_materials!$C19,IF(E21&lt;=raw_materials!$F19,raw_materials!$E19,IF(E21&lt;=raw_materials!$H19,raw_materials!$G19,0)))</f>
        <v>1.1000000000000001</v>
      </c>
      <c r="F30" s="105">
        <f>IF(F21&lt;=raw_materials!$D19,raw_materials!$C19,IF(F21&lt;=raw_materials!$F19,raw_materials!$E19,IF(F21&lt;=raw_materials!$H19,raw_materials!$G19,0)))</f>
        <v>1.1000000000000001</v>
      </c>
      <c r="G30" s="105">
        <f>IF(G21&lt;=raw_materials!$D19,raw_materials!$C19,IF(G21&lt;=raw_materials!$F19,raw_materials!$E19,IF(G21&lt;=raw_materials!$H19,raw_materials!$G19,0)))</f>
        <v>1</v>
      </c>
      <c r="H30" s="105">
        <f>IF(H21&lt;=raw_materials!$D19,raw_materials!$C19,IF(H21&lt;=raw_materials!$F19,raw_materials!$E19,IF(H21&lt;=raw_materials!$H19,raw_materials!$G19,0)))</f>
        <v>1.1000000000000001</v>
      </c>
      <c r="I30" s="105">
        <f>IF(I21&lt;=raw_materials!$D19,raw_materials!$C19,IF(I21&lt;=raw_materials!$F19,raw_materials!$E19,IF(I21&lt;=raw_materials!$H19,raw_materials!$G19,0)))</f>
        <v>1</v>
      </c>
      <c r="J30" s="105">
        <f>IF(J21&lt;=raw_materials!$D19,raw_materials!$C19,IF(J21&lt;=raw_materials!$F19,raw_materials!$E19,IF(J21&lt;=raw_materials!$H19,raw_materials!$G19,0)))</f>
        <v>0.9</v>
      </c>
      <c r="K30" s="105">
        <f>IF(K21&lt;=raw_materials!$D19,raw_materials!$C19,IF(K21&lt;=raw_materials!$F19,raw_materials!$E19,IF(K21&lt;=raw_materials!$H19,raw_materials!$G19,0)))</f>
        <v>1.1000000000000001</v>
      </c>
      <c r="L30" s="105">
        <f>IF(L21&lt;=raw_materials!$D19,raw_materials!$C19,IF(L21&lt;=raw_materials!$F19,raw_materials!$E19,IF(L21&lt;=raw_materials!$H19,raw_materials!$G19,0)))</f>
        <v>1</v>
      </c>
      <c r="M30" s="105">
        <f>IF(M21&lt;=raw_materials!$D19,raw_materials!$C19,IF(M21&lt;=raw_materials!$F19,raw_materials!$E19,IF(M21&lt;=raw_materials!$H19,raw_materials!$G19,0)))</f>
        <v>1</v>
      </c>
      <c r="N30" s="105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4" t="s">
        <v>107</v>
      </c>
      <c r="C31" s="105">
        <f>IF(C22&lt;=raw_materials!$D20,raw_materials!$C20,IF(C22&lt;=raw_materials!$F20,raw_materials!$E20,IF(C22&lt;=raw_materials!$H20,raw_materials!$G20,0)))</f>
        <v>1</v>
      </c>
      <c r="D31" s="105">
        <f>IF(D22&lt;=raw_materials!$D20,raw_materials!$C20,IF(D22&lt;=raw_materials!$F20,raw_materials!$E20,IF(D22&lt;=raw_materials!$H20,raw_materials!$G20,0)))</f>
        <v>1</v>
      </c>
      <c r="E31" s="105">
        <f>IF(E22&lt;=raw_materials!$D20,raw_materials!$C20,IF(E22&lt;=raw_materials!$F20,raw_materials!$E20,IF(E22&lt;=raw_materials!$H20,raw_materials!$G20,0)))</f>
        <v>1</v>
      </c>
      <c r="F31" s="105">
        <f>IF(F22&lt;=raw_materials!$D20,raw_materials!$C20,IF(F22&lt;=raw_materials!$F20,raw_materials!$E20,IF(F22&lt;=raw_materials!$H20,raw_materials!$G20,0)))</f>
        <v>1</v>
      </c>
      <c r="G31" s="105">
        <f>IF(G22&lt;=raw_materials!$D20,raw_materials!$C20,IF(G22&lt;=raw_materials!$F20,raw_materials!$E20,IF(G22&lt;=raw_materials!$H20,raw_materials!$G20,0)))</f>
        <v>1</v>
      </c>
      <c r="H31" s="105">
        <f>IF(H22&lt;=raw_materials!$D20,raw_materials!$C20,IF(H22&lt;=raw_materials!$F20,raw_materials!$E20,IF(H22&lt;=raw_materials!$H20,raw_materials!$G20,0)))</f>
        <v>1</v>
      </c>
      <c r="I31" s="105">
        <f>IF(I22&lt;=raw_materials!$D20,raw_materials!$C20,IF(I22&lt;=raw_materials!$F20,raw_materials!$E20,IF(I22&lt;=raw_materials!$H20,raw_materials!$G20,0)))</f>
        <v>1</v>
      </c>
      <c r="J31" s="105">
        <f>IF(J22&lt;=raw_materials!$D20,raw_materials!$C20,IF(J22&lt;=raw_materials!$F20,raw_materials!$E20,IF(J22&lt;=raw_materials!$H20,raw_materials!$G20,0)))</f>
        <v>1</v>
      </c>
      <c r="K31" s="105">
        <f>IF(K22&lt;=raw_materials!$D20,raw_materials!$C20,IF(K22&lt;=raw_materials!$F20,raw_materials!$E20,IF(K22&lt;=raw_materials!$H20,raw_materials!$G20,0)))</f>
        <v>1</v>
      </c>
      <c r="L31" s="105">
        <f>IF(L22&lt;=raw_materials!$D20,raw_materials!$C20,IF(L22&lt;=raw_materials!$F20,raw_materials!$E20,IF(L22&lt;=raw_materials!$H20,raw_materials!$G20,0)))</f>
        <v>1</v>
      </c>
      <c r="M31" s="105">
        <f>IF(M22&lt;=raw_materials!$D20,raw_materials!$C20,IF(M22&lt;=raw_materials!$F20,raw_materials!$E20,IF(M22&lt;=raw_materials!$H20,raw_materials!$G20,0)))</f>
        <v>1</v>
      </c>
      <c r="N31" s="105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4" t="s">
        <v>108</v>
      </c>
      <c r="C32" s="105">
        <f>IF(C23&lt;=raw_materials!$D21,raw_materials!$C21,IF(C23&lt;=raw_materials!$F21,raw_materials!$E21,IF(C23&lt;=raw_materials!$H21,raw_materials!$G21,0)))</f>
        <v>1</v>
      </c>
      <c r="D32" s="105">
        <f>IF(D23&lt;=raw_materials!$D21,raw_materials!$C21,IF(D23&lt;=raw_materials!$F21,raw_materials!$E21,IF(D23&lt;=raw_materials!$H21,raw_materials!$G21,0)))</f>
        <v>1</v>
      </c>
      <c r="E32" s="105">
        <f>IF(E23&lt;=raw_materials!$D21,raw_materials!$C21,IF(E23&lt;=raw_materials!$F21,raw_materials!$E21,IF(E23&lt;=raw_materials!$H21,raw_materials!$G21,0)))</f>
        <v>1</v>
      </c>
      <c r="F32" s="105">
        <f>IF(F23&lt;=raw_materials!$D21,raw_materials!$C21,IF(F23&lt;=raw_materials!$F21,raw_materials!$E21,IF(F23&lt;=raw_materials!$H21,raw_materials!$G21,0)))</f>
        <v>1</v>
      </c>
      <c r="G32" s="105">
        <f>IF(G23&lt;=raw_materials!$D21,raw_materials!$C21,IF(G23&lt;=raw_materials!$F21,raw_materials!$E21,IF(G23&lt;=raw_materials!$H21,raw_materials!$G21,0)))</f>
        <v>1</v>
      </c>
      <c r="H32" s="105">
        <f>IF(H23&lt;=raw_materials!$D21,raw_materials!$C21,IF(H23&lt;=raw_materials!$F21,raw_materials!$E21,IF(H23&lt;=raw_materials!$H21,raw_materials!$G21,0)))</f>
        <v>1</v>
      </c>
      <c r="I32" s="105">
        <f>IF(I23&lt;=raw_materials!$D21,raw_materials!$C21,IF(I23&lt;=raw_materials!$F21,raw_materials!$E21,IF(I23&lt;=raw_materials!$H21,raw_materials!$G21,0)))</f>
        <v>1</v>
      </c>
      <c r="J32" s="105">
        <f>IF(J23&lt;=raw_materials!$D21,raw_materials!$C21,IF(J23&lt;=raw_materials!$F21,raw_materials!$E21,IF(J23&lt;=raw_materials!$H21,raw_materials!$G21,0)))</f>
        <v>1</v>
      </c>
      <c r="K32" s="105">
        <f>IF(K23&lt;=raw_materials!$D21,raw_materials!$C21,IF(K23&lt;=raw_materials!$F21,raw_materials!$E21,IF(K23&lt;=raw_materials!$H21,raw_materials!$G21,0)))</f>
        <v>1</v>
      </c>
      <c r="L32" s="105">
        <f>IF(L23&lt;=raw_materials!$D21,raw_materials!$C21,IF(L23&lt;=raw_materials!$F21,raw_materials!$E21,IF(L23&lt;=raw_materials!$H21,raw_materials!$G21,0)))</f>
        <v>1</v>
      </c>
      <c r="M32" s="105">
        <f>IF(M23&lt;=raw_materials!$D21,raw_materials!$C21,IF(M23&lt;=raw_materials!$F21,raw_materials!$E21,IF(M23&lt;=raw_materials!$H21,raw_materials!$G21,0)))</f>
        <v>1</v>
      </c>
      <c r="N32" s="105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4" t="s">
        <v>109</v>
      </c>
      <c r="C33" s="105">
        <f>IF(C24&lt;=raw_materials!$D22,raw_materials!$C22,IF(C24&lt;=raw_materials!$F22,raw_materials!$E22,IF(C24&lt;=raw_materials!$H22,raw_materials!$G22,0)))</f>
        <v>1</v>
      </c>
      <c r="D33" s="105">
        <f>IF(D24&lt;=raw_materials!$D22,raw_materials!$C22,IF(D24&lt;=raw_materials!$F22,raw_materials!$E22,IF(D24&lt;=raw_materials!$H22,raw_materials!$G22,0)))</f>
        <v>1</v>
      </c>
      <c r="E33" s="105">
        <f>IF(E24&lt;=raw_materials!$D22,raw_materials!$C22,IF(E24&lt;=raw_materials!$F22,raw_materials!$E22,IF(E24&lt;=raw_materials!$H22,raw_materials!$G22,0)))</f>
        <v>1</v>
      </c>
      <c r="F33" s="105">
        <f>IF(F24&lt;=raw_materials!$D22,raw_materials!$C22,IF(F24&lt;=raw_materials!$F22,raw_materials!$E22,IF(F24&lt;=raw_materials!$H22,raw_materials!$G22,0)))</f>
        <v>1</v>
      </c>
      <c r="G33" s="105">
        <f>IF(G24&lt;=raw_materials!$D22,raw_materials!$C22,IF(G24&lt;=raw_materials!$F22,raw_materials!$E22,IF(G24&lt;=raw_materials!$H22,raw_materials!$G22,0)))</f>
        <v>1</v>
      </c>
      <c r="H33" s="105">
        <f>IF(H24&lt;=raw_materials!$D22,raw_materials!$C22,IF(H24&lt;=raw_materials!$F22,raw_materials!$E22,IF(H24&lt;=raw_materials!$H22,raw_materials!$G22,0)))</f>
        <v>1</v>
      </c>
      <c r="I33" s="105">
        <f>IF(I24&lt;=raw_materials!$D22,raw_materials!$C22,IF(I24&lt;=raw_materials!$F22,raw_materials!$E22,IF(I24&lt;=raw_materials!$H22,raw_materials!$G22,0)))</f>
        <v>1</v>
      </c>
      <c r="J33" s="105">
        <f>IF(J24&lt;=raw_materials!$D22,raw_materials!$C22,IF(J24&lt;=raw_materials!$F22,raw_materials!$E22,IF(J24&lt;=raw_materials!$H22,raw_materials!$G22,0)))</f>
        <v>1</v>
      </c>
      <c r="K33" s="105">
        <f>IF(K24&lt;=raw_materials!$D22,raw_materials!$C22,IF(K24&lt;=raw_materials!$F22,raw_materials!$E22,IF(K24&lt;=raw_materials!$H22,raw_materials!$G22,0)))</f>
        <v>1</v>
      </c>
      <c r="L33" s="105">
        <f>IF(L24&lt;=raw_materials!$D22,raw_materials!$C22,IF(L24&lt;=raw_materials!$F22,raw_materials!$E22,IF(L24&lt;=raw_materials!$H22,raw_materials!$G22,0)))</f>
        <v>1</v>
      </c>
      <c r="M33" s="105">
        <f>IF(M24&lt;=raw_materials!$D22,raw_materials!$C22,IF(M24&lt;=raw_materials!$F22,raw_materials!$E22,IF(M24&lt;=raw_materials!$H22,raw_materials!$G22,0)))</f>
        <v>1</v>
      </c>
      <c r="N33" s="105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8" t="s">
        <v>322</v>
      </c>
    </row>
    <row r="36" spans="2:50" x14ac:dyDescent="0.2">
      <c r="B36" s="175" t="s">
        <v>274</v>
      </c>
      <c r="C36" s="175" t="s">
        <v>92</v>
      </c>
      <c r="D36" s="106"/>
      <c r="E36" s="106"/>
      <c r="F36" s="106"/>
      <c r="G36" s="175" t="s">
        <v>93</v>
      </c>
      <c r="H36" s="106"/>
      <c r="I36" s="106"/>
      <c r="J36" s="106"/>
      <c r="K36" s="175" t="s">
        <v>94</v>
      </c>
      <c r="L36" s="106"/>
      <c r="M36" s="106"/>
      <c r="N36" s="106"/>
      <c r="O36" s="175" t="s">
        <v>95</v>
      </c>
      <c r="P36" s="106"/>
      <c r="Q36" s="106"/>
      <c r="R36" s="106"/>
      <c r="S36" s="175" t="s">
        <v>96</v>
      </c>
      <c r="T36" s="106"/>
      <c r="U36" s="106"/>
      <c r="V36" s="106"/>
      <c r="W36" s="175" t="s">
        <v>97</v>
      </c>
      <c r="X36" s="106"/>
      <c r="Y36" s="106"/>
      <c r="Z36" s="106"/>
      <c r="AA36" s="175" t="s">
        <v>98</v>
      </c>
      <c r="AB36" s="106"/>
      <c r="AC36" s="106"/>
      <c r="AD36" s="106"/>
      <c r="AE36" s="175" t="s">
        <v>99</v>
      </c>
      <c r="AF36" s="106"/>
      <c r="AG36" s="106"/>
      <c r="AH36" s="106"/>
      <c r="AI36" s="175" t="s">
        <v>100</v>
      </c>
      <c r="AJ36" s="106"/>
      <c r="AK36" s="106"/>
      <c r="AL36" s="106"/>
      <c r="AM36" s="175" t="s">
        <v>101</v>
      </c>
      <c r="AN36" s="106"/>
      <c r="AO36" s="106"/>
      <c r="AP36" s="106"/>
      <c r="AQ36" s="175" t="s">
        <v>102</v>
      </c>
      <c r="AR36" s="106"/>
      <c r="AS36" s="106"/>
      <c r="AT36" s="106"/>
      <c r="AU36" s="175" t="s">
        <v>103</v>
      </c>
      <c r="AV36" s="106"/>
      <c r="AW36" s="106"/>
      <c r="AX36" s="106"/>
    </row>
    <row r="37" spans="2:50" x14ac:dyDescent="0.2">
      <c r="B37" s="175" t="s">
        <v>323</v>
      </c>
      <c r="C37" s="175">
        <v>1</v>
      </c>
      <c r="D37" s="175">
        <v>2</v>
      </c>
      <c r="E37" s="175">
        <v>3</v>
      </c>
      <c r="F37" s="175">
        <v>4</v>
      </c>
      <c r="G37" s="175">
        <v>1</v>
      </c>
      <c r="H37" s="175">
        <v>2</v>
      </c>
      <c r="I37" s="175">
        <v>3</v>
      </c>
      <c r="J37" s="175">
        <v>4</v>
      </c>
      <c r="K37" s="175">
        <v>1</v>
      </c>
      <c r="L37" s="175">
        <v>2</v>
      </c>
      <c r="M37" s="175">
        <v>3</v>
      </c>
      <c r="N37" s="175">
        <v>4</v>
      </c>
      <c r="O37" s="175">
        <v>1</v>
      </c>
      <c r="P37" s="175">
        <v>2</v>
      </c>
      <c r="Q37" s="175">
        <v>3</v>
      </c>
      <c r="R37" s="175">
        <v>4</v>
      </c>
      <c r="S37" s="175">
        <v>1</v>
      </c>
      <c r="T37" s="175">
        <v>2</v>
      </c>
      <c r="U37" s="175">
        <v>3</v>
      </c>
      <c r="V37" s="175">
        <v>4</v>
      </c>
      <c r="W37" s="175">
        <v>1</v>
      </c>
      <c r="X37" s="175">
        <v>2</v>
      </c>
      <c r="Y37" s="175">
        <v>3</v>
      </c>
      <c r="Z37" s="175">
        <v>4</v>
      </c>
      <c r="AA37" s="175">
        <v>1</v>
      </c>
      <c r="AB37" s="175">
        <v>2</v>
      </c>
      <c r="AC37" s="175">
        <v>3</v>
      </c>
      <c r="AD37" s="175">
        <v>4</v>
      </c>
      <c r="AE37" s="175">
        <v>1</v>
      </c>
      <c r="AF37" s="175">
        <v>2</v>
      </c>
      <c r="AG37" s="175">
        <v>3</v>
      </c>
      <c r="AH37" s="175">
        <v>4</v>
      </c>
      <c r="AI37" s="175">
        <v>1</v>
      </c>
      <c r="AJ37" s="175">
        <v>2</v>
      </c>
      <c r="AK37" s="175">
        <v>3</v>
      </c>
      <c r="AL37" s="175">
        <v>4</v>
      </c>
      <c r="AM37" s="175">
        <v>1</v>
      </c>
      <c r="AN37" s="175">
        <v>2</v>
      </c>
      <c r="AO37" s="175">
        <v>3</v>
      </c>
      <c r="AP37" s="175">
        <v>4</v>
      </c>
      <c r="AQ37" s="175">
        <v>1</v>
      </c>
      <c r="AR37" s="175">
        <v>2</v>
      </c>
      <c r="AS37" s="175">
        <v>3</v>
      </c>
      <c r="AT37" s="175">
        <v>4</v>
      </c>
      <c r="AU37" s="175">
        <v>1</v>
      </c>
      <c r="AV37" s="175">
        <v>2</v>
      </c>
      <c r="AW37" s="175">
        <v>3</v>
      </c>
      <c r="AX37" s="175">
        <v>4</v>
      </c>
    </row>
    <row r="38" spans="2:50" x14ac:dyDescent="0.2">
      <c r="B38" s="175" t="s">
        <v>104</v>
      </c>
      <c r="C38" s="105">
        <v>25054.902514011505</v>
      </c>
      <c r="D38" s="105">
        <v>25109.81675262624</v>
      </c>
      <c r="E38" s="105">
        <v>25164.733912812586</v>
      </c>
      <c r="F38" s="105">
        <v>17653.751630931863</v>
      </c>
      <c r="G38" s="105">
        <v>25274.541764850626</v>
      </c>
      <c r="H38" s="105">
        <v>17730.590384044619</v>
      </c>
      <c r="I38" s="105">
        <v>17768.978908664292</v>
      </c>
      <c r="J38" s="105">
        <v>25439.055203174696</v>
      </c>
      <c r="K38" s="105">
        <v>25493.804885647136</v>
      </c>
      <c r="L38" s="105">
        <v>25548.495829201689</v>
      </c>
      <c r="M38" s="105">
        <v>25603.119238151201</v>
      </c>
      <c r="N38" s="105">
        <v>25657.666324691218</v>
      </c>
      <c r="O38" s="105">
        <v>25712.128310447646</v>
      </c>
      <c r="P38" s="105">
        <v>25766.496428023554</v>
      </c>
      <c r="Q38" s="105">
        <v>25820.761922544945</v>
      </c>
      <c r="R38" s="105">
        <v>25874.916053205223</v>
      </c>
      <c r="S38" s="105">
        <v>10371.580037923221</v>
      </c>
      <c r="T38" s="105">
        <v>10393.142135723308</v>
      </c>
      <c r="U38" s="105">
        <v>10414.649238940299</v>
      </c>
      <c r="V38" s="105">
        <v>26090.24469980675</v>
      </c>
      <c r="W38" s="105">
        <v>26143.711499307632</v>
      </c>
      <c r="X38" s="105">
        <v>26197.014871775551</v>
      </c>
      <c r="Y38" s="105">
        <v>26250.146217950878</v>
      </c>
      <c r="Z38" s="105">
        <v>26303.096964916222</v>
      </c>
      <c r="AA38" s="105">
        <v>26355.858567616488</v>
      </c>
      <c r="AB38" s="105">
        <v>26408.422510375025</v>
      </c>
      <c r="AC38" s="105">
        <v>26460.780308405316</v>
      </c>
      <c r="AD38" s="105">
        <v>26512.923509318131</v>
      </c>
      <c r="AE38" s="105">
        <v>26564.8436946238</v>
      </c>
      <c r="AF38" s="105">
        <v>26616.532481229282</v>
      </c>
      <c r="AG38" s="105">
        <v>26667.981522929855</v>
      </c>
      <c r="AH38" s="105">
        <v>26719.182511895149</v>
      </c>
      <c r="AI38" s="105">
        <v>18739.089026104397</v>
      </c>
      <c r="AJ38" s="105">
        <v>18774.565110730822</v>
      </c>
      <c r="AK38" s="105">
        <v>18809.850283509291</v>
      </c>
      <c r="AL38" s="105">
        <v>18844.938846722496</v>
      </c>
      <c r="AM38" s="105">
        <v>18879.825134649927</v>
      </c>
      <c r="AN38" s="105">
        <v>27020.719306543244</v>
      </c>
      <c r="AO38" s="105">
        <v>27069.954839740756</v>
      </c>
      <c r="AP38" s="105">
        <v>27118.877415268147</v>
      </c>
      <c r="AQ38" s="105">
        <v>27167.47913646403</v>
      </c>
      <c r="AR38" s="105">
        <v>27215.752159530173</v>
      </c>
      <c r="AS38" s="105">
        <v>27263.688694937566</v>
      </c>
      <c r="AT38" s="105">
        <v>27311.281008823513</v>
      </c>
      <c r="AU38" s="105">
        <v>27358.521424379818</v>
      </c>
      <c r="AV38" s="105">
        <v>27405.40232323145</v>
      </c>
      <c r="AW38" s="105">
        <v>27451.916146805794</v>
      </c>
      <c r="AX38" s="105">
        <v>27498.055397691911</v>
      </c>
    </row>
    <row r="39" spans="2:50" x14ac:dyDescent="0.2">
      <c r="B39" s="175" t="s">
        <v>105</v>
      </c>
      <c r="C39" s="105">
        <v>15032.941508406904</v>
      </c>
      <c r="D39" s="105">
        <v>15065.890051575743</v>
      </c>
      <c r="E39" s="105">
        <v>15098.84034768755</v>
      </c>
      <c r="F39" s="105">
        <v>15131.787112227312</v>
      </c>
      <c r="G39" s="105">
        <v>15164.725058910377</v>
      </c>
      <c r="H39" s="105">
        <v>15197.648900609674</v>
      </c>
      <c r="I39" s="105">
        <v>15230.553350283679</v>
      </c>
      <c r="J39" s="105">
        <v>10684.403185333371</v>
      </c>
      <c r="K39" s="105">
        <v>15296.282931388283</v>
      </c>
      <c r="L39" s="105">
        <v>15329.097497521014</v>
      </c>
      <c r="M39" s="105">
        <v>15361.87154289072</v>
      </c>
      <c r="N39" s="105">
        <v>15394.599794814729</v>
      </c>
      <c r="O39" s="105">
        <v>1542.7276986268589</v>
      </c>
      <c r="P39" s="105">
        <v>15459.897856814132</v>
      </c>
      <c r="Q39" s="105">
        <v>15492.457153526968</v>
      </c>
      <c r="R39" s="105">
        <v>15524.949631923135</v>
      </c>
      <c r="S39" s="105">
        <v>6222.9480227539325</v>
      </c>
      <c r="T39" s="105">
        <v>15589.713203584963</v>
      </c>
      <c r="U39" s="105">
        <v>15621.973858410449</v>
      </c>
      <c r="V39" s="105">
        <v>15654.14681988405</v>
      </c>
      <c r="W39" s="105">
        <v>15686.226899584581</v>
      </c>
      <c r="X39" s="105">
        <v>15718.208923065331</v>
      </c>
      <c r="Y39" s="105">
        <v>15750.087730770527</v>
      </c>
      <c r="Z39" s="105">
        <v>15781.858178949733</v>
      </c>
      <c r="AA39" s="105">
        <v>15813.515140569893</v>
      </c>
      <c r="AB39" s="105">
        <v>15845.053506225015</v>
      </c>
      <c r="AC39" s="105">
        <v>6350.5872740172754</v>
      </c>
      <c r="AD39" s="105">
        <v>15907.754105590879</v>
      </c>
      <c r="AE39" s="105">
        <v>15938.90621677428</v>
      </c>
      <c r="AF39" s="105">
        <v>15969.919488737569</v>
      </c>
      <c r="AG39" s="105">
        <v>16000.788913757913</v>
      </c>
      <c r="AH39" s="105">
        <v>16031.509507137089</v>
      </c>
      <c r="AI39" s="105">
        <v>16062.076308089485</v>
      </c>
      <c r="AJ39" s="105">
        <v>16092.48438062642</v>
      </c>
      <c r="AK39" s="105">
        <v>16122.728814436536</v>
      </c>
      <c r="AL39" s="105">
        <v>16152.80472576214</v>
      </c>
      <c r="AM39" s="105">
        <v>16182.707258271368</v>
      </c>
      <c r="AN39" s="105">
        <v>16212.431583925947</v>
      </c>
      <c r="AO39" s="105">
        <v>16241.972903844453</v>
      </c>
      <c r="AP39" s="105">
        <v>16271.326449160888</v>
      </c>
      <c r="AQ39" s="105">
        <v>11410.341237314891</v>
      </c>
      <c r="AR39" s="105">
        <v>16329.451295718105</v>
      </c>
      <c r="AS39" s="105">
        <v>16358.213216962538</v>
      </c>
      <c r="AT39" s="105">
        <v>16386.768605294106</v>
      </c>
      <c r="AU39" s="105">
        <v>16415.112854627889</v>
      </c>
      <c r="AV39" s="105">
        <v>16443.241393938872</v>
      </c>
      <c r="AW39" s="105">
        <v>16471.149688083475</v>
      </c>
      <c r="AX39" s="105">
        <v>16498.833238615145</v>
      </c>
    </row>
    <row r="40" spans="2:50" x14ac:dyDescent="0.2">
      <c r="B40" s="175" t="s">
        <v>106</v>
      </c>
      <c r="C40" s="105">
        <v>3507.6863519616104</v>
      </c>
      <c r="D40" s="105">
        <v>5021.9633505252477</v>
      </c>
      <c r="E40" s="105">
        <v>5032.946782562517</v>
      </c>
      <c r="F40" s="105">
        <v>5043.9290374091042</v>
      </c>
      <c r="G40" s="105">
        <v>5054.9083529701256</v>
      </c>
      <c r="H40" s="105">
        <v>5065.8829668698918</v>
      </c>
      <c r="I40" s="105">
        <v>5076.851116761226</v>
      </c>
      <c r="J40" s="105">
        <v>5087.8110406349388</v>
      </c>
      <c r="K40" s="105">
        <v>5098.7609771294274</v>
      </c>
      <c r="L40" s="105">
        <v>5109.6991658403376</v>
      </c>
      <c r="M40" s="105">
        <v>5120.6238476302397</v>
      </c>
      <c r="N40" s="105">
        <v>5131.5332649382435</v>
      </c>
      <c r="O40" s="105">
        <v>5142.4256620895294</v>
      </c>
      <c r="P40" s="105">
        <v>5153.2992856047113</v>
      </c>
      <c r="Q40" s="105">
        <v>5164.1523845089887</v>
      </c>
      <c r="R40" s="105">
        <v>5174.9832106410449</v>
      </c>
      <c r="S40" s="105">
        <v>5185.7900189616103</v>
      </c>
      <c r="T40" s="105">
        <v>5196.5710678616542</v>
      </c>
      <c r="U40" s="105">
        <v>5207.3246194701496</v>
      </c>
      <c r="V40" s="105">
        <v>5218.0489399613498</v>
      </c>
      <c r="W40" s="105">
        <v>5228.7422998615266</v>
      </c>
      <c r="X40" s="105">
        <v>5239.40297435511</v>
      </c>
      <c r="Y40" s="105">
        <v>5250.0292435901756</v>
      </c>
      <c r="Z40" s="105">
        <v>5260.6193929832443</v>
      </c>
      <c r="AA40" s="105">
        <v>5271.1717135232975</v>
      </c>
      <c r="AB40" s="105">
        <v>5281.6845020750052</v>
      </c>
      <c r="AC40" s="105">
        <v>2116.8624246724253</v>
      </c>
      <c r="AD40" s="105">
        <v>5302.5847018636268</v>
      </c>
      <c r="AE40" s="105">
        <v>531.29687389247601</v>
      </c>
      <c r="AF40" s="105">
        <v>532.3306496245857</v>
      </c>
      <c r="AG40" s="105">
        <v>5333.5963045859717</v>
      </c>
      <c r="AH40" s="105">
        <v>5343.8365023790293</v>
      </c>
      <c r="AI40" s="105">
        <v>5354.0254360298286</v>
      </c>
      <c r="AJ40" s="105">
        <v>3754.9130221461646</v>
      </c>
      <c r="AK40" s="105">
        <v>5374.2429381455113</v>
      </c>
      <c r="AL40" s="105">
        <v>5384.2682419207131</v>
      </c>
      <c r="AM40" s="105">
        <v>3775.9650269299855</v>
      </c>
      <c r="AN40" s="105">
        <v>5404.1438613086484</v>
      </c>
      <c r="AO40" s="105">
        <v>5413.9909679481507</v>
      </c>
      <c r="AP40" s="105">
        <v>5423.7754830536296</v>
      </c>
      <c r="AQ40" s="105">
        <v>5433.4958272928061</v>
      </c>
      <c r="AR40" s="105">
        <v>544.31504319060355</v>
      </c>
      <c r="AS40" s="105">
        <v>5452.7377389875128</v>
      </c>
      <c r="AT40" s="105">
        <v>5462.2562017647024</v>
      </c>
      <c r="AU40" s="105">
        <v>5471.7042848759638</v>
      </c>
      <c r="AV40" s="105">
        <v>5481.0804646462902</v>
      </c>
      <c r="AW40" s="105">
        <v>2196.1532917444638</v>
      </c>
      <c r="AX40" s="105">
        <v>5499.611079538382</v>
      </c>
    </row>
    <row r="41" spans="2:50" x14ac:dyDescent="0.2">
      <c r="B41" s="175" t="s">
        <v>107</v>
      </c>
      <c r="C41" s="105">
        <v>3006.5883016813805</v>
      </c>
      <c r="D41" s="105">
        <v>3013.1780103151486</v>
      </c>
      <c r="E41" s="105">
        <v>301.97680695375101</v>
      </c>
      <c r="F41" s="105">
        <v>3026.3574224454624</v>
      </c>
      <c r="G41" s="105">
        <v>3032.9450117820752</v>
      </c>
      <c r="H41" s="105">
        <v>3039.5297801219349</v>
      </c>
      <c r="I41" s="105">
        <v>3046.1106700567357</v>
      </c>
      <c r="J41" s="105">
        <v>1221.0746497523855</v>
      </c>
      <c r="K41" s="105">
        <v>3059.2565862776564</v>
      </c>
      <c r="L41" s="105">
        <v>3065.8194995042027</v>
      </c>
      <c r="M41" s="105">
        <v>3072.3743085781439</v>
      </c>
      <c r="N41" s="105">
        <v>3078.9199589629461</v>
      </c>
      <c r="O41" s="105">
        <v>3085.4553972537178</v>
      </c>
      <c r="P41" s="105">
        <v>3091.9795713628264</v>
      </c>
      <c r="Q41" s="105">
        <v>309.84914307053936</v>
      </c>
      <c r="R41" s="105">
        <v>310.49899263846271</v>
      </c>
      <c r="S41" s="105">
        <v>3111.4740113769658</v>
      </c>
      <c r="T41" s="105">
        <v>3117.9426407169926</v>
      </c>
      <c r="U41" s="105">
        <v>3124.3947716820899</v>
      </c>
      <c r="V41" s="105">
        <v>3130.8293639768099</v>
      </c>
      <c r="W41" s="105">
        <v>3137.2453799169161</v>
      </c>
      <c r="X41" s="105">
        <v>3143.6417846130662</v>
      </c>
      <c r="Y41" s="105">
        <v>3150.0175461541053</v>
      </c>
      <c r="Z41" s="105">
        <v>3156.3716357899466</v>
      </c>
      <c r="AA41" s="105">
        <v>3162.7030281139782</v>
      </c>
      <c r="AB41" s="105">
        <v>3169.010701245003</v>
      </c>
      <c r="AC41" s="105">
        <v>3175.2936370086377</v>
      </c>
      <c r="AD41" s="105">
        <v>3181.5508211181759</v>
      </c>
      <c r="AE41" s="105">
        <v>3187.7812433548561</v>
      </c>
      <c r="AF41" s="105">
        <v>3193.9838977475138</v>
      </c>
      <c r="AG41" s="105">
        <v>3200.1577827515825</v>
      </c>
      <c r="AH41" s="105">
        <v>3206.3019014274178</v>
      </c>
      <c r="AI41" s="105">
        <v>3212.4152616178967</v>
      </c>
      <c r="AJ41" s="105">
        <v>3218.496876125284</v>
      </c>
      <c r="AK41" s="105">
        <v>3224.5457628873069</v>
      </c>
      <c r="AL41" s="105">
        <v>3230.5609451524278</v>
      </c>
      <c r="AM41" s="105">
        <v>3236.5414516542737</v>
      </c>
      <c r="AN41" s="105">
        <v>3242.486316785189</v>
      </c>
      <c r="AO41" s="105">
        <v>3248.3945807688906</v>
      </c>
      <c r="AP41" s="105">
        <v>3254.2652898321776</v>
      </c>
      <c r="AQ41" s="105">
        <v>3260.0974963756835</v>
      </c>
      <c r="AR41" s="105">
        <v>3265.8902591436208</v>
      </c>
      <c r="AS41" s="105">
        <v>3271.6426433925076</v>
      </c>
      <c r="AT41" s="105">
        <v>3277.3537210588215</v>
      </c>
      <c r="AU41" s="105">
        <v>3283.0225709255783</v>
      </c>
      <c r="AV41" s="105">
        <v>3288.648278787774</v>
      </c>
      <c r="AW41" s="105">
        <v>3294.2299376166952</v>
      </c>
      <c r="AX41" s="105">
        <v>3299.7666477230291</v>
      </c>
    </row>
    <row r="42" spans="2:50" x14ac:dyDescent="0.2">
      <c r="B42" s="175" t="s">
        <v>108</v>
      </c>
      <c r="C42" s="105">
        <v>10000000</v>
      </c>
      <c r="D42" s="105">
        <v>10000000</v>
      </c>
      <c r="E42" s="105">
        <v>10000000</v>
      </c>
      <c r="F42" s="105">
        <v>10000000</v>
      </c>
      <c r="G42" s="105">
        <v>10000000</v>
      </c>
      <c r="H42" s="105">
        <v>10000000</v>
      </c>
      <c r="I42" s="105">
        <v>10000000</v>
      </c>
      <c r="J42" s="105">
        <v>10000000</v>
      </c>
      <c r="K42" s="105">
        <v>10000000</v>
      </c>
      <c r="L42" s="105">
        <v>10000000</v>
      </c>
      <c r="M42" s="105">
        <v>10000000</v>
      </c>
      <c r="N42" s="105">
        <v>10000000</v>
      </c>
      <c r="O42" s="105">
        <v>10000000</v>
      </c>
      <c r="P42" s="105">
        <v>10000000</v>
      </c>
      <c r="Q42" s="105">
        <v>10000000</v>
      </c>
      <c r="R42" s="105">
        <v>10000000</v>
      </c>
      <c r="S42" s="105">
        <v>10000000</v>
      </c>
      <c r="T42" s="105">
        <v>10000000</v>
      </c>
      <c r="U42" s="105">
        <v>10000000</v>
      </c>
      <c r="V42" s="105">
        <v>10000000</v>
      </c>
      <c r="W42" s="105">
        <v>10000000</v>
      </c>
      <c r="X42" s="105">
        <v>10000000</v>
      </c>
      <c r="Y42" s="105">
        <v>10000000</v>
      </c>
      <c r="Z42" s="105">
        <v>10000000</v>
      </c>
      <c r="AA42" s="105">
        <v>10000000</v>
      </c>
      <c r="AB42" s="105">
        <v>10000000</v>
      </c>
      <c r="AC42" s="105">
        <v>10000000</v>
      </c>
      <c r="AD42" s="105">
        <v>10000000</v>
      </c>
      <c r="AE42" s="105">
        <v>10000000</v>
      </c>
      <c r="AF42" s="105">
        <v>10000000</v>
      </c>
      <c r="AG42" s="105">
        <v>10000000</v>
      </c>
      <c r="AH42" s="105">
        <v>10000000</v>
      </c>
      <c r="AI42" s="105">
        <v>10000000</v>
      </c>
      <c r="AJ42" s="105">
        <v>10000000</v>
      </c>
      <c r="AK42" s="105">
        <v>10000000</v>
      </c>
      <c r="AL42" s="105">
        <v>10000000</v>
      </c>
      <c r="AM42" s="105">
        <v>10000000</v>
      </c>
      <c r="AN42" s="105">
        <v>10000000</v>
      </c>
      <c r="AO42" s="105">
        <v>10000000</v>
      </c>
      <c r="AP42" s="105">
        <v>10000000</v>
      </c>
      <c r="AQ42" s="105">
        <v>10000000</v>
      </c>
      <c r="AR42" s="105">
        <v>10000000</v>
      </c>
      <c r="AS42" s="105">
        <v>10000000</v>
      </c>
      <c r="AT42" s="105">
        <v>10000000</v>
      </c>
      <c r="AU42" s="105">
        <v>10000000</v>
      </c>
      <c r="AV42" s="105">
        <v>10000000</v>
      </c>
      <c r="AW42" s="105">
        <v>10000000</v>
      </c>
      <c r="AX42" s="105">
        <v>10000000</v>
      </c>
    </row>
    <row r="43" spans="2:50" x14ac:dyDescent="0.2">
      <c r="B43" s="175" t="s">
        <v>109</v>
      </c>
      <c r="C43" s="105">
        <v>10000000</v>
      </c>
      <c r="D43" s="105">
        <v>10000000</v>
      </c>
      <c r="E43" s="105">
        <v>10000000</v>
      </c>
      <c r="F43" s="105">
        <v>10000000</v>
      </c>
      <c r="G43" s="105">
        <v>10000000</v>
      </c>
      <c r="H43" s="105">
        <v>10000000</v>
      </c>
      <c r="I43" s="105">
        <v>10000000</v>
      </c>
      <c r="J43" s="105">
        <v>10000000</v>
      </c>
      <c r="K43" s="105">
        <v>10000000</v>
      </c>
      <c r="L43" s="105">
        <v>10000000</v>
      </c>
      <c r="M43" s="105">
        <v>10000000</v>
      </c>
      <c r="N43" s="105">
        <v>10000000</v>
      </c>
      <c r="O43" s="105">
        <v>10000000</v>
      </c>
      <c r="P43" s="105">
        <v>10000000</v>
      </c>
      <c r="Q43" s="105">
        <v>10000000</v>
      </c>
      <c r="R43" s="105">
        <v>10000000</v>
      </c>
      <c r="S43" s="105">
        <v>10000000</v>
      </c>
      <c r="T43" s="105">
        <v>10000000</v>
      </c>
      <c r="U43" s="105">
        <v>10000000</v>
      </c>
      <c r="V43" s="105">
        <v>10000000</v>
      </c>
      <c r="W43" s="105">
        <v>10000000</v>
      </c>
      <c r="X43" s="105">
        <v>10000000</v>
      </c>
      <c r="Y43" s="105">
        <v>10000000</v>
      </c>
      <c r="Z43" s="105">
        <v>10000000</v>
      </c>
      <c r="AA43" s="105">
        <v>10000000</v>
      </c>
      <c r="AB43" s="105">
        <v>10000000</v>
      </c>
      <c r="AC43" s="105">
        <v>10000000</v>
      </c>
      <c r="AD43" s="105">
        <v>10000000</v>
      </c>
      <c r="AE43" s="105">
        <v>10000000</v>
      </c>
      <c r="AF43" s="105">
        <v>10000000</v>
      </c>
      <c r="AG43" s="105">
        <v>10000000</v>
      </c>
      <c r="AH43" s="105">
        <v>10000000</v>
      </c>
      <c r="AI43" s="105">
        <v>10000000</v>
      </c>
      <c r="AJ43" s="105">
        <v>10000000</v>
      </c>
      <c r="AK43" s="105">
        <v>10000000</v>
      </c>
      <c r="AL43" s="105">
        <v>10000000</v>
      </c>
      <c r="AM43" s="105">
        <v>10000000</v>
      </c>
      <c r="AN43" s="105">
        <v>10000000</v>
      </c>
      <c r="AO43" s="105">
        <v>10000000</v>
      </c>
      <c r="AP43" s="105">
        <v>10000000</v>
      </c>
      <c r="AQ43" s="105">
        <v>10000000</v>
      </c>
      <c r="AR43" s="105">
        <v>10000000</v>
      </c>
      <c r="AS43" s="105">
        <v>10000000</v>
      </c>
      <c r="AT43" s="105">
        <v>10000000</v>
      </c>
      <c r="AU43" s="105">
        <v>10000000</v>
      </c>
      <c r="AV43" s="105">
        <v>10000000</v>
      </c>
      <c r="AW43" s="105">
        <v>10000000</v>
      </c>
      <c r="AX43" s="105">
        <v>10000000</v>
      </c>
    </row>
    <row r="45" spans="2:50" x14ac:dyDescent="0.2">
      <c r="B45" s="108" t="s">
        <v>324</v>
      </c>
    </row>
    <row r="46" spans="2:50" x14ac:dyDescent="0.2">
      <c r="B46" s="104" t="s">
        <v>274</v>
      </c>
      <c r="C46" s="104" t="s">
        <v>92</v>
      </c>
      <c r="D46" s="106"/>
      <c r="E46" s="106"/>
      <c r="F46" s="106"/>
      <c r="G46" s="104" t="s">
        <v>93</v>
      </c>
      <c r="H46" s="106"/>
      <c r="I46" s="106"/>
      <c r="J46" s="106"/>
      <c r="K46" s="104" t="s">
        <v>94</v>
      </c>
      <c r="L46" s="106"/>
      <c r="M46" s="106"/>
      <c r="N46" s="106"/>
      <c r="O46" s="104" t="s">
        <v>95</v>
      </c>
      <c r="P46" s="106"/>
      <c r="Q46" s="106"/>
      <c r="R46" s="106"/>
      <c r="S46" s="104" t="s">
        <v>96</v>
      </c>
      <c r="T46" s="106"/>
      <c r="U46" s="106"/>
      <c r="V46" s="106"/>
      <c r="W46" s="104" t="s">
        <v>97</v>
      </c>
      <c r="X46" s="106"/>
      <c r="Y46" s="106"/>
      <c r="Z46" s="106"/>
      <c r="AA46" s="104" t="s">
        <v>98</v>
      </c>
      <c r="AB46" s="106"/>
      <c r="AC46" s="106"/>
      <c r="AD46" s="106"/>
      <c r="AE46" s="104" t="s">
        <v>99</v>
      </c>
      <c r="AF46" s="106"/>
      <c r="AG46" s="106"/>
      <c r="AH46" s="106"/>
      <c r="AI46" s="104" t="s">
        <v>100</v>
      </c>
      <c r="AJ46" s="106"/>
      <c r="AK46" s="106"/>
      <c r="AL46" s="106"/>
      <c r="AM46" s="104" t="s">
        <v>101</v>
      </c>
      <c r="AN46" s="106"/>
      <c r="AO46" s="106"/>
      <c r="AP46" s="106"/>
      <c r="AQ46" s="104" t="s">
        <v>102</v>
      </c>
      <c r="AR46" s="106"/>
      <c r="AS46" s="106"/>
      <c r="AT46" s="106"/>
      <c r="AU46" s="104" t="s">
        <v>103</v>
      </c>
      <c r="AV46" s="106"/>
      <c r="AW46" s="106"/>
    </row>
    <row r="47" spans="2:50" x14ac:dyDescent="0.2">
      <c r="B47" s="104" t="s">
        <v>325</v>
      </c>
      <c r="C47" s="104">
        <v>1</v>
      </c>
      <c r="D47" s="104">
        <v>2</v>
      </c>
      <c r="E47" s="104">
        <v>3</v>
      </c>
      <c r="F47" s="104">
        <v>4</v>
      </c>
      <c r="G47" s="104">
        <v>1</v>
      </c>
      <c r="H47" s="104">
        <v>2</v>
      </c>
      <c r="I47" s="104">
        <v>3</v>
      </c>
      <c r="J47" s="104">
        <v>4</v>
      </c>
      <c r="K47" s="104">
        <v>1</v>
      </c>
      <c r="L47" s="104">
        <v>2</v>
      </c>
      <c r="M47" s="104">
        <v>3</v>
      </c>
      <c r="N47" s="104">
        <v>4</v>
      </c>
      <c r="O47" s="104">
        <v>1</v>
      </c>
      <c r="P47" s="104">
        <v>2</v>
      </c>
      <c r="Q47" s="104">
        <v>3</v>
      </c>
      <c r="R47" s="104">
        <v>4</v>
      </c>
      <c r="S47" s="104">
        <v>1</v>
      </c>
      <c r="T47" s="104">
        <v>2</v>
      </c>
      <c r="U47" s="104">
        <v>3</v>
      </c>
      <c r="V47" s="104">
        <v>4</v>
      </c>
      <c r="W47" s="104">
        <v>1</v>
      </c>
      <c r="X47" s="104">
        <v>2</v>
      </c>
      <c r="Y47" s="104">
        <v>3</v>
      </c>
      <c r="Z47" s="104">
        <v>4</v>
      </c>
      <c r="AA47" s="104">
        <v>1</v>
      </c>
      <c r="AB47" s="104">
        <v>2</v>
      </c>
      <c r="AC47" s="104">
        <v>3</v>
      </c>
      <c r="AD47" s="104">
        <v>4</v>
      </c>
      <c r="AE47" s="104">
        <v>1</v>
      </c>
      <c r="AF47" s="104">
        <v>2</v>
      </c>
      <c r="AG47" s="104">
        <v>3</v>
      </c>
      <c r="AH47" s="104">
        <v>4</v>
      </c>
      <c r="AI47" s="104">
        <v>1</v>
      </c>
      <c r="AJ47" s="104">
        <v>2</v>
      </c>
      <c r="AK47" s="104">
        <v>3</v>
      </c>
      <c r="AL47" s="104">
        <v>4</v>
      </c>
      <c r="AM47" s="104">
        <v>1</v>
      </c>
      <c r="AN47" s="104">
        <v>2</v>
      </c>
      <c r="AO47" s="104">
        <v>3</v>
      </c>
      <c r="AP47" s="104">
        <v>4</v>
      </c>
      <c r="AQ47" s="104">
        <v>1</v>
      </c>
      <c r="AR47" s="104">
        <v>2</v>
      </c>
      <c r="AS47" s="104">
        <v>3</v>
      </c>
      <c r="AT47" s="104">
        <v>4</v>
      </c>
      <c r="AU47" s="104">
        <v>1</v>
      </c>
      <c r="AV47" s="104">
        <v>2</v>
      </c>
      <c r="AW47" s="104">
        <v>3</v>
      </c>
      <c r="AX47" s="104">
        <v>4</v>
      </c>
    </row>
    <row r="48" spans="2:50" x14ac:dyDescent="0.2">
      <c r="B48" s="104" t="s">
        <v>104</v>
      </c>
      <c r="C48" s="105">
        <v>1976</v>
      </c>
      <c r="D48" s="105">
        <v>1976</v>
      </c>
      <c r="E48" s="105">
        <v>1976</v>
      </c>
      <c r="F48" s="105">
        <v>1976</v>
      </c>
      <c r="G48" s="105">
        <v>1778.4</v>
      </c>
      <c r="H48" s="105">
        <v>1778.4</v>
      </c>
      <c r="I48" s="105">
        <v>1778.4</v>
      </c>
      <c r="J48" s="105">
        <v>1778.4</v>
      </c>
      <c r="K48" s="105">
        <v>1976</v>
      </c>
      <c r="L48" s="105">
        <v>1976</v>
      </c>
      <c r="M48" s="105">
        <v>1976</v>
      </c>
      <c r="N48" s="105">
        <v>1976</v>
      </c>
      <c r="O48" s="105">
        <v>1976</v>
      </c>
      <c r="P48" s="105">
        <v>1976</v>
      </c>
      <c r="Q48" s="105">
        <v>1976</v>
      </c>
      <c r="R48" s="105">
        <v>1976</v>
      </c>
      <c r="S48" s="105">
        <v>1778.4</v>
      </c>
      <c r="T48" s="105">
        <v>1778.4</v>
      </c>
      <c r="U48" s="105">
        <v>1778.4</v>
      </c>
      <c r="V48" s="105">
        <v>1778.4</v>
      </c>
      <c r="W48" s="105">
        <v>2173.6000000000004</v>
      </c>
      <c r="X48" s="105">
        <v>2173.6000000000004</v>
      </c>
      <c r="Y48" s="105">
        <v>2173.6000000000004</v>
      </c>
      <c r="Z48" s="105">
        <v>2173.6000000000004</v>
      </c>
      <c r="AA48" s="105">
        <v>1976</v>
      </c>
      <c r="AB48" s="105">
        <v>1976</v>
      </c>
      <c r="AC48" s="105">
        <v>1976</v>
      </c>
      <c r="AD48" s="105">
        <v>1976</v>
      </c>
      <c r="AE48" s="105">
        <v>1976</v>
      </c>
      <c r="AF48" s="105">
        <v>1976</v>
      </c>
      <c r="AG48" s="105">
        <v>1976</v>
      </c>
      <c r="AH48" s="105">
        <v>1976</v>
      </c>
      <c r="AI48" s="105">
        <v>1778.4</v>
      </c>
      <c r="AJ48" s="105">
        <v>1778.4</v>
      </c>
      <c r="AK48" s="105">
        <v>1778.4</v>
      </c>
      <c r="AL48" s="105">
        <v>1778.4</v>
      </c>
      <c r="AM48" s="105">
        <v>1976</v>
      </c>
      <c r="AN48" s="105">
        <v>1976</v>
      </c>
      <c r="AO48" s="105">
        <v>1976</v>
      </c>
      <c r="AP48" s="105">
        <v>1976</v>
      </c>
      <c r="AQ48" s="105">
        <v>1976</v>
      </c>
      <c r="AR48" s="105">
        <v>1976</v>
      </c>
      <c r="AS48" s="105">
        <v>1976</v>
      </c>
      <c r="AT48" s="105">
        <v>1976</v>
      </c>
      <c r="AU48" s="105">
        <v>2173.6000000000004</v>
      </c>
      <c r="AV48" s="105">
        <v>2173.6000000000004</v>
      </c>
      <c r="AW48" s="105">
        <v>2173.6000000000004</v>
      </c>
      <c r="AX48" s="105">
        <v>2173.6000000000004</v>
      </c>
    </row>
    <row r="49" spans="2:51" x14ac:dyDescent="0.2">
      <c r="B49" s="104" t="s">
        <v>105</v>
      </c>
      <c r="C49" s="105">
        <v>314</v>
      </c>
      <c r="D49" s="105">
        <v>314</v>
      </c>
      <c r="E49" s="105">
        <v>314</v>
      </c>
      <c r="F49" s="105">
        <v>314</v>
      </c>
      <c r="G49" s="105">
        <v>314</v>
      </c>
      <c r="H49" s="105">
        <v>314</v>
      </c>
      <c r="I49" s="105">
        <v>314</v>
      </c>
      <c r="J49" s="105">
        <v>314</v>
      </c>
      <c r="K49" s="105">
        <v>314</v>
      </c>
      <c r="L49" s="105">
        <v>314</v>
      </c>
      <c r="M49" s="105">
        <v>314</v>
      </c>
      <c r="N49" s="105">
        <v>314</v>
      </c>
      <c r="O49" s="105">
        <v>314</v>
      </c>
      <c r="P49" s="105">
        <v>314</v>
      </c>
      <c r="Q49" s="105">
        <v>314</v>
      </c>
      <c r="R49" s="105">
        <v>314</v>
      </c>
      <c r="S49" s="105">
        <v>314</v>
      </c>
      <c r="T49" s="105">
        <v>314</v>
      </c>
      <c r="U49" s="105">
        <v>314</v>
      </c>
      <c r="V49" s="105">
        <v>314</v>
      </c>
      <c r="W49" s="105">
        <v>314</v>
      </c>
      <c r="X49" s="105">
        <v>314</v>
      </c>
      <c r="Y49" s="105">
        <v>314</v>
      </c>
      <c r="Z49" s="105">
        <v>314</v>
      </c>
      <c r="AA49" s="105">
        <v>314</v>
      </c>
      <c r="AB49" s="105">
        <v>314</v>
      </c>
      <c r="AC49" s="105">
        <v>314</v>
      </c>
      <c r="AD49" s="105">
        <v>314</v>
      </c>
      <c r="AE49" s="105">
        <v>314</v>
      </c>
      <c r="AF49" s="105">
        <v>314</v>
      </c>
      <c r="AG49" s="105">
        <v>314</v>
      </c>
      <c r="AH49" s="105">
        <v>314</v>
      </c>
      <c r="AI49" s="105">
        <v>314</v>
      </c>
      <c r="AJ49" s="105">
        <v>314</v>
      </c>
      <c r="AK49" s="105">
        <v>314</v>
      </c>
      <c r="AL49" s="105">
        <v>314</v>
      </c>
      <c r="AM49" s="105">
        <v>314</v>
      </c>
      <c r="AN49" s="105">
        <v>314</v>
      </c>
      <c r="AO49" s="105">
        <v>314</v>
      </c>
      <c r="AP49" s="105">
        <v>314</v>
      </c>
      <c r="AQ49" s="105">
        <v>314</v>
      </c>
      <c r="AR49" s="105">
        <v>314</v>
      </c>
      <c r="AS49" s="105">
        <v>314</v>
      </c>
      <c r="AT49" s="105">
        <v>314</v>
      </c>
      <c r="AU49" s="105">
        <v>314</v>
      </c>
      <c r="AV49" s="105">
        <v>314</v>
      </c>
      <c r="AW49" s="105">
        <v>314</v>
      </c>
      <c r="AX49" s="105">
        <v>314</v>
      </c>
    </row>
    <row r="50" spans="2:51" x14ac:dyDescent="0.2">
      <c r="B50" s="104" t="s">
        <v>106</v>
      </c>
      <c r="C50" s="105">
        <v>389</v>
      </c>
      <c r="D50" s="105">
        <v>389</v>
      </c>
      <c r="E50" s="105">
        <v>389</v>
      </c>
      <c r="F50" s="105">
        <v>389</v>
      </c>
      <c r="G50" s="105">
        <v>389</v>
      </c>
      <c r="H50" s="105">
        <v>389</v>
      </c>
      <c r="I50" s="105">
        <v>389</v>
      </c>
      <c r="J50" s="105">
        <v>389</v>
      </c>
      <c r="K50" s="105">
        <v>427.90000000000003</v>
      </c>
      <c r="L50" s="105">
        <v>427.90000000000003</v>
      </c>
      <c r="M50" s="105">
        <v>427.90000000000003</v>
      </c>
      <c r="N50" s="105">
        <v>427.90000000000003</v>
      </c>
      <c r="O50" s="105">
        <v>427.90000000000003</v>
      </c>
      <c r="P50" s="105">
        <v>427.90000000000003</v>
      </c>
      <c r="Q50" s="105">
        <v>427.90000000000003</v>
      </c>
      <c r="R50" s="105">
        <v>427.90000000000003</v>
      </c>
      <c r="S50" s="105">
        <v>389</v>
      </c>
      <c r="T50" s="105">
        <v>389</v>
      </c>
      <c r="U50" s="105">
        <v>389</v>
      </c>
      <c r="V50" s="105">
        <v>389</v>
      </c>
      <c r="W50" s="105">
        <v>427.90000000000003</v>
      </c>
      <c r="X50" s="105">
        <v>427.90000000000003</v>
      </c>
      <c r="Y50" s="105">
        <v>427.90000000000003</v>
      </c>
      <c r="Z50" s="105">
        <v>427.90000000000003</v>
      </c>
      <c r="AA50" s="105">
        <v>389</v>
      </c>
      <c r="AB50" s="105">
        <v>389</v>
      </c>
      <c r="AC50" s="105">
        <v>389</v>
      </c>
      <c r="AD50" s="105">
        <v>389</v>
      </c>
      <c r="AE50" s="105">
        <v>350.1</v>
      </c>
      <c r="AF50" s="105">
        <v>350.1</v>
      </c>
      <c r="AG50" s="105">
        <v>350.1</v>
      </c>
      <c r="AH50" s="105">
        <v>350.1</v>
      </c>
      <c r="AI50" s="105">
        <v>427.90000000000003</v>
      </c>
      <c r="AJ50" s="105">
        <v>427.90000000000003</v>
      </c>
      <c r="AK50" s="105">
        <v>427.90000000000003</v>
      </c>
      <c r="AL50" s="105">
        <v>427.90000000000003</v>
      </c>
      <c r="AM50" s="105">
        <v>389</v>
      </c>
      <c r="AN50" s="105">
        <v>389</v>
      </c>
      <c r="AO50" s="105">
        <v>389</v>
      </c>
      <c r="AP50" s="105">
        <v>389</v>
      </c>
      <c r="AQ50" s="105">
        <v>389</v>
      </c>
      <c r="AR50" s="105">
        <v>389</v>
      </c>
      <c r="AS50" s="105">
        <v>389</v>
      </c>
      <c r="AT50" s="105">
        <v>389</v>
      </c>
      <c r="AU50" s="105">
        <v>389</v>
      </c>
      <c r="AV50" s="105">
        <v>389</v>
      </c>
      <c r="AW50" s="105">
        <v>389</v>
      </c>
      <c r="AX50" s="105">
        <v>389</v>
      </c>
      <c r="AY50" s="117"/>
    </row>
    <row r="51" spans="2:51" x14ac:dyDescent="0.2">
      <c r="B51" s="104" t="s">
        <v>107</v>
      </c>
      <c r="C51" s="105">
        <v>0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  <c r="AY51" s="116"/>
    </row>
    <row r="52" spans="2:51" x14ac:dyDescent="0.2">
      <c r="B52" s="104" t="s">
        <v>108</v>
      </c>
      <c r="C52" s="105">
        <v>0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0</v>
      </c>
      <c r="O52" s="105">
        <v>0</v>
      </c>
      <c r="P52" s="105">
        <v>0</v>
      </c>
      <c r="Q52" s="105">
        <v>0</v>
      </c>
      <c r="R52" s="105">
        <v>0</v>
      </c>
      <c r="S52" s="105">
        <v>0</v>
      </c>
      <c r="T52" s="105">
        <v>0</v>
      </c>
      <c r="U52" s="105">
        <v>0</v>
      </c>
      <c r="V52" s="105">
        <v>0</v>
      </c>
      <c r="W52" s="105">
        <v>0</v>
      </c>
      <c r="X52" s="105">
        <v>0</v>
      </c>
      <c r="Y52" s="105">
        <v>0</v>
      </c>
      <c r="Z52" s="105">
        <v>0</v>
      </c>
      <c r="AA52" s="105">
        <v>0</v>
      </c>
      <c r="AB52" s="105">
        <v>0</v>
      </c>
      <c r="AC52" s="105">
        <v>0</v>
      </c>
      <c r="AD52" s="105">
        <v>0</v>
      </c>
      <c r="AE52" s="105">
        <v>0</v>
      </c>
      <c r="AF52" s="105">
        <v>0</v>
      </c>
      <c r="AG52" s="105">
        <v>0</v>
      </c>
      <c r="AH52" s="105">
        <v>0</v>
      </c>
      <c r="AI52" s="105">
        <v>0</v>
      </c>
      <c r="AJ52" s="105">
        <v>0</v>
      </c>
      <c r="AK52" s="105">
        <v>0</v>
      </c>
      <c r="AL52" s="105">
        <v>0</v>
      </c>
      <c r="AM52" s="105">
        <v>0</v>
      </c>
      <c r="AN52" s="105">
        <v>0</v>
      </c>
      <c r="AO52" s="105">
        <v>0</v>
      </c>
      <c r="AP52" s="105">
        <v>0</v>
      </c>
      <c r="AQ52" s="105">
        <v>0</v>
      </c>
      <c r="AR52" s="105">
        <v>0</v>
      </c>
      <c r="AS52" s="105">
        <v>0</v>
      </c>
      <c r="AT52" s="105">
        <v>0</v>
      </c>
      <c r="AU52" s="105">
        <v>0</v>
      </c>
      <c r="AV52" s="105">
        <v>0</v>
      </c>
      <c r="AW52" s="105">
        <v>0</v>
      </c>
      <c r="AX52" s="105">
        <v>0</v>
      </c>
    </row>
    <row r="53" spans="2:51" x14ac:dyDescent="0.2">
      <c r="B53" s="104" t="s">
        <v>109</v>
      </c>
      <c r="C53" s="105">
        <v>0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0</v>
      </c>
      <c r="O53" s="105">
        <v>0</v>
      </c>
      <c r="P53" s="105">
        <v>0</v>
      </c>
      <c r="Q53" s="105">
        <v>0</v>
      </c>
      <c r="R53" s="105">
        <v>0</v>
      </c>
      <c r="S53" s="105">
        <v>0</v>
      </c>
      <c r="T53" s="105">
        <v>0</v>
      </c>
      <c r="U53" s="105">
        <v>0</v>
      </c>
      <c r="V53" s="105">
        <v>0</v>
      </c>
      <c r="W53" s="105">
        <v>0</v>
      </c>
      <c r="X53" s="105">
        <v>0</v>
      </c>
      <c r="Y53" s="105">
        <v>0</v>
      </c>
      <c r="Z53" s="105">
        <v>0</v>
      </c>
      <c r="AA53" s="105">
        <v>0</v>
      </c>
      <c r="AB53" s="105">
        <v>0</v>
      </c>
      <c r="AC53" s="105">
        <v>0</v>
      </c>
      <c r="AD53" s="105">
        <v>0</v>
      </c>
      <c r="AE53" s="105">
        <v>0</v>
      </c>
      <c r="AF53" s="105">
        <v>0</v>
      </c>
      <c r="AG53" s="105">
        <v>0</v>
      </c>
      <c r="AH53" s="105">
        <v>0</v>
      </c>
      <c r="AI53" s="105">
        <v>0</v>
      </c>
      <c r="AJ53" s="105">
        <v>0</v>
      </c>
      <c r="AK53" s="105">
        <v>0</v>
      </c>
      <c r="AL53" s="105">
        <v>0</v>
      </c>
      <c r="AM53" s="105">
        <v>0</v>
      </c>
      <c r="AN53" s="105">
        <v>0</v>
      </c>
      <c r="AO53" s="105">
        <v>0</v>
      </c>
      <c r="AP53" s="105">
        <v>0</v>
      </c>
      <c r="AQ53" s="105">
        <v>0</v>
      </c>
      <c r="AR53" s="105">
        <v>0</v>
      </c>
      <c r="AS53" s="105">
        <v>0</v>
      </c>
      <c r="AT53" s="105">
        <v>0</v>
      </c>
      <c r="AU53" s="105">
        <v>0</v>
      </c>
      <c r="AV53" s="105">
        <v>0</v>
      </c>
      <c r="AW53" s="105">
        <v>0</v>
      </c>
      <c r="AX53" s="105">
        <v>0</v>
      </c>
    </row>
    <row r="55" spans="2:51" x14ac:dyDescent="0.2">
      <c r="B55" s="179" t="s">
        <v>326</v>
      </c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</row>
    <row r="56" spans="2:51" x14ac:dyDescent="0.2">
      <c r="B56" s="110" t="s">
        <v>274</v>
      </c>
      <c r="C56" s="110" t="s">
        <v>92</v>
      </c>
      <c r="D56" s="106"/>
      <c r="E56" s="106"/>
      <c r="F56" s="106"/>
      <c r="G56" s="110" t="s">
        <v>93</v>
      </c>
      <c r="H56" s="106"/>
      <c r="I56" s="106"/>
      <c r="J56" s="106"/>
      <c r="K56" s="110" t="s">
        <v>94</v>
      </c>
      <c r="L56" s="106"/>
      <c r="M56" s="106"/>
      <c r="N56" s="106"/>
      <c r="O56" s="110" t="s">
        <v>95</v>
      </c>
      <c r="P56" s="106"/>
      <c r="Q56" s="106"/>
      <c r="R56" s="106"/>
      <c r="S56" s="110" t="s">
        <v>96</v>
      </c>
      <c r="T56" s="106"/>
      <c r="U56" s="106"/>
      <c r="V56" s="106"/>
      <c r="W56" s="110" t="s">
        <v>97</v>
      </c>
      <c r="X56" s="106"/>
      <c r="Y56" s="106"/>
      <c r="Z56" s="106"/>
      <c r="AA56" s="110" t="s">
        <v>98</v>
      </c>
      <c r="AB56" s="106"/>
      <c r="AC56" s="106"/>
      <c r="AD56" s="106"/>
      <c r="AE56" s="110" t="s">
        <v>99</v>
      </c>
      <c r="AF56" s="106"/>
      <c r="AG56" s="106"/>
      <c r="AH56" s="106"/>
      <c r="AI56" s="110" t="s">
        <v>100</v>
      </c>
      <c r="AJ56" s="106"/>
      <c r="AK56" s="106"/>
      <c r="AL56" s="106"/>
      <c r="AM56" s="110" t="s">
        <v>101</v>
      </c>
      <c r="AN56" s="106"/>
      <c r="AO56" s="106"/>
      <c r="AP56" s="106"/>
      <c r="AQ56" s="110" t="s">
        <v>102</v>
      </c>
      <c r="AR56" s="106"/>
      <c r="AS56" s="106"/>
      <c r="AT56" s="106"/>
      <c r="AU56" s="110" t="s">
        <v>103</v>
      </c>
      <c r="AV56" s="106"/>
      <c r="AW56" s="106"/>
    </row>
    <row r="57" spans="2:51" x14ac:dyDescent="0.2">
      <c r="B57" s="110" t="s">
        <v>325</v>
      </c>
      <c r="C57" s="110">
        <v>1</v>
      </c>
      <c r="D57" s="110">
        <v>2</v>
      </c>
      <c r="E57" s="110">
        <v>3</v>
      </c>
      <c r="F57" s="110">
        <v>4</v>
      </c>
      <c r="G57" s="110">
        <v>1</v>
      </c>
      <c r="H57" s="110">
        <v>2</v>
      </c>
      <c r="I57" s="110">
        <v>3</v>
      </c>
      <c r="J57" s="110">
        <v>4</v>
      </c>
      <c r="K57" s="110">
        <v>1</v>
      </c>
      <c r="L57" s="110">
        <v>2</v>
      </c>
      <c r="M57" s="110">
        <v>3</v>
      </c>
      <c r="N57" s="110">
        <v>4</v>
      </c>
      <c r="O57" s="110">
        <v>1</v>
      </c>
      <c r="P57" s="110">
        <v>2</v>
      </c>
      <c r="Q57" s="110">
        <v>3</v>
      </c>
      <c r="R57" s="110">
        <v>4</v>
      </c>
      <c r="S57" s="110">
        <v>1</v>
      </c>
      <c r="T57" s="110">
        <v>2</v>
      </c>
      <c r="U57" s="110">
        <v>3</v>
      </c>
      <c r="V57" s="110">
        <v>4</v>
      </c>
      <c r="W57" s="110">
        <v>1</v>
      </c>
      <c r="X57" s="110">
        <v>2</v>
      </c>
      <c r="Y57" s="110">
        <v>3</v>
      </c>
      <c r="Z57" s="110">
        <v>4</v>
      </c>
      <c r="AA57" s="110">
        <v>1</v>
      </c>
      <c r="AB57" s="110">
        <v>2</v>
      </c>
      <c r="AC57" s="110">
        <v>3</v>
      </c>
      <c r="AD57" s="110">
        <v>4</v>
      </c>
      <c r="AE57" s="110">
        <v>1</v>
      </c>
      <c r="AF57" s="110">
        <v>2</v>
      </c>
      <c r="AG57" s="110">
        <v>3</v>
      </c>
      <c r="AH57" s="110">
        <v>4</v>
      </c>
      <c r="AI57" s="110">
        <v>1</v>
      </c>
      <c r="AJ57" s="110">
        <v>2</v>
      </c>
      <c r="AK57" s="110">
        <v>3</v>
      </c>
      <c r="AL57" s="110">
        <v>4</v>
      </c>
      <c r="AM57" s="110">
        <v>1</v>
      </c>
      <c r="AN57" s="110">
        <v>2</v>
      </c>
      <c r="AO57" s="110">
        <v>3</v>
      </c>
      <c r="AP57" s="110">
        <v>4</v>
      </c>
      <c r="AQ57" s="110">
        <v>1</v>
      </c>
      <c r="AR57" s="110">
        <v>2</v>
      </c>
      <c r="AS57" s="110">
        <v>3</v>
      </c>
      <c r="AT57" s="110">
        <v>4</v>
      </c>
      <c r="AU57" s="110">
        <v>1</v>
      </c>
      <c r="AV57" s="110">
        <v>2</v>
      </c>
      <c r="AW57" s="110">
        <v>3</v>
      </c>
      <c r="AX57" s="110">
        <v>4</v>
      </c>
    </row>
    <row r="58" spans="2:51" x14ac:dyDescent="0.2">
      <c r="B58" s="110" t="s">
        <v>104</v>
      </c>
      <c r="C58" s="105">
        <v>2749318.2414188622</v>
      </c>
      <c r="D58" s="105">
        <v>2749318.2414188622</v>
      </c>
      <c r="E58" s="105">
        <v>2749318.2414188622</v>
      </c>
      <c r="F58" s="105">
        <v>2749318.2414188622</v>
      </c>
      <c r="G58" s="105">
        <v>2521549.6675373558</v>
      </c>
      <c r="H58" s="105">
        <v>2521549.6675373558</v>
      </c>
      <c r="I58" s="105">
        <v>2521549.6675373558</v>
      </c>
      <c r="J58" s="105">
        <v>2521549.6675373558</v>
      </c>
      <c r="K58" s="105">
        <v>2668129.7644871217</v>
      </c>
      <c r="L58" s="105">
        <v>2668129.7644871217</v>
      </c>
      <c r="M58" s="105">
        <v>2668129.7644871217</v>
      </c>
      <c r="N58" s="105">
        <v>2668129.7644871217</v>
      </c>
      <c r="O58" s="105">
        <v>2723238.4323030259</v>
      </c>
      <c r="P58" s="105">
        <v>2723238.4323030259</v>
      </c>
      <c r="Q58" s="105">
        <v>2723238.4323030259</v>
      </c>
      <c r="R58" s="105">
        <v>2723238.4323030259</v>
      </c>
      <c r="S58" s="105">
        <v>3242235.8383472213</v>
      </c>
      <c r="T58" s="105">
        <v>3242235.8383472213</v>
      </c>
      <c r="U58" s="105">
        <v>3242235.8383472213</v>
      </c>
      <c r="V58" s="105">
        <v>3242235.8383472213</v>
      </c>
      <c r="W58" s="105">
        <v>2493525.4450257304</v>
      </c>
      <c r="X58" s="105">
        <v>2493525.4450257304</v>
      </c>
      <c r="Y58" s="105">
        <v>2493525.4450257304</v>
      </c>
      <c r="Z58" s="105">
        <v>2493525.4450257304</v>
      </c>
      <c r="AA58" s="105">
        <v>2696291.0165374842</v>
      </c>
      <c r="AB58" s="105">
        <v>2696291.0165374842</v>
      </c>
      <c r="AC58" s="105">
        <v>2696291.0165374842</v>
      </c>
      <c r="AD58" s="105">
        <v>2696291.0165374842</v>
      </c>
      <c r="AE58" s="105">
        <v>2626848.3642906439</v>
      </c>
      <c r="AF58" s="105">
        <v>2626848.3642906439</v>
      </c>
      <c r="AG58" s="105">
        <v>2626848.3642906439</v>
      </c>
      <c r="AH58" s="105">
        <v>2626848.3642906439</v>
      </c>
      <c r="AI58" s="105">
        <v>2727472.7316645375</v>
      </c>
      <c r="AJ58" s="105">
        <v>2727472.7316645375</v>
      </c>
      <c r="AK58" s="105">
        <v>2727472.7316645375</v>
      </c>
      <c r="AL58" s="105">
        <v>2727472.7316645375</v>
      </c>
      <c r="AM58" s="105">
        <v>2608015.928786099</v>
      </c>
      <c r="AN58" s="105">
        <v>2608015.928786099</v>
      </c>
      <c r="AO58" s="105">
        <v>2608015.928786099</v>
      </c>
      <c r="AP58" s="105">
        <v>2608015.928786099</v>
      </c>
      <c r="AQ58" s="105">
        <v>2470944.4713665755</v>
      </c>
      <c r="AR58" s="105">
        <v>2470944.4713665755</v>
      </c>
      <c r="AS58" s="105">
        <v>2470944.4713665755</v>
      </c>
      <c r="AT58" s="105">
        <v>2470944.4713665755</v>
      </c>
      <c r="AU58" s="105">
        <v>2380947.3161739432</v>
      </c>
      <c r="AV58" s="105">
        <v>2380947.3161739432</v>
      </c>
      <c r="AW58" s="105">
        <v>2380947.3161739432</v>
      </c>
      <c r="AX58" s="105">
        <v>2380947.3161739432</v>
      </c>
    </row>
    <row r="59" spans="2:51" x14ac:dyDescent="0.2">
      <c r="B59" s="110" t="s">
        <v>105</v>
      </c>
      <c r="C59" s="105">
        <v>425287.46267193882</v>
      </c>
      <c r="D59" s="105">
        <v>425287.46267193882</v>
      </c>
      <c r="E59" s="105">
        <v>425287.46267193882</v>
      </c>
      <c r="F59" s="105">
        <v>425287.46267193882</v>
      </c>
      <c r="G59" s="105">
        <v>463112.12720210018</v>
      </c>
      <c r="H59" s="105">
        <v>463112.12720210018</v>
      </c>
      <c r="I59" s="105">
        <v>463112.12720210018</v>
      </c>
      <c r="J59" s="105">
        <v>463112.12720210018</v>
      </c>
      <c r="K59" s="105">
        <v>425904.22370563046</v>
      </c>
      <c r="L59" s="105">
        <v>425904.22370563046</v>
      </c>
      <c r="M59" s="105">
        <v>425904.22370563046</v>
      </c>
      <c r="N59" s="105">
        <v>425904.22370563046</v>
      </c>
      <c r="O59" s="105">
        <v>467297.18925172451</v>
      </c>
      <c r="P59" s="105">
        <v>467297.18925172451</v>
      </c>
      <c r="Q59" s="105">
        <v>467297.18925172451</v>
      </c>
      <c r="R59" s="105">
        <v>467297.18925172451</v>
      </c>
      <c r="S59" s="105">
        <v>486204.2558931238</v>
      </c>
      <c r="T59" s="105">
        <v>486204.2558931238</v>
      </c>
      <c r="U59" s="105">
        <v>486204.2558931238</v>
      </c>
      <c r="V59" s="105">
        <v>486204.2558931238</v>
      </c>
      <c r="W59" s="105">
        <v>445939.6265043685</v>
      </c>
      <c r="X59" s="105">
        <v>445939.6265043685</v>
      </c>
      <c r="Y59" s="105">
        <v>445939.6265043685</v>
      </c>
      <c r="Z59" s="105">
        <v>445939.6265043685</v>
      </c>
      <c r="AA59" s="105">
        <v>458773.01665655308</v>
      </c>
      <c r="AB59" s="105">
        <v>458773.01665655308</v>
      </c>
      <c r="AC59" s="105">
        <v>458773.01665655308</v>
      </c>
      <c r="AD59" s="105">
        <v>458773.01665655308</v>
      </c>
      <c r="AE59" s="105">
        <v>453583.54498136666</v>
      </c>
      <c r="AF59" s="105">
        <v>453583.54498136666</v>
      </c>
      <c r="AG59" s="105">
        <v>453583.54498136666</v>
      </c>
      <c r="AH59" s="105">
        <v>453583.54498136666</v>
      </c>
      <c r="AI59" s="105">
        <v>417215.43413477216</v>
      </c>
      <c r="AJ59" s="105">
        <v>417215.43413477216</v>
      </c>
      <c r="AK59" s="105">
        <v>417215.43413477216</v>
      </c>
      <c r="AL59" s="105">
        <v>417215.43413477216</v>
      </c>
      <c r="AM59" s="105">
        <v>434290.67417875933</v>
      </c>
      <c r="AN59" s="105">
        <v>434290.67417875933</v>
      </c>
      <c r="AO59" s="105">
        <v>434290.67417875933</v>
      </c>
      <c r="AP59" s="105">
        <v>434290.67417875933</v>
      </c>
      <c r="AQ59" s="105">
        <v>458600.10846799915</v>
      </c>
      <c r="AR59" s="105">
        <v>458600.10846799915</v>
      </c>
      <c r="AS59" s="105">
        <v>458600.10846799915</v>
      </c>
      <c r="AT59" s="105">
        <v>458600.10846799915</v>
      </c>
      <c r="AU59" s="105">
        <v>416766.95582092856</v>
      </c>
      <c r="AV59" s="105">
        <v>416766.95582092856</v>
      </c>
      <c r="AW59" s="105">
        <v>416766.95582092856</v>
      </c>
      <c r="AX59" s="105">
        <v>416766.95582092856</v>
      </c>
    </row>
    <row r="60" spans="2:51" x14ac:dyDescent="0.2">
      <c r="B60" s="110" t="s">
        <v>106</v>
      </c>
      <c r="C60" s="105">
        <v>610183.5020618696</v>
      </c>
      <c r="D60" s="105">
        <v>610183.5020618696</v>
      </c>
      <c r="E60" s="105">
        <v>610183.5020618696</v>
      </c>
      <c r="F60" s="105">
        <v>610183.5020618696</v>
      </c>
      <c r="G60" s="105">
        <v>575923.8234901476</v>
      </c>
      <c r="H60" s="105">
        <v>575923.8234901476</v>
      </c>
      <c r="I60" s="105">
        <v>575923.8234901476</v>
      </c>
      <c r="J60" s="105">
        <v>575923.8234901476</v>
      </c>
      <c r="K60" s="105">
        <v>589698.14568793064</v>
      </c>
      <c r="L60" s="105">
        <v>589698.14568793064</v>
      </c>
      <c r="M60" s="105">
        <v>589698.14568793064</v>
      </c>
      <c r="N60" s="105">
        <v>589698.14568793064</v>
      </c>
      <c r="O60" s="105">
        <v>601478.16610067338</v>
      </c>
      <c r="P60" s="105">
        <v>601478.16610067338</v>
      </c>
      <c r="Q60" s="105">
        <v>601478.16610067338</v>
      </c>
      <c r="R60" s="105">
        <v>601478.16610067338</v>
      </c>
      <c r="S60" s="105">
        <v>582488.62686583342</v>
      </c>
      <c r="T60" s="105">
        <v>582488.62686583342</v>
      </c>
      <c r="U60" s="105">
        <v>582488.62686583342</v>
      </c>
      <c r="V60" s="105">
        <v>582488.62686583342</v>
      </c>
      <c r="W60" s="105">
        <v>580507.72363704862</v>
      </c>
      <c r="X60" s="105">
        <v>580507.72363704862</v>
      </c>
      <c r="Y60" s="105">
        <v>580507.72363704862</v>
      </c>
      <c r="Z60" s="105">
        <v>580507.72363704862</v>
      </c>
      <c r="AA60" s="105">
        <v>604426.50159709691</v>
      </c>
      <c r="AB60" s="105">
        <v>604426.50159709691</v>
      </c>
      <c r="AC60" s="105">
        <v>604426.50159709691</v>
      </c>
      <c r="AD60" s="105">
        <v>604426.50159709691</v>
      </c>
      <c r="AE60" s="105">
        <v>670441.97038032138</v>
      </c>
      <c r="AF60" s="105">
        <v>670441.97038032138</v>
      </c>
      <c r="AG60" s="105">
        <v>670441.97038032138</v>
      </c>
      <c r="AH60" s="105">
        <v>670441.97038032138</v>
      </c>
      <c r="AI60" s="105">
        <v>599021.19511539908</v>
      </c>
      <c r="AJ60" s="105">
        <v>599021.19511539908</v>
      </c>
      <c r="AK60" s="105">
        <v>599021.19511539908</v>
      </c>
      <c r="AL60" s="105">
        <v>599021.19511539908</v>
      </c>
      <c r="AM60" s="105">
        <v>587002.58930027753</v>
      </c>
      <c r="AN60" s="105">
        <v>587002.58930027753</v>
      </c>
      <c r="AO60" s="105">
        <v>587002.58930027753</v>
      </c>
      <c r="AP60" s="105">
        <v>587002.58930027753</v>
      </c>
      <c r="AQ60" s="105">
        <v>627262.95900572243</v>
      </c>
      <c r="AR60" s="105">
        <v>627262.95900572243</v>
      </c>
      <c r="AS60" s="105">
        <v>627262.95900572243</v>
      </c>
      <c r="AT60" s="105">
        <v>627262.95900572243</v>
      </c>
      <c r="AU60" s="105">
        <v>583004.74416863767</v>
      </c>
      <c r="AV60" s="105">
        <v>583004.74416863767</v>
      </c>
      <c r="AW60" s="105">
        <v>583004.74416863767</v>
      </c>
      <c r="AX60" s="105">
        <v>583004.74416863767</v>
      </c>
    </row>
    <row r="61" spans="2:51" x14ac:dyDescent="0.2">
      <c r="B61" s="110" t="s">
        <v>107</v>
      </c>
      <c r="C61" s="105">
        <v>0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0</v>
      </c>
      <c r="O61" s="105">
        <v>0</v>
      </c>
      <c r="P61" s="105">
        <v>0</v>
      </c>
      <c r="Q61" s="105">
        <v>0</v>
      </c>
      <c r="R61" s="105">
        <v>0</v>
      </c>
      <c r="S61" s="105">
        <v>0</v>
      </c>
      <c r="T61" s="105">
        <v>0</v>
      </c>
      <c r="U61" s="105">
        <v>0</v>
      </c>
      <c r="V61" s="105">
        <v>0</v>
      </c>
      <c r="W61" s="105">
        <v>0</v>
      </c>
      <c r="X61" s="105">
        <v>0</v>
      </c>
      <c r="Y61" s="105">
        <v>0</v>
      </c>
      <c r="Z61" s="105">
        <v>0</v>
      </c>
      <c r="AA61" s="105">
        <v>0</v>
      </c>
      <c r="AB61" s="105">
        <v>0</v>
      </c>
      <c r="AC61" s="105">
        <v>0</v>
      </c>
      <c r="AD61" s="105">
        <v>0</v>
      </c>
      <c r="AE61" s="105">
        <v>0</v>
      </c>
      <c r="AF61" s="105">
        <v>0</v>
      </c>
      <c r="AG61" s="105">
        <v>0</v>
      </c>
      <c r="AH61" s="105">
        <v>0</v>
      </c>
      <c r="AI61" s="105">
        <v>0</v>
      </c>
      <c r="AJ61" s="105">
        <v>0</v>
      </c>
      <c r="AK61" s="105">
        <v>0</v>
      </c>
      <c r="AL61" s="105">
        <v>0</v>
      </c>
      <c r="AM61" s="105">
        <v>0</v>
      </c>
      <c r="AN61" s="105">
        <v>0</v>
      </c>
      <c r="AO61" s="105">
        <v>0</v>
      </c>
      <c r="AP61" s="105">
        <v>0</v>
      </c>
      <c r="AQ61" s="105">
        <v>0</v>
      </c>
      <c r="AR61" s="105">
        <v>0</v>
      </c>
      <c r="AS61" s="105">
        <v>0</v>
      </c>
      <c r="AT61" s="105">
        <v>0</v>
      </c>
      <c r="AU61" s="105">
        <v>0</v>
      </c>
      <c r="AV61" s="105">
        <v>0</v>
      </c>
      <c r="AW61" s="105">
        <v>0</v>
      </c>
      <c r="AX61" s="105">
        <v>0</v>
      </c>
    </row>
    <row r="62" spans="2:51" x14ac:dyDescent="0.2">
      <c r="B62" s="110" t="s">
        <v>108</v>
      </c>
      <c r="C62" s="105">
        <v>0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0</v>
      </c>
      <c r="O62" s="105">
        <v>0</v>
      </c>
      <c r="P62" s="105">
        <v>0</v>
      </c>
      <c r="Q62" s="105">
        <v>0</v>
      </c>
      <c r="R62" s="105">
        <v>0</v>
      </c>
      <c r="S62" s="105">
        <v>0</v>
      </c>
      <c r="T62" s="105">
        <v>0</v>
      </c>
      <c r="U62" s="105">
        <v>0</v>
      </c>
      <c r="V62" s="105">
        <v>0</v>
      </c>
      <c r="W62" s="105">
        <v>0</v>
      </c>
      <c r="X62" s="105">
        <v>0</v>
      </c>
      <c r="Y62" s="105">
        <v>0</v>
      </c>
      <c r="Z62" s="105">
        <v>0</v>
      </c>
      <c r="AA62" s="105">
        <v>0</v>
      </c>
      <c r="AB62" s="105">
        <v>0</v>
      </c>
      <c r="AC62" s="105">
        <v>0</v>
      </c>
      <c r="AD62" s="105">
        <v>0</v>
      </c>
      <c r="AE62" s="105">
        <v>0</v>
      </c>
      <c r="AF62" s="105">
        <v>0</v>
      </c>
      <c r="AG62" s="105">
        <v>0</v>
      </c>
      <c r="AH62" s="105">
        <v>0</v>
      </c>
      <c r="AI62" s="105">
        <v>0</v>
      </c>
      <c r="AJ62" s="105">
        <v>0</v>
      </c>
      <c r="AK62" s="105">
        <v>0</v>
      </c>
      <c r="AL62" s="105">
        <v>0</v>
      </c>
      <c r="AM62" s="105">
        <v>0</v>
      </c>
      <c r="AN62" s="105">
        <v>0</v>
      </c>
      <c r="AO62" s="105">
        <v>0</v>
      </c>
      <c r="AP62" s="105">
        <v>0</v>
      </c>
      <c r="AQ62" s="105">
        <v>0</v>
      </c>
      <c r="AR62" s="105">
        <v>0</v>
      </c>
      <c r="AS62" s="105">
        <v>0</v>
      </c>
      <c r="AT62" s="105">
        <v>0</v>
      </c>
      <c r="AU62" s="105">
        <v>0</v>
      </c>
      <c r="AV62" s="105">
        <v>0</v>
      </c>
      <c r="AW62" s="105">
        <v>0</v>
      </c>
      <c r="AX62" s="105">
        <v>0</v>
      </c>
    </row>
    <row r="63" spans="2:51" x14ac:dyDescent="0.2">
      <c r="B63" s="110" t="s">
        <v>109</v>
      </c>
      <c r="C63" s="105">
        <v>0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0</v>
      </c>
      <c r="O63" s="105">
        <v>0</v>
      </c>
      <c r="P63" s="105">
        <v>0</v>
      </c>
      <c r="Q63" s="105">
        <v>0</v>
      </c>
      <c r="R63" s="105">
        <v>0</v>
      </c>
      <c r="S63" s="105">
        <v>0</v>
      </c>
      <c r="T63" s="105">
        <v>0</v>
      </c>
      <c r="U63" s="105">
        <v>0</v>
      </c>
      <c r="V63" s="105">
        <v>0</v>
      </c>
      <c r="W63" s="105">
        <v>0</v>
      </c>
      <c r="X63" s="105">
        <v>0</v>
      </c>
      <c r="Y63" s="105">
        <v>0</v>
      </c>
      <c r="Z63" s="105">
        <v>0</v>
      </c>
      <c r="AA63" s="105">
        <v>0</v>
      </c>
      <c r="AB63" s="105">
        <v>0</v>
      </c>
      <c r="AC63" s="105">
        <v>0</v>
      </c>
      <c r="AD63" s="105">
        <v>0</v>
      </c>
      <c r="AE63" s="105">
        <v>0</v>
      </c>
      <c r="AF63" s="105">
        <v>0</v>
      </c>
      <c r="AG63" s="105">
        <v>0</v>
      </c>
      <c r="AH63" s="105">
        <v>0</v>
      </c>
      <c r="AI63" s="105">
        <v>0</v>
      </c>
      <c r="AJ63" s="105">
        <v>0</v>
      </c>
      <c r="AK63" s="105">
        <v>0</v>
      </c>
      <c r="AL63" s="105">
        <v>0</v>
      </c>
      <c r="AM63" s="105">
        <v>0</v>
      </c>
      <c r="AN63" s="105">
        <v>0</v>
      </c>
      <c r="AO63" s="105">
        <v>0</v>
      </c>
      <c r="AP63" s="105">
        <v>0</v>
      </c>
      <c r="AQ63" s="105">
        <v>0</v>
      </c>
      <c r="AR63" s="105">
        <v>0</v>
      </c>
      <c r="AS63" s="105">
        <v>0</v>
      </c>
      <c r="AT63" s="105">
        <v>0</v>
      </c>
      <c r="AU63" s="105">
        <v>0</v>
      </c>
      <c r="AV63" s="105">
        <v>0</v>
      </c>
      <c r="AW63" s="105">
        <v>0</v>
      </c>
      <c r="AX63" s="105">
        <v>0</v>
      </c>
    </row>
    <row r="64" spans="2:51" x14ac:dyDescent="0.2">
      <c r="B64" s="106"/>
    </row>
    <row r="65" spans="1:14" x14ac:dyDescent="0.2">
      <c r="B65" s="109" t="s">
        <v>327</v>
      </c>
    </row>
    <row r="66" spans="1:14" x14ac:dyDescent="0.2">
      <c r="B66" s="104" t="s">
        <v>328</v>
      </c>
      <c r="C66" s="104" t="s">
        <v>92</v>
      </c>
      <c r="D66" s="104" t="s">
        <v>93</v>
      </c>
      <c r="E66" s="104" t="s">
        <v>94</v>
      </c>
      <c r="F66" s="104" t="s">
        <v>95</v>
      </c>
      <c r="G66" s="104" t="s">
        <v>96</v>
      </c>
      <c r="H66" s="104" t="s">
        <v>97</v>
      </c>
      <c r="I66" s="104" t="s">
        <v>98</v>
      </c>
      <c r="J66" s="104" t="s">
        <v>99</v>
      </c>
      <c r="K66" s="104" t="s">
        <v>100</v>
      </c>
      <c r="L66" s="104" t="s">
        <v>101</v>
      </c>
      <c r="M66" s="104" t="s">
        <v>102</v>
      </c>
      <c r="N66" s="104" t="s">
        <v>103</v>
      </c>
    </row>
    <row r="67" spans="1:14" x14ac:dyDescent="0.2">
      <c r="B67" s="104" t="s">
        <v>329</v>
      </c>
      <c r="C67" s="105">
        <v>0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0</v>
      </c>
    </row>
    <row r="68" spans="1:14" x14ac:dyDescent="0.2">
      <c r="B68" s="104" t="s">
        <v>330</v>
      </c>
      <c r="C68" s="105">
        <v>11152</v>
      </c>
      <c r="D68" s="105">
        <v>11152</v>
      </c>
      <c r="E68" s="105">
        <v>11152</v>
      </c>
      <c r="F68" s="105">
        <v>11152</v>
      </c>
      <c r="G68" s="105">
        <v>11152</v>
      </c>
      <c r="H68" s="105">
        <v>11152</v>
      </c>
      <c r="I68" s="105">
        <v>11152</v>
      </c>
      <c r="J68" s="105">
        <v>11152</v>
      </c>
      <c r="K68" s="105">
        <v>11152</v>
      </c>
      <c r="L68" s="105">
        <v>12240</v>
      </c>
      <c r="M68" s="105">
        <v>12240</v>
      </c>
      <c r="N68" s="105">
        <v>11152</v>
      </c>
    </row>
    <row r="70" spans="1:14" x14ac:dyDescent="0.2">
      <c r="B70" s="109" t="s">
        <v>331</v>
      </c>
    </row>
    <row r="71" spans="1:14" x14ac:dyDescent="0.2">
      <c r="A71" s="110" t="s">
        <v>121</v>
      </c>
      <c r="B71" s="110" t="s">
        <v>332</v>
      </c>
      <c r="C71" s="110" t="s">
        <v>34</v>
      </c>
      <c r="D71" s="110" t="s">
        <v>49</v>
      </c>
      <c r="E71" s="110" t="s">
        <v>57</v>
      </c>
      <c r="F71" s="110" t="s">
        <v>70</v>
      </c>
    </row>
    <row r="72" spans="1:14" x14ac:dyDescent="0.2">
      <c r="A72" s="110" t="s">
        <v>104</v>
      </c>
      <c r="B72" s="110" t="s">
        <v>92</v>
      </c>
      <c r="C72" s="105">
        <v>629585.00201337563</v>
      </c>
      <c r="D72" s="105">
        <v>1098971.8576839142</v>
      </c>
      <c r="E72" s="105">
        <v>751778.57689545932</v>
      </c>
      <c r="F72" s="105">
        <v>954639.46272439288</v>
      </c>
    </row>
    <row r="73" spans="1:14" x14ac:dyDescent="0.2">
      <c r="B73" s="110" t="s">
        <v>93</v>
      </c>
      <c r="C73" s="105">
        <v>629585.00201337563</v>
      </c>
      <c r="D73" s="105">
        <v>1098971.8576839142</v>
      </c>
      <c r="E73" s="105">
        <v>751778.57689545932</v>
      </c>
      <c r="F73" s="105">
        <v>954639.46272439288</v>
      </c>
    </row>
    <row r="74" spans="1:14" x14ac:dyDescent="0.2">
      <c r="B74" s="110" t="s">
        <v>94</v>
      </c>
      <c r="C74" s="105">
        <v>629585.00201337563</v>
      </c>
      <c r="D74" s="105">
        <v>1098971.8576839142</v>
      </c>
      <c r="E74" s="105">
        <v>751778.57689545932</v>
      </c>
      <c r="F74" s="105">
        <v>954639.46272439288</v>
      </c>
    </row>
    <row r="75" spans="1:14" x14ac:dyDescent="0.2">
      <c r="B75" s="110" t="s">
        <v>95</v>
      </c>
      <c r="C75" s="105">
        <v>629585.00201337563</v>
      </c>
      <c r="D75" s="105">
        <v>1098971.8576839142</v>
      </c>
      <c r="E75" s="105">
        <v>751778.57689545932</v>
      </c>
      <c r="F75" s="105">
        <v>954639.46272439288</v>
      </c>
    </row>
    <row r="76" spans="1:14" x14ac:dyDescent="0.2">
      <c r="B76" s="110" t="s">
        <v>96</v>
      </c>
      <c r="C76" s="105">
        <v>629585.00201337563</v>
      </c>
      <c r="D76" s="105">
        <v>1098971.8576839142</v>
      </c>
      <c r="E76" s="105">
        <v>751778.57689545932</v>
      </c>
      <c r="F76" s="105">
        <v>954639.46272439288</v>
      </c>
    </row>
    <row r="77" spans="1:14" x14ac:dyDescent="0.2">
      <c r="B77" s="110" t="s">
        <v>97</v>
      </c>
      <c r="C77" s="105">
        <v>629585.00201337563</v>
      </c>
      <c r="D77" s="105">
        <v>1098971.8576839142</v>
      </c>
      <c r="E77" s="105">
        <v>751778.57689545932</v>
      </c>
      <c r="F77" s="105">
        <v>954639.46272439288</v>
      </c>
    </row>
    <row r="78" spans="1:14" x14ac:dyDescent="0.2">
      <c r="B78" s="110" t="s">
        <v>98</v>
      </c>
      <c r="C78" s="105">
        <v>629585.00201337563</v>
      </c>
      <c r="D78" s="105">
        <v>1098971.8576839142</v>
      </c>
      <c r="E78" s="105">
        <v>751778.57689545932</v>
      </c>
      <c r="F78" s="105">
        <v>954639.46272439288</v>
      </c>
    </row>
    <row r="79" spans="1:14" x14ac:dyDescent="0.2">
      <c r="B79" s="110" t="s">
        <v>99</v>
      </c>
      <c r="C79" s="105">
        <v>629585.00201337563</v>
      </c>
      <c r="D79" s="105">
        <v>1098971.8576839142</v>
      </c>
      <c r="E79" s="105">
        <v>751778.57689545932</v>
      </c>
      <c r="F79" s="105">
        <v>954639.46272439288</v>
      </c>
    </row>
    <row r="80" spans="1:14" x14ac:dyDescent="0.2">
      <c r="B80" s="110" t="s">
        <v>100</v>
      </c>
      <c r="C80" s="105">
        <v>629585.00201337563</v>
      </c>
      <c r="D80" s="105">
        <v>1098971.8576839142</v>
      </c>
      <c r="E80" s="105">
        <v>751778.57689545932</v>
      </c>
      <c r="F80" s="105">
        <v>954639.46272439288</v>
      </c>
    </row>
    <row r="81" spans="2:50" x14ac:dyDescent="0.2">
      <c r="B81" s="110" t="s">
        <v>101</v>
      </c>
      <c r="C81" s="105">
        <v>691007.92903907085</v>
      </c>
      <c r="D81" s="105">
        <v>1206188.624287223</v>
      </c>
      <c r="E81" s="105">
        <v>825122.82829989435</v>
      </c>
      <c r="F81" s="105">
        <v>1047775.0200633579</v>
      </c>
    </row>
    <row r="82" spans="2:50" x14ac:dyDescent="0.2">
      <c r="B82" s="110" t="s">
        <v>102</v>
      </c>
      <c r="C82" s="105">
        <v>691007.92903907085</v>
      </c>
      <c r="D82" s="105">
        <v>1206188.624287223</v>
      </c>
      <c r="E82" s="105">
        <v>825122.82829989435</v>
      </c>
      <c r="F82" s="105">
        <v>1047775.0200633579</v>
      </c>
    </row>
    <row r="83" spans="2:50" x14ac:dyDescent="0.2">
      <c r="B83" s="110" t="s">
        <v>103</v>
      </c>
      <c r="C83" s="105">
        <v>629585.00201337563</v>
      </c>
      <c r="D83" s="105">
        <v>1098971.8576839142</v>
      </c>
      <c r="E83" s="105">
        <v>751778.57689545932</v>
      </c>
      <c r="F83" s="105">
        <v>954639.46272439288</v>
      </c>
    </row>
    <row r="85" spans="2:50" x14ac:dyDescent="0.2">
      <c r="B85" s="108" t="s">
        <v>333</v>
      </c>
    </row>
    <row r="86" spans="2:50" x14ac:dyDescent="0.2">
      <c r="B86" s="104" t="s">
        <v>274</v>
      </c>
      <c r="C86" s="104" t="s">
        <v>92</v>
      </c>
      <c r="D86" s="106"/>
      <c r="E86" s="106"/>
      <c r="F86" s="106"/>
      <c r="G86" s="104" t="s">
        <v>93</v>
      </c>
      <c r="H86" s="106"/>
      <c r="I86" s="106"/>
      <c r="J86" s="106"/>
      <c r="K86" s="104" t="s">
        <v>94</v>
      </c>
      <c r="L86" s="106"/>
      <c r="M86" s="106"/>
      <c r="N86" s="106"/>
      <c r="O86" s="104" t="s">
        <v>95</v>
      </c>
      <c r="P86" s="106"/>
      <c r="Q86" s="106"/>
      <c r="R86" s="106"/>
      <c r="S86" s="104" t="s">
        <v>96</v>
      </c>
      <c r="T86" s="106"/>
      <c r="U86" s="106"/>
      <c r="V86" s="106"/>
      <c r="W86" s="104" t="s">
        <v>97</v>
      </c>
      <c r="X86" s="106"/>
      <c r="Y86" s="106"/>
      <c r="Z86" s="106"/>
      <c r="AA86" s="104" t="s">
        <v>98</v>
      </c>
      <c r="AB86" s="106"/>
      <c r="AC86" s="106"/>
      <c r="AD86" s="106"/>
      <c r="AE86" s="104" t="s">
        <v>99</v>
      </c>
      <c r="AF86" s="106"/>
      <c r="AG86" s="106"/>
      <c r="AH86" s="106"/>
      <c r="AI86" s="104" t="s">
        <v>100</v>
      </c>
      <c r="AJ86" s="106"/>
      <c r="AK86" s="106"/>
      <c r="AL86" s="106"/>
      <c r="AM86" s="104" t="s">
        <v>101</v>
      </c>
      <c r="AN86" s="106"/>
      <c r="AO86" s="106"/>
      <c r="AP86" s="106"/>
      <c r="AQ86" s="104" t="s">
        <v>102</v>
      </c>
      <c r="AR86" s="106"/>
      <c r="AS86" s="106"/>
      <c r="AT86" s="106"/>
      <c r="AU86" s="104" t="s">
        <v>103</v>
      </c>
      <c r="AV86" s="106"/>
      <c r="AW86" s="106"/>
    </row>
    <row r="87" spans="2:50" x14ac:dyDescent="0.2">
      <c r="B87" s="104" t="s">
        <v>334</v>
      </c>
      <c r="C87" s="104">
        <v>1</v>
      </c>
      <c r="D87" s="104">
        <v>2</v>
      </c>
      <c r="E87" s="104">
        <v>3</v>
      </c>
      <c r="F87" s="104">
        <v>4</v>
      </c>
      <c r="G87" s="104">
        <v>1</v>
      </c>
      <c r="H87" s="104">
        <v>2</v>
      </c>
      <c r="I87" s="104">
        <v>3</v>
      </c>
      <c r="J87" s="104">
        <v>4</v>
      </c>
      <c r="K87" s="104">
        <v>1</v>
      </c>
      <c r="L87" s="104">
        <v>2</v>
      </c>
      <c r="M87" s="104">
        <v>3</v>
      </c>
      <c r="N87" s="104">
        <v>4</v>
      </c>
      <c r="O87" s="104">
        <v>1</v>
      </c>
      <c r="P87" s="104">
        <v>2</v>
      </c>
      <c r="Q87" s="104">
        <v>3</v>
      </c>
      <c r="R87" s="104">
        <v>4</v>
      </c>
      <c r="S87" s="104">
        <v>1</v>
      </c>
      <c r="T87" s="104">
        <v>2</v>
      </c>
      <c r="U87" s="104">
        <v>3</v>
      </c>
      <c r="V87" s="104">
        <v>4</v>
      </c>
      <c r="W87" s="104">
        <v>1</v>
      </c>
      <c r="X87" s="104">
        <v>2</v>
      </c>
      <c r="Y87" s="104">
        <v>3</v>
      </c>
      <c r="Z87" s="104">
        <v>4</v>
      </c>
      <c r="AA87" s="104">
        <v>1</v>
      </c>
      <c r="AB87" s="104">
        <v>2</v>
      </c>
      <c r="AC87" s="104">
        <v>3</v>
      </c>
      <c r="AD87" s="104">
        <v>4</v>
      </c>
      <c r="AE87" s="104">
        <v>1</v>
      </c>
      <c r="AF87" s="104">
        <v>2</v>
      </c>
      <c r="AG87" s="104">
        <v>3</v>
      </c>
      <c r="AH87" s="104">
        <v>4</v>
      </c>
      <c r="AI87" s="104">
        <v>1</v>
      </c>
      <c r="AJ87" s="104">
        <v>2</v>
      </c>
      <c r="AK87" s="104">
        <v>3</v>
      </c>
      <c r="AL87" s="104">
        <v>4</v>
      </c>
      <c r="AM87" s="104">
        <v>1</v>
      </c>
      <c r="AN87" s="104">
        <v>2</v>
      </c>
      <c r="AO87" s="104">
        <v>3</v>
      </c>
      <c r="AP87" s="104">
        <v>4</v>
      </c>
      <c r="AQ87" s="104">
        <v>1</v>
      </c>
      <c r="AR87" s="104">
        <v>2</v>
      </c>
      <c r="AS87" s="104">
        <v>3</v>
      </c>
      <c r="AT87" s="104">
        <v>4</v>
      </c>
      <c r="AU87" s="104">
        <v>1</v>
      </c>
      <c r="AV87" s="104">
        <v>2</v>
      </c>
      <c r="AW87" s="104">
        <v>3</v>
      </c>
      <c r="AX87" s="104">
        <v>4</v>
      </c>
    </row>
    <row r="88" spans="2:50" x14ac:dyDescent="0.2">
      <c r="B88" s="104" t="s">
        <v>104</v>
      </c>
      <c r="C88" s="105">
        <f>C48+$C$67/4</f>
        <v>1976</v>
      </c>
      <c r="D88" s="105">
        <f>D48+$C$67/4</f>
        <v>1976</v>
      </c>
      <c r="E88" s="105">
        <f>E48+$C$67/4</f>
        <v>1976</v>
      </c>
      <c r="F88" s="105">
        <f>F48+$C$67/4</f>
        <v>1976</v>
      </c>
      <c r="G88" s="105">
        <f>G48+$D$67/4</f>
        <v>1778.4</v>
      </c>
      <c r="H88" s="105">
        <f>H48+$D$67/4</f>
        <v>1778.4</v>
      </c>
      <c r="I88" s="105">
        <f>I48+$D$67/4</f>
        <v>1778.4</v>
      </c>
      <c r="J88" s="105">
        <f>J48+$D$67/4</f>
        <v>1778.4</v>
      </c>
      <c r="K88" s="105">
        <f>K48+$E$67/4</f>
        <v>1976</v>
      </c>
      <c r="L88" s="105">
        <f>L48+$E$67/4</f>
        <v>1976</v>
      </c>
      <c r="M88" s="105">
        <f>M48+$E$67/4</f>
        <v>1976</v>
      </c>
      <c r="N88" s="105">
        <f>N48+$E$67/4</f>
        <v>1976</v>
      </c>
      <c r="O88" s="105">
        <f>O48+$F$67/4</f>
        <v>1976</v>
      </c>
      <c r="P88" s="105">
        <f>P48+$F$67/4</f>
        <v>1976</v>
      </c>
      <c r="Q88" s="105">
        <f>Q48+$F$67/4</f>
        <v>1976</v>
      </c>
      <c r="R88" s="105">
        <f>R48+$F$67/4</f>
        <v>1976</v>
      </c>
      <c r="S88" s="105">
        <f>S48+$G$67/4</f>
        <v>1778.4</v>
      </c>
      <c r="T88" s="105">
        <f>T48+$G$67/4</f>
        <v>1778.4</v>
      </c>
      <c r="U88" s="105">
        <f>U48+$G$67/4</f>
        <v>1778.4</v>
      </c>
      <c r="V88" s="105">
        <f>V48+$G$67/4</f>
        <v>1778.4</v>
      </c>
      <c r="W88" s="105">
        <f>W48+$H$67/4</f>
        <v>2173.6000000000004</v>
      </c>
      <c r="X88" s="105">
        <f>X48+$H$67/4</f>
        <v>2173.6000000000004</v>
      </c>
      <c r="Y88" s="105">
        <f>Y48+$H$67/4</f>
        <v>2173.6000000000004</v>
      </c>
      <c r="Z88" s="105">
        <f>Z48+$H$67/4</f>
        <v>2173.6000000000004</v>
      </c>
      <c r="AA88" s="105">
        <f>AA48+$I$67/4</f>
        <v>1976</v>
      </c>
      <c r="AB88" s="105">
        <f>AB48+$I$67/4</f>
        <v>1976</v>
      </c>
      <c r="AC88" s="105">
        <f>AC48+$I$67/4</f>
        <v>1976</v>
      </c>
      <c r="AD88" s="105">
        <f>AD48+$I$67/4</f>
        <v>1976</v>
      </c>
      <c r="AE88" s="105">
        <f>AE48+$J$67/4</f>
        <v>1976</v>
      </c>
      <c r="AF88" s="105">
        <f>AF48+$J$67/4</f>
        <v>1976</v>
      </c>
      <c r="AG88" s="105">
        <f>AG48+$J$67/4</f>
        <v>1976</v>
      </c>
      <c r="AH88" s="105">
        <f>AH48+$J$67/4</f>
        <v>1976</v>
      </c>
      <c r="AI88" s="105">
        <f>AI48+$K$67/4</f>
        <v>1778.4</v>
      </c>
      <c r="AJ88" s="105">
        <f>AJ48+$K$67/4</f>
        <v>1778.4</v>
      </c>
      <c r="AK88" s="105">
        <f>AK48+$K$67/4</f>
        <v>1778.4</v>
      </c>
      <c r="AL88" s="105">
        <f>AL48+$K$67/4</f>
        <v>1778.4</v>
      </c>
      <c r="AM88" s="105">
        <f>AM48+$L$67/4</f>
        <v>1976</v>
      </c>
      <c r="AN88" s="105">
        <f>AN48+$L$67/4</f>
        <v>1976</v>
      </c>
      <c r="AO88" s="105">
        <f>AO48+$L$67/4</f>
        <v>1976</v>
      </c>
      <c r="AP88" s="105">
        <f>AP48+$L$67/4</f>
        <v>1976</v>
      </c>
      <c r="AQ88" s="105">
        <f>AQ48+$M$67/4</f>
        <v>1976</v>
      </c>
      <c r="AR88" s="105">
        <f>AR48+$M$67/4</f>
        <v>1976</v>
      </c>
      <c r="AS88" s="105">
        <f>AS48+$M$67/4</f>
        <v>1976</v>
      </c>
      <c r="AT88" s="105">
        <f>AT48+$M$67/4</f>
        <v>1976</v>
      </c>
      <c r="AU88" s="105">
        <f>AU48+$N$67/4</f>
        <v>2173.6000000000004</v>
      </c>
      <c r="AV88" s="105">
        <f>AV48+$N$67/4</f>
        <v>2173.6000000000004</v>
      </c>
      <c r="AW88" s="105">
        <f>AW48+$N$67/4</f>
        <v>2173.6000000000004</v>
      </c>
      <c r="AX88" s="105">
        <f>AX48+$N$67/4</f>
        <v>2173.6000000000004</v>
      </c>
    </row>
    <row r="89" spans="2:50" x14ac:dyDescent="0.2">
      <c r="B89" s="104" t="s">
        <v>105</v>
      </c>
      <c r="C89" s="105">
        <f>C49</f>
        <v>314</v>
      </c>
      <c r="D89" s="105">
        <f t="shared" ref="D89:AX93" si="3">D49</f>
        <v>314</v>
      </c>
      <c r="E89" s="105">
        <f t="shared" si="3"/>
        <v>314</v>
      </c>
      <c r="F89" s="105">
        <f t="shared" si="3"/>
        <v>314</v>
      </c>
      <c r="G89" s="105">
        <f t="shared" si="3"/>
        <v>314</v>
      </c>
      <c r="H89" s="105">
        <f t="shared" si="3"/>
        <v>314</v>
      </c>
      <c r="I89" s="105">
        <f t="shared" si="3"/>
        <v>314</v>
      </c>
      <c r="J89" s="105">
        <f t="shared" si="3"/>
        <v>314</v>
      </c>
      <c r="K89" s="105">
        <f t="shared" si="3"/>
        <v>314</v>
      </c>
      <c r="L89" s="105">
        <f t="shared" si="3"/>
        <v>314</v>
      </c>
      <c r="M89" s="105">
        <f t="shared" si="3"/>
        <v>314</v>
      </c>
      <c r="N89" s="105">
        <f t="shared" si="3"/>
        <v>314</v>
      </c>
      <c r="O89" s="105">
        <f t="shared" si="3"/>
        <v>314</v>
      </c>
      <c r="P89" s="105">
        <f t="shared" si="3"/>
        <v>314</v>
      </c>
      <c r="Q89" s="105">
        <f t="shared" si="3"/>
        <v>314</v>
      </c>
      <c r="R89" s="105">
        <f t="shared" si="3"/>
        <v>314</v>
      </c>
      <c r="S89" s="105">
        <f t="shared" si="3"/>
        <v>314</v>
      </c>
      <c r="T89" s="105">
        <f t="shared" si="3"/>
        <v>314</v>
      </c>
      <c r="U89" s="105">
        <f t="shared" si="3"/>
        <v>314</v>
      </c>
      <c r="V89" s="105">
        <f t="shared" si="3"/>
        <v>314</v>
      </c>
      <c r="W89" s="105">
        <f t="shared" si="3"/>
        <v>314</v>
      </c>
      <c r="X89" s="105">
        <f t="shared" si="3"/>
        <v>314</v>
      </c>
      <c r="Y89" s="105">
        <f t="shared" si="3"/>
        <v>314</v>
      </c>
      <c r="Z89" s="105">
        <f t="shared" si="3"/>
        <v>314</v>
      </c>
      <c r="AA89" s="105">
        <f t="shared" si="3"/>
        <v>314</v>
      </c>
      <c r="AB89" s="105">
        <f t="shared" si="3"/>
        <v>314</v>
      </c>
      <c r="AC89" s="105">
        <f t="shared" si="3"/>
        <v>314</v>
      </c>
      <c r="AD89" s="105">
        <f t="shared" si="3"/>
        <v>314</v>
      </c>
      <c r="AE89" s="105">
        <f t="shared" si="3"/>
        <v>314</v>
      </c>
      <c r="AF89" s="105">
        <f t="shared" si="3"/>
        <v>314</v>
      </c>
      <c r="AG89" s="105">
        <f t="shared" si="3"/>
        <v>314</v>
      </c>
      <c r="AH89" s="105">
        <f t="shared" si="3"/>
        <v>314</v>
      </c>
      <c r="AI89" s="105">
        <f t="shared" si="3"/>
        <v>314</v>
      </c>
      <c r="AJ89" s="105">
        <f t="shared" si="3"/>
        <v>314</v>
      </c>
      <c r="AK89" s="105">
        <f t="shared" si="3"/>
        <v>314</v>
      </c>
      <c r="AL89" s="105">
        <f t="shared" si="3"/>
        <v>314</v>
      </c>
      <c r="AM89" s="105">
        <f t="shared" si="3"/>
        <v>314</v>
      </c>
      <c r="AN89" s="105">
        <f t="shared" si="3"/>
        <v>314</v>
      </c>
      <c r="AO89" s="105">
        <f t="shared" si="3"/>
        <v>314</v>
      </c>
      <c r="AP89" s="105">
        <f t="shared" si="3"/>
        <v>314</v>
      </c>
      <c r="AQ89" s="105">
        <f t="shared" si="3"/>
        <v>314</v>
      </c>
      <c r="AR89" s="105">
        <f t="shared" si="3"/>
        <v>314</v>
      </c>
      <c r="AS89" s="105">
        <f t="shared" si="3"/>
        <v>314</v>
      </c>
      <c r="AT89" s="105">
        <f t="shared" si="3"/>
        <v>314</v>
      </c>
      <c r="AU89" s="105">
        <f t="shared" si="3"/>
        <v>314</v>
      </c>
      <c r="AV89" s="105">
        <f t="shared" si="3"/>
        <v>314</v>
      </c>
      <c r="AW89" s="105">
        <f t="shared" si="3"/>
        <v>314</v>
      </c>
      <c r="AX89" s="105">
        <f t="shared" si="3"/>
        <v>314</v>
      </c>
    </row>
    <row r="90" spans="2:50" x14ac:dyDescent="0.2">
      <c r="B90" s="104" t="s">
        <v>106</v>
      </c>
      <c r="C90" s="105">
        <f t="shared" ref="C90:R93" si="4">C50</f>
        <v>389</v>
      </c>
      <c r="D90" s="105">
        <f t="shared" si="4"/>
        <v>389</v>
      </c>
      <c r="E90" s="105">
        <f t="shared" si="4"/>
        <v>389</v>
      </c>
      <c r="F90" s="105">
        <f t="shared" si="4"/>
        <v>389</v>
      </c>
      <c r="G90" s="105">
        <f t="shared" si="4"/>
        <v>389</v>
      </c>
      <c r="H90" s="105">
        <f t="shared" si="4"/>
        <v>389</v>
      </c>
      <c r="I90" s="105">
        <f t="shared" si="4"/>
        <v>389</v>
      </c>
      <c r="J90" s="105">
        <f t="shared" si="4"/>
        <v>389</v>
      </c>
      <c r="K90" s="105">
        <f t="shared" si="4"/>
        <v>427.90000000000003</v>
      </c>
      <c r="L90" s="105">
        <f t="shared" si="4"/>
        <v>427.90000000000003</v>
      </c>
      <c r="M90" s="105">
        <f t="shared" si="4"/>
        <v>427.90000000000003</v>
      </c>
      <c r="N90" s="105">
        <f t="shared" si="4"/>
        <v>427.90000000000003</v>
      </c>
      <c r="O90" s="105">
        <f t="shared" si="4"/>
        <v>427.90000000000003</v>
      </c>
      <c r="P90" s="105">
        <f t="shared" si="4"/>
        <v>427.90000000000003</v>
      </c>
      <c r="Q90" s="105">
        <f t="shared" si="4"/>
        <v>427.90000000000003</v>
      </c>
      <c r="R90" s="105">
        <f t="shared" si="4"/>
        <v>427.90000000000003</v>
      </c>
      <c r="S90" s="105">
        <f t="shared" si="3"/>
        <v>389</v>
      </c>
      <c r="T90" s="105">
        <f t="shared" si="3"/>
        <v>389</v>
      </c>
      <c r="U90" s="105">
        <f t="shared" si="3"/>
        <v>389</v>
      </c>
      <c r="V90" s="105">
        <f t="shared" si="3"/>
        <v>389</v>
      </c>
      <c r="W90" s="105">
        <f t="shared" si="3"/>
        <v>427.90000000000003</v>
      </c>
      <c r="X90" s="105">
        <f t="shared" si="3"/>
        <v>427.90000000000003</v>
      </c>
      <c r="Y90" s="105">
        <f t="shared" si="3"/>
        <v>427.90000000000003</v>
      </c>
      <c r="Z90" s="105">
        <f t="shared" si="3"/>
        <v>427.90000000000003</v>
      </c>
      <c r="AA90" s="105">
        <f t="shared" si="3"/>
        <v>389</v>
      </c>
      <c r="AB90" s="105">
        <f t="shared" si="3"/>
        <v>389</v>
      </c>
      <c r="AC90" s="105">
        <f t="shared" si="3"/>
        <v>389</v>
      </c>
      <c r="AD90" s="105">
        <f t="shared" si="3"/>
        <v>389</v>
      </c>
      <c r="AE90" s="105">
        <f t="shared" si="3"/>
        <v>350.1</v>
      </c>
      <c r="AF90" s="105">
        <f t="shared" si="3"/>
        <v>350.1</v>
      </c>
      <c r="AG90" s="105">
        <f t="shared" si="3"/>
        <v>350.1</v>
      </c>
      <c r="AH90" s="105">
        <f t="shared" si="3"/>
        <v>350.1</v>
      </c>
      <c r="AI90" s="105">
        <f t="shared" si="3"/>
        <v>427.90000000000003</v>
      </c>
      <c r="AJ90" s="105">
        <f t="shared" si="3"/>
        <v>427.90000000000003</v>
      </c>
      <c r="AK90" s="105">
        <f t="shared" si="3"/>
        <v>427.90000000000003</v>
      </c>
      <c r="AL90" s="105">
        <f t="shared" si="3"/>
        <v>427.90000000000003</v>
      </c>
      <c r="AM90" s="105">
        <f t="shared" si="3"/>
        <v>389</v>
      </c>
      <c r="AN90" s="105">
        <f t="shared" si="3"/>
        <v>389</v>
      </c>
      <c r="AO90" s="105">
        <f t="shared" si="3"/>
        <v>389</v>
      </c>
      <c r="AP90" s="105">
        <f t="shared" si="3"/>
        <v>389</v>
      </c>
      <c r="AQ90" s="105">
        <f t="shared" si="3"/>
        <v>389</v>
      </c>
      <c r="AR90" s="105">
        <f t="shared" si="3"/>
        <v>389</v>
      </c>
      <c r="AS90" s="105">
        <f t="shared" si="3"/>
        <v>389</v>
      </c>
      <c r="AT90" s="105">
        <f t="shared" si="3"/>
        <v>389</v>
      </c>
      <c r="AU90" s="105">
        <f t="shared" si="3"/>
        <v>389</v>
      </c>
      <c r="AV90" s="105">
        <f t="shared" si="3"/>
        <v>389</v>
      </c>
      <c r="AW90" s="105">
        <f t="shared" si="3"/>
        <v>389</v>
      </c>
      <c r="AX90" s="105">
        <f t="shared" si="3"/>
        <v>389</v>
      </c>
    </row>
    <row r="91" spans="2:50" x14ac:dyDescent="0.2">
      <c r="B91" s="104" t="s">
        <v>107</v>
      </c>
      <c r="C91" s="105">
        <f t="shared" si="4"/>
        <v>0</v>
      </c>
      <c r="D91" s="105">
        <f t="shared" si="3"/>
        <v>0</v>
      </c>
      <c r="E91" s="105">
        <f t="shared" si="3"/>
        <v>0</v>
      </c>
      <c r="F91" s="105">
        <f t="shared" si="3"/>
        <v>0</v>
      </c>
      <c r="G91" s="105">
        <f t="shared" si="3"/>
        <v>0</v>
      </c>
      <c r="H91" s="105">
        <f t="shared" si="3"/>
        <v>0</v>
      </c>
      <c r="I91" s="105">
        <f t="shared" si="3"/>
        <v>0</v>
      </c>
      <c r="J91" s="105">
        <f t="shared" si="3"/>
        <v>0</v>
      </c>
      <c r="K91" s="105">
        <f t="shared" si="3"/>
        <v>0</v>
      </c>
      <c r="L91" s="105">
        <f t="shared" si="3"/>
        <v>0</v>
      </c>
      <c r="M91" s="105">
        <f t="shared" si="3"/>
        <v>0</v>
      </c>
      <c r="N91" s="105">
        <f t="shared" si="3"/>
        <v>0</v>
      </c>
      <c r="O91" s="105">
        <f t="shared" si="3"/>
        <v>0</v>
      </c>
      <c r="P91" s="105">
        <f t="shared" si="3"/>
        <v>0</v>
      </c>
      <c r="Q91" s="105">
        <f t="shared" si="3"/>
        <v>0</v>
      </c>
      <c r="R91" s="105">
        <f t="shared" si="3"/>
        <v>0</v>
      </c>
      <c r="S91" s="105">
        <f t="shared" si="3"/>
        <v>0</v>
      </c>
      <c r="T91" s="105">
        <f t="shared" si="3"/>
        <v>0</v>
      </c>
      <c r="U91" s="105">
        <f t="shared" si="3"/>
        <v>0</v>
      </c>
      <c r="V91" s="105">
        <f t="shared" si="3"/>
        <v>0</v>
      </c>
      <c r="W91" s="105">
        <f t="shared" si="3"/>
        <v>0</v>
      </c>
      <c r="X91" s="105">
        <f t="shared" si="3"/>
        <v>0</v>
      </c>
      <c r="Y91" s="105">
        <f t="shared" si="3"/>
        <v>0</v>
      </c>
      <c r="Z91" s="105">
        <f t="shared" si="3"/>
        <v>0</v>
      </c>
      <c r="AA91" s="105">
        <f t="shared" si="3"/>
        <v>0</v>
      </c>
      <c r="AB91" s="105">
        <f t="shared" si="3"/>
        <v>0</v>
      </c>
      <c r="AC91" s="105">
        <f t="shared" si="3"/>
        <v>0</v>
      </c>
      <c r="AD91" s="105">
        <f t="shared" si="3"/>
        <v>0</v>
      </c>
      <c r="AE91" s="105">
        <f t="shared" si="3"/>
        <v>0</v>
      </c>
      <c r="AF91" s="105">
        <f t="shared" si="3"/>
        <v>0</v>
      </c>
      <c r="AG91" s="105">
        <f t="shared" si="3"/>
        <v>0</v>
      </c>
      <c r="AH91" s="105">
        <f t="shared" si="3"/>
        <v>0</v>
      </c>
      <c r="AI91" s="105">
        <f t="shared" si="3"/>
        <v>0</v>
      </c>
      <c r="AJ91" s="105">
        <f t="shared" si="3"/>
        <v>0</v>
      </c>
      <c r="AK91" s="105">
        <f t="shared" si="3"/>
        <v>0</v>
      </c>
      <c r="AL91" s="105">
        <f t="shared" si="3"/>
        <v>0</v>
      </c>
      <c r="AM91" s="105">
        <f t="shared" si="3"/>
        <v>0</v>
      </c>
      <c r="AN91" s="105">
        <f t="shared" si="3"/>
        <v>0</v>
      </c>
      <c r="AO91" s="105">
        <f t="shared" si="3"/>
        <v>0</v>
      </c>
      <c r="AP91" s="105">
        <f t="shared" si="3"/>
        <v>0</v>
      </c>
      <c r="AQ91" s="105">
        <f t="shared" si="3"/>
        <v>0</v>
      </c>
      <c r="AR91" s="105">
        <f t="shared" si="3"/>
        <v>0</v>
      </c>
      <c r="AS91" s="105">
        <f t="shared" si="3"/>
        <v>0</v>
      </c>
      <c r="AT91" s="105">
        <f t="shared" si="3"/>
        <v>0</v>
      </c>
      <c r="AU91" s="105">
        <f t="shared" si="3"/>
        <v>0</v>
      </c>
      <c r="AV91" s="105">
        <f t="shared" si="3"/>
        <v>0</v>
      </c>
      <c r="AW91" s="105">
        <f t="shared" si="3"/>
        <v>0</v>
      </c>
      <c r="AX91" s="105">
        <f t="shared" si="3"/>
        <v>0</v>
      </c>
    </row>
    <row r="92" spans="2:50" x14ac:dyDescent="0.2">
      <c r="B92" s="104" t="s">
        <v>108</v>
      </c>
      <c r="C92" s="105">
        <f t="shared" si="4"/>
        <v>0</v>
      </c>
      <c r="D92" s="105">
        <f t="shared" si="4"/>
        <v>0</v>
      </c>
      <c r="E92" s="105">
        <f t="shared" si="4"/>
        <v>0</v>
      </c>
      <c r="F92" s="105">
        <f t="shared" si="4"/>
        <v>0</v>
      </c>
      <c r="G92" s="105">
        <f t="shared" si="4"/>
        <v>0</v>
      </c>
      <c r="H92" s="105">
        <f t="shared" si="4"/>
        <v>0</v>
      </c>
      <c r="I92" s="105">
        <f t="shared" si="4"/>
        <v>0</v>
      </c>
      <c r="J92" s="105">
        <f t="shared" si="4"/>
        <v>0</v>
      </c>
      <c r="K92" s="105">
        <f t="shared" si="4"/>
        <v>0</v>
      </c>
      <c r="L92" s="105">
        <f t="shared" si="4"/>
        <v>0</v>
      </c>
      <c r="M92" s="105">
        <f t="shared" si="4"/>
        <v>0</v>
      </c>
      <c r="N92" s="105">
        <f t="shared" si="4"/>
        <v>0</v>
      </c>
      <c r="O92" s="105">
        <f t="shared" si="4"/>
        <v>0</v>
      </c>
      <c r="P92" s="105">
        <f t="shared" si="4"/>
        <v>0</v>
      </c>
      <c r="Q92" s="105">
        <f t="shared" si="4"/>
        <v>0</v>
      </c>
      <c r="R92" s="105">
        <f t="shared" si="4"/>
        <v>0</v>
      </c>
      <c r="S92" s="105">
        <f t="shared" si="3"/>
        <v>0</v>
      </c>
      <c r="T92" s="105">
        <f t="shared" si="3"/>
        <v>0</v>
      </c>
      <c r="U92" s="105">
        <f t="shared" si="3"/>
        <v>0</v>
      </c>
      <c r="V92" s="105">
        <f t="shared" si="3"/>
        <v>0</v>
      </c>
      <c r="W92" s="105">
        <f t="shared" si="3"/>
        <v>0</v>
      </c>
      <c r="X92" s="105">
        <f t="shared" si="3"/>
        <v>0</v>
      </c>
      <c r="Y92" s="105">
        <f t="shared" si="3"/>
        <v>0</v>
      </c>
      <c r="Z92" s="105">
        <f t="shared" si="3"/>
        <v>0</v>
      </c>
      <c r="AA92" s="105">
        <f t="shared" si="3"/>
        <v>0</v>
      </c>
      <c r="AB92" s="105">
        <f t="shared" si="3"/>
        <v>0</v>
      </c>
      <c r="AC92" s="105">
        <f t="shared" si="3"/>
        <v>0</v>
      </c>
      <c r="AD92" s="105">
        <f t="shared" si="3"/>
        <v>0</v>
      </c>
      <c r="AE92" s="105">
        <f t="shared" si="3"/>
        <v>0</v>
      </c>
      <c r="AF92" s="105">
        <f t="shared" si="3"/>
        <v>0</v>
      </c>
      <c r="AG92" s="105">
        <f t="shared" si="3"/>
        <v>0</v>
      </c>
      <c r="AH92" s="105">
        <f t="shared" si="3"/>
        <v>0</v>
      </c>
      <c r="AI92" s="105">
        <f t="shared" si="3"/>
        <v>0</v>
      </c>
      <c r="AJ92" s="105">
        <f t="shared" si="3"/>
        <v>0</v>
      </c>
      <c r="AK92" s="105">
        <f t="shared" si="3"/>
        <v>0</v>
      </c>
      <c r="AL92" s="105">
        <f t="shared" si="3"/>
        <v>0</v>
      </c>
      <c r="AM92" s="105">
        <f t="shared" si="3"/>
        <v>0</v>
      </c>
      <c r="AN92" s="105">
        <f t="shared" si="3"/>
        <v>0</v>
      </c>
      <c r="AO92" s="105">
        <f t="shared" si="3"/>
        <v>0</v>
      </c>
      <c r="AP92" s="105">
        <f t="shared" si="3"/>
        <v>0</v>
      </c>
      <c r="AQ92" s="105">
        <f t="shared" si="3"/>
        <v>0</v>
      </c>
      <c r="AR92" s="105">
        <f t="shared" si="3"/>
        <v>0</v>
      </c>
      <c r="AS92" s="105">
        <f t="shared" si="3"/>
        <v>0</v>
      </c>
      <c r="AT92" s="105">
        <f t="shared" si="3"/>
        <v>0</v>
      </c>
      <c r="AU92" s="105">
        <f t="shared" si="3"/>
        <v>0</v>
      </c>
      <c r="AV92" s="105">
        <f t="shared" si="3"/>
        <v>0</v>
      </c>
      <c r="AW92" s="105">
        <f t="shared" si="3"/>
        <v>0</v>
      </c>
      <c r="AX92" s="105">
        <f t="shared" si="3"/>
        <v>0</v>
      </c>
    </row>
    <row r="93" spans="2:50" x14ac:dyDescent="0.2">
      <c r="B93" s="104" t="s">
        <v>109</v>
      </c>
      <c r="C93" s="105">
        <f t="shared" si="4"/>
        <v>0</v>
      </c>
      <c r="D93" s="105">
        <f t="shared" si="4"/>
        <v>0</v>
      </c>
      <c r="E93" s="105">
        <f t="shared" si="4"/>
        <v>0</v>
      </c>
      <c r="F93" s="105">
        <f t="shared" si="4"/>
        <v>0</v>
      </c>
      <c r="G93" s="105">
        <f t="shared" si="4"/>
        <v>0</v>
      </c>
      <c r="H93" s="105">
        <f t="shared" si="4"/>
        <v>0</v>
      </c>
      <c r="I93" s="105">
        <f t="shared" si="4"/>
        <v>0</v>
      </c>
      <c r="J93" s="105">
        <f t="shared" si="4"/>
        <v>0</v>
      </c>
      <c r="K93" s="105">
        <f t="shared" si="4"/>
        <v>0</v>
      </c>
      <c r="L93" s="105">
        <f t="shared" si="4"/>
        <v>0</v>
      </c>
      <c r="M93" s="105">
        <f t="shared" si="4"/>
        <v>0</v>
      </c>
      <c r="N93" s="105">
        <f t="shared" si="4"/>
        <v>0</v>
      </c>
      <c r="O93" s="105">
        <f t="shared" si="4"/>
        <v>0</v>
      </c>
      <c r="P93" s="105">
        <f t="shared" si="4"/>
        <v>0</v>
      </c>
      <c r="Q93" s="105">
        <f t="shared" si="4"/>
        <v>0</v>
      </c>
      <c r="R93" s="105">
        <f t="shared" si="4"/>
        <v>0</v>
      </c>
      <c r="S93" s="105">
        <f t="shared" si="3"/>
        <v>0</v>
      </c>
      <c r="T93" s="105">
        <f t="shared" si="3"/>
        <v>0</v>
      </c>
      <c r="U93" s="105">
        <f t="shared" si="3"/>
        <v>0</v>
      </c>
      <c r="V93" s="105">
        <f t="shared" si="3"/>
        <v>0</v>
      </c>
      <c r="W93" s="105">
        <f t="shared" si="3"/>
        <v>0</v>
      </c>
      <c r="X93" s="105">
        <f t="shared" si="3"/>
        <v>0</v>
      </c>
      <c r="Y93" s="105">
        <f t="shared" si="3"/>
        <v>0</v>
      </c>
      <c r="Z93" s="105">
        <f t="shared" si="3"/>
        <v>0</v>
      </c>
      <c r="AA93" s="105">
        <f t="shared" si="3"/>
        <v>0</v>
      </c>
      <c r="AB93" s="105">
        <f t="shared" si="3"/>
        <v>0</v>
      </c>
      <c r="AC93" s="105">
        <f t="shared" si="3"/>
        <v>0</v>
      </c>
      <c r="AD93" s="105">
        <f t="shared" si="3"/>
        <v>0</v>
      </c>
      <c r="AE93" s="105">
        <f t="shared" si="3"/>
        <v>0</v>
      </c>
      <c r="AF93" s="105">
        <f t="shared" si="3"/>
        <v>0</v>
      </c>
      <c r="AG93" s="105">
        <f t="shared" si="3"/>
        <v>0</v>
      </c>
      <c r="AH93" s="105">
        <f t="shared" si="3"/>
        <v>0</v>
      </c>
      <c r="AI93" s="105">
        <f t="shared" si="3"/>
        <v>0</v>
      </c>
      <c r="AJ93" s="105">
        <f t="shared" si="3"/>
        <v>0</v>
      </c>
      <c r="AK93" s="105">
        <f t="shared" si="3"/>
        <v>0</v>
      </c>
      <c r="AL93" s="105">
        <f t="shared" si="3"/>
        <v>0</v>
      </c>
      <c r="AM93" s="105">
        <f t="shared" si="3"/>
        <v>0</v>
      </c>
      <c r="AN93" s="105">
        <f t="shared" si="3"/>
        <v>0</v>
      </c>
      <c r="AO93" s="105">
        <f t="shared" si="3"/>
        <v>0</v>
      </c>
      <c r="AP93" s="105">
        <f t="shared" si="3"/>
        <v>0</v>
      </c>
      <c r="AQ93" s="105">
        <f t="shared" si="3"/>
        <v>0</v>
      </c>
      <c r="AR93" s="105">
        <f t="shared" si="3"/>
        <v>0</v>
      </c>
      <c r="AS93" s="105">
        <f t="shared" si="3"/>
        <v>0</v>
      </c>
      <c r="AT93" s="105">
        <f t="shared" si="3"/>
        <v>0</v>
      </c>
      <c r="AU93" s="105">
        <f t="shared" si="3"/>
        <v>0</v>
      </c>
      <c r="AV93" s="105">
        <f t="shared" si="3"/>
        <v>0</v>
      </c>
      <c r="AW93" s="105">
        <f t="shared" si="3"/>
        <v>0</v>
      </c>
      <c r="AX93" s="105">
        <f t="shared" si="3"/>
        <v>0</v>
      </c>
    </row>
    <row r="94" spans="2:50" x14ac:dyDescent="0.2">
      <c r="B94" s="106"/>
    </row>
    <row r="95" spans="2:50" x14ac:dyDescent="0.2">
      <c r="B95" s="179" t="s">
        <v>335</v>
      </c>
    </row>
    <row r="96" spans="2:50" x14ac:dyDescent="0.2">
      <c r="B96" s="180"/>
      <c r="C96" s="110" t="s">
        <v>92</v>
      </c>
      <c r="D96" s="106"/>
      <c r="E96" s="106"/>
      <c r="F96" s="106"/>
      <c r="G96" s="110" t="s">
        <v>93</v>
      </c>
      <c r="H96" s="106"/>
      <c r="I96" s="106"/>
      <c r="J96" s="106"/>
      <c r="K96" s="110" t="s">
        <v>94</v>
      </c>
      <c r="L96" s="106"/>
      <c r="M96" s="106"/>
      <c r="N96" s="106"/>
      <c r="O96" s="110" t="s">
        <v>95</v>
      </c>
      <c r="P96" s="106"/>
      <c r="Q96" s="106"/>
      <c r="R96" s="106"/>
      <c r="S96" s="110" t="s">
        <v>96</v>
      </c>
      <c r="T96" s="106"/>
      <c r="U96" s="106"/>
      <c r="V96" s="106"/>
      <c r="W96" s="110" t="s">
        <v>97</v>
      </c>
      <c r="X96" s="106"/>
      <c r="Y96" s="106"/>
      <c r="Z96" s="106"/>
      <c r="AA96" s="110" t="s">
        <v>98</v>
      </c>
      <c r="AB96" s="106"/>
      <c r="AC96" s="106"/>
      <c r="AD96" s="106"/>
      <c r="AE96" s="110" t="s">
        <v>99</v>
      </c>
      <c r="AF96" s="106"/>
      <c r="AG96" s="106"/>
      <c r="AH96" s="106"/>
      <c r="AI96" s="110" t="s">
        <v>100</v>
      </c>
      <c r="AJ96" s="106"/>
      <c r="AK96" s="106"/>
      <c r="AL96" s="106"/>
      <c r="AM96" s="110" t="s">
        <v>101</v>
      </c>
      <c r="AN96" s="106"/>
      <c r="AO96" s="106"/>
      <c r="AP96" s="106"/>
      <c r="AQ96" s="110" t="s">
        <v>102</v>
      </c>
      <c r="AR96" s="106"/>
      <c r="AS96" s="106"/>
      <c r="AT96" s="106"/>
      <c r="AU96" s="110" t="s">
        <v>103</v>
      </c>
      <c r="AV96" s="106"/>
      <c r="AW96" s="106"/>
    </row>
    <row r="97" spans="1:50" x14ac:dyDescent="0.2">
      <c r="A97" s="181" t="s">
        <v>121</v>
      </c>
      <c r="B97" s="181" t="s">
        <v>336</v>
      </c>
      <c r="C97" s="110">
        <v>1</v>
      </c>
      <c r="D97" s="110">
        <v>2</v>
      </c>
      <c r="E97" s="110">
        <v>3</v>
      </c>
      <c r="F97" s="110">
        <v>4</v>
      </c>
      <c r="G97" s="110">
        <v>1</v>
      </c>
      <c r="H97" s="110">
        <v>2</v>
      </c>
      <c r="I97" s="110">
        <v>3</v>
      </c>
      <c r="J97" s="110">
        <v>4</v>
      </c>
      <c r="K97" s="110">
        <v>1</v>
      </c>
      <c r="L97" s="110">
        <v>2</v>
      </c>
      <c r="M97" s="110">
        <v>3</v>
      </c>
      <c r="N97" s="110">
        <v>4</v>
      </c>
      <c r="O97" s="110">
        <v>1</v>
      </c>
      <c r="P97" s="110">
        <v>2</v>
      </c>
      <c r="Q97" s="110">
        <v>3</v>
      </c>
      <c r="R97" s="110">
        <v>4</v>
      </c>
      <c r="S97" s="110">
        <v>1</v>
      </c>
      <c r="T97" s="110">
        <v>2</v>
      </c>
      <c r="U97" s="110">
        <v>3</v>
      </c>
      <c r="V97" s="110">
        <v>4</v>
      </c>
      <c r="W97" s="110">
        <v>1</v>
      </c>
      <c r="X97" s="110">
        <v>2</v>
      </c>
      <c r="Y97" s="110">
        <v>3</v>
      </c>
      <c r="Z97" s="110">
        <v>4</v>
      </c>
      <c r="AA97" s="110">
        <v>1</v>
      </c>
      <c r="AB97" s="110">
        <v>2</v>
      </c>
      <c r="AC97" s="110">
        <v>3</v>
      </c>
      <c r="AD97" s="110">
        <v>4</v>
      </c>
      <c r="AE97" s="110">
        <v>1</v>
      </c>
      <c r="AF97" s="110">
        <v>2</v>
      </c>
      <c r="AG97" s="110">
        <v>3</v>
      </c>
      <c r="AH97" s="110">
        <v>4</v>
      </c>
      <c r="AI97" s="110">
        <v>1</v>
      </c>
      <c r="AJ97" s="110">
        <v>2</v>
      </c>
      <c r="AK97" s="110">
        <v>3</v>
      </c>
      <c r="AL97" s="110">
        <v>4</v>
      </c>
      <c r="AM97" s="110">
        <v>1</v>
      </c>
      <c r="AN97" s="110">
        <v>2</v>
      </c>
      <c r="AO97" s="110">
        <v>3</v>
      </c>
      <c r="AP97" s="110">
        <v>4</v>
      </c>
      <c r="AQ97" s="110">
        <v>1</v>
      </c>
      <c r="AR97" s="110">
        <v>2</v>
      </c>
      <c r="AS97" s="110">
        <v>3</v>
      </c>
      <c r="AT97" s="110">
        <v>4</v>
      </c>
      <c r="AU97" s="110">
        <v>1</v>
      </c>
      <c r="AV97" s="110">
        <v>2</v>
      </c>
      <c r="AW97" s="110">
        <v>3</v>
      </c>
      <c r="AX97" s="110">
        <v>4</v>
      </c>
    </row>
    <row r="98" spans="1:50" x14ac:dyDescent="0.2">
      <c r="A98" s="110" t="s">
        <v>104</v>
      </c>
      <c r="B98" s="110" t="s">
        <v>7</v>
      </c>
      <c r="C98" s="105">
        <v>0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</row>
    <row r="99" spans="1:50" x14ac:dyDescent="0.2">
      <c r="B99" s="110" t="s">
        <v>8</v>
      </c>
      <c r="C99" s="105">
        <v>108503.60780192015</v>
      </c>
      <c r="D99" s="105">
        <v>108503.60780192015</v>
      </c>
      <c r="E99" s="105">
        <v>108503.60780192015</v>
      </c>
      <c r="F99" s="105">
        <v>108503.60780192015</v>
      </c>
      <c r="G99" s="105">
        <v>97653.247021728152</v>
      </c>
      <c r="H99" s="105">
        <v>97653.247021728152</v>
      </c>
      <c r="I99" s="105">
        <v>97653.247021728152</v>
      </c>
      <c r="J99" s="105">
        <v>97653.247021728152</v>
      </c>
      <c r="K99" s="105">
        <v>108503.60780192015</v>
      </c>
      <c r="L99" s="105">
        <v>108503.60780192015</v>
      </c>
      <c r="M99" s="105">
        <v>108503.60780192015</v>
      </c>
      <c r="N99" s="105">
        <v>108503.60780192015</v>
      </c>
      <c r="O99" s="105">
        <v>108503.60780192015</v>
      </c>
      <c r="P99" s="105">
        <v>108503.60780192015</v>
      </c>
      <c r="Q99" s="105">
        <v>108503.60780192015</v>
      </c>
      <c r="R99" s="105">
        <v>108503.60780192015</v>
      </c>
      <c r="S99" s="105">
        <v>97653.247021728152</v>
      </c>
      <c r="T99" s="105">
        <v>97653.247021728152</v>
      </c>
      <c r="U99" s="105">
        <v>97653.247021728152</v>
      </c>
      <c r="V99" s="105">
        <v>97653.247021728152</v>
      </c>
      <c r="W99" s="105">
        <v>119353.9685821122</v>
      </c>
      <c r="X99" s="105">
        <v>119353.9685821122</v>
      </c>
      <c r="Y99" s="105">
        <v>119353.9685821122</v>
      </c>
      <c r="Z99" s="105">
        <v>119353.9685821122</v>
      </c>
      <c r="AA99" s="105">
        <v>108503.60780192015</v>
      </c>
      <c r="AB99" s="105">
        <v>108503.60780192015</v>
      </c>
      <c r="AC99" s="105">
        <v>108503.60780192015</v>
      </c>
      <c r="AD99" s="105">
        <v>108503.60780192015</v>
      </c>
      <c r="AE99" s="105">
        <v>108503.60780192015</v>
      </c>
      <c r="AF99" s="105">
        <v>108503.60780192015</v>
      </c>
      <c r="AG99" s="105">
        <v>108503.60780192015</v>
      </c>
      <c r="AH99" s="105">
        <v>108503.60780192015</v>
      </c>
      <c r="AI99" s="105">
        <v>97653.247021728152</v>
      </c>
      <c r="AJ99" s="105">
        <v>97653.247021728152</v>
      </c>
      <c r="AK99" s="105">
        <v>97653.247021728152</v>
      </c>
      <c r="AL99" s="105">
        <v>97653.247021728152</v>
      </c>
      <c r="AM99" s="105">
        <v>108503.60780192015</v>
      </c>
      <c r="AN99" s="105">
        <v>108503.60780192015</v>
      </c>
      <c r="AO99" s="105">
        <v>108503.60780192015</v>
      </c>
      <c r="AP99" s="105">
        <v>108503.60780192015</v>
      </c>
      <c r="AQ99" s="105">
        <v>108503.60780192015</v>
      </c>
      <c r="AR99" s="105">
        <v>108503.60780192015</v>
      </c>
      <c r="AS99" s="105">
        <v>108503.60780192015</v>
      </c>
      <c r="AT99" s="105">
        <v>108503.60780192015</v>
      </c>
      <c r="AU99" s="105">
        <v>119353.9685821122</v>
      </c>
      <c r="AV99" s="105">
        <v>119353.9685821122</v>
      </c>
      <c r="AW99" s="105">
        <v>119353.9685821122</v>
      </c>
      <c r="AX99" s="105">
        <v>119353.9685821122</v>
      </c>
    </row>
    <row r="100" spans="1:50" x14ac:dyDescent="0.2">
      <c r="B100" s="110" t="s">
        <v>10</v>
      </c>
      <c r="C100" s="105">
        <v>0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</row>
    <row r="101" spans="1:50" x14ac:dyDescent="0.2">
      <c r="B101" s="110" t="s">
        <v>14</v>
      </c>
      <c r="C101" s="105">
        <v>60752.72408287014</v>
      </c>
      <c r="D101" s="105">
        <v>60752.72408287014</v>
      </c>
      <c r="E101" s="105">
        <v>60752.72408287014</v>
      </c>
      <c r="F101" s="105">
        <v>60752.72408287014</v>
      </c>
      <c r="G101" s="105">
        <v>54677.451674583128</v>
      </c>
      <c r="H101" s="105">
        <v>54677.451674583128</v>
      </c>
      <c r="I101" s="105">
        <v>54677.451674583128</v>
      </c>
      <c r="J101" s="105">
        <v>54677.451674583128</v>
      </c>
      <c r="K101" s="105">
        <v>60752.72408287014</v>
      </c>
      <c r="L101" s="105">
        <v>60752.72408287014</v>
      </c>
      <c r="M101" s="105">
        <v>60752.72408287014</v>
      </c>
      <c r="N101" s="105">
        <v>60752.72408287014</v>
      </c>
      <c r="O101" s="105">
        <v>60752.72408287014</v>
      </c>
      <c r="P101" s="105">
        <v>60752.72408287014</v>
      </c>
      <c r="Q101" s="105">
        <v>60752.72408287014</v>
      </c>
      <c r="R101" s="105">
        <v>60752.72408287014</v>
      </c>
      <c r="S101" s="105">
        <v>54677.451674583128</v>
      </c>
      <c r="T101" s="105">
        <v>54677.451674583128</v>
      </c>
      <c r="U101" s="105">
        <v>54677.451674583128</v>
      </c>
      <c r="V101" s="105">
        <v>54677.451674583128</v>
      </c>
      <c r="W101" s="105">
        <v>66827.996491157173</v>
      </c>
      <c r="X101" s="105">
        <v>66827.996491157173</v>
      </c>
      <c r="Y101" s="105">
        <v>66827.996491157173</v>
      </c>
      <c r="Z101" s="105">
        <v>66827.996491157173</v>
      </c>
      <c r="AA101" s="105">
        <v>60752.72408287014</v>
      </c>
      <c r="AB101" s="105">
        <v>60752.72408287014</v>
      </c>
      <c r="AC101" s="105">
        <v>60752.72408287014</v>
      </c>
      <c r="AD101" s="105">
        <v>60752.72408287014</v>
      </c>
      <c r="AE101" s="105">
        <v>60752.72408287014</v>
      </c>
      <c r="AF101" s="105">
        <v>60752.72408287014</v>
      </c>
      <c r="AG101" s="105">
        <v>60752.72408287014</v>
      </c>
      <c r="AH101" s="105">
        <v>60752.72408287014</v>
      </c>
      <c r="AI101" s="105">
        <v>54677.451674583128</v>
      </c>
      <c r="AJ101" s="105">
        <v>54677.451674583128</v>
      </c>
      <c r="AK101" s="105">
        <v>54677.451674583128</v>
      </c>
      <c r="AL101" s="105">
        <v>54677.451674583128</v>
      </c>
      <c r="AM101" s="105">
        <v>60752.72408287014</v>
      </c>
      <c r="AN101" s="105">
        <v>60752.72408287014</v>
      </c>
      <c r="AO101" s="105">
        <v>60752.72408287014</v>
      </c>
      <c r="AP101" s="105">
        <v>60752.72408287014</v>
      </c>
      <c r="AQ101" s="105">
        <v>60752.72408287014</v>
      </c>
      <c r="AR101" s="105">
        <v>60752.72408287014</v>
      </c>
      <c r="AS101" s="105">
        <v>60752.72408287014</v>
      </c>
      <c r="AT101" s="105">
        <v>60752.72408287014</v>
      </c>
      <c r="AU101" s="105">
        <v>66827.996491157173</v>
      </c>
      <c r="AV101" s="105">
        <v>66827.996491157173</v>
      </c>
      <c r="AW101" s="105">
        <v>66827.996491157173</v>
      </c>
      <c r="AX101" s="105">
        <v>66827.996491157173</v>
      </c>
    </row>
    <row r="102" spans="1:50" x14ac:dyDescent="0.2">
      <c r="B102" s="110" t="s">
        <v>34</v>
      </c>
      <c r="C102" s="105">
        <v>0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</row>
    <row r="103" spans="1:50" x14ac:dyDescent="0.2">
      <c r="B103" s="110" t="s">
        <v>49</v>
      </c>
      <c r="C103" s="105">
        <v>182254.21825164225</v>
      </c>
      <c r="D103" s="105">
        <v>182254.21825164225</v>
      </c>
      <c r="E103" s="105">
        <v>182254.21825164225</v>
      </c>
      <c r="F103" s="105">
        <v>182254.21825164225</v>
      </c>
      <c r="G103" s="105">
        <v>164028.79642647802</v>
      </c>
      <c r="H103" s="105">
        <v>164028.79642647802</v>
      </c>
      <c r="I103" s="105">
        <v>164028.79642647802</v>
      </c>
      <c r="J103" s="105">
        <v>164028.79642647802</v>
      </c>
      <c r="K103" s="105">
        <v>182254.21825164225</v>
      </c>
      <c r="L103" s="105">
        <v>182254.21825164225</v>
      </c>
      <c r="M103" s="105">
        <v>182254.21825164225</v>
      </c>
      <c r="N103" s="105">
        <v>182254.21825164225</v>
      </c>
      <c r="O103" s="105">
        <v>182254.21825164225</v>
      </c>
      <c r="P103" s="105">
        <v>182254.21825164225</v>
      </c>
      <c r="Q103" s="105">
        <v>182254.21825164225</v>
      </c>
      <c r="R103" s="105">
        <v>182254.21825164225</v>
      </c>
      <c r="S103" s="105">
        <v>164028.79642647802</v>
      </c>
      <c r="T103" s="105">
        <v>164028.79642647802</v>
      </c>
      <c r="U103" s="105">
        <v>164028.79642647802</v>
      </c>
      <c r="V103" s="105">
        <v>164028.79642647802</v>
      </c>
      <c r="W103" s="105">
        <v>200479.64007680651</v>
      </c>
      <c r="X103" s="105">
        <v>200479.64007680651</v>
      </c>
      <c r="Y103" s="105">
        <v>200479.64007680651</v>
      </c>
      <c r="Z103" s="105">
        <v>200479.64007680651</v>
      </c>
      <c r="AA103" s="105">
        <v>182254.21825164225</v>
      </c>
      <c r="AB103" s="105">
        <v>182254.21825164225</v>
      </c>
      <c r="AC103" s="105">
        <v>182254.21825164225</v>
      </c>
      <c r="AD103" s="105">
        <v>182254.21825164225</v>
      </c>
      <c r="AE103" s="105">
        <v>182254.21825164225</v>
      </c>
      <c r="AF103" s="105">
        <v>182254.21825164225</v>
      </c>
      <c r="AG103" s="105">
        <v>182254.21825164225</v>
      </c>
      <c r="AH103" s="105">
        <v>182254.21825164225</v>
      </c>
      <c r="AI103" s="105">
        <v>164028.79642647802</v>
      </c>
      <c r="AJ103" s="105">
        <v>164028.79642647802</v>
      </c>
      <c r="AK103" s="105">
        <v>164028.79642647802</v>
      </c>
      <c r="AL103" s="105">
        <v>164028.79642647802</v>
      </c>
      <c r="AM103" s="105">
        <v>182254.21825164225</v>
      </c>
      <c r="AN103" s="105">
        <v>182254.21825164225</v>
      </c>
      <c r="AO103" s="105">
        <v>182254.21825164225</v>
      </c>
      <c r="AP103" s="105">
        <v>182254.21825164225</v>
      </c>
      <c r="AQ103" s="105">
        <v>182254.21825164225</v>
      </c>
      <c r="AR103" s="105">
        <v>182254.21825164225</v>
      </c>
      <c r="AS103" s="105">
        <v>182254.21825164225</v>
      </c>
      <c r="AT103" s="105">
        <v>182254.21825164225</v>
      </c>
      <c r="AU103" s="105">
        <v>200479.64007680651</v>
      </c>
      <c r="AV103" s="105">
        <v>200479.64007680651</v>
      </c>
      <c r="AW103" s="105">
        <v>200479.64007680651</v>
      </c>
      <c r="AX103" s="105">
        <v>200479.64007680651</v>
      </c>
    </row>
    <row r="104" spans="1:50" x14ac:dyDescent="0.2">
      <c r="B104" s="110" t="s">
        <v>57</v>
      </c>
      <c r="C104" s="105">
        <v>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</row>
    <row r="105" spans="1:50" x14ac:dyDescent="0.2">
      <c r="B105" s="110" t="s">
        <v>70</v>
      </c>
      <c r="C105" s="105">
        <v>97195.835472460836</v>
      </c>
      <c r="D105" s="105">
        <v>97195.835472460836</v>
      </c>
      <c r="E105" s="105">
        <v>97195.835472460836</v>
      </c>
      <c r="F105" s="105">
        <v>97195.835472460836</v>
      </c>
      <c r="G105" s="105">
        <v>87476.251925214761</v>
      </c>
      <c r="H105" s="105">
        <v>87476.251925214761</v>
      </c>
      <c r="I105" s="105">
        <v>87476.251925214761</v>
      </c>
      <c r="J105" s="105">
        <v>87476.251925214761</v>
      </c>
      <c r="K105" s="105">
        <v>97195.835472460836</v>
      </c>
      <c r="L105" s="105">
        <v>97195.835472460836</v>
      </c>
      <c r="M105" s="105">
        <v>97195.835472460836</v>
      </c>
      <c r="N105" s="105">
        <v>97195.835472460836</v>
      </c>
      <c r="O105" s="105">
        <v>97195.835472460836</v>
      </c>
      <c r="P105" s="105">
        <v>97195.835472460836</v>
      </c>
      <c r="Q105" s="105">
        <v>97195.835472460836</v>
      </c>
      <c r="R105" s="105">
        <v>97195.835472460836</v>
      </c>
      <c r="S105" s="105">
        <v>87476.251925214761</v>
      </c>
      <c r="T105" s="105">
        <v>87476.251925214761</v>
      </c>
      <c r="U105" s="105">
        <v>87476.251925214761</v>
      </c>
      <c r="V105" s="105">
        <v>87476.251925214761</v>
      </c>
      <c r="W105" s="105">
        <v>106915.41901970694</v>
      </c>
      <c r="X105" s="105">
        <v>106915.41901970694</v>
      </c>
      <c r="Y105" s="105">
        <v>106915.41901970694</v>
      </c>
      <c r="Z105" s="105">
        <v>106915.41901970694</v>
      </c>
      <c r="AA105" s="105">
        <v>97195.835472460836</v>
      </c>
      <c r="AB105" s="105">
        <v>97195.835472460836</v>
      </c>
      <c r="AC105" s="105">
        <v>97195.835472460836</v>
      </c>
      <c r="AD105" s="105">
        <v>97195.835472460836</v>
      </c>
      <c r="AE105" s="105">
        <v>97195.835472460836</v>
      </c>
      <c r="AF105" s="105">
        <v>97195.835472460836</v>
      </c>
      <c r="AG105" s="105">
        <v>97195.835472460836</v>
      </c>
      <c r="AH105" s="105">
        <v>97195.835472460836</v>
      </c>
      <c r="AI105" s="105">
        <v>87476.251925214761</v>
      </c>
      <c r="AJ105" s="105">
        <v>87476.251925214761</v>
      </c>
      <c r="AK105" s="105">
        <v>87476.251925214761</v>
      </c>
      <c r="AL105" s="105">
        <v>87476.251925214761</v>
      </c>
      <c r="AM105" s="105">
        <v>97195.835472460836</v>
      </c>
      <c r="AN105" s="105">
        <v>97195.835472460836</v>
      </c>
      <c r="AO105" s="105">
        <v>97195.835472460836</v>
      </c>
      <c r="AP105" s="105">
        <v>97195.835472460836</v>
      </c>
      <c r="AQ105" s="105">
        <v>97195.835472460836</v>
      </c>
      <c r="AR105" s="105">
        <v>97195.835472460836</v>
      </c>
      <c r="AS105" s="105">
        <v>97195.835472460836</v>
      </c>
      <c r="AT105" s="105">
        <v>97195.835472460836</v>
      </c>
      <c r="AU105" s="105">
        <v>106915.41901970694</v>
      </c>
      <c r="AV105" s="105">
        <v>106915.41901970694</v>
      </c>
      <c r="AW105" s="105">
        <v>106915.41901970694</v>
      </c>
      <c r="AX105" s="105">
        <v>106915.41901970694</v>
      </c>
    </row>
    <row r="106" spans="1:50" x14ac:dyDescent="0.2">
      <c r="B106" s="106" t="s">
        <v>278</v>
      </c>
      <c r="C106" s="110">
        <f>SUM(C$98:C$105)</f>
        <v>448706.38560889335</v>
      </c>
      <c r="D106" s="110">
        <f t="shared" ref="D106:AX106" si="5">SUM(D$98:D$105)</f>
        <v>448706.38560889335</v>
      </c>
      <c r="E106" s="110">
        <f t="shared" si="5"/>
        <v>448706.38560889335</v>
      </c>
      <c r="F106" s="110">
        <f t="shared" si="5"/>
        <v>448706.38560889335</v>
      </c>
      <c r="G106" s="110">
        <f t="shared" si="5"/>
        <v>403835.74704800406</v>
      </c>
      <c r="H106" s="110">
        <f t="shared" si="5"/>
        <v>403835.74704800406</v>
      </c>
      <c r="I106" s="110">
        <f t="shared" si="5"/>
        <v>403835.74704800406</v>
      </c>
      <c r="J106" s="110">
        <f t="shared" si="5"/>
        <v>403835.74704800406</v>
      </c>
      <c r="K106" s="110">
        <f t="shared" si="5"/>
        <v>448706.38560889335</v>
      </c>
      <c r="L106" s="110">
        <f t="shared" si="5"/>
        <v>448706.38560889335</v>
      </c>
      <c r="M106" s="110">
        <f t="shared" si="5"/>
        <v>448706.38560889335</v>
      </c>
      <c r="N106" s="110">
        <f t="shared" si="5"/>
        <v>448706.38560889335</v>
      </c>
      <c r="O106" s="110">
        <f t="shared" si="5"/>
        <v>448706.38560889335</v>
      </c>
      <c r="P106" s="110">
        <f t="shared" si="5"/>
        <v>448706.38560889335</v>
      </c>
      <c r="Q106" s="110">
        <f t="shared" si="5"/>
        <v>448706.38560889335</v>
      </c>
      <c r="R106" s="110">
        <f t="shared" si="5"/>
        <v>448706.38560889335</v>
      </c>
      <c r="S106" s="110">
        <f t="shared" si="5"/>
        <v>403835.74704800406</v>
      </c>
      <c r="T106" s="110">
        <f t="shared" si="5"/>
        <v>403835.74704800406</v>
      </c>
      <c r="U106" s="110">
        <f t="shared" si="5"/>
        <v>403835.74704800406</v>
      </c>
      <c r="V106" s="110">
        <f t="shared" si="5"/>
        <v>403835.74704800406</v>
      </c>
      <c r="W106" s="110">
        <f t="shared" si="5"/>
        <v>493577.02416978282</v>
      </c>
      <c r="X106" s="110">
        <f t="shared" si="5"/>
        <v>493577.02416978282</v>
      </c>
      <c r="Y106" s="110">
        <f t="shared" si="5"/>
        <v>493577.02416978282</v>
      </c>
      <c r="Z106" s="110">
        <f t="shared" si="5"/>
        <v>493577.02416978282</v>
      </c>
      <c r="AA106" s="110">
        <f t="shared" si="5"/>
        <v>448706.38560889335</v>
      </c>
      <c r="AB106" s="110">
        <f t="shared" si="5"/>
        <v>448706.38560889335</v>
      </c>
      <c r="AC106" s="110">
        <f t="shared" si="5"/>
        <v>448706.38560889335</v>
      </c>
      <c r="AD106" s="110">
        <f t="shared" si="5"/>
        <v>448706.38560889335</v>
      </c>
      <c r="AE106" s="110">
        <f t="shared" si="5"/>
        <v>448706.38560889335</v>
      </c>
      <c r="AF106" s="110">
        <f t="shared" si="5"/>
        <v>448706.38560889335</v>
      </c>
      <c r="AG106" s="110">
        <f t="shared" si="5"/>
        <v>448706.38560889335</v>
      </c>
      <c r="AH106" s="110">
        <f t="shared" si="5"/>
        <v>448706.38560889335</v>
      </c>
      <c r="AI106" s="110">
        <f t="shared" si="5"/>
        <v>403835.74704800406</v>
      </c>
      <c r="AJ106" s="110">
        <f t="shared" si="5"/>
        <v>403835.74704800406</v>
      </c>
      <c r="AK106" s="110">
        <f t="shared" si="5"/>
        <v>403835.74704800406</v>
      </c>
      <c r="AL106" s="110">
        <f t="shared" si="5"/>
        <v>403835.74704800406</v>
      </c>
      <c r="AM106" s="110">
        <f t="shared" si="5"/>
        <v>448706.38560889335</v>
      </c>
      <c r="AN106" s="110">
        <f t="shared" si="5"/>
        <v>448706.38560889335</v>
      </c>
      <c r="AO106" s="110">
        <f t="shared" si="5"/>
        <v>448706.38560889335</v>
      </c>
      <c r="AP106" s="110">
        <f t="shared" si="5"/>
        <v>448706.38560889335</v>
      </c>
      <c r="AQ106" s="110">
        <f t="shared" si="5"/>
        <v>448706.38560889335</v>
      </c>
      <c r="AR106" s="110">
        <f t="shared" si="5"/>
        <v>448706.38560889335</v>
      </c>
      <c r="AS106" s="110">
        <f t="shared" si="5"/>
        <v>448706.38560889335</v>
      </c>
      <c r="AT106" s="110">
        <f t="shared" si="5"/>
        <v>448706.38560889335</v>
      </c>
      <c r="AU106" s="110">
        <f t="shared" si="5"/>
        <v>493577.02416978282</v>
      </c>
      <c r="AV106" s="110">
        <f t="shared" si="5"/>
        <v>493577.02416978282</v>
      </c>
      <c r="AW106" s="110">
        <f t="shared" si="5"/>
        <v>493577.02416978282</v>
      </c>
      <c r="AX106" s="110">
        <f t="shared" si="5"/>
        <v>493577.02416978282</v>
      </c>
    </row>
    <row r="107" spans="1:50" x14ac:dyDescent="0.2">
      <c r="A107" s="110" t="s">
        <v>105</v>
      </c>
      <c r="B107" s="110" t="s">
        <v>7</v>
      </c>
      <c r="C107" s="105">
        <v>0</v>
      </c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</row>
    <row r="108" spans="1:50" x14ac:dyDescent="0.2">
      <c r="B108" s="110" t="s">
        <v>8</v>
      </c>
      <c r="C108" s="105">
        <v>0</v>
      </c>
      <c r="D108" s="105">
        <v>0</v>
      </c>
      <c r="E108" s="105">
        <v>0</v>
      </c>
      <c r="F108" s="105">
        <v>0</v>
      </c>
      <c r="G108" s="105">
        <v>0</v>
      </c>
      <c r="H108" s="105">
        <v>0</v>
      </c>
      <c r="I108" s="105">
        <v>0</v>
      </c>
      <c r="J108" s="105">
        <v>0</v>
      </c>
      <c r="K108" s="105">
        <v>0</v>
      </c>
      <c r="L108" s="105">
        <v>0</v>
      </c>
      <c r="M108" s="105">
        <v>0</v>
      </c>
      <c r="N108" s="105">
        <v>0</v>
      </c>
      <c r="O108" s="105">
        <v>0</v>
      </c>
      <c r="P108" s="105">
        <v>0</v>
      </c>
      <c r="Q108" s="105">
        <v>0</v>
      </c>
      <c r="R108" s="105">
        <v>0</v>
      </c>
      <c r="S108" s="105">
        <v>0</v>
      </c>
      <c r="T108" s="105">
        <v>0</v>
      </c>
      <c r="U108" s="105">
        <v>0</v>
      </c>
      <c r="V108" s="105">
        <v>0</v>
      </c>
      <c r="W108" s="105">
        <v>0</v>
      </c>
      <c r="X108" s="105">
        <v>0</v>
      </c>
      <c r="Y108" s="105">
        <v>0</v>
      </c>
      <c r="Z108" s="105">
        <v>0</v>
      </c>
      <c r="AA108" s="105">
        <v>0</v>
      </c>
      <c r="AB108" s="105">
        <v>0</v>
      </c>
      <c r="AC108" s="105">
        <v>0</v>
      </c>
      <c r="AD108" s="105">
        <v>0</v>
      </c>
      <c r="AE108" s="105">
        <v>0</v>
      </c>
      <c r="AF108" s="105">
        <v>0</v>
      </c>
      <c r="AG108" s="105">
        <v>0</v>
      </c>
      <c r="AH108" s="105">
        <v>0</v>
      </c>
      <c r="AI108" s="105">
        <v>0</v>
      </c>
      <c r="AJ108" s="105">
        <v>0</v>
      </c>
      <c r="AK108" s="105">
        <v>0</v>
      </c>
      <c r="AL108" s="105">
        <v>0</v>
      </c>
      <c r="AM108" s="105">
        <v>0</v>
      </c>
      <c r="AN108" s="105">
        <v>0</v>
      </c>
      <c r="AO108" s="105">
        <v>0</v>
      </c>
      <c r="AP108" s="105">
        <v>0</v>
      </c>
      <c r="AQ108" s="105">
        <v>0</v>
      </c>
      <c r="AR108" s="105">
        <v>0</v>
      </c>
      <c r="AS108" s="105">
        <v>0</v>
      </c>
      <c r="AT108" s="105">
        <v>0</v>
      </c>
      <c r="AU108" s="105">
        <v>0</v>
      </c>
      <c r="AV108" s="105">
        <v>0</v>
      </c>
      <c r="AW108" s="105">
        <v>0</v>
      </c>
      <c r="AX108" s="105">
        <v>0</v>
      </c>
    </row>
    <row r="109" spans="1:50" x14ac:dyDescent="0.2">
      <c r="B109" s="110" t="s">
        <v>10</v>
      </c>
      <c r="C109" s="105">
        <v>14041.82164556962</v>
      </c>
      <c r="D109" s="105">
        <v>14041.82164556962</v>
      </c>
      <c r="E109" s="105">
        <v>14041.82164556962</v>
      </c>
      <c r="F109" s="105">
        <v>14041.82164556962</v>
      </c>
      <c r="G109" s="105">
        <v>14041.82164556962</v>
      </c>
      <c r="H109" s="105">
        <v>14041.82164556962</v>
      </c>
      <c r="I109" s="105">
        <v>14041.82164556962</v>
      </c>
      <c r="J109" s="105">
        <v>14041.82164556962</v>
      </c>
      <c r="K109" s="105">
        <v>14041.82164556962</v>
      </c>
      <c r="L109" s="105">
        <v>14041.82164556962</v>
      </c>
      <c r="M109" s="105">
        <v>14041.82164556962</v>
      </c>
      <c r="N109" s="105">
        <v>14041.82164556962</v>
      </c>
      <c r="O109" s="105">
        <v>14041.82164556962</v>
      </c>
      <c r="P109" s="105">
        <v>14041.82164556962</v>
      </c>
      <c r="Q109" s="105">
        <v>14041.82164556962</v>
      </c>
      <c r="R109" s="105">
        <v>14041.82164556962</v>
      </c>
      <c r="S109" s="105">
        <v>14041.82164556962</v>
      </c>
      <c r="T109" s="105">
        <v>14041.82164556962</v>
      </c>
      <c r="U109" s="105">
        <v>14041.82164556962</v>
      </c>
      <c r="V109" s="105">
        <v>14041.82164556962</v>
      </c>
      <c r="W109" s="105">
        <v>14041.82164556962</v>
      </c>
      <c r="X109" s="105">
        <v>14041.82164556962</v>
      </c>
      <c r="Y109" s="105">
        <v>14041.82164556962</v>
      </c>
      <c r="Z109" s="105">
        <v>14041.82164556962</v>
      </c>
      <c r="AA109" s="105">
        <v>14041.82164556962</v>
      </c>
      <c r="AB109" s="105">
        <v>14041.82164556962</v>
      </c>
      <c r="AC109" s="105">
        <v>14041.82164556962</v>
      </c>
      <c r="AD109" s="105">
        <v>14041.82164556962</v>
      </c>
      <c r="AE109" s="105">
        <v>14041.82164556962</v>
      </c>
      <c r="AF109" s="105">
        <v>14041.82164556962</v>
      </c>
      <c r="AG109" s="105">
        <v>14041.82164556962</v>
      </c>
      <c r="AH109" s="105">
        <v>14041.82164556962</v>
      </c>
      <c r="AI109" s="105">
        <v>14041.82164556962</v>
      </c>
      <c r="AJ109" s="105">
        <v>14041.82164556962</v>
      </c>
      <c r="AK109" s="105">
        <v>14041.82164556962</v>
      </c>
      <c r="AL109" s="105">
        <v>14041.82164556962</v>
      </c>
      <c r="AM109" s="105">
        <v>14041.82164556962</v>
      </c>
      <c r="AN109" s="105">
        <v>14041.82164556962</v>
      </c>
      <c r="AO109" s="105">
        <v>14041.82164556962</v>
      </c>
      <c r="AP109" s="105">
        <v>14041.82164556962</v>
      </c>
      <c r="AQ109" s="105">
        <v>14041.82164556962</v>
      </c>
      <c r="AR109" s="105">
        <v>14041.82164556962</v>
      </c>
      <c r="AS109" s="105">
        <v>14041.82164556962</v>
      </c>
      <c r="AT109" s="105">
        <v>14041.82164556962</v>
      </c>
      <c r="AU109" s="105">
        <v>14041.82164556962</v>
      </c>
      <c r="AV109" s="105">
        <v>14041.82164556962</v>
      </c>
      <c r="AW109" s="105">
        <v>14041.82164556962</v>
      </c>
      <c r="AX109" s="105">
        <v>14041.82164556962</v>
      </c>
    </row>
    <row r="110" spans="1:50" x14ac:dyDescent="0.2">
      <c r="B110" s="110" t="s">
        <v>14</v>
      </c>
      <c r="C110" s="105">
        <v>0</v>
      </c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0</v>
      </c>
      <c r="K110" s="105">
        <v>0</v>
      </c>
      <c r="L110" s="105">
        <v>0</v>
      </c>
      <c r="M110" s="105">
        <v>0</v>
      </c>
      <c r="N110" s="105">
        <v>0</v>
      </c>
      <c r="O110" s="105">
        <v>0</v>
      </c>
      <c r="P110" s="105">
        <v>0</v>
      </c>
      <c r="Q110" s="105">
        <v>0</v>
      </c>
      <c r="R110" s="105">
        <v>0</v>
      </c>
      <c r="S110" s="105">
        <v>0</v>
      </c>
      <c r="T110" s="105">
        <v>0</v>
      </c>
      <c r="U110" s="105">
        <v>0</v>
      </c>
      <c r="V110" s="105">
        <v>0</v>
      </c>
      <c r="W110" s="105">
        <v>0</v>
      </c>
      <c r="X110" s="105">
        <v>0</v>
      </c>
      <c r="Y110" s="105">
        <v>0</v>
      </c>
      <c r="Z110" s="105">
        <v>0</v>
      </c>
      <c r="AA110" s="105">
        <v>0</v>
      </c>
      <c r="AB110" s="105">
        <v>0</v>
      </c>
      <c r="AC110" s="105">
        <v>0</v>
      </c>
      <c r="AD110" s="105">
        <v>0</v>
      </c>
      <c r="AE110" s="105">
        <v>0</v>
      </c>
      <c r="AF110" s="105">
        <v>0</v>
      </c>
      <c r="AG110" s="105">
        <v>0</v>
      </c>
      <c r="AH110" s="105">
        <v>0</v>
      </c>
      <c r="AI110" s="105">
        <v>0</v>
      </c>
      <c r="AJ110" s="105">
        <v>0</v>
      </c>
      <c r="AK110" s="105">
        <v>0</v>
      </c>
      <c r="AL110" s="105">
        <v>0</v>
      </c>
      <c r="AM110" s="105">
        <v>0</v>
      </c>
      <c r="AN110" s="105">
        <v>0</v>
      </c>
      <c r="AO110" s="105">
        <v>0</v>
      </c>
      <c r="AP110" s="105">
        <v>0</v>
      </c>
      <c r="AQ110" s="105">
        <v>0</v>
      </c>
      <c r="AR110" s="105">
        <v>0</v>
      </c>
      <c r="AS110" s="105">
        <v>0</v>
      </c>
      <c r="AT110" s="105">
        <v>0</v>
      </c>
      <c r="AU110" s="105">
        <v>0</v>
      </c>
      <c r="AV110" s="105">
        <v>0</v>
      </c>
      <c r="AW110" s="105">
        <v>0</v>
      </c>
      <c r="AX110" s="105">
        <v>0</v>
      </c>
    </row>
    <row r="111" spans="1:50" x14ac:dyDescent="0.2">
      <c r="B111" s="110" t="s">
        <v>34</v>
      </c>
      <c r="C111" s="105">
        <v>0</v>
      </c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0</v>
      </c>
      <c r="M111" s="105">
        <v>0</v>
      </c>
      <c r="N111" s="105">
        <v>0</v>
      </c>
      <c r="O111" s="105">
        <v>0</v>
      </c>
      <c r="P111" s="105">
        <v>0</v>
      </c>
      <c r="Q111" s="105">
        <v>0</v>
      </c>
      <c r="R111" s="105">
        <v>0</v>
      </c>
      <c r="S111" s="105">
        <v>0</v>
      </c>
      <c r="T111" s="105">
        <v>0</v>
      </c>
      <c r="U111" s="105">
        <v>0</v>
      </c>
      <c r="V111" s="105">
        <v>0</v>
      </c>
      <c r="W111" s="105">
        <v>0</v>
      </c>
      <c r="X111" s="105">
        <v>0</v>
      </c>
      <c r="Y111" s="105">
        <v>0</v>
      </c>
      <c r="Z111" s="105">
        <v>0</v>
      </c>
      <c r="AA111" s="105">
        <v>0</v>
      </c>
      <c r="AB111" s="105">
        <v>0</v>
      </c>
      <c r="AC111" s="105">
        <v>0</v>
      </c>
      <c r="AD111" s="105">
        <v>0</v>
      </c>
      <c r="AE111" s="105">
        <v>0</v>
      </c>
      <c r="AF111" s="105">
        <v>0</v>
      </c>
      <c r="AG111" s="105">
        <v>0</v>
      </c>
      <c r="AH111" s="105">
        <v>0</v>
      </c>
      <c r="AI111" s="105">
        <v>0</v>
      </c>
      <c r="AJ111" s="105">
        <v>0</v>
      </c>
      <c r="AK111" s="105">
        <v>0</v>
      </c>
      <c r="AL111" s="105">
        <v>0</v>
      </c>
      <c r="AM111" s="105">
        <v>0</v>
      </c>
      <c r="AN111" s="105">
        <v>0</v>
      </c>
      <c r="AO111" s="105">
        <v>0</v>
      </c>
      <c r="AP111" s="105">
        <v>0</v>
      </c>
      <c r="AQ111" s="105">
        <v>0</v>
      </c>
      <c r="AR111" s="105">
        <v>0</v>
      </c>
      <c r="AS111" s="105">
        <v>0</v>
      </c>
      <c r="AT111" s="105">
        <v>0</v>
      </c>
      <c r="AU111" s="105">
        <v>0</v>
      </c>
      <c r="AV111" s="105">
        <v>0</v>
      </c>
      <c r="AW111" s="105">
        <v>0</v>
      </c>
      <c r="AX111" s="105">
        <v>0</v>
      </c>
    </row>
    <row r="112" spans="1:50" x14ac:dyDescent="0.2">
      <c r="B112" s="110" t="s">
        <v>49</v>
      </c>
      <c r="C112" s="105">
        <v>0</v>
      </c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0</v>
      </c>
      <c r="O112" s="105">
        <v>0</v>
      </c>
      <c r="P112" s="105">
        <v>0</v>
      </c>
      <c r="Q112" s="105">
        <v>0</v>
      </c>
      <c r="R112" s="105">
        <v>0</v>
      </c>
      <c r="S112" s="105">
        <v>0</v>
      </c>
      <c r="T112" s="105">
        <v>0</v>
      </c>
      <c r="U112" s="105">
        <v>0</v>
      </c>
      <c r="V112" s="105">
        <v>0</v>
      </c>
      <c r="W112" s="105">
        <v>0</v>
      </c>
      <c r="X112" s="105">
        <v>0</v>
      </c>
      <c r="Y112" s="105">
        <v>0</v>
      </c>
      <c r="Z112" s="105">
        <v>0</v>
      </c>
      <c r="AA112" s="105">
        <v>0</v>
      </c>
      <c r="AB112" s="105">
        <v>0</v>
      </c>
      <c r="AC112" s="105">
        <v>0</v>
      </c>
      <c r="AD112" s="105">
        <v>0</v>
      </c>
      <c r="AE112" s="105">
        <v>0</v>
      </c>
      <c r="AF112" s="105">
        <v>0</v>
      </c>
      <c r="AG112" s="105">
        <v>0</v>
      </c>
      <c r="AH112" s="105">
        <v>0</v>
      </c>
      <c r="AI112" s="105">
        <v>0</v>
      </c>
      <c r="AJ112" s="105">
        <v>0</v>
      </c>
      <c r="AK112" s="105">
        <v>0</v>
      </c>
      <c r="AL112" s="105">
        <v>0</v>
      </c>
      <c r="AM112" s="105">
        <v>0</v>
      </c>
      <c r="AN112" s="105">
        <v>0</v>
      </c>
      <c r="AO112" s="105">
        <v>0</v>
      </c>
      <c r="AP112" s="105">
        <v>0</v>
      </c>
      <c r="AQ112" s="105">
        <v>0</v>
      </c>
      <c r="AR112" s="105">
        <v>0</v>
      </c>
      <c r="AS112" s="105">
        <v>0</v>
      </c>
      <c r="AT112" s="105">
        <v>0</v>
      </c>
      <c r="AU112" s="105">
        <v>0</v>
      </c>
      <c r="AV112" s="105">
        <v>0</v>
      </c>
      <c r="AW112" s="105">
        <v>0</v>
      </c>
      <c r="AX112" s="105">
        <v>0</v>
      </c>
    </row>
    <row r="113" spans="1:50" x14ac:dyDescent="0.2">
      <c r="B113" s="110" t="s">
        <v>57</v>
      </c>
      <c r="C113" s="105">
        <v>5117.1665822784807</v>
      </c>
      <c r="D113" s="105">
        <v>5117.1665822784807</v>
      </c>
      <c r="E113" s="105">
        <v>5117.1665822784807</v>
      </c>
      <c r="F113" s="105">
        <v>5117.1665822784807</v>
      </c>
      <c r="G113" s="105">
        <v>5117.1665822784807</v>
      </c>
      <c r="H113" s="105">
        <v>5117.1665822784807</v>
      </c>
      <c r="I113" s="105">
        <v>5117.1665822784807</v>
      </c>
      <c r="J113" s="105">
        <v>5117.1665822784807</v>
      </c>
      <c r="K113" s="105">
        <v>5117.1665822784807</v>
      </c>
      <c r="L113" s="105">
        <v>5117.1665822784807</v>
      </c>
      <c r="M113" s="105">
        <v>5117.1665822784807</v>
      </c>
      <c r="N113" s="105">
        <v>5117.1665822784807</v>
      </c>
      <c r="O113" s="105">
        <v>5117.1665822784807</v>
      </c>
      <c r="P113" s="105">
        <v>5117.1665822784807</v>
      </c>
      <c r="Q113" s="105">
        <v>5117.1665822784807</v>
      </c>
      <c r="R113" s="105">
        <v>5117.1665822784807</v>
      </c>
      <c r="S113" s="105">
        <v>5117.1665822784807</v>
      </c>
      <c r="T113" s="105">
        <v>5117.1665822784807</v>
      </c>
      <c r="U113" s="105">
        <v>5117.1665822784807</v>
      </c>
      <c r="V113" s="105">
        <v>5117.1665822784807</v>
      </c>
      <c r="W113" s="105">
        <v>5117.1665822784807</v>
      </c>
      <c r="X113" s="105">
        <v>5117.1665822784807</v>
      </c>
      <c r="Y113" s="105">
        <v>5117.1665822784807</v>
      </c>
      <c r="Z113" s="105">
        <v>5117.1665822784807</v>
      </c>
      <c r="AA113" s="105">
        <v>5117.1665822784807</v>
      </c>
      <c r="AB113" s="105">
        <v>5117.1665822784807</v>
      </c>
      <c r="AC113" s="105">
        <v>5117.1665822784807</v>
      </c>
      <c r="AD113" s="105">
        <v>5117.1665822784807</v>
      </c>
      <c r="AE113" s="105">
        <v>5117.1665822784807</v>
      </c>
      <c r="AF113" s="105">
        <v>5117.1665822784807</v>
      </c>
      <c r="AG113" s="105">
        <v>5117.1665822784807</v>
      </c>
      <c r="AH113" s="105">
        <v>5117.1665822784807</v>
      </c>
      <c r="AI113" s="105">
        <v>5117.1665822784807</v>
      </c>
      <c r="AJ113" s="105">
        <v>5117.1665822784807</v>
      </c>
      <c r="AK113" s="105">
        <v>5117.1665822784807</v>
      </c>
      <c r="AL113" s="105">
        <v>5117.1665822784807</v>
      </c>
      <c r="AM113" s="105">
        <v>5117.1665822784807</v>
      </c>
      <c r="AN113" s="105">
        <v>5117.1665822784807</v>
      </c>
      <c r="AO113" s="105">
        <v>5117.1665822784807</v>
      </c>
      <c r="AP113" s="105">
        <v>5117.1665822784807</v>
      </c>
      <c r="AQ113" s="105">
        <v>5117.1665822784807</v>
      </c>
      <c r="AR113" s="105">
        <v>5117.1665822784807</v>
      </c>
      <c r="AS113" s="105">
        <v>5117.1665822784807</v>
      </c>
      <c r="AT113" s="105">
        <v>5117.1665822784807</v>
      </c>
      <c r="AU113" s="105">
        <v>5117.1665822784807</v>
      </c>
      <c r="AV113" s="105">
        <v>5117.1665822784807</v>
      </c>
      <c r="AW113" s="105">
        <v>5117.1665822784807</v>
      </c>
      <c r="AX113" s="105">
        <v>5117.1665822784807</v>
      </c>
    </row>
    <row r="114" spans="1:50" x14ac:dyDescent="0.2">
      <c r="B114" s="110" t="s">
        <v>70</v>
      </c>
      <c r="C114" s="105">
        <v>0</v>
      </c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0</v>
      </c>
      <c r="U114" s="105">
        <v>0</v>
      </c>
      <c r="V114" s="105">
        <v>0</v>
      </c>
      <c r="W114" s="105">
        <v>0</v>
      </c>
      <c r="X114" s="105">
        <v>0</v>
      </c>
      <c r="Y114" s="105">
        <v>0</v>
      </c>
      <c r="Z114" s="105">
        <v>0</v>
      </c>
      <c r="AA114" s="105">
        <v>0</v>
      </c>
      <c r="AB114" s="105">
        <v>0</v>
      </c>
      <c r="AC114" s="105">
        <v>0</v>
      </c>
      <c r="AD114" s="105">
        <v>0</v>
      </c>
      <c r="AE114" s="105">
        <v>0</v>
      </c>
      <c r="AF114" s="105">
        <v>0</v>
      </c>
      <c r="AG114" s="105">
        <v>0</v>
      </c>
      <c r="AH114" s="105">
        <v>0</v>
      </c>
      <c r="AI114" s="105">
        <v>0</v>
      </c>
      <c r="AJ114" s="105">
        <v>0</v>
      </c>
      <c r="AK114" s="105">
        <v>0</v>
      </c>
      <c r="AL114" s="105">
        <v>0</v>
      </c>
      <c r="AM114" s="105">
        <v>0</v>
      </c>
      <c r="AN114" s="105">
        <v>0</v>
      </c>
      <c r="AO114" s="105">
        <v>0</v>
      </c>
      <c r="AP114" s="105">
        <v>0</v>
      </c>
      <c r="AQ114" s="105">
        <v>0</v>
      </c>
      <c r="AR114" s="105">
        <v>0</v>
      </c>
      <c r="AS114" s="105">
        <v>0</v>
      </c>
      <c r="AT114" s="105">
        <v>0</v>
      </c>
      <c r="AU114" s="105">
        <v>0</v>
      </c>
      <c r="AV114" s="105">
        <v>0</v>
      </c>
      <c r="AW114" s="105">
        <v>0</v>
      </c>
      <c r="AX114" s="105">
        <v>0</v>
      </c>
    </row>
    <row r="115" spans="1:50" x14ac:dyDescent="0.2">
      <c r="B115" s="105" t="s">
        <v>278</v>
      </c>
      <c r="C115" s="110">
        <f>SUM(C$107:C$114)</f>
        <v>19158.988227848102</v>
      </c>
      <c r="D115" s="110">
        <f t="shared" ref="D115:AX115" si="6">SUM(D$107:D$114)</f>
        <v>19158.988227848102</v>
      </c>
      <c r="E115" s="110">
        <f t="shared" si="6"/>
        <v>19158.988227848102</v>
      </c>
      <c r="F115" s="110">
        <f t="shared" si="6"/>
        <v>19158.988227848102</v>
      </c>
      <c r="G115" s="110">
        <f t="shared" si="6"/>
        <v>19158.988227848102</v>
      </c>
      <c r="H115" s="110">
        <f t="shared" si="6"/>
        <v>19158.988227848102</v>
      </c>
      <c r="I115" s="110">
        <f t="shared" si="6"/>
        <v>19158.988227848102</v>
      </c>
      <c r="J115" s="110">
        <f t="shared" si="6"/>
        <v>19158.988227848102</v>
      </c>
      <c r="K115" s="110">
        <f t="shared" si="6"/>
        <v>19158.988227848102</v>
      </c>
      <c r="L115" s="110">
        <f t="shared" si="6"/>
        <v>19158.988227848102</v>
      </c>
      <c r="M115" s="110">
        <f t="shared" si="6"/>
        <v>19158.988227848102</v>
      </c>
      <c r="N115" s="110">
        <f t="shared" si="6"/>
        <v>19158.988227848102</v>
      </c>
      <c r="O115" s="110">
        <f t="shared" si="6"/>
        <v>19158.988227848102</v>
      </c>
      <c r="P115" s="110">
        <f t="shared" si="6"/>
        <v>19158.988227848102</v>
      </c>
      <c r="Q115" s="110">
        <f t="shared" si="6"/>
        <v>19158.988227848102</v>
      </c>
      <c r="R115" s="110">
        <f t="shared" si="6"/>
        <v>19158.988227848102</v>
      </c>
      <c r="S115" s="110">
        <f t="shared" si="6"/>
        <v>19158.988227848102</v>
      </c>
      <c r="T115" s="110">
        <f t="shared" si="6"/>
        <v>19158.988227848102</v>
      </c>
      <c r="U115" s="110">
        <f t="shared" si="6"/>
        <v>19158.988227848102</v>
      </c>
      <c r="V115" s="110">
        <f t="shared" si="6"/>
        <v>19158.988227848102</v>
      </c>
      <c r="W115" s="110">
        <f t="shared" si="6"/>
        <v>19158.988227848102</v>
      </c>
      <c r="X115" s="110">
        <f t="shared" si="6"/>
        <v>19158.988227848102</v>
      </c>
      <c r="Y115" s="110">
        <f t="shared" si="6"/>
        <v>19158.988227848102</v>
      </c>
      <c r="Z115" s="110">
        <f t="shared" si="6"/>
        <v>19158.988227848102</v>
      </c>
      <c r="AA115" s="110">
        <f t="shared" si="6"/>
        <v>19158.988227848102</v>
      </c>
      <c r="AB115" s="110">
        <f t="shared" si="6"/>
        <v>19158.988227848102</v>
      </c>
      <c r="AC115" s="110">
        <f t="shared" si="6"/>
        <v>19158.988227848102</v>
      </c>
      <c r="AD115" s="110">
        <f t="shared" si="6"/>
        <v>19158.988227848102</v>
      </c>
      <c r="AE115" s="110">
        <f t="shared" si="6"/>
        <v>19158.988227848102</v>
      </c>
      <c r="AF115" s="110">
        <f t="shared" si="6"/>
        <v>19158.988227848102</v>
      </c>
      <c r="AG115" s="110">
        <f t="shared" si="6"/>
        <v>19158.988227848102</v>
      </c>
      <c r="AH115" s="110">
        <f t="shared" si="6"/>
        <v>19158.988227848102</v>
      </c>
      <c r="AI115" s="110">
        <f t="shared" si="6"/>
        <v>19158.988227848102</v>
      </c>
      <c r="AJ115" s="110">
        <f t="shared" si="6"/>
        <v>19158.988227848102</v>
      </c>
      <c r="AK115" s="110">
        <f t="shared" si="6"/>
        <v>19158.988227848102</v>
      </c>
      <c r="AL115" s="110">
        <f t="shared" si="6"/>
        <v>19158.988227848102</v>
      </c>
      <c r="AM115" s="110">
        <f t="shared" si="6"/>
        <v>19158.988227848102</v>
      </c>
      <c r="AN115" s="110">
        <f t="shared" si="6"/>
        <v>19158.988227848102</v>
      </c>
      <c r="AO115" s="110">
        <f t="shared" si="6"/>
        <v>19158.988227848102</v>
      </c>
      <c r="AP115" s="110">
        <f t="shared" si="6"/>
        <v>19158.988227848102</v>
      </c>
      <c r="AQ115" s="110">
        <f t="shared" si="6"/>
        <v>19158.988227848102</v>
      </c>
      <c r="AR115" s="110">
        <f t="shared" si="6"/>
        <v>19158.988227848102</v>
      </c>
      <c r="AS115" s="110">
        <f t="shared" si="6"/>
        <v>19158.988227848102</v>
      </c>
      <c r="AT115" s="110">
        <f t="shared" si="6"/>
        <v>19158.988227848102</v>
      </c>
      <c r="AU115" s="110">
        <f t="shared" si="6"/>
        <v>19158.988227848102</v>
      </c>
      <c r="AV115" s="110">
        <f t="shared" si="6"/>
        <v>19158.988227848102</v>
      </c>
      <c r="AW115" s="110">
        <f t="shared" si="6"/>
        <v>19158.988227848102</v>
      </c>
      <c r="AX115" s="110">
        <f t="shared" si="6"/>
        <v>19158.988227848102</v>
      </c>
    </row>
    <row r="116" spans="1:50" x14ac:dyDescent="0.2">
      <c r="A116" s="110" t="s">
        <v>106</v>
      </c>
      <c r="B116" s="110" t="s">
        <v>7</v>
      </c>
      <c r="C116" s="105">
        <v>16177.26</v>
      </c>
      <c r="D116" s="105">
        <v>16177.26</v>
      </c>
      <c r="E116" s="105">
        <v>16177.26</v>
      </c>
      <c r="F116" s="105">
        <v>16177.26</v>
      </c>
      <c r="G116" s="105">
        <v>16177.26</v>
      </c>
      <c r="H116" s="105">
        <v>16177.26</v>
      </c>
      <c r="I116" s="105">
        <v>16177.26</v>
      </c>
      <c r="J116" s="105">
        <v>16177.26</v>
      </c>
      <c r="K116" s="105">
        <v>17794.986000000001</v>
      </c>
      <c r="L116" s="105">
        <v>17794.986000000001</v>
      </c>
      <c r="M116" s="105">
        <v>17794.986000000001</v>
      </c>
      <c r="N116" s="105">
        <v>17794.986000000001</v>
      </c>
      <c r="O116" s="105">
        <v>17794.986000000001</v>
      </c>
      <c r="P116" s="105">
        <v>17794.986000000001</v>
      </c>
      <c r="Q116" s="105">
        <v>17794.986000000001</v>
      </c>
      <c r="R116" s="105">
        <v>17794.986000000001</v>
      </c>
      <c r="S116" s="105">
        <v>16177.26</v>
      </c>
      <c r="T116" s="105">
        <v>16177.26</v>
      </c>
      <c r="U116" s="105">
        <v>16177.26</v>
      </c>
      <c r="V116" s="105">
        <v>16177.26</v>
      </c>
      <c r="W116" s="105">
        <v>17794.986000000001</v>
      </c>
      <c r="X116" s="105">
        <v>17794.986000000001</v>
      </c>
      <c r="Y116" s="105">
        <v>17794.986000000001</v>
      </c>
      <c r="Z116" s="105">
        <v>17794.986000000001</v>
      </c>
      <c r="AA116" s="105">
        <v>16177.26</v>
      </c>
      <c r="AB116" s="105">
        <v>16177.26</v>
      </c>
      <c r="AC116" s="105">
        <v>16177.26</v>
      </c>
      <c r="AD116" s="105">
        <v>16177.26</v>
      </c>
      <c r="AE116" s="105">
        <v>14559.534000000003</v>
      </c>
      <c r="AF116" s="105">
        <v>14559.534000000003</v>
      </c>
      <c r="AG116" s="105">
        <v>14559.534000000003</v>
      </c>
      <c r="AH116" s="105">
        <v>14559.534000000003</v>
      </c>
      <c r="AI116" s="105">
        <v>17794.986000000001</v>
      </c>
      <c r="AJ116" s="105">
        <v>17794.986000000001</v>
      </c>
      <c r="AK116" s="105">
        <v>17794.986000000001</v>
      </c>
      <c r="AL116" s="105">
        <v>17794.986000000001</v>
      </c>
      <c r="AM116" s="105">
        <v>16177.26</v>
      </c>
      <c r="AN116" s="105">
        <v>16177.26</v>
      </c>
      <c r="AO116" s="105">
        <v>16177.26</v>
      </c>
      <c r="AP116" s="105">
        <v>16177.26</v>
      </c>
      <c r="AQ116" s="105">
        <v>16177.26</v>
      </c>
      <c r="AR116" s="105">
        <v>16177.26</v>
      </c>
      <c r="AS116" s="105">
        <v>16177.26</v>
      </c>
      <c r="AT116" s="105">
        <v>16177.26</v>
      </c>
      <c r="AU116" s="105">
        <v>16177.26</v>
      </c>
      <c r="AV116" s="105">
        <v>16177.26</v>
      </c>
      <c r="AW116" s="105">
        <v>16177.26</v>
      </c>
      <c r="AX116" s="105">
        <v>16177.26</v>
      </c>
    </row>
    <row r="117" spans="1:50" x14ac:dyDescent="0.2">
      <c r="B117" s="110" t="s">
        <v>8</v>
      </c>
      <c r="C117" s="105">
        <v>0</v>
      </c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0</v>
      </c>
      <c r="AE117" s="105">
        <v>0</v>
      </c>
      <c r="AF117" s="105">
        <v>0</v>
      </c>
      <c r="AG117" s="105">
        <v>0</v>
      </c>
      <c r="AH117" s="105">
        <v>0</v>
      </c>
      <c r="AI117" s="105">
        <v>0</v>
      </c>
      <c r="AJ117" s="105">
        <v>0</v>
      </c>
      <c r="AK117" s="105">
        <v>0</v>
      </c>
      <c r="AL117" s="105">
        <v>0</v>
      </c>
      <c r="AM117" s="105">
        <v>0</v>
      </c>
      <c r="AN117" s="105">
        <v>0</v>
      </c>
      <c r="AO117" s="105">
        <v>0</v>
      </c>
      <c r="AP117" s="105">
        <v>0</v>
      </c>
      <c r="AQ117" s="105">
        <v>0</v>
      </c>
      <c r="AR117" s="105">
        <v>0</v>
      </c>
      <c r="AS117" s="105">
        <v>0</v>
      </c>
      <c r="AT117" s="105">
        <v>0</v>
      </c>
      <c r="AU117" s="105">
        <v>0</v>
      </c>
      <c r="AV117" s="105">
        <v>0</v>
      </c>
      <c r="AW117" s="105">
        <v>0</v>
      </c>
      <c r="AX117" s="105">
        <v>0</v>
      </c>
    </row>
    <row r="118" spans="1:50" x14ac:dyDescent="0.2">
      <c r="B118" s="110" t="s">
        <v>10</v>
      </c>
      <c r="C118" s="105">
        <v>0</v>
      </c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0</v>
      </c>
      <c r="AH118" s="105">
        <v>0</v>
      </c>
      <c r="AI118" s="105">
        <v>0</v>
      </c>
      <c r="AJ118" s="105">
        <v>0</v>
      </c>
      <c r="AK118" s="105">
        <v>0</v>
      </c>
      <c r="AL118" s="105">
        <v>0</v>
      </c>
      <c r="AM118" s="105">
        <v>0</v>
      </c>
      <c r="AN118" s="105">
        <v>0</v>
      </c>
      <c r="AO118" s="105">
        <v>0</v>
      </c>
      <c r="AP118" s="105">
        <v>0</v>
      </c>
      <c r="AQ118" s="105">
        <v>0</v>
      </c>
      <c r="AR118" s="105">
        <v>0</v>
      </c>
      <c r="AS118" s="105">
        <v>0</v>
      </c>
      <c r="AT118" s="105">
        <v>0</v>
      </c>
      <c r="AU118" s="105">
        <v>0</v>
      </c>
      <c r="AV118" s="105">
        <v>0</v>
      </c>
      <c r="AW118" s="105">
        <v>0</v>
      </c>
      <c r="AX118" s="105">
        <v>0</v>
      </c>
    </row>
    <row r="119" spans="1:50" x14ac:dyDescent="0.2">
      <c r="B119" s="110" t="s">
        <v>14</v>
      </c>
      <c r="C119" s="105">
        <v>0</v>
      </c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0</v>
      </c>
      <c r="AL119" s="105">
        <v>0</v>
      </c>
      <c r="AM119" s="105">
        <v>0</v>
      </c>
      <c r="AN119" s="105">
        <v>0</v>
      </c>
      <c r="AO119" s="105">
        <v>0</v>
      </c>
      <c r="AP119" s="105">
        <v>0</v>
      </c>
      <c r="AQ119" s="105">
        <v>0</v>
      </c>
      <c r="AR119" s="105">
        <v>0</v>
      </c>
      <c r="AS119" s="105">
        <v>0</v>
      </c>
      <c r="AT119" s="105">
        <v>0</v>
      </c>
      <c r="AU119" s="105">
        <v>0</v>
      </c>
      <c r="AV119" s="105">
        <v>0</v>
      </c>
      <c r="AW119" s="105">
        <v>0</v>
      </c>
      <c r="AX119" s="105">
        <v>0</v>
      </c>
    </row>
    <row r="120" spans="1:50" x14ac:dyDescent="0.2">
      <c r="B120" s="110" t="s">
        <v>34</v>
      </c>
      <c r="C120" s="105">
        <v>11469.92</v>
      </c>
      <c r="D120" s="105">
        <v>11469.92</v>
      </c>
      <c r="E120" s="105">
        <v>11469.92</v>
      </c>
      <c r="F120" s="105">
        <v>11469.92</v>
      </c>
      <c r="G120" s="105">
        <v>11469.92</v>
      </c>
      <c r="H120" s="105">
        <v>11469.92</v>
      </c>
      <c r="I120" s="105">
        <v>11469.92</v>
      </c>
      <c r="J120" s="105">
        <v>11469.92</v>
      </c>
      <c r="K120" s="105">
        <v>12616.912000000002</v>
      </c>
      <c r="L120" s="105">
        <v>12616.912000000002</v>
      </c>
      <c r="M120" s="105">
        <v>12616.912000000002</v>
      </c>
      <c r="N120" s="105">
        <v>12616.912000000002</v>
      </c>
      <c r="O120" s="105">
        <v>12616.912000000002</v>
      </c>
      <c r="P120" s="105">
        <v>12616.912000000002</v>
      </c>
      <c r="Q120" s="105">
        <v>12616.912000000002</v>
      </c>
      <c r="R120" s="105">
        <v>12616.912000000002</v>
      </c>
      <c r="S120" s="105">
        <v>11469.92</v>
      </c>
      <c r="T120" s="105">
        <v>11469.92</v>
      </c>
      <c r="U120" s="105">
        <v>11469.92</v>
      </c>
      <c r="V120" s="105">
        <v>11469.92</v>
      </c>
      <c r="W120" s="105">
        <v>12616.912000000002</v>
      </c>
      <c r="X120" s="105">
        <v>12616.912000000002</v>
      </c>
      <c r="Y120" s="105">
        <v>12616.912000000002</v>
      </c>
      <c r="Z120" s="105">
        <v>12616.912000000002</v>
      </c>
      <c r="AA120" s="105">
        <v>11469.92</v>
      </c>
      <c r="AB120" s="105">
        <v>11469.92</v>
      </c>
      <c r="AC120" s="105">
        <v>11469.92</v>
      </c>
      <c r="AD120" s="105">
        <v>11469.92</v>
      </c>
      <c r="AE120" s="105">
        <v>10322.928</v>
      </c>
      <c r="AF120" s="105">
        <v>10322.928</v>
      </c>
      <c r="AG120" s="105">
        <v>10322.928</v>
      </c>
      <c r="AH120" s="105">
        <v>10322.928</v>
      </c>
      <c r="AI120" s="105">
        <v>12616.912000000002</v>
      </c>
      <c r="AJ120" s="105">
        <v>12616.912000000002</v>
      </c>
      <c r="AK120" s="105">
        <v>12616.912000000002</v>
      </c>
      <c r="AL120" s="105">
        <v>12616.912000000002</v>
      </c>
      <c r="AM120" s="105">
        <v>11469.92</v>
      </c>
      <c r="AN120" s="105">
        <v>11469.92</v>
      </c>
      <c r="AO120" s="105">
        <v>11469.92</v>
      </c>
      <c r="AP120" s="105">
        <v>11469.92</v>
      </c>
      <c r="AQ120" s="105">
        <v>11469.92</v>
      </c>
      <c r="AR120" s="105">
        <v>11469.92</v>
      </c>
      <c r="AS120" s="105">
        <v>11469.92</v>
      </c>
      <c r="AT120" s="105">
        <v>11469.92</v>
      </c>
      <c r="AU120" s="105">
        <v>11469.92</v>
      </c>
      <c r="AV120" s="105">
        <v>11469.92</v>
      </c>
      <c r="AW120" s="105">
        <v>11469.92</v>
      </c>
      <c r="AX120" s="105">
        <v>11469.92</v>
      </c>
    </row>
    <row r="121" spans="1:50" x14ac:dyDescent="0.2">
      <c r="B121" s="110" t="s">
        <v>49</v>
      </c>
      <c r="C121" s="105">
        <v>0</v>
      </c>
      <c r="D121" s="105">
        <v>0</v>
      </c>
      <c r="E121" s="105">
        <v>0</v>
      </c>
      <c r="F121" s="105">
        <v>0</v>
      </c>
      <c r="G121" s="105">
        <v>0</v>
      </c>
      <c r="H121" s="105">
        <v>0</v>
      </c>
      <c r="I121" s="105">
        <v>0</v>
      </c>
      <c r="J121" s="105">
        <v>0</v>
      </c>
      <c r="K121" s="105">
        <v>0</v>
      </c>
      <c r="L121" s="105">
        <v>0</v>
      </c>
      <c r="M121" s="105">
        <v>0</v>
      </c>
      <c r="N121" s="105">
        <v>0</v>
      </c>
      <c r="O121" s="105">
        <v>0</v>
      </c>
      <c r="P121" s="105">
        <v>0</v>
      </c>
      <c r="Q121" s="105">
        <v>0</v>
      </c>
      <c r="R121" s="105">
        <v>0</v>
      </c>
      <c r="S121" s="105">
        <v>0</v>
      </c>
      <c r="T121" s="105">
        <v>0</v>
      </c>
      <c r="U121" s="105">
        <v>0</v>
      </c>
      <c r="V121" s="105">
        <v>0</v>
      </c>
      <c r="W121" s="105">
        <v>0</v>
      </c>
      <c r="X121" s="105">
        <v>0</v>
      </c>
      <c r="Y121" s="105">
        <v>0</v>
      </c>
      <c r="Z121" s="105">
        <v>0</v>
      </c>
      <c r="AA121" s="105">
        <v>0</v>
      </c>
      <c r="AB121" s="105">
        <v>0</v>
      </c>
      <c r="AC121" s="105">
        <v>0</v>
      </c>
      <c r="AD121" s="105">
        <v>0</v>
      </c>
      <c r="AE121" s="105">
        <v>0</v>
      </c>
      <c r="AF121" s="105">
        <v>0</v>
      </c>
      <c r="AG121" s="105">
        <v>0</v>
      </c>
      <c r="AH121" s="105">
        <v>0</v>
      </c>
      <c r="AI121" s="105">
        <v>0</v>
      </c>
      <c r="AJ121" s="105">
        <v>0</v>
      </c>
      <c r="AK121" s="105">
        <v>0</v>
      </c>
      <c r="AL121" s="105">
        <v>0</v>
      </c>
      <c r="AM121" s="105">
        <v>0</v>
      </c>
      <c r="AN121" s="105">
        <v>0</v>
      </c>
      <c r="AO121" s="105">
        <v>0</v>
      </c>
      <c r="AP121" s="105">
        <v>0</v>
      </c>
      <c r="AQ121" s="105">
        <v>0</v>
      </c>
      <c r="AR121" s="105">
        <v>0</v>
      </c>
      <c r="AS121" s="105">
        <v>0</v>
      </c>
      <c r="AT121" s="105">
        <v>0</v>
      </c>
      <c r="AU121" s="105">
        <v>0</v>
      </c>
      <c r="AV121" s="105">
        <v>0</v>
      </c>
      <c r="AW121" s="105">
        <v>0</v>
      </c>
      <c r="AX121" s="105">
        <v>0</v>
      </c>
    </row>
    <row r="122" spans="1:50" x14ac:dyDescent="0.2">
      <c r="B122" s="110" t="s">
        <v>57</v>
      </c>
      <c r="C122" s="105">
        <v>0</v>
      </c>
      <c r="D122" s="105">
        <v>0</v>
      </c>
      <c r="E122" s="105">
        <v>0</v>
      </c>
      <c r="F122" s="105">
        <v>0</v>
      </c>
      <c r="G122" s="105">
        <v>0</v>
      </c>
      <c r="H122" s="105">
        <v>0</v>
      </c>
      <c r="I122" s="105">
        <v>0</v>
      </c>
      <c r="J122" s="105">
        <v>0</v>
      </c>
      <c r="K122" s="105">
        <v>0</v>
      </c>
      <c r="L122" s="105">
        <v>0</v>
      </c>
      <c r="M122" s="105">
        <v>0</v>
      </c>
      <c r="N122" s="105">
        <v>0</v>
      </c>
      <c r="O122" s="105">
        <v>0</v>
      </c>
      <c r="P122" s="105">
        <v>0</v>
      </c>
      <c r="Q122" s="105">
        <v>0</v>
      </c>
      <c r="R122" s="105">
        <v>0</v>
      </c>
      <c r="S122" s="105">
        <v>0</v>
      </c>
      <c r="T122" s="105">
        <v>0</v>
      </c>
      <c r="U122" s="105">
        <v>0</v>
      </c>
      <c r="V122" s="105">
        <v>0</v>
      </c>
      <c r="W122" s="105">
        <v>0</v>
      </c>
      <c r="X122" s="105">
        <v>0</v>
      </c>
      <c r="Y122" s="105">
        <v>0</v>
      </c>
      <c r="Z122" s="105">
        <v>0</v>
      </c>
      <c r="AA122" s="105">
        <v>0</v>
      </c>
      <c r="AB122" s="105">
        <v>0</v>
      </c>
      <c r="AC122" s="105">
        <v>0</v>
      </c>
      <c r="AD122" s="105">
        <v>0</v>
      </c>
      <c r="AE122" s="105">
        <v>0</v>
      </c>
      <c r="AF122" s="105">
        <v>0</v>
      </c>
      <c r="AG122" s="105">
        <v>0</v>
      </c>
      <c r="AH122" s="105">
        <v>0</v>
      </c>
      <c r="AI122" s="105">
        <v>0</v>
      </c>
      <c r="AJ122" s="105">
        <v>0</v>
      </c>
      <c r="AK122" s="105">
        <v>0</v>
      </c>
      <c r="AL122" s="105">
        <v>0</v>
      </c>
      <c r="AM122" s="105">
        <v>0</v>
      </c>
      <c r="AN122" s="105">
        <v>0</v>
      </c>
      <c r="AO122" s="105">
        <v>0</v>
      </c>
      <c r="AP122" s="105">
        <v>0</v>
      </c>
      <c r="AQ122" s="105">
        <v>0</v>
      </c>
      <c r="AR122" s="105">
        <v>0</v>
      </c>
      <c r="AS122" s="105">
        <v>0</v>
      </c>
      <c r="AT122" s="105">
        <v>0</v>
      </c>
      <c r="AU122" s="105">
        <v>0</v>
      </c>
      <c r="AV122" s="105">
        <v>0</v>
      </c>
      <c r="AW122" s="105">
        <v>0</v>
      </c>
      <c r="AX122" s="105">
        <v>0</v>
      </c>
    </row>
    <row r="123" spans="1:50" x14ac:dyDescent="0.2">
      <c r="B123" s="110" t="s">
        <v>70</v>
      </c>
      <c r="C123" s="105">
        <v>0</v>
      </c>
      <c r="D123" s="105">
        <v>0</v>
      </c>
      <c r="E123" s="105">
        <v>0</v>
      </c>
      <c r="F123" s="105">
        <v>0</v>
      </c>
      <c r="G123" s="105">
        <v>0</v>
      </c>
      <c r="H123" s="105">
        <v>0</v>
      </c>
      <c r="I123" s="105">
        <v>0</v>
      </c>
      <c r="J123" s="105">
        <v>0</v>
      </c>
      <c r="K123" s="105">
        <v>0</v>
      </c>
      <c r="L123" s="105">
        <v>0</v>
      </c>
      <c r="M123" s="105">
        <v>0</v>
      </c>
      <c r="N123" s="105">
        <v>0</v>
      </c>
      <c r="O123" s="105">
        <v>0</v>
      </c>
      <c r="P123" s="105">
        <v>0</v>
      </c>
      <c r="Q123" s="105">
        <v>0</v>
      </c>
      <c r="R123" s="105">
        <v>0</v>
      </c>
      <c r="S123" s="105">
        <v>0</v>
      </c>
      <c r="T123" s="105">
        <v>0</v>
      </c>
      <c r="U123" s="105">
        <v>0</v>
      </c>
      <c r="V123" s="105">
        <v>0</v>
      </c>
      <c r="W123" s="105">
        <v>0</v>
      </c>
      <c r="X123" s="105">
        <v>0</v>
      </c>
      <c r="Y123" s="105">
        <v>0</v>
      </c>
      <c r="Z123" s="105">
        <v>0</v>
      </c>
      <c r="AA123" s="105">
        <v>0</v>
      </c>
      <c r="AB123" s="105">
        <v>0</v>
      </c>
      <c r="AC123" s="105">
        <v>0</v>
      </c>
      <c r="AD123" s="105">
        <v>0</v>
      </c>
      <c r="AE123" s="105">
        <v>0</v>
      </c>
      <c r="AF123" s="105">
        <v>0</v>
      </c>
      <c r="AG123" s="105">
        <v>0</v>
      </c>
      <c r="AH123" s="105">
        <v>0</v>
      </c>
      <c r="AI123" s="105">
        <v>0</v>
      </c>
      <c r="AJ123" s="105">
        <v>0</v>
      </c>
      <c r="AK123" s="105">
        <v>0</v>
      </c>
      <c r="AL123" s="105">
        <v>0</v>
      </c>
      <c r="AM123" s="105">
        <v>0</v>
      </c>
      <c r="AN123" s="105">
        <v>0</v>
      </c>
      <c r="AO123" s="105">
        <v>0</v>
      </c>
      <c r="AP123" s="105">
        <v>0</v>
      </c>
      <c r="AQ123" s="105">
        <v>0</v>
      </c>
      <c r="AR123" s="105">
        <v>0</v>
      </c>
      <c r="AS123" s="105">
        <v>0</v>
      </c>
      <c r="AT123" s="105">
        <v>0</v>
      </c>
      <c r="AU123" s="105">
        <v>0</v>
      </c>
      <c r="AV123" s="105">
        <v>0</v>
      </c>
      <c r="AW123" s="105">
        <v>0</v>
      </c>
      <c r="AX123" s="105">
        <v>0</v>
      </c>
    </row>
    <row r="124" spans="1:50" x14ac:dyDescent="0.2">
      <c r="B124" s="105" t="s">
        <v>278</v>
      </c>
      <c r="C124" s="110">
        <f>SUM(C$116:C$123)</f>
        <v>27647.18</v>
      </c>
      <c r="D124" s="110">
        <f t="shared" ref="D124:AX124" si="7">SUM(D$116:D$123)</f>
        <v>27647.18</v>
      </c>
      <c r="E124" s="110">
        <f t="shared" si="7"/>
        <v>27647.18</v>
      </c>
      <c r="F124" s="110">
        <f t="shared" si="7"/>
        <v>27647.18</v>
      </c>
      <c r="G124" s="110">
        <f t="shared" si="7"/>
        <v>27647.18</v>
      </c>
      <c r="H124" s="110">
        <f t="shared" si="7"/>
        <v>27647.18</v>
      </c>
      <c r="I124" s="110">
        <f t="shared" si="7"/>
        <v>27647.18</v>
      </c>
      <c r="J124" s="110">
        <f t="shared" si="7"/>
        <v>27647.18</v>
      </c>
      <c r="K124" s="110">
        <f t="shared" si="7"/>
        <v>30411.898000000001</v>
      </c>
      <c r="L124" s="110">
        <f t="shared" si="7"/>
        <v>30411.898000000001</v>
      </c>
      <c r="M124" s="110">
        <f t="shared" si="7"/>
        <v>30411.898000000001</v>
      </c>
      <c r="N124" s="110">
        <f t="shared" si="7"/>
        <v>30411.898000000001</v>
      </c>
      <c r="O124" s="110">
        <f t="shared" si="7"/>
        <v>30411.898000000001</v>
      </c>
      <c r="P124" s="110">
        <f t="shared" si="7"/>
        <v>30411.898000000001</v>
      </c>
      <c r="Q124" s="110">
        <f t="shared" si="7"/>
        <v>30411.898000000001</v>
      </c>
      <c r="R124" s="110">
        <f t="shared" si="7"/>
        <v>30411.898000000001</v>
      </c>
      <c r="S124" s="110">
        <f t="shared" si="7"/>
        <v>27647.18</v>
      </c>
      <c r="T124" s="110">
        <f t="shared" si="7"/>
        <v>27647.18</v>
      </c>
      <c r="U124" s="110">
        <f t="shared" si="7"/>
        <v>27647.18</v>
      </c>
      <c r="V124" s="110">
        <f t="shared" si="7"/>
        <v>27647.18</v>
      </c>
      <c r="W124" s="110">
        <f t="shared" si="7"/>
        <v>30411.898000000001</v>
      </c>
      <c r="X124" s="110">
        <f t="shared" si="7"/>
        <v>30411.898000000001</v>
      </c>
      <c r="Y124" s="110">
        <f t="shared" si="7"/>
        <v>30411.898000000001</v>
      </c>
      <c r="Z124" s="110">
        <f t="shared" si="7"/>
        <v>30411.898000000001</v>
      </c>
      <c r="AA124" s="110">
        <f t="shared" si="7"/>
        <v>27647.18</v>
      </c>
      <c r="AB124" s="110">
        <f t="shared" si="7"/>
        <v>27647.18</v>
      </c>
      <c r="AC124" s="110">
        <f t="shared" si="7"/>
        <v>27647.18</v>
      </c>
      <c r="AD124" s="110">
        <f t="shared" si="7"/>
        <v>27647.18</v>
      </c>
      <c r="AE124" s="110">
        <f t="shared" si="7"/>
        <v>24882.462000000003</v>
      </c>
      <c r="AF124" s="110">
        <f t="shared" si="7"/>
        <v>24882.462000000003</v>
      </c>
      <c r="AG124" s="110">
        <f t="shared" si="7"/>
        <v>24882.462000000003</v>
      </c>
      <c r="AH124" s="110">
        <f t="shared" si="7"/>
        <v>24882.462000000003</v>
      </c>
      <c r="AI124" s="110">
        <f t="shared" si="7"/>
        <v>30411.898000000001</v>
      </c>
      <c r="AJ124" s="110">
        <f t="shared" si="7"/>
        <v>30411.898000000001</v>
      </c>
      <c r="AK124" s="110">
        <f t="shared" si="7"/>
        <v>30411.898000000001</v>
      </c>
      <c r="AL124" s="110">
        <f t="shared" si="7"/>
        <v>30411.898000000001</v>
      </c>
      <c r="AM124" s="110">
        <f t="shared" si="7"/>
        <v>27647.18</v>
      </c>
      <c r="AN124" s="110">
        <f t="shared" si="7"/>
        <v>27647.18</v>
      </c>
      <c r="AO124" s="110">
        <f t="shared" si="7"/>
        <v>27647.18</v>
      </c>
      <c r="AP124" s="110">
        <f t="shared" si="7"/>
        <v>27647.18</v>
      </c>
      <c r="AQ124" s="110">
        <f t="shared" si="7"/>
        <v>27647.18</v>
      </c>
      <c r="AR124" s="110">
        <f t="shared" si="7"/>
        <v>27647.18</v>
      </c>
      <c r="AS124" s="110">
        <f t="shared" si="7"/>
        <v>27647.18</v>
      </c>
      <c r="AT124" s="110">
        <f t="shared" si="7"/>
        <v>27647.18</v>
      </c>
      <c r="AU124" s="110">
        <f t="shared" si="7"/>
        <v>27647.18</v>
      </c>
      <c r="AV124" s="110">
        <f t="shared" si="7"/>
        <v>27647.18</v>
      </c>
      <c r="AW124" s="110">
        <f t="shared" si="7"/>
        <v>27647.18</v>
      </c>
      <c r="AX124" s="110">
        <f t="shared" si="7"/>
        <v>27647.18</v>
      </c>
    </row>
    <row r="125" spans="1:50" x14ac:dyDescent="0.2">
      <c r="A125" s="110" t="s">
        <v>107</v>
      </c>
      <c r="B125" s="110" t="s">
        <v>7</v>
      </c>
      <c r="C125" s="105">
        <v>0</v>
      </c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</row>
    <row r="126" spans="1:50" x14ac:dyDescent="0.2">
      <c r="B126" s="110" t="s">
        <v>8</v>
      </c>
      <c r="C126" s="105">
        <v>0</v>
      </c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</row>
    <row r="127" spans="1:50" x14ac:dyDescent="0.2">
      <c r="B127" s="110" t="s">
        <v>10</v>
      </c>
      <c r="C127" s="105">
        <v>0</v>
      </c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</row>
    <row r="128" spans="1:50" x14ac:dyDescent="0.2">
      <c r="B128" s="110" t="s">
        <v>14</v>
      </c>
      <c r="C128" s="105">
        <v>0</v>
      </c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</row>
    <row r="129" spans="1:50" x14ac:dyDescent="0.2">
      <c r="B129" s="110" t="s">
        <v>34</v>
      </c>
      <c r="C129" s="105">
        <v>0</v>
      </c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</row>
    <row r="130" spans="1:50" x14ac:dyDescent="0.2">
      <c r="B130" s="110" t="s">
        <v>49</v>
      </c>
      <c r="C130" s="105">
        <v>0</v>
      </c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</row>
    <row r="131" spans="1:50" x14ac:dyDescent="0.2">
      <c r="B131" s="110" t="s">
        <v>57</v>
      </c>
      <c r="C131" s="105">
        <v>0</v>
      </c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</row>
    <row r="132" spans="1:50" x14ac:dyDescent="0.2">
      <c r="B132" s="110" t="s">
        <v>70</v>
      </c>
      <c r="C132" s="105">
        <v>0</v>
      </c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</row>
    <row r="133" spans="1:50" x14ac:dyDescent="0.2">
      <c r="B133" s="105" t="s">
        <v>278</v>
      </c>
      <c r="C133" s="110">
        <f>SUM(C$125:C$132)</f>
        <v>0</v>
      </c>
      <c r="D133" s="110">
        <f t="shared" ref="D133:AX133" si="8">SUM(D$125:D$132)</f>
        <v>0</v>
      </c>
      <c r="E133" s="110">
        <f t="shared" si="8"/>
        <v>0</v>
      </c>
      <c r="F133" s="110">
        <f t="shared" si="8"/>
        <v>0</v>
      </c>
      <c r="G133" s="110">
        <f t="shared" si="8"/>
        <v>0</v>
      </c>
      <c r="H133" s="110">
        <f t="shared" si="8"/>
        <v>0</v>
      </c>
      <c r="I133" s="110">
        <f t="shared" si="8"/>
        <v>0</v>
      </c>
      <c r="J133" s="110">
        <f t="shared" si="8"/>
        <v>0</v>
      </c>
      <c r="K133" s="110">
        <f t="shared" si="8"/>
        <v>0</v>
      </c>
      <c r="L133" s="110">
        <f t="shared" si="8"/>
        <v>0</v>
      </c>
      <c r="M133" s="110">
        <f t="shared" si="8"/>
        <v>0</v>
      </c>
      <c r="N133" s="110">
        <f t="shared" si="8"/>
        <v>0</v>
      </c>
      <c r="O133" s="110">
        <f t="shared" si="8"/>
        <v>0</v>
      </c>
      <c r="P133" s="110">
        <f t="shared" si="8"/>
        <v>0</v>
      </c>
      <c r="Q133" s="110">
        <f t="shared" si="8"/>
        <v>0</v>
      </c>
      <c r="R133" s="110">
        <f t="shared" si="8"/>
        <v>0</v>
      </c>
      <c r="S133" s="110">
        <f t="shared" si="8"/>
        <v>0</v>
      </c>
      <c r="T133" s="110">
        <f t="shared" si="8"/>
        <v>0</v>
      </c>
      <c r="U133" s="110">
        <f t="shared" si="8"/>
        <v>0</v>
      </c>
      <c r="V133" s="110">
        <f t="shared" si="8"/>
        <v>0</v>
      </c>
      <c r="W133" s="110">
        <f t="shared" si="8"/>
        <v>0</v>
      </c>
      <c r="X133" s="110">
        <f t="shared" si="8"/>
        <v>0</v>
      </c>
      <c r="Y133" s="110">
        <f t="shared" si="8"/>
        <v>0</v>
      </c>
      <c r="Z133" s="110">
        <f t="shared" si="8"/>
        <v>0</v>
      </c>
      <c r="AA133" s="110">
        <f t="shared" si="8"/>
        <v>0</v>
      </c>
      <c r="AB133" s="110">
        <f t="shared" si="8"/>
        <v>0</v>
      </c>
      <c r="AC133" s="110">
        <f t="shared" si="8"/>
        <v>0</v>
      </c>
      <c r="AD133" s="110">
        <f t="shared" si="8"/>
        <v>0</v>
      </c>
      <c r="AE133" s="110">
        <f t="shared" si="8"/>
        <v>0</v>
      </c>
      <c r="AF133" s="110">
        <f t="shared" si="8"/>
        <v>0</v>
      </c>
      <c r="AG133" s="110">
        <f t="shared" si="8"/>
        <v>0</v>
      </c>
      <c r="AH133" s="110">
        <f t="shared" si="8"/>
        <v>0</v>
      </c>
      <c r="AI133" s="110">
        <f t="shared" si="8"/>
        <v>0</v>
      </c>
      <c r="AJ133" s="110">
        <f t="shared" si="8"/>
        <v>0</v>
      </c>
      <c r="AK133" s="110">
        <f t="shared" si="8"/>
        <v>0</v>
      </c>
      <c r="AL133" s="110">
        <f t="shared" si="8"/>
        <v>0</v>
      </c>
      <c r="AM133" s="110">
        <f t="shared" si="8"/>
        <v>0</v>
      </c>
      <c r="AN133" s="110">
        <f t="shared" si="8"/>
        <v>0</v>
      </c>
      <c r="AO133" s="110">
        <f t="shared" si="8"/>
        <v>0</v>
      </c>
      <c r="AP133" s="110">
        <f t="shared" si="8"/>
        <v>0</v>
      </c>
      <c r="AQ133" s="110">
        <f t="shared" si="8"/>
        <v>0</v>
      </c>
      <c r="AR133" s="110">
        <f t="shared" si="8"/>
        <v>0</v>
      </c>
      <c r="AS133" s="110">
        <f t="shared" si="8"/>
        <v>0</v>
      </c>
      <c r="AT133" s="110">
        <f t="shared" si="8"/>
        <v>0</v>
      </c>
      <c r="AU133" s="110">
        <f t="shared" si="8"/>
        <v>0</v>
      </c>
      <c r="AV133" s="110">
        <f t="shared" si="8"/>
        <v>0</v>
      </c>
      <c r="AW133" s="110">
        <f t="shared" si="8"/>
        <v>0</v>
      </c>
      <c r="AX133" s="110">
        <f t="shared" si="8"/>
        <v>0</v>
      </c>
    </row>
    <row r="134" spans="1:50" x14ac:dyDescent="0.2">
      <c r="A134" s="110" t="s">
        <v>108</v>
      </c>
      <c r="B134" s="110" t="s">
        <v>7</v>
      </c>
      <c r="C134" s="105">
        <v>0</v>
      </c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</row>
    <row r="135" spans="1:50" x14ac:dyDescent="0.2">
      <c r="B135" s="110" t="s">
        <v>8</v>
      </c>
      <c r="C135" s="105">
        <v>0</v>
      </c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</row>
    <row r="136" spans="1:50" x14ac:dyDescent="0.2">
      <c r="B136" s="110" t="s">
        <v>10</v>
      </c>
      <c r="C136" s="105">
        <v>0</v>
      </c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</row>
    <row r="137" spans="1:50" x14ac:dyDescent="0.2">
      <c r="B137" s="110" t="s">
        <v>14</v>
      </c>
      <c r="C137" s="105">
        <v>0</v>
      </c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</row>
    <row r="138" spans="1:50" x14ac:dyDescent="0.2">
      <c r="B138" s="110" t="s">
        <v>34</v>
      </c>
      <c r="C138" s="105">
        <v>0</v>
      </c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</row>
    <row r="139" spans="1:50" x14ac:dyDescent="0.2">
      <c r="B139" s="110" t="s">
        <v>49</v>
      </c>
      <c r="C139" s="105">
        <v>0</v>
      </c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</row>
    <row r="140" spans="1:50" x14ac:dyDescent="0.2">
      <c r="B140" s="110" t="s">
        <v>57</v>
      </c>
      <c r="C140" s="105">
        <v>0</v>
      </c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</row>
    <row r="141" spans="1:50" x14ac:dyDescent="0.2">
      <c r="B141" s="110" t="s">
        <v>70</v>
      </c>
      <c r="C141" s="105">
        <v>0</v>
      </c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</row>
    <row r="142" spans="1:50" x14ac:dyDescent="0.2">
      <c r="B142" s="105" t="s">
        <v>278</v>
      </c>
      <c r="C142" s="110">
        <f>SUM(C$134:C$141)</f>
        <v>0</v>
      </c>
      <c r="D142" s="110">
        <f t="shared" ref="D142:AX142" si="9">SUM(D$134:D$141)</f>
        <v>0</v>
      </c>
      <c r="E142" s="110">
        <f t="shared" si="9"/>
        <v>0</v>
      </c>
      <c r="F142" s="110">
        <f t="shared" si="9"/>
        <v>0</v>
      </c>
      <c r="G142" s="110">
        <f t="shared" si="9"/>
        <v>0</v>
      </c>
      <c r="H142" s="110">
        <f t="shared" si="9"/>
        <v>0</v>
      </c>
      <c r="I142" s="110">
        <f t="shared" si="9"/>
        <v>0</v>
      </c>
      <c r="J142" s="110">
        <f t="shared" si="9"/>
        <v>0</v>
      </c>
      <c r="K142" s="110">
        <f t="shared" si="9"/>
        <v>0</v>
      </c>
      <c r="L142" s="110">
        <f t="shared" si="9"/>
        <v>0</v>
      </c>
      <c r="M142" s="110">
        <f t="shared" si="9"/>
        <v>0</v>
      </c>
      <c r="N142" s="110">
        <f t="shared" si="9"/>
        <v>0</v>
      </c>
      <c r="O142" s="110">
        <f t="shared" si="9"/>
        <v>0</v>
      </c>
      <c r="P142" s="110">
        <f t="shared" si="9"/>
        <v>0</v>
      </c>
      <c r="Q142" s="110">
        <f t="shared" si="9"/>
        <v>0</v>
      </c>
      <c r="R142" s="110">
        <f t="shared" si="9"/>
        <v>0</v>
      </c>
      <c r="S142" s="110">
        <f t="shared" si="9"/>
        <v>0</v>
      </c>
      <c r="T142" s="110">
        <f t="shared" si="9"/>
        <v>0</v>
      </c>
      <c r="U142" s="110">
        <f t="shared" si="9"/>
        <v>0</v>
      </c>
      <c r="V142" s="110">
        <f t="shared" si="9"/>
        <v>0</v>
      </c>
      <c r="W142" s="110">
        <f t="shared" si="9"/>
        <v>0</v>
      </c>
      <c r="X142" s="110">
        <f t="shared" si="9"/>
        <v>0</v>
      </c>
      <c r="Y142" s="110">
        <f t="shared" si="9"/>
        <v>0</v>
      </c>
      <c r="Z142" s="110">
        <f t="shared" si="9"/>
        <v>0</v>
      </c>
      <c r="AA142" s="110">
        <f t="shared" si="9"/>
        <v>0</v>
      </c>
      <c r="AB142" s="110">
        <f t="shared" si="9"/>
        <v>0</v>
      </c>
      <c r="AC142" s="110">
        <f t="shared" si="9"/>
        <v>0</v>
      </c>
      <c r="AD142" s="110">
        <f t="shared" si="9"/>
        <v>0</v>
      </c>
      <c r="AE142" s="110">
        <f t="shared" si="9"/>
        <v>0</v>
      </c>
      <c r="AF142" s="110">
        <f t="shared" si="9"/>
        <v>0</v>
      </c>
      <c r="AG142" s="110">
        <f t="shared" si="9"/>
        <v>0</v>
      </c>
      <c r="AH142" s="110">
        <f t="shared" si="9"/>
        <v>0</v>
      </c>
      <c r="AI142" s="110">
        <f t="shared" si="9"/>
        <v>0</v>
      </c>
      <c r="AJ142" s="110">
        <f t="shared" si="9"/>
        <v>0</v>
      </c>
      <c r="AK142" s="110">
        <f t="shared" si="9"/>
        <v>0</v>
      </c>
      <c r="AL142" s="110">
        <f t="shared" si="9"/>
        <v>0</v>
      </c>
      <c r="AM142" s="110">
        <f t="shared" si="9"/>
        <v>0</v>
      </c>
      <c r="AN142" s="110">
        <f t="shared" si="9"/>
        <v>0</v>
      </c>
      <c r="AO142" s="110">
        <f t="shared" si="9"/>
        <v>0</v>
      </c>
      <c r="AP142" s="110">
        <f t="shared" si="9"/>
        <v>0</v>
      </c>
      <c r="AQ142" s="110">
        <f t="shared" si="9"/>
        <v>0</v>
      </c>
      <c r="AR142" s="110">
        <f t="shared" si="9"/>
        <v>0</v>
      </c>
      <c r="AS142" s="110">
        <f t="shared" si="9"/>
        <v>0</v>
      </c>
      <c r="AT142" s="110">
        <f t="shared" si="9"/>
        <v>0</v>
      </c>
      <c r="AU142" s="110">
        <f t="shared" si="9"/>
        <v>0</v>
      </c>
      <c r="AV142" s="110">
        <f t="shared" si="9"/>
        <v>0</v>
      </c>
      <c r="AW142" s="110">
        <f t="shared" si="9"/>
        <v>0</v>
      </c>
      <c r="AX142" s="110">
        <f t="shared" si="9"/>
        <v>0</v>
      </c>
    </row>
    <row r="143" spans="1:50" x14ac:dyDescent="0.2">
      <c r="A143" s="110" t="s">
        <v>109</v>
      </c>
      <c r="B143" s="110" t="s">
        <v>7</v>
      </c>
      <c r="C143" s="105">
        <v>0</v>
      </c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</row>
    <row r="144" spans="1:50" x14ac:dyDescent="0.2">
      <c r="B144" s="110" t="s">
        <v>8</v>
      </c>
      <c r="C144" s="105">
        <v>0</v>
      </c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</row>
    <row r="145" spans="2:50" x14ac:dyDescent="0.2">
      <c r="B145" s="110" t="s">
        <v>10</v>
      </c>
      <c r="C145" s="105">
        <v>0</v>
      </c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</row>
    <row r="146" spans="2:50" x14ac:dyDescent="0.2">
      <c r="B146" s="110" t="s">
        <v>14</v>
      </c>
      <c r="C146" s="105">
        <v>0</v>
      </c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</row>
    <row r="147" spans="2:50" x14ac:dyDescent="0.2">
      <c r="B147" s="110" t="s">
        <v>34</v>
      </c>
      <c r="C147" s="105">
        <v>0</v>
      </c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</row>
    <row r="148" spans="2:50" x14ac:dyDescent="0.2">
      <c r="B148" s="110" t="s">
        <v>49</v>
      </c>
      <c r="C148" s="105">
        <v>0</v>
      </c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</row>
    <row r="149" spans="2:50" x14ac:dyDescent="0.2">
      <c r="B149" s="110" t="s">
        <v>57</v>
      </c>
      <c r="C149" s="105">
        <v>0</v>
      </c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</row>
    <row r="150" spans="2:50" x14ac:dyDescent="0.2">
      <c r="B150" s="110" t="s">
        <v>70</v>
      </c>
      <c r="C150" s="105">
        <v>0</v>
      </c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</row>
    <row r="151" spans="2:50" x14ac:dyDescent="0.2">
      <c r="B151" s="105" t="s">
        <v>278</v>
      </c>
      <c r="C151" s="110">
        <f>SUM(C$143:C$150)</f>
        <v>0</v>
      </c>
      <c r="D151" s="110">
        <f t="shared" ref="D151:AX151" si="10">SUM(D$143:D$150)</f>
        <v>0</v>
      </c>
      <c r="E151" s="110">
        <f t="shared" si="10"/>
        <v>0</v>
      </c>
      <c r="F151" s="110">
        <f t="shared" si="10"/>
        <v>0</v>
      </c>
      <c r="G151" s="110">
        <f t="shared" si="10"/>
        <v>0</v>
      </c>
      <c r="H151" s="110">
        <f t="shared" si="10"/>
        <v>0</v>
      </c>
      <c r="I151" s="110">
        <f t="shared" si="10"/>
        <v>0</v>
      </c>
      <c r="J151" s="110">
        <f t="shared" si="10"/>
        <v>0</v>
      </c>
      <c r="K151" s="110">
        <f t="shared" si="10"/>
        <v>0</v>
      </c>
      <c r="L151" s="110">
        <f t="shared" si="10"/>
        <v>0</v>
      </c>
      <c r="M151" s="110">
        <f t="shared" si="10"/>
        <v>0</v>
      </c>
      <c r="N151" s="110">
        <f t="shared" si="10"/>
        <v>0</v>
      </c>
      <c r="O151" s="110">
        <f t="shared" si="10"/>
        <v>0</v>
      </c>
      <c r="P151" s="110">
        <f t="shared" si="10"/>
        <v>0</v>
      </c>
      <c r="Q151" s="110">
        <f t="shared" si="10"/>
        <v>0</v>
      </c>
      <c r="R151" s="110">
        <f t="shared" si="10"/>
        <v>0</v>
      </c>
      <c r="S151" s="110">
        <f t="shared" si="10"/>
        <v>0</v>
      </c>
      <c r="T151" s="110">
        <f t="shared" si="10"/>
        <v>0</v>
      </c>
      <c r="U151" s="110">
        <f t="shared" si="10"/>
        <v>0</v>
      </c>
      <c r="V151" s="110">
        <f t="shared" si="10"/>
        <v>0</v>
      </c>
      <c r="W151" s="110">
        <f t="shared" si="10"/>
        <v>0</v>
      </c>
      <c r="X151" s="110">
        <f t="shared" si="10"/>
        <v>0</v>
      </c>
      <c r="Y151" s="110">
        <f t="shared" si="10"/>
        <v>0</v>
      </c>
      <c r="Z151" s="110">
        <f t="shared" si="10"/>
        <v>0</v>
      </c>
      <c r="AA151" s="110">
        <f t="shared" si="10"/>
        <v>0</v>
      </c>
      <c r="AB151" s="110">
        <f t="shared" si="10"/>
        <v>0</v>
      </c>
      <c r="AC151" s="110">
        <f t="shared" si="10"/>
        <v>0</v>
      </c>
      <c r="AD151" s="110">
        <f t="shared" si="10"/>
        <v>0</v>
      </c>
      <c r="AE151" s="110">
        <f t="shared" si="10"/>
        <v>0</v>
      </c>
      <c r="AF151" s="110">
        <f t="shared" si="10"/>
        <v>0</v>
      </c>
      <c r="AG151" s="110">
        <f t="shared" si="10"/>
        <v>0</v>
      </c>
      <c r="AH151" s="110">
        <f t="shared" si="10"/>
        <v>0</v>
      </c>
      <c r="AI151" s="110">
        <f t="shared" si="10"/>
        <v>0</v>
      </c>
      <c r="AJ151" s="110">
        <f t="shared" si="10"/>
        <v>0</v>
      </c>
      <c r="AK151" s="110">
        <f t="shared" si="10"/>
        <v>0</v>
      </c>
      <c r="AL151" s="110">
        <f t="shared" si="10"/>
        <v>0</v>
      </c>
      <c r="AM151" s="110">
        <f t="shared" si="10"/>
        <v>0</v>
      </c>
      <c r="AN151" s="110">
        <f t="shared" si="10"/>
        <v>0</v>
      </c>
      <c r="AO151" s="110">
        <f t="shared" si="10"/>
        <v>0</v>
      </c>
      <c r="AP151" s="110">
        <f t="shared" si="10"/>
        <v>0</v>
      </c>
      <c r="AQ151" s="110">
        <f t="shared" si="10"/>
        <v>0</v>
      </c>
      <c r="AR151" s="110">
        <f t="shared" si="10"/>
        <v>0</v>
      </c>
      <c r="AS151" s="110">
        <f t="shared" si="10"/>
        <v>0</v>
      </c>
      <c r="AT151" s="110">
        <f t="shared" si="10"/>
        <v>0</v>
      </c>
      <c r="AU151" s="110">
        <f t="shared" si="10"/>
        <v>0</v>
      </c>
      <c r="AV151" s="110">
        <f t="shared" si="10"/>
        <v>0</v>
      </c>
      <c r="AW151" s="110">
        <f t="shared" si="10"/>
        <v>0</v>
      </c>
      <c r="AX151" s="110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7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193</v>
      </c>
      <c r="E7" s="149">
        <v>193</v>
      </c>
      <c r="F7" s="149">
        <v>193</v>
      </c>
      <c r="G7" s="149">
        <v>193</v>
      </c>
      <c r="H7" s="149">
        <v>193</v>
      </c>
      <c r="I7" s="149">
        <v>193</v>
      </c>
      <c r="J7" s="149">
        <v>193</v>
      </c>
      <c r="K7" s="149">
        <v>193</v>
      </c>
      <c r="L7" s="149">
        <v>212.3</v>
      </c>
      <c r="M7" s="149">
        <v>212.3</v>
      </c>
      <c r="N7" s="149">
        <v>212.3</v>
      </c>
      <c r="O7" s="149">
        <v>212.3</v>
      </c>
      <c r="P7" s="149">
        <v>212.3</v>
      </c>
      <c r="Q7" s="149">
        <v>212.3</v>
      </c>
      <c r="R7" s="149">
        <v>212.3</v>
      </c>
      <c r="S7" s="149">
        <v>212.3</v>
      </c>
      <c r="T7" s="149">
        <v>193</v>
      </c>
      <c r="U7" s="149">
        <v>193</v>
      </c>
      <c r="V7" s="149">
        <v>193</v>
      </c>
      <c r="W7" s="149">
        <v>193</v>
      </c>
      <c r="X7" s="149">
        <v>212.3</v>
      </c>
      <c r="Y7" s="149">
        <v>212.3</v>
      </c>
      <c r="Z7" s="149">
        <v>212.3</v>
      </c>
      <c r="AA7" s="149">
        <v>212.3</v>
      </c>
      <c r="AB7" s="149">
        <v>193</v>
      </c>
      <c r="AC7" s="149">
        <v>193</v>
      </c>
      <c r="AD7" s="149">
        <v>193</v>
      </c>
      <c r="AE7" s="149">
        <v>193</v>
      </c>
      <c r="AF7" s="149">
        <v>173.70000000000002</v>
      </c>
      <c r="AG7" s="149">
        <v>173.70000000000002</v>
      </c>
      <c r="AH7" s="149">
        <v>173.70000000000002</v>
      </c>
      <c r="AI7" s="149">
        <v>173.70000000000002</v>
      </c>
      <c r="AJ7" s="149">
        <v>212.3</v>
      </c>
      <c r="AK7" s="149">
        <v>212.3</v>
      </c>
      <c r="AL7" s="149">
        <v>212.3</v>
      </c>
      <c r="AM7" s="149">
        <v>212.3</v>
      </c>
      <c r="AN7" s="149">
        <v>193</v>
      </c>
      <c r="AO7" s="149">
        <v>193</v>
      </c>
      <c r="AP7" s="149">
        <v>193</v>
      </c>
      <c r="AQ7" s="149">
        <v>193</v>
      </c>
      <c r="AR7" s="149">
        <v>193</v>
      </c>
      <c r="AS7" s="149">
        <v>193</v>
      </c>
      <c r="AT7" s="149">
        <v>193</v>
      </c>
      <c r="AU7" s="149">
        <v>193</v>
      </c>
      <c r="AV7" s="149">
        <v>193</v>
      </c>
      <c r="AW7" s="149">
        <v>193</v>
      </c>
      <c r="AX7" s="149">
        <v>193</v>
      </c>
      <c r="AY7" s="149">
        <v>193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136</v>
      </c>
      <c r="X10" s="149">
        <f t="shared" si="0"/>
        <v>212.3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348.3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193</v>
      </c>
      <c r="D13" s="143">
        <f t="shared" ref="D13:AY13" si="1">D$7-D$10</f>
        <v>193</v>
      </c>
      <c r="E13" s="143">
        <f t="shared" si="1"/>
        <v>193</v>
      </c>
      <c r="F13" s="143">
        <f t="shared" si="1"/>
        <v>193</v>
      </c>
      <c r="G13" s="143">
        <f t="shared" si="1"/>
        <v>193</v>
      </c>
      <c r="H13" s="143">
        <f t="shared" si="1"/>
        <v>193</v>
      </c>
      <c r="I13" s="143">
        <f t="shared" si="1"/>
        <v>193</v>
      </c>
      <c r="J13" s="143">
        <f t="shared" si="1"/>
        <v>193</v>
      </c>
      <c r="K13" s="143">
        <f t="shared" si="1"/>
        <v>193</v>
      </c>
      <c r="L13" s="143">
        <f t="shared" si="1"/>
        <v>212.3</v>
      </c>
      <c r="M13" s="143">
        <f t="shared" si="1"/>
        <v>212.3</v>
      </c>
      <c r="N13" s="143">
        <f t="shared" si="1"/>
        <v>212.3</v>
      </c>
      <c r="O13" s="143">
        <f t="shared" si="1"/>
        <v>212.3</v>
      </c>
      <c r="P13" s="143">
        <f t="shared" si="1"/>
        <v>212.3</v>
      </c>
      <c r="Q13" s="143">
        <f t="shared" si="1"/>
        <v>212.3</v>
      </c>
      <c r="R13" s="143">
        <f t="shared" si="1"/>
        <v>212.3</v>
      </c>
      <c r="S13" s="143">
        <f t="shared" si="1"/>
        <v>212.3</v>
      </c>
      <c r="T13" s="143">
        <f t="shared" si="1"/>
        <v>193</v>
      </c>
      <c r="U13" s="143">
        <f t="shared" si="1"/>
        <v>193</v>
      </c>
      <c r="V13" s="143">
        <f t="shared" si="1"/>
        <v>193</v>
      </c>
      <c r="W13" s="143">
        <f t="shared" si="1"/>
        <v>57</v>
      </c>
      <c r="X13" s="143">
        <f t="shared" si="1"/>
        <v>0</v>
      </c>
      <c r="Y13" s="143">
        <f t="shared" si="1"/>
        <v>212.3</v>
      </c>
      <c r="Z13" s="143">
        <f t="shared" si="1"/>
        <v>212.3</v>
      </c>
      <c r="AA13" s="143">
        <f t="shared" si="1"/>
        <v>212.3</v>
      </c>
      <c r="AB13" s="143">
        <f t="shared" si="1"/>
        <v>193</v>
      </c>
      <c r="AC13" s="143">
        <f t="shared" si="1"/>
        <v>193</v>
      </c>
      <c r="AD13" s="143">
        <f t="shared" si="1"/>
        <v>193</v>
      </c>
      <c r="AE13" s="143">
        <f t="shared" si="1"/>
        <v>193</v>
      </c>
      <c r="AF13" s="143">
        <f t="shared" si="1"/>
        <v>173.70000000000002</v>
      </c>
      <c r="AG13" s="143">
        <f t="shared" si="1"/>
        <v>173.70000000000002</v>
      </c>
      <c r="AH13" s="143">
        <f t="shared" si="1"/>
        <v>173.70000000000002</v>
      </c>
      <c r="AI13" s="143">
        <f t="shared" si="1"/>
        <v>173.70000000000002</v>
      </c>
      <c r="AJ13" s="143">
        <f t="shared" si="1"/>
        <v>212.3</v>
      </c>
      <c r="AK13" s="143">
        <f t="shared" si="1"/>
        <v>212.3</v>
      </c>
      <c r="AL13" s="143">
        <f t="shared" si="1"/>
        <v>212.3</v>
      </c>
      <c r="AM13" s="143">
        <f t="shared" si="1"/>
        <v>212.3</v>
      </c>
      <c r="AN13" s="143">
        <f t="shared" si="1"/>
        <v>193</v>
      </c>
      <c r="AO13" s="143">
        <f t="shared" si="1"/>
        <v>193</v>
      </c>
      <c r="AP13" s="143">
        <f t="shared" si="1"/>
        <v>193</v>
      </c>
      <c r="AQ13" s="143">
        <f t="shared" si="1"/>
        <v>193</v>
      </c>
      <c r="AR13" s="143">
        <f t="shared" si="1"/>
        <v>193</v>
      </c>
      <c r="AS13" s="143">
        <f t="shared" si="1"/>
        <v>193</v>
      </c>
      <c r="AT13" s="143">
        <f t="shared" si="1"/>
        <v>193</v>
      </c>
      <c r="AU13" s="143">
        <f t="shared" si="1"/>
        <v>193</v>
      </c>
      <c r="AV13" s="143">
        <f t="shared" si="1"/>
        <v>193</v>
      </c>
      <c r="AW13" s="143">
        <f t="shared" si="1"/>
        <v>193</v>
      </c>
      <c r="AX13" s="143">
        <f t="shared" si="1"/>
        <v>193</v>
      </c>
      <c r="AY13" s="143">
        <f t="shared" si="1"/>
        <v>193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193</v>
      </c>
      <c r="X14" s="111">
        <f t="shared" si="2"/>
        <v>57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193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 t="s">
        <v>339</v>
      </c>
      <c r="W20" s="122" t="s">
        <v>339</v>
      </c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shipping_manufacturing!$C$19/100</f>
        <v>0.75647668393782386</v>
      </c>
      <c r="C21" s="161" t="s">
        <v>293</v>
      </c>
      <c r="D21" s="111">
        <f>IF(C$20="Yes",0,SUM(C$13:C$16)*$B$21)</f>
        <v>146</v>
      </c>
      <c r="E21" s="111">
        <f t="shared" ref="E21:AY21" si="3">IF(D$20="Yes",0,SUM(D$13:D$16)*$B$21)</f>
        <v>146</v>
      </c>
      <c r="F21" s="111">
        <f t="shared" si="3"/>
        <v>146</v>
      </c>
      <c r="G21" s="111">
        <f t="shared" si="3"/>
        <v>146</v>
      </c>
      <c r="H21" s="111">
        <f t="shared" si="3"/>
        <v>146</v>
      </c>
      <c r="I21" s="111">
        <f t="shared" si="3"/>
        <v>146</v>
      </c>
      <c r="J21" s="111">
        <f t="shared" si="3"/>
        <v>146</v>
      </c>
      <c r="K21" s="111">
        <f t="shared" si="3"/>
        <v>146</v>
      </c>
      <c r="L21" s="111">
        <f t="shared" si="3"/>
        <v>146</v>
      </c>
      <c r="M21" s="111">
        <f t="shared" si="3"/>
        <v>160.60000000000002</v>
      </c>
      <c r="N21" s="111">
        <f t="shared" si="3"/>
        <v>160.60000000000002</v>
      </c>
      <c r="O21" s="111">
        <f t="shared" si="3"/>
        <v>160.60000000000002</v>
      </c>
      <c r="P21" s="111">
        <f t="shared" si="3"/>
        <v>160.60000000000002</v>
      </c>
      <c r="Q21" s="111">
        <f t="shared" si="3"/>
        <v>160.60000000000002</v>
      </c>
      <c r="R21" s="111">
        <f t="shared" si="3"/>
        <v>160.60000000000002</v>
      </c>
      <c r="S21" s="111">
        <f t="shared" si="3"/>
        <v>160.60000000000002</v>
      </c>
      <c r="T21" s="111">
        <f t="shared" si="3"/>
        <v>160.60000000000002</v>
      </c>
      <c r="U21" s="111">
        <f t="shared" si="3"/>
        <v>146</v>
      </c>
      <c r="V21" s="111">
        <f t="shared" si="3"/>
        <v>146</v>
      </c>
      <c r="W21" s="111">
        <f t="shared" si="3"/>
        <v>0</v>
      </c>
      <c r="X21" s="111">
        <f t="shared" si="3"/>
        <v>0</v>
      </c>
      <c r="Y21" s="111">
        <f t="shared" si="3"/>
        <v>189.11917098445596</v>
      </c>
      <c r="Z21" s="111">
        <f t="shared" si="3"/>
        <v>160.60000000000002</v>
      </c>
      <c r="AA21" s="111">
        <f t="shared" si="3"/>
        <v>160.60000000000002</v>
      </c>
      <c r="AB21" s="111">
        <f t="shared" si="3"/>
        <v>160.60000000000002</v>
      </c>
      <c r="AC21" s="111">
        <f t="shared" si="3"/>
        <v>146</v>
      </c>
      <c r="AD21" s="111">
        <f t="shared" si="3"/>
        <v>146</v>
      </c>
      <c r="AE21" s="111">
        <f t="shared" si="3"/>
        <v>146</v>
      </c>
      <c r="AF21" s="111">
        <f t="shared" si="3"/>
        <v>146</v>
      </c>
      <c r="AG21" s="111">
        <f t="shared" si="3"/>
        <v>131.4</v>
      </c>
      <c r="AH21" s="111">
        <f t="shared" si="3"/>
        <v>131.4</v>
      </c>
      <c r="AI21" s="111">
        <f t="shared" si="3"/>
        <v>131.4</v>
      </c>
      <c r="AJ21" s="111">
        <f t="shared" si="3"/>
        <v>131.4</v>
      </c>
      <c r="AK21" s="111">
        <f t="shared" si="3"/>
        <v>160.60000000000002</v>
      </c>
      <c r="AL21" s="111">
        <f t="shared" si="3"/>
        <v>160.60000000000002</v>
      </c>
      <c r="AM21" s="111">
        <f t="shared" si="3"/>
        <v>160.60000000000002</v>
      </c>
      <c r="AN21" s="111">
        <f t="shared" si="3"/>
        <v>160.60000000000002</v>
      </c>
      <c r="AO21" s="111">
        <f t="shared" si="3"/>
        <v>146</v>
      </c>
      <c r="AP21" s="111">
        <f t="shared" si="3"/>
        <v>146</v>
      </c>
      <c r="AQ21" s="111">
        <f t="shared" si="3"/>
        <v>146</v>
      </c>
      <c r="AR21" s="111">
        <f t="shared" si="3"/>
        <v>146</v>
      </c>
      <c r="AS21" s="111">
        <f t="shared" si="3"/>
        <v>146</v>
      </c>
      <c r="AT21" s="111">
        <f t="shared" si="3"/>
        <v>146</v>
      </c>
      <c r="AU21" s="111">
        <f t="shared" si="3"/>
        <v>146</v>
      </c>
      <c r="AV21" s="111">
        <f t="shared" si="3"/>
        <v>146</v>
      </c>
      <c r="AW21" s="111">
        <f t="shared" si="3"/>
        <v>146</v>
      </c>
      <c r="AX21" s="111">
        <f t="shared" si="3"/>
        <v>146</v>
      </c>
      <c r="AY21" s="111">
        <f t="shared" si="3"/>
        <v>146</v>
      </c>
      <c r="AZ21" s="162">
        <f>SUM($D21:$AY21)</f>
        <v>6919.7191709844556</v>
      </c>
    </row>
    <row r="22" spans="1:52" s="115" customFormat="1" x14ac:dyDescent="0.2">
      <c r="A22" s="163" t="s">
        <v>123</v>
      </c>
      <c r="B22" s="164">
        <f>1-$B$21</f>
        <v>0.24352331606217614</v>
      </c>
      <c r="C22" s="164" t="s">
        <v>293</v>
      </c>
      <c r="D22" s="119">
        <f>IF(C$20="Yes",0,SUM(C$13:C$16)*$B$22)</f>
        <v>46.999999999999993</v>
      </c>
      <c r="E22" s="119">
        <f t="shared" ref="E22:AY22" si="4">IF(D$20="Yes",0,SUM(D$13:D$16)*$B$22)</f>
        <v>46.999999999999993</v>
      </c>
      <c r="F22" s="119">
        <f t="shared" si="4"/>
        <v>46.999999999999993</v>
      </c>
      <c r="G22" s="119">
        <f t="shared" si="4"/>
        <v>46.999999999999993</v>
      </c>
      <c r="H22" s="119">
        <f t="shared" si="4"/>
        <v>46.999999999999993</v>
      </c>
      <c r="I22" s="119">
        <f t="shared" si="4"/>
        <v>46.999999999999993</v>
      </c>
      <c r="J22" s="119">
        <f t="shared" si="4"/>
        <v>46.999999999999993</v>
      </c>
      <c r="K22" s="119">
        <f t="shared" si="4"/>
        <v>46.999999999999993</v>
      </c>
      <c r="L22" s="119">
        <f t="shared" si="4"/>
        <v>46.999999999999993</v>
      </c>
      <c r="M22" s="119">
        <f t="shared" si="4"/>
        <v>51.699999999999996</v>
      </c>
      <c r="N22" s="119">
        <f t="shared" si="4"/>
        <v>51.699999999999996</v>
      </c>
      <c r="O22" s="119">
        <f t="shared" si="4"/>
        <v>51.699999999999996</v>
      </c>
      <c r="P22" s="119">
        <f t="shared" si="4"/>
        <v>51.699999999999996</v>
      </c>
      <c r="Q22" s="119">
        <f t="shared" si="4"/>
        <v>51.699999999999996</v>
      </c>
      <c r="R22" s="119">
        <f t="shared" si="4"/>
        <v>51.699999999999996</v>
      </c>
      <c r="S22" s="119">
        <f t="shared" si="4"/>
        <v>51.699999999999996</v>
      </c>
      <c r="T22" s="119">
        <f t="shared" si="4"/>
        <v>51.699999999999996</v>
      </c>
      <c r="U22" s="119">
        <f t="shared" si="4"/>
        <v>46.999999999999993</v>
      </c>
      <c r="V22" s="119">
        <f t="shared" si="4"/>
        <v>46.999999999999993</v>
      </c>
      <c r="W22" s="119">
        <f t="shared" si="4"/>
        <v>0</v>
      </c>
      <c r="X22" s="119">
        <f t="shared" si="4"/>
        <v>0</v>
      </c>
      <c r="Y22" s="119">
        <f t="shared" si="4"/>
        <v>60.880829015544037</v>
      </c>
      <c r="Z22" s="119">
        <f t="shared" si="4"/>
        <v>51.699999999999996</v>
      </c>
      <c r="AA22" s="119">
        <f t="shared" si="4"/>
        <v>51.699999999999996</v>
      </c>
      <c r="AB22" s="119">
        <f t="shared" si="4"/>
        <v>51.699999999999996</v>
      </c>
      <c r="AC22" s="119">
        <f t="shared" si="4"/>
        <v>46.999999999999993</v>
      </c>
      <c r="AD22" s="119">
        <f t="shared" si="4"/>
        <v>46.999999999999993</v>
      </c>
      <c r="AE22" s="119">
        <f t="shared" si="4"/>
        <v>46.999999999999993</v>
      </c>
      <c r="AF22" s="119">
        <f t="shared" si="4"/>
        <v>46.999999999999993</v>
      </c>
      <c r="AG22" s="119">
        <f t="shared" si="4"/>
        <v>42.3</v>
      </c>
      <c r="AH22" s="119">
        <f t="shared" si="4"/>
        <v>42.3</v>
      </c>
      <c r="AI22" s="119">
        <f t="shared" si="4"/>
        <v>42.3</v>
      </c>
      <c r="AJ22" s="119">
        <f t="shared" si="4"/>
        <v>42.3</v>
      </c>
      <c r="AK22" s="119">
        <f t="shared" si="4"/>
        <v>51.699999999999996</v>
      </c>
      <c r="AL22" s="119">
        <f t="shared" si="4"/>
        <v>51.699999999999996</v>
      </c>
      <c r="AM22" s="119">
        <f t="shared" si="4"/>
        <v>51.699999999999996</v>
      </c>
      <c r="AN22" s="119">
        <f t="shared" si="4"/>
        <v>51.699999999999996</v>
      </c>
      <c r="AO22" s="119">
        <f t="shared" si="4"/>
        <v>46.999999999999993</v>
      </c>
      <c r="AP22" s="119">
        <f t="shared" si="4"/>
        <v>46.999999999999993</v>
      </c>
      <c r="AQ22" s="119">
        <f t="shared" si="4"/>
        <v>46.999999999999993</v>
      </c>
      <c r="AR22" s="119">
        <f t="shared" si="4"/>
        <v>46.999999999999993</v>
      </c>
      <c r="AS22" s="119">
        <f t="shared" si="4"/>
        <v>46.999999999999993</v>
      </c>
      <c r="AT22" s="119">
        <f t="shared" si="4"/>
        <v>46.999999999999993</v>
      </c>
      <c r="AU22" s="119">
        <f t="shared" si="4"/>
        <v>46.999999999999993</v>
      </c>
      <c r="AV22" s="119">
        <f t="shared" si="4"/>
        <v>46.999999999999993</v>
      </c>
      <c r="AW22" s="119">
        <f t="shared" si="4"/>
        <v>46.999999999999993</v>
      </c>
      <c r="AX22" s="119">
        <f t="shared" si="4"/>
        <v>46.999999999999993</v>
      </c>
      <c r="AY22" s="119">
        <f t="shared" si="4"/>
        <v>46.999999999999993</v>
      </c>
      <c r="AZ22" s="146">
        <f t="shared" ref="AZ22:AZ30" si="5">SUM($D22:$AY22)</f>
        <v>2227.5808290155442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292000</v>
      </c>
      <c r="E23" s="105">
        <f t="shared" ref="E23:AY23" si="6">E$21*$B$23</f>
        <v>292000</v>
      </c>
      <c r="F23" s="105">
        <f t="shared" si="6"/>
        <v>292000</v>
      </c>
      <c r="G23" s="105">
        <f t="shared" si="6"/>
        <v>292000</v>
      </c>
      <c r="H23" s="105">
        <f t="shared" si="6"/>
        <v>292000</v>
      </c>
      <c r="I23" s="105">
        <f t="shared" si="6"/>
        <v>292000</v>
      </c>
      <c r="J23" s="105">
        <f t="shared" si="6"/>
        <v>292000</v>
      </c>
      <c r="K23" s="105">
        <f t="shared" si="6"/>
        <v>292000</v>
      </c>
      <c r="L23" s="105">
        <f t="shared" si="6"/>
        <v>292000</v>
      </c>
      <c r="M23" s="105">
        <f t="shared" si="6"/>
        <v>321200.00000000006</v>
      </c>
      <c r="N23" s="105">
        <f t="shared" si="6"/>
        <v>321200.00000000006</v>
      </c>
      <c r="O23" s="105">
        <f t="shared" si="6"/>
        <v>321200.00000000006</v>
      </c>
      <c r="P23" s="105">
        <f t="shared" si="6"/>
        <v>321200.00000000006</v>
      </c>
      <c r="Q23" s="105">
        <f t="shared" si="6"/>
        <v>321200.00000000006</v>
      </c>
      <c r="R23" s="105">
        <f t="shared" si="6"/>
        <v>321200.00000000006</v>
      </c>
      <c r="S23" s="105">
        <f t="shared" si="6"/>
        <v>321200.00000000006</v>
      </c>
      <c r="T23" s="105">
        <f t="shared" si="6"/>
        <v>321200.00000000006</v>
      </c>
      <c r="U23" s="105">
        <f t="shared" si="6"/>
        <v>292000</v>
      </c>
      <c r="V23" s="105">
        <f t="shared" si="6"/>
        <v>292000</v>
      </c>
      <c r="W23" s="105">
        <f t="shared" si="6"/>
        <v>0</v>
      </c>
      <c r="X23" s="105">
        <f t="shared" si="6"/>
        <v>0</v>
      </c>
      <c r="Y23" s="105">
        <f t="shared" si="6"/>
        <v>378238.34196891193</v>
      </c>
      <c r="Z23" s="105">
        <f t="shared" si="6"/>
        <v>321200.00000000006</v>
      </c>
      <c r="AA23" s="105">
        <f t="shared" si="6"/>
        <v>321200.00000000006</v>
      </c>
      <c r="AB23" s="105">
        <f t="shared" si="6"/>
        <v>321200.00000000006</v>
      </c>
      <c r="AC23" s="105">
        <f t="shared" si="6"/>
        <v>292000</v>
      </c>
      <c r="AD23" s="105">
        <f t="shared" si="6"/>
        <v>292000</v>
      </c>
      <c r="AE23" s="105">
        <f t="shared" si="6"/>
        <v>292000</v>
      </c>
      <c r="AF23" s="105">
        <f t="shared" si="6"/>
        <v>292000</v>
      </c>
      <c r="AG23" s="105">
        <f t="shared" si="6"/>
        <v>262800</v>
      </c>
      <c r="AH23" s="105">
        <f t="shared" si="6"/>
        <v>262800</v>
      </c>
      <c r="AI23" s="105">
        <f t="shared" si="6"/>
        <v>262800</v>
      </c>
      <c r="AJ23" s="105">
        <f t="shared" si="6"/>
        <v>262800</v>
      </c>
      <c r="AK23" s="105">
        <f t="shared" si="6"/>
        <v>321200.00000000006</v>
      </c>
      <c r="AL23" s="105">
        <f t="shared" si="6"/>
        <v>321200.00000000006</v>
      </c>
      <c r="AM23" s="105">
        <f t="shared" si="6"/>
        <v>321200.00000000006</v>
      </c>
      <c r="AN23" s="105">
        <f t="shared" si="6"/>
        <v>321200.00000000006</v>
      </c>
      <c r="AO23" s="105">
        <f t="shared" si="6"/>
        <v>292000</v>
      </c>
      <c r="AP23" s="105">
        <f t="shared" si="6"/>
        <v>292000</v>
      </c>
      <c r="AQ23" s="105">
        <f t="shared" si="6"/>
        <v>292000</v>
      </c>
      <c r="AR23" s="105">
        <f t="shared" si="6"/>
        <v>292000</v>
      </c>
      <c r="AS23" s="105">
        <f t="shared" si="6"/>
        <v>292000</v>
      </c>
      <c r="AT23" s="105">
        <f t="shared" si="6"/>
        <v>292000</v>
      </c>
      <c r="AU23" s="105">
        <f t="shared" si="6"/>
        <v>292000</v>
      </c>
      <c r="AV23" s="105">
        <f t="shared" si="6"/>
        <v>292000</v>
      </c>
      <c r="AW23" s="105">
        <f t="shared" si="6"/>
        <v>292000</v>
      </c>
      <c r="AX23" s="105">
        <f t="shared" si="6"/>
        <v>292000</v>
      </c>
      <c r="AY23" s="105">
        <f t="shared" si="6"/>
        <v>292000</v>
      </c>
      <c r="AZ23" s="144">
        <f t="shared" si="5"/>
        <v>13839438.341968913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46999.999999999993</v>
      </c>
      <c r="E24" s="111">
        <f t="shared" ref="E24:AY24" si="7">E$22*$B$24</f>
        <v>46999.999999999993</v>
      </c>
      <c r="F24" s="111">
        <f t="shared" si="7"/>
        <v>46999.999999999993</v>
      </c>
      <c r="G24" s="111">
        <f t="shared" si="7"/>
        <v>46999.999999999993</v>
      </c>
      <c r="H24" s="111">
        <f t="shared" si="7"/>
        <v>46999.999999999993</v>
      </c>
      <c r="I24" s="111">
        <f t="shared" si="7"/>
        <v>46999.999999999993</v>
      </c>
      <c r="J24" s="111">
        <f t="shared" si="7"/>
        <v>46999.999999999993</v>
      </c>
      <c r="K24" s="111">
        <f t="shared" si="7"/>
        <v>46999.999999999993</v>
      </c>
      <c r="L24" s="111">
        <f t="shared" si="7"/>
        <v>46999.999999999993</v>
      </c>
      <c r="M24" s="111">
        <f t="shared" si="7"/>
        <v>51699.999999999993</v>
      </c>
      <c r="N24" s="111">
        <f t="shared" si="7"/>
        <v>51699.999999999993</v>
      </c>
      <c r="O24" s="111">
        <f t="shared" si="7"/>
        <v>51699.999999999993</v>
      </c>
      <c r="P24" s="111">
        <f t="shared" si="7"/>
        <v>51699.999999999993</v>
      </c>
      <c r="Q24" s="111">
        <f t="shared" si="7"/>
        <v>51699.999999999993</v>
      </c>
      <c r="R24" s="111">
        <f t="shared" si="7"/>
        <v>51699.999999999993</v>
      </c>
      <c r="S24" s="111">
        <f t="shared" si="7"/>
        <v>51699.999999999993</v>
      </c>
      <c r="T24" s="111">
        <f t="shared" si="7"/>
        <v>51699.999999999993</v>
      </c>
      <c r="U24" s="111">
        <f t="shared" si="7"/>
        <v>46999.999999999993</v>
      </c>
      <c r="V24" s="111">
        <f t="shared" si="7"/>
        <v>46999.999999999993</v>
      </c>
      <c r="W24" s="111">
        <f t="shared" si="7"/>
        <v>0</v>
      </c>
      <c r="X24" s="111">
        <f t="shared" si="7"/>
        <v>0</v>
      </c>
      <c r="Y24" s="111">
        <f t="shared" si="7"/>
        <v>60880.829015544041</v>
      </c>
      <c r="Z24" s="111">
        <f t="shared" si="7"/>
        <v>51699.999999999993</v>
      </c>
      <c r="AA24" s="111">
        <f t="shared" si="7"/>
        <v>51699.999999999993</v>
      </c>
      <c r="AB24" s="111">
        <f t="shared" si="7"/>
        <v>51699.999999999993</v>
      </c>
      <c r="AC24" s="111">
        <f t="shared" si="7"/>
        <v>46999.999999999993</v>
      </c>
      <c r="AD24" s="111">
        <f t="shared" si="7"/>
        <v>46999.999999999993</v>
      </c>
      <c r="AE24" s="111">
        <f t="shared" si="7"/>
        <v>46999.999999999993</v>
      </c>
      <c r="AF24" s="111">
        <f t="shared" si="7"/>
        <v>46999.999999999993</v>
      </c>
      <c r="AG24" s="111">
        <f t="shared" si="7"/>
        <v>42300</v>
      </c>
      <c r="AH24" s="111">
        <f t="shared" si="7"/>
        <v>42300</v>
      </c>
      <c r="AI24" s="111">
        <f t="shared" si="7"/>
        <v>42300</v>
      </c>
      <c r="AJ24" s="111">
        <f t="shared" si="7"/>
        <v>42300</v>
      </c>
      <c r="AK24" s="111">
        <f t="shared" si="7"/>
        <v>51699.999999999993</v>
      </c>
      <c r="AL24" s="111">
        <f t="shared" si="7"/>
        <v>51699.999999999993</v>
      </c>
      <c r="AM24" s="111">
        <f t="shared" si="7"/>
        <v>51699.999999999993</v>
      </c>
      <c r="AN24" s="111">
        <f t="shared" si="7"/>
        <v>51699.999999999993</v>
      </c>
      <c r="AO24" s="111">
        <f t="shared" si="7"/>
        <v>46999.999999999993</v>
      </c>
      <c r="AP24" s="111">
        <f t="shared" si="7"/>
        <v>46999.999999999993</v>
      </c>
      <c r="AQ24" s="111">
        <f t="shared" si="7"/>
        <v>46999.999999999993</v>
      </c>
      <c r="AR24" s="111">
        <f t="shared" si="7"/>
        <v>46999.999999999993</v>
      </c>
      <c r="AS24" s="111">
        <f t="shared" si="7"/>
        <v>46999.999999999993</v>
      </c>
      <c r="AT24" s="111">
        <f t="shared" si="7"/>
        <v>46999.999999999993</v>
      </c>
      <c r="AU24" s="111">
        <f t="shared" si="7"/>
        <v>46999.999999999993</v>
      </c>
      <c r="AV24" s="111">
        <f t="shared" si="7"/>
        <v>46999.999999999993</v>
      </c>
      <c r="AW24" s="111">
        <f t="shared" si="7"/>
        <v>46999.999999999993</v>
      </c>
      <c r="AX24" s="111">
        <f t="shared" si="7"/>
        <v>46999.999999999993</v>
      </c>
      <c r="AY24" s="111">
        <f t="shared" si="7"/>
        <v>46999.999999999993</v>
      </c>
      <c r="AZ24" s="146">
        <f t="shared" si="5"/>
        <v>2227580.8290155437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10</v>
      </c>
      <c r="D27" s="129">
        <f>C$27-C$28+C$29</f>
        <v>10</v>
      </c>
      <c r="E27" s="129">
        <f t="shared" ref="E27:AY27" si="8">D27-D28+D29</f>
        <v>10</v>
      </c>
      <c r="F27" s="129">
        <f t="shared" si="8"/>
        <v>10</v>
      </c>
      <c r="G27" s="129">
        <f t="shared" si="8"/>
        <v>10</v>
      </c>
      <c r="H27" s="129">
        <f t="shared" si="8"/>
        <v>10</v>
      </c>
      <c r="I27" s="129">
        <f t="shared" si="8"/>
        <v>10</v>
      </c>
      <c r="J27" s="129">
        <f t="shared" si="8"/>
        <v>10</v>
      </c>
      <c r="K27" s="129">
        <f t="shared" si="8"/>
        <v>10</v>
      </c>
      <c r="L27" s="129">
        <f t="shared" si="8"/>
        <v>10</v>
      </c>
      <c r="M27" s="129">
        <f t="shared" si="8"/>
        <v>10</v>
      </c>
      <c r="N27" s="129">
        <f t="shared" si="8"/>
        <v>9</v>
      </c>
      <c r="O27" s="129">
        <f t="shared" si="8"/>
        <v>9</v>
      </c>
      <c r="P27" s="129">
        <f t="shared" si="8"/>
        <v>9</v>
      </c>
      <c r="Q27" s="129">
        <f t="shared" si="8"/>
        <v>9</v>
      </c>
      <c r="R27" s="129">
        <f t="shared" si="8"/>
        <v>9</v>
      </c>
      <c r="S27" s="129">
        <f t="shared" si="8"/>
        <v>9</v>
      </c>
      <c r="T27" s="129">
        <f t="shared" si="8"/>
        <v>9</v>
      </c>
      <c r="U27" s="129">
        <f t="shared" si="8"/>
        <v>9</v>
      </c>
      <c r="V27" s="129">
        <f t="shared" si="8"/>
        <v>10</v>
      </c>
      <c r="W27" s="129">
        <f t="shared" si="8"/>
        <v>10</v>
      </c>
      <c r="X27" s="129">
        <f t="shared" si="8"/>
        <v>17</v>
      </c>
      <c r="Y27" s="129">
        <f t="shared" si="8"/>
        <v>17</v>
      </c>
      <c r="Z27" s="129">
        <f t="shared" si="8"/>
        <v>8</v>
      </c>
      <c r="AA27" s="129">
        <f t="shared" si="8"/>
        <v>9</v>
      </c>
      <c r="AB27" s="129">
        <f t="shared" si="8"/>
        <v>9</v>
      </c>
      <c r="AC27" s="129">
        <f t="shared" si="8"/>
        <v>9</v>
      </c>
      <c r="AD27" s="129">
        <f t="shared" si="8"/>
        <v>10</v>
      </c>
      <c r="AE27" s="129">
        <f t="shared" si="8"/>
        <v>10</v>
      </c>
      <c r="AF27" s="129">
        <f t="shared" si="8"/>
        <v>10</v>
      </c>
      <c r="AG27" s="129">
        <f t="shared" si="8"/>
        <v>10</v>
      </c>
      <c r="AH27" s="129">
        <f t="shared" si="8"/>
        <v>11</v>
      </c>
      <c r="AI27" s="129">
        <f t="shared" si="8"/>
        <v>11</v>
      </c>
      <c r="AJ27" s="129">
        <f t="shared" si="8"/>
        <v>11</v>
      </c>
      <c r="AK27" s="129">
        <f t="shared" si="8"/>
        <v>11</v>
      </c>
      <c r="AL27" s="129">
        <f t="shared" si="8"/>
        <v>9</v>
      </c>
      <c r="AM27" s="129">
        <f t="shared" si="8"/>
        <v>9</v>
      </c>
      <c r="AN27" s="129">
        <f t="shared" si="8"/>
        <v>9</v>
      </c>
      <c r="AO27" s="129">
        <f t="shared" si="8"/>
        <v>9</v>
      </c>
      <c r="AP27" s="129">
        <f t="shared" si="8"/>
        <v>10</v>
      </c>
      <c r="AQ27" s="129">
        <f t="shared" si="8"/>
        <v>10</v>
      </c>
      <c r="AR27" s="129">
        <f t="shared" si="8"/>
        <v>10</v>
      </c>
      <c r="AS27" s="129">
        <f t="shared" si="8"/>
        <v>10</v>
      </c>
      <c r="AT27" s="129">
        <f t="shared" si="8"/>
        <v>10</v>
      </c>
      <c r="AU27" s="129">
        <f t="shared" si="8"/>
        <v>10</v>
      </c>
      <c r="AV27" s="129">
        <f t="shared" si="8"/>
        <v>10</v>
      </c>
      <c r="AW27" s="129">
        <f t="shared" si="8"/>
        <v>10</v>
      </c>
      <c r="AX27" s="129">
        <f t="shared" si="8"/>
        <v>10</v>
      </c>
      <c r="AY27" s="169">
        <f t="shared" si="8"/>
        <v>10</v>
      </c>
      <c r="AZ27" s="111"/>
    </row>
    <row r="28" spans="1:52" x14ac:dyDescent="0.2">
      <c r="B28" s="170" t="s">
        <v>310</v>
      </c>
      <c r="C28" s="115">
        <v>7</v>
      </c>
      <c r="D28" s="115">
        <v>7</v>
      </c>
      <c r="E28" s="115">
        <v>7</v>
      </c>
      <c r="F28" s="115">
        <v>7</v>
      </c>
      <c r="G28" s="115">
        <v>7</v>
      </c>
      <c r="H28" s="115">
        <v>7</v>
      </c>
      <c r="I28" s="115">
        <v>7</v>
      </c>
      <c r="J28" s="115">
        <v>7</v>
      </c>
      <c r="K28" s="115">
        <v>7</v>
      </c>
      <c r="L28" s="115">
        <v>7</v>
      </c>
      <c r="M28" s="115">
        <v>8</v>
      </c>
      <c r="N28" s="115">
        <v>8</v>
      </c>
      <c r="O28" s="115">
        <v>8</v>
      </c>
      <c r="P28" s="115">
        <v>8</v>
      </c>
      <c r="Q28" s="115">
        <v>8</v>
      </c>
      <c r="R28" s="115">
        <v>8</v>
      </c>
      <c r="S28" s="115">
        <v>8</v>
      </c>
      <c r="T28" s="115">
        <v>8</v>
      </c>
      <c r="U28" s="115">
        <v>7</v>
      </c>
      <c r="V28" s="115">
        <v>7</v>
      </c>
      <c r="W28" s="115">
        <v>0</v>
      </c>
      <c r="X28" s="115">
        <v>0</v>
      </c>
      <c r="Y28" s="115">
        <v>9</v>
      </c>
      <c r="Z28" s="115">
        <v>8</v>
      </c>
      <c r="AA28" s="115">
        <v>8</v>
      </c>
      <c r="AB28" s="115">
        <v>8</v>
      </c>
      <c r="AC28" s="115">
        <v>7</v>
      </c>
      <c r="AD28" s="115">
        <v>7</v>
      </c>
      <c r="AE28" s="115">
        <v>7</v>
      </c>
      <c r="AF28" s="115">
        <v>7</v>
      </c>
      <c r="AG28" s="115">
        <v>6</v>
      </c>
      <c r="AH28" s="115">
        <v>6</v>
      </c>
      <c r="AI28" s="115">
        <v>6</v>
      </c>
      <c r="AJ28" s="115">
        <v>6</v>
      </c>
      <c r="AK28" s="115">
        <v>8</v>
      </c>
      <c r="AL28" s="115">
        <v>8</v>
      </c>
      <c r="AM28" s="115">
        <v>8</v>
      </c>
      <c r="AN28" s="115">
        <v>8</v>
      </c>
      <c r="AO28" s="115">
        <v>7</v>
      </c>
      <c r="AP28" s="115">
        <v>7</v>
      </c>
      <c r="AQ28" s="115">
        <v>7</v>
      </c>
      <c r="AR28" s="115">
        <v>7</v>
      </c>
      <c r="AS28" s="115">
        <v>7</v>
      </c>
      <c r="AT28" s="115">
        <v>7</v>
      </c>
      <c r="AU28" s="115">
        <v>7</v>
      </c>
      <c r="AV28" s="115">
        <v>7</v>
      </c>
      <c r="AW28" s="115">
        <v>7</v>
      </c>
      <c r="AX28" s="115">
        <v>7</v>
      </c>
      <c r="AY28" s="171">
        <v>7</v>
      </c>
      <c r="AZ28" s="111"/>
    </row>
    <row r="29" spans="1:52" x14ac:dyDescent="0.2">
      <c r="B29" s="141" t="s">
        <v>311</v>
      </c>
      <c r="C29" s="130">
        <v>7</v>
      </c>
      <c r="D29" s="130">
        <f>C$28</f>
        <v>7</v>
      </c>
      <c r="E29" s="130">
        <f t="shared" ref="E29:AY29" si="9">D$28</f>
        <v>7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7</v>
      </c>
      <c r="K29" s="130">
        <f t="shared" si="9"/>
        <v>7</v>
      </c>
      <c r="L29" s="130">
        <f t="shared" si="9"/>
        <v>7</v>
      </c>
      <c r="M29" s="130">
        <f t="shared" si="9"/>
        <v>7</v>
      </c>
      <c r="N29" s="130">
        <f t="shared" si="9"/>
        <v>8</v>
      </c>
      <c r="O29" s="130">
        <f t="shared" si="9"/>
        <v>8</v>
      </c>
      <c r="P29" s="130">
        <f t="shared" si="9"/>
        <v>8</v>
      </c>
      <c r="Q29" s="130">
        <f t="shared" si="9"/>
        <v>8</v>
      </c>
      <c r="R29" s="130">
        <f t="shared" si="9"/>
        <v>8</v>
      </c>
      <c r="S29" s="130">
        <f t="shared" si="9"/>
        <v>8</v>
      </c>
      <c r="T29" s="130">
        <f t="shared" si="9"/>
        <v>8</v>
      </c>
      <c r="U29" s="130">
        <f t="shared" si="9"/>
        <v>8</v>
      </c>
      <c r="V29" s="130">
        <f t="shared" si="9"/>
        <v>7</v>
      </c>
      <c r="W29" s="130">
        <f t="shared" si="9"/>
        <v>7</v>
      </c>
      <c r="X29" s="130">
        <f t="shared" si="9"/>
        <v>0</v>
      </c>
      <c r="Y29" s="130">
        <f t="shared" si="9"/>
        <v>0</v>
      </c>
      <c r="Z29" s="130">
        <f t="shared" si="9"/>
        <v>9</v>
      </c>
      <c r="AA29" s="130">
        <f t="shared" si="9"/>
        <v>8</v>
      </c>
      <c r="AB29" s="130">
        <f t="shared" si="9"/>
        <v>8</v>
      </c>
      <c r="AC29" s="130">
        <f t="shared" si="9"/>
        <v>8</v>
      </c>
      <c r="AD29" s="130">
        <f t="shared" si="9"/>
        <v>7</v>
      </c>
      <c r="AE29" s="130">
        <f t="shared" si="9"/>
        <v>7</v>
      </c>
      <c r="AF29" s="130">
        <f t="shared" si="9"/>
        <v>7</v>
      </c>
      <c r="AG29" s="130">
        <f t="shared" si="9"/>
        <v>7</v>
      </c>
      <c r="AH29" s="130">
        <f t="shared" si="9"/>
        <v>6</v>
      </c>
      <c r="AI29" s="130">
        <f t="shared" si="9"/>
        <v>6</v>
      </c>
      <c r="AJ29" s="130">
        <f t="shared" si="9"/>
        <v>6</v>
      </c>
      <c r="AK29" s="130">
        <f t="shared" si="9"/>
        <v>6</v>
      </c>
      <c r="AL29" s="130">
        <f t="shared" si="9"/>
        <v>8</v>
      </c>
      <c r="AM29" s="130">
        <f t="shared" si="9"/>
        <v>8</v>
      </c>
      <c r="AN29" s="130">
        <f t="shared" si="9"/>
        <v>8</v>
      </c>
      <c r="AO29" s="130">
        <f t="shared" si="9"/>
        <v>8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7</v>
      </c>
      <c r="AU29" s="130">
        <f t="shared" si="9"/>
        <v>7</v>
      </c>
      <c r="AV29" s="130">
        <f t="shared" si="9"/>
        <v>7</v>
      </c>
      <c r="AW29" s="130">
        <f t="shared" si="9"/>
        <v>7</v>
      </c>
      <c r="AX29" s="130">
        <f t="shared" si="9"/>
        <v>7</v>
      </c>
      <c r="AY29" s="172">
        <f t="shared" si="9"/>
        <v>7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100</v>
      </c>
      <c r="E30" s="122">
        <f t="shared" ref="E30:AY30" si="10">E$27*$B$30</f>
        <v>100</v>
      </c>
      <c r="F30" s="122">
        <f t="shared" si="10"/>
        <v>100</v>
      </c>
      <c r="G30" s="122">
        <f t="shared" si="10"/>
        <v>100</v>
      </c>
      <c r="H30" s="122">
        <f t="shared" si="10"/>
        <v>100</v>
      </c>
      <c r="I30" s="122">
        <f t="shared" si="10"/>
        <v>100</v>
      </c>
      <c r="J30" s="122">
        <f t="shared" si="10"/>
        <v>100</v>
      </c>
      <c r="K30" s="122">
        <f t="shared" si="10"/>
        <v>100</v>
      </c>
      <c r="L30" s="122">
        <f t="shared" si="10"/>
        <v>100</v>
      </c>
      <c r="M30" s="122">
        <f t="shared" si="10"/>
        <v>100</v>
      </c>
      <c r="N30" s="122">
        <f t="shared" si="10"/>
        <v>90</v>
      </c>
      <c r="O30" s="122">
        <f t="shared" si="10"/>
        <v>90</v>
      </c>
      <c r="P30" s="122">
        <f t="shared" si="10"/>
        <v>90</v>
      </c>
      <c r="Q30" s="122">
        <f t="shared" si="10"/>
        <v>90</v>
      </c>
      <c r="R30" s="122">
        <f>R$27*$B$30</f>
        <v>90</v>
      </c>
      <c r="S30" s="122">
        <f t="shared" si="10"/>
        <v>90</v>
      </c>
      <c r="T30" s="122">
        <f t="shared" si="10"/>
        <v>90</v>
      </c>
      <c r="U30" s="122">
        <f t="shared" si="10"/>
        <v>90</v>
      </c>
      <c r="V30" s="122">
        <f t="shared" si="10"/>
        <v>100</v>
      </c>
      <c r="W30" s="122">
        <f t="shared" si="10"/>
        <v>100</v>
      </c>
      <c r="X30" s="122">
        <f t="shared" si="10"/>
        <v>170</v>
      </c>
      <c r="Y30" s="122">
        <f t="shared" si="10"/>
        <v>170</v>
      </c>
      <c r="Z30" s="122">
        <f t="shared" si="10"/>
        <v>80</v>
      </c>
      <c r="AA30" s="122">
        <f t="shared" si="10"/>
        <v>90</v>
      </c>
      <c r="AB30" s="122">
        <f t="shared" si="10"/>
        <v>90</v>
      </c>
      <c r="AC30" s="122">
        <f t="shared" si="10"/>
        <v>90</v>
      </c>
      <c r="AD30" s="122">
        <f t="shared" si="10"/>
        <v>100</v>
      </c>
      <c r="AE30" s="122">
        <f>AE$27*$B$30</f>
        <v>100</v>
      </c>
      <c r="AF30" s="122">
        <f t="shared" si="10"/>
        <v>100</v>
      </c>
      <c r="AG30" s="122">
        <f t="shared" si="10"/>
        <v>100</v>
      </c>
      <c r="AH30" s="122">
        <f t="shared" si="10"/>
        <v>110</v>
      </c>
      <c r="AI30" s="122">
        <f t="shared" si="10"/>
        <v>110</v>
      </c>
      <c r="AJ30" s="122">
        <f t="shared" si="10"/>
        <v>110</v>
      </c>
      <c r="AK30" s="122">
        <f t="shared" si="10"/>
        <v>110</v>
      </c>
      <c r="AL30" s="122">
        <f t="shared" si="10"/>
        <v>90</v>
      </c>
      <c r="AM30" s="122">
        <f t="shared" si="10"/>
        <v>90</v>
      </c>
      <c r="AN30" s="122">
        <f t="shared" si="10"/>
        <v>90</v>
      </c>
      <c r="AO30" s="122">
        <f t="shared" si="10"/>
        <v>90</v>
      </c>
      <c r="AP30" s="122">
        <f t="shared" si="10"/>
        <v>100</v>
      </c>
      <c r="AQ30" s="122">
        <f t="shared" si="10"/>
        <v>100</v>
      </c>
      <c r="AR30" s="122">
        <f t="shared" si="10"/>
        <v>100</v>
      </c>
      <c r="AS30" s="122">
        <f t="shared" si="10"/>
        <v>100</v>
      </c>
      <c r="AT30" s="122">
        <f t="shared" si="10"/>
        <v>100</v>
      </c>
      <c r="AU30" s="122">
        <f t="shared" si="10"/>
        <v>100</v>
      </c>
      <c r="AV30" s="122">
        <f t="shared" si="10"/>
        <v>100</v>
      </c>
      <c r="AW30" s="122">
        <f t="shared" si="10"/>
        <v>100</v>
      </c>
      <c r="AX30" s="122">
        <f t="shared" si="10"/>
        <v>100</v>
      </c>
      <c r="AY30" s="122">
        <f t="shared" si="10"/>
        <v>100</v>
      </c>
      <c r="AZ30" s="146">
        <f t="shared" si="5"/>
        <v>4810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341</v>
      </c>
      <c r="C33" s="129"/>
      <c r="D33" s="129">
        <f>D$21*shipping_manufacturing!$D$27/100</f>
        <v>146</v>
      </c>
      <c r="E33" s="129">
        <f>E$21*shipping_manufacturing!$D$27/100</f>
        <v>146</v>
      </c>
      <c r="F33" s="129">
        <f>F$21*shipping_manufacturing!$D$27/100</f>
        <v>146</v>
      </c>
      <c r="G33" s="129">
        <f>G$21*shipping_manufacturing!$D$27/100</f>
        <v>146</v>
      </c>
      <c r="H33" s="129">
        <f>H$21*shipping_manufacturing!$D$27/100</f>
        <v>146</v>
      </c>
      <c r="I33" s="129">
        <f>I$21*shipping_manufacturing!$D$27/100</f>
        <v>146</v>
      </c>
      <c r="J33" s="129">
        <f>J$21*shipping_manufacturing!$D$27/100</f>
        <v>146</v>
      </c>
      <c r="K33" s="129">
        <f>K$21*shipping_manufacturing!$D$27/100</f>
        <v>146</v>
      </c>
      <c r="L33" s="129">
        <f>L$21*shipping_manufacturing!$D$27/100</f>
        <v>146</v>
      </c>
      <c r="M33" s="129">
        <f>M$21*shipping_manufacturing!$D$27/100</f>
        <v>160.60000000000002</v>
      </c>
      <c r="N33" s="129">
        <f>N$21*shipping_manufacturing!$D$27/100</f>
        <v>160.60000000000002</v>
      </c>
      <c r="O33" s="129">
        <f>O$21*shipping_manufacturing!$D$27/100</f>
        <v>160.60000000000002</v>
      </c>
      <c r="P33" s="129">
        <f>P$21*shipping_manufacturing!$D$27/100</f>
        <v>160.60000000000002</v>
      </c>
      <c r="Q33" s="129">
        <f>Q$21*shipping_manufacturing!$D$27/100</f>
        <v>160.60000000000002</v>
      </c>
      <c r="R33" s="129">
        <f>R$21*shipping_manufacturing!$D$27/100</f>
        <v>160.60000000000002</v>
      </c>
      <c r="S33" s="129">
        <f>S$21*shipping_manufacturing!$D$27/100</f>
        <v>160.60000000000002</v>
      </c>
      <c r="T33" s="129">
        <f>T$21*shipping_manufacturing!$D$27/100</f>
        <v>160.60000000000002</v>
      </c>
      <c r="U33" s="129">
        <f>U$21*shipping_manufacturing!$D$27/100</f>
        <v>146</v>
      </c>
      <c r="V33" s="129">
        <f>V$21*shipping_manufacturing!$D$27/100</f>
        <v>146</v>
      </c>
      <c r="W33" s="129">
        <f>W$21*shipping_manufacturing!$D$27/100</f>
        <v>0</v>
      </c>
      <c r="X33" s="129">
        <f>X$21*shipping_manufacturing!$D$27/100</f>
        <v>0</v>
      </c>
      <c r="Y33" s="129">
        <f>Y$21*shipping_manufacturing!$D$27/100</f>
        <v>189.11917098445596</v>
      </c>
      <c r="Z33" s="129">
        <f>Z$21*shipping_manufacturing!$D$27/100</f>
        <v>160.60000000000002</v>
      </c>
      <c r="AA33" s="129">
        <f>AA$21*shipping_manufacturing!$D$27/100</f>
        <v>160.60000000000002</v>
      </c>
      <c r="AB33" s="129">
        <f>AB$21*shipping_manufacturing!$D$27/100</f>
        <v>160.60000000000002</v>
      </c>
      <c r="AC33" s="129">
        <f>AC$21*shipping_manufacturing!$D$27/100</f>
        <v>146</v>
      </c>
      <c r="AD33" s="129">
        <f>AD$21*shipping_manufacturing!$D$27/100</f>
        <v>146</v>
      </c>
      <c r="AE33" s="129">
        <f>AE$21*shipping_manufacturing!$D$27/100</f>
        <v>146</v>
      </c>
      <c r="AF33" s="129">
        <f>AF$21*shipping_manufacturing!$D$27/100</f>
        <v>146</v>
      </c>
      <c r="AG33" s="129">
        <f>AG$21*shipping_manufacturing!$D$27/100</f>
        <v>131.4</v>
      </c>
      <c r="AH33" s="129">
        <f>AH$21*shipping_manufacturing!$D$27/100</f>
        <v>131.4</v>
      </c>
      <c r="AI33" s="129">
        <f>AI$21*shipping_manufacturing!$D$27/100</f>
        <v>131.4</v>
      </c>
      <c r="AJ33" s="129">
        <f>AJ$21*shipping_manufacturing!$D$27/100</f>
        <v>131.4</v>
      </c>
      <c r="AK33" s="129">
        <f>AK$21*shipping_manufacturing!$D$27/100</f>
        <v>160.60000000000002</v>
      </c>
      <c r="AL33" s="129">
        <f>AL$21*shipping_manufacturing!$D$27/100</f>
        <v>160.60000000000002</v>
      </c>
      <c r="AM33" s="129">
        <f>AM$21*shipping_manufacturing!$D$27/100</f>
        <v>160.60000000000002</v>
      </c>
      <c r="AN33" s="129">
        <f>AN$21*shipping_manufacturing!$D$27/100</f>
        <v>160.60000000000002</v>
      </c>
      <c r="AO33" s="129">
        <f>AO$21*shipping_manufacturing!$D$27/100</f>
        <v>146</v>
      </c>
      <c r="AP33" s="129">
        <f>AP$21*shipping_manufacturing!$D$27/100</f>
        <v>146</v>
      </c>
      <c r="AQ33" s="129">
        <f>AQ$21*shipping_manufacturing!$D$27/100</f>
        <v>146</v>
      </c>
      <c r="AR33" s="129">
        <f>AR$21*shipping_manufacturing!$D$27/100</f>
        <v>146</v>
      </c>
      <c r="AS33" s="129">
        <f>AS$21*shipping_manufacturing!$D$27/100</f>
        <v>146</v>
      </c>
      <c r="AT33" s="129">
        <f>AT$21*shipping_manufacturing!$D$27/100</f>
        <v>146</v>
      </c>
      <c r="AU33" s="129">
        <f>AU$21*shipping_manufacturing!$D$27/100</f>
        <v>146</v>
      </c>
      <c r="AV33" s="129">
        <f>AV$21*shipping_manufacturing!$D$27/100</f>
        <v>146</v>
      </c>
      <c r="AW33" s="129">
        <f>AW$21*shipping_manufacturing!$D$27/100</f>
        <v>146</v>
      </c>
      <c r="AX33" s="129">
        <f>AX$21*shipping_manufacturing!$D$27/100</f>
        <v>146</v>
      </c>
      <c r="AY33" s="129">
        <f>AY$21*shipping_manufacturing!$D$27/100</f>
        <v>146</v>
      </c>
    </row>
    <row r="34" spans="1:52" x14ac:dyDescent="0.2">
      <c r="A34" s="118" t="s">
        <v>340</v>
      </c>
      <c r="B34" s="170" t="s">
        <v>342</v>
      </c>
      <c r="C34" s="115"/>
      <c r="D34" s="115">
        <f>D$22*shipping_manufacturing!$E$27/100</f>
        <v>46.999999999999993</v>
      </c>
      <c r="E34" s="115">
        <f>E$22*shipping_manufacturing!$E$27/100</f>
        <v>46.999999999999993</v>
      </c>
      <c r="F34" s="115">
        <f>F$22*shipping_manufacturing!$E$27/100</f>
        <v>46.999999999999993</v>
      </c>
      <c r="G34" s="115">
        <f>G$22*shipping_manufacturing!$E$27/100</f>
        <v>46.999999999999993</v>
      </c>
      <c r="H34" s="115">
        <f>H$22*shipping_manufacturing!$E$27/100</f>
        <v>46.999999999999993</v>
      </c>
      <c r="I34" s="115">
        <f>I$22*shipping_manufacturing!$E$27/100</f>
        <v>46.999999999999993</v>
      </c>
      <c r="J34" s="115">
        <f>J$22*shipping_manufacturing!$E$27/100</f>
        <v>46.999999999999993</v>
      </c>
      <c r="K34" s="115">
        <f>K$22*shipping_manufacturing!$E$27/100</f>
        <v>46.999999999999993</v>
      </c>
      <c r="L34" s="115">
        <f>L$22*shipping_manufacturing!$E$27/100</f>
        <v>46.999999999999993</v>
      </c>
      <c r="M34" s="115">
        <f>M$22*shipping_manufacturing!$E$27/100</f>
        <v>51.7</v>
      </c>
      <c r="N34" s="115">
        <f>N$22*shipping_manufacturing!$E$27/100</f>
        <v>51.7</v>
      </c>
      <c r="O34" s="115">
        <f>O$22*shipping_manufacturing!$E$27/100</f>
        <v>51.7</v>
      </c>
      <c r="P34" s="115">
        <f>P$22*shipping_manufacturing!$E$27/100</f>
        <v>51.7</v>
      </c>
      <c r="Q34" s="115">
        <f>Q$22*shipping_manufacturing!$E$27/100</f>
        <v>51.7</v>
      </c>
      <c r="R34" s="115">
        <f>R$22*shipping_manufacturing!$E$27/100</f>
        <v>51.7</v>
      </c>
      <c r="S34" s="115">
        <f>S$22*shipping_manufacturing!$E$27/100</f>
        <v>51.7</v>
      </c>
      <c r="T34" s="115">
        <f>T$22*shipping_manufacturing!$E$27/100</f>
        <v>51.7</v>
      </c>
      <c r="U34" s="115">
        <f>U$22*shipping_manufacturing!$E$27/100</f>
        <v>46.999999999999993</v>
      </c>
      <c r="V34" s="115">
        <f>V$22*shipping_manufacturing!$E$27/100</f>
        <v>46.999999999999993</v>
      </c>
      <c r="W34" s="115">
        <f>W$22*shipping_manufacturing!$E$27/100</f>
        <v>0</v>
      </c>
      <c r="X34" s="115">
        <f>X$22*shipping_manufacturing!$E$27/100</f>
        <v>0</v>
      </c>
      <c r="Y34" s="115">
        <f>Y$22*shipping_manufacturing!$E$27/100</f>
        <v>60.880829015544037</v>
      </c>
      <c r="Z34" s="115">
        <f>Z$22*shipping_manufacturing!$E$27/100</f>
        <v>51.7</v>
      </c>
      <c r="AA34" s="115">
        <f>AA$22*shipping_manufacturing!$E$27/100</f>
        <v>51.7</v>
      </c>
      <c r="AB34" s="115">
        <f>AB$22*shipping_manufacturing!$E$27/100</f>
        <v>51.7</v>
      </c>
      <c r="AC34" s="115">
        <f>AC$22*shipping_manufacturing!$E$27/100</f>
        <v>46.999999999999993</v>
      </c>
      <c r="AD34" s="115">
        <f>AD$22*shipping_manufacturing!$E$27/100</f>
        <v>46.999999999999993</v>
      </c>
      <c r="AE34" s="115">
        <f>AE$22*shipping_manufacturing!$E$27/100</f>
        <v>46.999999999999993</v>
      </c>
      <c r="AF34" s="115">
        <f>AF$22*shipping_manufacturing!$E$27/100</f>
        <v>46.999999999999993</v>
      </c>
      <c r="AG34" s="115">
        <f>AG$22*shipping_manufacturing!$E$27/100</f>
        <v>42.3</v>
      </c>
      <c r="AH34" s="115">
        <f>AH$22*shipping_manufacturing!$E$27/100</f>
        <v>42.3</v>
      </c>
      <c r="AI34" s="115">
        <f>AI$22*shipping_manufacturing!$E$27/100</f>
        <v>42.3</v>
      </c>
      <c r="AJ34" s="115">
        <f>AJ$22*shipping_manufacturing!$E$27/100</f>
        <v>42.3</v>
      </c>
      <c r="AK34" s="115">
        <f>AK$22*shipping_manufacturing!$E$27/100</f>
        <v>51.7</v>
      </c>
      <c r="AL34" s="115">
        <f>AL$22*shipping_manufacturing!$E$27/100</f>
        <v>51.7</v>
      </c>
      <c r="AM34" s="115">
        <f>AM$22*shipping_manufacturing!$E$27/100</f>
        <v>51.7</v>
      </c>
      <c r="AN34" s="115">
        <f>AN$22*shipping_manufacturing!$E$27/100</f>
        <v>51.7</v>
      </c>
      <c r="AO34" s="115">
        <f>AO$22*shipping_manufacturing!$E$27/100</f>
        <v>46.999999999999993</v>
      </c>
      <c r="AP34" s="115">
        <f>AP$22*shipping_manufacturing!$E$27/100</f>
        <v>46.999999999999993</v>
      </c>
      <c r="AQ34" s="115">
        <f>AQ$22*shipping_manufacturing!$E$27/100</f>
        <v>46.999999999999993</v>
      </c>
      <c r="AR34" s="115">
        <f>AR$22*shipping_manufacturing!$E$27/100</f>
        <v>46.999999999999993</v>
      </c>
      <c r="AS34" s="115">
        <f>AS$22*shipping_manufacturing!$E$27/100</f>
        <v>46.999999999999993</v>
      </c>
      <c r="AT34" s="115">
        <f>AT$22*shipping_manufacturing!$E$27/100</f>
        <v>46.999999999999993</v>
      </c>
      <c r="AU34" s="115">
        <f>AU$22*shipping_manufacturing!$E$27/100</f>
        <v>46.999999999999993</v>
      </c>
      <c r="AV34" s="115">
        <f>AV$22*shipping_manufacturing!$E$27/100</f>
        <v>46.999999999999993</v>
      </c>
      <c r="AW34" s="115">
        <f>AW$22*shipping_manufacturing!$E$27/100</f>
        <v>46.999999999999993</v>
      </c>
      <c r="AX34" s="115">
        <f>AX$22*shipping_manufacturing!$E$27/100</f>
        <v>46.999999999999993</v>
      </c>
      <c r="AY34" s="115">
        <f>AY$22*shipping_manufacturing!$E$27/100</f>
        <v>46.999999999999993</v>
      </c>
    </row>
    <row r="35" spans="1:52" x14ac:dyDescent="0.2">
      <c r="A35" s="115">
        <v>140</v>
      </c>
      <c r="B35" s="170" t="s">
        <v>343</v>
      </c>
      <c r="C35" s="115"/>
      <c r="D35" s="115">
        <f>SUM(D33:D34)</f>
        <v>193</v>
      </c>
      <c r="E35" s="115">
        <f t="shared" ref="E35:AY35" si="11">SUM(E33:E34)</f>
        <v>193</v>
      </c>
      <c r="F35" s="115">
        <f t="shared" si="11"/>
        <v>193</v>
      </c>
      <c r="G35" s="115">
        <f t="shared" si="11"/>
        <v>193</v>
      </c>
      <c r="H35" s="115">
        <f t="shared" si="11"/>
        <v>193</v>
      </c>
      <c r="I35" s="115">
        <f t="shared" si="11"/>
        <v>193</v>
      </c>
      <c r="J35" s="115">
        <f t="shared" si="11"/>
        <v>193</v>
      </c>
      <c r="K35" s="115">
        <f t="shared" si="11"/>
        <v>193</v>
      </c>
      <c r="L35" s="115">
        <f t="shared" si="11"/>
        <v>193</v>
      </c>
      <c r="M35" s="115">
        <f t="shared" si="11"/>
        <v>212.3</v>
      </c>
      <c r="N35" s="115">
        <f t="shared" si="11"/>
        <v>212.3</v>
      </c>
      <c r="O35" s="115">
        <f t="shared" si="11"/>
        <v>212.3</v>
      </c>
      <c r="P35" s="115">
        <f t="shared" si="11"/>
        <v>212.3</v>
      </c>
      <c r="Q35" s="115">
        <f t="shared" si="11"/>
        <v>212.3</v>
      </c>
      <c r="R35" s="115">
        <f t="shared" si="11"/>
        <v>212.3</v>
      </c>
      <c r="S35" s="115">
        <f t="shared" si="11"/>
        <v>212.3</v>
      </c>
      <c r="T35" s="115">
        <f t="shared" si="11"/>
        <v>212.3</v>
      </c>
      <c r="U35" s="115">
        <f t="shared" si="11"/>
        <v>193</v>
      </c>
      <c r="V35" s="115">
        <f t="shared" si="11"/>
        <v>193</v>
      </c>
      <c r="W35" s="115">
        <f t="shared" si="11"/>
        <v>0</v>
      </c>
      <c r="X35" s="115">
        <f t="shared" si="11"/>
        <v>0</v>
      </c>
      <c r="Y35" s="115">
        <f t="shared" si="11"/>
        <v>250</v>
      </c>
      <c r="Z35" s="115">
        <f t="shared" si="11"/>
        <v>212.3</v>
      </c>
      <c r="AA35" s="115">
        <f t="shared" si="11"/>
        <v>212.3</v>
      </c>
      <c r="AB35" s="115">
        <f t="shared" si="11"/>
        <v>212.3</v>
      </c>
      <c r="AC35" s="115">
        <f t="shared" si="11"/>
        <v>193</v>
      </c>
      <c r="AD35" s="115">
        <f t="shared" si="11"/>
        <v>193</v>
      </c>
      <c r="AE35" s="115">
        <f t="shared" si="11"/>
        <v>193</v>
      </c>
      <c r="AF35" s="115">
        <f t="shared" si="11"/>
        <v>193</v>
      </c>
      <c r="AG35" s="115">
        <f t="shared" si="11"/>
        <v>173.7</v>
      </c>
      <c r="AH35" s="115">
        <f t="shared" si="11"/>
        <v>173.7</v>
      </c>
      <c r="AI35" s="115">
        <f t="shared" si="11"/>
        <v>173.7</v>
      </c>
      <c r="AJ35" s="115">
        <f t="shared" si="11"/>
        <v>173.7</v>
      </c>
      <c r="AK35" s="115">
        <f t="shared" si="11"/>
        <v>212.3</v>
      </c>
      <c r="AL35" s="115">
        <f t="shared" si="11"/>
        <v>212.3</v>
      </c>
      <c r="AM35" s="115">
        <f t="shared" si="11"/>
        <v>212.3</v>
      </c>
      <c r="AN35" s="115">
        <f t="shared" si="11"/>
        <v>212.3</v>
      </c>
      <c r="AO35" s="115">
        <f t="shared" si="11"/>
        <v>193</v>
      </c>
      <c r="AP35" s="115">
        <f t="shared" si="11"/>
        <v>193</v>
      </c>
      <c r="AQ35" s="115">
        <f t="shared" si="11"/>
        <v>193</v>
      </c>
      <c r="AR35" s="115">
        <f t="shared" si="11"/>
        <v>193</v>
      </c>
      <c r="AS35" s="115">
        <f t="shared" si="11"/>
        <v>193</v>
      </c>
      <c r="AT35" s="115">
        <f t="shared" si="11"/>
        <v>193</v>
      </c>
      <c r="AU35" s="115">
        <f t="shared" si="11"/>
        <v>193</v>
      </c>
      <c r="AV35" s="115">
        <f t="shared" si="11"/>
        <v>193</v>
      </c>
      <c r="AW35" s="115">
        <f t="shared" si="11"/>
        <v>193</v>
      </c>
      <c r="AX35" s="115">
        <f t="shared" si="11"/>
        <v>193</v>
      </c>
      <c r="AY35" s="115">
        <f t="shared" si="11"/>
        <v>193</v>
      </c>
    </row>
    <row r="36" spans="1:52" x14ac:dyDescent="0.2">
      <c r="A36" s="115"/>
      <c r="B36" s="170" t="s">
        <v>344</v>
      </c>
      <c r="C36" s="115"/>
      <c r="D36" s="115">
        <v>146.00000000000003</v>
      </c>
      <c r="E36" s="115">
        <v>146.00000000000003</v>
      </c>
      <c r="F36" s="115">
        <v>146.00000000000003</v>
      </c>
      <c r="G36" s="115">
        <v>146.00000000000003</v>
      </c>
      <c r="H36" s="115">
        <v>146.00000000000003</v>
      </c>
      <c r="I36" s="115">
        <v>146.00000000000003</v>
      </c>
      <c r="J36" s="115">
        <v>146.00000000000003</v>
      </c>
      <c r="K36" s="115">
        <v>146.00000000000003</v>
      </c>
      <c r="L36" s="115">
        <v>146.00000000000003</v>
      </c>
      <c r="M36" s="115">
        <v>160.60000000000005</v>
      </c>
      <c r="N36" s="115">
        <v>160.60000000000005</v>
      </c>
      <c r="O36" s="115">
        <v>160.60000000000005</v>
      </c>
      <c r="P36" s="115">
        <v>160.60000000000005</v>
      </c>
      <c r="Q36" s="115">
        <v>160.60000000000005</v>
      </c>
      <c r="R36" s="115">
        <v>160.60000000000005</v>
      </c>
      <c r="S36" s="115">
        <v>160.60000000000005</v>
      </c>
      <c r="T36" s="115">
        <v>160.60000000000005</v>
      </c>
      <c r="U36" s="115">
        <v>146.00000000000003</v>
      </c>
      <c r="V36" s="115">
        <v>146.00000000000003</v>
      </c>
      <c r="W36" s="115"/>
      <c r="X36" s="115"/>
      <c r="Y36" s="115">
        <v>189.11917098445599</v>
      </c>
      <c r="Z36" s="115">
        <v>160.60000000000005</v>
      </c>
      <c r="AA36" s="115">
        <v>160.60000000000005</v>
      </c>
      <c r="AB36" s="115">
        <v>160.60000000000005</v>
      </c>
      <c r="AC36" s="115">
        <v>146.00000000000003</v>
      </c>
      <c r="AD36" s="115">
        <v>146.00000000000003</v>
      </c>
      <c r="AE36" s="115">
        <v>146.00000000000003</v>
      </c>
      <c r="AF36" s="115">
        <v>146.00000000000003</v>
      </c>
      <c r="AG36" s="115">
        <v>131.4</v>
      </c>
      <c r="AH36" s="115">
        <v>131.4</v>
      </c>
      <c r="AI36" s="115">
        <v>131.4</v>
      </c>
      <c r="AJ36" s="115">
        <v>131.4</v>
      </c>
      <c r="AK36" s="115">
        <v>160.60000000000005</v>
      </c>
      <c r="AL36" s="115">
        <v>160.60000000000005</v>
      </c>
      <c r="AM36" s="115">
        <v>160.60000000000005</v>
      </c>
      <c r="AN36" s="115">
        <v>160.60000000000005</v>
      </c>
      <c r="AO36" s="115">
        <v>146.00000000000003</v>
      </c>
      <c r="AP36" s="115">
        <v>146.00000000000003</v>
      </c>
      <c r="AQ36" s="115">
        <v>146.00000000000003</v>
      </c>
      <c r="AR36" s="115">
        <v>146.00000000000003</v>
      </c>
      <c r="AS36" s="115">
        <v>146.00000000000003</v>
      </c>
      <c r="AT36" s="115">
        <v>146.00000000000003</v>
      </c>
      <c r="AU36" s="115">
        <v>146.00000000000003</v>
      </c>
      <c r="AV36" s="115">
        <v>146.00000000000003</v>
      </c>
      <c r="AW36" s="115">
        <v>146.00000000000003</v>
      </c>
      <c r="AX36" s="115">
        <v>146.00000000000003</v>
      </c>
      <c r="AY36" s="115">
        <v>146.00000000000003</v>
      </c>
    </row>
    <row r="37" spans="1:52" x14ac:dyDescent="0.2">
      <c r="A37" s="115"/>
      <c r="B37" s="170" t="s">
        <v>345</v>
      </c>
      <c r="C37" s="115"/>
      <c r="D37" s="115">
        <v>46.999999999999993</v>
      </c>
      <c r="E37" s="115">
        <v>46.999999999999993</v>
      </c>
      <c r="F37" s="115">
        <v>46.999999999999993</v>
      </c>
      <c r="G37" s="115">
        <v>46.999999999999993</v>
      </c>
      <c r="H37" s="115">
        <v>46.999999999999993</v>
      </c>
      <c r="I37" s="115">
        <v>46.999999999999993</v>
      </c>
      <c r="J37" s="115">
        <v>46.999999999999993</v>
      </c>
      <c r="K37" s="115">
        <v>46.999999999999993</v>
      </c>
      <c r="L37" s="115">
        <v>46.999999999999993</v>
      </c>
      <c r="M37" s="115">
        <v>51.7</v>
      </c>
      <c r="N37" s="115">
        <v>51.7</v>
      </c>
      <c r="O37" s="115">
        <v>51.7</v>
      </c>
      <c r="P37" s="115">
        <v>51.7</v>
      </c>
      <c r="Q37" s="115">
        <v>51.7</v>
      </c>
      <c r="R37" s="115">
        <v>51.7</v>
      </c>
      <c r="S37" s="115">
        <v>51.7</v>
      </c>
      <c r="T37" s="115">
        <v>51.7</v>
      </c>
      <c r="U37" s="115">
        <v>46.999999999999993</v>
      </c>
      <c r="V37" s="115">
        <v>46.999999999999993</v>
      </c>
      <c r="W37" s="115"/>
      <c r="X37" s="115"/>
      <c r="Y37" s="115">
        <v>60.880829015544037</v>
      </c>
      <c r="Z37" s="115">
        <v>51.7</v>
      </c>
      <c r="AA37" s="115">
        <v>51.7</v>
      </c>
      <c r="AB37" s="115">
        <v>51.7</v>
      </c>
      <c r="AC37" s="115">
        <v>46.999999999999993</v>
      </c>
      <c r="AD37" s="115">
        <v>46.999999999999993</v>
      </c>
      <c r="AE37" s="115">
        <v>46.999999999999993</v>
      </c>
      <c r="AF37" s="115">
        <v>46.999999999999993</v>
      </c>
      <c r="AG37" s="115">
        <v>42.3</v>
      </c>
      <c r="AH37" s="115">
        <v>42.3</v>
      </c>
      <c r="AI37" s="115">
        <v>42.3</v>
      </c>
      <c r="AJ37" s="115">
        <v>42.3</v>
      </c>
      <c r="AK37" s="115">
        <v>51.7</v>
      </c>
      <c r="AL37" s="115">
        <v>51.7</v>
      </c>
      <c r="AM37" s="115">
        <v>51.7</v>
      </c>
      <c r="AN37" s="115">
        <v>51.7</v>
      </c>
      <c r="AO37" s="115">
        <v>46.999999999999993</v>
      </c>
      <c r="AP37" s="115">
        <v>46.999999999999993</v>
      </c>
      <c r="AQ37" s="115">
        <v>46.999999999999993</v>
      </c>
      <c r="AR37" s="115">
        <v>46.999999999999993</v>
      </c>
      <c r="AS37" s="115">
        <v>46.999999999999993</v>
      </c>
      <c r="AT37" s="115">
        <v>46.999999999999993</v>
      </c>
      <c r="AU37" s="115">
        <v>46.999999999999993</v>
      </c>
      <c r="AV37" s="115">
        <v>46.999999999999993</v>
      </c>
      <c r="AW37" s="115">
        <v>46.999999999999993</v>
      </c>
      <c r="AX37" s="115">
        <v>46.999999999999993</v>
      </c>
      <c r="AY37" s="115">
        <v>46.999999999999993</v>
      </c>
    </row>
    <row r="38" spans="1:52" x14ac:dyDescent="0.2">
      <c r="A38" s="115"/>
      <c r="B38" s="170" t="s">
        <v>346</v>
      </c>
      <c r="C38" s="115"/>
      <c r="D38" s="115">
        <v>7</v>
      </c>
      <c r="E38" s="115">
        <v>7</v>
      </c>
      <c r="F38" s="115">
        <v>7</v>
      </c>
      <c r="G38" s="115">
        <v>7</v>
      </c>
      <c r="H38" s="115">
        <v>7</v>
      </c>
      <c r="I38" s="115">
        <v>7</v>
      </c>
      <c r="J38" s="115">
        <v>7</v>
      </c>
      <c r="K38" s="115">
        <v>7</v>
      </c>
      <c r="L38" s="115">
        <v>7</v>
      </c>
      <c r="M38" s="115">
        <v>8</v>
      </c>
      <c r="N38" s="115">
        <v>8</v>
      </c>
      <c r="O38" s="115">
        <v>8</v>
      </c>
      <c r="P38" s="115">
        <v>8</v>
      </c>
      <c r="Q38" s="115">
        <v>8</v>
      </c>
      <c r="R38" s="115">
        <v>8</v>
      </c>
      <c r="S38" s="115">
        <v>8</v>
      </c>
      <c r="T38" s="115">
        <v>8</v>
      </c>
      <c r="U38" s="115">
        <v>7</v>
      </c>
      <c r="V38" s="115">
        <v>7</v>
      </c>
      <c r="W38" s="115"/>
      <c r="X38" s="115"/>
      <c r="Y38" s="115">
        <v>9</v>
      </c>
      <c r="Z38" s="115">
        <v>8</v>
      </c>
      <c r="AA38" s="115">
        <v>8</v>
      </c>
      <c r="AB38" s="115">
        <v>8</v>
      </c>
      <c r="AC38" s="115">
        <v>7</v>
      </c>
      <c r="AD38" s="115">
        <v>7</v>
      </c>
      <c r="AE38" s="115">
        <v>7</v>
      </c>
      <c r="AF38" s="115">
        <v>7</v>
      </c>
      <c r="AG38" s="115">
        <v>6</v>
      </c>
      <c r="AH38" s="115">
        <v>6</v>
      </c>
      <c r="AI38" s="115">
        <v>6</v>
      </c>
      <c r="AJ38" s="115">
        <v>6</v>
      </c>
      <c r="AK38" s="115">
        <v>8</v>
      </c>
      <c r="AL38" s="115">
        <v>8</v>
      </c>
      <c r="AM38" s="115">
        <v>8</v>
      </c>
      <c r="AN38" s="115">
        <v>8</v>
      </c>
      <c r="AO38" s="115">
        <v>7</v>
      </c>
      <c r="AP38" s="115">
        <v>7</v>
      </c>
      <c r="AQ38" s="115">
        <v>7</v>
      </c>
      <c r="AR38" s="115">
        <v>7</v>
      </c>
      <c r="AS38" s="115">
        <v>7</v>
      </c>
      <c r="AT38" s="115">
        <v>7</v>
      </c>
      <c r="AU38" s="115">
        <v>7</v>
      </c>
      <c r="AV38" s="115">
        <v>7</v>
      </c>
      <c r="AW38" s="115">
        <v>7</v>
      </c>
      <c r="AX38" s="115">
        <v>7</v>
      </c>
      <c r="AY38" s="115">
        <v>7</v>
      </c>
    </row>
    <row r="39" spans="1:52" x14ac:dyDescent="0.2">
      <c r="A39" s="115"/>
      <c r="B39" s="170" t="s">
        <v>347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348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349</v>
      </c>
      <c r="C41" s="115"/>
      <c r="D41" s="115">
        <v>3</v>
      </c>
      <c r="E41" s="115">
        <v>1</v>
      </c>
      <c r="F41" s="115">
        <v>1</v>
      </c>
      <c r="G41" s="115">
        <v>2</v>
      </c>
      <c r="H41" s="115">
        <v>1</v>
      </c>
      <c r="I41" s="115">
        <v>3</v>
      </c>
      <c r="J41" s="115">
        <v>2</v>
      </c>
      <c r="K41" s="115">
        <v>1</v>
      </c>
      <c r="L41" s="115">
        <v>2</v>
      </c>
      <c r="M41" s="115">
        <v>1</v>
      </c>
      <c r="N41" s="115">
        <v>3</v>
      </c>
      <c r="O41" s="115">
        <v>1</v>
      </c>
      <c r="P41" s="115">
        <v>1</v>
      </c>
      <c r="Q41" s="115">
        <v>1</v>
      </c>
      <c r="R41" s="115">
        <v>1</v>
      </c>
      <c r="S41" s="115">
        <v>2</v>
      </c>
      <c r="T41" s="115">
        <v>2</v>
      </c>
      <c r="U41" s="115">
        <v>1</v>
      </c>
      <c r="V41" s="115">
        <v>1</v>
      </c>
      <c r="W41" s="115">
        <v>1</v>
      </c>
      <c r="X41" s="115">
        <v>1</v>
      </c>
      <c r="Y41" s="115">
        <v>1</v>
      </c>
      <c r="Z41" s="115">
        <v>3</v>
      </c>
      <c r="AA41" s="115">
        <v>1</v>
      </c>
      <c r="AB41" s="115">
        <v>2</v>
      </c>
      <c r="AC41" s="115">
        <v>1</v>
      </c>
      <c r="AD41" s="115">
        <v>2</v>
      </c>
      <c r="AE41" s="115">
        <v>1</v>
      </c>
      <c r="AF41" s="115">
        <v>1</v>
      </c>
      <c r="AG41" s="115">
        <v>1</v>
      </c>
      <c r="AH41" s="115">
        <v>1</v>
      </c>
      <c r="AI41" s="115">
        <v>2</v>
      </c>
      <c r="AJ41" s="115">
        <v>1</v>
      </c>
      <c r="AK41" s="115">
        <v>1</v>
      </c>
      <c r="AL41" s="115">
        <v>1</v>
      </c>
      <c r="AM41" s="115">
        <v>1</v>
      </c>
      <c r="AN41" s="115">
        <v>2</v>
      </c>
      <c r="AO41" s="115">
        <v>1</v>
      </c>
      <c r="AP41" s="115">
        <v>1</v>
      </c>
      <c r="AQ41" s="115">
        <v>1</v>
      </c>
      <c r="AR41" s="115">
        <v>1</v>
      </c>
      <c r="AS41" s="115">
        <v>2</v>
      </c>
      <c r="AT41" s="115">
        <v>1</v>
      </c>
      <c r="AU41" s="115">
        <v>2</v>
      </c>
      <c r="AV41" s="115">
        <v>1</v>
      </c>
      <c r="AW41" s="115">
        <v>1</v>
      </c>
      <c r="AX41" s="115">
        <v>1</v>
      </c>
      <c r="AY41" s="115">
        <v>1</v>
      </c>
    </row>
    <row r="42" spans="1:52" x14ac:dyDescent="0.2">
      <c r="A42" s="115"/>
      <c r="B42" s="183" t="s">
        <v>350</v>
      </c>
      <c r="C42" s="115"/>
      <c r="D42" s="115">
        <v>35280</v>
      </c>
      <c r="E42" s="115">
        <v>35280</v>
      </c>
      <c r="F42" s="115">
        <v>35280</v>
      </c>
      <c r="G42" s="115">
        <v>35280</v>
      </c>
      <c r="H42" s="115">
        <v>35280</v>
      </c>
      <c r="I42" s="115">
        <v>35280</v>
      </c>
      <c r="J42" s="115">
        <v>35280</v>
      </c>
      <c r="K42" s="115">
        <v>35280</v>
      </c>
      <c r="L42" s="115">
        <v>35280</v>
      </c>
      <c r="M42" s="115">
        <v>40320</v>
      </c>
      <c r="N42" s="115">
        <v>40320</v>
      </c>
      <c r="O42" s="115">
        <v>40320</v>
      </c>
      <c r="P42" s="115">
        <v>40320</v>
      </c>
      <c r="Q42" s="115">
        <v>40320</v>
      </c>
      <c r="R42" s="115">
        <v>40320</v>
      </c>
      <c r="S42" s="115">
        <v>40320</v>
      </c>
      <c r="T42" s="115">
        <v>40320</v>
      </c>
      <c r="U42" s="115">
        <v>35280</v>
      </c>
      <c r="V42" s="115">
        <v>35280</v>
      </c>
      <c r="W42" s="115">
        <v>0</v>
      </c>
      <c r="X42" s="115">
        <v>0</v>
      </c>
      <c r="Y42" s="115">
        <v>45360</v>
      </c>
      <c r="Z42" s="115">
        <v>40320</v>
      </c>
      <c r="AA42" s="115">
        <v>40320</v>
      </c>
      <c r="AB42" s="115">
        <v>40320</v>
      </c>
      <c r="AC42" s="115">
        <v>35280</v>
      </c>
      <c r="AD42" s="115">
        <v>35280</v>
      </c>
      <c r="AE42" s="115">
        <v>35280</v>
      </c>
      <c r="AF42" s="115">
        <v>35280</v>
      </c>
      <c r="AG42" s="115">
        <v>30240</v>
      </c>
      <c r="AH42" s="115">
        <v>30240</v>
      </c>
      <c r="AI42" s="115">
        <v>30240</v>
      </c>
      <c r="AJ42" s="115">
        <v>30240</v>
      </c>
      <c r="AK42" s="115">
        <v>40320</v>
      </c>
      <c r="AL42" s="115">
        <v>40320</v>
      </c>
      <c r="AM42" s="115">
        <v>40320</v>
      </c>
      <c r="AN42" s="115">
        <v>40320</v>
      </c>
      <c r="AO42" s="115">
        <v>35280</v>
      </c>
      <c r="AP42" s="115">
        <v>35280</v>
      </c>
      <c r="AQ42" s="115">
        <v>35280</v>
      </c>
      <c r="AR42" s="115">
        <v>35280</v>
      </c>
      <c r="AS42" s="115">
        <v>35280</v>
      </c>
      <c r="AT42" s="115">
        <v>35280</v>
      </c>
      <c r="AU42" s="115">
        <v>35280</v>
      </c>
      <c r="AV42" s="115">
        <v>35280</v>
      </c>
      <c r="AW42" s="115">
        <v>35280</v>
      </c>
      <c r="AX42" s="115">
        <v>35280</v>
      </c>
      <c r="AY42" s="115">
        <v>35280</v>
      </c>
      <c r="AZ42" s="105">
        <f>SUM($D$42:$AY$42)</f>
        <v>1688400</v>
      </c>
    </row>
    <row r="43" spans="1:52" x14ac:dyDescent="0.2">
      <c r="A43" s="115"/>
      <c r="B43" s="183" t="s">
        <v>351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341</v>
      </c>
      <c r="C44" s="129"/>
      <c r="D44" s="129">
        <f>D$21*shipping_manufacturing!$D$28/100</f>
        <v>0</v>
      </c>
      <c r="E44" s="129">
        <f>E$21*shipping_manufacturing!$D$28/100</f>
        <v>0</v>
      </c>
      <c r="F44" s="129">
        <f>F$21*shipping_manufacturing!$D$28/100</f>
        <v>0</v>
      </c>
      <c r="G44" s="129">
        <f>G$21*shipping_manufacturing!$D$28/100</f>
        <v>0</v>
      </c>
      <c r="H44" s="129">
        <f>H$21*shipping_manufacturing!$D$28/100</f>
        <v>0</v>
      </c>
      <c r="I44" s="129">
        <f>I$21*shipping_manufacturing!$D$28/100</f>
        <v>0</v>
      </c>
      <c r="J44" s="129">
        <f>J$21*shipping_manufacturing!$D$28/100</f>
        <v>0</v>
      </c>
      <c r="K44" s="129">
        <f>K$21*shipping_manufacturing!$D$28/100</f>
        <v>0</v>
      </c>
      <c r="L44" s="129">
        <f>L$21*shipping_manufacturing!$D$28/100</f>
        <v>0</v>
      </c>
      <c r="M44" s="129">
        <f>M$21*shipping_manufacturing!$D$28/100</f>
        <v>0</v>
      </c>
      <c r="N44" s="129">
        <f>N$21*shipping_manufacturing!$D$28/100</f>
        <v>0</v>
      </c>
      <c r="O44" s="129">
        <f>O$21*shipping_manufacturing!$D$28/100</f>
        <v>0</v>
      </c>
      <c r="P44" s="129">
        <f>P$21*shipping_manufacturing!$D$28/100</f>
        <v>0</v>
      </c>
      <c r="Q44" s="129">
        <f>Q$21*shipping_manufacturing!$D$28/100</f>
        <v>0</v>
      </c>
      <c r="R44" s="129">
        <f>R$21*shipping_manufacturing!$D$28/100</f>
        <v>0</v>
      </c>
      <c r="S44" s="129">
        <f>S$21*shipping_manufacturing!$D$28/100</f>
        <v>0</v>
      </c>
      <c r="T44" s="129">
        <f>T$21*shipping_manufacturing!$D$28/100</f>
        <v>0</v>
      </c>
      <c r="U44" s="129">
        <f>U$21*shipping_manufacturing!$D$28/100</f>
        <v>0</v>
      </c>
      <c r="V44" s="129">
        <f>V$21*shipping_manufacturing!$D$28/100</f>
        <v>0</v>
      </c>
      <c r="W44" s="129">
        <f>W$21*shipping_manufacturing!$D$28/100</f>
        <v>0</v>
      </c>
      <c r="X44" s="129">
        <f>X$21*shipping_manufacturing!$D$28/100</f>
        <v>0</v>
      </c>
      <c r="Y44" s="129">
        <f>Y$21*shipping_manufacturing!$D$28/100</f>
        <v>0</v>
      </c>
      <c r="Z44" s="129">
        <f>Z$21*shipping_manufacturing!$D$28/100</f>
        <v>0</v>
      </c>
      <c r="AA44" s="129">
        <f>AA$21*shipping_manufacturing!$D$28/100</f>
        <v>0</v>
      </c>
      <c r="AB44" s="129">
        <f>AB$21*shipping_manufacturing!$D$28/100</f>
        <v>0</v>
      </c>
      <c r="AC44" s="129">
        <f>AC$21*shipping_manufacturing!$D$28/100</f>
        <v>0</v>
      </c>
      <c r="AD44" s="129">
        <f>AD$21*shipping_manufacturing!$D$28/100</f>
        <v>0</v>
      </c>
      <c r="AE44" s="129">
        <f>AE$21*shipping_manufacturing!$D$28/100</f>
        <v>0</v>
      </c>
      <c r="AF44" s="129">
        <f>AF$21*shipping_manufacturing!$D$28/100</f>
        <v>0</v>
      </c>
      <c r="AG44" s="129">
        <f>AG$21*shipping_manufacturing!$D$28/100</f>
        <v>0</v>
      </c>
      <c r="AH44" s="129">
        <f>AH$21*shipping_manufacturing!$D$28/100</f>
        <v>0</v>
      </c>
      <c r="AI44" s="129">
        <f>AI$21*shipping_manufacturing!$D$28/100</f>
        <v>0</v>
      </c>
      <c r="AJ44" s="129">
        <f>AJ$21*shipping_manufacturing!$D$28/100</f>
        <v>0</v>
      </c>
      <c r="AK44" s="129">
        <f>AK$21*shipping_manufacturing!$D$28/100</f>
        <v>0</v>
      </c>
      <c r="AL44" s="129">
        <f>AL$21*shipping_manufacturing!$D$28/100</f>
        <v>0</v>
      </c>
      <c r="AM44" s="129">
        <f>AM$21*shipping_manufacturing!$D$28/100</f>
        <v>0</v>
      </c>
      <c r="AN44" s="129">
        <f>AN$21*shipping_manufacturing!$D$28/100</f>
        <v>0</v>
      </c>
      <c r="AO44" s="129">
        <f>AO$21*shipping_manufacturing!$D$28/100</f>
        <v>0</v>
      </c>
      <c r="AP44" s="129">
        <f>AP$21*shipping_manufacturing!$D$28/100</f>
        <v>0</v>
      </c>
      <c r="AQ44" s="129">
        <f>AQ$21*shipping_manufacturing!$D$28/100</f>
        <v>0</v>
      </c>
      <c r="AR44" s="129">
        <f>AR$21*shipping_manufacturing!$D$28/100</f>
        <v>0</v>
      </c>
      <c r="AS44" s="129">
        <f>AS$21*shipping_manufacturing!$D$28/100</f>
        <v>0</v>
      </c>
      <c r="AT44" s="129">
        <f>AT$21*shipping_manufacturing!$D$28/100</f>
        <v>0</v>
      </c>
      <c r="AU44" s="129">
        <f>AU$21*shipping_manufacturing!$D$28/100</f>
        <v>0</v>
      </c>
      <c r="AV44" s="129">
        <f>AV$21*shipping_manufacturing!$D$28/100</f>
        <v>0</v>
      </c>
      <c r="AW44" s="129">
        <f>AW$21*shipping_manufacturing!$D$28/100</f>
        <v>0</v>
      </c>
      <c r="AX44" s="129">
        <f>AX$21*shipping_manufacturing!$D$28/100</f>
        <v>0</v>
      </c>
      <c r="AY44" s="129">
        <f>AY$21*shipping_manufacturing!$D$28/100</f>
        <v>0</v>
      </c>
    </row>
    <row r="45" spans="1:52" x14ac:dyDescent="0.2">
      <c r="A45" s="118" t="s">
        <v>340</v>
      </c>
      <c r="B45" s="170" t="s">
        <v>342</v>
      </c>
      <c r="C45" s="115"/>
      <c r="D45" s="115">
        <f>D$22*shipping_manufacturing!$E$28/100</f>
        <v>0</v>
      </c>
      <c r="E45" s="115">
        <f>E$22*shipping_manufacturing!$E$28/100</f>
        <v>0</v>
      </c>
      <c r="F45" s="115">
        <f>F$22*shipping_manufacturing!$E$28/100</f>
        <v>0</v>
      </c>
      <c r="G45" s="115">
        <f>G$22*shipping_manufacturing!$E$28/100</f>
        <v>0</v>
      </c>
      <c r="H45" s="115">
        <f>H$22*shipping_manufacturing!$E$28/100</f>
        <v>0</v>
      </c>
      <c r="I45" s="115">
        <f>I$22*shipping_manufacturing!$E$28/100</f>
        <v>0</v>
      </c>
      <c r="J45" s="115">
        <f>J$22*shipping_manufacturing!$E$28/100</f>
        <v>0</v>
      </c>
      <c r="K45" s="115">
        <f>K$22*shipping_manufacturing!$E$28/100</f>
        <v>0</v>
      </c>
      <c r="L45" s="115">
        <f>L$22*shipping_manufacturing!$E$28/100</f>
        <v>0</v>
      </c>
      <c r="M45" s="115">
        <f>M$22*shipping_manufacturing!$E$28/100</f>
        <v>0</v>
      </c>
      <c r="N45" s="115">
        <f>N$22*shipping_manufacturing!$E$28/100</f>
        <v>0</v>
      </c>
      <c r="O45" s="115">
        <f>O$22*shipping_manufacturing!$E$28/100</f>
        <v>0</v>
      </c>
      <c r="P45" s="115">
        <f>P$22*shipping_manufacturing!$E$28/100</f>
        <v>0</v>
      </c>
      <c r="Q45" s="115">
        <f>Q$22*shipping_manufacturing!$E$28/100</f>
        <v>0</v>
      </c>
      <c r="R45" s="115">
        <f>R$22*shipping_manufacturing!$E$28/100</f>
        <v>0</v>
      </c>
      <c r="S45" s="115">
        <f>S$22*shipping_manufacturing!$E$28/100</f>
        <v>0</v>
      </c>
      <c r="T45" s="115">
        <f>T$22*shipping_manufacturing!$E$28/100</f>
        <v>0</v>
      </c>
      <c r="U45" s="115">
        <f>U$22*shipping_manufacturing!$E$28/100</f>
        <v>0</v>
      </c>
      <c r="V45" s="115">
        <f>V$22*shipping_manufacturing!$E$28/100</f>
        <v>0</v>
      </c>
      <c r="W45" s="115">
        <f>W$22*shipping_manufacturing!$E$28/100</f>
        <v>0</v>
      </c>
      <c r="X45" s="115">
        <f>X$22*shipping_manufacturing!$E$28/100</f>
        <v>0</v>
      </c>
      <c r="Y45" s="115">
        <f>Y$22*shipping_manufacturing!$E$28/100</f>
        <v>0</v>
      </c>
      <c r="Z45" s="115">
        <f>Z$22*shipping_manufacturing!$E$28/100</f>
        <v>0</v>
      </c>
      <c r="AA45" s="115">
        <f>AA$22*shipping_manufacturing!$E$28/100</f>
        <v>0</v>
      </c>
      <c r="AB45" s="115">
        <f>AB$22*shipping_manufacturing!$E$28/100</f>
        <v>0</v>
      </c>
      <c r="AC45" s="115">
        <f>AC$22*shipping_manufacturing!$E$28/100</f>
        <v>0</v>
      </c>
      <c r="AD45" s="115">
        <f>AD$22*shipping_manufacturing!$E$28/100</f>
        <v>0</v>
      </c>
      <c r="AE45" s="115">
        <f>AE$22*shipping_manufacturing!$E$28/100</f>
        <v>0</v>
      </c>
      <c r="AF45" s="115">
        <f>AF$22*shipping_manufacturing!$E$28/100</f>
        <v>0</v>
      </c>
      <c r="AG45" s="115">
        <f>AG$22*shipping_manufacturing!$E$28/100</f>
        <v>0</v>
      </c>
      <c r="AH45" s="115">
        <f>AH$22*shipping_manufacturing!$E$28/100</f>
        <v>0</v>
      </c>
      <c r="AI45" s="115">
        <f>AI$22*shipping_manufacturing!$E$28/100</f>
        <v>0</v>
      </c>
      <c r="AJ45" s="115">
        <f>AJ$22*shipping_manufacturing!$E$28/100</f>
        <v>0</v>
      </c>
      <c r="AK45" s="115">
        <f>AK$22*shipping_manufacturing!$E$28/100</f>
        <v>0</v>
      </c>
      <c r="AL45" s="115">
        <f>AL$22*shipping_manufacturing!$E$28/100</f>
        <v>0</v>
      </c>
      <c r="AM45" s="115">
        <f>AM$22*shipping_manufacturing!$E$28/100</f>
        <v>0</v>
      </c>
      <c r="AN45" s="115">
        <f>AN$22*shipping_manufacturing!$E$28/100</f>
        <v>0</v>
      </c>
      <c r="AO45" s="115">
        <f>AO$22*shipping_manufacturing!$E$28/100</f>
        <v>0</v>
      </c>
      <c r="AP45" s="115">
        <f>AP$22*shipping_manufacturing!$E$28/100</f>
        <v>0</v>
      </c>
      <c r="AQ45" s="115">
        <f>AQ$22*shipping_manufacturing!$E$28/100</f>
        <v>0</v>
      </c>
      <c r="AR45" s="115">
        <f>AR$22*shipping_manufacturing!$E$28/100</f>
        <v>0</v>
      </c>
      <c r="AS45" s="115">
        <f>AS$22*shipping_manufacturing!$E$28/100</f>
        <v>0</v>
      </c>
      <c r="AT45" s="115">
        <f>AT$22*shipping_manufacturing!$E$28/100</f>
        <v>0</v>
      </c>
      <c r="AU45" s="115">
        <f>AU$22*shipping_manufacturing!$E$28/100</f>
        <v>0</v>
      </c>
      <c r="AV45" s="115">
        <f>AV$22*shipping_manufacturing!$E$28/100</f>
        <v>0</v>
      </c>
      <c r="AW45" s="115">
        <f>AW$22*shipping_manufacturing!$E$28/100</f>
        <v>0</v>
      </c>
      <c r="AX45" s="115">
        <f>AX$22*shipping_manufacturing!$E$28/100</f>
        <v>0</v>
      </c>
      <c r="AY45" s="115">
        <f>AY$22*shipping_manufacturing!$E$28/100</f>
        <v>0</v>
      </c>
    </row>
    <row r="46" spans="1:52" x14ac:dyDescent="0.2">
      <c r="A46" s="115">
        <v>1518</v>
      </c>
      <c r="B46" s="170" t="s">
        <v>343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344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345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346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347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348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349</v>
      </c>
      <c r="C52" s="115"/>
      <c r="D52" s="115">
        <v>1</v>
      </c>
      <c r="E52" s="115">
        <v>1</v>
      </c>
      <c r="F52" s="115">
        <v>1</v>
      </c>
      <c r="G52" s="115">
        <v>1</v>
      </c>
      <c r="H52" s="115">
        <v>2</v>
      </c>
      <c r="I52" s="115">
        <v>1</v>
      </c>
      <c r="J52" s="115">
        <v>1</v>
      </c>
      <c r="K52" s="115">
        <v>2</v>
      </c>
      <c r="L52" s="115">
        <v>2</v>
      </c>
      <c r="M52" s="115">
        <v>1</v>
      </c>
      <c r="N52" s="115">
        <v>2</v>
      </c>
      <c r="O52" s="115">
        <v>1</v>
      </c>
      <c r="P52" s="115">
        <v>1</v>
      </c>
      <c r="Q52" s="115">
        <v>1</v>
      </c>
      <c r="R52" s="115">
        <v>1</v>
      </c>
      <c r="S52" s="115">
        <v>1</v>
      </c>
      <c r="T52" s="115">
        <v>1</v>
      </c>
      <c r="U52" s="115">
        <v>1</v>
      </c>
      <c r="V52" s="115">
        <v>2</v>
      </c>
      <c r="W52" s="115">
        <v>2</v>
      </c>
      <c r="X52" s="115">
        <v>2</v>
      </c>
      <c r="Y52" s="115">
        <v>1</v>
      </c>
      <c r="Z52" s="115">
        <v>1</v>
      </c>
      <c r="AA52" s="115">
        <v>2</v>
      </c>
      <c r="AB52" s="115">
        <v>3</v>
      </c>
      <c r="AC52" s="115">
        <v>1</v>
      </c>
      <c r="AD52" s="115">
        <v>2</v>
      </c>
      <c r="AE52" s="115">
        <v>3</v>
      </c>
      <c r="AF52" s="115">
        <v>1</v>
      </c>
      <c r="AG52" s="115">
        <v>1</v>
      </c>
      <c r="AH52" s="115">
        <v>1</v>
      </c>
      <c r="AI52" s="115">
        <v>1</v>
      </c>
      <c r="AJ52" s="115">
        <v>1</v>
      </c>
      <c r="AK52" s="115">
        <v>1</v>
      </c>
      <c r="AL52" s="115">
        <v>1</v>
      </c>
      <c r="AM52" s="115">
        <v>2</v>
      </c>
      <c r="AN52" s="115">
        <v>1</v>
      </c>
      <c r="AO52" s="115">
        <v>2</v>
      </c>
      <c r="AP52" s="115">
        <v>1</v>
      </c>
      <c r="AQ52" s="115">
        <v>1</v>
      </c>
      <c r="AR52" s="115">
        <v>1</v>
      </c>
      <c r="AS52" s="115">
        <v>1</v>
      </c>
      <c r="AT52" s="115">
        <v>2</v>
      </c>
      <c r="AU52" s="115">
        <v>1</v>
      </c>
      <c r="AV52" s="115">
        <v>1</v>
      </c>
      <c r="AW52" s="115">
        <v>2</v>
      </c>
      <c r="AX52" s="115">
        <v>2</v>
      </c>
      <c r="AY52" s="115">
        <v>1</v>
      </c>
    </row>
    <row r="53" spans="1:52" x14ac:dyDescent="0.2">
      <c r="A53" s="115"/>
      <c r="B53" s="183" t="s">
        <v>350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351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341</v>
      </c>
      <c r="C55" s="129"/>
      <c r="D55" s="129">
        <f>D$21*shipping_manufacturing!$D$29/100</f>
        <v>0</v>
      </c>
      <c r="E55" s="129">
        <f>E$21*shipping_manufacturing!$D$29/100</f>
        <v>0</v>
      </c>
      <c r="F55" s="129">
        <f>F$21*shipping_manufacturing!$D$29/100</f>
        <v>0</v>
      </c>
      <c r="G55" s="129">
        <f>G$21*shipping_manufacturing!$D$29/100</f>
        <v>0</v>
      </c>
      <c r="H55" s="129">
        <f>H$21*shipping_manufacturing!$D$29/100</f>
        <v>0</v>
      </c>
      <c r="I55" s="129">
        <f>I$21*shipping_manufacturing!$D$29/100</f>
        <v>0</v>
      </c>
      <c r="J55" s="129">
        <f>J$21*shipping_manufacturing!$D$29/100</f>
        <v>0</v>
      </c>
      <c r="K55" s="129">
        <f>K$21*shipping_manufacturing!$D$29/100</f>
        <v>0</v>
      </c>
      <c r="L55" s="129">
        <f>L$21*shipping_manufacturing!$D$29/100</f>
        <v>0</v>
      </c>
      <c r="M55" s="129">
        <f>M$21*shipping_manufacturing!$D$29/100</f>
        <v>0</v>
      </c>
      <c r="N55" s="129">
        <f>N$21*shipping_manufacturing!$D$29/100</f>
        <v>0</v>
      </c>
      <c r="O55" s="129">
        <f>O$21*shipping_manufacturing!$D$29/100</f>
        <v>0</v>
      </c>
      <c r="P55" s="129">
        <f>P$21*shipping_manufacturing!$D$29/100</f>
        <v>0</v>
      </c>
      <c r="Q55" s="129">
        <f>Q$21*shipping_manufacturing!$D$29/100</f>
        <v>0</v>
      </c>
      <c r="R55" s="129">
        <f>R$21*shipping_manufacturing!$D$29/100</f>
        <v>0</v>
      </c>
      <c r="S55" s="129">
        <f>S$21*shipping_manufacturing!$D$29/100</f>
        <v>0</v>
      </c>
      <c r="T55" s="129">
        <f>T$21*shipping_manufacturing!$D$29/100</f>
        <v>0</v>
      </c>
      <c r="U55" s="129">
        <f>U$21*shipping_manufacturing!$D$29/100</f>
        <v>0</v>
      </c>
      <c r="V55" s="129">
        <f>V$21*shipping_manufacturing!$D$29/100</f>
        <v>0</v>
      </c>
      <c r="W55" s="129">
        <f>W$21*shipping_manufacturing!$D$29/100</f>
        <v>0</v>
      </c>
      <c r="X55" s="129">
        <f>X$21*shipping_manufacturing!$D$29/100</f>
        <v>0</v>
      </c>
      <c r="Y55" s="129">
        <f>Y$21*shipping_manufacturing!$D$29/100</f>
        <v>0</v>
      </c>
      <c r="Z55" s="129">
        <f>Z$21*shipping_manufacturing!$D$29/100</f>
        <v>0</v>
      </c>
      <c r="AA55" s="129">
        <f>AA$21*shipping_manufacturing!$D$29/100</f>
        <v>0</v>
      </c>
      <c r="AB55" s="129">
        <f>AB$21*shipping_manufacturing!$D$29/100</f>
        <v>0</v>
      </c>
      <c r="AC55" s="129">
        <f>AC$21*shipping_manufacturing!$D$29/100</f>
        <v>0</v>
      </c>
      <c r="AD55" s="129">
        <f>AD$21*shipping_manufacturing!$D$29/100</f>
        <v>0</v>
      </c>
      <c r="AE55" s="129">
        <f>AE$21*shipping_manufacturing!$D$29/100</f>
        <v>0</v>
      </c>
      <c r="AF55" s="129">
        <f>AF$21*shipping_manufacturing!$D$29/100</f>
        <v>0</v>
      </c>
      <c r="AG55" s="129">
        <f>AG$21*shipping_manufacturing!$D$29/100</f>
        <v>0</v>
      </c>
      <c r="AH55" s="129">
        <f>AH$21*shipping_manufacturing!$D$29/100</f>
        <v>0</v>
      </c>
      <c r="AI55" s="129">
        <f>AI$21*shipping_manufacturing!$D$29/100</f>
        <v>0</v>
      </c>
      <c r="AJ55" s="129">
        <f>AJ$21*shipping_manufacturing!$D$29/100</f>
        <v>0</v>
      </c>
      <c r="AK55" s="129">
        <f>AK$21*shipping_manufacturing!$D$29/100</f>
        <v>0</v>
      </c>
      <c r="AL55" s="129">
        <f>AL$21*shipping_manufacturing!$D$29/100</f>
        <v>0</v>
      </c>
      <c r="AM55" s="129">
        <f>AM$21*shipping_manufacturing!$D$29/100</f>
        <v>0</v>
      </c>
      <c r="AN55" s="129">
        <f>AN$21*shipping_manufacturing!$D$29/100</f>
        <v>0</v>
      </c>
      <c r="AO55" s="129">
        <f>AO$21*shipping_manufacturing!$D$29/100</f>
        <v>0</v>
      </c>
      <c r="AP55" s="129">
        <f>AP$21*shipping_manufacturing!$D$29/100</f>
        <v>0</v>
      </c>
      <c r="AQ55" s="129">
        <f>AQ$21*shipping_manufacturing!$D$29/100</f>
        <v>0</v>
      </c>
      <c r="AR55" s="129">
        <f>AR$21*shipping_manufacturing!$D$29/100</f>
        <v>0</v>
      </c>
      <c r="AS55" s="129">
        <f>AS$21*shipping_manufacturing!$D$29/100</f>
        <v>0</v>
      </c>
      <c r="AT55" s="129">
        <f>AT$21*shipping_manufacturing!$D$29/100</f>
        <v>0</v>
      </c>
      <c r="AU55" s="129">
        <f>AU$21*shipping_manufacturing!$D$29/100</f>
        <v>0</v>
      </c>
      <c r="AV55" s="129">
        <f>AV$21*shipping_manufacturing!$D$29/100</f>
        <v>0</v>
      </c>
      <c r="AW55" s="129">
        <f>AW$21*shipping_manufacturing!$D$29/100</f>
        <v>0</v>
      </c>
      <c r="AX55" s="129">
        <f>AX$21*shipping_manufacturing!$D$29/100</f>
        <v>0</v>
      </c>
      <c r="AY55" s="129">
        <f>AY$21*shipping_manufacturing!$D$29/100</f>
        <v>0</v>
      </c>
    </row>
    <row r="56" spans="1:52" x14ac:dyDescent="0.2">
      <c r="A56" s="118" t="s">
        <v>340</v>
      </c>
      <c r="B56" s="170" t="s">
        <v>342</v>
      </c>
      <c r="C56" s="115"/>
      <c r="D56" s="115">
        <f>D$22*shipping_manufacturing!$E$29/100</f>
        <v>0</v>
      </c>
      <c r="E56" s="115">
        <f>E$22*shipping_manufacturing!$E$29/100</f>
        <v>0</v>
      </c>
      <c r="F56" s="115">
        <f>F$22*shipping_manufacturing!$E$29/100</f>
        <v>0</v>
      </c>
      <c r="G56" s="115">
        <f>G$22*shipping_manufacturing!$E$29/100</f>
        <v>0</v>
      </c>
      <c r="H56" s="115">
        <f>H$22*shipping_manufacturing!$E$29/100</f>
        <v>0</v>
      </c>
      <c r="I56" s="115">
        <f>I$22*shipping_manufacturing!$E$29/100</f>
        <v>0</v>
      </c>
      <c r="J56" s="115">
        <f>J$22*shipping_manufacturing!$E$29/100</f>
        <v>0</v>
      </c>
      <c r="K56" s="115">
        <f>K$22*shipping_manufacturing!$E$29/100</f>
        <v>0</v>
      </c>
      <c r="L56" s="115">
        <f>L$22*shipping_manufacturing!$E$29/100</f>
        <v>0</v>
      </c>
      <c r="M56" s="115">
        <f>M$22*shipping_manufacturing!$E$29/100</f>
        <v>0</v>
      </c>
      <c r="N56" s="115">
        <f>N$22*shipping_manufacturing!$E$29/100</f>
        <v>0</v>
      </c>
      <c r="O56" s="115">
        <f>O$22*shipping_manufacturing!$E$29/100</f>
        <v>0</v>
      </c>
      <c r="P56" s="115">
        <f>P$22*shipping_manufacturing!$E$29/100</f>
        <v>0</v>
      </c>
      <c r="Q56" s="115">
        <f>Q$22*shipping_manufacturing!$E$29/100</f>
        <v>0</v>
      </c>
      <c r="R56" s="115">
        <f>R$22*shipping_manufacturing!$E$29/100</f>
        <v>0</v>
      </c>
      <c r="S56" s="115">
        <f>S$22*shipping_manufacturing!$E$29/100</f>
        <v>0</v>
      </c>
      <c r="T56" s="115">
        <f>T$22*shipping_manufacturing!$E$29/100</f>
        <v>0</v>
      </c>
      <c r="U56" s="115">
        <f>U$22*shipping_manufacturing!$E$29/100</f>
        <v>0</v>
      </c>
      <c r="V56" s="115">
        <f>V$22*shipping_manufacturing!$E$29/100</f>
        <v>0</v>
      </c>
      <c r="W56" s="115">
        <f>W$22*shipping_manufacturing!$E$29/100</f>
        <v>0</v>
      </c>
      <c r="X56" s="115">
        <f>X$22*shipping_manufacturing!$E$29/100</f>
        <v>0</v>
      </c>
      <c r="Y56" s="115">
        <f>Y$22*shipping_manufacturing!$E$29/100</f>
        <v>0</v>
      </c>
      <c r="Z56" s="115">
        <f>Z$22*shipping_manufacturing!$E$29/100</f>
        <v>0</v>
      </c>
      <c r="AA56" s="115">
        <f>AA$22*shipping_manufacturing!$E$29/100</f>
        <v>0</v>
      </c>
      <c r="AB56" s="115">
        <f>AB$22*shipping_manufacturing!$E$29/100</f>
        <v>0</v>
      </c>
      <c r="AC56" s="115">
        <f>AC$22*shipping_manufacturing!$E$29/100</f>
        <v>0</v>
      </c>
      <c r="AD56" s="115">
        <f>AD$22*shipping_manufacturing!$E$29/100</f>
        <v>0</v>
      </c>
      <c r="AE56" s="115">
        <f>AE$22*shipping_manufacturing!$E$29/100</f>
        <v>0</v>
      </c>
      <c r="AF56" s="115">
        <f>AF$22*shipping_manufacturing!$E$29/100</f>
        <v>0</v>
      </c>
      <c r="AG56" s="115">
        <f>AG$22*shipping_manufacturing!$E$29/100</f>
        <v>0</v>
      </c>
      <c r="AH56" s="115">
        <f>AH$22*shipping_manufacturing!$E$29/100</f>
        <v>0</v>
      </c>
      <c r="AI56" s="115">
        <f>AI$22*shipping_manufacturing!$E$29/100</f>
        <v>0</v>
      </c>
      <c r="AJ56" s="115">
        <f>AJ$22*shipping_manufacturing!$E$29/100</f>
        <v>0</v>
      </c>
      <c r="AK56" s="115">
        <f>AK$22*shipping_manufacturing!$E$29/100</f>
        <v>0</v>
      </c>
      <c r="AL56" s="115">
        <f>AL$22*shipping_manufacturing!$E$29/100</f>
        <v>0</v>
      </c>
      <c r="AM56" s="115">
        <f>AM$22*shipping_manufacturing!$E$29/100</f>
        <v>0</v>
      </c>
      <c r="AN56" s="115">
        <f>AN$22*shipping_manufacturing!$E$29/100</f>
        <v>0</v>
      </c>
      <c r="AO56" s="115">
        <f>AO$22*shipping_manufacturing!$E$29/100</f>
        <v>0</v>
      </c>
      <c r="AP56" s="115">
        <f>AP$22*shipping_manufacturing!$E$29/100</f>
        <v>0</v>
      </c>
      <c r="AQ56" s="115">
        <f>AQ$22*shipping_manufacturing!$E$29/100</f>
        <v>0</v>
      </c>
      <c r="AR56" s="115">
        <f>AR$22*shipping_manufacturing!$E$29/100</f>
        <v>0</v>
      </c>
      <c r="AS56" s="115">
        <f>AS$22*shipping_manufacturing!$E$29/100</f>
        <v>0</v>
      </c>
      <c r="AT56" s="115">
        <f>AT$22*shipping_manufacturing!$E$29/100</f>
        <v>0</v>
      </c>
      <c r="AU56" s="115">
        <f>AU$22*shipping_manufacturing!$E$29/100</f>
        <v>0</v>
      </c>
      <c r="AV56" s="115">
        <f>AV$22*shipping_manufacturing!$E$29/100</f>
        <v>0</v>
      </c>
      <c r="AW56" s="115">
        <f>AW$22*shipping_manufacturing!$E$29/100</f>
        <v>0</v>
      </c>
      <c r="AX56" s="115">
        <f>AX$22*shipping_manufacturing!$E$29/100</f>
        <v>0</v>
      </c>
      <c r="AY56" s="115">
        <f>AY$22*shipping_manufacturing!$E$29/100</f>
        <v>0</v>
      </c>
    </row>
    <row r="57" spans="1:52" x14ac:dyDescent="0.2">
      <c r="A57" s="115">
        <v>1314</v>
      </c>
      <c r="B57" s="170" t="s">
        <v>343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344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345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346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347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348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349</v>
      </c>
      <c r="C63" s="115"/>
      <c r="D63" s="115">
        <v>2</v>
      </c>
      <c r="E63" s="115">
        <v>1</v>
      </c>
      <c r="F63" s="115">
        <v>2</v>
      </c>
      <c r="G63" s="115">
        <v>2</v>
      </c>
      <c r="H63" s="115">
        <v>1</v>
      </c>
      <c r="I63" s="115">
        <v>2</v>
      </c>
      <c r="J63" s="115">
        <v>1</v>
      </c>
      <c r="K63" s="115">
        <v>2</v>
      </c>
      <c r="L63" s="115">
        <v>3</v>
      </c>
      <c r="M63" s="115">
        <v>2</v>
      </c>
      <c r="N63" s="115">
        <v>2</v>
      </c>
      <c r="O63" s="115">
        <v>1</v>
      </c>
      <c r="P63" s="115">
        <v>2</v>
      </c>
      <c r="Q63" s="115">
        <v>1</v>
      </c>
      <c r="R63" s="115">
        <v>1</v>
      </c>
      <c r="S63" s="115">
        <v>2</v>
      </c>
      <c r="T63" s="115">
        <v>1</v>
      </c>
      <c r="U63" s="115">
        <v>1</v>
      </c>
      <c r="V63" s="115">
        <v>1</v>
      </c>
      <c r="W63" s="115">
        <v>1</v>
      </c>
      <c r="X63" s="115">
        <v>2</v>
      </c>
      <c r="Y63" s="115">
        <v>1</v>
      </c>
      <c r="Z63" s="115">
        <v>3</v>
      </c>
      <c r="AA63" s="115">
        <v>1</v>
      </c>
      <c r="AB63" s="115">
        <v>1</v>
      </c>
      <c r="AC63" s="115">
        <v>3</v>
      </c>
      <c r="AD63" s="115">
        <v>2</v>
      </c>
      <c r="AE63" s="115">
        <v>1</v>
      </c>
      <c r="AF63" s="115">
        <v>1</v>
      </c>
      <c r="AG63" s="115">
        <v>1</v>
      </c>
      <c r="AH63" s="115">
        <v>2</v>
      </c>
      <c r="AI63" s="115">
        <v>1</v>
      </c>
      <c r="AJ63" s="115">
        <v>2</v>
      </c>
      <c r="AK63" s="115">
        <v>1</v>
      </c>
      <c r="AL63" s="115">
        <v>2</v>
      </c>
      <c r="AM63" s="115">
        <v>2</v>
      </c>
      <c r="AN63" s="115">
        <v>1</v>
      </c>
      <c r="AO63" s="115">
        <v>1</v>
      </c>
      <c r="AP63" s="115">
        <v>2</v>
      </c>
      <c r="AQ63" s="115">
        <v>1</v>
      </c>
      <c r="AR63" s="115">
        <v>1</v>
      </c>
      <c r="AS63" s="115">
        <v>1</v>
      </c>
      <c r="AT63" s="115">
        <v>2</v>
      </c>
      <c r="AU63" s="115">
        <v>1</v>
      </c>
      <c r="AV63" s="115">
        <v>2</v>
      </c>
      <c r="AW63" s="115">
        <v>2</v>
      </c>
      <c r="AX63" s="115">
        <v>1</v>
      </c>
      <c r="AY63" s="115">
        <v>1</v>
      </c>
    </row>
    <row r="64" spans="1:52" x14ac:dyDescent="0.2">
      <c r="A64" s="115"/>
      <c r="B64" s="183" t="s">
        <v>350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351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341</v>
      </c>
      <c r="C66" s="129"/>
      <c r="D66" s="129">
        <f>D$21*shipping_manufacturing!$D$30/100</f>
        <v>0</v>
      </c>
      <c r="E66" s="129">
        <f>E$21*shipping_manufacturing!$D$30/100</f>
        <v>0</v>
      </c>
      <c r="F66" s="129">
        <f>F$21*shipping_manufacturing!$D$30/100</f>
        <v>0</v>
      </c>
      <c r="G66" s="129">
        <f>G$21*shipping_manufacturing!$D$30/100</f>
        <v>0</v>
      </c>
      <c r="H66" s="129">
        <f>H$21*shipping_manufacturing!$D$30/100</f>
        <v>0</v>
      </c>
      <c r="I66" s="129">
        <f>I$21*shipping_manufacturing!$D$30/100</f>
        <v>0</v>
      </c>
      <c r="J66" s="129">
        <f>J$21*shipping_manufacturing!$D$30/100</f>
        <v>0</v>
      </c>
      <c r="K66" s="129">
        <f>K$21*shipping_manufacturing!$D$30/100</f>
        <v>0</v>
      </c>
      <c r="L66" s="129">
        <f>L$21*shipping_manufacturing!$D$30/100</f>
        <v>0</v>
      </c>
      <c r="M66" s="129">
        <f>M$21*shipping_manufacturing!$D$30/100</f>
        <v>0</v>
      </c>
      <c r="N66" s="129">
        <f>N$21*shipping_manufacturing!$D$30/100</f>
        <v>0</v>
      </c>
      <c r="O66" s="129">
        <f>O$21*shipping_manufacturing!$D$30/100</f>
        <v>0</v>
      </c>
      <c r="P66" s="129">
        <f>P$21*shipping_manufacturing!$D$30/100</f>
        <v>0</v>
      </c>
      <c r="Q66" s="129">
        <f>Q$21*shipping_manufacturing!$D$30/100</f>
        <v>0</v>
      </c>
      <c r="R66" s="129">
        <f>R$21*shipping_manufacturing!$D$30/100</f>
        <v>0</v>
      </c>
      <c r="S66" s="129">
        <f>S$21*shipping_manufacturing!$D$30/100</f>
        <v>0</v>
      </c>
      <c r="T66" s="129">
        <f>T$21*shipping_manufacturing!$D$30/100</f>
        <v>0</v>
      </c>
      <c r="U66" s="129">
        <f>U$21*shipping_manufacturing!$D$30/100</f>
        <v>0</v>
      </c>
      <c r="V66" s="129">
        <f>V$21*shipping_manufacturing!$D$30/100</f>
        <v>0</v>
      </c>
      <c r="W66" s="129">
        <f>W$21*shipping_manufacturing!$D$30/100</f>
        <v>0</v>
      </c>
      <c r="X66" s="129">
        <f>X$21*shipping_manufacturing!$D$30/100</f>
        <v>0</v>
      </c>
      <c r="Y66" s="129">
        <f>Y$21*shipping_manufacturing!$D$30/100</f>
        <v>0</v>
      </c>
      <c r="Z66" s="129">
        <f>Z$21*shipping_manufacturing!$D$30/100</f>
        <v>0</v>
      </c>
      <c r="AA66" s="129">
        <f>AA$21*shipping_manufacturing!$D$30/100</f>
        <v>0</v>
      </c>
      <c r="AB66" s="129">
        <f>AB$21*shipping_manufacturing!$D$30/100</f>
        <v>0</v>
      </c>
      <c r="AC66" s="129">
        <f>AC$21*shipping_manufacturing!$D$30/100</f>
        <v>0</v>
      </c>
      <c r="AD66" s="129">
        <f>AD$21*shipping_manufacturing!$D$30/100</f>
        <v>0</v>
      </c>
      <c r="AE66" s="129">
        <f>AE$21*shipping_manufacturing!$D$30/100</f>
        <v>0</v>
      </c>
      <c r="AF66" s="129">
        <f>AF$21*shipping_manufacturing!$D$30/100</f>
        <v>0</v>
      </c>
      <c r="AG66" s="129">
        <f>AG$21*shipping_manufacturing!$D$30/100</f>
        <v>0</v>
      </c>
      <c r="AH66" s="129">
        <f>AH$21*shipping_manufacturing!$D$30/100</f>
        <v>0</v>
      </c>
      <c r="AI66" s="129">
        <f>AI$21*shipping_manufacturing!$D$30/100</f>
        <v>0</v>
      </c>
      <c r="AJ66" s="129">
        <f>AJ$21*shipping_manufacturing!$D$30/100</f>
        <v>0</v>
      </c>
      <c r="AK66" s="129">
        <f>AK$21*shipping_manufacturing!$D$30/100</f>
        <v>0</v>
      </c>
      <c r="AL66" s="129">
        <f>AL$21*shipping_manufacturing!$D$30/100</f>
        <v>0</v>
      </c>
      <c r="AM66" s="129">
        <f>AM$21*shipping_manufacturing!$D$30/100</f>
        <v>0</v>
      </c>
      <c r="AN66" s="129">
        <f>AN$21*shipping_manufacturing!$D$30/100</f>
        <v>0</v>
      </c>
      <c r="AO66" s="129">
        <f>AO$21*shipping_manufacturing!$D$30/100</f>
        <v>0</v>
      </c>
      <c r="AP66" s="129">
        <f>AP$21*shipping_manufacturing!$D$30/100</f>
        <v>0</v>
      </c>
      <c r="AQ66" s="129">
        <f>AQ$21*shipping_manufacturing!$D$30/100</f>
        <v>0</v>
      </c>
      <c r="AR66" s="129">
        <f>AR$21*shipping_manufacturing!$D$30/100</f>
        <v>0</v>
      </c>
      <c r="AS66" s="129">
        <f>AS$21*shipping_manufacturing!$D$30/100</f>
        <v>0</v>
      </c>
      <c r="AT66" s="129">
        <f>AT$21*shipping_manufacturing!$D$30/100</f>
        <v>0</v>
      </c>
      <c r="AU66" s="129">
        <f>AU$21*shipping_manufacturing!$D$30/100</f>
        <v>0</v>
      </c>
      <c r="AV66" s="129">
        <f>AV$21*shipping_manufacturing!$D$30/100</f>
        <v>0</v>
      </c>
      <c r="AW66" s="129">
        <f>AW$21*shipping_manufacturing!$D$30/100</f>
        <v>0</v>
      </c>
      <c r="AX66" s="129">
        <f>AX$21*shipping_manufacturing!$D$30/100</f>
        <v>0</v>
      </c>
      <c r="AY66" s="129">
        <f>AY$21*shipping_manufacturing!$D$30/100</f>
        <v>0</v>
      </c>
    </row>
    <row r="67" spans="1:52" x14ac:dyDescent="0.2">
      <c r="A67" s="118" t="s">
        <v>340</v>
      </c>
      <c r="B67" s="170" t="s">
        <v>342</v>
      </c>
      <c r="C67" s="115"/>
      <c r="D67" s="115">
        <f>D$22*shipping_manufacturing!$E$30/100</f>
        <v>0</v>
      </c>
      <c r="E67" s="115">
        <f>E$22*shipping_manufacturing!$E$30/100</f>
        <v>0</v>
      </c>
      <c r="F67" s="115">
        <f>F$22*shipping_manufacturing!$E$30/100</f>
        <v>0</v>
      </c>
      <c r="G67" s="115">
        <f>G$22*shipping_manufacturing!$E$30/100</f>
        <v>0</v>
      </c>
      <c r="H67" s="115">
        <f>H$22*shipping_manufacturing!$E$30/100</f>
        <v>0</v>
      </c>
      <c r="I67" s="115">
        <f>I$22*shipping_manufacturing!$E$30/100</f>
        <v>0</v>
      </c>
      <c r="J67" s="115">
        <f>J$22*shipping_manufacturing!$E$30/100</f>
        <v>0</v>
      </c>
      <c r="K67" s="115">
        <f>K$22*shipping_manufacturing!$E$30/100</f>
        <v>0</v>
      </c>
      <c r="L67" s="115">
        <f>L$22*shipping_manufacturing!$E$30/100</f>
        <v>0</v>
      </c>
      <c r="M67" s="115">
        <f>M$22*shipping_manufacturing!$E$30/100</f>
        <v>0</v>
      </c>
      <c r="N67" s="115">
        <f>N$22*shipping_manufacturing!$E$30/100</f>
        <v>0</v>
      </c>
      <c r="O67" s="115">
        <f>O$22*shipping_manufacturing!$E$30/100</f>
        <v>0</v>
      </c>
      <c r="P67" s="115">
        <f>P$22*shipping_manufacturing!$E$30/100</f>
        <v>0</v>
      </c>
      <c r="Q67" s="115">
        <f>Q$22*shipping_manufacturing!$E$30/100</f>
        <v>0</v>
      </c>
      <c r="R67" s="115">
        <f>R$22*shipping_manufacturing!$E$30/100</f>
        <v>0</v>
      </c>
      <c r="S67" s="115">
        <f>S$22*shipping_manufacturing!$E$30/100</f>
        <v>0</v>
      </c>
      <c r="T67" s="115">
        <f>T$22*shipping_manufacturing!$E$30/100</f>
        <v>0</v>
      </c>
      <c r="U67" s="115">
        <f>U$22*shipping_manufacturing!$E$30/100</f>
        <v>0</v>
      </c>
      <c r="V67" s="115">
        <f>V$22*shipping_manufacturing!$E$30/100</f>
        <v>0</v>
      </c>
      <c r="W67" s="115">
        <f>W$22*shipping_manufacturing!$E$30/100</f>
        <v>0</v>
      </c>
      <c r="X67" s="115">
        <f>X$22*shipping_manufacturing!$E$30/100</f>
        <v>0</v>
      </c>
      <c r="Y67" s="115">
        <f>Y$22*shipping_manufacturing!$E$30/100</f>
        <v>0</v>
      </c>
      <c r="Z67" s="115">
        <f>Z$22*shipping_manufacturing!$E$30/100</f>
        <v>0</v>
      </c>
      <c r="AA67" s="115">
        <f>AA$22*shipping_manufacturing!$E$30/100</f>
        <v>0</v>
      </c>
      <c r="AB67" s="115">
        <f>AB$22*shipping_manufacturing!$E$30/100</f>
        <v>0</v>
      </c>
      <c r="AC67" s="115">
        <f>AC$22*shipping_manufacturing!$E$30/100</f>
        <v>0</v>
      </c>
      <c r="AD67" s="115">
        <f>AD$22*shipping_manufacturing!$E$30/100</f>
        <v>0</v>
      </c>
      <c r="AE67" s="115">
        <f>AE$22*shipping_manufacturing!$E$30/100</f>
        <v>0</v>
      </c>
      <c r="AF67" s="115">
        <f>AF$22*shipping_manufacturing!$E$30/100</f>
        <v>0</v>
      </c>
      <c r="AG67" s="115">
        <f>AG$22*shipping_manufacturing!$E$30/100</f>
        <v>0</v>
      </c>
      <c r="AH67" s="115">
        <f>AH$22*shipping_manufacturing!$E$30/100</f>
        <v>0</v>
      </c>
      <c r="AI67" s="115">
        <f>AI$22*shipping_manufacturing!$E$30/100</f>
        <v>0</v>
      </c>
      <c r="AJ67" s="115">
        <f>AJ$22*shipping_manufacturing!$E$30/100</f>
        <v>0</v>
      </c>
      <c r="AK67" s="115">
        <f>AK$22*shipping_manufacturing!$E$30/100</f>
        <v>0</v>
      </c>
      <c r="AL67" s="115">
        <f>AL$22*shipping_manufacturing!$E$30/100</f>
        <v>0</v>
      </c>
      <c r="AM67" s="115">
        <f>AM$22*shipping_manufacturing!$E$30/100</f>
        <v>0</v>
      </c>
      <c r="AN67" s="115">
        <f>AN$22*shipping_manufacturing!$E$30/100</f>
        <v>0</v>
      </c>
      <c r="AO67" s="115">
        <f>AO$22*shipping_manufacturing!$E$30/100</f>
        <v>0</v>
      </c>
      <c r="AP67" s="115">
        <f>AP$22*shipping_manufacturing!$E$30/100</f>
        <v>0</v>
      </c>
      <c r="AQ67" s="115">
        <f>AQ$22*shipping_manufacturing!$E$30/100</f>
        <v>0</v>
      </c>
      <c r="AR67" s="115">
        <f>AR$22*shipping_manufacturing!$E$30/100</f>
        <v>0</v>
      </c>
      <c r="AS67" s="115">
        <f>AS$22*shipping_manufacturing!$E$30/100</f>
        <v>0</v>
      </c>
      <c r="AT67" s="115">
        <f>AT$22*shipping_manufacturing!$E$30/100</f>
        <v>0</v>
      </c>
      <c r="AU67" s="115">
        <f>AU$22*shipping_manufacturing!$E$30/100</f>
        <v>0</v>
      </c>
      <c r="AV67" s="115">
        <f>AV$22*shipping_manufacturing!$E$30/100</f>
        <v>0</v>
      </c>
      <c r="AW67" s="115">
        <f>AW$22*shipping_manufacturing!$E$30/100</f>
        <v>0</v>
      </c>
      <c r="AX67" s="115">
        <f>AX$22*shipping_manufacturing!$E$30/100</f>
        <v>0</v>
      </c>
      <c r="AY67" s="115">
        <f>AY$22*shipping_manufacturing!$E$30/100</f>
        <v>0</v>
      </c>
    </row>
    <row r="68" spans="1:52" x14ac:dyDescent="0.2">
      <c r="A68" s="115">
        <v>1043</v>
      </c>
      <c r="B68" s="170" t="s">
        <v>343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344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345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346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347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348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349</v>
      </c>
      <c r="C74" s="115"/>
      <c r="D74" s="115">
        <v>2</v>
      </c>
      <c r="E74" s="115">
        <v>1</v>
      </c>
      <c r="F74" s="115">
        <v>2</v>
      </c>
      <c r="G74" s="115">
        <v>1</v>
      </c>
      <c r="H74" s="115">
        <v>1</v>
      </c>
      <c r="I74" s="115">
        <v>1</v>
      </c>
      <c r="J74" s="115">
        <v>2</v>
      </c>
      <c r="K74" s="115">
        <v>1</v>
      </c>
      <c r="L74" s="115">
        <v>2</v>
      </c>
      <c r="M74" s="115">
        <v>2</v>
      </c>
      <c r="N74" s="115">
        <v>2</v>
      </c>
      <c r="O74" s="115">
        <v>1</v>
      </c>
      <c r="P74" s="115">
        <v>1</v>
      </c>
      <c r="Q74" s="115">
        <v>1</v>
      </c>
      <c r="R74" s="115">
        <v>2</v>
      </c>
      <c r="S74" s="115">
        <v>1</v>
      </c>
      <c r="T74" s="115">
        <v>1</v>
      </c>
      <c r="U74" s="115">
        <v>2</v>
      </c>
      <c r="V74" s="115">
        <v>2</v>
      </c>
      <c r="W74" s="115">
        <v>1</v>
      </c>
      <c r="X74" s="115">
        <v>1</v>
      </c>
      <c r="Y74" s="115">
        <v>1</v>
      </c>
      <c r="Z74" s="115">
        <v>1</v>
      </c>
      <c r="AA74" s="115">
        <v>1</v>
      </c>
      <c r="AB74" s="115">
        <v>1</v>
      </c>
      <c r="AC74" s="115">
        <v>1</v>
      </c>
      <c r="AD74" s="115">
        <v>1</v>
      </c>
      <c r="AE74" s="115">
        <v>1</v>
      </c>
      <c r="AF74" s="115">
        <v>3</v>
      </c>
      <c r="AG74" s="115">
        <v>3</v>
      </c>
      <c r="AH74" s="115">
        <v>2</v>
      </c>
      <c r="AI74" s="115">
        <v>2</v>
      </c>
      <c r="AJ74" s="115">
        <v>2</v>
      </c>
      <c r="AK74" s="115">
        <v>1</v>
      </c>
      <c r="AL74" s="115">
        <v>3</v>
      </c>
      <c r="AM74" s="115">
        <v>1</v>
      </c>
      <c r="AN74" s="115">
        <v>2</v>
      </c>
      <c r="AO74" s="115">
        <v>1</v>
      </c>
      <c r="AP74" s="115">
        <v>1</v>
      </c>
      <c r="AQ74" s="115">
        <v>2</v>
      </c>
      <c r="AR74" s="115">
        <v>1</v>
      </c>
      <c r="AS74" s="115">
        <v>1</v>
      </c>
      <c r="AT74" s="115">
        <v>1</v>
      </c>
      <c r="AU74" s="115">
        <v>1</v>
      </c>
      <c r="AV74" s="115">
        <v>1</v>
      </c>
      <c r="AW74" s="115">
        <v>1</v>
      </c>
      <c r="AX74" s="115">
        <v>1</v>
      </c>
      <c r="AY74" s="115">
        <v>1</v>
      </c>
    </row>
    <row r="75" spans="1:52" x14ac:dyDescent="0.2">
      <c r="A75" s="115"/>
      <c r="B75" s="183" t="s">
        <v>350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351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8</v>
      </c>
      <c r="E2" s="115"/>
    </row>
    <row r="3" spans="1:52" x14ac:dyDescent="0.2">
      <c r="A3" s="105" t="s">
        <v>286</v>
      </c>
      <c r="B3" s="112">
        <v>750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638.03132895401711</v>
      </c>
      <c r="E7" s="149">
        <v>638.03132895401711</v>
      </c>
      <c r="F7" s="149">
        <v>638.03132895401711</v>
      </c>
      <c r="G7" s="149">
        <v>638.03132895401711</v>
      </c>
      <c r="H7" s="149">
        <v>574.22819605861548</v>
      </c>
      <c r="I7" s="149">
        <v>574.22819605861548</v>
      </c>
      <c r="J7" s="149">
        <v>574.22819605861548</v>
      </c>
      <c r="K7" s="149">
        <v>574.22819605861548</v>
      </c>
      <c r="L7" s="149">
        <v>638.03132895401711</v>
      </c>
      <c r="M7" s="149">
        <v>638.03132895401711</v>
      </c>
      <c r="N7" s="149">
        <v>638.03132895401711</v>
      </c>
      <c r="O7" s="149">
        <v>638.03132895401711</v>
      </c>
      <c r="P7" s="149">
        <v>638.03132895401711</v>
      </c>
      <c r="Q7" s="149">
        <v>638.03132895401711</v>
      </c>
      <c r="R7" s="149">
        <v>638.03132895401711</v>
      </c>
      <c r="S7" s="149">
        <v>638.03132895401711</v>
      </c>
      <c r="T7" s="149">
        <v>574.22819605861548</v>
      </c>
      <c r="U7" s="149">
        <v>574.22819605861548</v>
      </c>
      <c r="V7" s="149">
        <v>574.22819605861548</v>
      </c>
      <c r="W7" s="149">
        <v>574.22819605861548</v>
      </c>
      <c r="X7" s="149">
        <v>701.83446184941897</v>
      </c>
      <c r="Y7" s="149">
        <v>701.83446184941897</v>
      </c>
      <c r="Z7" s="149">
        <v>701.83446184941897</v>
      </c>
      <c r="AA7" s="149">
        <v>701.83446184941897</v>
      </c>
      <c r="AB7" s="149">
        <v>638.03132895401711</v>
      </c>
      <c r="AC7" s="149">
        <v>638.03132895401711</v>
      </c>
      <c r="AD7" s="149">
        <v>638.03132895401711</v>
      </c>
      <c r="AE7" s="149">
        <v>638.03132895401711</v>
      </c>
      <c r="AF7" s="149">
        <v>638.03132895401711</v>
      </c>
      <c r="AG7" s="149">
        <v>638.03132895401711</v>
      </c>
      <c r="AH7" s="149">
        <v>638.03132895401711</v>
      </c>
      <c r="AI7" s="149">
        <v>638.03132895401711</v>
      </c>
      <c r="AJ7" s="149">
        <v>574.22819605861548</v>
      </c>
      <c r="AK7" s="149">
        <v>574.22819605861548</v>
      </c>
      <c r="AL7" s="149">
        <v>574.22819605861548</v>
      </c>
      <c r="AM7" s="149">
        <v>574.22819605861548</v>
      </c>
      <c r="AN7" s="149">
        <v>638.03132895401711</v>
      </c>
      <c r="AO7" s="149">
        <v>638.03132895401711</v>
      </c>
      <c r="AP7" s="149">
        <v>638.03132895401711</v>
      </c>
      <c r="AQ7" s="149">
        <v>638.03132895401711</v>
      </c>
      <c r="AR7" s="149">
        <v>638.03132895401711</v>
      </c>
      <c r="AS7" s="149">
        <v>638.03132895401711</v>
      </c>
      <c r="AT7" s="149">
        <v>638.03132895401711</v>
      </c>
      <c r="AU7" s="149">
        <v>638.03132895401711</v>
      </c>
      <c r="AV7" s="149">
        <v>701.83446184941897</v>
      </c>
      <c r="AW7" s="149">
        <v>701.83446184941897</v>
      </c>
      <c r="AX7" s="149">
        <v>701.83446184941897</v>
      </c>
      <c r="AY7" s="149">
        <v>701.83446184941897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526.06265790803423</v>
      </c>
      <c r="P10" s="149">
        <f t="shared" si="0"/>
        <v>0</v>
      </c>
      <c r="Q10" s="149">
        <f t="shared" si="0"/>
        <v>0</v>
      </c>
      <c r="R10" s="149">
        <f t="shared" si="0"/>
        <v>526.06265790803423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398.45639211723096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1450.5817079332994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574.22819605861548</v>
      </c>
      <c r="D13" s="143">
        <f t="shared" ref="D13:AY13" si="1">D$7-D$10</f>
        <v>638.03132895401711</v>
      </c>
      <c r="E13" s="143">
        <f t="shared" si="1"/>
        <v>638.03132895401711</v>
      </c>
      <c r="F13" s="143">
        <f t="shared" si="1"/>
        <v>638.03132895401711</v>
      </c>
      <c r="G13" s="143">
        <f t="shared" si="1"/>
        <v>638.03132895401711</v>
      </c>
      <c r="H13" s="143">
        <f t="shared" si="1"/>
        <v>574.22819605861548</v>
      </c>
      <c r="I13" s="143">
        <f t="shared" si="1"/>
        <v>574.22819605861548</v>
      </c>
      <c r="J13" s="143">
        <f t="shared" si="1"/>
        <v>574.22819605861548</v>
      </c>
      <c r="K13" s="143">
        <f t="shared" si="1"/>
        <v>574.22819605861548</v>
      </c>
      <c r="L13" s="143">
        <f t="shared" si="1"/>
        <v>638.03132895401711</v>
      </c>
      <c r="M13" s="143">
        <f t="shared" si="1"/>
        <v>638.03132895401711</v>
      </c>
      <c r="N13" s="143">
        <f t="shared" si="1"/>
        <v>638.03132895401711</v>
      </c>
      <c r="O13" s="143">
        <f t="shared" si="1"/>
        <v>111.96867104598289</v>
      </c>
      <c r="P13" s="143">
        <f t="shared" si="1"/>
        <v>638.03132895401711</v>
      </c>
      <c r="Q13" s="143">
        <f t="shared" si="1"/>
        <v>638.03132895401711</v>
      </c>
      <c r="R13" s="143">
        <f t="shared" si="1"/>
        <v>111.96867104598289</v>
      </c>
      <c r="S13" s="143">
        <f t="shared" si="1"/>
        <v>638.03132895401711</v>
      </c>
      <c r="T13" s="143">
        <f t="shared" si="1"/>
        <v>574.22819605861548</v>
      </c>
      <c r="U13" s="143">
        <f t="shared" si="1"/>
        <v>574.22819605861548</v>
      </c>
      <c r="V13" s="143">
        <f t="shared" si="1"/>
        <v>574.22819605861548</v>
      </c>
      <c r="W13" s="143">
        <f t="shared" si="1"/>
        <v>175.77180394138452</v>
      </c>
      <c r="X13" s="143">
        <f t="shared" si="1"/>
        <v>701.83446184941897</v>
      </c>
      <c r="Y13" s="143">
        <f t="shared" si="1"/>
        <v>701.83446184941897</v>
      </c>
      <c r="Z13" s="143">
        <f t="shared" si="1"/>
        <v>701.83446184941897</v>
      </c>
      <c r="AA13" s="143">
        <f t="shared" si="1"/>
        <v>701.83446184941897</v>
      </c>
      <c r="AB13" s="143">
        <f t="shared" si="1"/>
        <v>638.03132895401711</v>
      </c>
      <c r="AC13" s="143">
        <f t="shared" si="1"/>
        <v>638.03132895401711</v>
      </c>
      <c r="AD13" s="143">
        <f t="shared" si="1"/>
        <v>638.03132895401711</v>
      </c>
      <c r="AE13" s="143">
        <f t="shared" si="1"/>
        <v>638.03132895401711</v>
      </c>
      <c r="AF13" s="143">
        <f t="shared" si="1"/>
        <v>638.03132895401711</v>
      </c>
      <c r="AG13" s="143">
        <f t="shared" si="1"/>
        <v>638.03132895401711</v>
      </c>
      <c r="AH13" s="143">
        <f t="shared" si="1"/>
        <v>638.03132895401711</v>
      </c>
      <c r="AI13" s="143">
        <f t="shared" si="1"/>
        <v>638.03132895401711</v>
      </c>
      <c r="AJ13" s="143">
        <f t="shared" si="1"/>
        <v>574.22819605861548</v>
      </c>
      <c r="AK13" s="143">
        <f t="shared" si="1"/>
        <v>574.22819605861548</v>
      </c>
      <c r="AL13" s="143">
        <f t="shared" si="1"/>
        <v>574.22819605861548</v>
      </c>
      <c r="AM13" s="143">
        <f t="shared" si="1"/>
        <v>574.22819605861548</v>
      </c>
      <c r="AN13" s="143">
        <f t="shared" si="1"/>
        <v>638.03132895401711</v>
      </c>
      <c r="AO13" s="143">
        <f t="shared" si="1"/>
        <v>638.03132895401711</v>
      </c>
      <c r="AP13" s="143">
        <f t="shared" si="1"/>
        <v>638.03132895401711</v>
      </c>
      <c r="AQ13" s="143">
        <f t="shared" si="1"/>
        <v>638.03132895401711</v>
      </c>
      <c r="AR13" s="143">
        <f t="shared" si="1"/>
        <v>638.03132895401711</v>
      </c>
      <c r="AS13" s="143">
        <f t="shared" si="1"/>
        <v>638.03132895401711</v>
      </c>
      <c r="AT13" s="143">
        <f t="shared" si="1"/>
        <v>638.03132895401711</v>
      </c>
      <c r="AU13" s="143">
        <f t="shared" si="1"/>
        <v>638.03132895401711</v>
      </c>
      <c r="AV13" s="143">
        <f t="shared" si="1"/>
        <v>701.83446184941897</v>
      </c>
      <c r="AW13" s="143">
        <f t="shared" si="1"/>
        <v>701.83446184941897</v>
      </c>
      <c r="AX13" s="143">
        <f t="shared" si="1"/>
        <v>701.83446184941897</v>
      </c>
      <c r="AY13" s="143">
        <f t="shared" si="1"/>
        <v>701.83446184941897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638.03132895401711</v>
      </c>
      <c r="P14" s="111">
        <f t="shared" si="2"/>
        <v>0</v>
      </c>
      <c r="Q14" s="111">
        <f t="shared" si="2"/>
        <v>0</v>
      </c>
      <c r="R14" s="111">
        <f t="shared" si="2"/>
        <v>638.03132895401711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574.22819605861548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 t="s">
        <v>339</v>
      </c>
      <c r="O20" s="122"/>
      <c r="P20" s="122"/>
      <c r="Q20" s="122" t="s">
        <v>339</v>
      </c>
      <c r="R20" s="122"/>
      <c r="S20" s="122"/>
      <c r="T20" s="122"/>
      <c r="U20" s="122"/>
      <c r="V20" s="122" t="s">
        <v>339</v>
      </c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shipping_manufacturing!$E$19/100</f>
        <v>0.60250391236306733</v>
      </c>
      <c r="C21" s="161" t="s">
        <v>293</v>
      </c>
      <c r="D21" s="111">
        <f>IF(C$20="Yes",0,SUM(C$13:C$16)*$B$21)</f>
        <v>345.97473471450229</v>
      </c>
      <c r="E21" s="111">
        <f t="shared" ref="E21:AY21" si="3">IF(D$20="Yes",0,SUM(D$13:D$16)*$B$21)</f>
        <v>384.41637190500251</v>
      </c>
      <c r="F21" s="111">
        <f t="shared" si="3"/>
        <v>384.41637190500251</v>
      </c>
      <c r="G21" s="111">
        <f t="shared" si="3"/>
        <v>384.41637190500251</v>
      </c>
      <c r="H21" s="111">
        <f t="shared" si="3"/>
        <v>384.41637190500251</v>
      </c>
      <c r="I21" s="111">
        <f t="shared" si="3"/>
        <v>345.97473471450229</v>
      </c>
      <c r="J21" s="111">
        <f t="shared" si="3"/>
        <v>345.97473471450229</v>
      </c>
      <c r="K21" s="111">
        <f t="shared" si="3"/>
        <v>345.97473471450229</v>
      </c>
      <c r="L21" s="111">
        <f t="shared" si="3"/>
        <v>345.97473471450229</v>
      </c>
      <c r="M21" s="111">
        <f t="shared" si="3"/>
        <v>384.41637190500251</v>
      </c>
      <c r="N21" s="111">
        <f t="shared" si="3"/>
        <v>384.41637190500251</v>
      </c>
      <c r="O21" s="111">
        <f t="shared" si="3"/>
        <v>0</v>
      </c>
      <c r="P21" s="111">
        <f t="shared" si="3"/>
        <v>451.87793427230048</v>
      </c>
      <c r="Q21" s="111">
        <f t="shared" si="3"/>
        <v>384.41637190500251</v>
      </c>
      <c r="R21" s="111">
        <f t="shared" si="3"/>
        <v>0</v>
      </c>
      <c r="S21" s="111">
        <f t="shared" si="3"/>
        <v>451.87793427230048</v>
      </c>
      <c r="T21" s="111">
        <f t="shared" si="3"/>
        <v>384.41637190500251</v>
      </c>
      <c r="U21" s="111">
        <f t="shared" si="3"/>
        <v>345.97473471450229</v>
      </c>
      <c r="V21" s="111">
        <f t="shared" si="3"/>
        <v>345.97473471450229</v>
      </c>
      <c r="W21" s="111">
        <f t="shared" si="3"/>
        <v>0</v>
      </c>
      <c r="X21" s="111">
        <f t="shared" si="3"/>
        <v>451.87793427230048</v>
      </c>
      <c r="Y21" s="111">
        <f t="shared" si="3"/>
        <v>422.85800909550284</v>
      </c>
      <c r="Z21" s="111">
        <f t="shared" si="3"/>
        <v>422.85800909550284</v>
      </c>
      <c r="AA21" s="111">
        <f t="shared" si="3"/>
        <v>422.85800909550284</v>
      </c>
      <c r="AB21" s="111">
        <f t="shared" si="3"/>
        <v>422.85800909550284</v>
      </c>
      <c r="AC21" s="111">
        <f t="shared" si="3"/>
        <v>384.41637190500251</v>
      </c>
      <c r="AD21" s="111">
        <f t="shared" si="3"/>
        <v>384.41637190500251</v>
      </c>
      <c r="AE21" s="111">
        <f t="shared" si="3"/>
        <v>384.41637190500251</v>
      </c>
      <c r="AF21" s="111">
        <f t="shared" si="3"/>
        <v>384.41637190500251</v>
      </c>
      <c r="AG21" s="111">
        <f t="shared" si="3"/>
        <v>384.41637190500251</v>
      </c>
      <c r="AH21" s="111">
        <f t="shared" si="3"/>
        <v>384.41637190500251</v>
      </c>
      <c r="AI21" s="111">
        <f t="shared" si="3"/>
        <v>384.41637190500251</v>
      </c>
      <c r="AJ21" s="111">
        <f t="shared" si="3"/>
        <v>384.41637190500251</v>
      </c>
      <c r="AK21" s="111">
        <f t="shared" si="3"/>
        <v>345.97473471450229</v>
      </c>
      <c r="AL21" s="111">
        <f t="shared" si="3"/>
        <v>345.97473471450229</v>
      </c>
      <c r="AM21" s="111">
        <f t="shared" si="3"/>
        <v>345.97473471450229</v>
      </c>
      <c r="AN21" s="111">
        <f t="shared" si="3"/>
        <v>345.97473471450229</v>
      </c>
      <c r="AO21" s="111">
        <f t="shared" si="3"/>
        <v>384.41637190500251</v>
      </c>
      <c r="AP21" s="111">
        <f t="shared" si="3"/>
        <v>384.41637190500251</v>
      </c>
      <c r="AQ21" s="111">
        <f t="shared" si="3"/>
        <v>384.41637190500251</v>
      </c>
      <c r="AR21" s="111">
        <f t="shared" si="3"/>
        <v>384.41637190500251</v>
      </c>
      <c r="AS21" s="111">
        <f t="shared" si="3"/>
        <v>384.41637190500251</v>
      </c>
      <c r="AT21" s="111">
        <f t="shared" si="3"/>
        <v>384.41637190500251</v>
      </c>
      <c r="AU21" s="111">
        <f t="shared" si="3"/>
        <v>384.41637190500251</v>
      </c>
      <c r="AV21" s="111">
        <f t="shared" si="3"/>
        <v>384.41637190500251</v>
      </c>
      <c r="AW21" s="111">
        <f t="shared" si="3"/>
        <v>422.85800909550284</v>
      </c>
      <c r="AX21" s="111">
        <f t="shared" si="3"/>
        <v>422.85800909550284</v>
      </c>
      <c r="AY21" s="111">
        <f t="shared" si="3"/>
        <v>422.85800909550284</v>
      </c>
      <c r="AZ21" s="162">
        <f>SUM($D21:$AY21)</f>
        <v>17347.354874065011</v>
      </c>
    </row>
    <row r="22" spans="1:52" s="115" customFormat="1" x14ac:dyDescent="0.2">
      <c r="A22" s="163" t="s">
        <v>123</v>
      </c>
      <c r="B22" s="164">
        <f>1-$B$21</f>
        <v>0.39749608763693267</v>
      </c>
      <c r="C22" s="164" t="s">
        <v>293</v>
      </c>
      <c r="D22" s="119">
        <f>IF(C$20="Yes",0,SUM(C$13:C$16)*$B$22)</f>
        <v>228.25346134411316</v>
      </c>
      <c r="E22" s="119">
        <f t="shared" ref="E22:AY22" si="4">IF(D$20="Yes",0,SUM(D$13:D$16)*$B$22)</f>
        <v>253.61495704901461</v>
      </c>
      <c r="F22" s="119">
        <f t="shared" si="4"/>
        <v>253.61495704901461</v>
      </c>
      <c r="G22" s="119">
        <f t="shared" si="4"/>
        <v>253.61495704901461</v>
      </c>
      <c r="H22" s="119">
        <f t="shared" si="4"/>
        <v>253.61495704901461</v>
      </c>
      <c r="I22" s="119">
        <f t="shared" si="4"/>
        <v>228.25346134411316</v>
      </c>
      <c r="J22" s="119">
        <f t="shared" si="4"/>
        <v>228.25346134411316</v>
      </c>
      <c r="K22" s="119">
        <f t="shared" si="4"/>
        <v>228.25346134411316</v>
      </c>
      <c r="L22" s="119">
        <f t="shared" si="4"/>
        <v>228.25346134411316</v>
      </c>
      <c r="M22" s="119">
        <f t="shared" si="4"/>
        <v>253.61495704901461</v>
      </c>
      <c r="N22" s="119">
        <f t="shared" si="4"/>
        <v>253.61495704901461</v>
      </c>
      <c r="O22" s="119">
        <f t="shared" si="4"/>
        <v>0</v>
      </c>
      <c r="P22" s="119">
        <f t="shared" si="4"/>
        <v>298.12206572769952</v>
      </c>
      <c r="Q22" s="119">
        <f t="shared" si="4"/>
        <v>253.61495704901461</v>
      </c>
      <c r="R22" s="119">
        <f t="shared" si="4"/>
        <v>0</v>
      </c>
      <c r="S22" s="119">
        <f t="shared" si="4"/>
        <v>298.12206572769952</v>
      </c>
      <c r="T22" s="119">
        <f t="shared" si="4"/>
        <v>253.61495704901461</v>
      </c>
      <c r="U22" s="119">
        <f t="shared" si="4"/>
        <v>228.25346134411316</v>
      </c>
      <c r="V22" s="119">
        <f t="shared" si="4"/>
        <v>228.25346134411316</v>
      </c>
      <c r="W22" s="119">
        <f t="shared" si="4"/>
        <v>0</v>
      </c>
      <c r="X22" s="119">
        <f t="shared" si="4"/>
        <v>298.12206572769952</v>
      </c>
      <c r="Y22" s="119">
        <f t="shared" si="4"/>
        <v>278.97645275391613</v>
      </c>
      <c r="Z22" s="119">
        <f t="shared" si="4"/>
        <v>278.97645275391613</v>
      </c>
      <c r="AA22" s="119">
        <f t="shared" si="4"/>
        <v>278.97645275391613</v>
      </c>
      <c r="AB22" s="119">
        <f t="shared" si="4"/>
        <v>278.97645275391613</v>
      </c>
      <c r="AC22" s="119">
        <f t="shared" si="4"/>
        <v>253.61495704901461</v>
      </c>
      <c r="AD22" s="119">
        <f t="shared" si="4"/>
        <v>253.61495704901461</v>
      </c>
      <c r="AE22" s="119">
        <f t="shared" si="4"/>
        <v>253.61495704901461</v>
      </c>
      <c r="AF22" s="119">
        <f t="shared" si="4"/>
        <v>253.61495704901461</v>
      </c>
      <c r="AG22" s="119">
        <f t="shared" si="4"/>
        <v>253.61495704901461</v>
      </c>
      <c r="AH22" s="119">
        <f t="shared" si="4"/>
        <v>253.61495704901461</v>
      </c>
      <c r="AI22" s="119">
        <f t="shared" si="4"/>
        <v>253.61495704901461</v>
      </c>
      <c r="AJ22" s="119">
        <f t="shared" si="4"/>
        <v>253.61495704901461</v>
      </c>
      <c r="AK22" s="119">
        <f t="shared" si="4"/>
        <v>228.25346134411316</v>
      </c>
      <c r="AL22" s="119">
        <f t="shared" si="4"/>
        <v>228.25346134411316</v>
      </c>
      <c r="AM22" s="119">
        <f t="shared" si="4"/>
        <v>228.25346134411316</v>
      </c>
      <c r="AN22" s="119">
        <f t="shared" si="4"/>
        <v>228.25346134411316</v>
      </c>
      <c r="AO22" s="119">
        <f t="shared" si="4"/>
        <v>253.61495704901461</v>
      </c>
      <c r="AP22" s="119">
        <f t="shared" si="4"/>
        <v>253.61495704901461</v>
      </c>
      <c r="AQ22" s="119">
        <f t="shared" si="4"/>
        <v>253.61495704901461</v>
      </c>
      <c r="AR22" s="119">
        <f t="shared" si="4"/>
        <v>253.61495704901461</v>
      </c>
      <c r="AS22" s="119">
        <f t="shared" si="4"/>
        <v>253.61495704901461</v>
      </c>
      <c r="AT22" s="119">
        <f t="shared" si="4"/>
        <v>253.61495704901461</v>
      </c>
      <c r="AU22" s="119">
        <f t="shared" si="4"/>
        <v>253.61495704901461</v>
      </c>
      <c r="AV22" s="119">
        <f t="shared" si="4"/>
        <v>253.61495704901461</v>
      </c>
      <c r="AW22" s="119">
        <f t="shared" si="4"/>
        <v>278.97645275391613</v>
      </c>
      <c r="AX22" s="119">
        <f t="shared" si="4"/>
        <v>278.97645275391613</v>
      </c>
      <c r="AY22" s="119">
        <f t="shared" si="4"/>
        <v>278.97645275391613</v>
      </c>
      <c r="AZ22" s="146">
        <f t="shared" ref="AZ22:AZ30" si="5">SUM($D22:$AY22)</f>
        <v>11444.748410422102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691949.46942900459</v>
      </c>
      <c r="E23" s="105">
        <f t="shared" ref="E23:AY23" si="6">E$21*$B$23</f>
        <v>768832.74381000502</v>
      </c>
      <c r="F23" s="105">
        <f t="shared" si="6"/>
        <v>768832.74381000502</v>
      </c>
      <c r="G23" s="105">
        <f t="shared" si="6"/>
        <v>768832.74381000502</v>
      </c>
      <c r="H23" s="105">
        <f t="shared" si="6"/>
        <v>768832.74381000502</v>
      </c>
      <c r="I23" s="105">
        <f t="shared" si="6"/>
        <v>691949.46942900459</v>
      </c>
      <c r="J23" s="105">
        <f t="shared" si="6"/>
        <v>691949.46942900459</v>
      </c>
      <c r="K23" s="105">
        <f t="shared" si="6"/>
        <v>691949.46942900459</v>
      </c>
      <c r="L23" s="105">
        <f t="shared" si="6"/>
        <v>691949.46942900459</v>
      </c>
      <c r="M23" s="105">
        <f t="shared" si="6"/>
        <v>768832.74381000502</v>
      </c>
      <c r="N23" s="105">
        <f t="shared" si="6"/>
        <v>768832.74381000502</v>
      </c>
      <c r="O23" s="105">
        <f t="shared" si="6"/>
        <v>0</v>
      </c>
      <c r="P23" s="105">
        <f t="shared" si="6"/>
        <v>903755.8685446009</v>
      </c>
      <c r="Q23" s="105">
        <f t="shared" si="6"/>
        <v>768832.74381000502</v>
      </c>
      <c r="R23" s="105">
        <f t="shared" si="6"/>
        <v>0</v>
      </c>
      <c r="S23" s="105">
        <f t="shared" si="6"/>
        <v>903755.8685446009</v>
      </c>
      <c r="T23" s="105">
        <f t="shared" si="6"/>
        <v>768832.74381000502</v>
      </c>
      <c r="U23" s="105">
        <f t="shared" si="6"/>
        <v>691949.46942900459</v>
      </c>
      <c r="V23" s="105">
        <f t="shared" si="6"/>
        <v>691949.46942900459</v>
      </c>
      <c r="W23" s="105">
        <f t="shared" si="6"/>
        <v>0</v>
      </c>
      <c r="X23" s="105">
        <f t="shared" si="6"/>
        <v>903755.8685446009</v>
      </c>
      <c r="Y23" s="105">
        <f t="shared" si="6"/>
        <v>845716.01819100569</v>
      </c>
      <c r="Z23" s="105">
        <f t="shared" si="6"/>
        <v>845716.01819100569</v>
      </c>
      <c r="AA23" s="105">
        <f t="shared" si="6"/>
        <v>845716.01819100569</v>
      </c>
      <c r="AB23" s="105">
        <f t="shared" si="6"/>
        <v>845716.01819100569</v>
      </c>
      <c r="AC23" s="105">
        <f t="shared" si="6"/>
        <v>768832.74381000502</v>
      </c>
      <c r="AD23" s="105">
        <f t="shared" si="6"/>
        <v>768832.74381000502</v>
      </c>
      <c r="AE23" s="105">
        <f t="shared" si="6"/>
        <v>768832.74381000502</v>
      </c>
      <c r="AF23" s="105">
        <f t="shared" si="6"/>
        <v>768832.74381000502</v>
      </c>
      <c r="AG23" s="105">
        <f t="shared" si="6"/>
        <v>768832.74381000502</v>
      </c>
      <c r="AH23" s="105">
        <f t="shared" si="6"/>
        <v>768832.74381000502</v>
      </c>
      <c r="AI23" s="105">
        <f t="shared" si="6"/>
        <v>768832.74381000502</v>
      </c>
      <c r="AJ23" s="105">
        <f t="shared" si="6"/>
        <v>768832.74381000502</v>
      </c>
      <c r="AK23" s="105">
        <f t="shared" si="6"/>
        <v>691949.46942900459</v>
      </c>
      <c r="AL23" s="105">
        <f t="shared" si="6"/>
        <v>691949.46942900459</v>
      </c>
      <c r="AM23" s="105">
        <f t="shared" si="6"/>
        <v>691949.46942900459</v>
      </c>
      <c r="AN23" s="105">
        <f t="shared" si="6"/>
        <v>691949.46942900459</v>
      </c>
      <c r="AO23" s="105">
        <f t="shared" si="6"/>
        <v>768832.74381000502</v>
      </c>
      <c r="AP23" s="105">
        <f t="shared" si="6"/>
        <v>768832.74381000502</v>
      </c>
      <c r="AQ23" s="105">
        <f t="shared" si="6"/>
        <v>768832.74381000502</v>
      </c>
      <c r="AR23" s="105">
        <f t="shared" si="6"/>
        <v>768832.74381000502</v>
      </c>
      <c r="AS23" s="105">
        <f t="shared" si="6"/>
        <v>768832.74381000502</v>
      </c>
      <c r="AT23" s="105">
        <f t="shared" si="6"/>
        <v>768832.74381000502</v>
      </c>
      <c r="AU23" s="105">
        <f t="shared" si="6"/>
        <v>768832.74381000502</v>
      </c>
      <c r="AV23" s="105">
        <f t="shared" si="6"/>
        <v>768832.74381000502</v>
      </c>
      <c r="AW23" s="105">
        <f t="shared" si="6"/>
        <v>845716.01819100569</v>
      </c>
      <c r="AX23" s="105">
        <f t="shared" si="6"/>
        <v>845716.01819100569</v>
      </c>
      <c r="AY23" s="105">
        <f t="shared" si="6"/>
        <v>845716.01819100569</v>
      </c>
      <c r="AZ23" s="144">
        <f t="shared" si="5"/>
        <v>34694709.748130023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228253.46134411317</v>
      </c>
      <c r="E24" s="111">
        <f t="shared" ref="E24:AY24" si="7">E$22*$B$24</f>
        <v>253614.9570490146</v>
      </c>
      <c r="F24" s="111">
        <f t="shared" si="7"/>
        <v>253614.9570490146</v>
      </c>
      <c r="G24" s="111">
        <f t="shared" si="7"/>
        <v>253614.9570490146</v>
      </c>
      <c r="H24" s="111">
        <f t="shared" si="7"/>
        <v>253614.9570490146</v>
      </c>
      <c r="I24" s="111">
        <f t="shared" si="7"/>
        <v>228253.46134411317</v>
      </c>
      <c r="J24" s="111">
        <f t="shared" si="7"/>
        <v>228253.46134411317</v>
      </c>
      <c r="K24" s="111">
        <f t="shared" si="7"/>
        <v>228253.46134411317</v>
      </c>
      <c r="L24" s="111">
        <f t="shared" si="7"/>
        <v>228253.46134411317</v>
      </c>
      <c r="M24" s="111">
        <f t="shared" si="7"/>
        <v>253614.9570490146</v>
      </c>
      <c r="N24" s="111">
        <f t="shared" si="7"/>
        <v>253614.9570490146</v>
      </c>
      <c r="O24" s="111">
        <f t="shared" si="7"/>
        <v>0</v>
      </c>
      <c r="P24" s="111">
        <f t="shared" si="7"/>
        <v>298122.06572769955</v>
      </c>
      <c r="Q24" s="111">
        <f t="shared" si="7"/>
        <v>253614.9570490146</v>
      </c>
      <c r="R24" s="111">
        <f t="shared" si="7"/>
        <v>0</v>
      </c>
      <c r="S24" s="111">
        <f t="shared" si="7"/>
        <v>298122.06572769955</v>
      </c>
      <c r="T24" s="111">
        <f t="shared" si="7"/>
        <v>253614.9570490146</v>
      </c>
      <c r="U24" s="111">
        <f t="shared" si="7"/>
        <v>228253.46134411317</v>
      </c>
      <c r="V24" s="111">
        <f t="shared" si="7"/>
        <v>228253.46134411317</v>
      </c>
      <c r="W24" s="111">
        <f t="shared" si="7"/>
        <v>0</v>
      </c>
      <c r="X24" s="111">
        <f t="shared" si="7"/>
        <v>298122.06572769955</v>
      </c>
      <c r="Y24" s="111">
        <f t="shared" si="7"/>
        <v>278976.45275391615</v>
      </c>
      <c r="Z24" s="111">
        <f t="shared" si="7"/>
        <v>278976.45275391615</v>
      </c>
      <c r="AA24" s="111">
        <f t="shared" si="7"/>
        <v>278976.45275391615</v>
      </c>
      <c r="AB24" s="111">
        <f t="shared" si="7"/>
        <v>278976.45275391615</v>
      </c>
      <c r="AC24" s="111">
        <f t="shared" si="7"/>
        <v>253614.9570490146</v>
      </c>
      <c r="AD24" s="111">
        <f t="shared" si="7"/>
        <v>253614.9570490146</v>
      </c>
      <c r="AE24" s="111">
        <f t="shared" si="7"/>
        <v>253614.9570490146</v>
      </c>
      <c r="AF24" s="111">
        <f t="shared" si="7"/>
        <v>253614.9570490146</v>
      </c>
      <c r="AG24" s="111">
        <f t="shared" si="7"/>
        <v>253614.9570490146</v>
      </c>
      <c r="AH24" s="111">
        <f t="shared" si="7"/>
        <v>253614.9570490146</v>
      </c>
      <c r="AI24" s="111">
        <f t="shared" si="7"/>
        <v>253614.9570490146</v>
      </c>
      <c r="AJ24" s="111">
        <f t="shared" si="7"/>
        <v>253614.9570490146</v>
      </c>
      <c r="AK24" s="111">
        <f t="shared" si="7"/>
        <v>228253.46134411317</v>
      </c>
      <c r="AL24" s="111">
        <f t="shared" si="7"/>
        <v>228253.46134411317</v>
      </c>
      <c r="AM24" s="111">
        <f t="shared" si="7"/>
        <v>228253.46134411317</v>
      </c>
      <c r="AN24" s="111">
        <f t="shared" si="7"/>
        <v>228253.46134411317</v>
      </c>
      <c r="AO24" s="111">
        <f t="shared" si="7"/>
        <v>253614.9570490146</v>
      </c>
      <c r="AP24" s="111">
        <f t="shared" si="7"/>
        <v>253614.9570490146</v>
      </c>
      <c r="AQ24" s="111">
        <f t="shared" si="7"/>
        <v>253614.9570490146</v>
      </c>
      <c r="AR24" s="111">
        <f t="shared" si="7"/>
        <v>253614.9570490146</v>
      </c>
      <c r="AS24" s="111">
        <f t="shared" si="7"/>
        <v>253614.9570490146</v>
      </c>
      <c r="AT24" s="111">
        <f t="shared" si="7"/>
        <v>253614.9570490146</v>
      </c>
      <c r="AU24" s="111">
        <f t="shared" si="7"/>
        <v>253614.9570490146</v>
      </c>
      <c r="AV24" s="111">
        <f t="shared" si="7"/>
        <v>253614.9570490146</v>
      </c>
      <c r="AW24" s="111">
        <f t="shared" si="7"/>
        <v>278976.45275391615</v>
      </c>
      <c r="AX24" s="111">
        <f t="shared" si="7"/>
        <v>278976.45275391615</v>
      </c>
      <c r="AY24" s="111">
        <f t="shared" si="7"/>
        <v>278976.45275391615</v>
      </c>
      <c r="AZ24" s="146">
        <f t="shared" si="5"/>
        <v>11444748.410422107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30</v>
      </c>
      <c r="D27" s="129">
        <f>C$27-C$28+C$29</f>
        <v>30</v>
      </c>
      <c r="E27" s="129">
        <f t="shared" ref="E27:AY27" si="8">D27-D28+D29</f>
        <v>30</v>
      </c>
      <c r="F27" s="129">
        <f t="shared" si="8"/>
        <v>28</v>
      </c>
      <c r="G27" s="129">
        <f t="shared" si="8"/>
        <v>28</v>
      </c>
      <c r="H27" s="129">
        <f t="shared" si="8"/>
        <v>28</v>
      </c>
      <c r="I27" s="129">
        <f t="shared" si="8"/>
        <v>28</v>
      </c>
      <c r="J27" s="129">
        <f t="shared" si="8"/>
        <v>30</v>
      </c>
      <c r="K27" s="129">
        <f t="shared" si="8"/>
        <v>30</v>
      </c>
      <c r="L27" s="129">
        <f t="shared" si="8"/>
        <v>30</v>
      </c>
      <c r="M27" s="129">
        <f t="shared" si="8"/>
        <v>30</v>
      </c>
      <c r="N27" s="129">
        <f t="shared" si="8"/>
        <v>28</v>
      </c>
      <c r="O27" s="129">
        <f t="shared" si="8"/>
        <v>28</v>
      </c>
      <c r="P27" s="129">
        <f t="shared" si="8"/>
        <v>50</v>
      </c>
      <c r="Q27" s="129">
        <f t="shared" si="8"/>
        <v>25</v>
      </c>
      <c r="R27" s="129">
        <f t="shared" si="8"/>
        <v>28</v>
      </c>
      <c r="S27" s="129">
        <f t="shared" si="8"/>
        <v>50</v>
      </c>
      <c r="T27" s="129">
        <f t="shared" si="8"/>
        <v>25</v>
      </c>
      <c r="U27" s="129">
        <f t="shared" si="8"/>
        <v>28</v>
      </c>
      <c r="V27" s="129">
        <f t="shared" si="8"/>
        <v>30</v>
      </c>
      <c r="W27" s="129">
        <f t="shared" si="8"/>
        <v>30</v>
      </c>
      <c r="X27" s="129">
        <f t="shared" si="8"/>
        <v>50</v>
      </c>
      <c r="Y27" s="129">
        <f t="shared" si="8"/>
        <v>25</v>
      </c>
      <c r="Z27" s="129">
        <f t="shared" si="8"/>
        <v>26</v>
      </c>
      <c r="AA27" s="129">
        <f t="shared" si="8"/>
        <v>26</v>
      </c>
      <c r="AB27" s="129">
        <f t="shared" si="8"/>
        <v>26</v>
      </c>
      <c r="AC27" s="129">
        <f t="shared" si="8"/>
        <v>26</v>
      </c>
      <c r="AD27" s="129">
        <f t="shared" si="8"/>
        <v>28</v>
      </c>
      <c r="AE27" s="129">
        <f t="shared" si="8"/>
        <v>28</v>
      </c>
      <c r="AF27" s="129">
        <f t="shared" si="8"/>
        <v>28</v>
      </c>
      <c r="AG27" s="129">
        <f t="shared" si="8"/>
        <v>28</v>
      </c>
      <c r="AH27" s="129">
        <f t="shared" si="8"/>
        <v>28</v>
      </c>
      <c r="AI27" s="129">
        <f t="shared" si="8"/>
        <v>28</v>
      </c>
      <c r="AJ27" s="129">
        <f t="shared" si="8"/>
        <v>28</v>
      </c>
      <c r="AK27" s="129">
        <f t="shared" si="8"/>
        <v>28</v>
      </c>
      <c r="AL27" s="129">
        <f t="shared" si="8"/>
        <v>30</v>
      </c>
      <c r="AM27" s="129">
        <f t="shared" si="8"/>
        <v>30</v>
      </c>
      <c r="AN27" s="129">
        <f t="shared" si="8"/>
        <v>30</v>
      </c>
      <c r="AO27" s="129">
        <f t="shared" si="8"/>
        <v>30</v>
      </c>
      <c r="AP27" s="129">
        <f t="shared" si="8"/>
        <v>28</v>
      </c>
      <c r="AQ27" s="129">
        <f t="shared" si="8"/>
        <v>28</v>
      </c>
      <c r="AR27" s="129">
        <f t="shared" si="8"/>
        <v>28</v>
      </c>
      <c r="AS27" s="129">
        <f t="shared" si="8"/>
        <v>28</v>
      </c>
      <c r="AT27" s="129">
        <f t="shared" si="8"/>
        <v>28</v>
      </c>
      <c r="AU27" s="129">
        <f t="shared" si="8"/>
        <v>28</v>
      </c>
      <c r="AV27" s="129">
        <f t="shared" si="8"/>
        <v>28</v>
      </c>
      <c r="AW27" s="129">
        <f t="shared" si="8"/>
        <v>28</v>
      </c>
      <c r="AX27" s="129">
        <f t="shared" si="8"/>
        <v>26</v>
      </c>
      <c r="AY27" s="169">
        <f t="shared" si="8"/>
        <v>26</v>
      </c>
      <c r="AZ27" s="111"/>
    </row>
    <row r="28" spans="1:52" x14ac:dyDescent="0.2">
      <c r="B28" s="170" t="s">
        <v>310</v>
      </c>
      <c r="C28" s="115">
        <v>20</v>
      </c>
      <c r="D28" s="115">
        <v>20</v>
      </c>
      <c r="E28" s="115">
        <v>22</v>
      </c>
      <c r="F28" s="115">
        <v>22</v>
      </c>
      <c r="G28" s="115">
        <v>22</v>
      </c>
      <c r="H28" s="115">
        <v>22</v>
      </c>
      <c r="I28" s="115">
        <v>20</v>
      </c>
      <c r="J28" s="115">
        <v>20</v>
      </c>
      <c r="K28" s="115">
        <v>20</v>
      </c>
      <c r="L28" s="115">
        <v>20</v>
      </c>
      <c r="M28" s="115">
        <v>22</v>
      </c>
      <c r="N28" s="115">
        <v>22</v>
      </c>
      <c r="O28" s="115">
        <v>0</v>
      </c>
      <c r="P28" s="115">
        <v>25</v>
      </c>
      <c r="Q28" s="115">
        <v>22</v>
      </c>
      <c r="R28" s="115">
        <v>0</v>
      </c>
      <c r="S28" s="115">
        <v>25</v>
      </c>
      <c r="T28" s="115">
        <v>22</v>
      </c>
      <c r="U28" s="115">
        <v>20</v>
      </c>
      <c r="V28" s="115">
        <v>20</v>
      </c>
      <c r="W28" s="115">
        <v>0</v>
      </c>
      <c r="X28" s="115">
        <v>25</v>
      </c>
      <c r="Y28" s="115">
        <v>24</v>
      </c>
      <c r="Z28" s="115">
        <v>24</v>
      </c>
      <c r="AA28" s="115">
        <v>24</v>
      </c>
      <c r="AB28" s="115">
        <v>24</v>
      </c>
      <c r="AC28" s="115">
        <v>22</v>
      </c>
      <c r="AD28" s="115">
        <v>22</v>
      </c>
      <c r="AE28" s="115">
        <v>22</v>
      </c>
      <c r="AF28" s="115">
        <v>22</v>
      </c>
      <c r="AG28" s="115">
        <v>22</v>
      </c>
      <c r="AH28" s="115">
        <v>22</v>
      </c>
      <c r="AI28" s="115">
        <v>22</v>
      </c>
      <c r="AJ28" s="115">
        <v>22</v>
      </c>
      <c r="AK28" s="115">
        <v>20</v>
      </c>
      <c r="AL28" s="115">
        <v>20</v>
      </c>
      <c r="AM28" s="115">
        <v>20</v>
      </c>
      <c r="AN28" s="115">
        <v>20</v>
      </c>
      <c r="AO28" s="115">
        <v>22</v>
      </c>
      <c r="AP28" s="115">
        <v>22</v>
      </c>
      <c r="AQ28" s="115">
        <v>22</v>
      </c>
      <c r="AR28" s="115">
        <v>22</v>
      </c>
      <c r="AS28" s="115">
        <v>22</v>
      </c>
      <c r="AT28" s="115">
        <v>22</v>
      </c>
      <c r="AU28" s="115">
        <v>22</v>
      </c>
      <c r="AV28" s="115">
        <v>22</v>
      </c>
      <c r="AW28" s="115">
        <v>24</v>
      </c>
      <c r="AX28" s="115">
        <v>24</v>
      </c>
      <c r="AY28" s="171">
        <v>24</v>
      </c>
      <c r="AZ28" s="111"/>
    </row>
    <row r="29" spans="1:52" x14ac:dyDescent="0.2">
      <c r="B29" s="141" t="s">
        <v>311</v>
      </c>
      <c r="C29" s="130">
        <v>20</v>
      </c>
      <c r="D29" s="130">
        <f>C$28</f>
        <v>20</v>
      </c>
      <c r="E29" s="130">
        <f t="shared" ref="E29:AY29" si="9">D$28</f>
        <v>20</v>
      </c>
      <c r="F29" s="130">
        <f t="shared" si="9"/>
        <v>22</v>
      </c>
      <c r="G29" s="130">
        <f t="shared" si="9"/>
        <v>22</v>
      </c>
      <c r="H29" s="130">
        <f t="shared" si="9"/>
        <v>22</v>
      </c>
      <c r="I29" s="130">
        <f t="shared" si="9"/>
        <v>22</v>
      </c>
      <c r="J29" s="130">
        <f t="shared" si="9"/>
        <v>20</v>
      </c>
      <c r="K29" s="130">
        <f t="shared" si="9"/>
        <v>20</v>
      </c>
      <c r="L29" s="130">
        <f t="shared" si="9"/>
        <v>20</v>
      </c>
      <c r="M29" s="130">
        <f t="shared" si="9"/>
        <v>20</v>
      </c>
      <c r="N29" s="130">
        <f t="shared" si="9"/>
        <v>22</v>
      </c>
      <c r="O29" s="130">
        <f t="shared" si="9"/>
        <v>22</v>
      </c>
      <c r="P29" s="130">
        <f t="shared" si="9"/>
        <v>0</v>
      </c>
      <c r="Q29" s="130">
        <f t="shared" si="9"/>
        <v>25</v>
      </c>
      <c r="R29" s="130">
        <f t="shared" si="9"/>
        <v>22</v>
      </c>
      <c r="S29" s="130">
        <f t="shared" si="9"/>
        <v>0</v>
      </c>
      <c r="T29" s="130">
        <f t="shared" si="9"/>
        <v>25</v>
      </c>
      <c r="U29" s="130">
        <f t="shared" si="9"/>
        <v>22</v>
      </c>
      <c r="V29" s="130">
        <f t="shared" si="9"/>
        <v>20</v>
      </c>
      <c r="W29" s="130">
        <f t="shared" si="9"/>
        <v>20</v>
      </c>
      <c r="X29" s="130">
        <f t="shared" si="9"/>
        <v>0</v>
      </c>
      <c r="Y29" s="130">
        <f t="shared" si="9"/>
        <v>25</v>
      </c>
      <c r="Z29" s="130">
        <f t="shared" si="9"/>
        <v>24</v>
      </c>
      <c r="AA29" s="130">
        <f t="shared" si="9"/>
        <v>24</v>
      </c>
      <c r="AB29" s="130">
        <f t="shared" si="9"/>
        <v>24</v>
      </c>
      <c r="AC29" s="130">
        <f t="shared" si="9"/>
        <v>24</v>
      </c>
      <c r="AD29" s="130">
        <f t="shared" si="9"/>
        <v>22</v>
      </c>
      <c r="AE29" s="130">
        <f t="shared" si="9"/>
        <v>22</v>
      </c>
      <c r="AF29" s="130">
        <f t="shared" si="9"/>
        <v>22</v>
      </c>
      <c r="AG29" s="130">
        <f t="shared" si="9"/>
        <v>22</v>
      </c>
      <c r="AH29" s="130">
        <f t="shared" si="9"/>
        <v>22</v>
      </c>
      <c r="AI29" s="130">
        <f t="shared" si="9"/>
        <v>22</v>
      </c>
      <c r="AJ29" s="130">
        <f t="shared" si="9"/>
        <v>22</v>
      </c>
      <c r="AK29" s="130">
        <f t="shared" si="9"/>
        <v>22</v>
      </c>
      <c r="AL29" s="130">
        <f t="shared" si="9"/>
        <v>20</v>
      </c>
      <c r="AM29" s="130">
        <f t="shared" si="9"/>
        <v>20</v>
      </c>
      <c r="AN29" s="130">
        <f t="shared" si="9"/>
        <v>20</v>
      </c>
      <c r="AO29" s="130">
        <f t="shared" si="9"/>
        <v>20</v>
      </c>
      <c r="AP29" s="130">
        <f t="shared" si="9"/>
        <v>22</v>
      </c>
      <c r="AQ29" s="130">
        <f t="shared" si="9"/>
        <v>22</v>
      </c>
      <c r="AR29" s="130">
        <f t="shared" si="9"/>
        <v>22</v>
      </c>
      <c r="AS29" s="130">
        <f t="shared" si="9"/>
        <v>22</v>
      </c>
      <c r="AT29" s="130">
        <f t="shared" si="9"/>
        <v>22</v>
      </c>
      <c r="AU29" s="130">
        <f t="shared" si="9"/>
        <v>22</v>
      </c>
      <c r="AV29" s="130">
        <f t="shared" si="9"/>
        <v>22</v>
      </c>
      <c r="AW29" s="130">
        <f t="shared" si="9"/>
        <v>22</v>
      </c>
      <c r="AX29" s="130">
        <f t="shared" si="9"/>
        <v>24</v>
      </c>
      <c r="AY29" s="172">
        <f t="shared" si="9"/>
        <v>24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300</v>
      </c>
      <c r="E30" s="122">
        <f t="shared" ref="E30:AY30" si="10">E$27*$B$30</f>
        <v>300</v>
      </c>
      <c r="F30" s="122">
        <f t="shared" si="10"/>
        <v>280</v>
      </c>
      <c r="G30" s="122">
        <f t="shared" si="10"/>
        <v>280</v>
      </c>
      <c r="H30" s="122">
        <f t="shared" si="10"/>
        <v>280</v>
      </c>
      <c r="I30" s="122">
        <f t="shared" si="10"/>
        <v>280</v>
      </c>
      <c r="J30" s="122">
        <f t="shared" si="10"/>
        <v>300</v>
      </c>
      <c r="K30" s="122">
        <f t="shared" si="10"/>
        <v>300</v>
      </c>
      <c r="L30" s="122">
        <f t="shared" si="10"/>
        <v>300</v>
      </c>
      <c r="M30" s="122">
        <f t="shared" si="10"/>
        <v>300</v>
      </c>
      <c r="N30" s="122">
        <f t="shared" si="10"/>
        <v>280</v>
      </c>
      <c r="O30" s="122">
        <f t="shared" si="10"/>
        <v>280</v>
      </c>
      <c r="P30" s="122">
        <f t="shared" si="10"/>
        <v>500</v>
      </c>
      <c r="Q30" s="122">
        <f t="shared" si="10"/>
        <v>250</v>
      </c>
      <c r="R30" s="122">
        <f>R$27*$B$30</f>
        <v>280</v>
      </c>
      <c r="S30" s="122">
        <f t="shared" si="10"/>
        <v>500</v>
      </c>
      <c r="T30" s="122">
        <f t="shared" si="10"/>
        <v>250</v>
      </c>
      <c r="U30" s="122">
        <f t="shared" si="10"/>
        <v>280</v>
      </c>
      <c r="V30" s="122">
        <f t="shared" si="10"/>
        <v>300</v>
      </c>
      <c r="W30" s="122">
        <f t="shared" si="10"/>
        <v>300</v>
      </c>
      <c r="X30" s="122">
        <f t="shared" si="10"/>
        <v>500</v>
      </c>
      <c r="Y30" s="122">
        <f t="shared" si="10"/>
        <v>250</v>
      </c>
      <c r="Z30" s="122">
        <f t="shared" si="10"/>
        <v>260</v>
      </c>
      <c r="AA30" s="122">
        <f t="shared" si="10"/>
        <v>260</v>
      </c>
      <c r="AB30" s="122">
        <f t="shared" si="10"/>
        <v>260</v>
      </c>
      <c r="AC30" s="122">
        <f t="shared" si="10"/>
        <v>260</v>
      </c>
      <c r="AD30" s="122">
        <f t="shared" si="10"/>
        <v>280</v>
      </c>
      <c r="AE30" s="122">
        <f>AE$27*$B$30</f>
        <v>280</v>
      </c>
      <c r="AF30" s="122">
        <f t="shared" si="10"/>
        <v>280</v>
      </c>
      <c r="AG30" s="122">
        <f t="shared" si="10"/>
        <v>280</v>
      </c>
      <c r="AH30" s="122">
        <f t="shared" si="10"/>
        <v>280</v>
      </c>
      <c r="AI30" s="122">
        <f t="shared" si="10"/>
        <v>280</v>
      </c>
      <c r="AJ30" s="122">
        <f t="shared" si="10"/>
        <v>280</v>
      </c>
      <c r="AK30" s="122">
        <f t="shared" si="10"/>
        <v>280</v>
      </c>
      <c r="AL30" s="122">
        <f t="shared" si="10"/>
        <v>300</v>
      </c>
      <c r="AM30" s="122">
        <f t="shared" si="10"/>
        <v>300</v>
      </c>
      <c r="AN30" s="122">
        <f t="shared" si="10"/>
        <v>300</v>
      </c>
      <c r="AO30" s="122">
        <f t="shared" si="10"/>
        <v>300</v>
      </c>
      <c r="AP30" s="122">
        <f t="shared" si="10"/>
        <v>280</v>
      </c>
      <c r="AQ30" s="122">
        <f t="shared" si="10"/>
        <v>280</v>
      </c>
      <c r="AR30" s="122">
        <f t="shared" si="10"/>
        <v>280</v>
      </c>
      <c r="AS30" s="122">
        <f t="shared" si="10"/>
        <v>280</v>
      </c>
      <c r="AT30" s="122">
        <f t="shared" si="10"/>
        <v>280</v>
      </c>
      <c r="AU30" s="122">
        <f t="shared" si="10"/>
        <v>280</v>
      </c>
      <c r="AV30" s="122">
        <f t="shared" si="10"/>
        <v>280</v>
      </c>
      <c r="AW30" s="122">
        <f t="shared" si="10"/>
        <v>280</v>
      </c>
      <c r="AX30" s="122">
        <f t="shared" si="10"/>
        <v>260</v>
      </c>
      <c r="AY30" s="122">
        <f t="shared" si="10"/>
        <v>260</v>
      </c>
      <c r="AZ30" s="146">
        <f t="shared" si="5"/>
        <v>14130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341</v>
      </c>
      <c r="C33" s="129"/>
      <c r="D33" s="129">
        <f>D$21*shipping_manufacturing!$F$27/100</f>
        <v>0</v>
      </c>
      <c r="E33" s="129">
        <f>E$21*shipping_manufacturing!$F$27/100</f>
        <v>0</v>
      </c>
      <c r="F33" s="129">
        <f>F$21*shipping_manufacturing!$F$27/100</f>
        <v>0</v>
      </c>
      <c r="G33" s="129">
        <f>G$21*shipping_manufacturing!$F$27/100</f>
        <v>0</v>
      </c>
      <c r="H33" s="129">
        <f>H$21*shipping_manufacturing!$F$27/100</f>
        <v>0</v>
      </c>
      <c r="I33" s="129">
        <f>I$21*shipping_manufacturing!$F$27/100</f>
        <v>0</v>
      </c>
      <c r="J33" s="129">
        <f>J$21*shipping_manufacturing!$F$27/100</f>
        <v>0</v>
      </c>
      <c r="K33" s="129">
        <f>K$21*shipping_manufacturing!$F$27/100</f>
        <v>0</v>
      </c>
      <c r="L33" s="129">
        <f>L$21*shipping_manufacturing!$F$27/100</f>
        <v>0</v>
      </c>
      <c r="M33" s="129">
        <f>M$21*shipping_manufacturing!$F$27/100</f>
        <v>0</v>
      </c>
      <c r="N33" s="129">
        <f>N$21*shipping_manufacturing!$F$27/100</f>
        <v>0</v>
      </c>
      <c r="O33" s="129">
        <f>O$21*shipping_manufacturing!$F$27/100</f>
        <v>0</v>
      </c>
      <c r="P33" s="129">
        <f>P$21*shipping_manufacturing!$F$27/100</f>
        <v>0</v>
      </c>
      <c r="Q33" s="129">
        <f>Q$21*shipping_manufacturing!$F$27/100</f>
        <v>0</v>
      </c>
      <c r="R33" s="129">
        <f>R$21*shipping_manufacturing!$F$27/100</f>
        <v>0</v>
      </c>
      <c r="S33" s="129">
        <f>S$21*shipping_manufacturing!$F$27/100</f>
        <v>0</v>
      </c>
      <c r="T33" s="129">
        <f>T$21*shipping_manufacturing!$F$27/100</f>
        <v>0</v>
      </c>
      <c r="U33" s="129">
        <f>U$21*shipping_manufacturing!$F$27/100</f>
        <v>0</v>
      </c>
      <c r="V33" s="129">
        <f>V$21*shipping_manufacturing!$F$27/100</f>
        <v>0</v>
      </c>
      <c r="W33" s="129">
        <f>W$21*shipping_manufacturing!$F$27/100</f>
        <v>0</v>
      </c>
      <c r="X33" s="129">
        <f>X$21*shipping_manufacturing!$F$27/100</f>
        <v>0</v>
      </c>
      <c r="Y33" s="129">
        <f>Y$21*shipping_manufacturing!$F$27/100</f>
        <v>0</v>
      </c>
      <c r="Z33" s="129">
        <f>Z$21*shipping_manufacturing!$F$27/100</f>
        <v>0</v>
      </c>
      <c r="AA33" s="129">
        <f>AA$21*shipping_manufacturing!$F$27/100</f>
        <v>0</v>
      </c>
      <c r="AB33" s="129">
        <f>AB$21*shipping_manufacturing!$F$27/100</f>
        <v>0</v>
      </c>
      <c r="AC33" s="129">
        <f>AC$21*shipping_manufacturing!$F$27/100</f>
        <v>0</v>
      </c>
      <c r="AD33" s="129">
        <f>AD$21*shipping_manufacturing!$F$27/100</f>
        <v>0</v>
      </c>
      <c r="AE33" s="129">
        <f>AE$21*shipping_manufacturing!$F$27/100</f>
        <v>0</v>
      </c>
      <c r="AF33" s="129">
        <f>AF$21*shipping_manufacturing!$F$27/100</f>
        <v>0</v>
      </c>
      <c r="AG33" s="129">
        <f>AG$21*shipping_manufacturing!$F$27/100</f>
        <v>0</v>
      </c>
      <c r="AH33" s="129">
        <f>AH$21*shipping_manufacturing!$F$27/100</f>
        <v>0</v>
      </c>
      <c r="AI33" s="129">
        <f>AI$21*shipping_manufacturing!$F$27/100</f>
        <v>0</v>
      </c>
      <c r="AJ33" s="129">
        <f>AJ$21*shipping_manufacturing!$F$27/100</f>
        <v>0</v>
      </c>
      <c r="AK33" s="129">
        <f>AK$21*shipping_manufacturing!$F$27/100</f>
        <v>0</v>
      </c>
      <c r="AL33" s="129">
        <f>AL$21*shipping_manufacturing!$F$27/100</f>
        <v>0</v>
      </c>
      <c r="AM33" s="129">
        <f>AM$21*shipping_manufacturing!$F$27/100</f>
        <v>0</v>
      </c>
      <c r="AN33" s="129">
        <f>AN$21*shipping_manufacturing!$F$27/100</f>
        <v>0</v>
      </c>
      <c r="AO33" s="129">
        <f>AO$21*shipping_manufacturing!$F$27/100</f>
        <v>0</v>
      </c>
      <c r="AP33" s="129">
        <f>AP$21*shipping_manufacturing!$F$27/100</f>
        <v>0</v>
      </c>
      <c r="AQ33" s="129">
        <f>AQ$21*shipping_manufacturing!$F$27/100</f>
        <v>0</v>
      </c>
      <c r="AR33" s="129">
        <f>AR$21*shipping_manufacturing!$F$27/100</f>
        <v>0</v>
      </c>
      <c r="AS33" s="129">
        <f>AS$21*shipping_manufacturing!$F$27/100</f>
        <v>0</v>
      </c>
      <c r="AT33" s="129">
        <f>AT$21*shipping_manufacturing!$F$27/100</f>
        <v>0</v>
      </c>
      <c r="AU33" s="129">
        <f>AU$21*shipping_manufacturing!$F$27/100</f>
        <v>0</v>
      </c>
      <c r="AV33" s="129">
        <f>AV$21*shipping_manufacturing!$F$27/100</f>
        <v>0</v>
      </c>
      <c r="AW33" s="129">
        <f>AW$21*shipping_manufacturing!$F$27/100</f>
        <v>0</v>
      </c>
      <c r="AX33" s="129">
        <f>AX$21*shipping_manufacturing!$F$27/100</f>
        <v>0</v>
      </c>
      <c r="AY33" s="129">
        <f>AY$21*shipping_manufacturing!$F$27/100</f>
        <v>0</v>
      </c>
    </row>
    <row r="34" spans="1:52" x14ac:dyDescent="0.2">
      <c r="A34" s="118" t="s">
        <v>340</v>
      </c>
      <c r="B34" s="170" t="s">
        <v>342</v>
      </c>
      <c r="C34" s="115"/>
      <c r="D34" s="115">
        <f>D$22*shipping_manufacturing!$G$27/100</f>
        <v>0</v>
      </c>
      <c r="E34" s="115">
        <f>E$22*shipping_manufacturing!$G$27/100</f>
        <v>0</v>
      </c>
      <c r="F34" s="115">
        <f>F$22*shipping_manufacturing!$G$27/100</f>
        <v>0</v>
      </c>
      <c r="G34" s="115">
        <f>G$22*shipping_manufacturing!$G$27/100</f>
        <v>0</v>
      </c>
      <c r="H34" s="115">
        <f>H$22*shipping_manufacturing!$G$27/100</f>
        <v>0</v>
      </c>
      <c r="I34" s="115">
        <f>I$22*shipping_manufacturing!$G$27/100</f>
        <v>0</v>
      </c>
      <c r="J34" s="115">
        <f>J$22*shipping_manufacturing!$G$27/100</f>
        <v>0</v>
      </c>
      <c r="K34" s="115">
        <f>K$22*shipping_manufacturing!$G$27/100</f>
        <v>0</v>
      </c>
      <c r="L34" s="115">
        <f>L$22*shipping_manufacturing!$G$27/100</f>
        <v>0</v>
      </c>
      <c r="M34" s="115">
        <f>M$22*shipping_manufacturing!$G$27/100</f>
        <v>0</v>
      </c>
      <c r="N34" s="115">
        <f>N$22*shipping_manufacturing!$G$27/100</f>
        <v>0</v>
      </c>
      <c r="O34" s="115">
        <f>O$22*shipping_manufacturing!$G$27/100</f>
        <v>0</v>
      </c>
      <c r="P34" s="115">
        <f>P$22*shipping_manufacturing!$G$27/100</f>
        <v>0</v>
      </c>
      <c r="Q34" s="115">
        <f>Q$22*shipping_manufacturing!$G$27/100</f>
        <v>0</v>
      </c>
      <c r="R34" s="115">
        <f>R$22*shipping_manufacturing!$G$27/100</f>
        <v>0</v>
      </c>
      <c r="S34" s="115">
        <f>S$22*shipping_manufacturing!$G$27/100</f>
        <v>0</v>
      </c>
      <c r="T34" s="115">
        <f>T$22*shipping_manufacturing!$G$27/100</f>
        <v>0</v>
      </c>
      <c r="U34" s="115">
        <f>U$22*shipping_manufacturing!$G$27/100</f>
        <v>0</v>
      </c>
      <c r="V34" s="115">
        <f>V$22*shipping_manufacturing!$G$27/100</f>
        <v>0</v>
      </c>
      <c r="W34" s="115">
        <f>W$22*shipping_manufacturing!$G$27/100</f>
        <v>0</v>
      </c>
      <c r="X34" s="115">
        <f>X$22*shipping_manufacturing!$G$27/100</f>
        <v>0</v>
      </c>
      <c r="Y34" s="115">
        <f>Y$22*shipping_manufacturing!$G$27/100</f>
        <v>0</v>
      </c>
      <c r="Z34" s="115">
        <f>Z$22*shipping_manufacturing!$G$27/100</f>
        <v>0</v>
      </c>
      <c r="AA34" s="115">
        <f>AA$22*shipping_manufacturing!$G$27/100</f>
        <v>0</v>
      </c>
      <c r="AB34" s="115">
        <f>AB$22*shipping_manufacturing!$G$27/100</f>
        <v>0</v>
      </c>
      <c r="AC34" s="115">
        <f>AC$22*shipping_manufacturing!$G$27/100</f>
        <v>0</v>
      </c>
      <c r="AD34" s="115">
        <f>AD$22*shipping_manufacturing!$G$27/100</f>
        <v>0</v>
      </c>
      <c r="AE34" s="115">
        <f>AE$22*shipping_manufacturing!$G$27/100</f>
        <v>0</v>
      </c>
      <c r="AF34" s="115">
        <f>AF$22*shipping_manufacturing!$G$27/100</f>
        <v>0</v>
      </c>
      <c r="AG34" s="115">
        <f>AG$22*shipping_manufacturing!$G$27/100</f>
        <v>0</v>
      </c>
      <c r="AH34" s="115">
        <f>AH$22*shipping_manufacturing!$G$27/100</f>
        <v>0</v>
      </c>
      <c r="AI34" s="115">
        <f>AI$22*shipping_manufacturing!$G$27/100</f>
        <v>0</v>
      </c>
      <c r="AJ34" s="115">
        <f>AJ$22*shipping_manufacturing!$G$27/100</f>
        <v>0</v>
      </c>
      <c r="AK34" s="115">
        <f>AK$22*shipping_manufacturing!$G$27/100</f>
        <v>0</v>
      </c>
      <c r="AL34" s="115">
        <f>AL$22*shipping_manufacturing!$G$27/100</f>
        <v>0</v>
      </c>
      <c r="AM34" s="115">
        <f>AM$22*shipping_manufacturing!$G$27/100</f>
        <v>0</v>
      </c>
      <c r="AN34" s="115">
        <f>AN$22*shipping_manufacturing!$G$27/100</f>
        <v>0</v>
      </c>
      <c r="AO34" s="115">
        <f>AO$22*shipping_manufacturing!$G$27/100</f>
        <v>0</v>
      </c>
      <c r="AP34" s="115">
        <f>AP$22*shipping_manufacturing!$G$27/100</f>
        <v>0</v>
      </c>
      <c r="AQ34" s="115">
        <f>AQ$22*shipping_manufacturing!$G$27/100</f>
        <v>0</v>
      </c>
      <c r="AR34" s="115">
        <f>AR$22*shipping_manufacturing!$G$27/100</f>
        <v>0</v>
      </c>
      <c r="AS34" s="115">
        <f>AS$22*shipping_manufacturing!$G$27/100</f>
        <v>0</v>
      </c>
      <c r="AT34" s="115">
        <f>AT$22*shipping_manufacturing!$G$27/100</f>
        <v>0</v>
      </c>
      <c r="AU34" s="115">
        <f>AU$22*shipping_manufacturing!$G$27/100</f>
        <v>0</v>
      </c>
      <c r="AV34" s="115">
        <f>AV$22*shipping_manufacturing!$G$27/100</f>
        <v>0</v>
      </c>
      <c r="AW34" s="115">
        <f>AW$22*shipping_manufacturing!$G$27/100</f>
        <v>0</v>
      </c>
      <c r="AX34" s="115">
        <f>AX$22*shipping_manufacturing!$G$27/100</f>
        <v>0</v>
      </c>
      <c r="AY34" s="115">
        <f>AY$22*shipping_manufacturing!$G$27/100</f>
        <v>0</v>
      </c>
    </row>
    <row r="35" spans="1:52" x14ac:dyDescent="0.2">
      <c r="A35" s="115">
        <v>1188</v>
      </c>
      <c r="B35" s="170" t="s">
        <v>343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344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345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346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347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348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349</v>
      </c>
      <c r="C41" s="115"/>
      <c r="D41" s="115">
        <v>1</v>
      </c>
      <c r="E41" s="115">
        <v>2</v>
      </c>
      <c r="F41" s="115">
        <v>1</v>
      </c>
      <c r="G41" s="115">
        <v>2</v>
      </c>
      <c r="H41" s="115">
        <v>1</v>
      </c>
      <c r="I41" s="115">
        <v>1</v>
      </c>
      <c r="J41" s="115">
        <v>1</v>
      </c>
      <c r="K41" s="115">
        <v>1</v>
      </c>
      <c r="L41" s="115">
        <v>2</v>
      </c>
      <c r="M41" s="115">
        <v>2</v>
      </c>
      <c r="N41" s="115">
        <v>1</v>
      </c>
      <c r="O41" s="115">
        <v>2</v>
      </c>
      <c r="P41" s="115">
        <v>2</v>
      </c>
      <c r="Q41" s="115">
        <v>2</v>
      </c>
      <c r="R41" s="115">
        <v>1</v>
      </c>
      <c r="S41" s="115">
        <v>1</v>
      </c>
      <c r="T41" s="115">
        <v>2</v>
      </c>
      <c r="U41" s="115">
        <v>2</v>
      </c>
      <c r="V41" s="115">
        <v>1</v>
      </c>
      <c r="W41" s="115">
        <v>1</v>
      </c>
      <c r="X41" s="115">
        <v>2</v>
      </c>
      <c r="Y41" s="115">
        <v>1</v>
      </c>
      <c r="Z41" s="115">
        <v>1</v>
      </c>
      <c r="AA41" s="115">
        <v>3</v>
      </c>
      <c r="AB41" s="115">
        <v>2</v>
      </c>
      <c r="AC41" s="115">
        <v>2</v>
      </c>
      <c r="AD41" s="115">
        <v>1</v>
      </c>
      <c r="AE41" s="115">
        <v>1</v>
      </c>
      <c r="AF41" s="115">
        <v>1</v>
      </c>
      <c r="AG41" s="115">
        <v>1</v>
      </c>
      <c r="AH41" s="115">
        <v>3</v>
      </c>
      <c r="AI41" s="115">
        <v>1</v>
      </c>
      <c r="AJ41" s="115">
        <v>2</v>
      </c>
      <c r="AK41" s="115">
        <v>2</v>
      </c>
      <c r="AL41" s="115">
        <v>2</v>
      </c>
      <c r="AM41" s="115">
        <v>3</v>
      </c>
      <c r="AN41" s="115">
        <v>2</v>
      </c>
      <c r="AO41" s="115">
        <v>1</v>
      </c>
      <c r="AP41" s="115">
        <v>2</v>
      </c>
      <c r="AQ41" s="115">
        <v>2</v>
      </c>
      <c r="AR41" s="115">
        <v>2</v>
      </c>
      <c r="AS41" s="115">
        <v>1</v>
      </c>
      <c r="AT41" s="115">
        <v>1</v>
      </c>
      <c r="AU41" s="115">
        <v>3</v>
      </c>
      <c r="AV41" s="115">
        <v>1</v>
      </c>
      <c r="AW41" s="115">
        <v>2</v>
      </c>
      <c r="AX41" s="115">
        <v>2</v>
      </c>
      <c r="AY41" s="115">
        <v>2</v>
      </c>
    </row>
    <row r="42" spans="1:52" x14ac:dyDescent="0.2">
      <c r="A42" s="115"/>
      <c r="B42" s="183" t="s">
        <v>350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351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341</v>
      </c>
      <c r="C44" s="129"/>
      <c r="D44" s="129">
        <f>D$21*shipping_manufacturing!$F$28/100</f>
        <v>345.97473471450229</v>
      </c>
      <c r="E44" s="129">
        <f>E$21*shipping_manufacturing!$F$28/100</f>
        <v>384.41637190500251</v>
      </c>
      <c r="F44" s="129">
        <f>F$21*shipping_manufacturing!$F$28/100</f>
        <v>384.41637190500251</v>
      </c>
      <c r="G44" s="129">
        <f>G$21*shipping_manufacturing!$F$28/100</f>
        <v>384.41637190500251</v>
      </c>
      <c r="H44" s="129">
        <f>H$21*shipping_manufacturing!$F$28/100</f>
        <v>384.41637190500251</v>
      </c>
      <c r="I44" s="129">
        <f>I$21*shipping_manufacturing!$F$28/100</f>
        <v>345.97473471450229</v>
      </c>
      <c r="J44" s="129">
        <f>J$21*shipping_manufacturing!$F$28/100</f>
        <v>345.97473471450229</v>
      </c>
      <c r="K44" s="129">
        <f>K$21*shipping_manufacturing!$F$28/100</f>
        <v>345.97473471450229</v>
      </c>
      <c r="L44" s="129">
        <f>L$21*shipping_manufacturing!$F$28/100</f>
        <v>345.97473471450229</v>
      </c>
      <c r="M44" s="129">
        <f>M$21*shipping_manufacturing!$F$28/100</f>
        <v>384.41637190500251</v>
      </c>
      <c r="N44" s="129">
        <f>N$21*shipping_manufacturing!$F$28/100</f>
        <v>384.41637190500251</v>
      </c>
      <c r="O44" s="129">
        <f>O$21*shipping_manufacturing!$F$28/100</f>
        <v>0</v>
      </c>
      <c r="P44" s="129">
        <f>P$21*shipping_manufacturing!$F$28/100</f>
        <v>451.87793427230048</v>
      </c>
      <c r="Q44" s="129">
        <f>Q$21*shipping_manufacturing!$F$28/100</f>
        <v>384.41637190500251</v>
      </c>
      <c r="R44" s="129">
        <f>R$21*shipping_manufacturing!$F$28/100</f>
        <v>0</v>
      </c>
      <c r="S44" s="129">
        <f>S$21*shipping_manufacturing!$F$28/100</f>
        <v>451.87793427230048</v>
      </c>
      <c r="T44" s="129">
        <f>T$21*shipping_manufacturing!$F$28/100</f>
        <v>384.41637190500251</v>
      </c>
      <c r="U44" s="129">
        <f>U$21*shipping_manufacturing!$F$28/100</f>
        <v>345.97473471450229</v>
      </c>
      <c r="V44" s="129">
        <f>V$21*shipping_manufacturing!$F$28/100</f>
        <v>345.97473471450229</v>
      </c>
      <c r="W44" s="129">
        <f>W$21*shipping_manufacturing!$F$28/100</f>
        <v>0</v>
      </c>
      <c r="X44" s="129">
        <f>X$21*shipping_manufacturing!$F$28/100</f>
        <v>451.87793427230048</v>
      </c>
      <c r="Y44" s="129">
        <f>Y$21*shipping_manufacturing!$F$28/100</f>
        <v>422.85800909550284</v>
      </c>
      <c r="Z44" s="129">
        <f>Z$21*shipping_manufacturing!$F$28/100</f>
        <v>422.85800909550284</v>
      </c>
      <c r="AA44" s="129">
        <f>AA$21*shipping_manufacturing!$F$28/100</f>
        <v>422.85800909550284</v>
      </c>
      <c r="AB44" s="129">
        <f>AB$21*shipping_manufacturing!$F$28/100</f>
        <v>422.85800909550284</v>
      </c>
      <c r="AC44" s="129">
        <f>AC$21*shipping_manufacturing!$F$28/100</f>
        <v>384.41637190500251</v>
      </c>
      <c r="AD44" s="129">
        <f>AD$21*shipping_manufacturing!$F$28/100</f>
        <v>384.41637190500251</v>
      </c>
      <c r="AE44" s="129">
        <f>AE$21*shipping_manufacturing!$F$28/100</f>
        <v>384.41637190500251</v>
      </c>
      <c r="AF44" s="129">
        <f>AF$21*shipping_manufacturing!$F$28/100</f>
        <v>384.41637190500251</v>
      </c>
      <c r="AG44" s="129">
        <f>AG$21*shipping_manufacturing!$F$28/100</f>
        <v>384.41637190500251</v>
      </c>
      <c r="AH44" s="129">
        <f>AH$21*shipping_manufacturing!$F$28/100</f>
        <v>384.41637190500251</v>
      </c>
      <c r="AI44" s="129">
        <f>AI$21*shipping_manufacturing!$F$28/100</f>
        <v>384.41637190500251</v>
      </c>
      <c r="AJ44" s="129">
        <f>AJ$21*shipping_manufacturing!$F$28/100</f>
        <v>384.41637190500251</v>
      </c>
      <c r="AK44" s="129">
        <f>AK$21*shipping_manufacturing!$F$28/100</f>
        <v>345.97473471450229</v>
      </c>
      <c r="AL44" s="129">
        <f>AL$21*shipping_manufacturing!$F$28/100</f>
        <v>345.97473471450229</v>
      </c>
      <c r="AM44" s="129">
        <f>AM$21*shipping_manufacturing!$F$28/100</f>
        <v>345.97473471450229</v>
      </c>
      <c r="AN44" s="129">
        <f>AN$21*shipping_manufacturing!$F$28/100</f>
        <v>345.97473471450229</v>
      </c>
      <c r="AO44" s="129">
        <f>AO$21*shipping_manufacturing!$F$28/100</f>
        <v>384.41637190500251</v>
      </c>
      <c r="AP44" s="129">
        <f>AP$21*shipping_manufacturing!$F$28/100</f>
        <v>384.41637190500251</v>
      </c>
      <c r="AQ44" s="129">
        <f>AQ$21*shipping_manufacturing!$F$28/100</f>
        <v>384.41637190500251</v>
      </c>
      <c r="AR44" s="129">
        <f>AR$21*shipping_manufacturing!$F$28/100</f>
        <v>384.41637190500251</v>
      </c>
      <c r="AS44" s="129">
        <f>AS$21*shipping_manufacturing!$F$28/100</f>
        <v>384.41637190500251</v>
      </c>
      <c r="AT44" s="129">
        <f>AT$21*shipping_manufacturing!$F$28/100</f>
        <v>384.41637190500251</v>
      </c>
      <c r="AU44" s="129">
        <f>AU$21*shipping_manufacturing!$F$28/100</f>
        <v>384.41637190500251</v>
      </c>
      <c r="AV44" s="129">
        <f>AV$21*shipping_manufacturing!$F$28/100</f>
        <v>384.41637190500251</v>
      </c>
      <c r="AW44" s="129">
        <f>AW$21*shipping_manufacturing!$F$28/100</f>
        <v>422.85800909550284</v>
      </c>
      <c r="AX44" s="129">
        <f>AX$21*shipping_manufacturing!$F$28/100</f>
        <v>422.85800909550284</v>
      </c>
      <c r="AY44" s="129">
        <f>AY$21*shipping_manufacturing!$F$28/100</f>
        <v>422.85800909550284</v>
      </c>
    </row>
    <row r="45" spans="1:52" x14ac:dyDescent="0.2">
      <c r="A45" s="118" t="s">
        <v>340</v>
      </c>
      <c r="B45" s="170" t="s">
        <v>342</v>
      </c>
      <c r="C45" s="115"/>
      <c r="D45" s="115">
        <f>D$22*shipping_manufacturing!$G$28/100</f>
        <v>228.25346134411316</v>
      </c>
      <c r="E45" s="115">
        <f>E$22*shipping_manufacturing!$G$28/100</f>
        <v>253.61495704901461</v>
      </c>
      <c r="F45" s="115">
        <f>F$22*shipping_manufacturing!$G$28/100</f>
        <v>253.61495704901461</v>
      </c>
      <c r="G45" s="115">
        <f>G$22*shipping_manufacturing!$G$28/100</f>
        <v>253.61495704901461</v>
      </c>
      <c r="H45" s="115">
        <f>H$22*shipping_manufacturing!$G$28/100</f>
        <v>253.61495704901461</v>
      </c>
      <c r="I45" s="115">
        <f>I$22*shipping_manufacturing!$G$28/100</f>
        <v>228.25346134411316</v>
      </c>
      <c r="J45" s="115">
        <f>J$22*shipping_manufacturing!$G$28/100</f>
        <v>228.25346134411316</v>
      </c>
      <c r="K45" s="115">
        <f>K$22*shipping_manufacturing!$G$28/100</f>
        <v>228.25346134411316</v>
      </c>
      <c r="L45" s="115">
        <f>L$22*shipping_manufacturing!$G$28/100</f>
        <v>228.25346134411316</v>
      </c>
      <c r="M45" s="115">
        <f>M$22*shipping_manufacturing!$G$28/100</f>
        <v>253.61495704901461</v>
      </c>
      <c r="N45" s="115">
        <f>N$22*shipping_manufacturing!$G$28/100</f>
        <v>253.61495704901461</v>
      </c>
      <c r="O45" s="115">
        <f>O$22*shipping_manufacturing!$G$28/100</f>
        <v>0</v>
      </c>
      <c r="P45" s="115">
        <f>P$22*shipping_manufacturing!$G$28/100</f>
        <v>298.12206572769952</v>
      </c>
      <c r="Q45" s="115">
        <f>Q$22*shipping_manufacturing!$G$28/100</f>
        <v>253.61495704901461</v>
      </c>
      <c r="R45" s="115">
        <f>R$22*shipping_manufacturing!$G$28/100</f>
        <v>0</v>
      </c>
      <c r="S45" s="115">
        <f>S$22*shipping_manufacturing!$G$28/100</f>
        <v>298.12206572769952</v>
      </c>
      <c r="T45" s="115">
        <f>T$22*shipping_manufacturing!$G$28/100</f>
        <v>253.61495704901461</v>
      </c>
      <c r="U45" s="115">
        <f>U$22*shipping_manufacturing!$G$28/100</f>
        <v>228.25346134411316</v>
      </c>
      <c r="V45" s="115">
        <f>V$22*shipping_manufacturing!$G$28/100</f>
        <v>228.25346134411316</v>
      </c>
      <c r="W45" s="115">
        <f>W$22*shipping_manufacturing!$G$28/100</f>
        <v>0</v>
      </c>
      <c r="X45" s="115">
        <f>X$22*shipping_manufacturing!$G$28/100</f>
        <v>298.12206572769952</v>
      </c>
      <c r="Y45" s="115">
        <f>Y$22*shipping_manufacturing!$G$28/100</f>
        <v>278.97645275391613</v>
      </c>
      <c r="Z45" s="115">
        <f>Z$22*shipping_manufacturing!$G$28/100</f>
        <v>278.97645275391613</v>
      </c>
      <c r="AA45" s="115">
        <f>AA$22*shipping_manufacturing!$G$28/100</f>
        <v>278.97645275391613</v>
      </c>
      <c r="AB45" s="115">
        <f>AB$22*shipping_manufacturing!$G$28/100</f>
        <v>278.97645275391613</v>
      </c>
      <c r="AC45" s="115">
        <f>AC$22*shipping_manufacturing!$G$28/100</f>
        <v>253.61495704901461</v>
      </c>
      <c r="AD45" s="115">
        <f>AD$22*shipping_manufacturing!$G$28/100</f>
        <v>253.61495704901461</v>
      </c>
      <c r="AE45" s="115">
        <f>AE$22*shipping_manufacturing!$G$28/100</f>
        <v>253.61495704901461</v>
      </c>
      <c r="AF45" s="115">
        <f>AF$22*shipping_manufacturing!$G$28/100</f>
        <v>253.61495704901461</v>
      </c>
      <c r="AG45" s="115">
        <f>AG$22*shipping_manufacturing!$G$28/100</f>
        <v>253.61495704901461</v>
      </c>
      <c r="AH45" s="115">
        <f>AH$22*shipping_manufacturing!$G$28/100</f>
        <v>253.61495704901461</v>
      </c>
      <c r="AI45" s="115">
        <f>AI$22*shipping_manufacturing!$G$28/100</f>
        <v>253.61495704901461</v>
      </c>
      <c r="AJ45" s="115">
        <f>AJ$22*shipping_manufacturing!$G$28/100</f>
        <v>253.61495704901461</v>
      </c>
      <c r="AK45" s="115">
        <f>AK$22*shipping_manufacturing!$G$28/100</f>
        <v>228.25346134411316</v>
      </c>
      <c r="AL45" s="115">
        <f>AL$22*shipping_manufacturing!$G$28/100</f>
        <v>228.25346134411316</v>
      </c>
      <c r="AM45" s="115">
        <f>AM$22*shipping_manufacturing!$G$28/100</f>
        <v>228.25346134411316</v>
      </c>
      <c r="AN45" s="115">
        <f>AN$22*shipping_manufacturing!$G$28/100</f>
        <v>228.25346134411316</v>
      </c>
      <c r="AO45" s="115">
        <f>AO$22*shipping_manufacturing!$G$28/100</f>
        <v>253.61495704901461</v>
      </c>
      <c r="AP45" s="115">
        <f>AP$22*shipping_manufacturing!$G$28/100</f>
        <v>253.61495704901461</v>
      </c>
      <c r="AQ45" s="115">
        <f>AQ$22*shipping_manufacturing!$G$28/100</f>
        <v>253.61495704901461</v>
      </c>
      <c r="AR45" s="115">
        <f>AR$22*shipping_manufacturing!$G$28/100</f>
        <v>253.61495704901461</v>
      </c>
      <c r="AS45" s="115">
        <f>AS$22*shipping_manufacturing!$G$28/100</f>
        <v>253.61495704901461</v>
      </c>
      <c r="AT45" s="115">
        <f>AT$22*shipping_manufacturing!$G$28/100</f>
        <v>253.61495704901461</v>
      </c>
      <c r="AU45" s="115">
        <f>AU$22*shipping_manufacturing!$G$28/100</f>
        <v>253.61495704901461</v>
      </c>
      <c r="AV45" s="115">
        <f>AV$22*shipping_manufacturing!$G$28/100</f>
        <v>253.61495704901461</v>
      </c>
      <c r="AW45" s="115">
        <f>AW$22*shipping_manufacturing!$G$28/100</f>
        <v>278.97645275391613</v>
      </c>
      <c r="AX45" s="115">
        <f>AX$22*shipping_manufacturing!$G$28/100</f>
        <v>278.97645275391613</v>
      </c>
      <c r="AY45" s="115">
        <f>AY$22*shipping_manufacturing!$G$28/100</f>
        <v>278.97645275391613</v>
      </c>
    </row>
    <row r="46" spans="1:52" x14ac:dyDescent="0.2">
      <c r="A46" s="115">
        <v>317</v>
      </c>
      <c r="B46" s="170" t="s">
        <v>343</v>
      </c>
      <c r="C46" s="115"/>
      <c r="D46" s="115">
        <f>SUM(D44:D45)</f>
        <v>574.22819605861548</v>
      </c>
      <c r="E46" s="115">
        <f t="shared" ref="E46:AY46" si="14">SUM(E44:E45)</f>
        <v>638.03132895401711</v>
      </c>
      <c r="F46" s="115">
        <f t="shared" si="14"/>
        <v>638.03132895401711</v>
      </c>
      <c r="G46" s="115">
        <f t="shared" si="14"/>
        <v>638.03132895401711</v>
      </c>
      <c r="H46" s="115">
        <f t="shared" si="14"/>
        <v>638.03132895401711</v>
      </c>
      <c r="I46" s="115">
        <f t="shared" si="14"/>
        <v>574.22819605861548</v>
      </c>
      <c r="J46" s="115">
        <f t="shared" si="14"/>
        <v>574.22819605861548</v>
      </c>
      <c r="K46" s="115">
        <f t="shared" si="14"/>
        <v>574.22819605861548</v>
      </c>
      <c r="L46" s="115">
        <f t="shared" si="14"/>
        <v>574.22819605861548</v>
      </c>
      <c r="M46" s="115">
        <f t="shared" si="14"/>
        <v>638.03132895401711</v>
      </c>
      <c r="N46" s="115">
        <f t="shared" si="14"/>
        <v>638.03132895401711</v>
      </c>
      <c r="O46" s="115">
        <f t="shared" si="14"/>
        <v>0</v>
      </c>
      <c r="P46" s="115">
        <f t="shared" si="14"/>
        <v>750</v>
      </c>
      <c r="Q46" s="115">
        <f t="shared" si="14"/>
        <v>638.03132895401711</v>
      </c>
      <c r="R46" s="115">
        <f t="shared" si="14"/>
        <v>0</v>
      </c>
      <c r="S46" s="115">
        <f t="shared" si="14"/>
        <v>750</v>
      </c>
      <c r="T46" s="115">
        <f t="shared" si="14"/>
        <v>638.03132895401711</v>
      </c>
      <c r="U46" s="115">
        <f t="shared" si="14"/>
        <v>574.22819605861548</v>
      </c>
      <c r="V46" s="115">
        <f t="shared" si="14"/>
        <v>574.22819605861548</v>
      </c>
      <c r="W46" s="115">
        <f t="shared" si="14"/>
        <v>0</v>
      </c>
      <c r="X46" s="115">
        <f t="shared" si="14"/>
        <v>750</v>
      </c>
      <c r="Y46" s="115">
        <f t="shared" si="14"/>
        <v>701.83446184941897</v>
      </c>
      <c r="Z46" s="115">
        <f t="shared" si="14"/>
        <v>701.83446184941897</v>
      </c>
      <c r="AA46" s="115">
        <f t="shared" si="14"/>
        <v>701.83446184941897</v>
      </c>
      <c r="AB46" s="115">
        <f t="shared" si="14"/>
        <v>701.83446184941897</v>
      </c>
      <c r="AC46" s="115">
        <f t="shared" si="14"/>
        <v>638.03132895401711</v>
      </c>
      <c r="AD46" s="115">
        <f t="shared" si="14"/>
        <v>638.03132895401711</v>
      </c>
      <c r="AE46" s="115">
        <f t="shared" si="14"/>
        <v>638.03132895401711</v>
      </c>
      <c r="AF46" s="115">
        <f t="shared" si="14"/>
        <v>638.03132895401711</v>
      </c>
      <c r="AG46" s="115">
        <f t="shared" si="14"/>
        <v>638.03132895401711</v>
      </c>
      <c r="AH46" s="115">
        <f t="shared" si="14"/>
        <v>638.03132895401711</v>
      </c>
      <c r="AI46" s="115">
        <f t="shared" si="14"/>
        <v>638.03132895401711</v>
      </c>
      <c r="AJ46" s="115">
        <f t="shared" si="14"/>
        <v>638.03132895401711</v>
      </c>
      <c r="AK46" s="115">
        <f t="shared" si="14"/>
        <v>574.22819605861548</v>
      </c>
      <c r="AL46" s="115">
        <f t="shared" si="14"/>
        <v>574.22819605861548</v>
      </c>
      <c r="AM46" s="115">
        <f t="shared" si="14"/>
        <v>574.22819605861548</v>
      </c>
      <c r="AN46" s="115">
        <f t="shared" si="14"/>
        <v>574.22819605861548</v>
      </c>
      <c r="AO46" s="115">
        <f t="shared" si="14"/>
        <v>638.03132895401711</v>
      </c>
      <c r="AP46" s="115">
        <f t="shared" si="14"/>
        <v>638.03132895401711</v>
      </c>
      <c r="AQ46" s="115">
        <f t="shared" si="14"/>
        <v>638.03132895401711</v>
      </c>
      <c r="AR46" s="115">
        <f t="shared" si="14"/>
        <v>638.03132895401711</v>
      </c>
      <c r="AS46" s="115">
        <f t="shared" si="14"/>
        <v>638.03132895401711</v>
      </c>
      <c r="AT46" s="115">
        <f t="shared" si="14"/>
        <v>638.03132895401711</v>
      </c>
      <c r="AU46" s="115">
        <f t="shared" si="14"/>
        <v>638.03132895401711</v>
      </c>
      <c r="AV46" s="115">
        <f t="shared" si="14"/>
        <v>638.03132895401711</v>
      </c>
      <c r="AW46" s="115">
        <f t="shared" si="14"/>
        <v>701.83446184941897</v>
      </c>
      <c r="AX46" s="115">
        <f t="shared" si="14"/>
        <v>701.83446184941897</v>
      </c>
      <c r="AY46" s="115">
        <f t="shared" si="14"/>
        <v>701.83446184941897</v>
      </c>
    </row>
    <row r="47" spans="1:52" x14ac:dyDescent="0.2">
      <c r="A47" s="115"/>
      <c r="B47" s="170" t="s">
        <v>344</v>
      </c>
      <c r="C47" s="115"/>
      <c r="D47" s="115">
        <v>345.9747347145024</v>
      </c>
      <c r="E47" s="115">
        <v>384.41637190500262</v>
      </c>
      <c r="F47" s="115">
        <v>384.41637190500262</v>
      </c>
      <c r="G47" s="115">
        <v>384.41637190500262</v>
      </c>
      <c r="H47" s="115">
        <v>384.41637190500262</v>
      </c>
      <c r="I47" s="115">
        <v>345.9747347145024</v>
      </c>
      <c r="J47" s="115">
        <v>345.9747347145024</v>
      </c>
      <c r="K47" s="115">
        <v>345.9747347145024</v>
      </c>
      <c r="L47" s="115">
        <v>345.9747347145024</v>
      </c>
      <c r="M47" s="115">
        <v>384.41637190500262</v>
      </c>
      <c r="N47" s="115">
        <v>384.41637190500262</v>
      </c>
      <c r="O47" s="115"/>
      <c r="P47" s="115">
        <v>451.87793427230048</v>
      </c>
      <c r="Q47" s="115">
        <v>384.41637190500262</v>
      </c>
      <c r="R47" s="115"/>
      <c r="S47" s="115">
        <v>451.87793427230048</v>
      </c>
      <c r="T47" s="115">
        <v>384.41637190500262</v>
      </c>
      <c r="U47" s="115">
        <v>345.9747347145024</v>
      </c>
      <c r="V47" s="115">
        <v>345.9747347145024</v>
      </c>
      <c r="W47" s="115"/>
      <c r="X47" s="115">
        <v>451.87793427230048</v>
      </c>
      <c r="Y47" s="115">
        <v>422.85800909550284</v>
      </c>
      <c r="Z47" s="115">
        <v>422.85800909550284</v>
      </c>
      <c r="AA47" s="115">
        <v>422.85800909550284</v>
      </c>
      <c r="AB47" s="115">
        <v>422.85800909550284</v>
      </c>
      <c r="AC47" s="115">
        <v>384.41637190500262</v>
      </c>
      <c r="AD47" s="115">
        <v>384.41637190500262</v>
      </c>
      <c r="AE47" s="115">
        <v>384.41637190500262</v>
      </c>
      <c r="AF47" s="115">
        <v>384.41637190500262</v>
      </c>
      <c r="AG47" s="115">
        <v>384.41637190500262</v>
      </c>
      <c r="AH47" s="115">
        <v>384.41637190500262</v>
      </c>
      <c r="AI47" s="115">
        <v>384.41637190500262</v>
      </c>
      <c r="AJ47" s="115">
        <v>384.41637190500262</v>
      </c>
      <c r="AK47" s="115">
        <v>345.9747347145024</v>
      </c>
      <c r="AL47" s="115">
        <v>345.9747347145024</v>
      </c>
      <c r="AM47" s="115">
        <v>345.9747347145024</v>
      </c>
      <c r="AN47" s="115">
        <v>345.9747347145024</v>
      </c>
      <c r="AO47" s="115">
        <v>384.41637190500262</v>
      </c>
      <c r="AP47" s="115">
        <v>384.41637190500262</v>
      </c>
      <c r="AQ47" s="115">
        <v>384.41637190500262</v>
      </c>
      <c r="AR47" s="115">
        <v>384.41637190500262</v>
      </c>
      <c r="AS47" s="115">
        <v>384.41637190500262</v>
      </c>
      <c r="AT47" s="115">
        <v>384.41637190500262</v>
      </c>
      <c r="AU47" s="115">
        <v>384.41637190500262</v>
      </c>
      <c r="AV47" s="115">
        <v>384.41637190500262</v>
      </c>
      <c r="AW47" s="115">
        <v>422.85800909550284</v>
      </c>
      <c r="AX47" s="115">
        <v>422.85800909550284</v>
      </c>
      <c r="AY47" s="115">
        <v>422.85800909550284</v>
      </c>
    </row>
    <row r="48" spans="1:52" x14ac:dyDescent="0.2">
      <c r="A48" s="115"/>
      <c r="B48" s="170" t="s">
        <v>345</v>
      </c>
      <c r="C48" s="115"/>
      <c r="D48" s="115">
        <v>228.25346134411328</v>
      </c>
      <c r="E48" s="115">
        <v>253.61495704901483</v>
      </c>
      <c r="F48" s="115">
        <v>253.61495704901483</v>
      </c>
      <c r="G48" s="115">
        <v>253.61495704901483</v>
      </c>
      <c r="H48" s="115">
        <v>253.61495704901483</v>
      </c>
      <c r="I48" s="115">
        <v>228.25346134411328</v>
      </c>
      <c r="J48" s="115">
        <v>228.25346134411328</v>
      </c>
      <c r="K48" s="115">
        <v>228.25346134411328</v>
      </c>
      <c r="L48" s="115">
        <v>228.25346134411328</v>
      </c>
      <c r="M48" s="115">
        <v>253.61495704901483</v>
      </c>
      <c r="N48" s="115">
        <v>253.61495704901483</v>
      </c>
      <c r="O48" s="115"/>
      <c r="P48" s="115">
        <v>298.12206572769963</v>
      </c>
      <c r="Q48" s="115">
        <v>253.61495704901483</v>
      </c>
      <c r="R48" s="115"/>
      <c r="S48" s="115">
        <v>298.12206572769963</v>
      </c>
      <c r="T48" s="115">
        <v>253.61495704901483</v>
      </c>
      <c r="U48" s="115">
        <v>228.25346134411328</v>
      </c>
      <c r="V48" s="115">
        <v>228.25346134411328</v>
      </c>
      <c r="W48" s="115"/>
      <c r="X48" s="115">
        <v>298.12206572769963</v>
      </c>
      <c r="Y48" s="115">
        <v>278.97645275391636</v>
      </c>
      <c r="Z48" s="115">
        <v>278.97645275391636</v>
      </c>
      <c r="AA48" s="115">
        <v>278.97645275391636</v>
      </c>
      <c r="AB48" s="115">
        <v>278.97645275391636</v>
      </c>
      <c r="AC48" s="115">
        <v>253.61495704901483</v>
      </c>
      <c r="AD48" s="115">
        <v>253.61495704901483</v>
      </c>
      <c r="AE48" s="115">
        <v>253.61495704901483</v>
      </c>
      <c r="AF48" s="115">
        <v>253.61495704901483</v>
      </c>
      <c r="AG48" s="115">
        <v>253.61495704901483</v>
      </c>
      <c r="AH48" s="115">
        <v>253.61495704901483</v>
      </c>
      <c r="AI48" s="115">
        <v>253.61495704901483</v>
      </c>
      <c r="AJ48" s="115">
        <v>253.61495704901483</v>
      </c>
      <c r="AK48" s="115">
        <v>228.25346134411328</v>
      </c>
      <c r="AL48" s="115">
        <v>228.25346134411328</v>
      </c>
      <c r="AM48" s="115">
        <v>228.25346134411328</v>
      </c>
      <c r="AN48" s="115">
        <v>228.25346134411328</v>
      </c>
      <c r="AO48" s="115">
        <v>253.61495704901483</v>
      </c>
      <c r="AP48" s="115">
        <v>253.61495704901483</v>
      </c>
      <c r="AQ48" s="115">
        <v>253.61495704901483</v>
      </c>
      <c r="AR48" s="115">
        <v>253.61495704901483</v>
      </c>
      <c r="AS48" s="115">
        <v>253.61495704901483</v>
      </c>
      <c r="AT48" s="115">
        <v>253.61495704901483</v>
      </c>
      <c r="AU48" s="115">
        <v>253.61495704901483</v>
      </c>
      <c r="AV48" s="115">
        <v>253.61495704901483</v>
      </c>
      <c r="AW48" s="115">
        <v>278.97645275391636</v>
      </c>
      <c r="AX48" s="115">
        <v>278.97645275391636</v>
      </c>
      <c r="AY48" s="115">
        <v>278.97645275391636</v>
      </c>
    </row>
    <row r="49" spans="1:52" x14ac:dyDescent="0.2">
      <c r="A49" s="115"/>
      <c r="B49" s="170" t="s">
        <v>346</v>
      </c>
      <c r="C49" s="115"/>
      <c r="D49" s="115">
        <v>20</v>
      </c>
      <c r="E49" s="115">
        <v>22</v>
      </c>
      <c r="F49" s="115">
        <v>22</v>
      </c>
      <c r="G49" s="115">
        <v>22</v>
      </c>
      <c r="H49" s="115">
        <v>22</v>
      </c>
      <c r="I49" s="115">
        <v>20</v>
      </c>
      <c r="J49" s="115">
        <v>20</v>
      </c>
      <c r="K49" s="115">
        <v>20</v>
      </c>
      <c r="L49" s="115">
        <v>20</v>
      </c>
      <c r="M49" s="115">
        <v>22</v>
      </c>
      <c r="N49" s="115">
        <v>22</v>
      </c>
      <c r="O49" s="115"/>
      <c r="P49" s="115">
        <v>25</v>
      </c>
      <c r="Q49" s="115">
        <v>22</v>
      </c>
      <c r="R49" s="115"/>
      <c r="S49" s="115">
        <v>25</v>
      </c>
      <c r="T49" s="115">
        <v>22</v>
      </c>
      <c r="U49" s="115">
        <v>20</v>
      </c>
      <c r="V49" s="115">
        <v>20</v>
      </c>
      <c r="W49" s="115"/>
      <c r="X49" s="115">
        <v>25</v>
      </c>
      <c r="Y49" s="115">
        <v>24</v>
      </c>
      <c r="Z49" s="115">
        <v>24</v>
      </c>
      <c r="AA49" s="115">
        <v>24</v>
      </c>
      <c r="AB49" s="115">
        <v>24</v>
      </c>
      <c r="AC49" s="115">
        <v>22</v>
      </c>
      <c r="AD49" s="115">
        <v>22</v>
      </c>
      <c r="AE49" s="115">
        <v>22</v>
      </c>
      <c r="AF49" s="115">
        <v>22</v>
      </c>
      <c r="AG49" s="115">
        <v>22</v>
      </c>
      <c r="AH49" s="115">
        <v>22</v>
      </c>
      <c r="AI49" s="115">
        <v>22</v>
      </c>
      <c r="AJ49" s="115">
        <v>22</v>
      </c>
      <c r="AK49" s="115">
        <v>20</v>
      </c>
      <c r="AL49" s="115">
        <v>20</v>
      </c>
      <c r="AM49" s="115">
        <v>20</v>
      </c>
      <c r="AN49" s="115">
        <v>20</v>
      </c>
      <c r="AO49" s="115">
        <v>22</v>
      </c>
      <c r="AP49" s="115">
        <v>22</v>
      </c>
      <c r="AQ49" s="115">
        <v>22</v>
      </c>
      <c r="AR49" s="115">
        <v>22</v>
      </c>
      <c r="AS49" s="115">
        <v>22</v>
      </c>
      <c r="AT49" s="115">
        <v>22</v>
      </c>
      <c r="AU49" s="115">
        <v>22</v>
      </c>
      <c r="AV49" s="115">
        <v>22</v>
      </c>
      <c r="AW49" s="115">
        <v>24</v>
      </c>
      <c r="AX49" s="115">
        <v>24</v>
      </c>
      <c r="AY49" s="115">
        <v>24</v>
      </c>
    </row>
    <row r="50" spans="1:52" x14ac:dyDescent="0.2">
      <c r="A50" s="115"/>
      <c r="B50" s="170" t="s">
        <v>347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348</v>
      </c>
      <c r="C51" s="115"/>
      <c r="D51" s="115">
        <f>D45-D48</f>
        <v>0</v>
      </c>
      <c r="E51" s="115">
        <f t="shared" ref="E51:AY51" si="16">E45-E48</f>
        <v>-2.2737367544323206E-13</v>
      </c>
      <c r="F51" s="115">
        <f t="shared" si="16"/>
        <v>-2.2737367544323206E-13</v>
      </c>
      <c r="G51" s="115">
        <f t="shared" si="16"/>
        <v>-2.2737367544323206E-13</v>
      </c>
      <c r="H51" s="115">
        <f t="shared" si="16"/>
        <v>-2.2737367544323206E-13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-2.2737367544323206E-13</v>
      </c>
      <c r="N51" s="115">
        <f t="shared" si="16"/>
        <v>-2.2737367544323206E-13</v>
      </c>
      <c r="O51" s="115">
        <f t="shared" si="16"/>
        <v>0</v>
      </c>
      <c r="P51" s="115">
        <f t="shared" si="16"/>
        <v>0</v>
      </c>
      <c r="Q51" s="115">
        <f t="shared" si="16"/>
        <v>-2.2737367544323206E-13</v>
      </c>
      <c r="R51" s="115">
        <f t="shared" si="16"/>
        <v>0</v>
      </c>
      <c r="S51" s="115">
        <f t="shared" si="16"/>
        <v>0</v>
      </c>
      <c r="T51" s="115">
        <f t="shared" si="16"/>
        <v>-2.2737367544323206E-13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-2.2737367544323206E-13</v>
      </c>
      <c r="AD51" s="115">
        <f t="shared" si="16"/>
        <v>-2.2737367544323206E-13</v>
      </c>
      <c r="AE51" s="115">
        <f t="shared" si="16"/>
        <v>-2.2737367544323206E-13</v>
      </c>
      <c r="AF51" s="115">
        <f t="shared" si="16"/>
        <v>-2.2737367544323206E-13</v>
      </c>
      <c r="AG51" s="115">
        <f t="shared" si="16"/>
        <v>-2.2737367544323206E-13</v>
      </c>
      <c r="AH51" s="115">
        <f t="shared" si="16"/>
        <v>-2.2737367544323206E-13</v>
      </c>
      <c r="AI51" s="115">
        <f t="shared" si="16"/>
        <v>-2.2737367544323206E-13</v>
      </c>
      <c r="AJ51" s="115">
        <f t="shared" si="16"/>
        <v>-2.2737367544323206E-13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-2.2737367544323206E-13</v>
      </c>
      <c r="AP51" s="115">
        <f t="shared" si="16"/>
        <v>-2.2737367544323206E-13</v>
      </c>
      <c r="AQ51" s="115">
        <f t="shared" si="16"/>
        <v>-2.2737367544323206E-13</v>
      </c>
      <c r="AR51" s="115">
        <f t="shared" si="16"/>
        <v>-2.2737367544323206E-13</v>
      </c>
      <c r="AS51" s="115">
        <f t="shared" si="16"/>
        <v>-2.2737367544323206E-13</v>
      </c>
      <c r="AT51" s="115">
        <f t="shared" si="16"/>
        <v>-2.2737367544323206E-13</v>
      </c>
      <c r="AU51" s="115">
        <f t="shared" si="16"/>
        <v>-2.2737367544323206E-13</v>
      </c>
      <c r="AV51" s="115">
        <f t="shared" si="16"/>
        <v>-2.2737367544323206E-13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349</v>
      </c>
      <c r="C52" s="115"/>
      <c r="D52" s="115">
        <v>1</v>
      </c>
      <c r="E52" s="115">
        <v>1</v>
      </c>
      <c r="F52" s="115">
        <v>1</v>
      </c>
      <c r="G52" s="115">
        <v>1</v>
      </c>
      <c r="H52" s="115">
        <v>2</v>
      </c>
      <c r="I52" s="115">
        <v>1</v>
      </c>
      <c r="J52" s="115">
        <v>1</v>
      </c>
      <c r="K52" s="115">
        <v>1</v>
      </c>
      <c r="L52" s="115">
        <v>1</v>
      </c>
      <c r="M52" s="115">
        <v>3</v>
      </c>
      <c r="N52" s="115">
        <v>1</v>
      </c>
      <c r="O52" s="115">
        <v>2</v>
      </c>
      <c r="P52" s="115">
        <v>2</v>
      </c>
      <c r="Q52" s="115">
        <v>1</v>
      </c>
      <c r="R52" s="115">
        <v>1</v>
      </c>
      <c r="S52" s="115">
        <v>1</v>
      </c>
      <c r="T52" s="115">
        <v>2</v>
      </c>
      <c r="U52" s="115">
        <v>1</v>
      </c>
      <c r="V52" s="115">
        <v>2</v>
      </c>
      <c r="W52" s="115">
        <v>1</v>
      </c>
      <c r="X52" s="115">
        <v>2</v>
      </c>
      <c r="Y52" s="115">
        <v>2</v>
      </c>
      <c r="Z52" s="115">
        <v>2</v>
      </c>
      <c r="AA52" s="115">
        <v>1</v>
      </c>
      <c r="AB52" s="115">
        <v>1</v>
      </c>
      <c r="AC52" s="115">
        <v>2</v>
      </c>
      <c r="AD52" s="115">
        <v>1</v>
      </c>
      <c r="AE52" s="115">
        <v>1</v>
      </c>
      <c r="AF52" s="115">
        <v>1</v>
      </c>
      <c r="AG52" s="115">
        <v>1</v>
      </c>
      <c r="AH52" s="115">
        <v>3</v>
      </c>
      <c r="AI52" s="115">
        <v>2</v>
      </c>
      <c r="AJ52" s="115">
        <v>1</v>
      </c>
      <c r="AK52" s="115">
        <v>1</v>
      </c>
      <c r="AL52" s="115">
        <v>2</v>
      </c>
      <c r="AM52" s="115">
        <v>1</v>
      </c>
      <c r="AN52" s="115">
        <v>2</v>
      </c>
      <c r="AO52" s="115">
        <v>1</v>
      </c>
      <c r="AP52" s="115">
        <v>1</v>
      </c>
      <c r="AQ52" s="115">
        <v>1</v>
      </c>
      <c r="AR52" s="115">
        <v>2</v>
      </c>
      <c r="AS52" s="115">
        <v>3</v>
      </c>
      <c r="AT52" s="115">
        <v>2</v>
      </c>
      <c r="AU52" s="115">
        <v>2</v>
      </c>
      <c r="AV52" s="115">
        <v>1</v>
      </c>
      <c r="AW52" s="115">
        <v>1</v>
      </c>
      <c r="AX52" s="115">
        <v>1</v>
      </c>
      <c r="AY52" s="115">
        <v>1</v>
      </c>
    </row>
    <row r="53" spans="1:52" x14ac:dyDescent="0.2">
      <c r="A53" s="115"/>
      <c r="B53" s="183" t="s">
        <v>350</v>
      </c>
      <c r="C53" s="115"/>
      <c r="D53" s="115">
        <v>228240</v>
      </c>
      <c r="E53" s="115">
        <v>251064</v>
      </c>
      <c r="F53" s="115">
        <v>251064</v>
      </c>
      <c r="G53" s="115">
        <v>251064</v>
      </c>
      <c r="H53" s="115">
        <v>251064</v>
      </c>
      <c r="I53" s="115">
        <v>228240</v>
      </c>
      <c r="J53" s="115">
        <v>228240</v>
      </c>
      <c r="K53" s="115">
        <v>228240</v>
      </c>
      <c r="L53" s="115">
        <v>228240</v>
      </c>
      <c r="M53" s="115">
        <v>251064</v>
      </c>
      <c r="N53" s="115">
        <v>251064</v>
      </c>
      <c r="O53" s="115">
        <v>0</v>
      </c>
      <c r="P53" s="115">
        <v>285300</v>
      </c>
      <c r="Q53" s="115">
        <v>251064</v>
      </c>
      <c r="R53" s="115">
        <v>0</v>
      </c>
      <c r="S53" s="115">
        <v>285300</v>
      </c>
      <c r="T53" s="115">
        <v>251064</v>
      </c>
      <c r="U53" s="115">
        <v>228240</v>
      </c>
      <c r="V53" s="115">
        <v>228240</v>
      </c>
      <c r="W53" s="115">
        <v>0</v>
      </c>
      <c r="X53" s="115">
        <v>285300</v>
      </c>
      <c r="Y53" s="115">
        <v>273888</v>
      </c>
      <c r="Z53" s="115">
        <v>273888</v>
      </c>
      <c r="AA53" s="115">
        <v>273888</v>
      </c>
      <c r="AB53" s="115">
        <v>273888</v>
      </c>
      <c r="AC53" s="115">
        <v>251064</v>
      </c>
      <c r="AD53" s="115">
        <v>251064</v>
      </c>
      <c r="AE53" s="115">
        <v>251064</v>
      </c>
      <c r="AF53" s="115">
        <v>251064</v>
      </c>
      <c r="AG53" s="115">
        <v>251064</v>
      </c>
      <c r="AH53" s="115">
        <v>251064</v>
      </c>
      <c r="AI53" s="115">
        <v>251064</v>
      </c>
      <c r="AJ53" s="115">
        <v>251064</v>
      </c>
      <c r="AK53" s="115">
        <v>228240</v>
      </c>
      <c r="AL53" s="115">
        <v>228240</v>
      </c>
      <c r="AM53" s="115">
        <v>228240</v>
      </c>
      <c r="AN53" s="115">
        <v>228240</v>
      </c>
      <c r="AO53" s="115">
        <v>251064</v>
      </c>
      <c r="AP53" s="115">
        <v>251064</v>
      </c>
      <c r="AQ53" s="115">
        <v>251064</v>
      </c>
      <c r="AR53" s="115">
        <v>251064</v>
      </c>
      <c r="AS53" s="115">
        <v>251064</v>
      </c>
      <c r="AT53" s="115">
        <v>251064</v>
      </c>
      <c r="AU53" s="115">
        <v>251064</v>
      </c>
      <c r="AV53" s="115">
        <v>251064</v>
      </c>
      <c r="AW53" s="115">
        <v>273888</v>
      </c>
      <c r="AX53" s="115">
        <v>273888</v>
      </c>
      <c r="AY53" s="115">
        <v>273888</v>
      </c>
      <c r="AZ53" s="105">
        <f>SUM($D$53:$AY$53)</f>
        <v>11309292</v>
      </c>
    </row>
    <row r="54" spans="1:52" x14ac:dyDescent="0.2">
      <c r="A54" s="115"/>
      <c r="B54" s="183" t="s">
        <v>351</v>
      </c>
      <c r="C54" s="115"/>
      <c r="D54" s="115">
        <v>0</v>
      </c>
      <c r="E54" s="115">
        <v>-4.6850345825077968E-11</v>
      </c>
      <c r="F54" s="115">
        <v>-4.6850345825077968E-11</v>
      </c>
      <c r="G54" s="115">
        <v>-4.6850345825077968E-11</v>
      </c>
      <c r="H54" s="115">
        <v>-4.6850345825077968E-11</v>
      </c>
      <c r="I54" s="115">
        <v>0</v>
      </c>
      <c r="J54" s="115">
        <v>0</v>
      </c>
      <c r="K54" s="115">
        <v>0</v>
      </c>
      <c r="L54" s="115">
        <v>0</v>
      </c>
      <c r="M54" s="115">
        <v>-4.6850345825077968E-11</v>
      </c>
      <c r="N54" s="115">
        <v>-4.6850345825077968E-11</v>
      </c>
      <c r="O54" s="115">
        <v>0</v>
      </c>
      <c r="P54" s="115">
        <v>0</v>
      </c>
      <c r="Q54" s="115">
        <v>-4.6850345825077968E-11</v>
      </c>
      <c r="R54" s="115">
        <v>0</v>
      </c>
      <c r="S54" s="115">
        <v>0</v>
      </c>
      <c r="T54" s="115">
        <v>-4.6850345825077968E-11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-4.6850345825077968E-11</v>
      </c>
      <c r="AD54" s="115">
        <v>-4.6850345825077968E-11</v>
      </c>
      <c r="AE54" s="115">
        <v>-4.6850345825077968E-11</v>
      </c>
      <c r="AF54" s="115">
        <v>-4.6850345825077968E-11</v>
      </c>
      <c r="AG54" s="115">
        <v>-4.6850345825077968E-11</v>
      </c>
      <c r="AH54" s="115">
        <v>-4.6850345825077968E-11</v>
      </c>
      <c r="AI54" s="115">
        <v>-4.6850345825077968E-11</v>
      </c>
      <c r="AJ54" s="115">
        <v>-4.6850345825077968E-11</v>
      </c>
      <c r="AK54" s="115">
        <v>0</v>
      </c>
      <c r="AL54" s="115">
        <v>0</v>
      </c>
      <c r="AM54" s="115">
        <v>0</v>
      </c>
      <c r="AN54" s="115">
        <v>0</v>
      </c>
      <c r="AO54" s="115">
        <v>-4.6850345825077968E-11</v>
      </c>
      <c r="AP54" s="115">
        <v>-4.6850345825077968E-11</v>
      </c>
      <c r="AQ54" s="115">
        <v>-4.6850345825077968E-11</v>
      </c>
      <c r="AR54" s="115">
        <v>-4.6850345825077968E-11</v>
      </c>
      <c r="AS54" s="115">
        <v>-4.6850345825077968E-11</v>
      </c>
      <c r="AT54" s="115">
        <v>-4.6850345825077968E-11</v>
      </c>
      <c r="AU54" s="115">
        <v>-4.6850345825077968E-11</v>
      </c>
      <c r="AV54" s="115">
        <v>-4.6850345825077968E-11</v>
      </c>
      <c r="AW54" s="115">
        <v>0</v>
      </c>
      <c r="AX54" s="115">
        <v>0</v>
      </c>
      <c r="AY54" s="115">
        <v>0</v>
      </c>
      <c r="AZ54" s="105">
        <f>SUM($D$54:$AY$54)</f>
        <v>-1.1244082998018718E-9</v>
      </c>
    </row>
    <row r="55" spans="1:52" x14ac:dyDescent="0.2">
      <c r="A55" s="140" t="s">
        <v>57</v>
      </c>
      <c r="B55" s="140" t="s">
        <v>341</v>
      </c>
      <c r="C55" s="129"/>
      <c r="D55" s="129">
        <f>D$21*shipping_manufacturing!$F$29/100</f>
        <v>0</v>
      </c>
      <c r="E55" s="129">
        <f>E$21*shipping_manufacturing!$F$29/100</f>
        <v>0</v>
      </c>
      <c r="F55" s="129">
        <f>F$21*shipping_manufacturing!$F$29/100</f>
        <v>0</v>
      </c>
      <c r="G55" s="129">
        <f>G$21*shipping_manufacturing!$F$29/100</f>
        <v>0</v>
      </c>
      <c r="H55" s="129">
        <f>H$21*shipping_manufacturing!$F$29/100</f>
        <v>0</v>
      </c>
      <c r="I55" s="129">
        <f>I$21*shipping_manufacturing!$F$29/100</f>
        <v>0</v>
      </c>
      <c r="J55" s="129">
        <f>J$21*shipping_manufacturing!$F$29/100</f>
        <v>0</v>
      </c>
      <c r="K55" s="129">
        <f>K$21*shipping_manufacturing!$F$29/100</f>
        <v>0</v>
      </c>
      <c r="L55" s="129">
        <f>L$21*shipping_manufacturing!$F$29/100</f>
        <v>0</v>
      </c>
      <c r="M55" s="129">
        <f>M$21*shipping_manufacturing!$F$29/100</f>
        <v>0</v>
      </c>
      <c r="N55" s="129">
        <f>N$21*shipping_manufacturing!$F$29/100</f>
        <v>0</v>
      </c>
      <c r="O55" s="129">
        <f>O$21*shipping_manufacturing!$F$29/100</f>
        <v>0</v>
      </c>
      <c r="P55" s="129">
        <f>P$21*shipping_manufacturing!$F$29/100</f>
        <v>0</v>
      </c>
      <c r="Q55" s="129">
        <f>Q$21*shipping_manufacturing!$F$29/100</f>
        <v>0</v>
      </c>
      <c r="R55" s="129">
        <f>R$21*shipping_manufacturing!$F$29/100</f>
        <v>0</v>
      </c>
      <c r="S55" s="129">
        <f>S$21*shipping_manufacturing!$F$29/100</f>
        <v>0</v>
      </c>
      <c r="T55" s="129">
        <f>T$21*shipping_manufacturing!$F$29/100</f>
        <v>0</v>
      </c>
      <c r="U55" s="129">
        <f>U$21*shipping_manufacturing!$F$29/100</f>
        <v>0</v>
      </c>
      <c r="V55" s="129">
        <f>V$21*shipping_manufacturing!$F$29/100</f>
        <v>0</v>
      </c>
      <c r="W55" s="129">
        <f>W$21*shipping_manufacturing!$F$29/100</f>
        <v>0</v>
      </c>
      <c r="X55" s="129">
        <f>X$21*shipping_manufacturing!$F$29/100</f>
        <v>0</v>
      </c>
      <c r="Y55" s="129">
        <f>Y$21*shipping_manufacturing!$F$29/100</f>
        <v>0</v>
      </c>
      <c r="Z55" s="129">
        <f>Z$21*shipping_manufacturing!$F$29/100</f>
        <v>0</v>
      </c>
      <c r="AA55" s="129">
        <f>AA$21*shipping_manufacturing!$F$29/100</f>
        <v>0</v>
      </c>
      <c r="AB55" s="129">
        <f>AB$21*shipping_manufacturing!$F$29/100</f>
        <v>0</v>
      </c>
      <c r="AC55" s="129">
        <f>AC$21*shipping_manufacturing!$F$29/100</f>
        <v>0</v>
      </c>
      <c r="AD55" s="129">
        <f>AD$21*shipping_manufacturing!$F$29/100</f>
        <v>0</v>
      </c>
      <c r="AE55" s="129">
        <f>AE$21*shipping_manufacturing!$F$29/100</f>
        <v>0</v>
      </c>
      <c r="AF55" s="129">
        <f>AF$21*shipping_manufacturing!$F$29/100</f>
        <v>0</v>
      </c>
      <c r="AG55" s="129">
        <f>AG$21*shipping_manufacturing!$F$29/100</f>
        <v>0</v>
      </c>
      <c r="AH55" s="129">
        <f>AH$21*shipping_manufacturing!$F$29/100</f>
        <v>0</v>
      </c>
      <c r="AI55" s="129">
        <f>AI$21*shipping_manufacturing!$F$29/100</f>
        <v>0</v>
      </c>
      <c r="AJ55" s="129">
        <f>AJ$21*shipping_manufacturing!$F$29/100</f>
        <v>0</v>
      </c>
      <c r="AK55" s="129">
        <f>AK$21*shipping_manufacturing!$F$29/100</f>
        <v>0</v>
      </c>
      <c r="AL55" s="129">
        <f>AL$21*shipping_manufacturing!$F$29/100</f>
        <v>0</v>
      </c>
      <c r="AM55" s="129">
        <f>AM$21*shipping_manufacturing!$F$29/100</f>
        <v>0</v>
      </c>
      <c r="AN55" s="129">
        <f>AN$21*shipping_manufacturing!$F$29/100</f>
        <v>0</v>
      </c>
      <c r="AO55" s="129">
        <f>AO$21*shipping_manufacturing!$F$29/100</f>
        <v>0</v>
      </c>
      <c r="AP55" s="129">
        <f>AP$21*shipping_manufacturing!$F$29/100</f>
        <v>0</v>
      </c>
      <c r="AQ55" s="129">
        <f>AQ$21*shipping_manufacturing!$F$29/100</f>
        <v>0</v>
      </c>
      <c r="AR55" s="129">
        <f>AR$21*shipping_manufacturing!$F$29/100</f>
        <v>0</v>
      </c>
      <c r="AS55" s="129">
        <f>AS$21*shipping_manufacturing!$F$29/100</f>
        <v>0</v>
      </c>
      <c r="AT55" s="129">
        <f>AT$21*shipping_manufacturing!$F$29/100</f>
        <v>0</v>
      </c>
      <c r="AU55" s="129">
        <f>AU$21*shipping_manufacturing!$F$29/100</f>
        <v>0</v>
      </c>
      <c r="AV55" s="129">
        <f>AV$21*shipping_manufacturing!$F$29/100</f>
        <v>0</v>
      </c>
      <c r="AW55" s="129">
        <f>AW$21*shipping_manufacturing!$F$29/100</f>
        <v>0</v>
      </c>
      <c r="AX55" s="129">
        <f>AX$21*shipping_manufacturing!$F$29/100</f>
        <v>0</v>
      </c>
      <c r="AY55" s="129">
        <f>AY$21*shipping_manufacturing!$F$29/100</f>
        <v>0</v>
      </c>
    </row>
    <row r="56" spans="1:52" x14ac:dyDescent="0.2">
      <c r="A56" s="118" t="s">
        <v>340</v>
      </c>
      <c r="B56" s="170" t="s">
        <v>342</v>
      </c>
      <c r="C56" s="115"/>
      <c r="D56" s="115">
        <f>D$22*shipping_manufacturing!$G$29/100</f>
        <v>0</v>
      </c>
      <c r="E56" s="115">
        <f>E$22*shipping_manufacturing!$G$29/100</f>
        <v>0</v>
      </c>
      <c r="F56" s="115">
        <f>F$22*shipping_manufacturing!$G$29/100</f>
        <v>0</v>
      </c>
      <c r="G56" s="115">
        <f>G$22*shipping_manufacturing!$G$29/100</f>
        <v>0</v>
      </c>
      <c r="H56" s="115">
        <f>H$22*shipping_manufacturing!$G$29/100</f>
        <v>0</v>
      </c>
      <c r="I56" s="115">
        <f>I$22*shipping_manufacturing!$G$29/100</f>
        <v>0</v>
      </c>
      <c r="J56" s="115">
        <f>J$22*shipping_manufacturing!$G$29/100</f>
        <v>0</v>
      </c>
      <c r="K56" s="115">
        <f>K$22*shipping_manufacturing!$G$29/100</f>
        <v>0</v>
      </c>
      <c r="L56" s="115">
        <f>L$22*shipping_manufacturing!$G$29/100</f>
        <v>0</v>
      </c>
      <c r="M56" s="115">
        <f>M$22*shipping_manufacturing!$G$29/100</f>
        <v>0</v>
      </c>
      <c r="N56" s="115">
        <f>N$22*shipping_manufacturing!$G$29/100</f>
        <v>0</v>
      </c>
      <c r="O56" s="115">
        <f>O$22*shipping_manufacturing!$G$29/100</f>
        <v>0</v>
      </c>
      <c r="P56" s="115">
        <f>P$22*shipping_manufacturing!$G$29/100</f>
        <v>0</v>
      </c>
      <c r="Q56" s="115">
        <f>Q$22*shipping_manufacturing!$G$29/100</f>
        <v>0</v>
      </c>
      <c r="R56" s="115">
        <f>R$22*shipping_manufacturing!$G$29/100</f>
        <v>0</v>
      </c>
      <c r="S56" s="115">
        <f>S$22*shipping_manufacturing!$G$29/100</f>
        <v>0</v>
      </c>
      <c r="T56" s="115">
        <f>T$22*shipping_manufacturing!$G$29/100</f>
        <v>0</v>
      </c>
      <c r="U56" s="115">
        <f>U$22*shipping_manufacturing!$G$29/100</f>
        <v>0</v>
      </c>
      <c r="V56" s="115">
        <f>V$22*shipping_manufacturing!$G$29/100</f>
        <v>0</v>
      </c>
      <c r="W56" s="115">
        <f>W$22*shipping_manufacturing!$G$29/100</f>
        <v>0</v>
      </c>
      <c r="X56" s="115">
        <f>X$22*shipping_manufacturing!$G$29/100</f>
        <v>0</v>
      </c>
      <c r="Y56" s="115">
        <f>Y$22*shipping_manufacturing!$G$29/100</f>
        <v>0</v>
      </c>
      <c r="Z56" s="115">
        <f>Z$22*shipping_manufacturing!$G$29/100</f>
        <v>0</v>
      </c>
      <c r="AA56" s="115">
        <f>AA$22*shipping_manufacturing!$G$29/100</f>
        <v>0</v>
      </c>
      <c r="AB56" s="115">
        <f>AB$22*shipping_manufacturing!$G$29/100</f>
        <v>0</v>
      </c>
      <c r="AC56" s="115">
        <f>AC$22*shipping_manufacturing!$G$29/100</f>
        <v>0</v>
      </c>
      <c r="AD56" s="115">
        <f>AD$22*shipping_manufacturing!$G$29/100</f>
        <v>0</v>
      </c>
      <c r="AE56" s="115">
        <f>AE$22*shipping_manufacturing!$G$29/100</f>
        <v>0</v>
      </c>
      <c r="AF56" s="115">
        <f>AF$22*shipping_manufacturing!$G$29/100</f>
        <v>0</v>
      </c>
      <c r="AG56" s="115">
        <f>AG$22*shipping_manufacturing!$G$29/100</f>
        <v>0</v>
      </c>
      <c r="AH56" s="115">
        <f>AH$22*shipping_manufacturing!$G$29/100</f>
        <v>0</v>
      </c>
      <c r="AI56" s="115">
        <f>AI$22*shipping_manufacturing!$G$29/100</f>
        <v>0</v>
      </c>
      <c r="AJ56" s="115">
        <f>AJ$22*shipping_manufacturing!$G$29/100</f>
        <v>0</v>
      </c>
      <c r="AK56" s="115">
        <f>AK$22*shipping_manufacturing!$G$29/100</f>
        <v>0</v>
      </c>
      <c r="AL56" s="115">
        <f>AL$22*shipping_manufacturing!$G$29/100</f>
        <v>0</v>
      </c>
      <c r="AM56" s="115">
        <f>AM$22*shipping_manufacturing!$G$29/100</f>
        <v>0</v>
      </c>
      <c r="AN56" s="115">
        <f>AN$22*shipping_manufacturing!$G$29/100</f>
        <v>0</v>
      </c>
      <c r="AO56" s="115">
        <f>AO$22*shipping_manufacturing!$G$29/100</f>
        <v>0</v>
      </c>
      <c r="AP56" s="115">
        <f>AP$22*shipping_manufacturing!$G$29/100</f>
        <v>0</v>
      </c>
      <c r="AQ56" s="115">
        <f>AQ$22*shipping_manufacturing!$G$29/100</f>
        <v>0</v>
      </c>
      <c r="AR56" s="115">
        <f>AR$22*shipping_manufacturing!$G$29/100</f>
        <v>0</v>
      </c>
      <c r="AS56" s="115">
        <f>AS$22*shipping_manufacturing!$G$29/100</f>
        <v>0</v>
      </c>
      <c r="AT56" s="115">
        <f>AT$22*shipping_manufacturing!$G$29/100</f>
        <v>0</v>
      </c>
      <c r="AU56" s="115">
        <f>AU$22*shipping_manufacturing!$G$29/100</f>
        <v>0</v>
      </c>
      <c r="AV56" s="115">
        <f>AV$22*shipping_manufacturing!$G$29/100</f>
        <v>0</v>
      </c>
      <c r="AW56" s="115">
        <f>AW$22*shipping_manufacturing!$G$29/100</f>
        <v>0</v>
      </c>
      <c r="AX56" s="115">
        <f>AX$22*shipping_manufacturing!$G$29/100</f>
        <v>0</v>
      </c>
      <c r="AY56" s="115">
        <f>AY$22*shipping_manufacturing!$G$29/100</f>
        <v>0</v>
      </c>
    </row>
    <row r="57" spans="1:52" x14ac:dyDescent="0.2">
      <c r="A57" s="115">
        <v>2486</v>
      </c>
      <c r="B57" s="170" t="s">
        <v>343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344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345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346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347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348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349</v>
      </c>
      <c r="C63" s="115"/>
      <c r="D63" s="115">
        <v>2</v>
      </c>
      <c r="E63" s="115">
        <v>4</v>
      </c>
      <c r="F63" s="115">
        <v>4</v>
      </c>
      <c r="G63" s="115">
        <v>4</v>
      </c>
      <c r="H63" s="115">
        <v>3</v>
      </c>
      <c r="I63" s="115">
        <v>3</v>
      </c>
      <c r="J63" s="115">
        <v>2</v>
      </c>
      <c r="K63" s="115">
        <v>2</v>
      </c>
      <c r="L63" s="115">
        <v>2</v>
      </c>
      <c r="M63" s="115">
        <v>3</v>
      </c>
      <c r="N63" s="115">
        <v>2</v>
      </c>
      <c r="O63" s="115">
        <v>2</v>
      </c>
      <c r="P63" s="115">
        <v>3</v>
      </c>
      <c r="Q63" s="115">
        <v>2</v>
      </c>
      <c r="R63" s="115">
        <v>2</v>
      </c>
      <c r="S63" s="115">
        <v>2</v>
      </c>
      <c r="T63" s="115">
        <v>2</v>
      </c>
      <c r="U63" s="115">
        <v>3</v>
      </c>
      <c r="V63" s="115">
        <v>2</v>
      </c>
      <c r="W63" s="115">
        <v>2</v>
      </c>
      <c r="X63" s="115">
        <v>2</v>
      </c>
      <c r="Y63" s="115">
        <v>2</v>
      </c>
      <c r="Z63" s="115">
        <v>2</v>
      </c>
      <c r="AA63" s="115">
        <v>3</v>
      </c>
      <c r="AB63" s="115">
        <v>2</v>
      </c>
      <c r="AC63" s="115">
        <v>2</v>
      </c>
      <c r="AD63" s="115">
        <v>3</v>
      </c>
      <c r="AE63" s="115">
        <v>4</v>
      </c>
      <c r="AF63" s="115">
        <v>2</v>
      </c>
      <c r="AG63" s="115">
        <v>2</v>
      </c>
      <c r="AH63" s="115">
        <v>2</v>
      </c>
      <c r="AI63" s="115">
        <v>2</v>
      </c>
      <c r="AJ63" s="115">
        <v>2</v>
      </c>
      <c r="AK63" s="115">
        <v>2</v>
      </c>
      <c r="AL63" s="115">
        <v>3</v>
      </c>
      <c r="AM63" s="115">
        <v>2</v>
      </c>
      <c r="AN63" s="115">
        <v>4</v>
      </c>
      <c r="AO63" s="115">
        <v>2</v>
      </c>
      <c r="AP63" s="115">
        <v>2</v>
      </c>
      <c r="AQ63" s="115">
        <v>2</v>
      </c>
      <c r="AR63" s="115">
        <v>2</v>
      </c>
      <c r="AS63" s="115">
        <v>3</v>
      </c>
      <c r="AT63" s="115">
        <v>2</v>
      </c>
      <c r="AU63" s="115">
        <v>2</v>
      </c>
      <c r="AV63" s="115">
        <v>2</v>
      </c>
      <c r="AW63" s="115">
        <v>2</v>
      </c>
      <c r="AX63" s="115">
        <v>4</v>
      </c>
      <c r="AY63" s="115">
        <v>4</v>
      </c>
    </row>
    <row r="64" spans="1:52" x14ac:dyDescent="0.2">
      <c r="A64" s="115"/>
      <c r="B64" s="183" t="s">
        <v>350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351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341</v>
      </c>
      <c r="C66" s="129"/>
      <c r="D66" s="129">
        <f>D$21*shipping_manufacturing!$F$30/100</f>
        <v>0</v>
      </c>
      <c r="E66" s="129">
        <f>E$21*shipping_manufacturing!$F$30/100</f>
        <v>0</v>
      </c>
      <c r="F66" s="129">
        <f>F$21*shipping_manufacturing!$F$30/100</f>
        <v>0</v>
      </c>
      <c r="G66" s="129">
        <f>G$21*shipping_manufacturing!$F$30/100</f>
        <v>0</v>
      </c>
      <c r="H66" s="129">
        <f>H$21*shipping_manufacturing!$F$30/100</f>
        <v>0</v>
      </c>
      <c r="I66" s="129">
        <f>I$21*shipping_manufacturing!$F$30/100</f>
        <v>0</v>
      </c>
      <c r="J66" s="129">
        <f>J$21*shipping_manufacturing!$F$30/100</f>
        <v>0</v>
      </c>
      <c r="K66" s="129">
        <f>K$21*shipping_manufacturing!$F$30/100</f>
        <v>0</v>
      </c>
      <c r="L66" s="129">
        <f>L$21*shipping_manufacturing!$F$30/100</f>
        <v>0</v>
      </c>
      <c r="M66" s="129">
        <f>M$21*shipping_manufacturing!$F$30/100</f>
        <v>0</v>
      </c>
      <c r="N66" s="129">
        <f>N$21*shipping_manufacturing!$F$30/100</f>
        <v>0</v>
      </c>
      <c r="O66" s="129">
        <f>O$21*shipping_manufacturing!$F$30/100</f>
        <v>0</v>
      </c>
      <c r="P66" s="129">
        <f>P$21*shipping_manufacturing!$F$30/100</f>
        <v>0</v>
      </c>
      <c r="Q66" s="129">
        <f>Q$21*shipping_manufacturing!$F$30/100</f>
        <v>0</v>
      </c>
      <c r="R66" s="129">
        <f>R$21*shipping_manufacturing!$F$30/100</f>
        <v>0</v>
      </c>
      <c r="S66" s="129">
        <f>S$21*shipping_manufacturing!$F$30/100</f>
        <v>0</v>
      </c>
      <c r="T66" s="129">
        <f>T$21*shipping_manufacturing!$F$30/100</f>
        <v>0</v>
      </c>
      <c r="U66" s="129">
        <f>U$21*shipping_manufacturing!$F$30/100</f>
        <v>0</v>
      </c>
      <c r="V66" s="129">
        <f>V$21*shipping_manufacturing!$F$30/100</f>
        <v>0</v>
      </c>
      <c r="W66" s="129">
        <f>W$21*shipping_manufacturing!$F$30/100</f>
        <v>0</v>
      </c>
      <c r="X66" s="129">
        <f>X$21*shipping_manufacturing!$F$30/100</f>
        <v>0</v>
      </c>
      <c r="Y66" s="129">
        <f>Y$21*shipping_manufacturing!$F$30/100</f>
        <v>0</v>
      </c>
      <c r="Z66" s="129">
        <f>Z$21*shipping_manufacturing!$F$30/100</f>
        <v>0</v>
      </c>
      <c r="AA66" s="129">
        <f>AA$21*shipping_manufacturing!$F$30/100</f>
        <v>0</v>
      </c>
      <c r="AB66" s="129">
        <f>AB$21*shipping_manufacturing!$F$30/100</f>
        <v>0</v>
      </c>
      <c r="AC66" s="129">
        <f>AC$21*shipping_manufacturing!$F$30/100</f>
        <v>0</v>
      </c>
      <c r="AD66" s="129">
        <f>AD$21*shipping_manufacturing!$F$30/100</f>
        <v>0</v>
      </c>
      <c r="AE66" s="129">
        <f>AE$21*shipping_manufacturing!$F$30/100</f>
        <v>0</v>
      </c>
      <c r="AF66" s="129">
        <f>AF$21*shipping_manufacturing!$F$30/100</f>
        <v>0</v>
      </c>
      <c r="AG66" s="129">
        <f>AG$21*shipping_manufacturing!$F$30/100</f>
        <v>0</v>
      </c>
      <c r="AH66" s="129">
        <f>AH$21*shipping_manufacturing!$F$30/100</f>
        <v>0</v>
      </c>
      <c r="AI66" s="129">
        <f>AI$21*shipping_manufacturing!$F$30/100</f>
        <v>0</v>
      </c>
      <c r="AJ66" s="129">
        <f>AJ$21*shipping_manufacturing!$F$30/100</f>
        <v>0</v>
      </c>
      <c r="AK66" s="129">
        <f>AK$21*shipping_manufacturing!$F$30/100</f>
        <v>0</v>
      </c>
      <c r="AL66" s="129">
        <f>AL$21*shipping_manufacturing!$F$30/100</f>
        <v>0</v>
      </c>
      <c r="AM66" s="129">
        <f>AM$21*shipping_manufacturing!$F$30/100</f>
        <v>0</v>
      </c>
      <c r="AN66" s="129">
        <f>AN$21*shipping_manufacturing!$F$30/100</f>
        <v>0</v>
      </c>
      <c r="AO66" s="129">
        <f>AO$21*shipping_manufacturing!$F$30/100</f>
        <v>0</v>
      </c>
      <c r="AP66" s="129">
        <f>AP$21*shipping_manufacturing!$F$30/100</f>
        <v>0</v>
      </c>
      <c r="AQ66" s="129">
        <f>AQ$21*shipping_manufacturing!$F$30/100</f>
        <v>0</v>
      </c>
      <c r="AR66" s="129">
        <f>AR$21*shipping_manufacturing!$F$30/100</f>
        <v>0</v>
      </c>
      <c r="AS66" s="129">
        <f>AS$21*shipping_manufacturing!$F$30/100</f>
        <v>0</v>
      </c>
      <c r="AT66" s="129">
        <f>AT$21*shipping_manufacturing!$F$30/100</f>
        <v>0</v>
      </c>
      <c r="AU66" s="129">
        <f>AU$21*shipping_manufacturing!$F$30/100</f>
        <v>0</v>
      </c>
      <c r="AV66" s="129">
        <f>AV$21*shipping_manufacturing!$F$30/100</f>
        <v>0</v>
      </c>
      <c r="AW66" s="129">
        <f>AW$21*shipping_manufacturing!$F$30/100</f>
        <v>0</v>
      </c>
      <c r="AX66" s="129">
        <f>AX$21*shipping_manufacturing!$F$30/100</f>
        <v>0</v>
      </c>
      <c r="AY66" s="129">
        <f>AY$21*shipping_manufacturing!$F$30/100</f>
        <v>0</v>
      </c>
    </row>
    <row r="67" spans="1:52" x14ac:dyDescent="0.2">
      <c r="A67" s="118" t="s">
        <v>340</v>
      </c>
      <c r="B67" s="170" t="s">
        <v>342</v>
      </c>
      <c r="C67" s="115"/>
      <c r="D67" s="115">
        <f>D$22*shipping_manufacturing!$G$30/100</f>
        <v>0</v>
      </c>
      <c r="E67" s="115">
        <f>E$22*shipping_manufacturing!$G$30/100</f>
        <v>0</v>
      </c>
      <c r="F67" s="115">
        <f>F$22*shipping_manufacturing!$G$30/100</f>
        <v>0</v>
      </c>
      <c r="G67" s="115">
        <f>G$22*shipping_manufacturing!$G$30/100</f>
        <v>0</v>
      </c>
      <c r="H67" s="115">
        <f>H$22*shipping_manufacturing!$G$30/100</f>
        <v>0</v>
      </c>
      <c r="I67" s="115">
        <f>I$22*shipping_manufacturing!$G$30/100</f>
        <v>0</v>
      </c>
      <c r="J67" s="115">
        <f>J$22*shipping_manufacturing!$G$30/100</f>
        <v>0</v>
      </c>
      <c r="K67" s="115">
        <f>K$22*shipping_manufacturing!$G$30/100</f>
        <v>0</v>
      </c>
      <c r="L67" s="115">
        <f>L$22*shipping_manufacturing!$G$30/100</f>
        <v>0</v>
      </c>
      <c r="M67" s="115">
        <f>M$22*shipping_manufacturing!$G$30/100</f>
        <v>0</v>
      </c>
      <c r="N67" s="115">
        <f>N$22*shipping_manufacturing!$G$30/100</f>
        <v>0</v>
      </c>
      <c r="O67" s="115">
        <f>O$22*shipping_manufacturing!$G$30/100</f>
        <v>0</v>
      </c>
      <c r="P67" s="115">
        <f>P$22*shipping_manufacturing!$G$30/100</f>
        <v>0</v>
      </c>
      <c r="Q67" s="115">
        <f>Q$22*shipping_manufacturing!$G$30/100</f>
        <v>0</v>
      </c>
      <c r="R67" s="115">
        <f>R$22*shipping_manufacturing!$G$30/100</f>
        <v>0</v>
      </c>
      <c r="S67" s="115">
        <f>S$22*shipping_manufacturing!$G$30/100</f>
        <v>0</v>
      </c>
      <c r="T67" s="115">
        <f>T$22*shipping_manufacturing!$G$30/100</f>
        <v>0</v>
      </c>
      <c r="U67" s="115">
        <f>U$22*shipping_manufacturing!$G$30/100</f>
        <v>0</v>
      </c>
      <c r="V67" s="115">
        <f>V$22*shipping_manufacturing!$G$30/100</f>
        <v>0</v>
      </c>
      <c r="W67" s="115">
        <f>W$22*shipping_manufacturing!$G$30/100</f>
        <v>0</v>
      </c>
      <c r="X67" s="115">
        <f>X$22*shipping_manufacturing!$G$30/100</f>
        <v>0</v>
      </c>
      <c r="Y67" s="115">
        <f>Y$22*shipping_manufacturing!$G$30/100</f>
        <v>0</v>
      </c>
      <c r="Z67" s="115">
        <f>Z$22*shipping_manufacturing!$G$30/100</f>
        <v>0</v>
      </c>
      <c r="AA67" s="115">
        <f>AA$22*shipping_manufacturing!$G$30/100</f>
        <v>0</v>
      </c>
      <c r="AB67" s="115">
        <f>AB$22*shipping_manufacturing!$G$30/100</f>
        <v>0</v>
      </c>
      <c r="AC67" s="115">
        <f>AC$22*shipping_manufacturing!$G$30/100</f>
        <v>0</v>
      </c>
      <c r="AD67" s="115">
        <f>AD$22*shipping_manufacturing!$G$30/100</f>
        <v>0</v>
      </c>
      <c r="AE67" s="115">
        <f>AE$22*shipping_manufacturing!$G$30/100</f>
        <v>0</v>
      </c>
      <c r="AF67" s="115">
        <f>AF$22*shipping_manufacturing!$G$30/100</f>
        <v>0</v>
      </c>
      <c r="AG67" s="115">
        <f>AG$22*shipping_manufacturing!$G$30/100</f>
        <v>0</v>
      </c>
      <c r="AH67" s="115">
        <f>AH$22*shipping_manufacturing!$G$30/100</f>
        <v>0</v>
      </c>
      <c r="AI67" s="115">
        <f>AI$22*shipping_manufacturing!$G$30/100</f>
        <v>0</v>
      </c>
      <c r="AJ67" s="115">
        <f>AJ$22*shipping_manufacturing!$G$30/100</f>
        <v>0</v>
      </c>
      <c r="AK67" s="115">
        <f>AK$22*shipping_manufacturing!$G$30/100</f>
        <v>0</v>
      </c>
      <c r="AL67" s="115">
        <f>AL$22*shipping_manufacturing!$G$30/100</f>
        <v>0</v>
      </c>
      <c r="AM67" s="115">
        <f>AM$22*shipping_manufacturing!$G$30/100</f>
        <v>0</v>
      </c>
      <c r="AN67" s="115">
        <f>AN$22*shipping_manufacturing!$G$30/100</f>
        <v>0</v>
      </c>
      <c r="AO67" s="115">
        <f>AO$22*shipping_manufacturing!$G$30/100</f>
        <v>0</v>
      </c>
      <c r="AP67" s="115">
        <f>AP$22*shipping_manufacturing!$G$30/100</f>
        <v>0</v>
      </c>
      <c r="AQ67" s="115">
        <f>AQ$22*shipping_manufacturing!$G$30/100</f>
        <v>0</v>
      </c>
      <c r="AR67" s="115">
        <f>AR$22*shipping_manufacturing!$G$30/100</f>
        <v>0</v>
      </c>
      <c r="AS67" s="115">
        <f>AS$22*shipping_manufacturing!$G$30/100</f>
        <v>0</v>
      </c>
      <c r="AT67" s="115">
        <f>AT$22*shipping_manufacturing!$G$30/100</f>
        <v>0</v>
      </c>
      <c r="AU67" s="115">
        <f>AU$22*shipping_manufacturing!$G$30/100</f>
        <v>0</v>
      </c>
      <c r="AV67" s="115">
        <f>AV$22*shipping_manufacturing!$G$30/100</f>
        <v>0</v>
      </c>
      <c r="AW67" s="115">
        <f>AW$22*shipping_manufacturing!$G$30/100</f>
        <v>0</v>
      </c>
      <c r="AX67" s="115">
        <f>AX$22*shipping_manufacturing!$G$30/100</f>
        <v>0</v>
      </c>
      <c r="AY67" s="115">
        <f>AY$22*shipping_manufacturing!$G$30/100</f>
        <v>0</v>
      </c>
    </row>
    <row r="68" spans="1:52" x14ac:dyDescent="0.2">
      <c r="A68" s="115">
        <v>719</v>
      </c>
      <c r="B68" s="170" t="s">
        <v>343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344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345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346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347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348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349</v>
      </c>
      <c r="C74" s="115"/>
      <c r="D74" s="115">
        <v>2</v>
      </c>
      <c r="E74" s="115">
        <v>1</v>
      </c>
      <c r="F74" s="115">
        <v>2</v>
      </c>
      <c r="G74" s="115">
        <v>1</v>
      </c>
      <c r="H74" s="115">
        <v>1</v>
      </c>
      <c r="I74" s="115">
        <v>1</v>
      </c>
      <c r="J74" s="115">
        <v>1</v>
      </c>
      <c r="K74" s="115">
        <v>2</v>
      </c>
      <c r="L74" s="115">
        <v>1</v>
      </c>
      <c r="M74" s="115">
        <v>2</v>
      </c>
      <c r="N74" s="115">
        <v>3</v>
      </c>
      <c r="O74" s="115">
        <v>1</v>
      </c>
      <c r="P74" s="115">
        <v>1</v>
      </c>
      <c r="Q74" s="115">
        <v>3</v>
      </c>
      <c r="R74" s="115">
        <v>1</v>
      </c>
      <c r="S74" s="115">
        <v>3</v>
      </c>
      <c r="T74" s="115">
        <v>1</v>
      </c>
      <c r="U74" s="115">
        <v>2</v>
      </c>
      <c r="V74" s="115">
        <v>2</v>
      </c>
      <c r="W74" s="115">
        <v>3</v>
      </c>
      <c r="X74" s="115">
        <v>2</v>
      </c>
      <c r="Y74" s="115">
        <v>1</v>
      </c>
      <c r="Z74" s="115">
        <v>1</v>
      </c>
      <c r="AA74" s="115">
        <v>1</v>
      </c>
      <c r="AB74" s="115">
        <v>2</v>
      </c>
      <c r="AC74" s="115">
        <v>1</v>
      </c>
      <c r="AD74" s="115">
        <v>1</v>
      </c>
      <c r="AE74" s="115">
        <v>1</v>
      </c>
      <c r="AF74" s="115">
        <v>1</v>
      </c>
      <c r="AG74" s="115">
        <v>3</v>
      </c>
      <c r="AH74" s="115">
        <v>1</v>
      </c>
      <c r="AI74" s="115">
        <v>3</v>
      </c>
      <c r="AJ74" s="115">
        <v>2</v>
      </c>
      <c r="AK74" s="115">
        <v>1</v>
      </c>
      <c r="AL74" s="115">
        <v>3</v>
      </c>
      <c r="AM74" s="115">
        <v>1</v>
      </c>
      <c r="AN74" s="115">
        <v>2</v>
      </c>
      <c r="AO74" s="115">
        <v>1</v>
      </c>
      <c r="AP74" s="115">
        <v>1</v>
      </c>
      <c r="AQ74" s="115">
        <v>2</v>
      </c>
      <c r="AR74" s="115">
        <v>2</v>
      </c>
      <c r="AS74" s="115">
        <v>2</v>
      </c>
      <c r="AT74" s="115">
        <v>1</v>
      </c>
      <c r="AU74" s="115">
        <v>2</v>
      </c>
      <c r="AV74" s="115">
        <v>3</v>
      </c>
      <c r="AW74" s="115">
        <v>1</v>
      </c>
      <c r="AX74" s="115">
        <v>2</v>
      </c>
      <c r="AY74" s="115">
        <v>1</v>
      </c>
    </row>
    <row r="75" spans="1:52" x14ac:dyDescent="0.2">
      <c r="A75" s="115"/>
      <c r="B75" s="183" t="s">
        <v>350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351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10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181.84177215189874</v>
      </c>
      <c r="E7" s="149">
        <v>181.84177215189874</v>
      </c>
      <c r="F7" s="149">
        <v>181.84177215189874</v>
      </c>
      <c r="G7" s="149">
        <v>181.84177215189874</v>
      </c>
      <c r="H7" s="149">
        <v>181.84177215189874</v>
      </c>
      <c r="I7" s="149">
        <v>181.84177215189874</v>
      </c>
      <c r="J7" s="149">
        <v>181.84177215189874</v>
      </c>
      <c r="K7" s="149">
        <v>181.84177215189874</v>
      </c>
      <c r="L7" s="149">
        <v>181.84177215189874</v>
      </c>
      <c r="M7" s="149">
        <v>181.84177215189874</v>
      </c>
      <c r="N7" s="149">
        <v>181.84177215189874</v>
      </c>
      <c r="O7" s="149">
        <v>181.84177215189874</v>
      </c>
      <c r="P7" s="149">
        <v>181.84177215189874</v>
      </c>
      <c r="Q7" s="149">
        <v>181.84177215189874</v>
      </c>
      <c r="R7" s="149">
        <v>181.84177215189874</v>
      </c>
      <c r="S7" s="149">
        <v>181.84177215189874</v>
      </c>
      <c r="T7" s="149">
        <v>181.84177215189874</v>
      </c>
      <c r="U7" s="149">
        <v>181.84177215189874</v>
      </c>
      <c r="V7" s="149">
        <v>181.84177215189874</v>
      </c>
      <c r="W7" s="149">
        <v>181.84177215189874</v>
      </c>
      <c r="X7" s="149">
        <v>181.84177215189874</v>
      </c>
      <c r="Y7" s="149">
        <v>181.84177215189874</v>
      </c>
      <c r="Z7" s="149">
        <v>181.84177215189874</v>
      </c>
      <c r="AA7" s="149">
        <v>181.84177215189874</v>
      </c>
      <c r="AB7" s="149">
        <v>181.84177215189874</v>
      </c>
      <c r="AC7" s="149">
        <v>181.84177215189874</v>
      </c>
      <c r="AD7" s="149">
        <v>181.84177215189874</v>
      </c>
      <c r="AE7" s="149">
        <v>181.84177215189874</v>
      </c>
      <c r="AF7" s="149">
        <v>181.84177215189874</v>
      </c>
      <c r="AG7" s="149">
        <v>181.84177215189874</v>
      </c>
      <c r="AH7" s="149">
        <v>181.84177215189874</v>
      </c>
      <c r="AI7" s="149">
        <v>181.84177215189874</v>
      </c>
      <c r="AJ7" s="149">
        <v>181.84177215189874</v>
      </c>
      <c r="AK7" s="149">
        <v>181.84177215189874</v>
      </c>
      <c r="AL7" s="149">
        <v>181.84177215189874</v>
      </c>
      <c r="AM7" s="149">
        <v>181.84177215189874</v>
      </c>
      <c r="AN7" s="149">
        <v>181.84177215189874</v>
      </c>
      <c r="AO7" s="149">
        <v>181.84177215189874</v>
      </c>
      <c r="AP7" s="149">
        <v>181.84177215189874</v>
      </c>
      <c r="AQ7" s="149">
        <v>181.84177215189874</v>
      </c>
      <c r="AR7" s="149">
        <v>181.84177215189874</v>
      </c>
      <c r="AS7" s="149">
        <v>181.84177215189874</v>
      </c>
      <c r="AT7" s="149">
        <v>181.84177215189874</v>
      </c>
      <c r="AU7" s="149">
        <v>181.84177215189874</v>
      </c>
      <c r="AV7" s="149">
        <v>181.84177215189874</v>
      </c>
      <c r="AW7" s="149">
        <v>181.84177215189874</v>
      </c>
      <c r="AX7" s="149">
        <v>181.84177215189874</v>
      </c>
      <c r="AY7" s="149">
        <v>181.84177215189874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113.68354430379748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113.68354430379748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181.84177215189874</v>
      </c>
      <c r="D13" s="143">
        <f t="shared" ref="D13:AY13" si="1">D$7-D$10</f>
        <v>181.84177215189874</v>
      </c>
      <c r="E13" s="143">
        <f t="shared" si="1"/>
        <v>181.84177215189874</v>
      </c>
      <c r="F13" s="143">
        <f t="shared" si="1"/>
        <v>181.84177215189874</v>
      </c>
      <c r="G13" s="143">
        <f t="shared" si="1"/>
        <v>181.84177215189874</v>
      </c>
      <c r="H13" s="143">
        <f t="shared" si="1"/>
        <v>181.84177215189874</v>
      </c>
      <c r="I13" s="143">
        <f t="shared" si="1"/>
        <v>181.84177215189874</v>
      </c>
      <c r="J13" s="143">
        <f t="shared" si="1"/>
        <v>181.84177215189874</v>
      </c>
      <c r="K13" s="143">
        <f t="shared" si="1"/>
        <v>181.84177215189874</v>
      </c>
      <c r="L13" s="143">
        <f t="shared" si="1"/>
        <v>181.84177215189874</v>
      </c>
      <c r="M13" s="143">
        <f t="shared" si="1"/>
        <v>181.84177215189874</v>
      </c>
      <c r="N13" s="143">
        <f t="shared" si="1"/>
        <v>181.84177215189874</v>
      </c>
      <c r="O13" s="143">
        <f t="shared" si="1"/>
        <v>181.84177215189874</v>
      </c>
      <c r="P13" s="143">
        <f t="shared" si="1"/>
        <v>181.84177215189874</v>
      </c>
      <c r="Q13" s="143">
        <f t="shared" si="1"/>
        <v>181.84177215189874</v>
      </c>
      <c r="R13" s="143">
        <f t="shared" si="1"/>
        <v>181.84177215189874</v>
      </c>
      <c r="S13" s="143">
        <f t="shared" si="1"/>
        <v>181.84177215189874</v>
      </c>
      <c r="T13" s="143">
        <f t="shared" si="1"/>
        <v>181.84177215189874</v>
      </c>
      <c r="U13" s="143">
        <f t="shared" si="1"/>
        <v>181.84177215189874</v>
      </c>
      <c r="V13" s="143">
        <f t="shared" si="1"/>
        <v>181.84177215189874</v>
      </c>
      <c r="W13" s="143">
        <f t="shared" si="1"/>
        <v>181.84177215189874</v>
      </c>
      <c r="X13" s="143">
        <f t="shared" si="1"/>
        <v>181.84177215189874</v>
      </c>
      <c r="Y13" s="143">
        <f t="shared" si="1"/>
        <v>181.84177215189874</v>
      </c>
      <c r="Z13" s="143">
        <f t="shared" si="1"/>
        <v>181.84177215189874</v>
      </c>
      <c r="AA13" s="143">
        <f t="shared" si="1"/>
        <v>68.158227848101262</v>
      </c>
      <c r="AB13" s="143">
        <f t="shared" si="1"/>
        <v>181.84177215189874</v>
      </c>
      <c r="AC13" s="143">
        <f t="shared" si="1"/>
        <v>181.84177215189874</v>
      </c>
      <c r="AD13" s="143">
        <f t="shared" si="1"/>
        <v>181.84177215189874</v>
      </c>
      <c r="AE13" s="143">
        <f t="shared" si="1"/>
        <v>181.84177215189874</v>
      </c>
      <c r="AF13" s="143">
        <f t="shared" si="1"/>
        <v>181.84177215189874</v>
      </c>
      <c r="AG13" s="143">
        <f t="shared" si="1"/>
        <v>181.84177215189874</v>
      </c>
      <c r="AH13" s="143">
        <f t="shared" si="1"/>
        <v>181.84177215189874</v>
      </c>
      <c r="AI13" s="143">
        <f t="shared" si="1"/>
        <v>181.84177215189874</v>
      </c>
      <c r="AJ13" s="143">
        <f t="shared" si="1"/>
        <v>181.84177215189874</v>
      </c>
      <c r="AK13" s="143">
        <f t="shared" si="1"/>
        <v>181.84177215189874</v>
      </c>
      <c r="AL13" s="143">
        <f t="shared" si="1"/>
        <v>181.84177215189874</v>
      </c>
      <c r="AM13" s="143">
        <f t="shared" si="1"/>
        <v>181.84177215189874</v>
      </c>
      <c r="AN13" s="143">
        <f t="shared" si="1"/>
        <v>181.84177215189874</v>
      </c>
      <c r="AO13" s="143">
        <f t="shared" si="1"/>
        <v>181.84177215189874</v>
      </c>
      <c r="AP13" s="143">
        <f t="shared" si="1"/>
        <v>181.84177215189874</v>
      </c>
      <c r="AQ13" s="143">
        <f t="shared" si="1"/>
        <v>181.84177215189874</v>
      </c>
      <c r="AR13" s="143">
        <f t="shared" si="1"/>
        <v>181.84177215189874</v>
      </c>
      <c r="AS13" s="143">
        <f t="shared" si="1"/>
        <v>181.84177215189874</v>
      </c>
      <c r="AT13" s="143">
        <f t="shared" si="1"/>
        <v>181.84177215189874</v>
      </c>
      <c r="AU13" s="143">
        <f t="shared" si="1"/>
        <v>181.84177215189874</v>
      </c>
      <c r="AV13" s="143">
        <f t="shared" si="1"/>
        <v>181.84177215189874</v>
      </c>
      <c r="AW13" s="143">
        <f t="shared" si="1"/>
        <v>181.84177215189874</v>
      </c>
      <c r="AX13" s="143">
        <f t="shared" si="1"/>
        <v>181.84177215189874</v>
      </c>
      <c r="AY13" s="143">
        <f t="shared" si="1"/>
        <v>181.84177215189874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181.84177215189874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0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 t="s">
        <v>339</v>
      </c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 t="s">
        <v>339</v>
      </c>
      <c r="AZ20" s="112"/>
    </row>
    <row r="21" spans="1:52" s="115" customFormat="1" x14ac:dyDescent="0.2">
      <c r="A21" s="160" t="s">
        <v>133</v>
      </c>
      <c r="B21" s="161">
        <f>shipping_manufacturing!$G$19/100</f>
        <v>0.56830601092896171</v>
      </c>
      <c r="C21" s="161" t="s">
        <v>293</v>
      </c>
      <c r="D21" s="111">
        <f>IF(C$20="Yes",0,SUM(C$13:C$16)*$B$21)</f>
        <v>103.34177215189872</v>
      </c>
      <c r="E21" s="111">
        <f t="shared" ref="E21:AY21" si="3">IF(D$20="Yes",0,SUM(D$13:D$16)*$B$21)</f>
        <v>103.34177215189872</v>
      </c>
      <c r="F21" s="111">
        <f t="shared" si="3"/>
        <v>103.34177215189872</v>
      </c>
      <c r="G21" s="111">
        <f t="shared" si="3"/>
        <v>103.34177215189872</v>
      </c>
      <c r="H21" s="111">
        <f t="shared" si="3"/>
        <v>103.34177215189872</v>
      </c>
      <c r="I21" s="111">
        <f t="shared" si="3"/>
        <v>103.34177215189872</v>
      </c>
      <c r="J21" s="111">
        <f t="shared" si="3"/>
        <v>103.34177215189872</v>
      </c>
      <c r="K21" s="111">
        <f t="shared" si="3"/>
        <v>103.34177215189872</v>
      </c>
      <c r="L21" s="111">
        <f t="shared" si="3"/>
        <v>103.34177215189872</v>
      </c>
      <c r="M21" s="111">
        <f t="shared" si="3"/>
        <v>103.34177215189872</v>
      </c>
      <c r="N21" s="111">
        <f t="shared" si="3"/>
        <v>103.34177215189872</v>
      </c>
      <c r="O21" s="111">
        <f t="shared" si="3"/>
        <v>103.34177215189872</v>
      </c>
      <c r="P21" s="111">
        <f t="shared" si="3"/>
        <v>103.34177215189872</v>
      </c>
      <c r="Q21" s="111">
        <f t="shared" si="3"/>
        <v>103.34177215189872</v>
      </c>
      <c r="R21" s="111">
        <f t="shared" si="3"/>
        <v>103.34177215189872</v>
      </c>
      <c r="S21" s="111">
        <f t="shared" si="3"/>
        <v>103.34177215189872</v>
      </c>
      <c r="T21" s="111">
        <f t="shared" si="3"/>
        <v>103.34177215189872</v>
      </c>
      <c r="U21" s="111">
        <f t="shared" si="3"/>
        <v>103.34177215189872</v>
      </c>
      <c r="V21" s="111">
        <f t="shared" si="3"/>
        <v>103.34177215189872</v>
      </c>
      <c r="W21" s="111">
        <f t="shared" si="3"/>
        <v>103.34177215189872</v>
      </c>
      <c r="X21" s="111">
        <f t="shared" si="3"/>
        <v>103.34177215189872</v>
      </c>
      <c r="Y21" s="111">
        <f t="shared" si="3"/>
        <v>103.34177215189872</v>
      </c>
      <c r="Z21" s="111">
        <f t="shared" si="3"/>
        <v>103.34177215189872</v>
      </c>
      <c r="AA21" s="111">
        <f t="shared" si="3"/>
        <v>0</v>
      </c>
      <c r="AB21" s="111">
        <f t="shared" si="3"/>
        <v>142.07650273224044</v>
      </c>
      <c r="AC21" s="111">
        <f t="shared" si="3"/>
        <v>103.34177215189872</v>
      </c>
      <c r="AD21" s="111">
        <f t="shared" si="3"/>
        <v>103.34177215189872</v>
      </c>
      <c r="AE21" s="111">
        <f t="shared" si="3"/>
        <v>103.34177215189872</v>
      </c>
      <c r="AF21" s="111">
        <f t="shared" si="3"/>
        <v>103.34177215189872</v>
      </c>
      <c r="AG21" s="111">
        <f t="shared" si="3"/>
        <v>103.34177215189872</v>
      </c>
      <c r="AH21" s="111">
        <f t="shared" si="3"/>
        <v>103.34177215189872</v>
      </c>
      <c r="AI21" s="111">
        <f t="shared" si="3"/>
        <v>103.34177215189872</v>
      </c>
      <c r="AJ21" s="111">
        <f t="shared" si="3"/>
        <v>103.34177215189872</v>
      </c>
      <c r="AK21" s="111">
        <f t="shared" si="3"/>
        <v>103.34177215189872</v>
      </c>
      <c r="AL21" s="111">
        <f t="shared" si="3"/>
        <v>103.34177215189872</v>
      </c>
      <c r="AM21" s="111">
        <f t="shared" si="3"/>
        <v>103.34177215189872</v>
      </c>
      <c r="AN21" s="111">
        <f t="shared" si="3"/>
        <v>103.34177215189872</v>
      </c>
      <c r="AO21" s="111">
        <f t="shared" si="3"/>
        <v>103.34177215189872</v>
      </c>
      <c r="AP21" s="111">
        <f t="shared" si="3"/>
        <v>103.34177215189872</v>
      </c>
      <c r="AQ21" s="111">
        <f t="shared" si="3"/>
        <v>103.34177215189872</v>
      </c>
      <c r="AR21" s="111">
        <f t="shared" si="3"/>
        <v>103.34177215189872</v>
      </c>
      <c r="AS21" s="111">
        <f t="shared" si="3"/>
        <v>103.34177215189872</v>
      </c>
      <c r="AT21" s="111">
        <f t="shared" si="3"/>
        <v>103.34177215189872</v>
      </c>
      <c r="AU21" s="111">
        <f t="shared" si="3"/>
        <v>103.34177215189872</v>
      </c>
      <c r="AV21" s="111">
        <f t="shared" si="3"/>
        <v>103.34177215189872</v>
      </c>
      <c r="AW21" s="111">
        <f t="shared" si="3"/>
        <v>103.34177215189872</v>
      </c>
      <c r="AX21" s="111">
        <f t="shared" si="3"/>
        <v>103.34177215189872</v>
      </c>
      <c r="AY21" s="111">
        <f t="shared" si="3"/>
        <v>103.34177215189872</v>
      </c>
      <c r="AZ21" s="162">
        <f>SUM($D21:$AY21)</f>
        <v>4895.7980217195818</v>
      </c>
    </row>
    <row r="22" spans="1:52" s="115" customFormat="1" x14ac:dyDescent="0.2">
      <c r="A22" s="163" t="s">
        <v>123</v>
      </c>
      <c r="B22" s="164">
        <f>1-$B$21</f>
        <v>0.43169398907103829</v>
      </c>
      <c r="C22" s="164" t="s">
        <v>293</v>
      </c>
      <c r="D22" s="119">
        <f>IF(C$20="Yes",0,SUM(C$13:C$16)*$B$22)</f>
        <v>78.500000000000014</v>
      </c>
      <c r="E22" s="119">
        <f t="shared" ref="E22:AY22" si="4">IF(D$20="Yes",0,SUM(D$13:D$16)*$B$22)</f>
        <v>78.500000000000014</v>
      </c>
      <c r="F22" s="119">
        <f t="shared" si="4"/>
        <v>78.500000000000014</v>
      </c>
      <c r="G22" s="119">
        <f t="shared" si="4"/>
        <v>78.500000000000014</v>
      </c>
      <c r="H22" s="119">
        <f t="shared" si="4"/>
        <v>78.500000000000014</v>
      </c>
      <c r="I22" s="119">
        <f t="shared" si="4"/>
        <v>78.500000000000014</v>
      </c>
      <c r="J22" s="119">
        <f t="shared" si="4"/>
        <v>78.500000000000014</v>
      </c>
      <c r="K22" s="119">
        <f t="shared" si="4"/>
        <v>78.500000000000014</v>
      </c>
      <c r="L22" s="119">
        <f t="shared" si="4"/>
        <v>78.500000000000014</v>
      </c>
      <c r="M22" s="119">
        <f t="shared" si="4"/>
        <v>78.500000000000014</v>
      </c>
      <c r="N22" s="119">
        <f t="shared" si="4"/>
        <v>78.500000000000014</v>
      </c>
      <c r="O22" s="119">
        <f t="shared" si="4"/>
        <v>78.500000000000014</v>
      </c>
      <c r="P22" s="119">
        <f t="shared" si="4"/>
        <v>78.500000000000014</v>
      </c>
      <c r="Q22" s="119">
        <f t="shared" si="4"/>
        <v>78.500000000000014</v>
      </c>
      <c r="R22" s="119">
        <f t="shared" si="4"/>
        <v>78.500000000000014</v>
      </c>
      <c r="S22" s="119">
        <f t="shared" si="4"/>
        <v>78.500000000000014</v>
      </c>
      <c r="T22" s="119">
        <f t="shared" si="4"/>
        <v>78.500000000000014</v>
      </c>
      <c r="U22" s="119">
        <f t="shared" si="4"/>
        <v>78.500000000000014</v>
      </c>
      <c r="V22" s="119">
        <f t="shared" si="4"/>
        <v>78.500000000000014</v>
      </c>
      <c r="W22" s="119">
        <f t="shared" si="4"/>
        <v>78.500000000000014</v>
      </c>
      <c r="X22" s="119">
        <f t="shared" si="4"/>
        <v>78.500000000000014</v>
      </c>
      <c r="Y22" s="119">
        <f t="shared" si="4"/>
        <v>78.500000000000014</v>
      </c>
      <c r="Z22" s="119">
        <f t="shared" si="4"/>
        <v>78.500000000000014</v>
      </c>
      <c r="AA22" s="119">
        <f t="shared" si="4"/>
        <v>0</v>
      </c>
      <c r="AB22" s="119">
        <f t="shared" si="4"/>
        <v>107.92349726775957</v>
      </c>
      <c r="AC22" s="119">
        <f t="shared" si="4"/>
        <v>78.500000000000014</v>
      </c>
      <c r="AD22" s="119">
        <f t="shared" si="4"/>
        <v>78.500000000000014</v>
      </c>
      <c r="AE22" s="119">
        <f t="shared" si="4"/>
        <v>78.500000000000014</v>
      </c>
      <c r="AF22" s="119">
        <f t="shared" si="4"/>
        <v>78.500000000000014</v>
      </c>
      <c r="AG22" s="119">
        <f t="shared" si="4"/>
        <v>78.500000000000014</v>
      </c>
      <c r="AH22" s="119">
        <f t="shared" si="4"/>
        <v>78.500000000000014</v>
      </c>
      <c r="AI22" s="119">
        <f t="shared" si="4"/>
        <v>78.500000000000014</v>
      </c>
      <c r="AJ22" s="119">
        <f t="shared" si="4"/>
        <v>78.500000000000014</v>
      </c>
      <c r="AK22" s="119">
        <f t="shared" si="4"/>
        <v>78.500000000000014</v>
      </c>
      <c r="AL22" s="119">
        <f t="shared" si="4"/>
        <v>78.500000000000014</v>
      </c>
      <c r="AM22" s="119">
        <f t="shared" si="4"/>
        <v>78.500000000000014</v>
      </c>
      <c r="AN22" s="119">
        <f t="shared" si="4"/>
        <v>78.500000000000014</v>
      </c>
      <c r="AO22" s="119">
        <f t="shared" si="4"/>
        <v>78.500000000000014</v>
      </c>
      <c r="AP22" s="119">
        <f t="shared" si="4"/>
        <v>78.500000000000014</v>
      </c>
      <c r="AQ22" s="119">
        <f t="shared" si="4"/>
        <v>78.500000000000014</v>
      </c>
      <c r="AR22" s="119">
        <f t="shared" si="4"/>
        <v>78.500000000000014</v>
      </c>
      <c r="AS22" s="119">
        <f t="shared" si="4"/>
        <v>78.500000000000014</v>
      </c>
      <c r="AT22" s="119">
        <f t="shared" si="4"/>
        <v>78.500000000000014</v>
      </c>
      <c r="AU22" s="119">
        <f t="shared" si="4"/>
        <v>78.500000000000014</v>
      </c>
      <c r="AV22" s="119">
        <f t="shared" si="4"/>
        <v>78.500000000000014</v>
      </c>
      <c r="AW22" s="119">
        <f t="shared" si="4"/>
        <v>78.500000000000014</v>
      </c>
      <c r="AX22" s="119">
        <f t="shared" si="4"/>
        <v>78.500000000000014</v>
      </c>
      <c r="AY22" s="119">
        <f t="shared" si="4"/>
        <v>78.500000000000014</v>
      </c>
      <c r="AZ22" s="146">
        <f t="shared" ref="AZ22:AZ30" si="5">SUM($D22:$AY22)</f>
        <v>3718.92349726776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206683.54430379745</v>
      </c>
      <c r="E23" s="105">
        <f t="shared" ref="E23:AY23" si="6">E$21*$B$23</f>
        <v>206683.54430379745</v>
      </c>
      <c r="F23" s="105">
        <f t="shared" si="6"/>
        <v>206683.54430379745</v>
      </c>
      <c r="G23" s="105">
        <f t="shared" si="6"/>
        <v>206683.54430379745</v>
      </c>
      <c r="H23" s="105">
        <f t="shared" si="6"/>
        <v>206683.54430379745</v>
      </c>
      <c r="I23" s="105">
        <f t="shared" si="6"/>
        <v>206683.54430379745</v>
      </c>
      <c r="J23" s="105">
        <f t="shared" si="6"/>
        <v>206683.54430379745</v>
      </c>
      <c r="K23" s="105">
        <f t="shared" si="6"/>
        <v>206683.54430379745</v>
      </c>
      <c r="L23" s="105">
        <f t="shared" si="6"/>
        <v>206683.54430379745</v>
      </c>
      <c r="M23" s="105">
        <f t="shared" si="6"/>
        <v>206683.54430379745</v>
      </c>
      <c r="N23" s="105">
        <f t="shared" si="6"/>
        <v>206683.54430379745</v>
      </c>
      <c r="O23" s="105">
        <f t="shared" si="6"/>
        <v>206683.54430379745</v>
      </c>
      <c r="P23" s="105">
        <f t="shared" si="6"/>
        <v>206683.54430379745</v>
      </c>
      <c r="Q23" s="105">
        <f t="shared" si="6"/>
        <v>206683.54430379745</v>
      </c>
      <c r="R23" s="105">
        <f t="shared" si="6"/>
        <v>206683.54430379745</v>
      </c>
      <c r="S23" s="105">
        <f t="shared" si="6"/>
        <v>206683.54430379745</v>
      </c>
      <c r="T23" s="105">
        <f t="shared" si="6"/>
        <v>206683.54430379745</v>
      </c>
      <c r="U23" s="105">
        <f t="shared" si="6"/>
        <v>206683.54430379745</v>
      </c>
      <c r="V23" s="105">
        <f t="shared" si="6"/>
        <v>206683.54430379745</v>
      </c>
      <c r="W23" s="105">
        <f t="shared" si="6"/>
        <v>206683.54430379745</v>
      </c>
      <c r="X23" s="105">
        <f t="shared" si="6"/>
        <v>206683.54430379745</v>
      </c>
      <c r="Y23" s="105">
        <f t="shared" si="6"/>
        <v>206683.54430379745</v>
      </c>
      <c r="Z23" s="105">
        <f t="shared" si="6"/>
        <v>206683.54430379745</v>
      </c>
      <c r="AA23" s="105">
        <f t="shared" si="6"/>
        <v>0</v>
      </c>
      <c r="AB23" s="105">
        <f t="shared" si="6"/>
        <v>284153.0054644809</v>
      </c>
      <c r="AC23" s="105">
        <f t="shared" si="6"/>
        <v>206683.54430379745</v>
      </c>
      <c r="AD23" s="105">
        <f t="shared" si="6"/>
        <v>206683.54430379745</v>
      </c>
      <c r="AE23" s="105">
        <f t="shared" si="6"/>
        <v>206683.54430379745</v>
      </c>
      <c r="AF23" s="105">
        <f t="shared" si="6"/>
        <v>206683.54430379745</v>
      </c>
      <c r="AG23" s="105">
        <f t="shared" si="6"/>
        <v>206683.54430379745</v>
      </c>
      <c r="AH23" s="105">
        <f t="shared" si="6"/>
        <v>206683.54430379745</v>
      </c>
      <c r="AI23" s="105">
        <f t="shared" si="6"/>
        <v>206683.54430379745</v>
      </c>
      <c r="AJ23" s="105">
        <f t="shared" si="6"/>
        <v>206683.54430379745</v>
      </c>
      <c r="AK23" s="105">
        <f t="shared" si="6"/>
        <v>206683.54430379745</v>
      </c>
      <c r="AL23" s="105">
        <f t="shared" si="6"/>
        <v>206683.54430379745</v>
      </c>
      <c r="AM23" s="105">
        <f t="shared" si="6"/>
        <v>206683.54430379745</v>
      </c>
      <c r="AN23" s="105">
        <f t="shared" si="6"/>
        <v>206683.54430379745</v>
      </c>
      <c r="AO23" s="105">
        <f t="shared" si="6"/>
        <v>206683.54430379745</v>
      </c>
      <c r="AP23" s="105">
        <f t="shared" si="6"/>
        <v>206683.54430379745</v>
      </c>
      <c r="AQ23" s="105">
        <f t="shared" si="6"/>
        <v>206683.54430379745</v>
      </c>
      <c r="AR23" s="105">
        <f t="shared" si="6"/>
        <v>206683.54430379745</v>
      </c>
      <c r="AS23" s="105">
        <f t="shared" si="6"/>
        <v>206683.54430379745</v>
      </c>
      <c r="AT23" s="105">
        <f t="shared" si="6"/>
        <v>206683.54430379745</v>
      </c>
      <c r="AU23" s="105">
        <f t="shared" si="6"/>
        <v>206683.54430379745</v>
      </c>
      <c r="AV23" s="105">
        <f t="shared" si="6"/>
        <v>206683.54430379745</v>
      </c>
      <c r="AW23" s="105">
        <f t="shared" si="6"/>
        <v>206683.54430379745</v>
      </c>
      <c r="AX23" s="105">
        <f t="shared" si="6"/>
        <v>206683.54430379745</v>
      </c>
      <c r="AY23" s="105">
        <f t="shared" si="6"/>
        <v>206683.54430379745</v>
      </c>
      <c r="AZ23" s="144">
        <f t="shared" si="5"/>
        <v>9791596.0434391592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78500.000000000015</v>
      </c>
      <c r="E24" s="111">
        <f t="shared" ref="E24:AY24" si="7">E$22*$B$24</f>
        <v>78500.000000000015</v>
      </c>
      <c r="F24" s="111">
        <f t="shared" si="7"/>
        <v>78500.000000000015</v>
      </c>
      <c r="G24" s="111">
        <f t="shared" si="7"/>
        <v>78500.000000000015</v>
      </c>
      <c r="H24" s="111">
        <f t="shared" si="7"/>
        <v>78500.000000000015</v>
      </c>
      <c r="I24" s="111">
        <f t="shared" si="7"/>
        <v>78500.000000000015</v>
      </c>
      <c r="J24" s="111">
        <f t="shared" si="7"/>
        <v>78500.000000000015</v>
      </c>
      <c r="K24" s="111">
        <f t="shared" si="7"/>
        <v>78500.000000000015</v>
      </c>
      <c r="L24" s="111">
        <f t="shared" si="7"/>
        <v>78500.000000000015</v>
      </c>
      <c r="M24" s="111">
        <f t="shared" si="7"/>
        <v>78500.000000000015</v>
      </c>
      <c r="N24" s="111">
        <f t="shared" si="7"/>
        <v>78500.000000000015</v>
      </c>
      <c r="O24" s="111">
        <f t="shared" si="7"/>
        <v>78500.000000000015</v>
      </c>
      <c r="P24" s="111">
        <f t="shared" si="7"/>
        <v>78500.000000000015</v>
      </c>
      <c r="Q24" s="111">
        <f t="shared" si="7"/>
        <v>78500.000000000015</v>
      </c>
      <c r="R24" s="111">
        <f t="shared" si="7"/>
        <v>78500.000000000015</v>
      </c>
      <c r="S24" s="111">
        <f t="shared" si="7"/>
        <v>78500.000000000015</v>
      </c>
      <c r="T24" s="111">
        <f t="shared" si="7"/>
        <v>78500.000000000015</v>
      </c>
      <c r="U24" s="111">
        <f t="shared" si="7"/>
        <v>78500.000000000015</v>
      </c>
      <c r="V24" s="111">
        <f t="shared" si="7"/>
        <v>78500.000000000015</v>
      </c>
      <c r="W24" s="111">
        <f t="shared" si="7"/>
        <v>78500.000000000015</v>
      </c>
      <c r="X24" s="111">
        <f t="shared" si="7"/>
        <v>78500.000000000015</v>
      </c>
      <c r="Y24" s="111">
        <f t="shared" si="7"/>
        <v>78500.000000000015</v>
      </c>
      <c r="Z24" s="111">
        <f t="shared" si="7"/>
        <v>78500.000000000015</v>
      </c>
      <c r="AA24" s="111">
        <f t="shared" si="7"/>
        <v>0</v>
      </c>
      <c r="AB24" s="111">
        <f t="shared" si="7"/>
        <v>107923.49726775957</v>
      </c>
      <c r="AC24" s="111">
        <f t="shared" si="7"/>
        <v>78500.000000000015</v>
      </c>
      <c r="AD24" s="111">
        <f t="shared" si="7"/>
        <v>78500.000000000015</v>
      </c>
      <c r="AE24" s="111">
        <f t="shared" si="7"/>
        <v>78500.000000000015</v>
      </c>
      <c r="AF24" s="111">
        <f t="shared" si="7"/>
        <v>78500.000000000015</v>
      </c>
      <c r="AG24" s="111">
        <f t="shared" si="7"/>
        <v>78500.000000000015</v>
      </c>
      <c r="AH24" s="111">
        <f t="shared" si="7"/>
        <v>78500.000000000015</v>
      </c>
      <c r="AI24" s="111">
        <f t="shared" si="7"/>
        <v>78500.000000000015</v>
      </c>
      <c r="AJ24" s="111">
        <f t="shared" si="7"/>
        <v>78500.000000000015</v>
      </c>
      <c r="AK24" s="111">
        <f t="shared" si="7"/>
        <v>78500.000000000015</v>
      </c>
      <c r="AL24" s="111">
        <f t="shared" si="7"/>
        <v>78500.000000000015</v>
      </c>
      <c r="AM24" s="111">
        <f t="shared" si="7"/>
        <v>78500.000000000015</v>
      </c>
      <c r="AN24" s="111">
        <f t="shared" si="7"/>
        <v>78500.000000000015</v>
      </c>
      <c r="AO24" s="111">
        <f t="shared" si="7"/>
        <v>78500.000000000015</v>
      </c>
      <c r="AP24" s="111">
        <f t="shared" si="7"/>
        <v>78500.000000000015</v>
      </c>
      <c r="AQ24" s="111">
        <f t="shared" si="7"/>
        <v>78500.000000000015</v>
      </c>
      <c r="AR24" s="111">
        <f t="shared" si="7"/>
        <v>78500.000000000015</v>
      </c>
      <c r="AS24" s="111">
        <f t="shared" si="7"/>
        <v>78500.000000000015</v>
      </c>
      <c r="AT24" s="111">
        <f t="shared" si="7"/>
        <v>78500.000000000015</v>
      </c>
      <c r="AU24" s="111">
        <f t="shared" si="7"/>
        <v>78500.000000000015</v>
      </c>
      <c r="AV24" s="111">
        <f t="shared" si="7"/>
        <v>78500.000000000015</v>
      </c>
      <c r="AW24" s="111">
        <f t="shared" si="7"/>
        <v>78500.000000000015</v>
      </c>
      <c r="AX24" s="111">
        <f t="shared" si="7"/>
        <v>78500.000000000015</v>
      </c>
      <c r="AY24" s="111">
        <f t="shared" si="7"/>
        <v>78500.000000000015</v>
      </c>
      <c r="AZ24" s="146">
        <f t="shared" si="5"/>
        <v>3718923.4972677599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10</v>
      </c>
      <c r="D27" s="129">
        <f>C$27-C$28+C$29</f>
        <v>10</v>
      </c>
      <c r="E27" s="129">
        <f t="shared" ref="E27:AY27" si="8">D27-D28+D29</f>
        <v>10</v>
      </c>
      <c r="F27" s="129">
        <f t="shared" si="8"/>
        <v>10</v>
      </c>
      <c r="G27" s="129">
        <f t="shared" si="8"/>
        <v>10</v>
      </c>
      <c r="H27" s="129">
        <f t="shared" si="8"/>
        <v>10</v>
      </c>
      <c r="I27" s="129">
        <f t="shared" si="8"/>
        <v>10</v>
      </c>
      <c r="J27" s="129">
        <f t="shared" si="8"/>
        <v>10</v>
      </c>
      <c r="K27" s="129">
        <f t="shared" si="8"/>
        <v>10</v>
      </c>
      <c r="L27" s="129">
        <f t="shared" si="8"/>
        <v>10</v>
      </c>
      <c r="M27" s="129">
        <f t="shared" si="8"/>
        <v>10</v>
      </c>
      <c r="N27" s="129">
        <f t="shared" si="8"/>
        <v>10</v>
      </c>
      <c r="O27" s="129">
        <f t="shared" si="8"/>
        <v>10</v>
      </c>
      <c r="P27" s="129">
        <f t="shared" si="8"/>
        <v>10</v>
      </c>
      <c r="Q27" s="129">
        <f t="shared" si="8"/>
        <v>10</v>
      </c>
      <c r="R27" s="129">
        <f t="shared" si="8"/>
        <v>10</v>
      </c>
      <c r="S27" s="129">
        <f t="shared" si="8"/>
        <v>10</v>
      </c>
      <c r="T27" s="129">
        <f t="shared" si="8"/>
        <v>10</v>
      </c>
      <c r="U27" s="129">
        <f t="shared" si="8"/>
        <v>10</v>
      </c>
      <c r="V27" s="129">
        <f t="shared" si="8"/>
        <v>10</v>
      </c>
      <c r="W27" s="129">
        <f t="shared" si="8"/>
        <v>10</v>
      </c>
      <c r="X27" s="129">
        <f t="shared" si="8"/>
        <v>10</v>
      </c>
      <c r="Y27" s="129">
        <f t="shared" si="8"/>
        <v>10</v>
      </c>
      <c r="Z27" s="129">
        <f t="shared" si="8"/>
        <v>10</v>
      </c>
      <c r="AA27" s="129">
        <f t="shared" si="8"/>
        <v>10</v>
      </c>
      <c r="AB27" s="129">
        <f t="shared" si="8"/>
        <v>17</v>
      </c>
      <c r="AC27" s="129">
        <f t="shared" si="8"/>
        <v>8</v>
      </c>
      <c r="AD27" s="129">
        <f t="shared" si="8"/>
        <v>10</v>
      </c>
      <c r="AE27" s="129">
        <f t="shared" si="8"/>
        <v>10</v>
      </c>
      <c r="AF27" s="129">
        <f t="shared" si="8"/>
        <v>10</v>
      </c>
      <c r="AG27" s="129">
        <f t="shared" si="8"/>
        <v>10</v>
      </c>
      <c r="AH27" s="129">
        <f t="shared" si="8"/>
        <v>10</v>
      </c>
      <c r="AI27" s="129">
        <f t="shared" si="8"/>
        <v>10</v>
      </c>
      <c r="AJ27" s="129">
        <f t="shared" si="8"/>
        <v>10</v>
      </c>
      <c r="AK27" s="129">
        <f t="shared" si="8"/>
        <v>10</v>
      </c>
      <c r="AL27" s="129">
        <f t="shared" si="8"/>
        <v>10</v>
      </c>
      <c r="AM27" s="129">
        <f t="shared" si="8"/>
        <v>10</v>
      </c>
      <c r="AN27" s="129">
        <f t="shared" si="8"/>
        <v>10</v>
      </c>
      <c r="AO27" s="129">
        <f t="shared" si="8"/>
        <v>10</v>
      </c>
      <c r="AP27" s="129">
        <f t="shared" si="8"/>
        <v>10</v>
      </c>
      <c r="AQ27" s="129">
        <f t="shared" si="8"/>
        <v>10</v>
      </c>
      <c r="AR27" s="129">
        <f t="shared" si="8"/>
        <v>10</v>
      </c>
      <c r="AS27" s="129">
        <f t="shared" si="8"/>
        <v>10</v>
      </c>
      <c r="AT27" s="129">
        <f t="shared" si="8"/>
        <v>10</v>
      </c>
      <c r="AU27" s="129">
        <f t="shared" si="8"/>
        <v>10</v>
      </c>
      <c r="AV27" s="129">
        <f t="shared" si="8"/>
        <v>10</v>
      </c>
      <c r="AW27" s="129">
        <f t="shared" si="8"/>
        <v>10</v>
      </c>
      <c r="AX27" s="129">
        <f t="shared" si="8"/>
        <v>10</v>
      </c>
      <c r="AY27" s="169">
        <f t="shared" si="8"/>
        <v>10</v>
      </c>
      <c r="AZ27" s="111"/>
    </row>
    <row r="28" spans="1:52" x14ac:dyDescent="0.2">
      <c r="B28" s="170" t="s">
        <v>310</v>
      </c>
      <c r="C28" s="115">
        <v>7</v>
      </c>
      <c r="D28" s="115">
        <v>7</v>
      </c>
      <c r="E28" s="115">
        <v>7</v>
      </c>
      <c r="F28" s="115">
        <v>7</v>
      </c>
      <c r="G28" s="115">
        <v>7</v>
      </c>
      <c r="H28" s="115">
        <v>7</v>
      </c>
      <c r="I28" s="115">
        <v>7</v>
      </c>
      <c r="J28" s="115">
        <v>7</v>
      </c>
      <c r="K28" s="115">
        <v>7</v>
      </c>
      <c r="L28" s="115">
        <v>7</v>
      </c>
      <c r="M28" s="115">
        <v>7</v>
      </c>
      <c r="N28" s="115">
        <v>7</v>
      </c>
      <c r="O28" s="115">
        <v>7</v>
      </c>
      <c r="P28" s="115">
        <v>7</v>
      </c>
      <c r="Q28" s="115">
        <v>7</v>
      </c>
      <c r="R28" s="115">
        <v>7</v>
      </c>
      <c r="S28" s="115">
        <v>7</v>
      </c>
      <c r="T28" s="115">
        <v>7</v>
      </c>
      <c r="U28" s="115">
        <v>7</v>
      </c>
      <c r="V28" s="115">
        <v>7</v>
      </c>
      <c r="W28" s="115">
        <v>7</v>
      </c>
      <c r="X28" s="115">
        <v>7</v>
      </c>
      <c r="Y28" s="115">
        <v>7</v>
      </c>
      <c r="Z28" s="115">
        <v>7</v>
      </c>
      <c r="AA28" s="115">
        <v>0</v>
      </c>
      <c r="AB28" s="115">
        <v>9</v>
      </c>
      <c r="AC28" s="115">
        <v>7</v>
      </c>
      <c r="AD28" s="115">
        <v>7</v>
      </c>
      <c r="AE28" s="115">
        <v>7</v>
      </c>
      <c r="AF28" s="115">
        <v>7</v>
      </c>
      <c r="AG28" s="115">
        <v>7</v>
      </c>
      <c r="AH28" s="115">
        <v>7</v>
      </c>
      <c r="AI28" s="115">
        <v>7</v>
      </c>
      <c r="AJ28" s="115">
        <v>7</v>
      </c>
      <c r="AK28" s="115">
        <v>7</v>
      </c>
      <c r="AL28" s="115">
        <v>7</v>
      </c>
      <c r="AM28" s="115">
        <v>7</v>
      </c>
      <c r="AN28" s="115">
        <v>7</v>
      </c>
      <c r="AO28" s="115">
        <v>7</v>
      </c>
      <c r="AP28" s="115">
        <v>7</v>
      </c>
      <c r="AQ28" s="115">
        <v>7</v>
      </c>
      <c r="AR28" s="115">
        <v>7</v>
      </c>
      <c r="AS28" s="115">
        <v>7</v>
      </c>
      <c r="AT28" s="115">
        <v>7</v>
      </c>
      <c r="AU28" s="115">
        <v>7</v>
      </c>
      <c r="AV28" s="115">
        <v>7</v>
      </c>
      <c r="AW28" s="115">
        <v>7</v>
      </c>
      <c r="AX28" s="115">
        <v>7</v>
      </c>
      <c r="AY28" s="171">
        <v>7</v>
      </c>
      <c r="AZ28" s="111"/>
    </row>
    <row r="29" spans="1:52" x14ac:dyDescent="0.2">
      <c r="B29" s="141" t="s">
        <v>311</v>
      </c>
      <c r="C29" s="130">
        <v>7</v>
      </c>
      <c r="D29" s="130">
        <f>C$28</f>
        <v>7</v>
      </c>
      <c r="E29" s="130">
        <f t="shared" ref="E29:AY29" si="9">D$28</f>
        <v>7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7</v>
      </c>
      <c r="K29" s="130">
        <f t="shared" si="9"/>
        <v>7</v>
      </c>
      <c r="L29" s="130">
        <f t="shared" si="9"/>
        <v>7</v>
      </c>
      <c r="M29" s="130">
        <f t="shared" si="9"/>
        <v>7</v>
      </c>
      <c r="N29" s="130">
        <f t="shared" si="9"/>
        <v>7</v>
      </c>
      <c r="O29" s="130">
        <f t="shared" si="9"/>
        <v>7</v>
      </c>
      <c r="P29" s="130">
        <f t="shared" si="9"/>
        <v>7</v>
      </c>
      <c r="Q29" s="130">
        <f t="shared" si="9"/>
        <v>7</v>
      </c>
      <c r="R29" s="130">
        <f t="shared" si="9"/>
        <v>7</v>
      </c>
      <c r="S29" s="130">
        <f t="shared" si="9"/>
        <v>7</v>
      </c>
      <c r="T29" s="130">
        <f t="shared" si="9"/>
        <v>7</v>
      </c>
      <c r="U29" s="130">
        <f t="shared" si="9"/>
        <v>7</v>
      </c>
      <c r="V29" s="130">
        <f t="shared" si="9"/>
        <v>7</v>
      </c>
      <c r="W29" s="130">
        <f t="shared" si="9"/>
        <v>7</v>
      </c>
      <c r="X29" s="130">
        <f t="shared" si="9"/>
        <v>7</v>
      </c>
      <c r="Y29" s="130">
        <f t="shared" si="9"/>
        <v>7</v>
      </c>
      <c r="Z29" s="130">
        <f t="shared" si="9"/>
        <v>7</v>
      </c>
      <c r="AA29" s="130">
        <f t="shared" si="9"/>
        <v>7</v>
      </c>
      <c r="AB29" s="130">
        <f t="shared" si="9"/>
        <v>0</v>
      </c>
      <c r="AC29" s="130">
        <f t="shared" si="9"/>
        <v>9</v>
      </c>
      <c r="AD29" s="130">
        <f t="shared" si="9"/>
        <v>7</v>
      </c>
      <c r="AE29" s="130">
        <f t="shared" si="9"/>
        <v>7</v>
      </c>
      <c r="AF29" s="130">
        <f t="shared" si="9"/>
        <v>7</v>
      </c>
      <c r="AG29" s="130">
        <f t="shared" si="9"/>
        <v>7</v>
      </c>
      <c r="AH29" s="130">
        <f t="shared" si="9"/>
        <v>7</v>
      </c>
      <c r="AI29" s="130">
        <f t="shared" si="9"/>
        <v>7</v>
      </c>
      <c r="AJ29" s="130">
        <f t="shared" si="9"/>
        <v>7</v>
      </c>
      <c r="AK29" s="130">
        <f t="shared" si="9"/>
        <v>7</v>
      </c>
      <c r="AL29" s="130">
        <f t="shared" si="9"/>
        <v>7</v>
      </c>
      <c r="AM29" s="130">
        <f t="shared" si="9"/>
        <v>7</v>
      </c>
      <c r="AN29" s="130">
        <f t="shared" si="9"/>
        <v>7</v>
      </c>
      <c r="AO29" s="130">
        <f t="shared" si="9"/>
        <v>7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7</v>
      </c>
      <c r="AU29" s="130">
        <f t="shared" si="9"/>
        <v>7</v>
      </c>
      <c r="AV29" s="130">
        <f t="shared" si="9"/>
        <v>7</v>
      </c>
      <c r="AW29" s="130">
        <f t="shared" si="9"/>
        <v>7</v>
      </c>
      <c r="AX29" s="130">
        <f t="shared" si="9"/>
        <v>7</v>
      </c>
      <c r="AY29" s="172">
        <f t="shared" si="9"/>
        <v>7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100</v>
      </c>
      <c r="E30" s="122">
        <f t="shared" ref="E30:AY30" si="10">E$27*$B$30</f>
        <v>100</v>
      </c>
      <c r="F30" s="122">
        <f t="shared" si="10"/>
        <v>100</v>
      </c>
      <c r="G30" s="122">
        <f t="shared" si="10"/>
        <v>100</v>
      </c>
      <c r="H30" s="122">
        <f t="shared" si="10"/>
        <v>100</v>
      </c>
      <c r="I30" s="122">
        <f t="shared" si="10"/>
        <v>100</v>
      </c>
      <c r="J30" s="122">
        <f t="shared" si="10"/>
        <v>100</v>
      </c>
      <c r="K30" s="122">
        <f t="shared" si="10"/>
        <v>100</v>
      </c>
      <c r="L30" s="122">
        <f t="shared" si="10"/>
        <v>100</v>
      </c>
      <c r="M30" s="122">
        <f t="shared" si="10"/>
        <v>100</v>
      </c>
      <c r="N30" s="122">
        <f t="shared" si="10"/>
        <v>100</v>
      </c>
      <c r="O30" s="122">
        <f t="shared" si="10"/>
        <v>100</v>
      </c>
      <c r="P30" s="122">
        <f t="shared" si="10"/>
        <v>100</v>
      </c>
      <c r="Q30" s="122">
        <f t="shared" si="10"/>
        <v>100</v>
      </c>
      <c r="R30" s="122">
        <f>R$27*$B$30</f>
        <v>100</v>
      </c>
      <c r="S30" s="122">
        <f t="shared" si="10"/>
        <v>100</v>
      </c>
      <c r="T30" s="122">
        <f t="shared" si="10"/>
        <v>100</v>
      </c>
      <c r="U30" s="122">
        <f t="shared" si="10"/>
        <v>100</v>
      </c>
      <c r="V30" s="122">
        <f t="shared" si="10"/>
        <v>100</v>
      </c>
      <c r="W30" s="122">
        <f t="shared" si="10"/>
        <v>100</v>
      </c>
      <c r="X30" s="122">
        <f t="shared" si="10"/>
        <v>100</v>
      </c>
      <c r="Y30" s="122">
        <f t="shared" si="10"/>
        <v>100</v>
      </c>
      <c r="Z30" s="122">
        <f t="shared" si="10"/>
        <v>100</v>
      </c>
      <c r="AA30" s="122">
        <f t="shared" si="10"/>
        <v>100</v>
      </c>
      <c r="AB30" s="122">
        <f t="shared" si="10"/>
        <v>170</v>
      </c>
      <c r="AC30" s="122">
        <f t="shared" si="10"/>
        <v>80</v>
      </c>
      <c r="AD30" s="122">
        <f t="shared" si="10"/>
        <v>100</v>
      </c>
      <c r="AE30" s="122">
        <f>AE$27*$B$30</f>
        <v>100</v>
      </c>
      <c r="AF30" s="122">
        <f t="shared" si="10"/>
        <v>100</v>
      </c>
      <c r="AG30" s="122">
        <f t="shared" si="10"/>
        <v>100</v>
      </c>
      <c r="AH30" s="122">
        <f t="shared" si="10"/>
        <v>100</v>
      </c>
      <c r="AI30" s="122">
        <f t="shared" si="10"/>
        <v>100</v>
      </c>
      <c r="AJ30" s="122">
        <f t="shared" si="10"/>
        <v>100</v>
      </c>
      <c r="AK30" s="122">
        <f t="shared" si="10"/>
        <v>100</v>
      </c>
      <c r="AL30" s="122">
        <f t="shared" si="10"/>
        <v>100</v>
      </c>
      <c r="AM30" s="122">
        <f t="shared" si="10"/>
        <v>100</v>
      </c>
      <c r="AN30" s="122">
        <f t="shared" si="10"/>
        <v>100</v>
      </c>
      <c r="AO30" s="122">
        <f t="shared" si="10"/>
        <v>100</v>
      </c>
      <c r="AP30" s="122">
        <f t="shared" si="10"/>
        <v>100</v>
      </c>
      <c r="AQ30" s="122">
        <f t="shared" si="10"/>
        <v>100</v>
      </c>
      <c r="AR30" s="122">
        <f t="shared" si="10"/>
        <v>100</v>
      </c>
      <c r="AS30" s="122">
        <f t="shared" si="10"/>
        <v>100</v>
      </c>
      <c r="AT30" s="122">
        <f t="shared" si="10"/>
        <v>100</v>
      </c>
      <c r="AU30" s="122">
        <f t="shared" si="10"/>
        <v>100</v>
      </c>
      <c r="AV30" s="122">
        <f t="shared" si="10"/>
        <v>100</v>
      </c>
      <c r="AW30" s="122">
        <f t="shared" si="10"/>
        <v>100</v>
      </c>
      <c r="AX30" s="122">
        <f t="shared" si="10"/>
        <v>100</v>
      </c>
      <c r="AY30" s="122">
        <f t="shared" si="10"/>
        <v>100</v>
      </c>
      <c r="AZ30" s="146">
        <f t="shared" si="5"/>
        <v>4850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341</v>
      </c>
      <c r="C33" s="129"/>
      <c r="D33" s="129">
        <f>D$21*shipping_manufacturing!$H$27/100</f>
        <v>0</v>
      </c>
      <c r="E33" s="129">
        <f>E$21*shipping_manufacturing!$H$27/100</f>
        <v>0</v>
      </c>
      <c r="F33" s="129">
        <f>F$21*shipping_manufacturing!$H$27/100</f>
        <v>0</v>
      </c>
      <c r="G33" s="129">
        <f>G$21*shipping_manufacturing!$H$27/100</f>
        <v>0</v>
      </c>
      <c r="H33" s="129">
        <f>H$21*shipping_manufacturing!$H$27/100</f>
        <v>0</v>
      </c>
      <c r="I33" s="129">
        <f>I$21*shipping_manufacturing!$H$27/100</f>
        <v>0</v>
      </c>
      <c r="J33" s="129">
        <f>J$21*shipping_manufacturing!$H$27/100</f>
        <v>0</v>
      </c>
      <c r="K33" s="129">
        <f>K$21*shipping_manufacturing!$H$27/100</f>
        <v>0</v>
      </c>
      <c r="L33" s="129">
        <f>L$21*shipping_manufacturing!$H$27/100</f>
        <v>0</v>
      </c>
      <c r="M33" s="129">
        <f>M$21*shipping_manufacturing!$H$27/100</f>
        <v>0</v>
      </c>
      <c r="N33" s="129">
        <f>N$21*shipping_manufacturing!$H$27/100</f>
        <v>0</v>
      </c>
      <c r="O33" s="129">
        <f>O$21*shipping_manufacturing!$H$27/100</f>
        <v>0</v>
      </c>
      <c r="P33" s="129">
        <f>P$21*shipping_manufacturing!$H$27/100</f>
        <v>0</v>
      </c>
      <c r="Q33" s="129">
        <f>Q$21*shipping_manufacturing!$H$27/100</f>
        <v>0</v>
      </c>
      <c r="R33" s="129">
        <f>R$21*shipping_manufacturing!$H$27/100</f>
        <v>0</v>
      </c>
      <c r="S33" s="129">
        <f>S$21*shipping_manufacturing!$H$27/100</f>
        <v>0</v>
      </c>
      <c r="T33" s="129">
        <f>T$21*shipping_manufacturing!$H$27/100</f>
        <v>0</v>
      </c>
      <c r="U33" s="129">
        <f>U$21*shipping_manufacturing!$H$27/100</f>
        <v>0</v>
      </c>
      <c r="V33" s="129">
        <f>V$21*shipping_manufacturing!$H$27/100</f>
        <v>0</v>
      </c>
      <c r="W33" s="129">
        <f>W$21*shipping_manufacturing!$H$27/100</f>
        <v>0</v>
      </c>
      <c r="X33" s="129">
        <f>X$21*shipping_manufacturing!$H$27/100</f>
        <v>0</v>
      </c>
      <c r="Y33" s="129">
        <f>Y$21*shipping_manufacturing!$H$27/100</f>
        <v>0</v>
      </c>
      <c r="Z33" s="129">
        <f>Z$21*shipping_manufacturing!$H$27/100</f>
        <v>0</v>
      </c>
      <c r="AA33" s="129">
        <f>AA$21*shipping_manufacturing!$H$27/100</f>
        <v>0</v>
      </c>
      <c r="AB33" s="129">
        <f>AB$21*shipping_manufacturing!$H$27/100</f>
        <v>0</v>
      </c>
      <c r="AC33" s="129">
        <f>AC$21*shipping_manufacturing!$H$27/100</f>
        <v>0</v>
      </c>
      <c r="AD33" s="129">
        <f>AD$21*shipping_manufacturing!$H$27/100</f>
        <v>0</v>
      </c>
      <c r="AE33" s="129">
        <f>AE$21*shipping_manufacturing!$H$27/100</f>
        <v>0</v>
      </c>
      <c r="AF33" s="129">
        <f>AF$21*shipping_manufacturing!$H$27/100</f>
        <v>0</v>
      </c>
      <c r="AG33" s="129">
        <f>AG$21*shipping_manufacturing!$H$27/100</f>
        <v>0</v>
      </c>
      <c r="AH33" s="129">
        <f>AH$21*shipping_manufacturing!$H$27/100</f>
        <v>0</v>
      </c>
      <c r="AI33" s="129">
        <f>AI$21*shipping_manufacturing!$H$27/100</f>
        <v>0</v>
      </c>
      <c r="AJ33" s="129">
        <f>AJ$21*shipping_manufacturing!$H$27/100</f>
        <v>0</v>
      </c>
      <c r="AK33" s="129">
        <f>AK$21*shipping_manufacturing!$H$27/100</f>
        <v>0</v>
      </c>
      <c r="AL33" s="129">
        <f>AL$21*shipping_manufacturing!$H$27/100</f>
        <v>0</v>
      </c>
      <c r="AM33" s="129">
        <f>AM$21*shipping_manufacturing!$H$27/100</f>
        <v>0</v>
      </c>
      <c r="AN33" s="129">
        <f>AN$21*shipping_manufacturing!$H$27/100</f>
        <v>0</v>
      </c>
      <c r="AO33" s="129">
        <f>AO$21*shipping_manufacturing!$H$27/100</f>
        <v>0</v>
      </c>
      <c r="AP33" s="129">
        <f>AP$21*shipping_manufacturing!$H$27/100</f>
        <v>0</v>
      </c>
      <c r="AQ33" s="129">
        <f>AQ$21*shipping_manufacturing!$H$27/100</f>
        <v>0</v>
      </c>
      <c r="AR33" s="129">
        <f>AR$21*shipping_manufacturing!$H$27/100</f>
        <v>0</v>
      </c>
      <c r="AS33" s="129">
        <f>AS$21*shipping_manufacturing!$H$27/100</f>
        <v>0</v>
      </c>
      <c r="AT33" s="129">
        <f>AT$21*shipping_manufacturing!$H$27/100</f>
        <v>0</v>
      </c>
      <c r="AU33" s="129">
        <f>AU$21*shipping_manufacturing!$H$27/100</f>
        <v>0</v>
      </c>
      <c r="AV33" s="129">
        <f>AV$21*shipping_manufacturing!$H$27/100</f>
        <v>0</v>
      </c>
      <c r="AW33" s="129">
        <f>AW$21*shipping_manufacturing!$H$27/100</f>
        <v>0</v>
      </c>
      <c r="AX33" s="129">
        <f>AX$21*shipping_manufacturing!$H$27/100</f>
        <v>0</v>
      </c>
      <c r="AY33" s="129">
        <f>AY$21*shipping_manufacturing!$H$27/100</f>
        <v>0</v>
      </c>
    </row>
    <row r="34" spans="1:52" x14ac:dyDescent="0.2">
      <c r="A34" s="118" t="s">
        <v>340</v>
      </c>
      <c r="B34" s="170" t="s">
        <v>342</v>
      </c>
      <c r="C34" s="115"/>
      <c r="D34" s="115">
        <f>D$22*shipping_manufacturing!$I$27/100</f>
        <v>0</v>
      </c>
      <c r="E34" s="115">
        <f>E$22*shipping_manufacturing!$I$27/100</f>
        <v>0</v>
      </c>
      <c r="F34" s="115">
        <f>F$22*shipping_manufacturing!$I$27/100</f>
        <v>0</v>
      </c>
      <c r="G34" s="115">
        <f>G$22*shipping_manufacturing!$I$27/100</f>
        <v>0</v>
      </c>
      <c r="H34" s="115">
        <f>H$22*shipping_manufacturing!$I$27/100</f>
        <v>0</v>
      </c>
      <c r="I34" s="115">
        <f>I$22*shipping_manufacturing!$I$27/100</f>
        <v>0</v>
      </c>
      <c r="J34" s="115">
        <f>J$22*shipping_manufacturing!$I$27/100</f>
        <v>0</v>
      </c>
      <c r="K34" s="115">
        <f>K$22*shipping_manufacturing!$I$27/100</f>
        <v>0</v>
      </c>
      <c r="L34" s="115">
        <f>L$22*shipping_manufacturing!$I$27/100</f>
        <v>0</v>
      </c>
      <c r="M34" s="115">
        <f>M$22*shipping_manufacturing!$I$27/100</f>
        <v>0</v>
      </c>
      <c r="N34" s="115">
        <f>N$22*shipping_manufacturing!$I$27/100</f>
        <v>0</v>
      </c>
      <c r="O34" s="115">
        <f>O$22*shipping_manufacturing!$I$27/100</f>
        <v>0</v>
      </c>
      <c r="P34" s="115">
        <f>P$22*shipping_manufacturing!$I$27/100</f>
        <v>0</v>
      </c>
      <c r="Q34" s="115">
        <f>Q$22*shipping_manufacturing!$I$27/100</f>
        <v>0</v>
      </c>
      <c r="R34" s="115">
        <f>R$22*shipping_manufacturing!$I$27/100</f>
        <v>0</v>
      </c>
      <c r="S34" s="115">
        <f>S$22*shipping_manufacturing!$I$27/100</f>
        <v>0</v>
      </c>
      <c r="T34" s="115">
        <f>T$22*shipping_manufacturing!$I$27/100</f>
        <v>0</v>
      </c>
      <c r="U34" s="115">
        <f>U$22*shipping_manufacturing!$I$27/100</f>
        <v>0</v>
      </c>
      <c r="V34" s="115">
        <f>V$22*shipping_manufacturing!$I$27/100</f>
        <v>0</v>
      </c>
      <c r="W34" s="115">
        <f>W$22*shipping_manufacturing!$I$27/100</f>
        <v>0</v>
      </c>
      <c r="X34" s="115">
        <f>X$22*shipping_manufacturing!$I$27/100</f>
        <v>0</v>
      </c>
      <c r="Y34" s="115">
        <f>Y$22*shipping_manufacturing!$I$27/100</f>
        <v>0</v>
      </c>
      <c r="Z34" s="115">
        <f>Z$22*shipping_manufacturing!$I$27/100</f>
        <v>0</v>
      </c>
      <c r="AA34" s="115">
        <f>AA$22*shipping_manufacturing!$I$27/100</f>
        <v>0</v>
      </c>
      <c r="AB34" s="115">
        <f>AB$22*shipping_manufacturing!$I$27/100</f>
        <v>0</v>
      </c>
      <c r="AC34" s="115">
        <f>AC$22*shipping_manufacturing!$I$27/100</f>
        <v>0</v>
      </c>
      <c r="AD34" s="115">
        <f>AD$22*shipping_manufacturing!$I$27/100</f>
        <v>0</v>
      </c>
      <c r="AE34" s="115">
        <f>AE$22*shipping_manufacturing!$I$27/100</f>
        <v>0</v>
      </c>
      <c r="AF34" s="115">
        <f>AF$22*shipping_manufacturing!$I$27/100</f>
        <v>0</v>
      </c>
      <c r="AG34" s="115">
        <f>AG$22*shipping_manufacturing!$I$27/100</f>
        <v>0</v>
      </c>
      <c r="AH34" s="115">
        <f>AH$22*shipping_manufacturing!$I$27/100</f>
        <v>0</v>
      </c>
      <c r="AI34" s="115">
        <f>AI$22*shipping_manufacturing!$I$27/100</f>
        <v>0</v>
      </c>
      <c r="AJ34" s="115">
        <f>AJ$22*shipping_manufacturing!$I$27/100</f>
        <v>0</v>
      </c>
      <c r="AK34" s="115">
        <f>AK$22*shipping_manufacturing!$I$27/100</f>
        <v>0</v>
      </c>
      <c r="AL34" s="115">
        <f>AL$22*shipping_manufacturing!$I$27/100</f>
        <v>0</v>
      </c>
      <c r="AM34" s="115">
        <f>AM$22*shipping_manufacturing!$I$27/100</f>
        <v>0</v>
      </c>
      <c r="AN34" s="115">
        <f>AN$22*shipping_manufacturing!$I$27/100</f>
        <v>0</v>
      </c>
      <c r="AO34" s="115">
        <f>AO$22*shipping_manufacturing!$I$27/100</f>
        <v>0</v>
      </c>
      <c r="AP34" s="115">
        <f>AP$22*shipping_manufacturing!$I$27/100</f>
        <v>0</v>
      </c>
      <c r="AQ34" s="115">
        <f>AQ$22*shipping_manufacturing!$I$27/100</f>
        <v>0</v>
      </c>
      <c r="AR34" s="115">
        <f>AR$22*shipping_manufacturing!$I$27/100</f>
        <v>0</v>
      </c>
      <c r="AS34" s="115">
        <f>AS$22*shipping_manufacturing!$I$27/100</f>
        <v>0</v>
      </c>
      <c r="AT34" s="115">
        <f>AT$22*shipping_manufacturing!$I$27/100</f>
        <v>0</v>
      </c>
      <c r="AU34" s="115">
        <f>AU$22*shipping_manufacturing!$I$27/100</f>
        <v>0</v>
      </c>
      <c r="AV34" s="115">
        <f>AV$22*shipping_manufacturing!$I$27/100</f>
        <v>0</v>
      </c>
      <c r="AW34" s="115">
        <f>AW$22*shipping_manufacturing!$I$27/100</f>
        <v>0</v>
      </c>
      <c r="AX34" s="115">
        <f>AX$22*shipping_manufacturing!$I$27/100</f>
        <v>0</v>
      </c>
      <c r="AY34" s="115">
        <f>AY$22*shipping_manufacturing!$I$27/100</f>
        <v>0</v>
      </c>
    </row>
    <row r="35" spans="1:52" x14ac:dyDescent="0.2">
      <c r="A35" s="115">
        <v>1069</v>
      </c>
      <c r="B35" s="170" t="s">
        <v>343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344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345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346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347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348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349</v>
      </c>
      <c r="C41" s="115"/>
      <c r="D41" s="115">
        <v>2</v>
      </c>
      <c r="E41" s="115">
        <v>1</v>
      </c>
      <c r="F41" s="115">
        <v>1</v>
      </c>
      <c r="G41" s="115">
        <v>1</v>
      </c>
      <c r="H41" s="115">
        <v>1</v>
      </c>
      <c r="I41" s="115">
        <v>3</v>
      </c>
      <c r="J41" s="115">
        <v>2</v>
      </c>
      <c r="K41" s="115">
        <v>1</v>
      </c>
      <c r="L41" s="115">
        <v>1</v>
      </c>
      <c r="M41" s="115">
        <v>1</v>
      </c>
      <c r="N41" s="115">
        <v>3</v>
      </c>
      <c r="O41" s="115">
        <v>1</v>
      </c>
      <c r="P41" s="115">
        <v>1</v>
      </c>
      <c r="Q41" s="115">
        <v>1</v>
      </c>
      <c r="R41" s="115">
        <v>1</v>
      </c>
      <c r="S41" s="115">
        <v>1</v>
      </c>
      <c r="T41" s="115">
        <v>2</v>
      </c>
      <c r="U41" s="115">
        <v>3</v>
      </c>
      <c r="V41" s="115">
        <v>1</v>
      </c>
      <c r="W41" s="115">
        <v>2</v>
      </c>
      <c r="X41" s="115">
        <v>1</v>
      </c>
      <c r="Y41" s="115">
        <v>2</v>
      </c>
      <c r="Z41" s="115">
        <v>1</v>
      </c>
      <c r="AA41" s="115">
        <v>2</v>
      </c>
      <c r="AB41" s="115">
        <v>2</v>
      </c>
      <c r="AC41" s="115">
        <v>1</v>
      </c>
      <c r="AD41" s="115">
        <v>3</v>
      </c>
      <c r="AE41" s="115">
        <v>1</v>
      </c>
      <c r="AF41" s="115">
        <v>1</v>
      </c>
      <c r="AG41" s="115">
        <v>1</v>
      </c>
      <c r="AH41" s="115">
        <v>1</v>
      </c>
      <c r="AI41" s="115">
        <v>1</v>
      </c>
      <c r="AJ41" s="115">
        <v>1</v>
      </c>
      <c r="AK41" s="115">
        <v>2</v>
      </c>
      <c r="AL41" s="115">
        <v>2</v>
      </c>
      <c r="AM41" s="115">
        <v>1</v>
      </c>
      <c r="AN41" s="115">
        <v>2</v>
      </c>
      <c r="AO41" s="115">
        <v>2</v>
      </c>
      <c r="AP41" s="115">
        <v>1</v>
      </c>
      <c r="AQ41" s="115">
        <v>1</v>
      </c>
      <c r="AR41" s="115">
        <v>2</v>
      </c>
      <c r="AS41" s="115">
        <v>1</v>
      </c>
      <c r="AT41" s="115">
        <v>1</v>
      </c>
      <c r="AU41" s="115">
        <v>1</v>
      </c>
      <c r="AV41" s="115">
        <v>1</v>
      </c>
      <c r="AW41" s="115">
        <v>1</v>
      </c>
      <c r="AX41" s="115">
        <v>2</v>
      </c>
      <c r="AY41" s="115">
        <v>1</v>
      </c>
    </row>
    <row r="42" spans="1:52" x14ac:dyDescent="0.2">
      <c r="A42" s="115"/>
      <c r="B42" s="183" t="s">
        <v>350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351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341</v>
      </c>
      <c r="C44" s="129"/>
      <c r="D44" s="129">
        <f>D$21*shipping_manufacturing!$H$28/100</f>
        <v>0</v>
      </c>
      <c r="E44" s="129">
        <f>E$21*shipping_manufacturing!$H$28/100</f>
        <v>0</v>
      </c>
      <c r="F44" s="129">
        <f>F$21*shipping_manufacturing!$H$28/100</f>
        <v>0</v>
      </c>
      <c r="G44" s="129">
        <f>G$21*shipping_manufacturing!$H$28/100</f>
        <v>0</v>
      </c>
      <c r="H44" s="129">
        <f>H$21*shipping_manufacturing!$H$28/100</f>
        <v>0</v>
      </c>
      <c r="I44" s="129">
        <f>I$21*shipping_manufacturing!$H$28/100</f>
        <v>0</v>
      </c>
      <c r="J44" s="129">
        <f>J$21*shipping_manufacturing!$H$28/100</f>
        <v>0</v>
      </c>
      <c r="K44" s="129">
        <f>K$21*shipping_manufacturing!$H$28/100</f>
        <v>0</v>
      </c>
      <c r="L44" s="129">
        <f>L$21*shipping_manufacturing!$H$28/100</f>
        <v>0</v>
      </c>
      <c r="M44" s="129">
        <f>M$21*shipping_manufacturing!$H$28/100</f>
        <v>0</v>
      </c>
      <c r="N44" s="129">
        <f>N$21*shipping_manufacturing!$H$28/100</f>
        <v>0</v>
      </c>
      <c r="O44" s="129">
        <f>O$21*shipping_manufacturing!$H$28/100</f>
        <v>0</v>
      </c>
      <c r="P44" s="129">
        <f>P$21*shipping_manufacturing!$H$28/100</f>
        <v>0</v>
      </c>
      <c r="Q44" s="129">
        <f>Q$21*shipping_manufacturing!$H$28/100</f>
        <v>0</v>
      </c>
      <c r="R44" s="129">
        <f>R$21*shipping_manufacturing!$H$28/100</f>
        <v>0</v>
      </c>
      <c r="S44" s="129">
        <f>S$21*shipping_manufacturing!$H$28/100</f>
        <v>0</v>
      </c>
      <c r="T44" s="129">
        <f>T$21*shipping_manufacturing!$H$28/100</f>
        <v>0</v>
      </c>
      <c r="U44" s="129">
        <f>U$21*shipping_manufacturing!$H$28/100</f>
        <v>0</v>
      </c>
      <c r="V44" s="129">
        <f>V$21*shipping_manufacturing!$H$28/100</f>
        <v>0</v>
      </c>
      <c r="W44" s="129">
        <f>W$21*shipping_manufacturing!$H$28/100</f>
        <v>0</v>
      </c>
      <c r="X44" s="129">
        <f>X$21*shipping_manufacturing!$H$28/100</f>
        <v>0</v>
      </c>
      <c r="Y44" s="129">
        <f>Y$21*shipping_manufacturing!$H$28/100</f>
        <v>0</v>
      </c>
      <c r="Z44" s="129">
        <f>Z$21*shipping_manufacturing!$H$28/100</f>
        <v>0</v>
      </c>
      <c r="AA44" s="129">
        <f>AA$21*shipping_manufacturing!$H$28/100</f>
        <v>0</v>
      </c>
      <c r="AB44" s="129">
        <f>AB$21*shipping_manufacturing!$H$28/100</f>
        <v>0</v>
      </c>
      <c r="AC44" s="129">
        <f>AC$21*shipping_manufacturing!$H$28/100</f>
        <v>0</v>
      </c>
      <c r="AD44" s="129">
        <f>AD$21*shipping_manufacturing!$H$28/100</f>
        <v>0</v>
      </c>
      <c r="AE44" s="129">
        <f>AE$21*shipping_manufacturing!$H$28/100</f>
        <v>0</v>
      </c>
      <c r="AF44" s="129">
        <f>AF$21*shipping_manufacturing!$H$28/100</f>
        <v>0</v>
      </c>
      <c r="AG44" s="129">
        <f>AG$21*shipping_manufacturing!$H$28/100</f>
        <v>0</v>
      </c>
      <c r="AH44" s="129">
        <f>AH$21*shipping_manufacturing!$H$28/100</f>
        <v>0</v>
      </c>
      <c r="AI44" s="129">
        <f>AI$21*shipping_manufacturing!$H$28/100</f>
        <v>0</v>
      </c>
      <c r="AJ44" s="129">
        <f>AJ$21*shipping_manufacturing!$H$28/100</f>
        <v>0</v>
      </c>
      <c r="AK44" s="129">
        <f>AK$21*shipping_manufacturing!$H$28/100</f>
        <v>0</v>
      </c>
      <c r="AL44" s="129">
        <f>AL$21*shipping_manufacturing!$H$28/100</f>
        <v>0</v>
      </c>
      <c r="AM44" s="129">
        <f>AM$21*shipping_manufacturing!$H$28/100</f>
        <v>0</v>
      </c>
      <c r="AN44" s="129">
        <f>AN$21*shipping_manufacturing!$H$28/100</f>
        <v>0</v>
      </c>
      <c r="AO44" s="129">
        <f>AO$21*shipping_manufacturing!$H$28/100</f>
        <v>0</v>
      </c>
      <c r="AP44" s="129">
        <f>AP$21*shipping_manufacturing!$H$28/100</f>
        <v>0</v>
      </c>
      <c r="AQ44" s="129">
        <f>AQ$21*shipping_manufacturing!$H$28/100</f>
        <v>0</v>
      </c>
      <c r="AR44" s="129">
        <f>AR$21*shipping_manufacturing!$H$28/100</f>
        <v>0</v>
      </c>
      <c r="AS44" s="129">
        <f>AS$21*shipping_manufacturing!$H$28/100</f>
        <v>0</v>
      </c>
      <c r="AT44" s="129">
        <f>AT$21*shipping_manufacturing!$H$28/100</f>
        <v>0</v>
      </c>
      <c r="AU44" s="129">
        <f>AU$21*shipping_manufacturing!$H$28/100</f>
        <v>0</v>
      </c>
      <c r="AV44" s="129">
        <f>AV$21*shipping_manufacturing!$H$28/100</f>
        <v>0</v>
      </c>
      <c r="AW44" s="129">
        <f>AW$21*shipping_manufacturing!$H$28/100</f>
        <v>0</v>
      </c>
      <c r="AX44" s="129">
        <f>AX$21*shipping_manufacturing!$H$28/100</f>
        <v>0</v>
      </c>
      <c r="AY44" s="129">
        <f>AY$21*shipping_manufacturing!$H$28/100</f>
        <v>0</v>
      </c>
    </row>
    <row r="45" spans="1:52" x14ac:dyDescent="0.2">
      <c r="A45" s="118" t="s">
        <v>340</v>
      </c>
      <c r="B45" s="170" t="s">
        <v>342</v>
      </c>
      <c r="C45" s="115"/>
      <c r="D45" s="115">
        <f>D$22*shipping_manufacturing!$I$28/100</f>
        <v>0</v>
      </c>
      <c r="E45" s="115">
        <f>E$22*shipping_manufacturing!$I$28/100</f>
        <v>0</v>
      </c>
      <c r="F45" s="115">
        <f>F$22*shipping_manufacturing!$I$28/100</f>
        <v>0</v>
      </c>
      <c r="G45" s="115">
        <f>G$22*shipping_manufacturing!$I$28/100</f>
        <v>0</v>
      </c>
      <c r="H45" s="115">
        <f>H$22*shipping_manufacturing!$I$28/100</f>
        <v>0</v>
      </c>
      <c r="I45" s="115">
        <f>I$22*shipping_manufacturing!$I$28/100</f>
        <v>0</v>
      </c>
      <c r="J45" s="115">
        <f>J$22*shipping_manufacturing!$I$28/100</f>
        <v>0</v>
      </c>
      <c r="K45" s="115">
        <f>K$22*shipping_manufacturing!$I$28/100</f>
        <v>0</v>
      </c>
      <c r="L45" s="115">
        <f>L$22*shipping_manufacturing!$I$28/100</f>
        <v>0</v>
      </c>
      <c r="M45" s="115">
        <f>M$22*shipping_manufacturing!$I$28/100</f>
        <v>0</v>
      </c>
      <c r="N45" s="115">
        <f>N$22*shipping_manufacturing!$I$28/100</f>
        <v>0</v>
      </c>
      <c r="O45" s="115">
        <f>O$22*shipping_manufacturing!$I$28/100</f>
        <v>0</v>
      </c>
      <c r="P45" s="115">
        <f>P$22*shipping_manufacturing!$I$28/100</f>
        <v>0</v>
      </c>
      <c r="Q45" s="115">
        <f>Q$22*shipping_manufacturing!$I$28/100</f>
        <v>0</v>
      </c>
      <c r="R45" s="115">
        <f>R$22*shipping_manufacturing!$I$28/100</f>
        <v>0</v>
      </c>
      <c r="S45" s="115">
        <f>S$22*shipping_manufacturing!$I$28/100</f>
        <v>0</v>
      </c>
      <c r="T45" s="115">
        <f>T$22*shipping_manufacturing!$I$28/100</f>
        <v>0</v>
      </c>
      <c r="U45" s="115">
        <f>U$22*shipping_manufacturing!$I$28/100</f>
        <v>0</v>
      </c>
      <c r="V45" s="115">
        <f>V$22*shipping_manufacturing!$I$28/100</f>
        <v>0</v>
      </c>
      <c r="W45" s="115">
        <f>W$22*shipping_manufacturing!$I$28/100</f>
        <v>0</v>
      </c>
      <c r="X45" s="115">
        <f>X$22*shipping_manufacturing!$I$28/100</f>
        <v>0</v>
      </c>
      <c r="Y45" s="115">
        <f>Y$22*shipping_manufacturing!$I$28/100</f>
        <v>0</v>
      </c>
      <c r="Z45" s="115">
        <f>Z$22*shipping_manufacturing!$I$28/100</f>
        <v>0</v>
      </c>
      <c r="AA45" s="115">
        <f>AA$22*shipping_manufacturing!$I$28/100</f>
        <v>0</v>
      </c>
      <c r="AB45" s="115">
        <f>AB$22*shipping_manufacturing!$I$28/100</f>
        <v>0</v>
      </c>
      <c r="AC45" s="115">
        <f>AC$22*shipping_manufacturing!$I$28/100</f>
        <v>0</v>
      </c>
      <c r="AD45" s="115">
        <f>AD$22*shipping_manufacturing!$I$28/100</f>
        <v>0</v>
      </c>
      <c r="AE45" s="115">
        <f>AE$22*shipping_manufacturing!$I$28/100</f>
        <v>0</v>
      </c>
      <c r="AF45" s="115">
        <f>AF$22*shipping_manufacturing!$I$28/100</f>
        <v>0</v>
      </c>
      <c r="AG45" s="115">
        <f>AG$22*shipping_manufacturing!$I$28/100</f>
        <v>0</v>
      </c>
      <c r="AH45" s="115">
        <f>AH$22*shipping_manufacturing!$I$28/100</f>
        <v>0</v>
      </c>
      <c r="AI45" s="115">
        <f>AI$22*shipping_manufacturing!$I$28/100</f>
        <v>0</v>
      </c>
      <c r="AJ45" s="115">
        <f>AJ$22*shipping_manufacturing!$I$28/100</f>
        <v>0</v>
      </c>
      <c r="AK45" s="115">
        <f>AK$22*shipping_manufacturing!$I$28/100</f>
        <v>0</v>
      </c>
      <c r="AL45" s="115">
        <f>AL$22*shipping_manufacturing!$I$28/100</f>
        <v>0</v>
      </c>
      <c r="AM45" s="115">
        <f>AM$22*shipping_manufacturing!$I$28/100</f>
        <v>0</v>
      </c>
      <c r="AN45" s="115">
        <f>AN$22*shipping_manufacturing!$I$28/100</f>
        <v>0</v>
      </c>
      <c r="AO45" s="115">
        <f>AO$22*shipping_manufacturing!$I$28/100</f>
        <v>0</v>
      </c>
      <c r="AP45" s="115">
        <f>AP$22*shipping_manufacturing!$I$28/100</f>
        <v>0</v>
      </c>
      <c r="AQ45" s="115">
        <f>AQ$22*shipping_manufacturing!$I$28/100</f>
        <v>0</v>
      </c>
      <c r="AR45" s="115">
        <f>AR$22*shipping_manufacturing!$I$28/100</f>
        <v>0</v>
      </c>
      <c r="AS45" s="115">
        <f>AS$22*shipping_manufacturing!$I$28/100</f>
        <v>0</v>
      </c>
      <c r="AT45" s="115">
        <f>AT$22*shipping_manufacturing!$I$28/100</f>
        <v>0</v>
      </c>
      <c r="AU45" s="115">
        <f>AU$22*shipping_manufacturing!$I$28/100</f>
        <v>0</v>
      </c>
      <c r="AV45" s="115">
        <f>AV$22*shipping_manufacturing!$I$28/100</f>
        <v>0</v>
      </c>
      <c r="AW45" s="115">
        <f>AW$22*shipping_manufacturing!$I$28/100</f>
        <v>0</v>
      </c>
      <c r="AX45" s="115">
        <f>AX$22*shipping_manufacturing!$I$28/100</f>
        <v>0</v>
      </c>
      <c r="AY45" s="115">
        <f>AY$22*shipping_manufacturing!$I$28/100</f>
        <v>0</v>
      </c>
    </row>
    <row r="46" spans="1:52" x14ac:dyDescent="0.2">
      <c r="A46" s="115">
        <v>2353</v>
      </c>
      <c r="B46" s="170" t="s">
        <v>343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344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345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346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347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348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349</v>
      </c>
      <c r="C52" s="115"/>
      <c r="D52" s="115">
        <v>2</v>
      </c>
      <c r="E52" s="115">
        <v>2</v>
      </c>
      <c r="F52" s="115">
        <v>3</v>
      </c>
      <c r="G52" s="115">
        <v>3</v>
      </c>
      <c r="H52" s="115">
        <v>3</v>
      </c>
      <c r="I52" s="115">
        <v>2</v>
      </c>
      <c r="J52" s="115">
        <v>2</v>
      </c>
      <c r="K52" s="115">
        <v>3</v>
      </c>
      <c r="L52" s="115">
        <v>2</v>
      </c>
      <c r="M52" s="115">
        <v>2</v>
      </c>
      <c r="N52" s="115">
        <v>3</v>
      </c>
      <c r="O52" s="115">
        <v>3</v>
      </c>
      <c r="P52" s="115">
        <v>3</v>
      </c>
      <c r="Q52" s="115">
        <v>2</v>
      </c>
      <c r="R52" s="115">
        <v>2</v>
      </c>
      <c r="S52" s="115">
        <v>3</v>
      </c>
      <c r="T52" s="115">
        <v>3</v>
      </c>
      <c r="U52" s="115">
        <v>3</v>
      </c>
      <c r="V52" s="115">
        <v>3</v>
      </c>
      <c r="W52" s="115">
        <v>3</v>
      </c>
      <c r="X52" s="115">
        <v>2</v>
      </c>
      <c r="Y52" s="115">
        <v>3</v>
      </c>
      <c r="Z52" s="115">
        <v>2</v>
      </c>
      <c r="AA52" s="115">
        <v>3</v>
      </c>
      <c r="AB52" s="115">
        <v>3</v>
      </c>
      <c r="AC52" s="115">
        <v>2</v>
      </c>
      <c r="AD52" s="115">
        <v>2</v>
      </c>
      <c r="AE52" s="115">
        <v>2</v>
      </c>
      <c r="AF52" s="115">
        <v>2</v>
      </c>
      <c r="AG52" s="115">
        <v>3</v>
      </c>
      <c r="AH52" s="115">
        <v>2</v>
      </c>
      <c r="AI52" s="115">
        <v>4</v>
      </c>
      <c r="AJ52" s="115">
        <v>2</v>
      </c>
      <c r="AK52" s="115">
        <v>2</v>
      </c>
      <c r="AL52" s="115">
        <v>3</v>
      </c>
      <c r="AM52" s="115">
        <v>3</v>
      </c>
      <c r="AN52" s="115">
        <v>2</v>
      </c>
      <c r="AO52" s="115">
        <v>2</v>
      </c>
      <c r="AP52" s="115">
        <v>3</v>
      </c>
      <c r="AQ52" s="115">
        <v>3</v>
      </c>
      <c r="AR52" s="115">
        <v>2</v>
      </c>
      <c r="AS52" s="115">
        <v>3</v>
      </c>
      <c r="AT52" s="115">
        <v>3</v>
      </c>
      <c r="AU52" s="115">
        <v>2</v>
      </c>
      <c r="AV52" s="115">
        <v>2</v>
      </c>
      <c r="AW52" s="115">
        <v>2</v>
      </c>
      <c r="AX52" s="115">
        <v>3</v>
      </c>
      <c r="AY52" s="115">
        <v>3</v>
      </c>
    </row>
    <row r="53" spans="1:52" x14ac:dyDescent="0.2">
      <c r="A53" s="115"/>
      <c r="B53" s="183" t="s">
        <v>350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351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341</v>
      </c>
      <c r="C55" s="129"/>
      <c r="D55" s="129">
        <f>D$21*shipping_manufacturing!$H$29/100</f>
        <v>103.34177215189874</v>
      </c>
      <c r="E55" s="129">
        <f>E$21*shipping_manufacturing!$H$29/100</f>
        <v>103.34177215189874</v>
      </c>
      <c r="F55" s="129">
        <f>F$21*shipping_manufacturing!$H$29/100</f>
        <v>103.34177215189874</v>
      </c>
      <c r="G55" s="129">
        <f>G$21*shipping_manufacturing!$H$29/100</f>
        <v>103.34177215189874</v>
      </c>
      <c r="H55" s="129">
        <f>H$21*shipping_manufacturing!$H$29/100</f>
        <v>103.34177215189874</v>
      </c>
      <c r="I55" s="129">
        <f>I$21*shipping_manufacturing!$H$29/100</f>
        <v>103.34177215189874</v>
      </c>
      <c r="J55" s="129">
        <f>J$21*shipping_manufacturing!$H$29/100</f>
        <v>103.34177215189874</v>
      </c>
      <c r="K55" s="129">
        <f>K$21*shipping_manufacturing!$H$29/100</f>
        <v>103.34177215189874</v>
      </c>
      <c r="L55" s="129">
        <f>L$21*shipping_manufacturing!$H$29/100</f>
        <v>103.34177215189874</v>
      </c>
      <c r="M55" s="129">
        <f>M$21*shipping_manufacturing!$H$29/100</f>
        <v>103.34177215189874</v>
      </c>
      <c r="N55" s="129">
        <f>N$21*shipping_manufacturing!$H$29/100</f>
        <v>103.34177215189874</v>
      </c>
      <c r="O55" s="129">
        <f>O$21*shipping_manufacturing!$H$29/100</f>
        <v>103.34177215189874</v>
      </c>
      <c r="P55" s="129">
        <f>P$21*shipping_manufacturing!$H$29/100</f>
        <v>103.34177215189874</v>
      </c>
      <c r="Q55" s="129">
        <f>Q$21*shipping_manufacturing!$H$29/100</f>
        <v>103.34177215189874</v>
      </c>
      <c r="R55" s="129">
        <f>R$21*shipping_manufacturing!$H$29/100</f>
        <v>103.34177215189874</v>
      </c>
      <c r="S55" s="129">
        <f>S$21*shipping_manufacturing!$H$29/100</f>
        <v>103.34177215189874</v>
      </c>
      <c r="T55" s="129">
        <f>T$21*shipping_manufacturing!$H$29/100</f>
        <v>103.34177215189874</v>
      </c>
      <c r="U55" s="129">
        <f>U$21*shipping_manufacturing!$H$29/100</f>
        <v>103.34177215189874</v>
      </c>
      <c r="V55" s="129">
        <f>V$21*shipping_manufacturing!$H$29/100</f>
        <v>103.34177215189874</v>
      </c>
      <c r="W55" s="129">
        <f>W$21*shipping_manufacturing!$H$29/100</f>
        <v>103.34177215189874</v>
      </c>
      <c r="X55" s="129">
        <f>X$21*shipping_manufacturing!$H$29/100</f>
        <v>103.34177215189874</v>
      </c>
      <c r="Y55" s="129">
        <f>Y$21*shipping_manufacturing!$H$29/100</f>
        <v>103.34177215189874</v>
      </c>
      <c r="Z55" s="129">
        <f>Z$21*shipping_manufacturing!$H$29/100</f>
        <v>103.34177215189874</v>
      </c>
      <c r="AA55" s="129">
        <f>AA$21*shipping_manufacturing!$H$29/100</f>
        <v>0</v>
      </c>
      <c r="AB55" s="129">
        <f>AB$21*shipping_manufacturing!$H$29/100</f>
        <v>142.07650273224044</v>
      </c>
      <c r="AC55" s="129">
        <f>AC$21*shipping_manufacturing!$H$29/100</f>
        <v>103.34177215189874</v>
      </c>
      <c r="AD55" s="129">
        <f>AD$21*shipping_manufacturing!$H$29/100</f>
        <v>103.34177215189874</v>
      </c>
      <c r="AE55" s="129">
        <f>AE$21*shipping_manufacturing!$H$29/100</f>
        <v>103.34177215189874</v>
      </c>
      <c r="AF55" s="129">
        <f>AF$21*shipping_manufacturing!$H$29/100</f>
        <v>103.34177215189874</v>
      </c>
      <c r="AG55" s="129">
        <f>AG$21*shipping_manufacturing!$H$29/100</f>
        <v>103.34177215189874</v>
      </c>
      <c r="AH55" s="129">
        <f>AH$21*shipping_manufacturing!$H$29/100</f>
        <v>103.34177215189874</v>
      </c>
      <c r="AI55" s="129">
        <f>AI$21*shipping_manufacturing!$H$29/100</f>
        <v>103.34177215189874</v>
      </c>
      <c r="AJ55" s="129">
        <f>AJ$21*shipping_manufacturing!$H$29/100</f>
        <v>103.34177215189874</v>
      </c>
      <c r="AK55" s="129">
        <f>AK$21*shipping_manufacturing!$H$29/100</f>
        <v>103.34177215189874</v>
      </c>
      <c r="AL55" s="129">
        <f>AL$21*shipping_manufacturing!$H$29/100</f>
        <v>103.34177215189874</v>
      </c>
      <c r="AM55" s="129">
        <f>AM$21*shipping_manufacturing!$H$29/100</f>
        <v>103.34177215189874</v>
      </c>
      <c r="AN55" s="129">
        <f>AN$21*shipping_manufacturing!$H$29/100</f>
        <v>103.34177215189874</v>
      </c>
      <c r="AO55" s="129">
        <f>AO$21*shipping_manufacturing!$H$29/100</f>
        <v>103.34177215189874</v>
      </c>
      <c r="AP55" s="129">
        <f>AP$21*shipping_manufacturing!$H$29/100</f>
        <v>103.34177215189874</v>
      </c>
      <c r="AQ55" s="129">
        <f>AQ$21*shipping_manufacturing!$H$29/100</f>
        <v>103.34177215189874</v>
      </c>
      <c r="AR55" s="129">
        <f>AR$21*shipping_manufacturing!$H$29/100</f>
        <v>103.34177215189874</v>
      </c>
      <c r="AS55" s="129">
        <f>AS$21*shipping_manufacturing!$H$29/100</f>
        <v>103.34177215189874</v>
      </c>
      <c r="AT55" s="129">
        <f>AT$21*shipping_manufacturing!$H$29/100</f>
        <v>103.34177215189874</v>
      </c>
      <c r="AU55" s="129">
        <f>AU$21*shipping_manufacturing!$H$29/100</f>
        <v>103.34177215189874</v>
      </c>
      <c r="AV55" s="129">
        <f>AV$21*shipping_manufacturing!$H$29/100</f>
        <v>103.34177215189874</v>
      </c>
      <c r="AW55" s="129">
        <f>AW$21*shipping_manufacturing!$H$29/100</f>
        <v>103.34177215189874</v>
      </c>
      <c r="AX55" s="129">
        <f>AX$21*shipping_manufacturing!$H$29/100</f>
        <v>103.34177215189874</v>
      </c>
      <c r="AY55" s="129">
        <f>AY$21*shipping_manufacturing!$H$29/100</f>
        <v>103.34177215189874</v>
      </c>
    </row>
    <row r="56" spans="1:52" x14ac:dyDescent="0.2">
      <c r="A56" s="118" t="s">
        <v>340</v>
      </c>
      <c r="B56" s="170" t="s">
        <v>342</v>
      </c>
      <c r="C56" s="115"/>
      <c r="D56" s="115">
        <f>D$22*shipping_manufacturing!$I$29/100</f>
        <v>78.500000000000014</v>
      </c>
      <c r="E56" s="115">
        <f>E$22*shipping_manufacturing!$I$29/100</f>
        <v>78.500000000000014</v>
      </c>
      <c r="F56" s="115">
        <f>F$22*shipping_manufacturing!$I$29/100</f>
        <v>78.500000000000014</v>
      </c>
      <c r="G56" s="115">
        <f>G$22*shipping_manufacturing!$I$29/100</f>
        <v>78.500000000000014</v>
      </c>
      <c r="H56" s="115">
        <f>H$22*shipping_manufacturing!$I$29/100</f>
        <v>78.500000000000014</v>
      </c>
      <c r="I56" s="115">
        <f>I$22*shipping_manufacturing!$I$29/100</f>
        <v>78.500000000000014</v>
      </c>
      <c r="J56" s="115">
        <f>J$22*shipping_manufacturing!$I$29/100</f>
        <v>78.500000000000014</v>
      </c>
      <c r="K56" s="115">
        <f>K$22*shipping_manufacturing!$I$29/100</f>
        <v>78.500000000000014</v>
      </c>
      <c r="L56" s="115">
        <f>L$22*shipping_manufacturing!$I$29/100</f>
        <v>78.500000000000014</v>
      </c>
      <c r="M56" s="115">
        <f>M$22*shipping_manufacturing!$I$29/100</f>
        <v>78.500000000000014</v>
      </c>
      <c r="N56" s="115">
        <f>N$22*shipping_manufacturing!$I$29/100</f>
        <v>78.500000000000014</v>
      </c>
      <c r="O56" s="115">
        <f>O$22*shipping_manufacturing!$I$29/100</f>
        <v>78.500000000000014</v>
      </c>
      <c r="P56" s="115">
        <f>P$22*shipping_manufacturing!$I$29/100</f>
        <v>78.500000000000014</v>
      </c>
      <c r="Q56" s="115">
        <f>Q$22*shipping_manufacturing!$I$29/100</f>
        <v>78.500000000000014</v>
      </c>
      <c r="R56" s="115">
        <f>R$22*shipping_manufacturing!$I$29/100</f>
        <v>78.500000000000014</v>
      </c>
      <c r="S56" s="115">
        <f>S$22*shipping_manufacturing!$I$29/100</f>
        <v>78.500000000000014</v>
      </c>
      <c r="T56" s="115">
        <f>T$22*shipping_manufacturing!$I$29/100</f>
        <v>78.500000000000014</v>
      </c>
      <c r="U56" s="115">
        <f>U$22*shipping_manufacturing!$I$29/100</f>
        <v>78.500000000000014</v>
      </c>
      <c r="V56" s="115">
        <f>V$22*shipping_manufacturing!$I$29/100</f>
        <v>78.500000000000014</v>
      </c>
      <c r="W56" s="115">
        <f>W$22*shipping_manufacturing!$I$29/100</f>
        <v>78.500000000000014</v>
      </c>
      <c r="X56" s="115">
        <f>X$22*shipping_manufacturing!$I$29/100</f>
        <v>78.500000000000014</v>
      </c>
      <c r="Y56" s="115">
        <f>Y$22*shipping_manufacturing!$I$29/100</f>
        <v>78.500000000000014</v>
      </c>
      <c r="Z56" s="115">
        <f>Z$22*shipping_manufacturing!$I$29/100</f>
        <v>78.500000000000014</v>
      </c>
      <c r="AA56" s="115">
        <f>AA$22*shipping_manufacturing!$I$29/100</f>
        <v>0</v>
      </c>
      <c r="AB56" s="115">
        <f>AB$22*shipping_manufacturing!$I$29/100</f>
        <v>107.92349726775957</v>
      </c>
      <c r="AC56" s="115">
        <f>AC$22*shipping_manufacturing!$I$29/100</f>
        <v>78.500000000000014</v>
      </c>
      <c r="AD56" s="115">
        <f>AD$22*shipping_manufacturing!$I$29/100</f>
        <v>78.500000000000014</v>
      </c>
      <c r="AE56" s="115">
        <f>AE$22*shipping_manufacturing!$I$29/100</f>
        <v>78.500000000000014</v>
      </c>
      <c r="AF56" s="115">
        <f>AF$22*shipping_manufacturing!$I$29/100</f>
        <v>78.500000000000014</v>
      </c>
      <c r="AG56" s="115">
        <f>AG$22*shipping_manufacturing!$I$29/100</f>
        <v>78.500000000000014</v>
      </c>
      <c r="AH56" s="115">
        <f>AH$22*shipping_manufacturing!$I$29/100</f>
        <v>78.500000000000014</v>
      </c>
      <c r="AI56" s="115">
        <f>AI$22*shipping_manufacturing!$I$29/100</f>
        <v>78.500000000000014</v>
      </c>
      <c r="AJ56" s="115">
        <f>AJ$22*shipping_manufacturing!$I$29/100</f>
        <v>78.500000000000014</v>
      </c>
      <c r="AK56" s="115">
        <f>AK$22*shipping_manufacturing!$I$29/100</f>
        <v>78.500000000000014</v>
      </c>
      <c r="AL56" s="115">
        <f>AL$22*shipping_manufacturing!$I$29/100</f>
        <v>78.500000000000014</v>
      </c>
      <c r="AM56" s="115">
        <f>AM$22*shipping_manufacturing!$I$29/100</f>
        <v>78.500000000000014</v>
      </c>
      <c r="AN56" s="115">
        <f>AN$22*shipping_manufacturing!$I$29/100</f>
        <v>78.500000000000014</v>
      </c>
      <c r="AO56" s="115">
        <f>AO$22*shipping_manufacturing!$I$29/100</f>
        <v>78.500000000000014</v>
      </c>
      <c r="AP56" s="115">
        <f>AP$22*shipping_manufacturing!$I$29/100</f>
        <v>78.500000000000014</v>
      </c>
      <c r="AQ56" s="115">
        <f>AQ$22*shipping_manufacturing!$I$29/100</f>
        <v>78.500000000000014</v>
      </c>
      <c r="AR56" s="115">
        <f>AR$22*shipping_manufacturing!$I$29/100</f>
        <v>78.500000000000014</v>
      </c>
      <c r="AS56" s="115">
        <f>AS$22*shipping_manufacturing!$I$29/100</f>
        <v>78.500000000000014</v>
      </c>
      <c r="AT56" s="115">
        <f>AT$22*shipping_manufacturing!$I$29/100</f>
        <v>78.500000000000014</v>
      </c>
      <c r="AU56" s="115">
        <f>AU$22*shipping_manufacturing!$I$29/100</f>
        <v>78.500000000000014</v>
      </c>
      <c r="AV56" s="115">
        <f>AV$22*shipping_manufacturing!$I$29/100</f>
        <v>78.500000000000014</v>
      </c>
      <c r="AW56" s="115">
        <f>AW$22*shipping_manufacturing!$I$29/100</f>
        <v>78.500000000000014</v>
      </c>
      <c r="AX56" s="115">
        <f>AX$22*shipping_manufacturing!$I$29/100</f>
        <v>78.500000000000014</v>
      </c>
      <c r="AY56" s="115">
        <f>AY$22*shipping_manufacturing!$I$29/100</f>
        <v>78.500000000000014</v>
      </c>
    </row>
    <row r="57" spans="1:52" x14ac:dyDescent="0.2">
      <c r="A57" s="115">
        <v>393</v>
      </c>
      <c r="B57" s="170" t="s">
        <v>343</v>
      </c>
      <c r="C57" s="115"/>
      <c r="D57" s="115">
        <f>SUM(D55:D56)</f>
        <v>181.84177215189874</v>
      </c>
      <c r="E57" s="115">
        <f t="shared" ref="E57:AY57" si="17">SUM(E55:E56)</f>
        <v>181.84177215189874</v>
      </c>
      <c r="F57" s="115">
        <f t="shared" si="17"/>
        <v>181.84177215189874</v>
      </c>
      <c r="G57" s="115">
        <f t="shared" si="17"/>
        <v>181.84177215189874</v>
      </c>
      <c r="H57" s="115">
        <f t="shared" si="17"/>
        <v>181.84177215189874</v>
      </c>
      <c r="I57" s="115">
        <f t="shared" si="17"/>
        <v>181.84177215189874</v>
      </c>
      <c r="J57" s="115">
        <f t="shared" si="17"/>
        <v>181.84177215189874</v>
      </c>
      <c r="K57" s="115">
        <f t="shared" si="17"/>
        <v>181.84177215189874</v>
      </c>
      <c r="L57" s="115">
        <f t="shared" si="17"/>
        <v>181.84177215189874</v>
      </c>
      <c r="M57" s="115">
        <f t="shared" si="17"/>
        <v>181.84177215189874</v>
      </c>
      <c r="N57" s="115">
        <f t="shared" si="17"/>
        <v>181.84177215189874</v>
      </c>
      <c r="O57" s="115">
        <f t="shared" si="17"/>
        <v>181.84177215189874</v>
      </c>
      <c r="P57" s="115">
        <f t="shared" si="17"/>
        <v>181.84177215189874</v>
      </c>
      <c r="Q57" s="115">
        <f t="shared" si="17"/>
        <v>181.84177215189874</v>
      </c>
      <c r="R57" s="115">
        <f t="shared" si="17"/>
        <v>181.84177215189874</v>
      </c>
      <c r="S57" s="115">
        <f t="shared" si="17"/>
        <v>181.84177215189874</v>
      </c>
      <c r="T57" s="115">
        <f t="shared" si="17"/>
        <v>181.84177215189874</v>
      </c>
      <c r="U57" s="115">
        <f t="shared" si="17"/>
        <v>181.84177215189874</v>
      </c>
      <c r="V57" s="115">
        <f t="shared" si="17"/>
        <v>181.84177215189874</v>
      </c>
      <c r="W57" s="115">
        <f t="shared" si="17"/>
        <v>181.84177215189874</v>
      </c>
      <c r="X57" s="115">
        <f t="shared" si="17"/>
        <v>181.84177215189874</v>
      </c>
      <c r="Y57" s="115">
        <f t="shared" si="17"/>
        <v>181.84177215189874</v>
      </c>
      <c r="Z57" s="115">
        <f t="shared" si="17"/>
        <v>181.84177215189874</v>
      </c>
      <c r="AA57" s="115">
        <f t="shared" si="17"/>
        <v>0</v>
      </c>
      <c r="AB57" s="115">
        <f t="shared" si="17"/>
        <v>250</v>
      </c>
      <c r="AC57" s="115">
        <f t="shared" si="17"/>
        <v>181.84177215189874</v>
      </c>
      <c r="AD57" s="115">
        <f t="shared" si="17"/>
        <v>181.84177215189874</v>
      </c>
      <c r="AE57" s="115">
        <f t="shared" si="17"/>
        <v>181.84177215189874</v>
      </c>
      <c r="AF57" s="115">
        <f t="shared" si="17"/>
        <v>181.84177215189874</v>
      </c>
      <c r="AG57" s="115">
        <f t="shared" si="17"/>
        <v>181.84177215189874</v>
      </c>
      <c r="AH57" s="115">
        <f t="shared" si="17"/>
        <v>181.84177215189874</v>
      </c>
      <c r="AI57" s="115">
        <f t="shared" si="17"/>
        <v>181.84177215189874</v>
      </c>
      <c r="AJ57" s="115">
        <f t="shared" si="17"/>
        <v>181.84177215189874</v>
      </c>
      <c r="AK57" s="115">
        <f t="shared" si="17"/>
        <v>181.84177215189874</v>
      </c>
      <c r="AL57" s="115">
        <f t="shared" si="17"/>
        <v>181.84177215189874</v>
      </c>
      <c r="AM57" s="115">
        <f t="shared" si="17"/>
        <v>181.84177215189874</v>
      </c>
      <c r="AN57" s="115">
        <f t="shared" si="17"/>
        <v>181.84177215189874</v>
      </c>
      <c r="AO57" s="115">
        <f t="shared" si="17"/>
        <v>181.84177215189874</v>
      </c>
      <c r="AP57" s="115">
        <f t="shared" si="17"/>
        <v>181.84177215189874</v>
      </c>
      <c r="AQ57" s="115">
        <f t="shared" si="17"/>
        <v>181.84177215189874</v>
      </c>
      <c r="AR57" s="115">
        <f t="shared" si="17"/>
        <v>181.84177215189874</v>
      </c>
      <c r="AS57" s="115">
        <f t="shared" si="17"/>
        <v>181.84177215189874</v>
      </c>
      <c r="AT57" s="115">
        <f t="shared" si="17"/>
        <v>181.84177215189874</v>
      </c>
      <c r="AU57" s="115">
        <f t="shared" si="17"/>
        <v>181.84177215189874</v>
      </c>
      <c r="AV57" s="115">
        <f t="shared" si="17"/>
        <v>181.84177215189874</v>
      </c>
      <c r="AW57" s="115">
        <f t="shared" si="17"/>
        <v>181.84177215189874</v>
      </c>
      <c r="AX57" s="115">
        <f t="shared" si="17"/>
        <v>181.84177215189874</v>
      </c>
      <c r="AY57" s="115">
        <f t="shared" si="17"/>
        <v>181.84177215189874</v>
      </c>
    </row>
    <row r="58" spans="1:52" x14ac:dyDescent="0.2">
      <c r="A58" s="115"/>
      <c r="B58" s="170" t="s">
        <v>344</v>
      </c>
      <c r="C58" s="115"/>
      <c r="D58" s="115">
        <v>103.34177215189874</v>
      </c>
      <c r="E58" s="115">
        <v>103.34177215189874</v>
      </c>
      <c r="F58" s="115">
        <v>103.34177215189874</v>
      </c>
      <c r="G58" s="115">
        <v>103.34177215189874</v>
      </c>
      <c r="H58" s="115">
        <v>103.34177215189874</v>
      </c>
      <c r="I58" s="115">
        <v>103.34177215189874</v>
      </c>
      <c r="J58" s="115">
        <v>103.34177215189874</v>
      </c>
      <c r="K58" s="115">
        <v>103.34177215189874</v>
      </c>
      <c r="L58" s="115">
        <v>103.34177215189874</v>
      </c>
      <c r="M58" s="115">
        <v>103.34177215189874</v>
      </c>
      <c r="N58" s="115">
        <v>103.34177215189874</v>
      </c>
      <c r="O58" s="115">
        <v>103.34177215189874</v>
      </c>
      <c r="P58" s="115">
        <v>103.34177215189874</v>
      </c>
      <c r="Q58" s="115">
        <v>103.34177215189874</v>
      </c>
      <c r="R58" s="115">
        <v>103.34177215189874</v>
      </c>
      <c r="S58" s="115">
        <v>103.34177215189874</v>
      </c>
      <c r="T58" s="115">
        <v>103.34177215189874</v>
      </c>
      <c r="U58" s="115">
        <v>103.34177215189874</v>
      </c>
      <c r="V58" s="115">
        <v>103.34177215189874</v>
      </c>
      <c r="W58" s="115">
        <v>103.34177215189874</v>
      </c>
      <c r="X58" s="115">
        <v>103.34177215189874</v>
      </c>
      <c r="Y58" s="115">
        <v>103.34177215189874</v>
      </c>
      <c r="Z58" s="115">
        <v>103.34177215189874</v>
      </c>
      <c r="AA58" s="115"/>
      <c r="AB58" s="115">
        <v>142.07650273224044</v>
      </c>
      <c r="AC58" s="115">
        <v>103.34177215189874</v>
      </c>
      <c r="AD58" s="115">
        <v>103.34177215189874</v>
      </c>
      <c r="AE58" s="115">
        <v>103.34177215189874</v>
      </c>
      <c r="AF58" s="115">
        <v>103.34177215189874</v>
      </c>
      <c r="AG58" s="115">
        <v>103.34177215189874</v>
      </c>
      <c r="AH58" s="115">
        <v>103.34177215189874</v>
      </c>
      <c r="AI58" s="115">
        <v>103.34177215189874</v>
      </c>
      <c r="AJ58" s="115">
        <v>103.34177215189874</v>
      </c>
      <c r="AK58" s="115">
        <v>103.34177215189874</v>
      </c>
      <c r="AL58" s="115">
        <v>103.34177215189874</v>
      </c>
      <c r="AM58" s="115">
        <v>103.34177215189874</v>
      </c>
      <c r="AN58" s="115">
        <v>103.34177215189874</v>
      </c>
      <c r="AO58" s="115">
        <v>103.34177215189874</v>
      </c>
      <c r="AP58" s="115">
        <v>103.34177215189874</v>
      </c>
      <c r="AQ58" s="115">
        <v>103.34177215189874</v>
      </c>
      <c r="AR58" s="115">
        <v>103.34177215189874</v>
      </c>
      <c r="AS58" s="115">
        <v>103.34177215189874</v>
      </c>
      <c r="AT58" s="115">
        <v>103.34177215189874</v>
      </c>
      <c r="AU58" s="115">
        <v>103.34177215189874</v>
      </c>
      <c r="AV58" s="115">
        <v>103.34177215189874</v>
      </c>
      <c r="AW58" s="115">
        <v>103.34177215189874</v>
      </c>
      <c r="AX58" s="115">
        <v>103.34177215189874</v>
      </c>
      <c r="AY58" s="115">
        <v>103.34177215189874</v>
      </c>
    </row>
    <row r="59" spans="1:52" x14ac:dyDescent="0.2">
      <c r="A59" s="115"/>
      <c r="B59" s="170" t="s">
        <v>345</v>
      </c>
      <c r="C59" s="115"/>
      <c r="D59" s="115">
        <v>78.500000000000014</v>
      </c>
      <c r="E59" s="115">
        <v>78.500000000000014</v>
      </c>
      <c r="F59" s="115">
        <v>78.500000000000014</v>
      </c>
      <c r="G59" s="115">
        <v>78.500000000000014</v>
      </c>
      <c r="H59" s="115">
        <v>78.500000000000014</v>
      </c>
      <c r="I59" s="115">
        <v>78.500000000000014</v>
      </c>
      <c r="J59" s="115">
        <v>78.500000000000014</v>
      </c>
      <c r="K59" s="115">
        <v>78.500000000000014</v>
      </c>
      <c r="L59" s="115">
        <v>78.500000000000014</v>
      </c>
      <c r="M59" s="115">
        <v>78.500000000000014</v>
      </c>
      <c r="N59" s="115">
        <v>78.500000000000014</v>
      </c>
      <c r="O59" s="115">
        <v>78.500000000000014</v>
      </c>
      <c r="P59" s="115">
        <v>78.500000000000014</v>
      </c>
      <c r="Q59" s="115">
        <v>78.500000000000014</v>
      </c>
      <c r="R59" s="115">
        <v>78.500000000000014</v>
      </c>
      <c r="S59" s="115">
        <v>78.500000000000014</v>
      </c>
      <c r="T59" s="115">
        <v>78.500000000000014</v>
      </c>
      <c r="U59" s="115">
        <v>78.500000000000014</v>
      </c>
      <c r="V59" s="115">
        <v>78.500000000000014</v>
      </c>
      <c r="W59" s="115">
        <v>78.500000000000014</v>
      </c>
      <c r="X59" s="115">
        <v>78.500000000000014</v>
      </c>
      <c r="Y59" s="115">
        <v>78.500000000000014</v>
      </c>
      <c r="Z59" s="115">
        <v>78.500000000000014</v>
      </c>
      <c r="AA59" s="115"/>
      <c r="AB59" s="115">
        <v>107.92349726775957</v>
      </c>
      <c r="AC59" s="115">
        <v>78.500000000000014</v>
      </c>
      <c r="AD59" s="115">
        <v>78.500000000000014</v>
      </c>
      <c r="AE59" s="115">
        <v>78.500000000000014</v>
      </c>
      <c r="AF59" s="115">
        <v>78.500000000000014</v>
      </c>
      <c r="AG59" s="115">
        <v>78.500000000000014</v>
      </c>
      <c r="AH59" s="115">
        <v>78.500000000000014</v>
      </c>
      <c r="AI59" s="115">
        <v>78.500000000000014</v>
      </c>
      <c r="AJ59" s="115">
        <v>78.500000000000014</v>
      </c>
      <c r="AK59" s="115">
        <v>78.500000000000014</v>
      </c>
      <c r="AL59" s="115">
        <v>78.500000000000014</v>
      </c>
      <c r="AM59" s="115">
        <v>78.500000000000014</v>
      </c>
      <c r="AN59" s="115">
        <v>78.500000000000014</v>
      </c>
      <c r="AO59" s="115">
        <v>78.500000000000014</v>
      </c>
      <c r="AP59" s="115">
        <v>78.500000000000014</v>
      </c>
      <c r="AQ59" s="115">
        <v>78.500000000000014</v>
      </c>
      <c r="AR59" s="115">
        <v>78.500000000000014</v>
      </c>
      <c r="AS59" s="115">
        <v>78.500000000000014</v>
      </c>
      <c r="AT59" s="115">
        <v>78.500000000000014</v>
      </c>
      <c r="AU59" s="115">
        <v>78.500000000000014</v>
      </c>
      <c r="AV59" s="115">
        <v>78.500000000000014</v>
      </c>
      <c r="AW59" s="115">
        <v>78.500000000000014</v>
      </c>
      <c r="AX59" s="115">
        <v>78.500000000000014</v>
      </c>
      <c r="AY59" s="115">
        <v>78.500000000000014</v>
      </c>
    </row>
    <row r="60" spans="1:52" x14ac:dyDescent="0.2">
      <c r="A60" s="115"/>
      <c r="B60" s="170" t="s">
        <v>346</v>
      </c>
      <c r="C60" s="115"/>
      <c r="D60" s="115">
        <v>7</v>
      </c>
      <c r="E60" s="115">
        <v>7</v>
      </c>
      <c r="F60" s="115">
        <v>7</v>
      </c>
      <c r="G60" s="115">
        <v>7</v>
      </c>
      <c r="H60" s="115">
        <v>7</v>
      </c>
      <c r="I60" s="115">
        <v>7</v>
      </c>
      <c r="J60" s="115">
        <v>7</v>
      </c>
      <c r="K60" s="115">
        <v>7</v>
      </c>
      <c r="L60" s="115">
        <v>7</v>
      </c>
      <c r="M60" s="115">
        <v>7</v>
      </c>
      <c r="N60" s="115">
        <v>7</v>
      </c>
      <c r="O60" s="115">
        <v>7</v>
      </c>
      <c r="P60" s="115">
        <v>7</v>
      </c>
      <c r="Q60" s="115">
        <v>7</v>
      </c>
      <c r="R60" s="115">
        <v>7</v>
      </c>
      <c r="S60" s="115">
        <v>7</v>
      </c>
      <c r="T60" s="115">
        <v>7</v>
      </c>
      <c r="U60" s="115">
        <v>7</v>
      </c>
      <c r="V60" s="115">
        <v>7</v>
      </c>
      <c r="W60" s="115">
        <v>7</v>
      </c>
      <c r="X60" s="115">
        <v>7</v>
      </c>
      <c r="Y60" s="115">
        <v>7</v>
      </c>
      <c r="Z60" s="115">
        <v>7</v>
      </c>
      <c r="AA60" s="115"/>
      <c r="AB60" s="115">
        <v>9</v>
      </c>
      <c r="AC60" s="115">
        <v>7</v>
      </c>
      <c r="AD60" s="115">
        <v>7</v>
      </c>
      <c r="AE60" s="115">
        <v>7</v>
      </c>
      <c r="AF60" s="115">
        <v>7</v>
      </c>
      <c r="AG60" s="115">
        <v>7</v>
      </c>
      <c r="AH60" s="115">
        <v>7</v>
      </c>
      <c r="AI60" s="115">
        <v>7</v>
      </c>
      <c r="AJ60" s="115">
        <v>7</v>
      </c>
      <c r="AK60" s="115">
        <v>7</v>
      </c>
      <c r="AL60" s="115">
        <v>7</v>
      </c>
      <c r="AM60" s="115">
        <v>7</v>
      </c>
      <c r="AN60" s="115">
        <v>7</v>
      </c>
      <c r="AO60" s="115">
        <v>7</v>
      </c>
      <c r="AP60" s="115">
        <v>7</v>
      </c>
      <c r="AQ60" s="115">
        <v>7</v>
      </c>
      <c r="AR60" s="115">
        <v>7</v>
      </c>
      <c r="AS60" s="115">
        <v>7</v>
      </c>
      <c r="AT60" s="115">
        <v>7</v>
      </c>
      <c r="AU60" s="115">
        <v>7</v>
      </c>
      <c r="AV60" s="115">
        <v>7</v>
      </c>
      <c r="AW60" s="115">
        <v>7</v>
      </c>
      <c r="AX60" s="115">
        <v>7</v>
      </c>
      <c r="AY60" s="115">
        <v>7</v>
      </c>
    </row>
    <row r="61" spans="1:52" x14ac:dyDescent="0.2">
      <c r="A61" s="115"/>
      <c r="B61" s="170" t="s">
        <v>347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348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349</v>
      </c>
      <c r="C63" s="115"/>
      <c r="D63" s="115">
        <v>1</v>
      </c>
      <c r="E63" s="115">
        <v>1</v>
      </c>
      <c r="F63" s="115">
        <v>1</v>
      </c>
      <c r="G63" s="115">
        <v>3</v>
      </c>
      <c r="H63" s="115">
        <v>1</v>
      </c>
      <c r="I63" s="115">
        <v>2</v>
      </c>
      <c r="J63" s="115">
        <v>3</v>
      </c>
      <c r="K63" s="115">
        <v>1</v>
      </c>
      <c r="L63" s="115">
        <v>2</v>
      </c>
      <c r="M63" s="115">
        <v>1</v>
      </c>
      <c r="N63" s="115">
        <v>2</v>
      </c>
      <c r="O63" s="115">
        <v>1</v>
      </c>
      <c r="P63" s="115">
        <v>2</v>
      </c>
      <c r="Q63" s="115">
        <v>2</v>
      </c>
      <c r="R63" s="115">
        <v>3</v>
      </c>
      <c r="S63" s="115">
        <v>2</v>
      </c>
      <c r="T63" s="115">
        <v>2</v>
      </c>
      <c r="U63" s="115">
        <v>2</v>
      </c>
      <c r="V63" s="115">
        <v>1</v>
      </c>
      <c r="W63" s="115">
        <v>1</v>
      </c>
      <c r="X63" s="115">
        <v>1</v>
      </c>
      <c r="Y63" s="115">
        <v>1</v>
      </c>
      <c r="Z63" s="115">
        <v>1</v>
      </c>
      <c r="AA63" s="115">
        <v>1</v>
      </c>
      <c r="AB63" s="115">
        <v>2</v>
      </c>
      <c r="AC63" s="115">
        <v>1</v>
      </c>
      <c r="AD63" s="115">
        <v>1</v>
      </c>
      <c r="AE63" s="115">
        <v>2</v>
      </c>
      <c r="AF63" s="115">
        <v>2</v>
      </c>
      <c r="AG63" s="115">
        <v>2</v>
      </c>
      <c r="AH63" s="115">
        <v>1</v>
      </c>
      <c r="AI63" s="115">
        <v>1</v>
      </c>
      <c r="AJ63" s="115">
        <v>1</v>
      </c>
      <c r="AK63" s="115">
        <v>1</v>
      </c>
      <c r="AL63" s="115">
        <v>1</v>
      </c>
      <c r="AM63" s="115">
        <v>1</v>
      </c>
      <c r="AN63" s="115">
        <v>2</v>
      </c>
      <c r="AO63" s="115">
        <v>1</v>
      </c>
      <c r="AP63" s="115">
        <v>1</v>
      </c>
      <c r="AQ63" s="115">
        <v>3</v>
      </c>
      <c r="AR63" s="115">
        <v>1</v>
      </c>
      <c r="AS63" s="115">
        <v>2</v>
      </c>
      <c r="AT63" s="115">
        <v>2</v>
      </c>
      <c r="AU63" s="115">
        <v>1</v>
      </c>
      <c r="AV63" s="115">
        <v>3</v>
      </c>
      <c r="AW63" s="115">
        <v>2</v>
      </c>
      <c r="AX63" s="115">
        <v>1</v>
      </c>
      <c r="AY63" s="115">
        <v>1</v>
      </c>
    </row>
    <row r="64" spans="1:52" x14ac:dyDescent="0.2">
      <c r="A64" s="115"/>
      <c r="B64" s="183" t="s">
        <v>350</v>
      </c>
      <c r="C64" s="115"/>
      <c r="D64" s="115">
        <v>99036</v>
      </c>
      <c r="E64" s="115">
        <v>99036</v>
      </c>
      <c r="F64" s="115">
        <v>99036</v>
      </c>
      <c r="G64" s="115">
        <v>99036</v>
      </c>
      <c r="H64" s="115">
        <v>99036</v>
      </c>
      <c r="I64" s="115">
        <v>99036</v>
      </c>
      <c r="J64" s="115">
        <v>99036</v>
      </c>
      <c r="K64" s="115">
        <v>99036</v>
      </c>
      <c r="L64" s="115">
        <v>99036</v>
      </c>
      <c r="M64" s="115">
        <v>99036</v>
      </c>
      <c r="N64" s="115">
        <v>99036</v>
      </c>
      <c r="O64" s="115">
        <v>99036</v>
      </c>
      <c r="P64" s="115">
        <v>99036</v>
      </c>
      <c r="Q64" s="115">
        <v>99036</v>
      </c>
      <c r="R64" s="115">
        <v>99036</v>
      </c>
      <c r="S64" s="115">
        <v>99036</v>
      </c>
      <c r="T64" s="115">
        <v>99036</v>
      </c>
      <c r="U64" s="115">
        <v>99036</v>
      </c>
      <c r="V64" s="115">
        <v>99036</v>
      </c>
      <c r="W64" s="115">
        <v>99036</v>
      </c>
      <c r="X64" s="115">
        <v>99036</v>
      </c>
      <c r="Y64" s="115">
        <v>99036</v>
      </c>
      <c r="Z64" s="115">
        <v>99036</v>
      </c>
      <c r="AA64" s="115">
        <v>0</v>
      </c>
      <c r="AB64" s="115">
        <v>127332</v>
      </c>
      <c r="AC64" s="115">
        <v>99036</v>
      </c>
      <c r="AD64" s="115">
        <v>99036</v>
      </c>
      <c r="AE64" s="115">
        <v>99036</v>
      </c>
      <c r="AF64" s="115">
        <v>99036</v>
      </c>
      <c r="AG64" s="115">
        <v>99036</v>
      </c>
      <c r="AH64" s="115">
        <v>99036</v>
      </c>
      <c r="AI64" s="115">
        <v>99036</v>
      </c>
      <c r="AJ64" s="115">
        <v>99036</v>
      </c>
      <c r="AK64" s="115">
        <v>99036</v>
      </c>
      <c r="AL64" s="115">
        <v>99036</v>
      </c>
      <c r="AM64" s="115">
        <v>99036</v>
      </c>
      <c r="AN64" s="115">
        <v>99036</v>
      </c>
      <c r="AO64" s="115">
        <v>99036</v>
      </c>
      <c r="AP64" s="115">
        <v>99036</v>
      </c>
      <c r="AQ64" s="115">
        <v>99036</v>
      </c>
      <c r="AR64" s="115">
        <v>99036</v>
      </c>
      <c r="AS64" s="115">
        <v>99036</v>
      </c>
      <c r="AT64" s="115">
        <v>99036</v>
      </c>
      <c r="AU64" s="115">
        <v>99036</v>
      </c>
      <c r="AV64" s="115">
        <v>99036</v>
      </c>
      <c r="AW64" s="115">
        <v>99036</v>
      </c>
      <c r="AX64" s="115">
        <v>99036</v>
      </c>
      <c r="AY64" s="115">
        <v>99036</v>
      </c>
      <c r="AZ64" s="105">
        <f>SUM($D$64:$AY$64)</f>
        <v>4682988</v>
      </c>
    </row>
    <row r="65" spans="1:52" x14ac:dyDescent="0.2">
      <c r="A65" s="115"/>
      <c r="B65" s="183" t="s">
        <v>351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341</v>
      </c>
      <c r="C66" s="129"/>
      <c r="D66" s="129">
        <f>D$21*shipping_manufacturing!$H$30/100</f>
        <v>0</v>
      </c>
      <c r="E66" s="129">
        <f>E$21*shipping_manufacturing!$H$30/100</f>
        <v>0</v>
      </c>
      <c r="F66" s="129">
        <f>F$21*shipping_manufacturing!$H$30/100</f>
        <v>0</v>
      </c>
      <c r="G66" s="129">
        <f>G$21*shipping_manufacturing!$H$30/100</f>
        <v>0</v>
      </c>
      <c r="H66" s="129">
        <f>H$21*shipping_manufacturing!$H$30/100</f>
        <v>0</v>
      </c>
      <c r="I66" s="129">
        <f>I$21*shipping_manufacturing!$H$30/100</f>
        <v>0</v>
      </c>
      <c r="J66" s="129">
        <f>J$21*shipping_manufacturing!$H$30/100</f>
        <v>0</v>
      </c>
      <c r="K66" s="129">
        <f>K$21*shipping_manufacturing!$H$30/100</f>
        <v>0</v>
      </c>
      <c r="L66" s="129">
        <f>L$21*shipping_manufacturing!$H$30/100</f>
        <v>0</v>
      </c>
      <c r="M66" s="129">
        <f>M$21*shipping_manufacturing!$H$30/100</f>
        <v>0</v>
      </c>
      <c r="N66" s="129">
        <f>N$21*shipping_manufacturing!$H$30/100</f>
        <v>0</v>
      </c>
      <c r="O66" s="129">
        <f>O$21*shipping_manufacturing!$H$30/100</f>
        <v>0</v>
      </c>
      <c r="P66" s="129">
        <f>P$21*shipping_manufacturing!$H$30/100</f>
        <v>0</v>
      </c>
      <c r="Q66" s="129">
        <f>Q$21*shipping_manufacturing!$H$30/100</f>
        <v>0</v>
      </c>
      <c r="R66" s="129">
        <f>R$21*shipping_manufacturing!$H$30/100</f>
        <v>0</v>
      </c>
      <c r="S66" s="129">
        <f>S$21*shipping_manufacturing!$H$30/100</f>
        <v>0</v>
      </c>
      <c r="T66" s="129">
        <f>T$21*shipping_manufacturing!$H$30/100</f>
        <v>0</v>
      </c>
      <c r="U66" s="129">
        <f>U$21*shipping_manufacturing!$H$30/100</f>
        <v>0</v>
      </c>
      <c r="V66" s="129">
        <f>V$21*shipping_manufacturing!$H$30/100</f>
        <v>0</v>
      </c>
      <c r="W66" s="129">
        <f>W$21*shipping_manufacturing!$H$30/100</f>
        <v>0</v>
      </c>
      <c r="X66" s="129">
        <f>X$21*shipping_manufacturing!$H$30/100</f>
        <v>0</v>
      </c>
      <c r="Y66" s="129">
        <f>Y$21*shipping_manufacturing!$H$30/100</f>
        <v>0</v>
      </c>
      <c r="Z66" s="129">
        <f>Z$21*shipping_manufacturing!$H$30/100</f>
        <v>0</v>
      </c>
      <c r="AA66" s="129">
        <f>AA$21*shipping_manufacturing!$H$30/100</f>
        <v>0</v>
      </c>
      <c r="AB66" s="129">
        <f>AB$21*shipping_manufacturing!$H$30/100</f>
        <v>0</v>
      </c>
      <c r="AC66" s="129">
        <f>AC$21*shipping_manufacturing!$H$30/100</f>
        <v>0</v>
      </c>
      <c r="AD66" s="129">
        <f>AD$21*shipping_manufacturing!$H$30/100</f>
        <v>0</v>
      </c>
      <c r="AE66" s="129">
        <f>AE$21*shipping_manufacturing!$H$30/100</f>
        <v>0</v>
      </c>
      <c r="AF66" s="129">
        <f>AF$21*shipping_manufacturing!$H$30/100</f>
        <v>0</v>
      </c>
      <c r="AG66" s="129">
        <f>AG$21*shipping_manufacturing!$H$30/100</f>
        <v>0</v>
      </c>
      <c r="AH66" s="129">
        <f>AH$21*shipping_manufacturing!$H$30/100</f>
        <v>0</v>
      </c>
      <c r="AI66" s="129">
        <f>AI$21*shipping_manufacturing!$H$30/100</f>
        <v>0</v>
      </c>
      <c r="AJ66" s="129">
        <f>AJ$21*shipping_manufacturing!$H$30/100</f>
        <v>0</v>
      </c>
      <c r="AK66" s="129">
        <f>AK$21*shipping_manufacturing!$H$30/100</f>
        <v>0</v>
      </c>
      <c r="AL66" s="129">
        <f>AL$21*shipping_manufacturing!$H$30/100</f>
        <v>0</v>
      </c>
      <c r="AM66" s="129">
        <f>AM$21*shipping_manufacturing!$H$30/100</f>
        <v>0</v>
      </c>
      <c r="AN66" s="129">
        <f>AN$21*shipping_manufacturing!$H$30/100</f>
        <v>0</v>
      </c>
      <c r="AO66" s="129">
        <f>AO$21*shipping_manufacturing!$H$30/100</f>
        <v>0</v>
      </c>
      <c r="AP66" s="129">
        <f>AP$21*shipping_manufacturing!$H$30/100</f>
        <v>0</v>
      </c>
      <c r="AQ66" s="129">
        <f>AQ$21*shipping_manufacturing!$H$30/100</f>
        <v>0</v>
      </c>
      <c r="AR66" s="129">
        <f>AR$21*shipping_manufacturing!$H$30/100</f>
        <v>0</v>
      </c>
      <c r="AS66" s="129">
        <f>AS$21*shipping_manufacturing!$H$30/100</f>
        <v>0</v>
      </c>
      <c r="AT66" s="129">
        <f>AT$21*shipping_manufacturing!$H$30/100</f>
        <v>0</v>
      </c>
      <c r="AU66" s="129">
        <f>AU$21*shipping_manufacturing!$H$30/100</f>
        <v>0</v>
      </c>
      <c r="AV66" s="129">
        <f>AV$21*shipping_manufacturing!$H$30/100</f>
        <v>0</v>
      </c>
      <c r="AW66" s="129">
        <f>AW$21*shipping_manufacturing!$H$30/100</f>
        <v>0</v>
      </c>
      <c r="AX66" s="129">
        <f>AX$21*shipping_manufacturing!$H$30/100</f>
        <v>0</v>
      </c>
      <c r="AY66" s="129">
        <f>AY$21*shipping_manufacturing!$H$30/100</f>
        <v>0</v>
      </c>
    </row>
    <row r="67" spans="1:52" x14ac:dyDescent="0.2">
      <c r="A67" s="118" t="s">
        <v>340</v>
      </c>
      <c r="B67" s="170" t="s">
        <v>342</v>
      </c>
      <c r="C67" s="115"/>
      <c r="D67" s="115">
        <f>D$22*shipping_manufacturing!$I$30/100</f>
        <v>0</v>
      </c>
      <c r="E67" s="115">
        <f>E$22*shipping_manufacturing!$I$30/100</f>
        <v>0</v>
      </c>
      <c r="F67" s="115">
        <f>F$22*shipping_manufacturing!$I$30/100</f>
        <v>0</v>
      </c>
      <c r="G67" s="115">
        <f>G$22*shipping_manufacturing!$I$30/100</f>
        <v>0</v>
      </c>
      <c r="H67" s="115">
        <f>H$22*shipping_manufacturing!$I$30/100</f>
        <v>0</v>
      </c>
      <c r="I67" s="115">
        <f>I$22*shipping_manufacturing!$I$30/100</f>
        <v>0</v>
      </c>
      <c r="J67" s="115">
        <f>J$22*shipping_manufacturing!$I$30/100</f>
        <v>0</v>
      </c>
      <c r="K67" s="115">
        <f>K$22*shipping_manufacturing!$I$30/100</f>
        <v>0</v>
      </c>
      <c r="L67" s="115">
        <f>L$22*shipping_manufacturing!$I$30/100</f>
        <v>0</v>
      </c>
      <c r="M67" s="115">
        <f>M$22*shipping_manufacturing!$I$30/100</f>
        <v>0</v>
      </c>
      <c r="N67" s="115">
        <f>N$22*shipping_manufacturing!$I$30/100</f>
        <v>0</v>
      </c>
      <c r="O67" s="115">
        <f>O$22*shipping_manufacturing!$I$30/100</f>
        <v>0</v>
      </c>
      <c r="P67" s="115">
        <f>P$22*shipping_manufacturing!$I$30/100</f>
        <v>0</v>
      </c>
      <c r="Q67" s="115">
        <f>Q$22*shipping_manufacturing!$I$30/100</f>
        <v>0</v>
      </c>
      <c r="R67" s="115">
        <f>R$22*shipping_manufacturing!$I$30/100</f>
        <v>0</v>
      </c>
      <c r="S67" s="115">
        <f>S$22*shipping_manufacturing!$I$30/100</f>
        <v>0</v>
      </c>
      <c r="T67" s="115">
        <f>T$22*shipping_manufacturing!$I$30/100</f>
        <v>0</v>
      </c>
      <c r="U67" s="115">
        <f>U$22*shipping_manufacturing!$I$30/100</f>
        <v>0</v>
      </c>
      <c r="V67" s="115">
        <f>V$22*shipping_manufacturing!$I$30/100</f>
        <v>0</v>
      </c>
      <c r="W67" s="115">
        <f>W$22*shipping_manufacturing!$I$30/100</f>
        <v>0</v>
      </c>
      <c r="X67" s="115">
        <f>X$22*shipping_manufacturing!$I$30/100</f>
        <v>0</v>
      </c>
      <c r="Y67" s="115">
        <f>Y$22*shipping_manufacturing!$I$30/100</f>
        <v>0</v>
      </c>
      <c r="Z67" s="115">
        <f>Z$22*shipping_manufacturing!$I$30/100</f>
        <v>0</v>
      </c>
      <c r="AA67" s="115">
        <f>AA$22*shipping_manufacturing!$I$30/100</f>
        <v>0</v>
      </c>
      <c r="AB67" s="115">
        <f>AB$22*shipping_manufacturing!$I$30/100</f>
        <v>0</v>
      </c>
      <c r="AC67" s="115">
        <f>AC$22*shipping_manufacturing!$I$30/100</f>
        <v>0</v>
      </c>
      <c r="AD67" s="115">
        <f>AD$22*shipping_manufacturing!$I$30/100</f>
        <v>0</v>
      </c>
      <c r="AE67" s="115">
        <f>AE$22*shipping_manufacturing!$I$30/100</f>
        <v>0</v>
      </c>
      <c r="AF67" s="115">
        <f>AF$22*shipping_manufacturing!$I$30/100</f>
        <v>0</v>
      </c>
      <c r="AG67" s="115">
        <f>AG$22*shipping_manufacturing!$I$30/100</f>
        <v>0</v>
      </c>
      <c r="AH67" s="115">
        <f>AH$22*shipping_manufacturing!$I$30/100</f>
        <v>0</v>
      </c>
      <c r="AI67" s="115">
        <f>AI$22*shipping_manufacturing!$I$30/100</f>
        <v>0</v>
      </c>
      <c r="AJ67" s="115">
        <f>AJ$22*shipping_manufacturing!$I$30/100</f>
        <v>0</v>
      </c>
      <c r="AK67" s="115">
        <f>AK$22*shipping_manufacturing!$I$30/100</f>
        <v>0</v>
      </c>
      <c r="AL67" s="115">
        <f>AL$22*shipping_manufacturing!$I$30/100</f>
        <v>0</v>
      </c>
      <c r="AM67" s="115">
        <f>AM$22*shipping_manufacturing!$I$30/100</f>
        <v>0</v>
      </c>
      <c r="AN67" s="115">
        <f>AN$22*shipping_manufacturing!$I$30/100</f>
        <v>0</v>
      </c>
      <c r="AO67" s="115">
        <f>AO$22*shipping_manufacturing!$I$30/100</f>
        <v>0</v>
      </c>
      <c r="AP67" s="115">
        <f>AP$22*shipping_manufacturing!$I$30/100</f>
        <v>0</v>
      </c>
      <c r="AQ67" s="115">
        <f>AQ$22*shipping_manufacturing!$I$30/100</f>
        <v>0</v>
      </c>
      <c r="AR67" s="115">
        <f>AR$22*shipping_manufacturing!$I$30/100</f>
        <v>0</v>
      </c>
      <c r="AS67" s="115">
        <f>AS$22*shipping_manufacturing!$I$30/100</f>
        <v>0</v>
      </c>
      <c r="AT67" s="115">
        <f>AT$22*shipping_manufacturing!$I$30/100</f>
        <v>0</v>
      </c>
      <c r="AU67" s="115">
        <f>AU$22*shipping_manufacturing!$I$30/100</f>
        <v>0</v>
      </c>
      <c r="AV67" s="115">
        <f>AV$22*shipping_manufacturing!$I$30/100</f>
        <v>0</v>
      </c>
      <c r="AW67" s="115">
        <f>AW$22*shipping_manufacturing!$I$30/100</f>
        <v>0</v>
      </c>
      <c r="AX67" s="115">
        <f>AX$22*shipping_manufacturing!$I$30/100</f>
        <v>0</v>
      </c>
      <c r="AY67" s="115">
        <f>AY$22*shipping_manufacturing!$I$30/100</f>
        <v>0</v>
      </c>
    </row>
    <row r="68" spans="1:52" x14ac:dyDescent="0.2">
      <c r="A68" s="115">
        <v>1712</v>
      </c>
      <c r="B68" s="170" t="s">
        <v>343</v>
      </c>
      <c r="C68" s="115"/>
      <c r="D68" s="115">
        <f>SUM(D66:D67)</f>
        <v>0</v>
      </c>
      <c r="E68" s="115">
        <f t="shared" ref="E68:AY68" si="20">SUM(E66:E67)</f>
        <v>0</v>
      </c>
      <c r="F68" s="115">
        <f t="shared" si="20"/>
        <v>0</v>
      </c>
      <c r="G68" s="115">
        <f t="shared" si="20"/>
        <v>0</v>
      </c>
      <c r="H68" s="115">
        <f t="shared" si="20"/>
        <v>0</v>
      </c>
      <c r="I68" s="115">
        <f t="shared" si="20"/>
        <v>0</v>
      </c>
      <c r="J68" s="115">
        <f t="shared" si="20"/>
        <v>0</v>
      </c>
      <c r="K68" s="115">
        <f t="shared" si="20"/>
        <v>0</v>
      </c>
      <c r="L68" s="115">
        <f t="shared" si="20"/>
        <v>0</v>
      </c>
      <c r="M68" s="115">
        <f t="shared" si="20"/>
        <v>0</v>
      </c>
      <c r="N68" s="115">
        <f t="shared" si="20"/>
        <v>0</v>
      </c>
      <c r="O68" s="115">
        <f t="shared" si="20"/>
        <v>0</v>
      </c>
      <c r="P68" s="115">
        <f t="shared" si="20"/>
        <v>0</v>
      </c>
      <c r="Q68" s="115">
        <f t="shared" si="20"/>
        <v>0</v>
      </c>
      <c r="R68" s="115">
        <f t="shared" si="20"/>
        <v>0</v>
      </c>
      <c r="S68" s="115">
        <f t="shared" si="20"/>
        <v>0</v>
      </c>
      <c r="T68" s="115">
        <f t="shared" si="20"/>
        <v>0</v>
      </c>
      <c r="U68" s="115">
        <f t="shared" si="20"/>
        <v>0</v>
      </c>
      <c r="V68" s="115">
        <f t="shared" si="20"/>
        <v>0</v>
      </c>
      <c r="W68" s="115">
        <f t="shared" si="20"/>
        <v>0</v>
      </c>
      <c r="X68" s="115">
        <f t="shared" si="20"/>
        <v>0</v>
      </c>
      <c r="Y68" s="115">
        <f t="shared" si="20"/>
        <v>0</v>
      </c>
      <c r="Z68" s="115">
        <f t="shared" si="20"/>
        <v>0</v>
      </c>
      <c r="AA68" s="115">
        <f t="shared" si="20"/>
        <v>0</v>
      </c>
      <c r="AB68" s="115">
        <f t="shared" si="20"/>
        <v>0</v>
      </c>
      <c r="AC68" s="115">
        <f t="shared" si="20"/>
        <v>0</v>
      </c>
      <c r="AD68" s="115">
        <f t="shared" si="20"/>
        <v>0</v>
      </c>
      <c r="AE68" s="115">
        <f t="shared" si="20"/>
        <v>0</v>
      </c>
      <c r="AF68" s="115">
        <f t="shared" si="20"/>
        <v>0</v>
      </c>
      <c r="AG68" s="115">
        <f t="shared" si="20"/>
        <v>0</v>
      </c>
      <c r="AH68" s="115">
        <f t="shared" si="20"/>
        <v>0</v>
      </c>
      <c r="AI68" s="115">
        <f t="shared" si="20"/>
        <v>0</v>
      </c>
      <c r="AJ68" s="115">
        <f t="shared" si="20"/>
        <v>0</v>
      </c>
      <c r="AK68" s="115">
        <f t="shared" si="20"/>
        <v>0</v>
      </c>
      <c r="AL68" s="115">
        <f t="shared" si="20"/>
        <v>0</v>
      </c>
      <c r="AM68" s="115">
        <f t="shared" si="20"/>
        <v>0</v>
      </c>
      <c r="AN68" s="115">
        <f t="shared" si="20"/>
        <v>0</v>
      </c>
      <c r="AO68" s="115">
        <f t="shared" si="20"/>
        <v>0</v>
      </c>
      <c r="AP68" s="115">
        <f t="shared" si="20"/>
        <v>0</v>
      </c>
      <c r="AQ68" s="115">
        <f t="shared" si="20"/>
        <v>0</v>
      </c>
      <c r="AR68" s="115">
        <f t="shared" si="20"/>
        <v>0</v>
      </c>
      <c r="AS68" s="115">
        <f t="shared" si="20"/>
        <v>0</v>
      </c>
      <c r="AT68" s="115">
        <f t="shared" si="20"/>
        <v>0</v>
      </c>
      <c r="AU68" s="115">
        <f t="shared" si="20"/>
        <v>0</v>
      </c>
      <c r="AV68" s="115">
        <f t="shared" si="20"/>
        <v>0</v>
      </c>
      <c r="AW68" s="115">
        <f t="shared" si="20"/>
        <v>0</v>
      </c>
      <c r="AX68" s="115">
        <f t="shared" si="20"/>
        <v>0</v>
      </c>
      <c r="AY68" s="115">
        <f t="shared" si="20"/>
        <v>0</v>
      </c>
    </row>
    <row r="69" spans="1:52" x14ac:dyDescent="0.2">
      <c r="A69" s="115"/>
      <c r="B69" s="170" t="s">
        <v>344</v>
      </c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2" x14ac:dyDescent="0.2">
      <c r="A70" s="115"/>
      <c r="B70" s="170" t="s">
        <v>345</v>
      </c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2" x14ac:dyDescent="0.2">
      <c r="A71" s="115"/>
      <c r="B71" s="170" t="s">
        <v>346</v>
      </c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2" x14ac:dyDescent="0.2">
      <c r="A72" s="115"/>
      <c r="B72" s="170" t="s">
        <v>347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348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349</v>
      </c>
      <c r="C74" s="115"/>
      <c r="D74" s="115">
        <v>1</v>
      </c>
      <c r="E74" s="115">
        <v>2</v>
      </c>
      <c r="F74" s="115">
        <v>3</v>
      </c>
      <c r="G74" s="115">
        <v>2</v>
      </c>
      <c r="H74" s="115">
        <v>1</v>
      </c>
      <c r="I74" s="115">
        <v>2</v>
      </c>
      <c r="J74" s="115">
        <v>1</v>
      </c>
      <c r="K74" s="115">
        <v>3</v>
      </c>
      <c r="L74" s="115">
        <v>1</v>
      </c>
      <c r="M74" s="115">
        <v>1</v>
      </c>
      <c r="N74" s="115">
        <v>1</v>
      </c>
      <c r="O74" s="115">
        <v>2</v>
      </c>
      <c r="P74" s="115">
        <v>2</v>
      </c>
      <c r="Q74" s="115">
        <v>1</v>
      </c>
      <c r="R74" s="115">
        <v>1</v>
      </c>
      <c r="S74" s="115">
        <v>1</v>
      </c>
      <c r="T74" s="115">
        <v>1</v>
      </c>
      <c r="U74" s="115">
        <v>3</v>
      </c>
      <c r="V74" s="115">
        <v>2</v>
      </c>
      <c r="W74" s="115">
        <v>1</v>
      </c>
      <c r="X74" s="115">
        <v>1</v>
      </c>
      <c r="Y74" s="115">
        <v>1</v>
      </c>
      <c r="Z74" s="115">
        <v>1</v>
      </c>
      <c r="AA74" s="115">
        <v>1</v>
      </c>
      <c r="AB74" s="115">
        <v>1</v>
      </c>
      <c r="AC74" s="115">
        <v>3</v>
      </c>
      <c r="AD74" s="115">
        <v>1</v>
      </c>
      <c r="AE74" s="115">
        <v>2</v>
      </c>
      <c r="AF74" s="115">
        <v>2</v>
      </c>
      <c r="AG74" s="115">
        <v>2</v>
      </c>
      <c r="AH74" s="115">
        <v>1</v>
      </c>
      <c r="AI74" s="115">
        <v>1</v>
      </c>
      <c r="AJ74" s="115">
        <v>1</v>
      </c>
      <c r="AK74" s="115">
        <v>2</v>
      </c>
      <c r="AL74" s="115">
        <v>2</v>
      </c>
      <c r="AM74" s="115">
        <v>1</v>
      </c>
      <c r="AN74" s="115">
        <v>2</v>
      </c>
      <c r="AO74" s="115">
        <v>1</v>
      </c>
      <c r="AP74" s="115">
        <v>2</v>
      </c>
      <c r="AQ74" s="115">
        <v>1</v>
      </c>
      <c r="AR74" s="115">
        <v>1</v>
      </c>
      <c r="AS74" s="115">
        <v>1</v>
      </c>
      <c r="AT74" s="115">
        <v>1</v>
      </c>
      <c r="AU74" s="115">
        <v>3</v>
      </c>
      <c r="AV74" s="115">
        <v>1</v>
      </c>
      <c r="AW74" s="115">
        <v>1</v>
      </c>
      <c r="AX74" s="115">
        <v>2</v>
      </c>
      <c r="AY74" s="115">
        <v>1</v>
      </c>
    </row>
    <row r="75" spans="1:52" x14ac:dyDescent="0.2">
      <c r="A75" s="115"/>
      <c r="B75" s="183" t="s">
        <v>350</v>
      </c>
      <c r="C75" s="115"/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15">
        <v>0</v>
      </c>
      <c r="M75" s="115">
        <v>0</v>
      </c>
      <c r="N75" s="115">
        <v>0</v>
      </c>
      <c r="O75" s="115">
        <v>0</v>
      </c>
      <c r="P75" s="115">
        <v>0</v>
      </c>
      <c r="Q75" s="115">
        <v>0</v>
      </c>
      <c r="R75" s="115">
        <v>0</v>
      </c>
      <c r="S75" s="115">
        <v>0</v>
      </c>
      <c r="T75" s="115">
        <v>0</v>
      </c>
      <c r="U75" s="115">
        <v>0</v>
      </c>
      <c r="V75" s="115">
        <v>0</v>
      </c>
      <c r="W75" s="115">
        <v>0</v>
      </c>
      <c r="X75" s="115">
        <v>0</v>
      </c>
      <c r="Y75" s="115">
        <v>0</v>
      </c>
      <c r="Z75" s="115">
        <v>0</v>
      </c>
      <c r="AA75" s="115">
        <v>0</v>
      </c>
      <c r="AB75" s="115">
        <v>0</v>
      </c>
      <c r="AC75" s="115">
        <v>0</v>
      </c>
      <c r="AD75" s="115">
        <v>0</v>
      </c>
      <c r="AE75" s="115">
        <v>0</v>
      </c>
      <c r="AF75" s="115">
        <v>0</v>
      </c>
      <c r="AG75" s="115">
        <v>0</v>
      </c>
      <c r="AH75" s="115">
        <v>0</v>
      </c>
      <c r="AI75" s="115">
        <v>0</v>
      </c>
      <c r="AJ75" s="115">
        <v>0</v>
      </c>
      <c r="AK75" s="115">
        <v>0</v>
      </c>
      <c r="AL75" s="115">
        <v>0</v>
      </c>
      <c r="AM75" s="115">
        <v>0</v>
      </c>
      <c r="AN75" s="115">
        <v>0</v>
      </c>
      <c r="AO75" s="115">
        <v>0</v>
      </c>
      <c r="AP75" s="115">
        <v>0</v>
      </c>
      <c r="AQ75" s="115">
        <v>0</v>
      </c>
      <c r="AR75" s="115">
        <v>0</v>
      </c>
      <c r="AS75" s="115">
        <v>0</v>
      </c>
      <c r="AT75" s="115">
        <v>0</v>
      </c>
      <c r="AU75" s="115">
        <v>0</v>
      </c>
      <c r="AV75" s="115">
        <v>0</v>
      </c>
      <c r="AW75" s="115">
        <v>0</v>
      </c>
      <c r="AX75" s="115">
        <v>0</v>
      </c>
      <c r="AY75" s="115">
        <v>0</v>
      </c>
      <c r="AZ75" s="105">
        <f>SUM($D$75:$AY$75)</f>
        <v>0</v>
      </c>
    </row>
    <row r="76" spans="1:52" x14ac:dyDescent="0.2">
      <c r="A76" s="130"/>
      <c r="B76" s="145" t="s">
        <v>351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76"/>
  <sheetViews>
    <sheetView workbookViewId="0">
      <pane xSplit="2" ySplit="6" topLeftCell="C18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5" customWidth="1"/>
    <col min="2" max="2" width="17.7109375" style="105" customWidth="1"/>
    <col min="3" max="51" width="9.140625" style="105"/>
    <col min="52" max="52" width="10.7109375" style="105" customWidth="1"/>
    <col min="53" max="16384" width="9.140625" style="105"/>
  </cols>
  <sheetData>
    <row r="1" spans="1:52" x14ac:dyDescent="0.2">
      <c r="A1" s="107" t="s">
        <v>118</v>
      </c>
    </row>
    <row r="2" spans="1:52" x14ac:dyDescent="0.2">
      <c r="A2" s="105" t="s">
        <v>303</v>
      </c>
      <c r="B2" s="112" t="s">
        <v>14</v>
      </c>
      <c r="E2" s="115"/>
    </row>
    <row r="3" spans="1:52" x14ac:dyDescent="0.2">
      <c r="A3" s="105" t="s">
        <v>286</v>
      </c>
      <c r="B3" s="112">
        <v>250</v>
      </c>
      <c r="E3" s="115"/>
    </row>
    <row r="4" spans="1:52" x14ac:dyDescent="0.2">
      <c r="A4" s="107"/>
      <c r="C4" s="116" t="s">
        <v>287</v>
      </c>
    </row>
    <row r="5" spans="1:52" x14ac:dyDescent="0.2">
      <c r="B5" s="111"/>
      <c r="C5" s="117">
        <v>0</v>
      </c>
      <c r="D5" s="117">
        <v>1</v>
      </c>
      <c r="E5" s="117">
        <v>2</v>
      </c>
      <c r="F5" s="117">
        <v>3</v>
      </c>
      <c r="G5" s="117">
        <v>4</v>
      </c>
      <c r="H5" s="117">
        <v>5</v>
      </c>
      <c r="I5" s="117">
        <v>6</v>
      </c>
      <c r="J5" s="117">
        <v>7</v>
      </c>
      <c r="K5" s="117">
        <v>8</v>
      </c>
      <c r="L5" s="117">
        <v>9</v>
      </c>
      <c r="M5" s="117">
        <v>10</v>
      </c>
      <c r="N5" s="117">
        <v>11</v>
      </c>
      <c r="O5" s="117">
        <v>12</v>
      </c>
      <c r="P5" s="117">
        <v>13</v>
      </c>
      <c r="Q5" s="117">
        <v>14</v>
      </c>
      <c r="R5" s="117">
        <v>15</v>
      </c>
      <c r="S5" s="117">
        <v>16</v>
      </c>
      <c r="T5" s="117">
        <v>17</v>
      </c>
      <c r="U5" s="117">
        <v>18</v>
      </c>
      <c r="V5" s="117">
        <v>19</v>
      </c>
      <c r="W5" s="117">
        <v>20</v>
      </c>
      <c r="X5" s="117">
        <v>21</v>
      </c>
      <c r="Y5" s="117">
        <v>22</v>
      </c>
      <c r="Z5" s="117">
        <v>23</v>
      </c>
      <c r="AA5" s="117">
        <v>24</v>
      </c>
      <c r="AB5" s="117">
        <v>25</v>
      </c>
      <c r="AC5" s="117">
        <v>26</v>
      </c>
      <c r="AD5" s="117">
        <v>27</v>
      </c>
      <c r="AE5" s="117">
        <v>28</v>
      </c>
      <c r="AF5" s="117">
        <v>29</v>
      </c>
      <c r="AG5" s="117">
        <v>30</v>
      </c>
      <c r="AH5" s="117">
        <v>31</v>
      </c>
      <c r="AI5" s="117">
        <v>32</v>
      </c>
      <c r="AJ5" s="117">
        <v>33</v>
      </c>
      <c r="AK5" s="117">
        <v>34</v>
      </c>
      <c r="AL5" s="117">
        <v>35</v>
      </c>
      <c r="AM5" s="117">
        <v>36</v>
      </c>
      <c r="AN5" s="117">
        <v>37</v>
      </c>
      <c r="AO5" s="117">
        <v>38</v>
      </c>
      <c r="AP5" s="117">
        <v>39</v>
      </c>
      <c r="AQ5" s="117">
        <v>40</v>
      </c>
      <c r="AR5" s="117">
        <v>41</v>
      </c>
      <c r="AS5" s="117">
        <v>42</v>
      </c>
      <c r="AT5" s="117">
        <v>43</v>
      </c>
      <c r="AU5" s="117">
        <v>44</v>
      </c>
      <c r="AV5" s="117">
        <v>45</v>
      </c>
      <c r="AW5" s="117">
        <v>46</v>
      </c>
      <c r="AX5" s="117">
        <v>47</v>
      </c>
      <c r="AY5" s="117">
        <v>48</v>
      </c>
    </row>
    <row r="6" spans="1:52" x14ac:dyDescent="0.2">
      <c r="A6" s="107" t="s">
        <v>304</v>
      </c>
      <c r="B6" s="119"/>
      <c r="C6" s="118" t="s">
        <v>288</v>
      </c>
      <c r="D6" s="117" t="s">
        <v>289</v>
      </c>
      <c r="E6" s="117" t="s">
        <v>289</v>
      </c>
      <c r="F6" s="117" t="s">
        <v>289</v>
      </c>
      <c r="G6" s="117" t="s">
        <v>289</v>
      </c>
      <c r="H6" s="117" t="s">
        <v>289</v>
      </c>
      <c r="I6" s="117" t="s">
        <v>289</v>
      </c>
      <c r="J6" s="117" t="s">
        <v>289</v>
      </c>
      <c r="K6" s="117" t="s">
        <v>289</v>
      </c>
      <c r="L6" s="117" t="s">
        <v>289</v>
      </c>
      <c r="M6" s="117" t="s">
        <v>289</v>
      </c>
      <c r="N6" s="117" t="s">
        <v>289</v>
      </c>
      <c r="O6" s="117" t="s">
        <v>289</v>
      </c>
      <c r="P6" s="117" t="s">
        <v>289</v>
      </c>
      <c r="Q6" s="117" t="s">
        <v>289</v>
      </c>
      <c r="R6" s="117" t="s">
        <v>289</v>
      </c>
      <c r="S6" s="117" t="s">
        <v>289</v>
      </c>
      <c r="T6" s="117" t="s">
        <v>289</v>
      </c>
      <c r="U6" s="117" t="s">
        <v>289</v>
      </c>
      <c r="V6" s="117" t="s">
        <v>289</v>
      </c>
      <c r="W6" s="117" t="s">
        <v>289</v>
      </c>
      <c r="X6" s="117" t="s">
        <v>289</v>
      </c>
      <c r="Y6" s="117" t="s">
        <v>289</v>
      </c>
      <c r="Z6" s="117" t="s">
        <v>289</v>
      </c>
      <c r="AA6" s="117" t="s">
        <v>289</v>
      </c>
      <c r="AB6" s="117" t="s">
        <v>289</v>
      </c>
      <c r="AC6" s="117" t="s">
        <v>289</v>
      </c>
      <c r="AD6" s="117" t="s">
        <v>289</v>
      </c>
      <c r="AE6" s="117" t="s">
        <v>289</v>
      </c>
      <c r="AF6" s="117" t="s">
        <v>289</v>
      </c>
      <c r="AG6" s="117" t="s">
        <v>289</v>
      </c>
      <c r="AH6" s="117" t="s">
        <v>289</v>
      </c>
      <c r="AI6" s="117" t="s">
        <v>289</v>
      </c>
      <c r="AJ6" s="117" t="s">
        <v>289</v>
      </c>
      <c r="AK6" s="117" t="s">
        <v>289</v>
      </c>
      <c r="AL6" s="117" t="s">
        <v>289</v>
      </c>
      <c r="AM6" s="117" t="s">
        <v>289</v>
      </c>
      <c r="AN6" s="117" t="s">
        <v>289</v>
      </c>
      <c r="AO6" s="117" t="s">
        <v>289</v>
      </c>
      <c r="AP6" s="117" t="s">
        <v>289</v>
      </c>
      <c r="AQ6" s="117" t="s">
        <v>289</v>
      </c>
      <c r="AR6" s="117" t="s">
        <v>289</v>
      </c>
      <c r="AS6" s="117" t="s">
        <v>289</v>
      </c>
      <c r="AT6" s="117" t="s">
        <v>289</v>
      </c>
      <c r="AU6" s="117" t="s">
        <v>289</v>
      </c>
      <c r="AV6" s="117" t="s">
        <v>289</v>
      </c>
      <c r="AW6" s="117" t="s">
        <v>289</v>
      </c>
      <c r="AX6" s="117" t="s">
        <v>289</v>
      </c>
      <c r="AY6" s="116" t="s">
        <v>290</v>
      </c>
      <c r="AZ6" s="147" t="s">
        <v>150</v>
      </c>
    </row>
    <row r="7" spans="1:52" x14ac:dyDescent="0.2">
      <c r="A7" s="120" t="s">
        <v>125</v>
      </c>
      <c r="B7" s="148">
        <v>1</v>
      </c>
      <c r="C7" s="149" t="s">
        <v>293</v>
      </c>
      <c r="D7" s="149">
        <v>180.72561899949471</v>
      </c>
      <c r="E7" s="149">
        <v>180.72561899949471</v>
      </c>
      <c r="F7" s="149">
        <v>180.72561899949471</v>
      </c>
      <c r="G7" s="149">
        <v>180.72561899949471</v>
      </c>
      <c r="H7" s="149">
        <v>162.65305709954524</v>
      </c>
      <c r="I7" s="149">
        <v>162.65305709954524</v>
      </c>
      <c r="J7" s="149">
        <v>162.65305709954524</v>
      </c>
      <c r="K7" s="149">
        <v>162.65305709954524</v>
      </c>
      <c r="L7" s="149">
        <v>180.72561899949471</v>
      </c>
      <c r="M7" s="149">
        <v>180.72561899949471</v>
      </c>
      <c r="N7" s="149">
        <v>180.72561899949471</v>
      </c>
      <c r="O7" s="149">
        <v>180.72561899949471</v>
      </c>
      <c r="P7" s="149">
        <v>180.72561899949471</v>
      </c>
      <c r="Q7" s="149">
        <v>180.72561899949471</v>
      </c>
      <c r="R7" s="149">
        <v>180.72561899949471</v>
      </c>
      <c r="S7" s="149">
        <v>180.72561899949471</v>
      </c>
      <c r="T7" s="149">
        <v>162.65305709954524</v>
      </c>
      <c r="U7" s="149">
        <v>162.65305709954524</v>
      </c>
      <c r="V7" s="149">
        <v>162.65305709954524</v>
      </c>
      <c r="W7" s="149">
        <v>162.65305709954524</v>
      </c>
      <c r="X7" s="149">
        <v>198.79818089944422</v>
      </c>
      <c r="Y7" s="149">
        <v>198.79818089944422</v>
      </c>
      <c r="Z7" s="149">
        <v>198.79818089944422</v>
      </c>
      <c r="AA7" s="149">
        <v>198.79818089944422</v>
      </c>
      <c r="AB7" s="149">
        <v>180.72561899949471</v>
      </c>
      <c r="AC7" s="149">
        <v>180.72561899949471</v>
      </c>
      <c r="AD7" s="149">
        <v>180.72561899949471</v>
      </c>
      <c r="AE7" s="149">
        <v>180.72561899949471</v>
      </c>
      <c r="AF7" s="149">
        <v>180.72561899949471</v>
      </c>
      <c r="AG7" s="149">
        <v>180.72561899949471</v>
      </c>
      <c r="AH7" s="149">
        <v>180.72561899949471</v>
      </c>
      <c r="AI7" s="149">
        <v>180.72561899949471</v>
      </c>
      <c r="AJ7" s="149">
        <v>162.65305709954524</v>
      </c>
      <c r="AK7" s="149">
        <v>162.65305709954524</v>
      </c>
      <c r="AL7" s="149">
        <v>162.65305709954524</v>
      </c>
      <c r="AM7" s="149">
        <v>162.65305709954524</v>
      </c>
      <c r="AN7" s="149">
        <v>180.72561899949471</v>
      </c>
      <c r="AO7" s="149">
        <v>180.72561899949471</v>
      </c>
      <c r="AP7" s="149">
        <v>180.72561899949471</v>
      </c>
      <c r="AQ7" s="149">
        <v>180.72561899949471</v>
      </c>
      <c r="AR7" s="149">
        <v>180.72561899949471</v>
      </c>
      <c r="AS7" s="149">
        <v>180.72561899949471</v>
      </c>
      <c r="AT7" s="149">
        <v>180.72561899949471</v>
      </c>
      <c r="AU7" s="149">
        <v>180.72561899949471</v>
      </c>
      <c r="AV7" s="149">
        <v>198.79818089944422</v>
      </c>
      <c r="AW7" s="149">
        <v>198.79818089944422</v>
      </c>
      <c r="AX7" s="149">
        <v>198.79818089944422</v>
      </c>
      <c r="AY7" s="149">
        <v>198.79818089944422</v>
      </c>
      <c r="AZ7" s="111"/>
    </row>
    <row r="8" spans="1:52" x14ac:dyDescent="0.2">
      <c r="A8" s="150"/>
      <c r="B8" s="151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2"/>
    </row>
    <row r="9" spans="1:52" x14ac:dyDescent="0.2">
      <c r="A9" s="107" t="s">
        <v>294</v>
      </c>
      <c r="B9" s="153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</row>
    <row r="10" spans="1:52" x14ac:dyDescent="0.2">
      <c r="A10" s="154" t="s">
        <v>125</v>
      </c>
      <c r="B10" s="155">
        <v>1</v>
      </c>
      <c r="C10" s="149" t="s">
        <v>293</v>
      </c>
      <c r="D10" s="149">
        <f t="shared" ref="D10:AY10" si="0">MAX(SUM(D$14:D$16)+D$7-$B$3,0)</f>
        <v>0</v>
      </c>
      <c r="E10" s="149">
        <f t="shared" si="0"/>
        <v>0</v>
      </c>
      <c r="F10" s="149">
        <f t="shared" si="0"/>
        <v>0</v>
      </c>
      <c r="G10" s="149">
        <f t="shared" si="0"/>
        <v>0</v>
      </c>
      <c r="H10" s="149">
        <f t="shared" si="0"/>
        <v>0</v>
      </c>
      <c r="I10" s="149">
        <f t="shared" si="0"/>
        <v>0</v>
      </c>
      <c r="J10" s="149">
        <f t="shared" si="0"/>
        <v>0</v>
      </c>
      <c r="K10" s="149">
        <f t="shared" si="0"/>
        <v>0</v>
      </c>
      <c r="L10" s="149">
        <f t="shared" si="0"/>
        <v>0</v>
      </c>
      <c r="M10" s="149">
        <f t="shared" si="0"/>
        <v>0</v>
      </c>
      <c r="N10" s="149">
        <f t="shared" si="0"/>
        <v>0</v>
      </c>
      <c r="O10" s="149">
        <f t="shared" si="0"/>
        <v>0</v>
      </c>
      <c r="P10" s="149">
        <f t="shared" si="0"/>
        <v>0</v>
      </c>
      <c r="Q10" s="149">
        <f t="shared" si="0"/>
        <v>0</v>
      </c>
      <c r="R10" s="149">
        <f t="shared" si="0"/>
        <v>0</v>
      </c>
      <c r="S10" s="149">
        <f t="shared" si="0"/>
        <v>0</v>
      </c>
      <c r="T10" s="149">
        <f t="shared" si="0"/>
        <v>0</v>
      </c>
      <c r="U10" s="149">
        <f t="shared" si="0"/>
        <v>0</v>
      </c>
      <c r="V10" s="149">
        <f t="shared" si="0"/>
        <v>0</v>
      </c>
      <c r="W10" s="149">
        <f t="shared" si="0"/>
        <v>0</v>
      </c>
      <c r="X10" s="149">
        <f t="shared" si="0"/>
        <v>0</v>
      </c>
      <c r="Y10" s="149">
        <f t="shared" si="0"/>
        <v>0</v>
      </c>
      <c r="Z10" s="149">
        <f t="shared" si="0"/>
        <v>0</v>
      </c>
      <c r="AA10" s="149">
        <f t="shared" si="0"/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93.378676099039922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9">
        <f t="shared" si="0"/>
        <v>0</v>
      </c>
      <c r="AQ10" s="149">
        <f t="shared" si="0"/>
        <v>0</v>
      </c>
      <c r="AR10" s="149">
        <f t="shared" si="0"/>
        <v>0</v>
      </c>
      <c r="AS10" s="149">
        <f t="shared" si="0"/>
        <v>0</v>
      </c>
      <c r="AT10" s="149">
        <f t="shared" si="0"/>
        <v>0</v>
      </c>
      <c r="AU10" s="149">
        <f t="shared" si="0"/>
        <v>0</v>
      </c>
      <c r="AV10" s="149">
        <f t="shared" si="0"/>
        <v>0</v>
      </c>
      <c r="AW10" s="149">
        <f t="shared" si="0"/>
        <v>0</v>
      </c>
      <c r="AX10" s="149">
        <f t="shared" si="0"/>
        <v>0</v>
      </c>
      <c r="AY10" s="149">
        <f t="shared" si="0"/>
        <v>0</v>
      </c>
      <c r="AZ10" s="156">
        <f>SUM($D10:$AY10)</f>
        <v>93.378676099039922</v>
      </c>
    </row>
    <row r="11" spans="1:52" x14ac:dyDescent="0.2">
      <c r="C11" s="115"/>
    </row>
    <row r="12" spans="1:52" x14ac:dyDescent="0.2">
      <c r="A12" s="157" t="s">
        <v>295</v>
      </c>
      <c r="B12" s="151"/>
      <c r="C12" s="115"/>
    </row>
    <row r="13" spans="1:52" x14ac:dyDescent="0.2">
      <c r="A13" s="127" t="s">
        <v>125</v>
      </c>
      <c r="B13" s="128">
        <v>1</v>
      </c>
      <c r="C13" s="129">
        <v>162.65305709954524</v>
      </c>
      <c r="D13" s="143">
        <f t="shared" ref="D13:AY13" si="1">D$7-D$10</f>
        <v>180.72561899949471</v>
      </c>
      <c r="E13" s="143">
        <f t="shared" si="1"/>
        <v>180.72561899949471</v>
      </c>
      <c r="F13" s="143">
        <f t="shared" si="1"/>
        <v>180.72561899949471</v>
      </c>
      <c r="G13" s="143">
        <f t="shared" si="1"/>
        <v>180.72561899949471</v>
      </c>
      <c r="H13" s="143">
        <f t="shared" si="1"/>
        <v>162.65305709954524</v>
      </c>
      <c r="I13" s="143">
        <f t="shared" si="1"/>
        <v>162.65305709954524</v>
      </c>
      <c r="J13" s="143">
        <f t="shared" si="1"/>
        <v>162.65305709954524</v>
      </c>
      <c r="K13" s="143">
        <f t="shared" si="1"/>
        <v>162.65305709954524</v>
      </c>
      <c r="L13" s="143">
        <f t="shared" si="1"/>
        <v>180.72561899949471</v>
      </c>
      <c r="M13" s="143">
        <f t="shared" si="1"/>
        <v>180.72561899949471</v>
      </c>
      <c r="N13" s="143">
        <f t="shared" si="1"/>
        <v>180.72561899949471</v>
      </c>
      <c r="O13" s="143">
        <f t="shared" si="1"/>
        <v>180.72561899949471</v>
      </c>
      <c r="P13" s="143">
        <f t="shared" si="1"/>
        <v>180.72561899949471</v>
      </c>
      <c r="Q13" s="143">
        <f t="shared" si="1"/>
        <v>180.72561899949471</v>
      </c>
      <c r="R13" s="143">
        <f t="shared" si="1"/>
        <v>180.72561899949471</v>
      </c>
      <c r="S13" s="143">
        <f t="shared" si="1"/>
        <v>180.72561899949471</v>
      </c>
      <c r="T13" s="143">
        <f t="shared" si="1"/>
        <v>162.65305709954524</v>
      </c>
      <c r="U13" s="143">
        <f t="shared" si="1"/>
        <v>162.65305709954524</v>
      </c>
      <c r="V13" s="143">
        <f t="shared" si="1"/>
        <v>162.65305709954524</v>
      </c>
      <c r="W13" s="143">
        <f t="shared" si="1"/>
        <v>162.65305709954524</v>
      </c>
      <c r="X13" s="143">
        <f t="shared" si="1"/>
        <v>198.79818089944422</v>
      </c>
      <c r="Y13" s="143">
        <f t="shared" si="1"/>
        <v>198.79818089944422</v>
      </c>
      <c r="Z13" s="143">
        <f t="shared" si="1"/>
        <v>198.79818089944422</v>
      </c>
      <c r="AA13" s="143">
        <f t="shared" si="1"/>
        <v>198.79818089944422</v>
      </c>
      <c r="AB13" s="143">
        <f t="shared" si="1"/>
        <v>180.72561899949471</v>
      </c>
      <c r="AC13" s="143">
        <f t="shared" si="1"/>
        <v>180.72561899949471</v>
      </c>
      <c r="AD13" s="143">
        <f t="shared" si="1"/>
        <v>180.72561899949471</v>
      </c>
      <c r="AE13" s="143">
        <f t="shared" si="1"/>
        <v>180.72561899949471</v>
      </c>
      <c r="AF13" s="143">
        <f t="shared" si="1"/>
        <v>180.72561899949471</v>
      </c>
      <c r="AG13" s="143">
        <f t="shared" si="1"/>
        <v>180.72561899949471</v>
      </c>
      <c r="AH13" s="143">
        <f t="shared" si="1"/>
        <v>180.72561899949471</v>
      </c>
      <c r="AI13" s="143">
        <f t="shared" si="1"/>
        <v>180.72561899949471</v>
      </c>
      <c r="AJ13" s="143">
        <f t="shared" si="1"/>
        <v>69.274381000505315</v>
      </c>
      <c r="AK13" s="143">
        <f t="shared" si="1"/>
        <v>162.65305709954524</v>
      </c>
      <c r="AL13" s="143">
        <f t="shared" si="1"/>
        <v>162.65305709954524</v>
      </c>
      <c r="AM13" s="143">
        <f t="shared" si="1"/>
        <v>162.65305709954524</v>
      </c>
      <c r="AN13" s="143">
        <f t="shared" si="1"/>
        <v>180.72561899949471</v>
      </c>
      <c r="AO13" s="143">
        <f t="shared" si="1"/>
        <v>180.72561899949471</v>
      </c>
      <c r="AP13" s="143">
        <f t="shared" si="1"/>
        <v>180.72561899949471</v>
      </c>
      <c r="AQ13" s="143">
        <f t="shared" si="1"/>
        <v>180.72561899949471</v>
      </c>
      <c r="AR13" s="143">
        <f t="shared" si="1"/>
        <v>180.72561899949471</v>
      </c>
      <c r="AS13" s="143">
        <f t="shared" si="1"/>
        <v>180.72561899949471</v>
      </c>
      <c r="AT13" s="143">
        <f t="shared" si="1"/>
        <v>180.72561899949471</v>
      </c>
      <c r="AU13" s="143">
        <f t="shared" si="1"/>
        <v>180.72561899949471</v>
      </c>
      <c r="AV13" s="143">
        <f t="shared" si="1"/>
        <v>198.79818089944422</v>
      </c>
      <c r="AW13" s="143">
        <f t="shared" si="1"/>
        <v>198.79818089944422</v>
      </c>
      <c r="AX13" s="143">
        <f t="shared" si="1"/>
        <v>198.79818089944422</v>
      </c>
      <c r="AY13" s="143">
        <f t="shared" si="1"/>
        <v>198.79818089944422</v>
      </c>
      <c r="AZ13" s="114"/>
    </row>
    <row r="14" spans="1:52" x14ac:dyDescent="0.2">
      <c r="A14" s="115"/>
      <c r="B14" s="125">
        <v>2</v>
      </c>
      <c r="C14" s="115">
        <v>0</v>
      </c>
      <c r="D14" s="111">
        <f>IF(C$20="Yes",C13,0)</f>
        <v>0</v>
      </c>
      <c r="E14" s="111">
        <f t="shared" ref="E14:AY17" si="2">IF(D$20="Yes",D13,0)</f>
        <v>0</v>
      </c>
      <c r="F14" s="111">
        <f t="shared" si="2"/>
        <v>0</v>
      </c>
      <c r="G14" s="111">
        <f t="shared" si="2"/>
        <v>0</v>
      </c>
      <c r="H14" s="111">
        <f t="shared" si="2"/>
        <v>0</v>
      </c>
      <c r="I14" s="111">
        <f t="shared" si="2"/>
        <v>0</v>
      </c>
      <c r="J14" s="111">
        <f t="shared" si="2"/>
        <v>0</v>
      </c>
      <c r="K14" s="111">
        <f t="shared" si="2"/>
        <v>0</v>
      </c>
      <c r="L14" s="111">
        <f t="shared" si="2"/>
        <v>0</v>
      </c>
      <c r="M14" s="111">
        <f t="shared" si="2"/>
        <v>0</v>
      </c>
      <c r="N14" s="111">
        <f t="shared" si="2"/>
        <v>0</v>
      </c>
      <c r="O14" s="111">
        <f t="shared" si="2"/>
        <v>0</v>
      </c>
      <c r="P14" s="111">
        <f t="shared" si="2"/>
        <v>0</v>
      </c>
      <c r="Q14" s="111">
        <f t="shared" si="2"/>
        <v>0</v>
      </c>
      <c r="R14" s="111">
        <f t="shared" si="2"/>
        <v>0</v>
      </c>
      <c r="S14" s="111">
        <f t="shared" si="2"/>
        <v>0</v>
      </c>
      <c r="T14" s="111">
        <f t="shared" si="2"/>
        <v>0</v>
      </c>
      <c r="U14" s="111">
        <f t="shared" si="2"/>
        <v>0</v>
      </c>
      <c r="V14" s="111">
        <f t="shared" si="2"/>
        <v>0</v>
      </c>
      <c r="W14" s="111">
        <f t="shared" si="2"/>
        <v>0</v>
      </c>
      <c r="X14" s="111">
        <f t="shared" si="2"/>
        <v>0</v>
      </c>
      <c r="Y14" s="111">
        <f t="shared" si="2"/>
        <v>0</v>
      </c>
      <c r="Z14" s="111">
        <f t="shared" si="2"/>
        <v>0</v>
      </c>
      <c r="AA14" s="111">
        <f t="shared" si="2"/>
        <v>0</v>
      </c>
      <c r="AB14" s="111">
        <f t="shared" si="2"/>
        <v>0</v>
      </c>
      <c r="AC14" s="111">
        <f t="shared" si="2"/>
        <v>0</v>
      </c>
      <c r="AD14" s="111">
        <f t="shared" si="2"/>
        <v>0</v>
      </c>
      <c r="AE14" s="111">
        <f t="shared" si="2"/>
        <v>0</v>
      </c>
      <c r="AF14" s="111">
        <f t="shared" si="2"/>
        <v>0</v>
      </c>
      <c r="AG14" s="111">
        <f t="shared" si="2"/>
        <v>0</v>
      </c>
      <c r="AH14" s="111">
        <f t="shared" si="2"/>
        <v>0</v>
      </c>
      <c r="AI14" s="111">
        <f t="shared" si="2"/>
        <v>0</v>
      </c>
      <c r="AJ14" s="111">
        <f t="shared" si="2"/>
        <v>180.72561899949471</v>
      </c>
      <c r="AK14" s="111">
        <f t="shared" si="2"/>
        <v>0</v>
      </c>
      <c r="AL14" s="111">
        <f t="shared" si="2"/>
        <v>0</v>
      </c>
      <c r="AM14" s="111">
        <f t="shared" si="2"/>
        <v>0</v>
      </c>
      <c r="AN14" s="111">
        <f t="shared" si="2"/>
        <v>0</v>
      </c>
      <c r="AO14" s="111">
        <f t="shared" si="2"/>
        <v>0</v>
      </c>
      <c r="AP14" s="111">
        <f t="shared" si="2"/>
        <v>0</v>
      </c>
      <c r="AQ14" s="111">
        <f t="shared" si="2"/>
        <v>0</v>
      </c>
      <c r="AR14" s="111">
        <f t="shared" si="2"/>
        <v>0</v>
      </c>
      <c r="AS14" s="111">
        <f t="shared" si="2"/>
        <v>0</v>
      </c>
      <c r="AT14" s="111">
        <f t="shared" si="2"/>
        <v>0</v>
      </c>
      <c r="AU14" s="111">
        <f t="shared" si="2"/>
        <v>0</v>
      </c>
      <c r="AV14" s="111">
        <f t="shared" si="2"/>
        <v>0</v>
      </c>
      <c r="AW14" s="111">
        <f t="shared" si="2"/>
        <v>0</v>
      </c>
      <c r="AX14" s="111">
        <f t="shared" si="2"/>
        <v>0</v>
      </c>
      <c r="AY14" s="111">
        <f t="shared" si="2"/>
        <v>0</v>
      </c>
      <c r="AZ14" s="114"/>
    </row>
    <row r="15" spans="1:52" x14ac:dyDescent="0.2">
      <c r="A15" s="115"/>
      <c r="B15" s="132">
        <v>3</v>
      </c>
      <c r="C15" s="115">
        <v>0</v>
      </c>
      <c r="D15" s="111">
        <f>IF(C$20="Yes",C14,0)</f>
        <v>0</v>
      </c>
      <c r="E15" s="111">
        <f t="shared" si="2"/>
        <v>0</v>
      </c>
      <c r="F15" s="111">
        <f t="shared" si="2"/>
        <v>0</v>
      </c>
      <c r="G15" s="111">
        <f t="shared" si="2"/>
        <v>0</v>
      </c>
      <c r="H15" s="111">
        <f t="shared" si="2"/>
        <v>0</v>
      </c>
      <c r="I15" s="111">
        <f t="shared" si="2"/>
        <v>0</v>
      </c>
      <c r="J15" s="111">
        <f t="shared" si="2"/>
        <v>0</v>
      </c>
      <c r="K15" s="111">
        <f t="shared" si="2"/>
        <v>0</v>
      </c>
      <c r="L15" s="111">
        <f t="shared" si="2"/>
        <v>0</v>
      </c>
      <c r="M15" s="111">
        <f t="shared" si="2"/>
        <v>0</v>
      </c>
      <c r="N15" s="111">
        <f t="shared" si="2"/>
        <v>0</v>
      </c>
      <c r="O15" s="111">
        <f t="shared" si="2"/>
        <v>0</v>
      </c>
      <c r="P15" s="111">
        <f t="shared" si="2"/>
        <v>0</v>
      </c>
      <c r="Q15" s="111">
        <f t="shared" si="2"/>
        <v>0</v>
      </c>
      <c r="R15" s="111">
        <f t="shared" si="2"/>
        <v>0</v>
      </c>
      <c r="S15" s="111">
        <f t="shared" si="2"/>
        <v>0</v>
      </c>
      <c r="T15" s="111">
        <f t="shared" si="2"/>
        <v>0</v>
      </c>
      <c r="U15" s="111">
        <f t="shared" si="2"/>
        <v>0</v>
      </c>
      <c r="V15" s="111">
        <f t="shared" si="2"/>
        <v>0</v>
      </c>
      <c r="W15" s="111">
        <f t="shared" si="2"/>
        <v>0</v>
      </c>
      <c r="X15" s="111">
        <f t="shared" si="2"/>
        <v>0</v>
      </c>
      <c r="Y15" s="111">
        <f t="shared" si="2"/>
        <v>0</v>
      </c>
      <c r="Z15" s="111">
        <f t="shared" si="2"/>
        <v>0</v>
      </c>
      <c r="AA15" s="111">
        <f t="shared" si="2"/>
        <v>0</v>
      </c>
      <c r="AB15" s="111">
        <f t="shared" si="2"/>
        <v>0</v>
      </c>
      <c r="AC15" s="111">
        <f t="shared" si="2"/>
        <v>0</v>
      </c>
      <c r="AD15" s="111">
        <f t="shared" si="2"/>
        <v>0</v>
      </c>
      <c r="AE15" s="111">
        <f t="shared" si="2"/>
        <v>0</v>
      </c>
      <c r="AF15" s="111">
        <f t="shared" si="2"/>
        <v>0</v>
      </c>
      <c r="AG15" s="111">
        <f t="shared" si="2"/>
        <v>0</v>
      </c>
      <c r="AH15" s="111">
        <f t="shared" si="2"/>
        <v>0</v>
      </c>
      <c r="AI15" s="111">
        <f t="shared" si="2"/>
        <v>0</v>
      </c>
      <c r="AJ15" s="111">
        <f t="shared" si="2"/>
        <v>0</v>
      </c>
      <c r="AK15" s="111">
        <f t="shared" si="2"/>
        <v>0</v>
      </c>
      <c r="AL15" s="111">
        <f t="shared" si="2"/>
        <v>0</v>
      </c>
      <c r="AM15" s="111">
        <f t="shared" si="2"/>
        <v>0</v>
      </c>
      <c r="AN15" s="111">
        <f t="shared" si="2"/>
        <v>0</v>
      </c>
      <c r="AO15" s="111">
        <f t="shared" si="2"/>
        <v>0</v>
      </c>
      <c r="AP15" s="111">
        <f t="shared" si="2"/>
        <v>0</v>
      </c>
      <c r="AQ15" s="111">
        <f t="shared" si="2"/>
        <v>0</v>
      </c>
      <c r="AR15" s="111">
        <f t="shared" si="2"/>
        <v>0</v>
      </c>
      <c r="AS15" s="111">
        <f t="shared" si="2"/>
        <v>0</v>
      </c>
      <c r="AT15" s="111">
        <f t="shared" si="2"/>
        <v>0</v>
      </c>
      <c r="AU15" s="111">
        <f t="shared" si="2"/>
        <v>0</v>
      </c>
      <c r="AV15" s="111">
        <f t="shared" si="2"/>
        <v>0</v>
      </c>
      <c r="AW15" s="111">
        <f t="shared" si="2"/>
        <v>0</v>
      </c>
      <c r="AX15" s="111">
        <f t="shared" si="2"/>
        <v>0</v>
      </c>
      <c r="AY15" s="111">
        <f t="shared" si="2"/>
        <v>0</v>
      </c>
      <c r="AZ15" s="114"/>
    </row>
    <row r="16" spans="1:52" x14ac:dyDescent="0.2">
      <c r="A16" s="115"/>
      <c r="B16" s="135">
        <v>4</v>
      </c>
      <c r="C16" s="115">
        <v>0</v>
      </c>
      <c r="D16" s="111">
        <f>IF(C$20="Yes",C15,0)</f>
        <v>0</v>
      </c>
      <c r="E16" s="111">
        <f t="shared" si="2"/>
        <v>0</v>
      </c>
      <c r="F16" s="111">
        <f t="shared" si="2"/>
        <v>0</v>
      </c>
      <c r="G16" s="111">
        <f t="shared" si="2"/>
        <v>0</v>
      </c>
      <c r="H16" s="111">
        <f t="shared" si="2"/>
        <v>0</v>
      </c>
      <c r="I16" s="111">
        <f t="shared" si="2"/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1">
        <f t="shared" si="2"/>
        <v>0</v>
      </c>
      <c r="S16" s="111">
        <f t="shared" si="2"/>
        <v>0</v>
      </c>
      <c r="T16" s="111">
        <f t="shared" si="2"/>
        <v>0</v>
      </c>
      <c r="U16" s="111">
        <f t="shared" si="2"/>
        <v>0</v>
      </c>
      <c r="V16" s="111">
        <f t="shared" si="2"/>
        <v>0</v>
      </c>
      <c r="W16" s="111">
        <f t="shared" si="2"/>
        <v>0</v>
      </c>
      <c r="X16" s="111">
        <f t="shared" si="2"/>
        <v>0</v>
      </c>
      <c r="Y16" s="111">
        <f t="shared" si="2"/>
        <v>0</v>
      </c>
      <c r="Z16" s="111">
        <f t="shared" si="2"/>
        <v>0</v>
      </c>
      <c r="AA16" s="111">
        <f t="shared" si="2"/>
        <v>0</v>
      </c>
      <c r="AB16" s="111">
        <f t="shared" si="2"/>
        <v>0</v>
      </c>
      <c r="AC16" s="111">
        <f t="shared" si="2"/>
        <v>0</v>
      </c>
      <c r="AD16" s="111">
        <f t="shared" si="2"/>
        <v>0</v>
      </c>
      <c r="AE16" s="111">
        <f t="shared" si="2"/>
        <v>0</v>
      </c>
      <c r="AF16" s="111">
        <f t="shared" si="2"/>
        <v>0</v>
      </c>
      <c r="AG16" s="111">
        <f t="shared" si="2"/>
        <v>0</v>
      </c>
      <c r="AH16" s="111">
        <f t="shared" si="2"/>
        <v>0</v>
      </c>
      <c r="AI16" s="111">
        <f t="shared" si="2"/>
        <v>0</v>
      </c>
      <c r="AJ16" s="111">
        <f t="shared" si="2"/>
        <v>0</v>
      </c>
      <c r="AK16" s="111">
        <f t="shared" si="2"/>
        <v>0</v>
      </c>
      <c r="AL16" s="111">
        <f t="shared" si="2"/>
        <v>0</v>
      </c>
      <c r="AM16" s="111">
        <f t="shared" si="2"/>
        <v>0</v>
      </c>
      <c r="AN16" s="111">
        <f t="shared" si="2"/>
        <v>0</v>
      </c>
      <c r="AO16" s="111">
        <f t="shared" si="2"/>
        <v>0</v>
      </c>
      <c r="AP16" s="111">
        <f t="shared" si="2"/>
        <v>0</v>
      </c>
      <c r="AQ16" s="111">
        <f t="shared" si="2"/>
        <v>0</v>
      </c>
      <c r="AR16" s="111">
        <f t="shared" si="2"/>
        <v>0</v>
      </c>
      <c r="AS16" s="111">
        <f t="shared" si="2"/>
        <v>0</v>
      </c>
      <c r="AT16" s="111">
        <f t="shared" si="2"/>
        <v>0</v>
      </c>
      <c r="AU16" s="111">
        <f t="shared" si="2"/>
        <v>0</v>
      </c>
      <c r="AV16" s="111">
        <f t="shared" si="2"/>
        <v>0</v>
      </c>
      <c r="AW16" s="111">
        <f t="shared" si="2"/>
        <v>0</v>
      </c>
      <c r="AX16" s="111">
        <f t="shared" si="2"/>
        <v>0</v>
      </c>
      <c r="AY16" s="111">
        <f t="shared" si="2"/>
        <v>0</v>
      </c>
      <c r="AZ16" s="133"/>
    </row>
    <row r="17" spans="1:52" x14ac:dyDescent="0.2">
      <c r="A17" s="130"/>
      <c r="B17" s="137" t="s">
        <v>296</v>
      </c>
      <c r="C17" s="130">
        <v>0</v>
      </c>
      <c r="D17" s="119">
        <f>IF(C$20="Yes",C16,0)</f>
        <v>0</v>
      </c>
      <c r="E17" s="119">
        <f t="shared" si="2"/>
        <v>0</v>
      </c>
      <c r="F17" s="119">
        <f t="shared" si="2"/>
        <v>0</v>
      </c>
      <c r="G17" s="119">
        <f t="shared" si="2"/>
        <v>0</v>
      </c>
      <c r="H17" s="119">
        <f t="shared" si="2"/>
        <v>0</v>
      </c>
      <c r="I17" s="119">
        <f t="shared" si="2"/>
        <v>0</v>
      </c>
      <c r="J17" s="119">
        <f t="shared" si="2"/>
        <v>0</v>
      </c>
      <c r="K17" s="119">
        <f t="shared" si="2"/>
        <v>0</v>
      </c>
      <c r="L17" s="119">
        <f t="shared" si="2"/>
        <v>0</v>
      </c>
      <c r="M17" s="119">
        <f t="shared" si="2"/>
        <v>0</v>
      </c>
      <c r="N17" s="119">
        <f t="shared" si="2"/>
        <v>0</v>
      </c>
      <c r="O17" s="119">
        <f t="shared" si="2"/>
        <v>0</v>
      </c>
      <c r="P17" s="119">
        <f t="shared" si="2"/>
        <v>0</v>
      </c>
      <c r="Q17" s="119">
        <f t="shared" si="2"/>
        <v>0</v>
      </c>
      <c r="R17" s="119">
        <f t="shared" si="2"/>
        <v>0</v>
      </c>
      <c r="S17" s="119">
        <f t="shared" si="2"/>
        <v>0</v>
      </c>
      <c r="T17" s="119">
        <f t="shared" si="2"/>
        <v>0</v>
      </c>
      <c r="U17" s="119">
        <f t="shared" si="2"/>
        <v>0</v>
      </c>
      <c r="V17" s="119">
        <f t="shared" si="2"/>
        <v>0</v>
      </c>
      <c r="W17" s="119">
        <f t="shared" si="2"/>
        <v>0</v>
      </c>
      <c r="X17" s="119">
        <f t="shared" si="2"/>
        <v>0</v>
      </c>
      <c r="Y17" s="119">
        <f t="shared" si="2"/>
        <v>0</v>
      </c>
      <c r="Z17" s="119">
        <f t="shared" si="2"/>
        <v>0</v>
      </c>
      <c r="AA17" s="119">
        <f t="shared" si="2"/>
        <v>0</v>
      </c>
      <c r="AB17" s="119">
        <f t="shared" si="2"/>
        <v>0</v>
      </c>
      <c r="AC17" s="119">
        <f t="shared" si="2"/>
        <v>0</v>
      </c>
      <c r="AD17" s="119">
        <f t="shared" si="2"/>
        <v>0</v>
      </c>
      <c r="AE17" s="119">
        <f t="shared" si="2"/>
        <v>0</v>
      </c>
      <c r="AF17" s="119">
        <f t="shared" si="2"/>
        <v>0</v>
      </c>
      <c r="AG17" s="119">
        <f t="shared" si="2"/>
        <v>0</v>
      </c>
      <c r="AH17" s="119">
        <f t="shared" si="2"/>
        <v>0</v>
      </c>
      <c r="AI17" s="119">
        <f t="shared" si="2"/>
        <v>0</v>
      </c>
      <c r="AJ17" s="119">
        <f t="shared" si="2"/>
        <v>0</v>
      </c>
      <c r="AK17" s="119">
        <f t="shared" si="2"/>
        <v>0</v>
      </c>
      <c r="AL17" s="119">
        <f t="shared" si="2"/>
        <v>0</v>
      </c>
      <c r="AM17" s="119">
        <f t="shared" si="2"/>
        <v>0</v>
      </c>
      <c r="AN17" s="119">
        <f t="shared" si="2"/>
        <v>0</v>
      </c>
      <c r="AO17" s="119">
        <f t="shared" si="2"/>
        <v>0</v>
      </c>
      <c r="AP17" s="119">
        <f t="shared" si="2"/>
        <v>0</v>
      </c>
      <c r="AQ17" s="119">
        <f t="shared" si="2"/>
        <v>0</v>
      </c>
      <c r="AR17" s="119">
        <f t="shared" si="2"/>
        <v>0</v>
      </c>
      <c r="AS17" s="119">
        <f t="shared" si="2"/>
        <v>0</v>
      </c>
      <c r="AT17" s="119">
        <f t="shared" si="2"/>
        <v>0</v>
      </c>
      <c r="AU17" s="119">
        <f t="shared" si="2"/>
        <v>0</v>
      </c>
      <c r="AV17" s="119">
        <f t="shared" si="2"/>
        <v>0</v>
      </c>
      <c r="AW17" s="119">
        <f t="shared" si="2"/>
        <v>0</v>
      </c>
      <c r="AX17" s="119">
        <f t="shared" si="2"/>
        <v>0</v>
      </c>
      <c r="AY17" s="119">
        <f t="shared" si="2"/>
        <v>0</v>
      </c>
      <c r="AZ17" s="156">
        <f>SUM($D$17:$AY$17)</f>
        <v>0</v>
      </c>
    </row>
    <row r="18" spans="1:52" x14ac:dyDescent="0.2">
      <c r="A18" s="111"/>
      <c r="B18" s="15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11"/>
    </row>
    <row r="19" spans="1:52" x14ac:dyDescent="0.2">
      <c r="A19" s="107" t="s">
        <v>116</v>
      </c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</row>
    <row r="20" spans="1:52" s="115" customFormat="1" x14ac:dyDescent="0.2">
      <c r="A20" s="120" t="s">
        <v>305</v>
      </c>
      <c r="B20" s="159" t="s">
        <v>306</v>
      </c>
      <c r="C20" s="122"/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 t="s">
        <v>339</v>
      </c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12"/>
    </row>
    <row r="21" spans="1:52" s="115" customFormat="1" x14ac:dyDescent="0.2">
      <c r="A21" s="160" t="s">
        <v>133</v>
      </c>
      <c r="B21" s="161">
        <f>shipping_manufacturing!$I$19/100</f>
        <v>0.59890109890109888</v>
      </c>
      <c r="C21" s="161" t="s">
        <v>293</v>
      </c>
      <c r="D21" s="111">
        <f>IF(C$20="Yes",0,SUM(C$13:C$16)*$B$21)</f>
        <v>97.413094636540819</v>
      </c>
      <c r="E21" s="111">
        <f t="shared" ref="E21:AY21" si="3">IF(D$20="Yes",0,SUM(D$13:D$16)*$B$21)</f>
        <v>108.2367718183787</v>
      </c>
      <c r="F21" s="111">
        <f t="shared" si="3"/>
        <v>108.2367718183787</v>
      </c>
      <c r="G21" s="111">
        <f t="shared" si="3"/>
        <v>108.2367718183787</v>
      </c>
      <c r="H21" s="111">
        <f t="shared" si="3"/>
        <v>108.2367718183787</v>
      </c>
      <c r="I21" s="111">
        <f t="shared" si="3"/>
        <v>97.413094636540819</v>
      </c>
      <c r="J21" s="111">
        <f t="shared" si="3"/>
        <v>97.413094636540819</v>
      </c>
      <c r="K21" s="111">
        <f t="shared" si="3"/>
        <v>97.413094636540819</v>
      </c>
      <c r="L21" s="111">
        <f t="shared" si="3"/>
        <v>97.413094636540819</v>
      </c>
      <c r="M21" s="111">
        <f t="shared" si="3"/>
        <v>108.2367718183787</v>
      </c>
      <c r="N21" s="111">
        <f t="shared" si="3"/>
        <v>108.2367718183787</v>
      </c>
      <c r="O21" s="111">
        <f t="shared" si="3"/>
        <v>108.2367718183787</v>
      </c>
      <c r="P21" s="111">
        <f t="shared" si="3"/>
        <v>108.2367718183787</v>
      </c>
      <c r="Q21" s="111">
        <f t="shared" si="3"/>
        <v>108.2367718183787</v>
      </c>
      <c r="R21" s="111">
        <f t="shared" si="3"/>
        <v>108.2367718183787</v>
      </c>
      <c r="S21" s="111">
        <f t="shared" si="3"/>
        <v>108.2367718183787</v>
      </c>
      <c r="T21" s="111">
        <f t="shared" si="3"/>
        <v>108.2367718183787</v>
      </c>
      <c r="U21" s="111">
        <f t="shared" si="3"/>
        <v>97.413094636540819</v>
      </c>
      <c r="V21" s="111">
        <f t="shared" si="3"/>
        <v>97.413094636540819</v>
      </c>
      <c r="W21" s="111">
        <f t="shared" si="3"/>
        <v>97.413094636540819</v>
      </c>
      <c r="X21" s="111">
        <f t="shared" si="3"/>
        <v>97.413094636540819</v>
      </c>
      <c r="Y21" s="111">
        <f t="shared" si="3"/>
        <v>119.06044900021659</v>
      </c>
      <c r="Z21" s="111">
        <f t="shared" si="3"/>
        <v>119.06044900021659</v>
      </c>
      <c r="AA21" s="111">
        <f t="shared" si="3"/>
        <v>119.06044900021659</v>
      </c>
      <c r="AB21" s="111">
        <f t="shared" si="3"/>
        <v>119.06044900021659</v>
      </c>
      <c r="AC21" s="111">
        <f t="shared" si="3"/>
        <v>108.2367718183787</v>
      </c>
      <c r="AD21" s="111">
        <f t="shared" si="3"/>
        <v>108.2367718183787</v>
      </c>
      <c r="AE21" s="111">
        <f t="shared" si="3"/>
        <v>108.2367718183787</v>
      </c>
      <c r="AF21" s="111">
        <f t="shared" si="3"/>
        <v>108.2367718183787</v>
      </c>
      <c r="AG21" s="111">
        <f t="shared" si="3"/>
        <v>108.2367718183787</v>
      </c>
      <c r="AH21" s="111">
        <f t="shared" si="3"/>
        <v>108.2367718183787</v>
      </c>
      <c r="AI21" s="111">
        <f t="shared" si="3"/>
        <v>108.2367718183787</v>
      </c>
      <c r="AJ21" s="111">
        <f t="shared" si="3"/>
        <v>0</v>
      </c>
      <c r="AK21" s="111">
        <f t="shared" si="3"/>
        <v>149.72527472527474</v>
      </c>
      <c r="AL21" s="111">
        <f t="shared" si="3"/>
        <v>97.413094636540819</v>
      </c>
      <c r="AM21" s="111">
        <f t="shared" si="3"/>
        <v>97.413094636540819</v>
      </c>
      <c r="AN21" s="111">
        <f t="shared" si="3"/>
        <v>97.413094636540819</v>
      </c>
      <c r="AO21" s="111">
        <f t="shared" si="3"/>
        <v>108.2367718183787</v>
      </c>
      <c r="AP21" s="111">
        <f t="shared" si="3"/>
        <v>108.2367718183787</v>
      </c>
      <c r="AQ21" s="111">
        <f t="shared" si="3"/>
        <v>108.2367718183787</v>
      </c>
      <c r="AR21" s="111">
        <f t="shared" si="3"/>
        <v>108.2367718183787</v>
      </c>
      <c r="AS21" s="111">
        <f t="shared" si="3"/>
        <v>108.2367718183787</v>
      </c>
      <c r="AT21" s="111">
        <f t="shared" si="3"/>
        <v>108.2367718183787</v>
      </c>
      <c r="AU21" s="111">
        <f t="shared" si="3"/>
        <v>108.2367718183787</v>
      </c>
      <c r="AV21" s="111">
        <f t="shared" si="3"/>
        <v>108.2367718183787</v>
      </c>
      <c r="AW21" s="111">
        <f t="shared" si="3"/>
        <v>119.06044900021659</v>
      </c>
      <c r="AX21" s="111">
        <f t="shared" si="3"/>
        <v>119.06044900021659</v>
      </c>
      <c r="AY21" s="111">
        <f t="shared" si="3"/>
        <v>119.06044900021659</v>
      </c>
      <c r="AZ21" s="162">
        <f>SUM($D21:$AY21)</f>
        <v>5074.4983924615053</v>
      </c>
    </row>
    <row r="22" spans="1:52" s="115" customFormat="1" x14ac:dyDescent="0.2">
      <c r="A22" s="163" t="s">
        <v>123</v>
      </c>
      <c r="B22" s="164">
        <f>1-$B$21</f>
        <v>0.40109890109890112</v>
      </c>
      <c r="C22" s="164" t="s">
        <v>293</v>
      </c>
      <c r="D22" s="119">
        <f>IF(C$20="Yes",0,SUM(C$13:C$16)*$B$22)</f>
        <v>65.239962463004417</v>
      </c>
      <c r="E22" s="119">
        <f t="shared" ref="E22:AY22" si="4">IF(D$20="Yes",0,SUM(D$13:D$16)*$B$22)</f>
        <v>72.488847181116014</v>
      </c>
      <c r="F22" s="119">
        <f t="shared" si="4"/>
        <v>72.488847181116014</v>
      </c>
      <c r="G22" s="119">
        <f t="shared" si="4"/>
        <v>72.488847181116014</v>
      </c>
      <c r="H22" s="119">
        <f t="shared" si="4"/>
        <v>72.488847181116014</v>
      </c>
      <c r="I22" s="119">
        <f t="shared" si="4"/>
        <v>65.239962463004417</v>
      </c>
      <c r="J22" s="119">
        <f t="shared" si="4"/>
        <v>65.239962463004417</v>
      </c>
      <c r="K22" s="119">
        <f t="shared" si="4"/>
        <v>65.239962463004417</v>
      </c>
      <c r="L22" s="119">
        <f t="shared" si="4"/>
        <v>65.239962463004417</v>
      </c>
      <c r="M22" s="119">
        <f t="shared" si="4"/>
        <v>72.488847181116014</v>
      </c>
      <c r="N22" s="119">
        <f t="shared" si="4"/>
        <v>72.488847181116014</v>
      </c>
      <c r="O22" s="119">
        <f t="shared" si="4"/>
        <v>72.488847181116014</v>
      </c>
      <c r="P22" s="119">
        <f t="shared" si="4"/>
        <v>72.488847181116014</v>
      </c>
      <c r="Q22" s="119">
        <f t="shared" si="4"/>
        <v>72.488847181116014</v>
      </c>
      <c r="R22" s="119">
        <f t="shared" si="4"/>
        <v>72.488847181116014</v>
      </c>
      <c r="S22" s="119">
        <f t="shared" si="4"/>
        <v>72.488847181116014</v>
      </c>
      <c r="T22" s="119">
        <f t="shared" si="4"/>
        <v>72.488847181116014</v>
      </c>
      <c r="U22" s="119">
        <f t="shared" si="4"/>
        <v>65.239962463004417</v>
      </c>
      <c r="V22" s="119">
        <f t="shared" si="4"/>
        <v>65.239962463004417</v>
      </c>
      <c r="W22" s="119">
        <f t="shared" si="4"/>
        <v>65.239962463004417</v>
      </c>
      <c r="X22" s="119">
        <f t="shared" si="4"/>
        <v>65.239962463004417</v>
      </c>
      <c r="Y22" s="119">
        <f t="shared" si="4"/>
        <v>79.737731899227626</v>
      </c>
      <c r="Z22" s="119">
        <f t="shared" si="4"/>
        <v>79.737731899227626</v>
      </c>
      <c r="AA22" s="119">
        <f t="shared" si="4"/>
        <v>79.737731899227626</v>
      </c>
      <c r="AB22" s="119">
        <f t="shared" si="4"/>
        <v>79.737731899227626</v>
      </c>
      <c r="AC22" s="119">
        <f t="shared" si="4"/>
        <v>72.488847181116014</v>
      </c>
      <c r="AD22" s="119">
        <f t="shared" si="4"/>
        <v>72.488847181116014</v>
      </c>
      <c r="AE22" s="119">
        <f t="shared" si="4"/>
        <v>72.488847181116014</v>
      </c>
      <c r="AF22" s="119">
        <f t="shared" si="4"/>
        <v>72.488847181116014</v>
      </c>
      <c r="AG22" s="119">
        <f t="shared" si="4"/>
        <v>72.488847181116014</v>
      </c>
      <c r="AH22" s="119">
        <f t="shared" si="4"/>
        <v>72.488847181116014</v>
      </c>
      <c r="AI22" s="119">
        <f t="shared" si="4"/>
        <v>72.488847181116014</v>
      </c>
      <c r="AJ22" s="119">
        <f t="shared" si="4"/>
        <v>0</v>
      </c>
      <c r="AK22" s="119">
        <f t="shared" si="4"/>
        <v>100.27472527472528</v>
      </c>
      <c r="AL22" s="119">
        <f t="shared" si="4"/>
        <v>65.239962463004417</v>
      </c>
      <c r="AM22" s="119">
        <f t="shared" si="4"/>
        <v>65.239962463004417</v>
      </c>
      <c r="AN22" s="119">
        <f t="shared" si="4"/>
        <v>65.239962463004417</v>
      </c>
      <c r="AO22" s="119">
        <f t="shared" si="4"/>
        <v>72.488847181116014</v>
      </c>
      <c r="AP22" s="119">
        <f t="shared" si="4"/>
        <v>72.488847181116014</v>
      </c>
      <c r="AQ22" s="119">
        <f t="shared" si="4"/>
        <v>72.488847181116014</v>
      </c>
      <c r="AR22" s="119">
        <f t="shared" si="4"/>
        <v>72.488847181116014</v>
      </c>
      <c r="AS22" s="119">
        <f t="shared" si="4"/>
        <v>72.488847181116014</v>
      </c>
      <c r="AT22" s="119">
        <f t="shared" si="4"/>
        <v>72.488847181116014</v>
      </c>
      <c r="AU22" s="119">
        <f t="shared" si="4"/>
        <v>72.488847181116014</v>
      </c>
      <c r="AV22" s="119">
        <f t="shared" si="4"/>
        <v>72.488847181116014</v>
      </c>
      <c r="AW22" s="119">
        <f t="shared" si="4"/>
        <v>79.737731899227626</v>
      </c>
      <c r="AX22" s="119">
        <f t="shared" si="4"/>
        <v>79.737731899227626</v>
      </c>
      <c r="AY22" s="119">
        <f t="shared" si="4"/>
        <v>79.737731899227626</v>
      </c>
      <c r="AZ22" s="146">
        <f t="shared" ref="AZ22:AZ30" si="5">SUM($D22:$AY22)</f>
        <v>3398.5172720155019</v>
      </c>
    </row>
    <row r="23" spans="1:52" x14ac:dyDescent="0.2">
      <c r="A23" s="165" t="s">
        <v>307</v>
      </c>
      <c r="B23" s="129">
        <v>2000</v>
      </c>
      <c r="C23" s="105" t="s">
        <v>293</v>
      </c>
      <c r="D23" s="105">
        <f>D$21*$B$23</f>
        <v>194826.18927308163</v>
      </c>
      <c r="E23" s="105">
        <f t="shared" ref="E23:AY23" si="6">E$21*$B$23</f>
        <v>216473.54363675739</v>
      </c>
      <c r="F23" s="105">
        <f t="shared" si="6"/>
        <v>216473.54363675739</v>
      </c>
      <c r="G23" s="105">
        <f t="shared" si="6"/>
        <v>216473.54363675739</v>
      </c>
      <c r="H23" s="105">
        <f t="shared" si="6"/>
        <v>216473.54363675739</v>
      </c>
      <c r="I23" s="105">
        <f t="shared" si="6"/>
        <v>194826.18927308163</v>
      </c>
      <c r="J23" s="105">
        <f t="shared" si="6"/>
        <v>194826.18927308163</v>
      </c>
      <c r="K23" s="105">
        <f t="shared" si="6"/>
        <v>194826.18927308163</v>
      </c>
      <c r="L23" s="105">
        <f t="shared" si="6"/>
        <v>194826.18927308163</v>
      </c>
      <c r="M23" s="105">
        <f t="shared" si="6"/>
        <v>216473.54363675739</v>
      </c>
      <c r="N23" s="105">
        <f t="shared" si="6"/>
        <v>216473.54363675739</v>
      </c>
      <c r="O23" s="105">
        <f t="shared" si="6"/>
        <v>216473.54363675739</v>
      </c>
      <c r="P23" s="105">
        <f t="shared" si="6"/>
        <v>216473.54363675739</v>
      </c>
      <c r="Q23" s="105">
        <f t="shared" si="6"/>
        <v>216473.54363675739</v>
      </c>
      <c r="R23" s="105">
        <f t="shared" si="6"/>
        <v>216473.54363675739</v>
      </c>
      <c r="S23" s="105">
        <f t="shared" si="6"/>
        <v>216473.54363675739</v>
      </c>
      <c r="T23" s="105">
        <f t="shared" si="6"/>
        <v>216473.54363675739</v>
      </c>
      <c r="U23" s="105">
        <f t="shared" si="6"/>
        <v>194826.18927308163</v>
      </c>
      <c r="V23" s="105">
        <f t="shared" si="6"/>
        <v>194826.18927308163</v>
      </c>
      <c r="W23" s="105">
        <f t="shared" si="6"/>
        <v>194826.18927308163</v>
      </c>
      <c r="X23" s="105">
        <f t="shared" si="6"/>
        <v>194826.18927308163</v>
      </c>
      <c r="Y23" s="105">
        <f t="shared" si="6"/>
        <v>238120.8980004332</v>
      </c>
      <c r="Z23" s="105">
        <f t="shared" si="6"/>
        <v>238120.8980004332</v>
      </c>
      <c r="AA23" s="105">
        <f t="shared" si="6"/>
        <v>238120.8980004332</v>
      </c>
      <c r="AB23" s="105">
        <f t="shared" si="6"/>
        <v>238120.8980004332</v>
      </c>
      <c r="AC23" s="105">
        <f t="shared" si="6"/>
        <v>216473.54363675739</v>
      </c>
      <c r="AD23" s="105">
        <f t="shared" si="6"/>
        <v>216473.54363675739</v>
      </c>
      <c r="AE23" s="105">
        <f t="shared" si="6"/>
        <v>216473.54363675739</v>
      </c>
      <c r="AF23" s="105">
        <f t="shared" si="6"/>
        <v>216473.54363675739</v>
      </c>
      <c r="AG23" s="105">
        <f t="shared" si="6"/>
        <v>216473.54363675739</v>
      </c>
      <c r="AH23" s="105">
        <f t="shared" si="6"/>
        <v>216473.54363675739</v>
      </c>
      <c r="AI23" s="105">
        <f t="shared" si="6"/>
        <v>216473.54363675739</v>
      </c>
      <c r="AJ23" s="105">
        <f t="shared" si="6"/>
        <v>0</v>
      </c>
      <c r="AK23" s="105">
        <f t="shared" si="6"/>
        <v>299450.54945054947</v>
      </c>
      <c r="AL23" s="105">
        <f t="shared" si="6"/>
        <v>194826.18927308163</v>
      </c>
      <c r="AM23" s="105">
        <f t="shared" si="6"/>
        <v>194826.18927308163</v>
      </c>
      <c r="AN23" s="105">
        <f t="shared" si="6"/>
        <v>194826.18927308163</v>
      </c>
      <c r="AO23" s="105">
        <f t="shared" si="6"/>
        <v>216473.54363675739</v>
      </c>
      <c r="AP23" s="105">
        <f t="shared" si="6"/>
        <v>216473.54363675739</v>
      </c>
      <c r="AQ23" s="105">
        <f t="shared" si="6"/>
        <v>216473.54363675739</v>
      </c>
      <c r="AR23" s="105">
        <f t="shared" si="6"/>
        <v>216473.54363675739</v>
      </c>
      <c r="AS23" s="105">
        <f t="shared" si="6"/>
        <v>216473.54363675739</v>
      </c>
      <c r="AT23" s="105">
        <f t="shared" si="6"/>
        <v>216473.54363675739</v>
      </c>
      <c r="AU23" s="105">
        <f t="shared" si="6"/>
        <v>216473.54363675739</v>
      </c>
      <c r="AV23" s="105">
        <f t="shared" si="6"/>
        <v>216473.54363675739</v>
      </c>
      <c r="AW23" s="105">
        <f t="shared" si="6"/>
        <v>238120.8980004332</v>
      </c>
      <c r="AX23" s="105">
        <f t="shared" si="6"/>
        <v>238120.8980004332</v>
      </c>
      <c r="AY23" s="105">
        <f t="shared" si="6"/>
        <v>238120.8980004332</v>
      </c>
      <c r="AZ23" s="144">
        <f t="shared" si="5"/>
        <v>10148996.784923011</v>
      </c>
    </row>
    <row r="24" spans="1:52" s="115" customFormat="1" x14ac:dyDescent="0.2">
      <c r="A24" s="166" t="s">
        <v>308</v>
      </c>
      <c r="B24" s="167">
        <v>1000</v>
      </c>
      <c r="C24" s="161" t="s">
        <v>293</v>
      </c>
      <c r="D24" s="111">
        <f>D$22*$B$24</f>
        <v>65239.96246300442</v>
      </c>
      <c r="E24" s="111">
        <f t="shared" ref="E24:AY24" si="7">E$22*$B$24</f>
        <v>72488.847181116013</v>
      </c>
      <c r="F24" s="111">
        <f t="shared" si="7"/>
        <v>72488.847181116013</v>
      </c>
      <c r="G24" s="111">
        <f t="shared" si="7"/>
        <v>72488.847181116013</v>
      </c>
      <c r="H24" s="111">
        <f t="shared" si="7"/>
        <v>72488.847181116013</v>
      </c>
      <c r="I24" s="111">
        <f t="shared" si="7"/>
        <v>65239.96246300442</v>
      </c>
      <c r="J24" s="111">
        <f t="shared" si="7"/>
        <v>65239.96246300442</v>
      </c>
      <c r="K24" s="111">
        <f t="shared" si="7"/>
        <v>65239.96246300442</v>
      </c>
      <c r="L24" s="111">
        <f t="shared" si="7"/>
        <v>65239.96246300442</v>
      </c>
      <c r="M24" s="111">
        <f t="shared" si="7"/>
        <v>72488.847181116013</v>
      </c>
      <c r="N24" s="111">
        <f t="shared" si="7"/>
        <v>72488.847181116013</v>
      </c>
      <c r="O24" s="111">
        <f t="shared" si="7"/>
        <v>72488.847181116013</v>
      </c>
      <c r="P24" s="111">
        <f t="shared" si="7"/>
        <v>72488.847181116013</v>
      </c>
      <c r="Q24" s="111">
        <f t="shared" si="7"/>
        <v>72488.847181116013</v>
      </c>
      <c r="R24" s="111">
        <f t="shared" si="7"/>
        <v>72488.847181116013</v>
      </c>
      <c r="S24" s="111">
        <f t="shared" si="7"/>
        <v>72488.847181116013</v>
      </c>
      <c r="T24" s="111">
        <f t="shared" si="7"/>
        <v>72488.847181116013</v>
      </c>
      <c r="U24" s="111">
        <f t="shared" si="7"/>
        <v>65239.96246300442</v>
      </c>
      <c r="V24" s="111">
        <f t="shared" si="7"/>
        <v>65239.96246300442</v>
      </c>
      <c r="W24" s="111">
        <f t="shared" si="7"/>
        <v>65239.96246300442</v>
      </c>
      <c r="X24" s="111">
        <f t="shared" si="7"/>
        <v>65239.96246300442</v>
      </c>
      <c r="Y24" s="111">
        <f t="shared" si="7"/>
        <v>79737.731899227627</v>
      </c>
      <c r="Z24" s="111">
        <f t="shared" si="7"/>
        <v>79737.731899227627</v>
      </c>
      <c r="AA24" s="111">
        <f t="shared" si="7"/>
        <v>79737.731899227627</v>
      </c>
      <c r="AB24" s="111">
        <f t="shared" si="7"/>
        <v>79737.731899227627</v>
      </c>
      <c r="AC24" s="111">
        <f t="shared" si="7"/>
        <v>72488.847181116013</v>
      </c>
      <c r="AD24" s="111">
        <f t="shared" si="7"/>
        <v>72488.847181116013</v>
      </c>
      <c r="AE24" s="111">
        <f t="shared" si="7"/>
        <v>72488.847181116013</v>
      </c>
      <c r="AF24" s="111">
        <f t="shared" si="7"/>
        <v>72488.847181116013</v>
      </c>
      <c r="AG24" s="111">
        <f t="shared" si="7"/>
        <v>72488.847181116013</v>
      </c>
      <c r="AH24" s="111">
        <f t="shared" si="7"/>
        <v>72488.847181116013</v>
      </c>
      <c r="AI24" s="111">
        <f t="shared" si="7"/>
        <v>72488.847181116013</v>
      </c>
      <c r="AJ24" s="111">
        <f t="shared" si="7"/>
        <v>0</v>
      </c>
      <c r="AK24" s="111">
        <f t="shared" si="7"/>
        <v>100274.72527472528</v>
      </c>
      <c r="AL24" s="111">
        <f t="shared" si="7"/>
        <v>65239.96246300442</v>
      </c>
      <c r="AM24" s="111">
        <f t="shared" si="7"/>
        <v>65239.96246300442</v>
      </c>
      <c r="AN24" s="111">
        <f t="shared" si="7"/>
        <v>65239.96246300442</v>
      </c>
      <c r="AO24" s="111">
        <f t="shared" si="7"/>
        <v>72488.847181116013</v>
      </c>
      <c r="AP24" s="111">
        <f t="shared" si="7"/>
        <v>72488.847181116013</v>
      </c>
      <c r="AQ24" s="111">
        <f t="shared" si="7"/>
        <v>72488.847181116013</v>
      </c>
      <c r="AR24" s="111">
        <f t="shared" si="7"/>
        <v>72488.847181116013</v>
      </c>
      <c r="AS24" s="111">
        <f t="shared" si="7"/>
        <v>72488.847181116013</v>
      </c>
      <c r="AT24" s="111">
        <f t="shared" si="7"/>
        <v>72488.847181116013</v>
      </c>
      <c r="AU24" s="111">
        <f t="shared" si="7"/>
        <v>72488.847181116013</v>
      </c>
      <c r="AV24" s="111">
        <f t="shared" si="7"/>
        <v>72488.847181116013</v>
      </c>
      <c r="AW24" s="111">
        <f t="shared" si="7"/>
        <v>79737.731899227627</v>
      </c>
      <c r="AX24" s="111">
        <f t="shared" si="7"/>
        <v>79737.731899227627</v>
      </c>
      <c r="AY24" s="111">
        <f t="shared" si="7"/>
        <v>79737.731899227627</v>
      </c>
      <c r="AZ24" s="146">
        <f t="shared" si="5"/>
        <v>3398517.2720155069</v>
      </c>
    </row>
    <row r="25" spans="1:52" x14ac:dyDescent="0.2"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11"/>
    </row>
    <row r="26" spans="1:52" x14ac:dyDescent="0.2">
      <c r="A26" s="168" t="s">
        <v>18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U26" s="111"/>
      <c r="AV26" s="111"/>
      <c r="AW26" s="111"/>
      <c r="AX26" s="111"/>
      <c r="AY26" s="111"/>
      <c r="AZ26" s="111"/>
    </row>
    <row r="27" spans="1:52" x14ac:dyDescent="0.2">
      <c r="B27" s="140" t="s">
        <v>309</v>
      </c>
      <c r="C27" s="129">
        <v>11</v>
      </c>
      <c r="D27" s="129">
        <f>C$27-C$28+C$29</f>
        <v>11</v>
      </c>
      <c r="E27" s="129">
        <f t="shared" ref="E27:AY27" si="8">D27-D28+D29</f>
        <v>11</v>
      </c>
      <c r="F27" s="129">
        <f t="shared" si="8"/>
        <v>10</v>
      </c>
      <c r="G27" s="129">
        <f t="shared" si="8"/>
        <v>10</v>
      </c>
      <c r="H27" s="129">
        <f t="shared" si="8"/>
        <v>10</v>
      </c>
      <c r="I27" s="129">
        <f t="shared" si="8"/>
        <v>10</v>
      </c>
      <c r="J27" s="129">
        <f t="shared" si="8"/>
        <v>11</v>
      </c>
      <c r="K27" s="129">
        <f t="shared" si="8"/>
        <v>11</v>
      </c>
      <c r="L27" s="129">
        <f t="shared" si="8"/>
        <v>11</v>
      </c>
      <c r="M27" s="129">
        <f t="shared" si="8"/>
        <v>11</v>
      </c>
      <c r="N27" s="129">
        <f t="shared" si="8"/>
        <v>10</v>
      </c>
      <c r="O27" s="129">
        <f t="shared" si="8"/>
        <v>10</v>
      </c>
      <c r="P27" s="129">
        <f t="shared" si="8"/>
        <v>10</v>
      </c>
      <c r="Q27" s="129">
        <f t="shared" si="8"/>
        <v>10</v>
      </c>
      <c r="R27" s="129">
        <f t="shared" si="8"/>
        <v>10</v>
      </c>
      <c r="S27" s="129">
        <f t="shared" si="8"/>
        <v>10</v>
      </c>
      <c r="T27" s="129">
        <f t="shared" si="8"/>
        <v>10</v>
      </c>
      <c r="U27" s="129">
        <f t="shared" si="8"/>
        <v>10</v>
      </c>
      <c r="V27" s="129">
        <f t="shared" si="8"/>
        <v>11</v>
      </c>
      <c r="W27" s="129">
        <f t="shared" si="8"/>
        <v>11</v>
      </c>
      <c r="X27" s="129">
        <f t="shared" si="8"/>
        <v>11</v>
      </c>
      <c r="Y27" s="129">
        <f t="shared" si="8"/>
        <v>11</v>
      </c>
      <c r="Z27" s="129">
        <f t="shared" si="8"/>
        <v>10</v>
      </c>
      <c r="AA27" s="129">
        <f t="shared" si="8"/>
        <v>10</v>
      </c>
      <c r="AB27" s="129">
        <f t="shared" si="8"/>
        <v>10</v>
      </c>
      <c r="AC27" s="129">
        <f t="shared" si="8"/>
        <v>10</v>
      </c>
      <c r="AD27" s="129">
        <f t="shared" si="8"/>
        <v>10</v>
      </c>
      <c r="AE27" s="129">
        <f t="shared" si="8"/>
        <v>10</v>
      </c>
      <c r="AF27" s="129">
        <f t="shared" si="8"/>
        <v>10</v>
      </c>
      <c r="AG27" s="129">
        <f t="shared" si="8"/>
        <v>10</v>
      </c>
      <c r="AH27" s="129">
        <f t="shared" si="8"/>
        <v>10</v>
      </c>
      <c r="AI27" s="129">
        <f t="shared" si="8"/>
        <v>10</v>
      </c>
      <c r="AJ27" s="129">
        <f t="shared" si="8"/>
        <v>10</v>
      </c>
      <c r="AK27" s="129">
        <f t="shared" si="8"/>
        <v>17</v>
      </c>
      <c r="AL27" s="129">
        <f t="shared" si="8"/>
        <v>8</v>
      </c>
      <c r="AM27" s="129">
        <f t="shared" si="8"/>
        <v>11</v>
      </c>
      <c r="AN27" s="129">
        <f t="shared" si="8"/>
        <v>11</v>
      </c>
      <c r="AO27" s="129">
        <f t="shared" si="8"/>
        <v>11</v>
      </c>
      <c r="AP27" s="129">
        <f t="shared" si="8"/>
        <v>10</v>
      </c>
      <c r="AQ27" s="129">
        <f t="shared" si="8"/>
        <v>10</v>
      </c>
      <c r="AR27" s="129">
        <f t="shared" si="8"/>
        <v>10</v>
      </c>
      <c r="AS27" s="129">
        <f t="shared" si="8"/>
        <v>10</v>
      </c>
      <c r="AT27" s="129">
        <f t="shared" si="8"/>
        <v>10</v>
      </c>
      <c r="AU27" s="129">
        <f t="shared" si="8"/>
        <v>10</v>
      </c>
      <c r="AV27" s="129">
        <f t="shared" si="8"/>
        <v>10</v>
      </c>
      <c r="AW27" s="129">
        <f t="shared" si="8"/>
        <v>10</v>
      </c>
      <c r="AX27" s="129">
        <f t="shared" si="8"/>
        <v>10</v>
      </c>
      <c r="AY27" s="169">
        <f t="shared" si="8"/>
        <v>10</v>
      </c>
      <c r="AZ27" s="111"/>
    </row>
    <row r="28" spans="1:52" x14ac:dyDescent="0.2">
      <c r="B28" s="170" t="s">
        <v>310</v>
      </c>
      <c r="C28" s="115">
        <v>6</v>
      </c>
      <c r="D28" s="115">
        <v>6</v>
      </c>
      <c r="E28" s="115">
        <v>7</v>
      </c>
      <c r="F28" s="115">
        <v>7</v>
      </c>
      <c r="G28" s="115">
        <v>7</v>
      </c>
      <c r="H28" s="115">
        <v>7</v>
      </c>
      <c r="I28" s="115">
        <v>6</v>
      </c>
      <c r="J28" s="115">
        <v>6</v>
      </c>
      <c r="K28" s="115">
        <v>6</v>
      </c>
      <c r="L28" s="115">
        <v>6</v>
      </c>
      <c r="M28" s="115">
        <v>7</v>
      </c>
      <c r="N28" s="115">
        <v>7</v>
      </c>
      <c r="O28" s="115">
        <v>7</v>
      </c>
      <c r="P28" s="115">
        <v>7</v>
      </c>
      <c r="Q28" s="115">
        <v>7</v>
      </c>
      <c r="R28" s="115">
        <v>7</v>
      </c>
      <c r="S28" s="115">
        <v>7</v>
      </c>
      <c r="T28" s="115">
        <v>7</v>
      </c>
      <c r="U28" s="115">
        <v>6</v>
      </c>
      <c r="V28" s="115">
        <v>6</v>
      </c>
      <c r="W28" s="115">
        <v>6</v>
      </c>
      <c r="X28" s="115">
        <v>6</v>
      </c>
      <c r="Y28" s="115">
        <v>7</v>
      </c>
      <c r="Z28" s="115">
        <v>7</v>
      </c>
      <c r="AA28" s="115">
        <v>7</v>
      </c>
      <c r="AB28" s="115">
        <v>7</v>
      </c>
      <c r="AC28" s="115">
        <v>7</v>
      </c>
      <c r="AD28" s="115">
        <v>7</v>
      </c>
      <c r="AE28" s="115">
        <v>7</v>
      </c>
      <c r="AF28" s="115">
        <v>7</v>
      </c>
      <c r="AG28" s="115">
        <v>7</v>
      </c>
      <c r="AH28" s="115">
        <v>7</v>
      </c>
      <c r="AI28" s="115">
        <v>7</v>
      </c>
      <c r="AJ28" s="115">
        <v>0</v>
      </c>
      <c r="AK28" s="115">
        <v>9</v>
      </c>
      <c r="AL28" s="115">
        <v>6</v>
      </c>
      <c r="AM28" s="115">
        <v>6</v>
      </c>
      <c r="AN28" s="115">
        <v>6</v>
      </c>
      <c r="AO28" s="115">
        <v>7</v>
      </c>
      <c r="AP28" s="115">
        <v>7</v>
      </c>
      <c r="AQ28" s="115">
        <v>7</v>
      </c>
      <c r="AR28" s="115">
        <v>7</v>
      </c>
      <c r="AS28" s="115">
        <v>7</v>
      </c>
      <c r="AT28" s="115">
        <v>7</v>
      </c>
      <c r="AU28" s="115">
        <v>7</v>
      </c>
      <c r="AV28" s="115">
        <v>7</v>
      </c>
      <c r="AW28" s="115">
        <v>7</v>
      </c>
      <c r="AX28" s="115">
        <v>7</v>
      </c>
      <c r="AY28" s="171">
        <v>7</v>
      </c>
      <c r="AZ28" s="111"/>
    </row>
    <row r="29" spans="1:52" x14ac:dyDescent="0.2">
      <c r="B29" s="141" t="s">
        <v>311</v>
      </c>
      <c r="C29" s="130">
        <v>6</v>
      </c>
      <c r="D29" s="130">
        <f>C$28</f>
        <v>6</v>
      </c>
      <c r="E29" s="130">
        <f t="shared" ref="E29:AY29" si="9">D$28</f>
        <v>6</v>
      </c>
      <c r="F29" s="130">
        <f t="shared" si="9"/>
        <v>7</v>
      </c>
      <c r="G29" s="130">
        <f t="shared" si="9"/>
        <v>7</v>
      </c>
      <c r="H29" s="130">
        <f t="shared" si="9"/>
        <v>7</v>
      </c>
      <c r="I29" s="130">
        <f t="shared" si="9"/>
        <v>7</v>
      </c>
      <c r="J29" s="130">
        <f t="shared" si="9"/>
        <v>6</v>
      </c>
      <c r="K29" s="130">
        <f t="shared" si="9"/>
        <v>6</v>
      </c>
      <c r="L29" s="130">
        <f t="shared" si="9"/>
        <v>6</v>
      </c>
      <c r="M29" s="130">
        <f t="shared" si="9"/>
        <v>6</v>
      </c>
      <c r="N29" s="130">
        <f t="shared" si="9"/>
        <v>7</v>
      </c>
      <c r="O29" s="130">
        <f t="shared" si="9"/>
        <v>7</v>
      </c>
      <c r="P29" s="130">
        <f t="shared" si="9"/>
        <v>7</v>
      </c>
      <c r="Q29" s="130">
        <f t="shared" si="9"/>
        <v>7</v>
      </c>
      <c r="R29" s="130">
        <f t="shared" si="9"/>
        <v>7</v>
      </c>
      <c r="S29" s="130">
        <f t="shared" si="9"/>
        <v>7</v>
      </c>
      <c r="T29" s="130">
        <f t="shared" si="9"/>
        <v>7</v>
      </c>
      <c r="U29" s="130">
        <f t="shared" si="9"/>
        <v>7</v>
      </c>
      <c r="V29" s="130">
        <f t="shared" si="9"/>
        <v>6</v>
      </c>
      <c r="W29" s="130">
        <f t="shared" si="9"/>
        <v>6</v>
      </c>
      <c r="X29" s="130">
        <f t="shared" si="9"/>
        <v>6</v>
      </c>
      <c r="Y29" s="130">
        <f t="shared" si="9"/>
        <v>6</v>
      </c>
      <c r="Z29" s="130">
        <f t="shared" si="9"/>
        <v>7</v>
      </c>
      <c r="AA29" s="130">
        <f t="shared" si="9"/>
        <v>7</v>
      </c>
      <c r="AB29" s="130">
        <f t="shared" si="9"/>
        <v>7</v>
      </c>
      <c r="AC29" s="130">
        <f t="shared" si="9"/>
        <v>7</v>
      </c>
      <c r="AD29" s="130">
        <f t="shared" si="9"/>
        <v>7</v>
      </c>
      <c r="AE29" s="130">
        <f t="shared" si="9"/>
        <v>7</v>
      </c>
      <c r="AF29" s="130">
        <f t="shared" si="9"/>
        <v>7</v>
      </c>
      <c r="AG29" s="130">
        <f t="shared" si="9"/>
        <v>7</v>
      </c>
      <c r="AH29" s="130">
        <f t="shared" si="9"/>
        <v>7</v>
      </c>
      <c r="AI29" s="130">
        <f t="shared" si="9"/>
        <v>7</v>
      </c>
      <c r="AJ29" s="130">
        <f t="shared" si="9"/>
        <v>7</v>
      </c>
      <c r="AK29" s="130">
        <f t="shared" si="9"/>
        <v>0</v>
      </c>
      <c r="AL29" s="130">
        <f t="shared" si="9"/>
        <v>9</v>
      </c>
      <c r="AM29" s="130">
        <f t="shared" si="9"/>
        <v>6</v>
      </c>
      <c r="AN29" s="130">
        <f t="shared" si="9"/>
        <v>6</v>
      </c>
      <c r="AO29" s="130">
        <f t="shared" si="9"/>
        <v>6</v>
      </c>
      <c r="AP29" s="130">
        <f t="shared" si="9"/>
        <v>7</v>
      </c>
      <c r="AQ29" s="130">
        <f t="shared" si="9"/>
        <v>7</v>
      </c>
      <c r="AR29" s="130">
        <f t="shared" si="9"/>
        <v>7</v>
      </c>
      <c r="AS29" s="130">
        <f t="shared" si="9"/>
        <v>7</v>
      </c>
      <c r="AT29" s="130">
        <f t="shared" si="9"/>
        <v>7</v>
      </c>
      <c r="AU29" s="130">
        <f t="shared" si="9"/>
        <v>7</v>
      </c>
      <c r="AV29" s="130">
        <f t="shared" si="9"/>
        <v>7</v>
      </c>
      <c r="AW29" s="130">
        <f t="shared" si="9"/>
        <v>7</v>
      </c>
      <c r="AX29" s="130">
        <f t="shared" si="9"/>
        <v>7</v>
      </c>
      <c r="AY29" s="172">
        <f t="shared" si="9"/>
        <v>7</v>
      </c>
      <c r="AZ29" s="173"/>
    </row>
    <row r="30" spans="1:52" x14ac:dyDescent="0.2">
      <c r="A30" s="174" t="s">
        <v>312</v>
      </c>
      <c r="B30" s="149">
        <v>10</v>
      </c>
      <c r="C30" s="122" t="s">
        <v>293</v>
      </c>
      <c r="D30" s="122">
        <f>D$27*$B$30</f>
        <v>110</v>
      </c>
      <c r="E30" s="122">
        <f t="shared" ref="E30:AY30" si="10">E$27*$B$30</f>
        <v>110</v>
      </c>
      <c r="F30" s="122">
        <f t="shared" si="10"/>
        <v>100</v>
      </c>
      <c r="G30" s="122">
        <f t="shared" si="10"/>
        <v>100</v>
      </c>
      <c r="H30" s="122">
        <f t="shared" si="10"/>
        <v>100</v>
      </c>
      <c r="I30" s="122">
        <f t="shared" si="10"/>
        <v>100</v>
      </c>
      <c r="J30" s="122">
        <f t="shared" si="10"/>
        <v>110</v>
      </c>
      <c r="K30" s="122">
        <f t="shared" si="10"/>
        <v>110</v>
      </c>
      <c r="L30" s="122">
        <f t="shared" si="10"/>
        <v>110</v>
      </c>
      <c r="M30" s="122">
        <f t="shared" si="10"/>
        <v>110</v>
      </c>
      <c r="N30" s="122">
        <f t="shared" si="10"/>
        <v>100</v>
      </c>
      <c r="O30" s="122">
        <f t="shared" si="10"/>
        <v>100</v>
      </c>
      <c r="P30" s="122">
        <f t="shared" si="10"/>
        <v>100</v>
      </c>
      <c r="Q30" s="122">
        <f t="shared" si="10"/>
        <v>100</v>
      </c>
      <c r="R30" s="122">
        <f>R$27*$B$30</f>
        <v>100</v>
      </c>
      <c r="S30" s="122">
        <f t="shared" si="10"/>
        <v>100</v>
      </c>
      <c r="T30" s="122">
        <f t="shared" si="10"/>
        <v>100</v>
      </c>
      <c r="U30" s="122">
        <f t="shared" si="10"/>
        <v>100</v>
      </c>
      <c r="V30" s="122">
        <f t="shared" si="10"/>
        <v>110</v>
      </c>
      <c r="W30" s="122">
        <f t="shared" si="10"/>
        <v>110</v>
      </c>
      <c r="X30" s="122">
        <f t="shared" si="10"/>
        <v>110</v>
      </c>
      <c r="Y30" s="122">
        <f t="shared" si="10"/>
        <v>110</v>
      </c>
      <c r="Z30" s="122">
        <f t="shared" si="10"/>
        <v>100</v>
      </c>
      <c r="AA30" s="122">
        <f t="shared" si="10"/>
        <v>100</v>
      </c>
      <c r="AB30" s="122">
        <f t="shared" si="10"/>
        <v>100</v>
      </c>
      <c r="AC30" s="122">
        <f t="shared" si="10"/>
        <v>100</v>
      </c>
      <c r="AD30" s="122">
        <f t="shared" si="10"/>
        <v>100</v>
      </c>
      <c r="AE30" s="122">
        <f>AE$27*$B$30</f>
        <v>100</v>
      </c>
      <c r="AF30" s="122">
        <f t="shared" si="10"/>
        <v>100</v>
      </c>
      <c r="AG30" s="122">
        <f t="shared" si="10"/>
        <v>100</v>
      </c>
      <c r="AH30" s="122">
        <f t="shared" si="10"/>
        <v>100</v>
      </c>
      <c r="AI30" s="122">
        <f t="shared" si="10"/>
        <v>100</v>
      </c>
      <c r="AJ30" s="122">
        <f t="shared" si="10"/>
        <v>100</v>
      </c>
      <c r="AK30" s="122">
        <f t="shared" si="10"/>
        <v>170</v>
      </c>
      <c r="AL30" s="122">
        <f t="shared" si="10"/>
        <v>80</v>
      </c>
      <c r="AM30" s="122">
        <f t="shared" si="10"/>
        <v>110</v>
      </c>
      <c r="AN30" s="122">
        <f t="shared" si="10"/>
        <v>110</v>
      </c>
      <c r="AO30" s="122">
        <f t="shared" si="10"/>
        <v>110</v>
      </c>
      <c r="AP30" s="122">
        <f t="shared" si="10"/>
        <v>100</v>
      </c>
      <c r="AQ30" s="122">
        <f t="shared" si="10"/>
        <v>100</v>
      </c>
      <c r="AR30" s="122">
        <f t="shared" si="10"/>
        <v>100</v>
      </c>
      <c r="AS30" s="122">
        <f t="shared" si="10"/>
        <v>100</v>
      </c>
      <c r="AT30" s="122">
        <f t="shared" si="10"/>
        <v>100</v>
      </c>
      <c r="AU30" s="122">
        <f t="shared" si="10"/>
        <v>100</v>
      </c>
      <c r="AV30" s="122">
        <f t="shared" si="10"/>
        <v>100</v>
      </c>
      <c r="AW30" s="122">
        <f t="shared" si="10"/>
        <v>100</v>
      </c>
      <c r="AX30" s="122">
        <f t="shared" si="10"/>
        <v>100</v>
      </c>
      <c r="AY30" s="122">
        <f t="shared" si="10"/>
        <v>100</v>
      </c>
      <c r="AZ30" s="146">
        <f t="shared" si="5"/>
        <v>4980</v>
      </c>
    </row>
    <row r="32" spans="1:52" x14ac:dyDescent="0.2">
      <c r="A32" s="107" t="s">
        <v>300</v>
      </c>
    </row>
    <row r="33" spans="1:52" x14ac:dyDescent="0.2">
      <c r="A33" s="140" t="s">
        <v>34</v>
      </c>
      <c r="B33" s="140" t="s">
        <v>341</v>
      </c>
      <c r="C33" s="129"/>
      <c r="D33" s="129">
        <f>D$21*shipping_manufacturing!$J$27/100</f>
        <v>0</v>
      </c>
      <c r="E33" s="129">
        <f>E$21*shipping_manufacturing!$J$27/100</f>
        <v>0</v>
      </c>
      <c r="F33" s="129">
        <f>F$21*shipping_manufacturing!$J$27/100</f>
        <v>0</v>
      </c>
      <c r="G33" s="129">
        <f>G$21*shipping_manufacturing!$J$27/100</f>
        <v>0</v>
      </c>
      <c r="H33" s="129">
        <f>H$21*shipping_manufacturing!$J$27/100</f>
        <v>0</v>
      </c>
      <c r="I33" s="129">
        <f>I$21*shipping_manufacturing!$J$27/100</f>
        <v>0</v>
      </c>
      <c r="J33" s="129">
        <f>J$21*shipping_manufacturing!$J$27/100</f>
        <v>0</v>
      </c>
      <c r="K33" s="129">
        <f>K$21*shipping_manufacturing!$J$27/100</f>
        <v>0</v>
      </c>
      <c r="L33" s="129">
        <f>L$21*shipping_manufacturing!$J$27/100</f>
        <v>0</v>
      </c>
      <c r="M33" s="129">
        <f>M$21*shipping_manufacturing!$J$27/100</f>
        <v>0</v>
      </c>
      <c r="N33" s="129">
        <f>N$21*shipping_manufacturing!$J$27/100</f>
        <v>0</v>
      </c>
      <c r="O33" s="129">
        <f>O$21*shipping_manufacturing!$J$27/100</f>
        <v>0</v>
      </c>
      <c r="P33" s="129">
        <f>P$21*shipping_manufacturing!$J$27/100</f>
        <v>0</v>
      </c>
      <c r="Q33" s="129">
        <f>Q$21*shipping_manufacturing!$J$27/100</f>
        <v>0</v>
      </c>
      <c r="R33" s="129">
        <f>R$21*shipping_manufacturing!$J$27/100</f>
        <v>0</v>
      </c>
      <c r="S33" s="129">
        <f>S$21*shipping_manufacturing!$J$27/100</f>
        <v>0</v>
      </c>
      <c r="T33" s="129">
        <f>T$21*shipping_manufacturing!$J$27/100</f>
        <v>0</v>
      </c>
      <c r="U33" s="129">
        <f>U$21*shipping_manufacturing!$J$27/100</f>
        <v>0</v>
      </c>
      <c r="V33" s="129">
        <f>V$21*shipping_manufacturing!$J$27/100</f>
        <v>0</v>
      </c>
      <c r="W33" s="129">
        <f>W$21*shipping_manufacturing!$J$27/100</f>
        <v>0</v>
      </c>
      <c r="X33" s="129">
        <f>X$21*shipping_manufacturing!$J$27/100</f>
        <v>0</v>
      </c>
      <c r="Y33" s="129">
        <f>Y$21*shipping_manufacturing!$J$27/100</f>
        <v>0</v>
      </c>
      <c r="Z33" s="129">
        <f>Z$21*shipping_manufacturing!$J$27/100</f>
        <v>0</v>
      </c>
      <c r="AA33" s="129">
        <f>AA$21*shipping_manufacturing!$J$27/100</f>
        <v>0</v>
      </c>
      <c r="AB33" s="129">
        <f>AB$21*shipping_manufacturing!$J$27/100</f>
        <v>0</v>
      </c>
      <c r="AC33" s="129">
        <f>AC$21*shipping_manufacturing!$J$27/100</f>
        <v>0</v>
      </c>
      <c r="AD33" s="129">
        <f>AD$21*shipping_manufacturing!$J$27/100</f>
        <v>0</v>
      </c>
      <c r="AE33" s="129">
        <f>AE$21*shipping_manufacturing!$J$27/100</f>
        <v>0</v>
      </c>
      <c r="AF33" s="129">
        <f>AF$21*shipping_manufacturing!$J$27/100</f>
        <v>0</v>
      </c>
      <c r="AG33" s="129">
        <f>AG$21*shipping_manufacturing!$J$27/100</f>
        <v>0</v>
      </c>
      <c r="AH33" s="129">
        <f>AH$21*shipping_manufacturing!$J$27/100</f>
        <v>0</v>
      </c>
      <c r="AI33" s="129">
        <f>AI$21*shipping_manufacturing!$J$27/100</f>
        <v>0</v>
      </c>
      <c r="AJ33" s="129">
        <f>AJ$21*shipping_manufacturing!$J$27/100</f>
        <v>0</v>
      </c>
      <c r="AK33" s="129">
        <f>AK$21*shipping_manufacturing!$J$27/100</f>
        <v>0</v>
      </c>
      <c r="AL33" s="129">
        <f>AL$21*shipping_manufacturing!$J$27/100</f>
        <v>0</v>
      </c>
      <c r="AM33" s="129">
        <f>AM$21*shipping_manufacturing!$J$27/100</f>
        <v>0</v>
      </c>
      <c r="AN33" s="129">
        <f>AN$21*shipping_manufacturing!$J$27/100</f>
        <v>0</v>
      </c>
      <c r="AO33" s="129">
        <f>AO$21*shipping_manufacturing!$J$27/100</f>
        <v>0</v>
      </c>
      <c r="AP33" s="129">
        <f>AP$21*shipping_manufacturing!$J$27/100</f>
        <v>0</v>
      </c>
      <c r="AQ33" s="129">
        <f>AQ$21*shipping_manufacturing!$J$27/100</f>
        <v>0</v>
      </c>
      <c r="AR33" s="129">
        <f>AR$21*shipping_manufacturing!$J$27/100</f>
        <v>0</v>
      </c>
      <c r="AS33" s="129">
        <f>AS$21*shipping_manufacturing!$J$27/100</f>
        <v>0</v>
      </c>
      <c r="AT33" s="129">
        <f>AT$21*shipping_manufacturing!$J$27/100</f>
        <v>0</v>
      </c>
      <c r="AU33" s="129">
        <f>AU$21*shipping_manufacturing!$J$27/100</f>
        <v>0</v>
      </c>
      <c r="AV33" s="129">
        <f>AV$21*shipping_manufacturing!$J$27/100</f>
        <v>0</v>
      </c>
      <c r="AW33" s="129">
        <f>AW$21*shipping_manufacturing!$J$27/100</f>
        <v>0</v>
      </c>
      <c r="AX33" s="129">
        <f>AX$21*shipping_manufacturing!$J$27/100</f>
        <v>0</v>
      </c>
      <c r="AY33" s="129">
        <f>AY$21*shipping_manufacturing!$J$27/100</f>
        <v>0</v>
      </c>
    </row>
    <row r="34" spans="1:52" x14ac:dyDescent="0.2">
      <c r="A34" s="118" t="s">
        <v>340</v>
      </c>
      <c r="B34" s="170" t="s">
        <v>342</v>
      </c>
      <c r="C34" s="115"/>
      <c r="D34" s="115">
        <f>D$22*shipping_manufacturing!$K$27/100</f>
        <v>0</v>
      </c>
      <c r="E34" s="115">
        <f>E$22*shipping_manufacturing!$K$27/100</f>
        <v>0</v>
      </c>
      <c r="F34" s="115">
        <f>F$22*shipping_manufacturing!$K$27/100</f>
        <v>0</v>
      </c>
      <c r="G34" s="115">
        <f>G$22*shipping_manufacturing!$K$27/100</f>
        <v>0</v>
      </c>
      <c r="H34" s="115">
        <f>H$22*shipping_manufacturing!$K$27/100</f>
        <v>0</v>
      </c>
      <c r="I34" s="115">
        <f>I$22*shipping_manufacturing!$K$27/100</f>
        <v>0</v>
      </c>
      <c r="J34" s="115">
        <f>J$22*shipping_manufacturing!$K$27/100</f>
        <v>0</v>
      </c>
      <c r="K34" s="115">
        <f>K$22*shipping_manufacturing!$K$27/100</f>
        <v>0</v>
      </c>
      <c r="L34" s="115">
        <f>L$22*shipping_manufacturing!$K$27/100</f>
        <v>0</v>
      </c>
      <c r="M34" s="115">
        <f>M$22*shipping_manufacturing!$K$27/100</f>
        <v>0</v>
      </c>
      <c r="N34" s="115">
        <f>N$22*shipping_manufacturing!$K$27/100</f>
        <v>0</v>
      </c>
      <c r="O34" s="115">
        <f>O$22*shipping_manufacturing!$K$27/100</f>
        <v>0</v>
      </c>
      <c r="P34" s="115">
        <f>P$22*shipping_manufacturing!$K$27/100</f>
        <v>0</v>
      </c>
      <c r="Q34" s="115">
        <f>Q$22*shipping_manufacturing!$K$27/100</f>
        <v>0</v>
      </c>
      <c r="R34" s="115">
        <f>R$22*shipping_manufacturing!$K$27/100</f>
        <v>0</v>
      </c>
      <c r="S34" s="115">
        <f>S$22*shipping_manufacturing!$K$27/100</f>
        <v>0</v>
      </c>
      <c r="T34" s="115">
        <f>T$22*shipping_manufacturing!$K$27/100</f>
        <v>0</v>
      </c>
      <c r="U34" s="115">
        <f>U$22*shipping_manufacturing!$K$27/100</f>
        <v>0</v>
      </c>
      <c r="V34" s="115">
        <f>V$22*shipping_manufacturing!$K$27/100</f>
        <v>0</v>
      </c>
      <c r="W34" s="115">
        <f>W$22*shipping_manufacturing!$K$27/100</f>
        <v>0</v>
      </c>
      <c r="X34" s="115">
        <f>X$22*shipping_manufacturing!$K$27/100</f>
        <v>0</v>
      </c>
      <c r="Y34" s="115">
        <f>Y$22*shipping_manufacturing!$K$27/100</f>
        <v>0</v>
      </c>
      <c r="Z34" s="115">
        <f>Z$22*shipping_manufacturing!$K$27/100</f>
        <v>0</v>
      </c>
      <c r="AA34" s="115">
        <f>AA$22*shipping_manufacturing!$K$27/100</f>
        <v>0</v>
      </c>
      <c r="AB34" s="115">
        <f>AB$22*shipping_manufacturing!$K$27/100</f>
        <v>0</v>
      </c>
      <c r="AC34" s="115">
        <f>AC$22*shipping_manufacturing!$K$27/100</f>
        <v>0</v>
      </c>
      <c r="AD34" s="115">
        <f>AD$22*shipping_manufacturing!$K$27/100</f>
        <v>0</v>
      </c>
      <c r="AE34" s="115">
        <f>AE$22*shipping_manufacturing!$K$27/100</f>
        <v>0</v>
      </c>
      <c r="AF34" s="115">
        <f>AF$22*shipping_manufacturing!$K$27/100</f>
        <v>0</v>
      </c>
      <c r="AG34" s="115">
        <f>AG$22*shipping_manufacturing!$K$27/100</f>
        <v>0</v>
      </c>
      <c r="AH34" s="115">
        <f>AH$22*shipping_manufacturing!$K$27/100</f>
        <v>0</v>
      </c>
      <c r="AI34" s="115">
        <f>AI$22*shipping_manufacturing!$K$27/100</f>
        <v>0</v>
      </c>
      <c r="AJ34" s="115">
        <f>AJ$22*shipping_manufacturing!$K$27/100</f>
        <v>0</v>
      </c>
      <c r="AK34" s="115">
        <f>AK$22*shipping_manufacturing!$K$27/100</f>
        <v>0</v>
      </c>
      <c r="AL34" s="115">
        <f>AL$22*shipping_manufacturing!$K$27/100</f>
        <v>0</v>
      </c>
      <c r="AM34" s="115">
        <f>AM$22*shipping_manufacturing!$K$27/100</f>
        <v>0</v>
      </c>
      <c r="AN34" s="115">
        <f>AN$22*shipping_manufacturing!$K$27/100</f>
        <v>0</v>
      </c>
      <c r="AO34" s="115">
        <f>AO$22*shipping_manufacturing!$K$27/100</f>
        <v>0</v>
      </c>
      <c r="AP34" s="115">
        <f>AP$22*shipping_manufacturing!$K$27/100</f>
        <v>0</v>
      </c>
      <c r="AQ34" s="115">
        <f>AQ$22*shipping_manufacturing!$K$27/100</f>
        <v>0</v>
      </c>
      <c r="AR34" s="115">
        <f>AR$22*shipping_manufacturing!$K$27/100</f>
        <v>0</v>
      </c>
      <c r="AS34" s="115">
        <f>AS$22*shipping_manufacturing!$K$27/100</f>
        <v>0</v>
      </c>
      <c r="AT34" s="115">
        <f>AT$22*shipping_manufacturing!$K$27/100</f>
        <v>0</v>
      </c>
      <c r="AU34" s="115">
        <f>AU$22*shipping_manufacturing!$K$27/100</f>
        <v>0</v>
      </c>
      <c r="AV34" s="115">
        <f>AV$22*shipping_manufacturing!$K$27/100</f>
        <v>0</v>
      </c>
      <c r="AW34" s="115">
        <f>AW$22*shipping_manufacturing!$K$27/100</f>
        <v>0</v>
      </c>
      <c r="AX34" s="115">
        <f>AX$22*shipping_manufacturing!$K$27/100</f>
        <v>0</v>
      </c>
      <c r="AY34" s="115">
        <f>AY$22*shipping_manufacturing!$K$27/100</f>
        <v>0</v>
      </c>
    </row>
    <row r="35" spans="1:52" x14ac:dyDescent="0.2">
      <c r="A35" s="115">
        <v>1132</v>
      </c>
      <c r="B35" s="170" t="s">
        <v>343</v>
      </c>
      <c r="C35" s="115"/>
      <c r="D35" s="115">
        <f>SUM(D33:D34)</f>
        <v>0</v>
      </c>
      <c r="E35" s="115">
        <f t="shared" ref="E35:AY35" si="11">SUM(E33:E34)</f>
        <v>0</v>
      </c>
      <c r="F35" s="115">
        <f t="shared" si="11"/>
        <v>0</v>
      </c>
      <c r="G35" s="115">
        <f t="shared" si="11"/>
        <v>0</v>
      </c>
      <c r="H35" s="115">
        <f t="shared" si="11"/>
        <v>0</v>
      </c>
      <c r="I35" s="115">
        <f t="shared" si="11"/>
        <v>0</v>
      </c>
      <c r="J35" s="115">
        <f t="shared" si="11"/>
        <v>0</v>
      </c>
      <c r="K35" s="115">
        <f t="shared" si="11"/>
        <v>0</v>
      </c>
      <c r="L35" s="115">
        <f t="shared" si="11"/>
        <v>0</v>
      </c>
      <c r="M35" s="115">
        <f t="shared" si="11"/>
        <v>0</v>
      </c>
      <c r="N35" s="115">
        <f t="shared" si="11"/>
        <v>0</v>
      </c>
      <c r="O35" s="115">
        <f t="shared" si="11"/>
        <v>0</v>
      </c>
      <c r="P35" s="115">
        <f t="shared" si="11"/>
        <v>0</v>
      </c>
      <c r="Q35" s="115">
        <f t="shared" si="11"/>
        <v>0</v>
      </c>
      <c r="R35" s="115">
        <f t="shared" si="11"/>
        <v>0</v>
      </c>
      <c r="S35" s="115">
        <f t="shared" si="11"/>
        <v>0</v>
      </c>
      <c r="T35" s="115">
        <f t="shared" si="11"/>
        <v>0</v>
      </c>
      <c r="U35" s="115">
        <f t="shared" si="11"/>
        <v>0</v>
      </c>
      <c r="V35" s="115">
        <f t="shared" si="11"/>
        <v>0</v>
      </c>
      <c r="W35" s="115">
        <f t="shared" si="11"/>
        <v>0</v>
      </c>
      <c r="X35" s="115">
        <f t="shared" si="11"/>
        <v>0</v>
      </c>
      <c r="Y35" s="115">
        <f t="shared" si="11"/>
        <v>0</v>
      </c>
      <c r="Z35" s="115">
        <f t="shared" si="11"/>
        <v>0</v>
      </c>
      <c r="AA35" s="115">
        <f t="shared" si="11"/>
        <v>0</v>
      </c>
      <c r="AB35" s="115">
        <f t="shared" si="11"/>
        <v>0</v>
      </c>
      <c r="AC35" s="115">
        <f t="shared" si="11"/>
        <v>0</v>
      </c>
      <c r="AD35" s="115">
        <f t="shared" si="11"/>
        <v>0</v>
      </c>
      <c r="AE35" s="115">
        <f t="shared" si="11"/>
        <v>0</v>
      </c>
      <c r="AF35" s="115">
        <f t="shared" si="11"/>
        <v>0</v>
      </c>
      <c r="AG35" s="115">
        <f t="shared" si="11"/>
        <v>0</v>
      </c>
      <c r="AH35" s="115">
        <f t="shared" si="11"/>
        <v>0</v>
      </c>
      <c r="AI35" s="115">
        <f t="shared" si="11"/>
        <v>0</v>
      </c>
      <c r="AJ35" s="115">
        <f t="shared" si="11"/>
        <v>0</v>
      </c>
      <c r="AK35" s="115">
        <f t="shared" si="11"/>
        <v>0</v>
      </c>
      <c r="AL35" s="115">
        <f t="shared" si="11"/>
        <v>0</v>
      </c>
      <c r="AM35" s="115">
        <f t="shared" si="11"/>
        <v>0</v>
      </c>
      <c r="AN35" s="115">
        <f t="shared" si="11"/>
        <v>0</v>
      </c>
      <c r="AO35" s="115">
        <f t="shared" si="11"/>
        <v>0</v>
      </c>
      <c r="AP35" s="115">
        <f t="shared" si="11"/>
        <v>0</v>
      </c>
      <c r="AQ35" s="115">
        <f t="shared" si="11"/>
        <v>0</v>
      </c>
      <c r="AR35" s="115">
        <f t="shared" si="11"/>
        <v>0</v>
      </c>
      <c r="AS35" s="115">
        <f t="shared" si="11"/>
        <v>0</v>
      </c>
      <c r="AT35" s="115">
        <f t="shared" si="11"/>
        <v>0</v>
      </c>
      <c r="AU35" s="115">
        <f t="shared" si="11"/>
        <v>0</v>
      </c>
      <c r="AV35" s="115">
        <f t="shared" si="11"/>
        <v>0</v>
      </c>
      <c r="AW35" s="115">
        <f t="shared" si="11"/>
        <v>0</v>
      </c>
      <c r="AX35" s="115">
        <f t="shared" si="11"/>
        <v>0</v>
      </c>
      <c r="AY35" s="115">
        <f t="shared" si="11"/>
        <v>0</v>
      </c>
    </row>
    <row r="36" spans="1:52" x14ac:dyDescent="0.2">
      <c r="A36" s="115"/>
      <c r="B36" s="170" t="s">
        <v>344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</row>
    <row r="37" spans="1:52" x14ac:dyDescent="0.2">
      <c r="A37" s="115"/>
      <c r="B37" s="170" t="s">
        <v>345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</row>
    <row r="38" spans="1:52" x14ac:dyDescent="0.2">
      <c r="A38" s="115"/>
      <c r="B38" s="170" t="s">
        <v>346</v>
      </c>
      <c r="C38" s="115"/>
      <c r="D38" s="115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</row>
    <row r="39" spans="1:52" x14ac:dyDescent="0.2">
      <c r="A39" s="115"/>
      <c r="B39" s="170" t="s">
        <v>347</v>
      </c>
      <c r="C39" s="115"/>
      <c r="D39" s="115">
        <f>D33-D36</f>
        <v>0</v>
      </c>
      <c r="E39" s="115">
        <f t="shared" ref="E39:AY39" si="12">E33-E36</f>
        <v>0</v>
      </c>
      <c r="F39" s="115">
        <f t="shared" si="12"/>
        <v>0</v>
      </c>
      <c r="G39" s="115">
        <f t="shared" si="12"/>
        <v>0</v>
      </c>
      <c r="H39" s="115">
        <f t="shared" si="12"/>
        <v>0</v>
      </c>
      <c r="I39" s="115">
        <f t="shared" si="12"/>
        <v>0</v>
      </c>
      <c r="J39" s="115">
        <f t="shared" si="12"/>
        <v>0</v>
      </c>
      <c r="K39" s="115">
        <f t="shared" si="12"/>
        <v>0</v>
      </c>
      <c r="L39" s="115">
        <f t="shared" si="12"/>
        <v>0</v>
      </c>
      <c r="M39" s="115">
        <f t="shared" si="12"/>
        <v>0</v>
      </c>
      <c r="N39" s="115">
        <f t="shared" si="12"/>
        <v>0</v>
      </c>
      <c r="O39" s="115">
        <f t="shared" si="12"/>
        <v>0</v>
      </c>
      <c r="P39" s="115">
        <f t="shared" si="12"/>
        <v>0</v>
      </c>
      <c r="Q39" s="115">
        <f t="shared" si="12"/>
        <v>0</v>
      </c>
      <c r="R39" s="115">
        <f t="shared" si="12"/>
        <v>0</v>
      </c>
      <c r="S39" s="115">
        <f t="shared" si="12"/>
        <v>0</v>
      </c>
      <c r="T39" s="115">
        <f t="shared" si="12"/>
        <v>0</v>
      </c>
      <c r="U39" s="115">
        <f t="shared" si="12"/>
        <v>0</v>
      </c>
      <c r="V39" s="115">
        <f t="shared" si="12"/>
        <v>0</v>
      </c>
      <c r="W39" s="115">
        <f t="shared" si="12"/>
        <v>0</v>
      </c>
      <c r="X39" s="115">
        <f t="shared" si="12"/>
        <v>0</v>
      </c>
      <c r="Y39" s="115">
        <f t="shared" si="12"/>
        <v>0</v>
      </c>
      <c r="Z39" s="115">
        <f t="shared" si="12"/>
        <v>0</v>
      </c>
      <c r="AA39" s="115">
        <f t="shared" si="12"/>
        <v>0</v>
      </c>
      <c r="AB39" s="115">
        <f t="shared" si="12"/>
        <v>0</v>
      </c>
      <c r="AC39" s="115">
        <f t="shared" si="12"/>
        <v>0</v>
      </c>
      <c r="AD39" s="115">
        <f t="shared" si="12"/>
        <v>0</v>
      </c>
      <c r="AE39" s="115">
        <f t="shared" si="12"/>
        <v>0</v>
      </c>
      <c r="AF39" s="115">
        <f t="shared" si="12"/>
        <v>0</v>
      </c>
      <c r="AG39" s="115">
        <f t="shared" si="12"/>
        <v>0</v>
      </c>
      <c r="AH39" s="115">
        <f t="shared" si="12"/>
        <v>0</v>
      </c>
      <c r="AI39" s="115">
        <f t="shared" si="12"/>
        <v>0</v>
      </c>
      <c r="AJ39" s="115">
        <f t="shared" si="12"/>
        <v>0</v>
      </c>
      <c r="AK39" s="115">
        <f t="shared" si="12"/>
        <v>0</v>
      </c>
      <c r="AL39" s="115">
        <f t="shared" si="12"/>
        <v>0</v>
      </c>
      <c r="AM39" s="115">
        <f t="shared" si="12"/>
        <v>0</v>
      </c>
      <c r="AN39" s="115">
        <f t="shared" si="12"/>
        <v>0</v>
      </c>
      <c r="AO39" s="115">
        <f t="shared" si="12"/>
        <v>0</v>
      </c>
      <c r="AP39" s="115">
        <f t="shared" si="12"/>
        <v>0</v>
      </c>
      <c r="AQ39" s="115">
        <f t="shared" si="12"/>
        <v>0</v>
      </c>
      <c r="AR39" s="115">
        <f t="shared" si="12"/>
        <v>0</v>
      </c>
      <c r="AS39" s="115">
        <f t="shared" si="12"/>
        <v>0</v>
      </c>
      <c r="AT39" s="115">
        <f t="shared" si="12"/>
        <v>0</v>
      </c>
      <c r="AU39" s="115">
        <f t="shared" si="12"/>
        <v>0</v>
      </c>
      <c r="AV39" s="115">
        <f t="shared" si="12"/>
        <v>0</v>
      </c>
      <c r="AW39" s="115">
        <f t="shared" si="12"/>
        <v>0</v>
      </c>
      <c r="AX39" s="115">
        <f t="shared" si="12"/>
        <v>0</v>
      </c>
      <c r="AY39" s="115">
        <f t="shared" si="12"/>
        <v>0</v>
      </c>
    </row>
    <row r="40" spans="1:52" x14ac:dyDescent="0.2">
      <c r="A40" s="115"/>
      <c r="B40" s="170" t="s">
        <v>348</v>
      </c>
      <c r="C40" s="115"/>
      <c r="D40" s="115">
        <f>D34-D37</f>
        <v>0</v>
      </c>
      <c r="E40" s="115">
        <f t="shared" ref="E40:AY40" si="13">E34-E37</f>
        <v>0</v>
      </c>
      <c r="F40" s="115">
        <f t="shared" si="13"/>
        <v>0</v>
      </c>
      <c r="G40" s="115">
        <f t="shared" si="13"/>
        <v>0</v>
      </c>
      <c r="H40" s="115">
        <f t="shared" si="13"/>
        <v>0</v>
      </c>
      <c r="I40" s="115">
        <f t="shared" si="13"/>
        <v>0</v>
      </c>
      <c r="J40" s="115">
        <f t="shared" si="13"/>
        <v>0</v>
      </c>
      <c r="K40" s="115">
        <f t="shared" si="13"/>
        <v>0</v>
      </c>
      <c r="L40" s="115">
        <f t="shared" si="13"/>
        <v>0</v>
      </c>
      <c r="M40" s="115">
        <f t="shared" si="13"/>
        <v>0</v>
      </c>
      <c r="N40" s="115">
        <f t="shared" si="13"/>
        <v>0</v>
      </c>
      <c r="O40" s="115">
        <f t="shared" si="13"/>
        <v>0</v>
      </c>
      <c r="P40" s="115">
        <f t="shared" si="13"/>
        <v>0</v>
      </c>
      <c r="Q40" s="115">
        <f t="shared" si="13"/>
        <v>0</v>
      </c>
      <c r="R40" s="115">
        <f t="shared" si="13"/>
        <v>0</v>
      </c>
      <c r="S40" s="115">
        <f t="shared" si="13"/>
        <v>0</v>
      </c>
      <c r="T40" s="115">
        <f t="shared" si="13"/>
        <v>0</v>
      </c>
      <c r="U40" s="115">
        <f t="shared" si="13"/>
        <v>0</v>
      </c>
      <c r="V40" s="115">
        <f t="shared" si="13"/>
        <v>0</v>
      </c>
      <c r="W40" s="115">
        <f t="shared" si="13"/>
        <v>0</v>
      </c>
      <c r="X40" s="115">
        <f t="shared" si="13"/>
        <v>0</v>
      </c>
      <c r="Y40" s="115">
        <f t="shared" si="13"/>
        <v>0</v>
      </c>
      <c r="Z40" s="115">
        <f t="shared" si="13"/>
        <v>0</v>
      </c>
      <c r="AA40" s="115">
        <f t="shared" si="13"/>
        <v>0</v>
      </c>
      <c r="AB40" s="115">
        <f t="shared" si="13"/>
        <v>0</v>
      </c>
      <c r="AC40" s="115">
        <f t="shared" si="13"/>
        <v>0</v>
      </c>
      <c r="AD40" s="115">
        <f t="shared" si="13"/>
        <v>0</v>
      </c>
      <c r="AE40" s="115">
        <f t="shared" si="13"/>
        <v>0</v>
      </c>
      <c r="AF40" s="115">
        <f t="shared" si="13"/>
        <v>0</v>
      </c>
      <c r="AG40" s="115">
        <f t="shared" si="13"/>
        <v>0</v>
      </c>
      <c r="AH40" s="115">
        <f t="shared" si="13"/>
        <v>0</v>
      </c>
      <c r="AI40" s="115">
        <f t="shared" si="13"/>
        <v>0</v>
      </c>
      <c r="AJ40" s="115">
        <f t="shared" si="13"/>
        <v>0</v>
      </c>
      <c r="AK40" s="115">
        <f t="shared" si="13"/>
        <v>0</v>
      </c>
      <c r="AL40" s="115">
        <f t="shared" si="13"/>
        <v>0</v>
      </c>
      <c r="AM40" s="115">
        <f t="shared" si="13"/>
        <v>0</v>
      </c>
      <c r="AN40" s="115">
        <f t="shared" si="13"/>
        <v>0</v>
      </c>
      <c r="AO40" s="115">
        <f t="shared" si="13"/>
        <v>0</v>
      </c>
      <c r="AP40" s="115">
        <f t="shared" si="13"/>
        <v>0</v>
      </c>
      <c r="AQ40" s="115">
        <f t="shared" si="13"/>
        <v>0</v>
      </c>
      <c r="AR40" s="115">
        <f t="shared" si="13"/>
        <v>0</v>
      </c>
      <c r="AS40" s="115">
        <f t="shared" si="13"/>
        <v>0</v>
      </c>
      <c r="AT40" s="115">
        <f t="shared" si="13"/>
        <v>0</v>
      </c>
      <c r="AU40" s="115">
        <f t="shared" si="13"/>
        <v>0</v>
      </c>
      <c r="AV40" s="115">
        <f t="shared" si="13"/>
        <v>0</v>
      </c>
      <c r="AW40" s="115">
        <f t="shared" si="13"/>
        <v>0</v>
      </c>
      <c r="AX40" s="115">
        <f t="shared" si="13"/>
        <v>0</v>
      </c>
      <c r="AY40" s="115">
        <f t="shared" si="13"/>
        <v>0</v>
      </c>
    </row>
    <row r="41" spans="1:52" x14ac:dyDescent="0.2">
      <c r="A41" s="115"/>
      <c r="B41" s="170" t="s">
        <v>349</v>
      </c>
      <c r="C41" s="115"/>
      <c r="D41" s="115">
        <v>2</v>
      </c>
      <c r="E41" s="115">
        <v>2</v>
      </c>
      <c r="F41" s="115">
        <v>2</v>
      </c>
      <c r="G41" s="115">
        <v>1</v>
      </c>
      <c r="H41" s="115">
        <v>2</v>
      </c>
      <c r="I41" s="115">
        <v>1</v>
      </c>
      <c r="J41" s="115">
        <v>1</v>
      </c>
      <c r="K41" s="115">
        <v>1</v>
      </c>
      <c r="L41" s="115">
        <v>1</v>
      </c>
      <c r="M41" s="115">
        <v>3</v>
      </c>
      <c r="N41" s="115">
        <v>1</v>
      </c>
      <c r="O41" s="115">
        <v>2</v>
      </c>
      <c r="P41" s="115">
        <v>1</v>
      </c>
      <c r="Q41" s="115">
        <v>1</v>
      </c>
      <c r="R41" s="115">
        <v>1</v>
      </c>
      <c r="S41" s="115">
        <v>1</v>
      </c>
      <c r="T41" s="115">
        <v>3</v>
      </c>
      <c r="U41" s="115">
        <v>1</v>
      </c>
      <c r="V41" s="115">
        <v>3</v>
      </c>
      <c r="W41" s="115">
        <v>1</v>
      </c>
      <c r="X41" s="115">
        <v>1</v>
      </c>
      <c r="Y41" s="115">
        <v>3</v>
      </c>
      <c r="Z41" s="115">
        <v>1</v>
      </c>
      <c r="AA41" s="115">
        <v>2</v>
      </c>
      <c r="AB41" s="115">
        <v>1</v>
      </c>
      <c r="AC41" s="115">
        <v>2</v>
      </c>
      <c r="AD41" s="115">
        <v>2</v>
      </c>
      <c r="AE41" s="115">
        <v>2</v>
      </c>
      <c r="AF41" s="115">
        <v>3</v>
      </c>
      <c r="AG41" s="115">
        <v>1</v>
      </c>
      <c r="AH41" s="115">
        <v>1</v>
      </c>
      <c r="AI41" s="115">
        <v>1</v>
      </c>
      <c r="AJ41" s="115">
        <v>1</v>
      </c>
      <c r="AK41" s="115">
        <v>2</v>
      </c>
      <c r="AL41" s="115">
        <v>1</v>
      </c>
      <c r="AM41" s="115">
        <v>3</v>
      </c>
      <c r="AN41" s="115">
        <v>1</v>
      </c>
      <c r="AO41" s="115">
        <v>1</v>
      </c>
      <c r="AP41" s="115">
        <v>2</v>
      </c>
      <c r="AQ41" s="115">
        <v>1</v>
      </c>
      <c r="AR41" s="115">
        <v>2</v>
      </c>
      <c r="AS41" s="115">
        <v>2</v>
      </c>
      <c r="AT41" s="115">
        <v>2</v>
      </c>
      <c r="AU41" s="115">
        <v>1</v>
      </c>
      <c r="AV41" s="115">
        <v>1</v>
      </c>
      <c r="AW41" s="115">
        <v>1</v>
      </c>
      <c r="AX41" s="115">
        <v>1</v>
      </c>
      <c r="AY41" s="115">
        <v>2</v>
      </c>
    </row>
    <row r="42" spans="1:52" x14ac:dyDescent="0.2">
      <c r="A42" s="115"/>
      <c r="B42" s="183" t="s">
        <v>350</v>
      </c>
      <c r="C42" s="115"/>
      <c r="D42" s="115">
        <v>0</v>
      </c>
      <c r="E42" s="115">
        <v>0</v>
      </c>
      <c r="F42" s="115">
        <v>0</v>
      </c>
      <c r="G42" s="115">
        <v>0</v>
      </c>
      <c r="H42" s="115">
        <v>0</v>
      </c>
      <c r="I42" s="115">
        <v>0</v>
      </c>
      <c r="J42" s="115">
        <v>0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</v>
      </c>
      <c r="T42" s="115">
        <v>0</v>
      </c>
      <c r="U42" s="115">
        <v>0</v>
      </c>
      <c r="V42" s="115">
        <v>0</v>
      </c>
      <c r="W42" s="115">
        <v>0</v>
      </c>
      <c r="X42" s="115">
        <v>0</v>
      </c>
      <c r="Y42" s="115">
        <v>0</v>
      </c>
      <c r="Z42" s="115">
        <v>0</v>
      </c>
      <c r="AA42" s="115">
        <v>0</v>
      </c>
      <c r="AB42" s="115">
        <v>0</v>
      </c>
      <c r="AC42" s="115">
        <v>0</v>
      </c>
      <c r="AD42" s="115">
        <v>0</v>
      </c>
      <c r="AE42" s="115">
        <v>0</v>
      </c>
      <c r="AF42" s="115">
        <v>0</v>
      </c>
      <c r="AG42" s="115">
        <v>0</v>
      </c>
      <c r="AH42" s="115">
        <v>0</v>
      </c>
      <c r="AI42" s="115">
        <v>0</v>
      </c>
      <c r="AJ42" s="115">
        <v>0</v>
      </c>
      <c r="AK42" s="115">
        <v>0</v>
      </c>
      <c r="AL42" s="115">
        <v>0</v>
      </c>
      <c r="AM42" s="115">
        <v>0</v>
      </c>
      <c r="AN42" s="115">
        <v>0</v>
      </c>
      <c r="AO42" s="115">
        <v>0</v>
      </c>
      <c r="AP42" s="115">
        <v>0</v>
      </c>
      <c r="AQ42" s="115">
        <v>0</v>
      </c>
      <c r="AR42" s="115">
        <v>0</v>
      </c>
      <c r="AS42" s="115">
        <v>0</v>
      </c>
      <c r="AT42" s="115">
        <v>0</v>
      </c>
      <c r="AU42" s="115">
        <v>0</v>
      </c>
      <c r="AV42" s="115">
        <v>0</v>
      </c>
      <c r="AW42" s="115">
        <v>0</v>
      </c>
      <c r="AX42" s="115">
        <v>0</v>
      </c>
      <c r="AY42" s="115">
        <v>0</v>
      </c>
      <c r="AZ42" s="105">
        <f>SUM($D$42:$AY$42)</f>
        <v>0</v>
      </c>
    </row>
    <row r="43" spans="1:52" x14ac:dyDescent="0.2">
      <c r="A43" s="115"/>
      <c r="B43" s="183" t="s">
        <v>351</v>
      </c>
      <c r="C43" s="115"/>
      <c r="D43" s="115">
        <v>0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</v>
      </c>
      <c r="Z43" s="115">
        <v>0</v>
      </c>
      <c r="AA43" s="115">
        <v>0</v>
      </c>
      <c r="AB43" s="115">
        <v>0</v>
      </c>
      <c r="AC43" s="115">
        <v>0</v>
      </c>
      <c r="AD43" s="115">
        <v>0</v>
      </c>
      <c r="AE43" s="115">
        <v>0</v>
      </c>
      <c r="AF43" s="115">
        <v>0</v>
      </c>
      <c r="AG43" s="115">
        <v>0</v>
      </c>
      <c r="AH43" s="115">
        <v>0</v>
      </c>
      <c r="AI43" s="115">
        <v>0</v>
      </c>
      <c r="AJ43" s="115">
        <v>0</v>
      </c>
      <c r="AK43" s="115">
        <v>0</v>
      </c>
      <c r="AL43" s="115">
        <v>0</v>
      </c>
      <c r="AM43" s="115">
        <v>0</v>
      </c>
      <c r="AN43" s="115">
        <v>0</v>
      </c>
      <c r="AO43" s="115">
        <v>0</v>
      </c>
      <c r="AP43" s="115">
        <v>0</v>
      </c>
      <c r="AQ43" s="115">
        <v>0</v>
      </c>
      <c r="AR43" s="115">
        <v>0</v>
      </c>
      <c r="AS43" s="115">
        <v>0</v>
      </c>
      <c r="AT43" s="115">
        <v>0</v>
      </c>
      <c r="AU43" s="115">
        <v>0</v>
      </c>
      <c r="AV43" s="115">
        <v>0</v>
      </c>
      <c r="AW43" s="115">
        <v>0</v>
      </c>
      <c r="AX43" s="115">
        <v>0</v>
      </c>
      <c r="AY43" s="115">
        <v>0</v>
      </c>
      <c r="AZ43" s="105">
        <f>SUM($D$43:$AY$43)</f>
        <v>0</v>
      </c>
    </row>
    <row r="44" spans="1:52" x14ac:dyDescent="0.2">
      <c r="A44" s="140" t="s">
        <v>49</v>
      </c>
      <c r="B44" s="140" t="s">
        <v>341</v>
      </c>
      <c r="C44" s="129"/>
      <c r="D44" s="129">
        <f>D$21*shipping_manufacturing!$J$28/100</f>
        <v>0</v>
      </c>
      <c r="E44" s="129">
        <f>E$21*shipping_manufacturing!$J$28/100</f>
        <v>0</v>
      </c>
      <c r="F44" s="129">
        <f>F$21*shipping_manufacturing!$J$28/100</f>
        <v>0</v>
      </c>
      <c r="G44" s="129">
        <f>G$21*shipping_manufacturing!$J$28/100</f>
        <v>0</v>
      </c>
      <c r="H44" s="129">
        <f>H$21*shipping_manufacturing!$J$28/100</f>
        <v>0</v>
      </c>
      <c r="I44" s="129">
        <f>I$21*shipping_manufacturing!$J$28/100</f>
        <v>0</v>
      </c>
      <c r="J44" s="129">
        <f>J$21*shipping_manufacturing!$J$28/100</f>
        <v>0</v>
      </c>
      <c r="K44" s="129">
        <f>K$21*shipping_manufacturing!$J$28/100</f>
        <v>0</v>
      </c>
      <c r="L44" s="129">
        <f>L$21*shipping_manufacturing!$J$28/100</f>
        <v>0</v>
      </c>
      <c r="M44" s="129">
        <f>M$21*shipping_manufacturing!$J$28/100</f>
        <v>0</v>
      </c>
      <c r="N44" s="129">
        <f>N$21*shipping_manufacturing!$J$28/100</f>
        <v>0</v>
      </c>
      <c r="O44" s="129">
        <f>O$21*shipping_manufacturing!$J$28/100</f>
        <v>0</v>
      </c>
      <c r="P44" s="129">
        <f>P$21*shipping_manufacturing!$J$28/100</f>
        <v>0</v>
      </c>
      <c r="Q44" s="129">
        <f>Q$21*shipping_manufacturing!$J$28/100</f>
        <v>0</v>
      </c>
      <c r="R44" s="129">
        <f>R$21*shipping_manufacturing!$J$28/100</f>
        <v>0</v>
      </c>
      <c r="S44" s="129">
        <f>S$21*shipping_manufacturing!$J$28/100</f>
        <v>0</v>
      </c>
      <c r="T44" s="129">
        <f>T$21*shipping_manufacturing!$J$28/100</f>
        <v>0</v>
      </c>
      <c r="U44" s="129">
        <f>U$21*shipping_manufacturing!$J$28/100</f>
        <v>0</v>
      </c>
      <c r="V44" s="129">
        <f>V$21*shipping_manufacturing!$J$28/100</f>
        <v>0</v>
      </c>
      <c r="W44" s="129">
        <f>W$21*shipping_manufacturing!$J$28/100</f>
        <v>0</v>
      </c>
      <c r="X44" s="129">
        <f>X$21*shipping_manufacturing!$J$28/100</f>
        <v>0</v>
      </c>
      <c r="Y44" s="129">
        <f>Y$21*shipping_manufacturing!$J$28/100</f>
        <v>0</v>
      </c>
      <c r="Z44" s="129">
        <f>Z$21*shipping_manufacturing!$J$28/100</f>
        <v>0</v>
      </c>
      <c r="AA44" s="129">
        <f>AA$21*shipping_manufacturing!$J$28/100</f>
        <v>0</v>
      </c>
      <c r="AB44" s="129">
        <f>AB$21*shipping_manufacturing!$J$28/100</f>
        <v>0</v>
      </c>
      <c r="AC44" s="129">
        <f>AC$21*shipping_manufacturing!$J$28/100</f>
        <v>0</v>
      </c>
      <c r="AD44" s="129">
        <f>AD$21*shipping_manufacturing!$J$28/100</f>
        <v>0</v>
      </c>
      <c r="AE44" s="129">
        <f>AE$21*shipping_manufacturing!$J$28/100</f>
        <v>0</v>
      </c>
      <c r="AF44" s="129">
        <f>AF$21*shipping_manufacturing!$J$28/100</f>
        <v>0</v>
      </c>
      <c r="AG44" s="129">
        <f>AG$21*shipping_manufacturing!$J$28/100</f>
        <v>0</v>
      </c>
      <c r="AH44" s="129">
        <f>AH$21*shipping_manufacturing!$J$28/100</f>
        <v>0</v>
      </c>
      <c r="AI44" s="129">
        <f>AI$21*shipping_manufacturing!$J$28/100</f>
        <v>0</v>
      </c>
      <c r="AJ44" s="129">
        <f>AJ$21*shipping_manufacturing!$J$28/100</f>
        <v>0</v>
      </c>
      <c r="AK44" s="129">
        <f>AK$21*shipping_manufacturing!$J$28/100</f>
        <v>0</v>
      </c>
      <c r="AL44" s="129">
        <f>AL$21*shipping_manufacturing!$J$28/100</f>
        <v>0</v>
      </c>
      <c r="AM44" s="129">
        <f>AM$21*shipping_manufacturing!$J$28/100</f>
        <v>0</v>
      </c>
      <c r="AN44" s="129">
        <f>AN$21*shipping_manufacturing!$J$28/100</f>
        <v>0</v>
      </c>
      <c r="AO44" s="129">
        <f>AO$21*shipping_manufacturing!$J$28/100</f>
        <v>0</v>
      </c>
      <c r="AP44" s="129">
        <f>AP$21*shipping_manufacturing!$J$28/100</f>
        <v>0</v>
      </c>
      <c r="AQ44" s="129">
        <f>AQ$21*shipping_manufacturing!$J$28/100</f>
        <v>0</v>
      </c>
      <c r="AR44" s="129">
        <f>AR$21*shipping_manufacturing!$J$28/100</f>
        <v>0</v>
      </c>
      <c r="AS44" s="129">
        <f>AS$21*shipping_manufacturing!$J$28/100</f>
        <v>0</v>
      </c>
      <c r="AT44" s="129">
        <f>AT$21*shipping_manufacturing!$J$28/100</f>
        <v>0</v>
      </c>
      <c r="AU44" s="129">
        <f>AU$21*shipping_manufacturing!$J$28/100</f>
        <v>0</v>
      </c>
      <c r="AV44" s="129">
        <f>AV$21*shipping_manufacturing!$J$28/100</f>
        <v>0</v>
      </c>
      <c r="AW44" s="129">
        <f>AW$21*shipping_manufacturing!$J$28/100</f>
        <v>0</v>
      </c>
      <c r="AX44" s="129">
        <f>AX$21*shipping_manufacturing!$J$28/100</f>
        <v>0</v>
      </c>
      <c r="AY44" s="129">
        <f>AY$21*shipping_manufacturing!$J$28/100</f>
        <v>0</v>
      </c>
    </row>
    <row r="45" spans="1:52" x14ac:dyDescent="0.2">
      <c r="A45" s="118" t="s">
        <v>340</v>
      </c>
      <c r="B45" s="170" t="s">
        <v>342</v>
      </c>
      <c r="C45" s="115"/>
      <c r="D45" s="115">
        <f>D$22*shipping_manufacturing!$K$28/100</f>
        <v>0</v>
      </c>
      <c r="E45" s="115">
        <f>E$22*shipping_manufacturing!$K$28/100</f>
        <v>0</v>
      </c>
      <c r="F45" s="115">
        <f>F$22*shipping_manufacturing!$K$28/100</f>
        <v>0</v>
      </c>
      <c r="G45" s="115">
        <f>G$22*shipping_manufacturing!$K$28/100</f>
        <v>0</v>
      </c>
      <c r="H45" s="115">
        <f>H$22*shipping_manufacturing!$K$28/100</f>
        <v>0</v>
      </c>
      <c r="I45" s="115">
        <f>I$22*shipping_manufacturing!$K$28/100</f>
        <v>0</v>
      </c>
      <c r="J45" s="115">
        <f>J$22*shipping_manufacturing!$K$28/100</f>
        <v>0</v>
      </c>
      <c r="K45" s="115">
        <f>K$22*shipping_manufacturing!$K$28/100</f>
        <v>0</v>
      </c>
      <c r="L45" s="115">
        <f>L$22*shipping_manufacturing!$K$28/100</f>
        <v>0</v>
      </c>
      <c r="M45" s="115">
        <f>M$22*shipping_manufacturing!$K$28/100</f>
        <v>0</v>
      </c>
      <c r="N45" s="115">
        <f>N$22*shipping_manufacturing!$K$28/100</f>
        <v>0</v>
      </c>
      <c r="O45" s="115">
        <f>O$22*shipping_manufacturing!$K$28/100</f>
        <v>0</v>
      </c>
      <c r="P45" s="115">
        <f>P$22*shipping_manufacturing!$K$28/100</f>
        <v>0</v>
      </c>
      <c r="Q45" s="115">
        <f>Q$22*shipping_manufacturing!$K$28/100</f>
        <v>0</v>
      </c>
      <c r="R45" s="115">
        <f>R$22*shipping_manufacturing!$K$28/100</f>
        <v>0</v>
      </c>
      <c r="S45" s="115">
        <f>S$22*shipping_manufacturing!$K$28/100</f>
        <v>0</v>
      </c>
      <c r="T45" s="115">
        <f>T$22*shipping_manufacturing!$K$28/100</f>
        <v>0</v>
      </c>
      <c r="U45" s="115">
        <f>U$22*shipping_manufacturing!$K$28/100</f>
        <v>0</v>
      </c>
      <c r="V45" s="115">
        <f>V$22*shipping_manufacturing!$K$28/100</f>
        <v>0</v>
      </c>
      <c r="W45" s="115">
        <f>W$22*shipping_manufacturing!$K$28/100</f>
        <v>0</v>
      </c>
      <c r="X45" s="115">
        <f>X$22*shipping_manufacturing!$K$28/100</f>
        <v>0</v>
      </c>
      <c r="Y45" s="115">
        <f>Y$22*shipping_manufacturing!$K$28/100</f>
        <v>0</v>
      </c>
      <c r="Z45" s="115">
        <f>Z$22*shipping_manufacturing!$K$28/100</f>
        <v>0</v>
      </c>
      <c r="AA45" s="115">
        <f>AA$22*shipping_manufacturing!$K$28/100</f>
        <v>0</v>
      </c>
      <c r="AB45" s="115">
        <f>AB$22*shipping_manufacturing!$K$28/100</f>
        <v>0</v>
      </c>
      <c r="AC45" s="115">
        <f>AC$22*shipping_manufacturing!$K$28/100</f>
        <v>0</v>
      </c>
      <c r="AD45" s="115">
        <f>AD$22*shipping_manufacturing!$K$28/100</f>
        <v>0</v>
      </c>
      <c r="AE45" s="115">
        <f>AE$22*shipping_manufacturing!$K$28/100</f>
        <v>0</v>
      </c>
      <c r="AF45" s="115">
        <f>AF$22*shipping_manufacturing!$K$28/100</f>
        <v>0</v>
      </c>
      <c r="AG45" s="115">
        <f>AG$22*shipping_manufacturing!$K$28/100</f>
        <v>0</v>
      </c>
      <c r="AH45" s="115">
        <f>AH$22*shipping_manufacturing!$K$28/100</f>
        <v>0</v>
      </c>
      <c r="AI45" s="115">
        <f>AI$22*shipping_manufacturing!$K$28/100</f>
        <v>0</v>
      </c>
      <c r="AJ45" s="115">
        <f>AJ$22*shipping_manufacturing!$K$28/100</f>
        <v>0</v>
      </c>
      <c r="AK45" s="115">
        <f>AK$22*shipping_manufacturing!$K$28/100</f>
        <v>0</v>
      </c>
      <c r="AL45" s="115">
        <f>AL$22*shipping_manufacturing!$K$28/100</f>
        <v>0</v>
      </c>
      <c r="AM45" s="115">
        <f>AM$22*shipping_manufacturing!$K$28/100</f>
        <v>0</v>
      </c>
      <c r="AN45" s="115">
        <f>AN$22*shipping_manufacturing!$K$28/100</f>
        <v>0</v>
      </c>
      <c r="AO45" s="115">
        <f>AO$22*shipping_manufacturing!$K$28/100</f>
        <v>0</v>
      </c>
      <c r="AP45" s="115">
        <f>AP$22*shipping_manufacturing!$K$28/100</f>
        <v>0</v>
      </c>
      <c r="AQ45" s="115">
        <f>AQ$22*shipping_manufacturing!$K$28/100</f>
        <v>0</v>
      </c>
      <c r="AR45" s="115">
        <f>AR$22*shipping_manufacturing!$K$28/100</f>
        <v>0</v>
      </c>
      <c r="AS45" s="115">
        <f>AS$22*shipping_manufacturing!$K$28/100</f>
        <v>0</v>
      </c>
      <c r="AT45" s="115">
        <f>AT$22*shipping_manufacturing!$K$28/100</f>
        <v>0</v>
      </c>
      <c r="AU45" s="115">
        <f>AU$22*shipping_manufacturing!$K$28/100</f>
        <v>0</v>
      </c>
      <c r="AV45" s="115">
        <f>AV$22*shipping_manufacturing!$K$28/100</f>
        <v>0</v>
      </c>
      <c r="AW45" s="115">
        <f>AW$22*shipping_manufacturing!$K$28/100</f>
        <v>0</v>
      </c>
      <c r="AX45" s="115">
        <f>AX$22*shipping_manufacturing!$K$28/100</f>
        <v>0</v>
      </c>
      <c r="AY45" s="115">
        <f>AY$22*shipping_manufacturing!$K$28/100</f>
        <v>0</v>
      </c>
    </row>
    <row r="46" spans="1:52" x14ac:dyDescent="0.2">
      <c r="A46" s="115">
        <v>742</v>
      </c>
      <c r="B46" s="170" t="s">
        <v>343</v>
      </c>
      <c r="C46" s="115"/>
      <c r="D46" s="115">
        <f>SUM(D44:D45)</f>
        <v>0</v>
      </c>
      <c r="E46" s="115">
        <f t="shared" ref="E46:AY46" si="14">SUM(E44:E45)</f>
        <v>0</v>
      </c>
      <c r="F46" s="115">
        <f t="shared" si="14"/>
        <v>0</v>
      </c>
      <c r="G46" s="115">
        <f t="shared" si="14"/>
        <v>0</v>
      </c>
      <c r="H46" s="115">
        <f t="shared" si="14"/>
        <v>0</v>
      </c>
      <c r="I46" s="115">
        <f t="shared" si="14"/>
        <v>0</v>
      </c>
      <c r="J46" s="115">
        <f t="shared" si="14"/>
        <v>0</v>
      </c>
      <c r="K46" s="115">
        <f t="shared" si="14"/>
        <v>0</v>
      </c>
      <c r="L46" s="115">
        <f t="shared" si="14"/>
        <v>0</v>
      </c>
      <c r="M46" s="115">
        <f t="shared" si="14"/>
        <v>0</v>
      </c>
      <c r="N46" s="115">
        <f t="shared" si="14"/>
        <v>0</v>
      </c>
      <c r="O46" s="115">
        <f t="shared" si="14"/>
        <v>0</v>
      </c>
      <c r="P46" s="115">
        <f t="shared" si="14"/>
        <v>0</v>
      </c>
      <c r="Q46" s="115">
        <f t="shared" si="14"/>
        <v>0</v>
      </c>
      <c r="R46" s="115">
        <f t="shared" si="14"/>
        <v>0</v>
      </c>
      <c r="S46" s="115">
        <f t="shared" si="14"/>
        <v>0</v>
      </c>
      <c r="T46" s="115">
        <f t="shared" si="14"/>
        <v>0</v>
      </c>
      <c r="U46" s="115">
        <f t="shared" si="14"/>
        <v>0</v>
      </c>
      <c r="V46" s="115">
        <f t="shared" si="14"/>
        <v>0</v>
      </c>
      <c r="W46" s="115">
        <f t="shared" si="14"/>
        <v>0</v>
      </c>
      <c r="X46" s="115">
        <f t="shared" si="14"/>
        <v>0</v>
      </c>
      <c r="Y46" s="115">
        <f t="shared" si="14"/>
        <v>0</v>
      </c>
      <c r="Z46" s="115">
        <f t="shared" si="14"/>
        <v>0</v>
      </c>
      <c r="AA46" s="115">
        <f t="shared" si="14"/>
        <v>0</v>
      </c>
      <c r="AB46" s="115">
        <f t="shared" si="14"/>
        <v>0</v>
      </c>
      <c r="AC46" s="115">
        <f t="shared" si="14"/>
        <v>0</v>
      </c>
      <c r="AD46" s="115">
        <f t="shared" si="14"/>
        <v>0</v>
      </c>
      <c r="AE46" s="115">
        <f t="shared" si="14"/>
        <v>0</v>
      </c>
      <c r="AF46" s="115">
        <f t="shared" si="14"/>
        <v>0</v>
      </c>
      <c r="AG46" s="115">
        <f t="shared" si="14"/>
        <v>0</v>
      </c>
      <c r="AH46" s="115">
        <f t="shared" si="14"/>
        <v>0</v>
      </c>
      <c r="AI46" s="115">
        <f t="shared" si="14"/>
        <v>0</v>
      </c>
      <c r="AJ46" s="115">
        <f t="shared" si="14"/>
        <v>0</v>
      </c>
      <c r="AK46" s="115">
        <f t="shared" si="14"/>
        <v>0</v>
      </c>
      <c r="AL46" s="115">
        <f t="shared" si="14"/>
        <v>0</v>
      </c>
      <c r="AM46" s="115">
        <f t="shared" si="14"/>
        <v>0</v>
      </c>
      <c r="AN46" s="115">
        <f t="shared" si="14"/>
        <v>0</v>
      </c>
      <c r="AO46" s="115">
        <f t="shared" si="14"/>
        <v>0</v>
      </c>
      <c r="AP46" s="115">
        <f t="shared" si="14"/>
        <v>0</v>
      </c>
      <c r="AQ46" s="115">
        <f t="shared" si="14"/>
        <v>0</v>
      </c>
      <c r="AR46" s="115">
        <f t="shared" si="14"/>
        <v>0</v>
      </c>
      <c r="AS46" s="115">
        <f t="shared" si="14"/>
        <v>0</v>
      </c>
      <c r="AT46" s="115">
        <f t="shared" si="14"/>
        <v>0</v>
      </c>
      <c r="AU46" s="115">
        <f t="shared" si="14"/>
        <v>0</v>
      </c>
      <c r="AV46" s="115">
        <f t="shared" si="14"/>
        <v>0</v>
      </c>
      <c r="AW46" s="115">
        <f t="shared" si="14"/>
        <v>0</v>
      </c>
      <c r="AX46" s="115">
        <f t="shared" si="14"/>
        <v>0</v>
      </c>
      <c r="AY46" s="115">
        <f t="shared" si="14"/>
        <v>0</v>
      </c>
    </row>
    <row r="47" spans="1:52" x14ac:dyDescent="0.2">
      <c r="A47" s="115"/>
      <c r="B47" s="170" t="s">
        <v>344</v>
      </c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2" x14ac:dyDescent="0.2">
      <c r="A48" s="115"/>
      <c r="B48" s="170" t="s">
        <v>345</v>
      </c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2" x14ac:dyDescent="0.2">
      <c r="A49" s="115"/>
      <c r="B49" s="170" t="s">
        <v>346</v>
      </c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2" x14ac:dyDescent="0.2">
      <c r="A50" s="115"/>
      <c r="B50" s="170" t="s">
        <v>347</v>
      </c>
      <c r="C50" s="115"/>
      <c r="D50" s="115">
        <f>D44-D47</f>
        <v>0</v>
      </c>
      <c r="E50" s="115">
        <f t="shared" ref="E50:AY50" si="15">E44-E47</f>
        <v>0</v>
      </c>
      <c r="F50" s="115">
        <f t="shared" si="15"/>
        <v>0</v>
      </c>
      <c r="G50" s="115">
        <f t="shared" si="15"/>
        <v>0</v>
      </c>
      <c r="H50" s="115">
        <f t="shared" si="15"/>
        <v>0</v>
      </c>
      <c r="I50" s="115">
        <f t="shared" si="15"/>
        <v>0</v>
      </c>
      <c r="J50" s="115">
        <f t="shared" si="15"/>
        <v>0</v>
      </c>
      <c r="K50" s="115">
        <f t="shared" si="15"/>
        <v>0</v>
      </c>
      <c r="L50" s="115">
        <f t="shared" si="15"/>
        <v>0</v>
      </c>
      <c r="M50" s="115">
        <f t="shared" si="15"/>
        <v>0</v>
      </c>
      <c r="N50" s="115">
        <f t="shared" si="15"/>
        <v>0</v>
      </c>
      <c r="O50" s="115">
        <f t="shared" si="15"/>
        <v>0</v>
      </c>
      <c r="P50" s="115">
        <f t="shared" si="15"/>
        <v>0</v>
      </c>
      <c r="Q50" s="115">
        <f t="shared" si="15"/>
        <v>0</v>
      </c>
      <c r="R50" s="115">
        <f t="shared" si="15"/>
        <v>0</v>
      </c>
      <c r="S50" s="115">
        <f t="shared" si="15"/>
        <v>0</v>
      </c>
      <c r="T50" s="115">
        <f t="shared" si="15"/>
        <v>0</v>
      </c>
      <c r="U50" s="115">
        <f t="shared" si="15"/>
        <v>0</v>
      </c>
      <c r="V50" s="115">
        <f t="shared" si="15"/>
        <v>0</v>
      </c>
      <c r="W50" s="115">
        <f t="shared" si="15"/>
        <v>0</v>
      </c>
      <c r="X50" s="115">
        <f t="shared" si="15"/>
        <v>0</v>
      </c>
      <c r="Y50" s="115">
        <f t="shared" si="15"/>
        <v>0</v>
      </c>
      <c r="Z50" s="115">
        <f t="shared" si="15"/>
        <v>0</v>
      </c>
      <c r="AA50" s="115">
        <f t="shared" si="15"/>
        <v>0</v>
      </c>
      <c r="AB50" s="115">
        <f t="shared" si="15"/>
        <v>0</v>
      </c>
      <c r="AC50" s="115">
        <f t="shared" si="15"/>
        <v>0</v>
      </c>
      <c r="AD50" s="115">
        <f t="shared" si="15"/>
        <v>0</v>
      </c>
      <c r="AE50" s="115">
        <f t="shared" si="15"/>
        <v>0</v>
      </c>
      <c r="AF50" s="115">
        <f t="shared" si="15"/>
        <v>0</v>
      </c>
      <c r="AG50" s="115">
        <f t="shared" si="15"/>
        <v>0</v>
      </c>
      <c r="AH50" s="115">
        <f t="shared" si="15"/>
        <v>0</v>
      </c>
      <c r="AI50" s="115">
        <f t="shared" si="15"/>
        <v>0</v>
      </c>
      <c r="AJ50" s="115">
        <f t="shared" si="15"/>
        <v>0</v>
      </c>
      <c r="AK50" s="115">
        <f t="shared" si="15"/>
        <v>0</v>
      </c>
      <c r="AL50" s="115">
        <f t="shared" si="15"/>
        <v>0</v>
      </c>
      <c r="AM50" s="115">
        <f t="shared" si="15"/>
        <v>0</v>
      </c>
      <c r="AN50" s="115">
        <f t="shared" si="15"/>
        <v>0</v>
      </c>
      <c r="AO50" s="115">
        <f t="shared" si="15"/>
        <v>0</v>
      </c>
      <c r="AP50" s="115">
        <f t="shared" si="15"/>
        <v>0</v>
      </c>
      <c r="AQ50" s="115">
        <f t="shared" si="15"/>
        <v>0</v>
      </c>
      <c r="AR50" s="115">
        <f t="shared" si="15"/>
        <v>0</v>
      </c>
      <c r="AS50" s="115">
        <f t="shared" si="15"/>
        <v>0</v>
      </c>
      <c r="AT50" s="115">
        <f t="shared" si="15"/>
        <v>0</v>
      </c>
      <c r="AU50" s="115">
        <f t="shared" si="15"/>
        <v>0</v>
      </c>
      <c r="AV50" s="115">
        <f t="shared" si="15"/>
        <v>0</v>
      </c>
      <c r="AW50" s="115">
        <f t="shared" si="15"/>
        <v>0</v>
      </c>
      <c r="AX50" s="115">
        <f t="shared" si="15"/>
        <v>0</v>
      </c>
      <c r="AY50" s="115">
        <f t="shared" si="15"/>
        <v>0</v>
      </c>
    </row>
    <row r="51" spans="1:52" x14ac:dyDescent="0.2">
      <c r="A51" s="115"/>
      <c r="B51" s="170" t="s">
        <v>348</v>
      </c>
      <c r="C51" s="115"/>
      <c r="D51" s="115">
        <f>D45-D48</f>
        <v>0</v>
      </c>
      <c r="E51" s="115">
        <f t="shared" ref="E51:AY51" si="16">E45-E48</f>
        <v>0</v>
      </c>
      <c r="F51" s="115">
        <f t="shared" si="16"/>
        <v>0</v>
      </c>
      <c r="G51" s="115">
        <f t="shared" si="16"/>
        <v>0</v>
      </c>
      <c r="H51" s="115">
        <f t="shared" si="16"/>
        <v>0</v>
      </c>
      <c r="I51" s="115">
        <f t="shared" si="16"/>
        <v>0</v>
      </c>
      <c r="J51" s="115">
        <f t="shared" si="16"/>
        <v>0</v>
      </c>
      <c r="K51" s="115">
        <f t="shared" si="16"/>
        <v>0</v>
      </c>
      <c r="L51" s="115">
        <f t="shared" si="16"/>
        <v>0</v>
      </c>
      <c r="M51" s="115">
        <f t="shared" si="16"/>
        <v>0</v>
      </c>
      <c r="N51" s="115">
        <f t="shared" si="16"/>
        <v>0</v>
      </c>
      <c r="O51" s="115">
        <f t="shared" si="16"/>
        <v>0</v>
      </c>
      <c r="P51" s="115">
        <f t="shared" si="16"/>
        <v>0</v>
      </c>
      <c r="Q51" s="115">
        <f t="shared" si="16"/>
        <v>0</v>
      </c>
      <c r="R51" s="115">
        <f t="shared" si="16"/>
        <v>0</v>
      </c>
      <c r="S51" s="115">
        <f t="shared" si="16"/>
        <v>0</v>
      </c>
      <c r="T51" s="115">
        <f t="shared" si="16"/>
        <v>0</v>
      </c>
      <c r="U51" s="115">
        <f t="shared" si="16"/>
        <v>0</v>
      </c>
      <c r="V51" s="115">
        <f t="shared" si="16"/>
        <v>0</v>
      </c>
      <c r="W51" s="115">
        <f t="shared" si="16"/>
        <v>0</v>
      </c>
      <c r="X51" s="115">
        <f t="shared" si="16"/>
        <v>0</v>
      </c>
      <c r="Y51" s="115">
        <f t="shared" si="16"/>
        <v>0</v>
      </c>
      <c r="Z51" s="115">
        <f t="shared" si="16"/>
        <v>0</v>
      </c>
      <c r="AA51" s="115">
        <f t="shared" si="16"/>
        <v>0</v>
      </c>
      <c r="AB51" s="115">
        <f t="shared" si="16"/>
        <v>0</v>
      </c>
      <c r="AC51" s="115">
        <f t="shared" si="16"/>
        <v>0</v>
      </c>
      <c r="AD51" s="115">
        <f t="shared" si="16"/>
        <v>0</v>
      </c>
      <c r="AE51" s="115">
        <f t="shared" si="16"/>
        <v>0</v>
      </c>
      <c r="AF51" s="115">
        <f t="shared" si="16"/>
        <v>0</v>
      </c>
      <c r="AG51" s="115">
        <f t="shared" si="16"/>
        <v>0</v>
      </c>
      <c r="AH51" s="115">
        <f t="shared" si="16"/>
        <v>0</v>
      </c>
      <c r="AI51" s="115">
        <f t="shared" si="16"/>
        <v>0</v>
      </c>
      <c r="AJ51" s="115">
        <f t="shared" si="16"/>
        <v>0</v>
      </c>
      <c r="AK51" s="115">
        <f t="shared" si="16"/>
        <v>0</v>
      </c>
      <c r="AL51" s="115">
        <f t="shared" si="16"/>
        <v>0</v>
      </c>
      <c r="AM51" s="115">
        <f t="shared" si="16"/>
        <v>0</v>
      </c>
      <c r="AN51" s="115">
        <f t="shared" si="16"/>
        <v>0</v>
      </c>
      <c r="AO51" s="115">
        <f t="shared" si="16"/>
        <v>0</v>
      </c>
      <c r="AP51" s="115">
        <f t="shared" si="16"/>
        <v>0</v>
      </c>
      <c r="AQ51" s="115">
        <f t="shared" si="16"/>
        <v>0</v>
      </c>
      <c r="AR51" s="115">
        <f t="shared" si="16"/>
        <v>0</v>
      </c>
      <c r="AS51" s="115">
        <f t="shared" si="16"/>
        <v>0</v>
      </c>
      <c r="AT51" s="115">
        <f t="shared" si="16"/>
        <v>0</v>
      </c>
      <c r="AU51" s="115">
        <f t="shared" si="16"/>
        <v>0</v>
      </c>
      <c r="AV51" s="115">
        <f t="shared" si="16"/>
        <v>0</v>
      </c>
      <c r="AW51" s="115">
        <f t="shared" si="16"/>
        <v>0</v>
      </c>
      <c r="AX51" s="115">
        <f t="shared" si="16"/>
        <v>0</v>
      </c>
      <c r="AY51" s="115">
        <f t="shared" si="16"/>
        <v>0</v>
      </c>
    </row>
    <row r="52" spans="1:52" x14ac:dyDescent="0.2">
      <c r="A52" s="115"/>
      <c r="B52" s="170" t="s">
        <v>349</v>
      </c>
      <c r="C52" s="115"/>
      <c r="D52" s="115">
        <v>1</v>
      </c>
      <c r="E52" s="115">
        <v>1</v>
      </c>
      <c r="F52" s="115">
        <v>2</v>
      </c>
      <c r="G52" s="115">
        <v>2</v>
      </c>
      <c r="H52" s="115">
        <v>1</v>
      </c>
      <c r="I52" s="115">
        <v>1</v>
      </c>
      <c r="J52" s="115">
        <v>1</v>
      </c>
      <c r="K52" s="115">
        <v>3</v>
      </c>
      <c r="L52" s="115">
        <v>1</v>
      </c>
      <c r="M52" s="115">
        <v>3</v>
      </c>
      <c r="N52" s="115">
        <v>1</v>
      </c>
      <c r="O52" s="115">
        <v>2</v>
      </c>
      <c r="P52" s="115">
        <v>2</v>
      </c>
      <c r="Q52" s="115">
        <v>1</v>
      </c>
      <c r="R52" s="115">
        <v>2</v>
      </c>
      <c r="S52" s="115">
        <v>2</v>
      </c>
      <c r="T52" s="115">
        <v>1</v>
      </c>
      <c r="U52" s="115">
        <v>1</v>
      </c>
      <c r="V52" s="115">
        <v>1</v>
      </c>
      <c r="W52" s="115">
        <v>2</v>
      </c>
      <c r="X52" s="115">
        <v>2</v>
      </c>
      <c r="Y52" s="115">
        <v>1</v>
      </c>
      <c r="Z52" s="115">
        <v>1</v>
      </c>
      <c r="AA52" s="115">
        <v>1</v>
      </c>
      <c r="AB52" s="115">
        <v>1</v>
      </c>
      <c r="AC52" s="115">
        <v>1</v>
      </c>
      <c r="AD52" s="115">
        <v>1</v>
      </c>
      <c r="AE52" s="115">
        <v>1</v>
      </c>
      <c r="AF52" s="115">
        <v>1</v>
      </c>
      <c r="AG52" s="115">
        <v>2</v>
      </c>
      <c r="AH52" s="115">
        <v>1</v>
      </c>
      <c r="AI52" s="115">
        <v>2</v>
      </c>
      <c r="AJ52" s="115">
        <v>1</v>
      </c>
      <c r="AK52" s="115">
        <v>3</v>
      </c>
      <c r="AL52" s="115">
        <v>2</v>
      </c>
      <c r="AM52" s="115">
        <v>2</v>
      </c>
      <c r="AN52" s="115">
        <v>1</v>
      </c>
      <c r="AO52" s="115">
        <v>2</v>
      </c>
      <c r="AP52" s="115">
        <v>2</v>
      </c>
      <c r="AQ52" s="115">
        <v>1</v>
      </c>
      <c r="AR52" s="115">
        <v>1</v>
      </c>
      <c r="AS52" s="115">
        <v>1</v>
      </c>
      <c r="AT52" s="115">
        <v>1</v>
      </c>
      <c r="AU52" s="115">
        <v>1</v>
      </c>
      <c r="AV52" s="115">
        <v>3</v>
      </c>
      <c r="AW52" s="115">
        <v>2</v>
      </c>
      <c r="AX52" s="115">
        <v>2</v>
      </c>
      <c r="AY52" s="115">
        <v>2</v>
      </c>
    </row>
    <row r="53" spans="1:52" x14ac:dyDescent="0.2">
      <c r="A53" s="115"/>
      <c r="B53" s="183" t="s">
        <v>350</v>
      </c>
      <c r="C53" s="115"/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</v>
      </c>
      <c r="AW53" s="115">
        <v>0</v>
      </c>
      <c r="AX53" s="115">
        <v>0</v>
      </c>
      <c r="AY53" s="115">
        <v>0</v>
      </c>
      <c r="AZ53" s="105">
        <f>SUM($D$53:$AY$53)</f>
        <v>0</v>
      </c>
    </row>
    <row r="54" spans="1:52" x14ac:dyDescent="0.2">
      <c r="A54" s="115"/>
      <c r="B54" s="183" t="s">
        <v>351</v>
      </c>
      <c r="C54" s="115"/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</v>
      </c>
      <c r="AV54" s="115">
        <v>0</v>
      </c>
      <c r="AW54" s="115">
        <v>0</v>
      </c>
      <c r="AX54" s="115">
        <v>0</v>
      </c>
      <c r="AY54" s="115">
        <v>0</v>
      </c>
      <c r="AZ54" s="105">
        <f>SUM($D$54:$AY$54)</f>
        <v>0</v>
      </c>
    </row>
    <row r="55" spans="1:52" x14ac:dyDescent="0.2">
      <c r="A55" s="140" t="s">
        <v>57</v>
      </c>
      <c r="B55" s="140" t="s">
        <v>341</v>
      </c>
      <c r="C55" s="129"/>
      <c r="D55" s="129">
        <f>D$21*shipping_manufacturing!$J$29/100</f>
        <v>0</v>
      </c>
      <c r="E55" s="129">
        <f>E$21*shipping_manufacturing!$J$29/100</f>
        <v>0</v>
      </c>
      <c r="F55" s="129">
        <f>F$21*shipping_manufacturing!$J$29/100</f>
        <v>0</v>
      </c>
      <c r="G55" s="129">
        <f>G$21*shipping_manufacturing!$J$29/100</f>
        <v>0</v>
      </c>
      <c r="H55" s="129">
        <f>H$21*shipping_manufacturing!$J$29/100</f>
        <v>0</v>
      </c>
      <c r="I55" s="129">
        <f>I$21*shipping_manufacturing!$J$29/100</f>
        <v>0</v>
      </c>
      <c r="J55" s="129">
        <f>J$21*shipping_manufacturing!$J$29/100</f>
        <v>0</v>
      </c>
      <c r="K55" s="129">
        <f>K$21*shipping_manufacturing!$J$29/100</f>
        <v>0</v>
      </c>
      <c r="L55" s="129">
        <f>L$21*shipping_manufacturing!$J$29/100</f>
        <v>0</v>
      </c>
      <c r="M55" s="129">
        <f>M$21*shipping_manufacturing!$J$29/100</f>
        <v>0</v>
      </c>
      <c r="N55" s="129">
        <f>N$21*shipping_manufacturing!$J$29/100</f>
        <v>0</v>
      </c>
      <c r="O55" s="129">
        <f>O$21*shipping_manufacturing!$J$29/100</f>
        <v>0</v>
      </c>
      <c r="P55" s="129">
        <f>P$21*shipping_manufacturing!$J$29/100</f>
        <v>0</v>
      </c>
      <c r="Q55" s="129">
        <f>Q$21*shipping_manufacturing!$J$29/100</f>
        <v>0</v>
      </c>
      <c r="R55" s="129">
        <f>R$21*shipping_manufacturing!$J$29/100</f>
        <v>0</v>
      </c>
      <c r="S55" s="129">
        <f>S$21*shipping_manufacturing!$J$29/100</f>
        <v>0</v>
      </c>
      <c r="T55" s="129">
        <f>T$21*shipping_manufacturing!$J$29/100</f>
        <v>0</v>
      </c>
      <c r="U55" s="129">
        <f>U$21*shipping_manufacturing!$J$29/100</f>
        <v>0</v>
      </c>
      <c r="V55" s="129">
        <f>V$21*shipping_manufacturing!$J$29/100</f>
        <v>0</v>
      </c>
      <c r="W55" s="129">
        <f>W$21*shipping_manufacturing!$J$29/100</f>
        <v>0</v>
      </c>
      <c r="X55" s="129">
        <f>X$21*shipping_manufacturing!$J$29/100</f>
        <v>0</v>
      </c>
      <c r="Y55" s="129">
        <f>Y$21*shipping_manufacturing!$J$29/100</f>
        <v>0</v>
      </c>
      <c r="Z55" s="129">
        <f>Z$21*shipping_manufacturing!$J$29/100</f>
        <v>0</v>
      </c>
      <c r="AA55" s="129">
        <f>AA$21*shipping_manufacturing!$J$29/100</f>
        <v>0</v>
      </c>
      <c r="AB55" s="129">
        <f>AB$21*shipping_manufacturing!$J$29/100</f>
        <v>0</v>
      </c>
      <c r="AC55" s="129">
        <f>AC$21*shipping_manufacturing!$J$29/100</f>
        <v>0</v>
      </c>
      <c r="AD55" s="129">
        <f>AD$21*shipping_manufacturing!$J$29/100</f>
        <v>0</v>
      </c>
      <c r="AE55" s="129">
        <f>AE$21*shipping_manufacturing!$J$29/100</f>
        <v>0</v>
      </c>
      <c r="AF55" s="129">
        <f>AF$21*shipping_manufacturing!$J$29/100</f>
        <v>0</v>
      </c>
      <c r="AG55" s="129">
        <f>AG$21*shipping_manufacturing!$J$29/100</f>
        <v>0</v>
      </c>
      <c r="AH55" s="129">
        <f>AH$21*shipping_manufacturing!$J$29/100</f>
        <v>0</v>
      </c>
      <c r="AI55" s="129">
        <f>AI$21*shipping_manufacturing!$J$29/100</f>
        <v>0</v>
      </c>
      <c r="AJ55" s="129">
        <f>AJ$21*shipping_manufacturing!$J$29/100</f>
        <v>0</v>
      </c>
      <c r="AK55" s="129">
        <f>AK$21*shipping_manufacturing!$J$29/100</f>
        <v>0</v>
      </c>
      <c r="AL55" s="129">
        <f>AL$21*shipping_manufacturing!$J$29/100</f>
        <v>0</v>
      </c>
      <c r="AM55" s="129">
        <f>AM$21*shipping_manufacturing!$J$29/100</f>
        <v>0</v>
      </c>
      <c r="AN55" s="129">
        <f>AN$21*shipping_manufacturing!$J$29/100</f>
        <v>0</v>
      </c>
      <c r="AO55" s="129">
        <f>AO$21*shipping_manufacturing!$J$29/100</f>
        <v>0</v>
      </c>
      <c r="AP55" s="129">
        <f>AP$21*shipping_manufacturing!$J$29/100</f>
        <v>0</v>
      </c>
      <c r="AQ55" s="129">
        <f>AQ$21*shipping_manufacturing!$J$29/100</f>
        <v>0</v>
      </c>
      <c r="AR55" s="129">
        <f>AR$21*shipping_manufacturing!$J$29/100</f>
        <v>0</v>
      </c>
      <c r="AS55" s="129">
        <f>AS$21*shipping_manufacturing!$J$29/100</f>
        <v>0</v>
      </c>
      <c r="AT55" s="129">
        <f>AT$21*shipping_manufacturing!$J$29/100</f>
        <v>0</v>
      </c>
      <c r="AU55" s="129">
        <f>AU$21*shipping_manufacturing!$J$29/100</f>
        <v>0</v>
      </c>
      <c r="AV55" s="129">
        <f>AV$21*shipping_manufacturing!$J$29/100</f>
        <v>0</v>
      </c>
      <c r="AW55" s="129">
        <f>AW$21*shipping_manufacturing!$J$29/100</f>
        <v>0</v>
      </c>
      <c r="AX55" s="129">
        <f>AX$21*shipping_manufacturing!$J$29/100</f>
        <v>0</v>
      </c>
      <c r="AY55" s="129">
        <f>AY$21*shipping_manufacturing!$J$29/100</f>
        <v>0</v>
      </c>
    </row>
    <row r="56" spans="1:52" x14ac:dyDescent="0.2">
      <c r="A56" s="118" t="s">
        <v>340</v>
      </c>
      <c r="B56" s="170" t="s">
        <v>342</v>
      </c>
      <c r="C56" s="115"/>
      <c r="D56" s="115">
        <f>D$22*shipping_manufacturing!$K$29/100</f>
        <v>0</v>
      </c>
      <c r="E56" s="115">
        <f>E$22*shipping_manufacturing!$K$29/100</f>
        <v>0</v>
      </c>
      <c r="F56" s="115">
        <f>F$22*shipping_manufacturing!$K$29/100</f>
        <v>0</v>
      </c>
      <c r="G56" s="115">
        <f>G$22*shipping_manufacturing!$K$29/100</f>
        <v>0</v>
      </c>
      <c r="H56" s="115">
        <f>H$22*shipping_manufacturing!$K$29/100</f>
        <v>0</v>
      </c>
      <c r="I56" s="115">
        <f>I$22*shipping_manufacturing!$K$29/100</f>
        <v>0</v>
      </c>
      <c r="J56" s="115">
        <f>J$22*shipping_manufacturing!$K$29/100</f>
        <v>0</v>
      </c>
      <c r="K56" s="115">
        <f>K$22*shipping_manufacturing!$K$29/100</f>
        <v>0</v>
      </c>
      <c r="L56" s="115">
        <f>L$22*shipping_manufacturing!$K$29/100</f>
        <v>0</v>
      </c>
      <c r="M56" s="115">
        <f>M$22*shipping_manufacturing!$K$29/100</f>
        <v>0</v>
      </c>
      <c r="N56" s="115">
        <f>N$22*shipping_manufacturing!$K$29/100</f>
        <v>0</v>
      </c>
      <c r="O56" s="115">
        <f>O$22*shipping_manufacturing!$K$29/100</f>
        <v>0</v>
      </c>
      <c r="P56" s="115">
        <f>P$22*shipping_manufacturing!$K$29/100</f>
        <v>0</v>
      </c>
      <c r="Q56" s="115">
        <f>Q$22*shipping_manufacturing!$K$29/100</f>
        <v>0</v>
      </c>
      <c r="R56" s="115">
        <f>R$22*shipping_manufacturing!$K$29/100</f>
        <v>0</v>
      </c>
      <c r="S56" s="115">
        <f>S$22*shipping_manufacturing!$K$29/100</f>
        <v>0</v>
      </c>
      <c r="T56" s="115">
        <f>T$22*shipping_manufacturing!$K$29/100</f>
        <v>0</v>
      </c>
      <c r="U56" s="115">
        <f>U$22*shipping_manufacturing!$K$29/100</f>
        <v>0</v>
      </c>
      <c r="V56" s="115">
        <f>V$22*shipping_manufacturing!$K$29/100</f>
        <v>0</v>
      </c>
      <c r="W56" s="115">
        <f>W$22*shipping_manufacturing!$K$29/100</f>
        <v>0</v>
      </c>
      <c r="X56" s="115">
        <f>X$22*shipping_manufacturing!$K$29/100</f>
        <v>0</v>
      </c>
      <c r="Y56" s="115">
        <f>Y$22*shipping_manufacturing!$K$29/100</f>
        <v>0</v>
      </c>
      <c r="Z56" s="115">
        <f>Z$22*shipping_manufacturing!$K$29/100</f>
        <v>0</v>
      </c>
      <c r="AA56" s="115">
        <f>AA$22*shipping_manufacturing!$K$29/100</f>
        <v>0</v>
      </c>
      <c r="AB56" s="115">
        <f>AB$22*shipping_manufacturing!$K$29/100</f>
        <v>0</v>
      </c>
      <c r="AC56" s="115">
        <f>AC$22*shipping_manufacturing!$K$29/100</f>
        <v>0</v>
      </c>
      <c r="AD56" s="115">
        <f>AD$22*shipping_manufacturing!$K$29/100</f>
        <v>0</v>
      </c>
      <c r="AE56" s="115">
        <f>AE$22*shipping_manufacturing!$K$29/100</f>
        <v>0</v>
      </c>
      <c r="AF56" s="115">
        <f>AF$22*shipping_manufacturing!$K$29/100</f>
        <v>0</v>
      </c>
      <c r="AG56" s="115">
        <f>AG$22*shipping_manufacturing!$K$29/100</f>
        <v>0</v>
      </c>
      <c r="AH56" s="115">
        <f>AH$22*shipping_manufacturing!$K$29/100</f>
        <v>0</v>
      </c>
      <c r="AI56" s="115">
        <f>AI$22*shipping_manufacturing!$K$29/100</f>
        <v>0</v>
      </c>
      <c r="AJ56" s="115">
        <f>AJ$22*shipping_manufacturing!$K$29/100</f>
        <v>0</v>
      </c>
      <c r="AK56" s="115">
        <f>AK$22*shipping_manufacturing!$K$29/100</f>
        <v>0</v>
      </c>
      <c r="AL56" s="115">
        <f>AL$22*shipping_manufacturing!$K$29/100</f>
        <v>0</v>
      </c>
      <c r="AM56" s="115">
        <f>AM$22*shipping_manufacturing!$K$29/100</f>
        <v>0</v>
      </c>
      <c r="AN56" s="115">
        <f>AN$22*shipping_manufacturing!$K$29/100</f>
        <v>0</v>
      </c>
      <c r="AO56" s="115">
        <f>AO$22*shipping_manufacturing!$K$29/100</f>
        <v>0</v>
      </c>
      <c r="AP56" s="115">
        <f>AP$22*shipping_manufacturing!$K$29/100</f>
        <v>0</v>
      </c>
      <c r="AQ56" s="115">
        <f>AQ$22*shipping_manufacturing!$K$29/100</f>
        <v>0</v>
      </c>
      <c r="AR56" s="115">
        <f>AR$22*shipping_manufacturing!$K$29/100</f>
        <v>0</v>
      </c>
      <c r="AS56" s="115">
        <f>AS$22*shipping_manufacturing!$K$29/100</f>
        <v>0</v>
      </c>
      <c r="AT56" s="115">
        <f>AT$22*shipping_manufacturing!$K$29/100</f>
        <v>0</v>
      </c>
      <c r="AU56" s="115">
        <f>AU$22*shipping_manufacturing!$K$29/100</f>
        <v>0</v>
      </c>
      <c r="AV56" s="115">
        <f>AV$22*shipping_manufacturing!$K$29/100</f>
        <v>0</v>
      </c>
      <c r="AW56" s="115">
        <f>AW$22*shipping_manufacturing!$K$29/100</f>
        <v>0</v>
      </c>
      <c r="AX56" s="115">
        <f>AX$22*shipping_manufacturing!$K$29/100</f>
        <v>0</v>
      </c>
      <c r="AY56" s="115">
        <f>AY$22*shipping_manufacturing!$K$29/100</f>
        <v>0</v>
      </c>
    </row>
    <row r="57" spans="1:52" x14ac:dyDescent="0.2">
      <c r="A57" s="115">
        <v>2015</v>
      </c>
      <c r="B57" s="170" t="s">
        <v>343</v>
      </c>
      <c r="C57" s="115"/>
      <c r="D57" s="115">
        <f>SUM(D55:D56)</f>
        <v>0</v>
      </c>
      <c r="E57" s="115">
        <f t="shared" ref="E57:AY57" si="17">SUM(E55:E56)</f>
        <v>0</v>
      </c>
      <c r="F57" s="115">
        <f t="shared" si="17"/>
        <v>0</v>
      </c>
      <c r="G57" s="115">
        <f t="shared" si="17"/>
        <v>0</v>
      </c>
      <c r="H57" s="115">
        <f t="shared" si="17"/>
        <v>0</v>
      </c>
      <c r="I57" s="115">
        <f t="shared" si="17"/>
        <v>0</v>
      </c>
      <c r="J57" s="115">
        <f t="shared" si="17"/>
        <v>0</v>
      </c>
      <c r="K57" s="115">
        <f t="shared" si="17"/>
        <v>0</v>
      </c>
      <c r="L57" s="115">
        <f t="shared" si="17"/>
        <v>0</v>
      </c>
      <c r="M57" s="115">
        <f t="shared" si="17"/>
        <v>0</v>
      </c>
      <c r="N57" s="115">
        <f t="shared" si="17"/>
        <v>0</v>
      </c>
      <c r="O57" s="115">
        <f t="shared" si="17"/>
        <v>0</v>
      </c>
      <c r="P57" s="115">
        <f t="shared" si="17"/>
        <v>0</v>
      </c>
      <c r="Q57" s="115">
        <f t="shared" si="17"/>
        <v>0</v>
      </c>
      <c r="R57" s="115">
        <f t="shared" si="17"/>
        <v>0</v>
      </c>
      <c r="S57" s="115">
        <f t="shared" si="17"/>
        <v>0</v>
      </c>
      <c r="T57" s="115">
        <f t="shared" si="17"/>
        <v>0</v>
      </c>
      <c r="U57" s="115">
        <f t="shared" si="17"/>
        <v>0</v>
      </c>
      <c r="V57" s="115">
        <f t="shared" si="17"/>
        <v>0</v>
      </c>
      <c r="W57" s="115">
        <f t="shared" si="17"/>
        <v>0</v>
      </c>
      <c r="X57" s="115">
        <f t="shared" si="17"/>
        <v>0</v>
      </c>
      <c r="Y57" s="115">
        <f t="shared" si="17"/>
        <v>0</v>
      </c>
      <c r="Z57" s="115">
        <f t="shared" si="17"/>
        <v>0</v>
      </c>
      <c r="AA57" s="115">
        <f t="shared" si="17"/>
        <v>0</v>
      </c>
      <c r="AB57" s="115">
        <f t="shared" si="17"/>
        <v>0</v>
      </c>
      <c r="AC57" s="115">
        <f t="shared" si="17"/>
        <v>0</v>
      </c>
      <c r="AD57" s="115">
        <f t="shared" si="17"/>
        <v>0</v>
      </c>
      <c r="AE57" s="115">
        <f t="shared" si="17"/>
        <v>0</v>
      </c>
      <c r="AF57" s="115">
        <f t="shared" si="17"/>
        <v>0</v>
      </c>
      <c r="AG57" s="115">
        <f t="shared" si="17"/>
        <v>0</v>
      </c>
      <c r="AH57" s="115">
        <f t="shared" si="17"/>
        <v>0</v>
      </c>
      <c r="AI57" s="115">
        <f t="shared" si="17"/>
        <v>0</v>
      </c>
      <c r="AJ57" s="115">
        <f t="shared" si="17"/>
        <v>0</v>
      </c>
      <c r="AK57" s="115">
        <f t="shared" si="17"/>
        <v>0</v>
      </c>
      <c r="AL57" s="115">
        <f t="shared" si="17"/>
        <v>0</v>
      </c>
      <c r="AM57" s="115">
        <f t="shared" si="17"/>
        <v>0</v>
      </c>
      <c r="AN57" s="115">
        <f t="shared" si="17"/>
        <v>0</v>
      </c>
      <c r="AO57" s="115">
        <f t="shared" si="17"/>
        <v>0</v>
      </c>
      <c r="AP57" s="115">
        <f t="shared" si="17"/>
        <v>0</v>
      </c>
      <c r="AQ57" s="115">
        <f t="shared" si="17"/>
        <v>0</v>
      </c>
      <c r="AR57" s="115">
        <f t="shared" si="17"/>
        <v>0</v>
      </c>
      <c r="AS57" s="115">
        <f t="shared" si="17"/>
        <v>0</v>
      </c>
      <c r="AT57" s="115">
        <f t="shared" si="17"/>
        <v>0</v>
      </c>
      <c r="AU57" s="115">
        <f t="shared" si="17"/>
        <v>0</v>
      </c>
      <c r="AV57" s="115">
        <f t="shared" si="17"/>
        <v>0</v>
      </c>
      <c r="AW57" s="115">
        <f t="shared" si="17"/>
        <v>0</v>
      </c>
      <c r="AX57" s="115">
        <f t="shared" si="17"/>
        <v>0</v>
      </c>
      <c r="AY57" s="115">
        <f t="shared" si="17"/>
        <v>0</v>
      </c>
    </row>
    <row r="58" spans="1:52" x14ac:dyDescent="0.2">
      <c r="A58" s="115"/>
      <c r="B58" s="170" t="s">
        <v>344</v>
      </c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2" x14ac:dyDescent="0.2">
      <c r="A59" s="115"/>
      <c r="B59" s="170" t="s">
        <v>345</v>
      </c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2" x14ac:dyDescent="0.2">
      <c r="A60" s="115"/>
      <c r="B60" s="170" t="s">
        <v>346</v>
      </c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2" x14ac:dyDescent="0.2">
      <c r="A61" s="115"/>
      <c r="B61" s="170" t="s">
        <v>347</v>
      </c>
      <c r="C61" s="115"/>
      <c r="D61" s="115">
        <f>D55-D58</f>
        <v>0</v>
      </c>
      <c r="E61" s="115">
        <f t="shared" ref="E61:AY61" si="18">E55-E58</f>
        <v>0</v>
      </c>
      <c r="F61" s="115">
        <f t="shared" si="18"/>
        <v>0</v>
      </c>
      <c r="G61" s="115">
        <f t="shared" si="18"/>
        <v>0</v>
      </c>
      <c r="H61" s="115">
        <f t="shared" si="18"/>
        <v>0</v>
      </c>
      <c r="I61" s="115">
        <f t="shared" si="18"/>
        <v>0</v>
      </c>
      <c r="J61" s="115">
        <f t="shared" si="18"/>
        <v>0</v>
      </c>
      <c r="K61" s="115">
        <f t="shared" si="18"/>
        <v>0</v>
      </c>
      <c r="L61" s="115">
        <f t="shared" si="18"/>
        <v>0</v>
      </c>
      <c r="M61" s="115">
        <f t="shared" si="18"/>
        <v>0</v>
      </c>
      <c r="N61" s="115">
        <f t="shared" si="18"/>
        <v>0</v>
      </c>
      <c r="O61" s="115">
        <f t="shared" si="18"/>
        <v>0</v>
      </c>
      <c r="P61" s="115">
        <f t="shared" si="18"/>
        <v>0</v>
      </c>
      <c r="Q61" s="115">
        <f t="shared" si="18"/>
        <v>0</v>
      </c>
      <c r="R61" s="115">
        <f t="shared" si="18"/>
        <v>0</v>
      </c>
      <c r="S61" s="115">
        <f t="shared" si="18"/>
        <v>0</v>
      </c>
      <c r="T61" s="115">
        <f t="shared" si="18"/>
        <v>0</v>
      </c>
      <c r="U61" s="115">
        <f t="shared" si="18"/>
        <v>0</v>
      </c>
      <c r="V61" s="115">
        <f t="shared" si="18"/>
        <v>0</v>
      </c>
      <c r="W61" s="115">
        <f t="shared" si="18"/>
        <v>0</v>
      </c>
      <c r="X61" s="115">
        <f t="shared" si="18"/>
        <v>0</v>
      </c>
      <c r="Y61" s="115">
        <f t="shared" si="18"/>
        <v>0</v>
      </c>
      <c r="Z61" s="115">
        <f t="shared" si="18"/>
        <v>0</v>
      </c>
      <c r="AA61" s="115">
        <f t="shared" si="18"/>
        <v>0</v>
      </c>
      <c r="AB61" s="115">
        <f t="shared" si="18"/>
        <v>0</v>
      </c>
      <c r="AC61" s="115">
        <f t="shared" si="18"/>
        <v>0</v>
      </c>
      <c r="AD61" s="115">
        <f t="shared" si="18"/>
        <v>0</v>
      </c>
      <c r="AE61" s="115">
        <f t="shared" si="18"/>
        <v>0</v>
      </c>
      <c r="AF61" s="115">
        <f t="shared" si="18"/>
        <v>0</v>
      </c>
      <c r="AG61" s="115">
        <f t="shared" si="18"/>
        <v>0</v>
      </c>
      <c r="AH61" s="115">
        <f t="shared" si="18"/>
        <v>0</v>
      </c>
      <c r="AI61" s="115">
        <f t="shared" si="18"/>
        <v>0</v>
      </c>
      <c r="AJ61" s="115">
        <f t="shared" si="18"/>
        <v>0</v>
      </c>
      <c r="AK61" s="115">
        <f t="shared" si="18"/>
        <v>0</v>
      </c>
      <c r="AL61" s="115">
        <f t="shared" si="18"/>
        <v>0</v>
      </c>
      <c r="AM61" s="115">
        <f t="shared" si="18"/>
        <v>0</v>
      </c>
      <c r="AN61" s="115">
        <f t="shared" si="18"/>
        <v>0</v>
      </c>
      <c r="AO61" s="115">
        <f t="shared" si="18"/>
        <v>0</v>
      </c>
      <c r="AP61" s="115">
        <f t="shared" si="18"/>
        <v>0</v>
      </c>
      <c r="AQ61" s="115">
        <f t="shared" si="18"/>
        <v>0</v>
      </c>
      <c r="AR61" s="115">
        <f t="shared" si="18"/>
        <v>0</v>
      </c>
      <c r="AS61" s="115">
        <f t="shared" si="18"/>
        <v>0</v>
      </c>
      <c r="AT61" s="115">
        <f t="shared" si="18"/>
        <v>0</v>
      </c>
      <c r="AU61" s="115">
        <f t="shared" si="18"/>
        <v>0</v>
      </c>
      <c r="AV61" s="115">
        <f t="shared" si="18"/>
        <v>0</v>
      </c>
      <c r="AW61" s="115">
        <f t="shared" si="18"/>
        <v>0</v>
      </c>
      <c r="AX61" s="115">
        <f t="shared" si="18"/>
        <v>0</v>
      </c>
      <c r="AY61" s="115">
        <f t="shared" si="18"/>
        <v>0</v>
      </c>
    </row>
    <row r="62" spans="1:52" x14ac:dyDescent="0.2">
      <c r="A62" s="115"/>
      <c r="B62" s="170" t="s">
        <v>348</v>
      </c>
      <c r="C62" s="115"/>
      <c r="D62" s="115">
        <f>D56-D59</f>
        <v>0</v>
      </c>
      <c r="E62" s="115">
        <f t="shared" ref="E62:AY62" si="19">E56-E59</f>
        <v>0</v>
      </c>
      <c r="F62" s="115">
        <f t="shared" si="19"/>
        <v>0</v>
      </c>
      <c r="G62" s="115">
        <f t="shared" si="19"/>
        <v>0</v>
      </c>
      <c r="H62" s="115">
        <f t="shared" si="19"/>
        <v>0</v>
      </c>
      <c r="I62" s="115">
        <f t="shared" si="19"/>
        <v>0</v>
      </c>
      <c r="J62" s="115">
        <f t="shared" si="19"/>
        <v>0</v>
      </c>
      <c r="K62" s="115">
        <f t="shared" si="19"/>
        <v>0</v>
      </c>
      <c r="L62" s="115">
        <f t="shared" si="19"/>
        <v>0</v>
      </c>
      <c r="M62" s="115">
        <f t="shared" si="19"/>
        <v>0</v>
      </c>
      <c r="N62" s="115">
        <f t="shared" si="19"/>
        <v>0</v>
      </c>
      <c r="O62" s="115">
        <f t="shared" si="19"/>
        <v>0</v>
      </c>
      <c r="P62" s="115">
        <f t="shared" si="19"/>
        <v>0</v>
      </c>
      <c r="Q62" s="115">
        <f t="shared" si="19"/>
        <v>0</v>
      </c>
      <c r="R62" s="115">
        <f t="shared" si="19"/>
        <v>0</v>
      </c>
      <c r="S62" s="115">
        <f t="shared" si="19"/>
        <v>0</v>
      </c>
      <c r="T62" s="115">
        <f t="shared" si="19"/>
        <v>0</v>
      </c>
      <c r="U62" s="115">
        <f t="shared" si="19"/>
        <v>0</v>
      </c>
      <c r="V62" s="115">
        <f t="shared" si="19"/>
        <v>0</v>
      </c>
      <c r="W62" s="115">
        <f t="shared" si="19"/>
        <v>0</v>
      </c>
      <c r="X62" s="115">
        <f t="shared" si="19"/>
        <v>0</v>
      </c>
      <c r="Y62" s="115">
        <f t="shared" si="19"/>
        <v>0</v>
      </c>
      <c r="Z62" s="115">
        <f t="shared" si="19"/>
        <v>0</v>
      </c>
      <c r="AA62" s="115">
        <f t="shared" si="19"/>
        <v>0</v>
      </c>
      <c r="AB62" s="115">
        <f t="shared" si="19"/>
        <v>0</v>
      </c>
      <c r="AC62" s="115">
        <f t="shared" si="19"/>
        <v>0</v>
      </c>
      <c r="AD62" s="115">
        <f t="shared" si="19"/>
        <v>0</v>
      </c>
      <c r="AE62" s="115">
        <f t="shared" si="19"/>
        <v>0</v>
      </c>
      <c r="AF62" s="115">
        <f t="shared" si="19"/>
        <v>0</v>
      </c>
      <c r="AG62" s="115">
        <f t="shared" si="19"/>
        <v>0</v>
      </c>
      <c r="AH62" s="115">
        <f t="shared" si="19"/>
        <v>0</v>
      </c>
      <c r="AI62" s="115">
        <f t="shared" si="19"/>
        <v>0</v>
      </c>
      <c r="AJ62" s="115">
        <f t="shared" si="19"/>
        <v>0</v>
      </c>
      <c r="AK62" s="115">
        <f t="shared" si="19"/>
        <v>0</v>
      </c>
      <c r="AL62" s="115">
        <f t="shared" si="19"/>
        <v>0</v>
      </c>
      <c r="AM62" s="115">
        <f t="shared" si="19"/>
        <v>0</v>
      </c>
      <c r="AN62" s="115">
        <f t="shared" si="19"/>
        <v>0</v>
      </c>
      <c r="AO62" s="115">
        <f t="shared" si="19"/>
        <v>0</v>
      </c>
      <c r="AP62" s="115">
        <f t="shared" si="19"/>
        <v>0</v>
      </c>
      <c r="AQ62" s="115">
        <f t="shared" si="19"/>
        <v>0</v>
      </c>
      <c r="AR62" s="115">
        <f t="shared" si="19"/>
        <v>0</v>
      </c>
      <c r="AS62" s="115">
        <f t="shared" si="19"/>
        <v>0</v>
      </c>
      <c r="AT62" s="115">
        <f t="shared" si="19"/>
        <v>0</v>
      </c>
      <c r="AU62" s="115">
        <f t="shared" si="19"/>
        <v>0</v>
      </c>
      <c r="AV62" s="115">
        <f t="shared" si="19"/>
        <v>0</v>
      </c>
      <c r="AW62" s="115">
        <f t="shared" si="19"/>
        <v>0</v>
      </c>
      <c r="AX62" s="115">
        <f t="shared" si="19"/>
        <v>0</v>
      </c>
      <c r="AY62" s="115">
        <f t="shared" si="19"/>
        <v>0</v>
      </c>
    </row>
    <row r="63" spans="1:52" x14ac:dyDescent="0.2">
      <c r="A63" s="115"/>
      <c r="B63" s="170" t="s">
        <v>349</v>
      </c>
      <c r="C63" s="115"/>
      <c r="D63" s="115">
        <v>2</v>
      </c>
      <c r="E63" s="115">
        <v>3</v>
      </c>
      <c r="F63" s="115">
        <v>2</v>
      </c>
      <c r="G63" s="115">
        <v>2</v>
      </c>
      <c r="H63" s="115">
        <v>4</v>
      </c>
      <c r="I63" s="115">
        <v>3</v>
      </c>
      <c r="J63" s="115">
        <v>2</v>
      </c>
      <c r="K63" s="115">
        <v>2</v>
      </c>
      <c r="L63" s="115">
        <v>2</v>
      </c>
      <c r="M63" s="115">
        <v>3</v>
      </c>
      <c r="N63" s="115">
        <v>3</v>
      </c>
      <c r="O63" s="115">
        <v>2</v>
      </c>
      <c r="P63" s="115">
        <v>4</v>
      </c>
      <c r="Q63" s="115">
        <v>2</v>
      </c>
      <c r="R63" s="115">
        <v>2</v>
      </c>
      <c r="S63" s="115">
        <v>2</v>
      </c>
      <c r="T63" s="115">
        <v>3</v>
      </c>
      <c r="U63" s="115">
        <v>3</v>
      </c>
      <c r="V63" s="115">
        <v>2</v>
      </c>
      <c r="W63" s="115">
        <v>4</v>
      </c>
      <c r="X63" s="115">
        <v>2</v>
      </c>
      <c r="Y63" s="115">
        <v>3</v>
      </c>
      <c r="Z63" s="115">
        <v>2</v>
      </c>
      <c r="AA63" s="115">
        <v>2</v>
      </c>
      <c r="AB63" s="115">
        <v>4</v>
      </c>
      <c r="AC63" s="115">
        <v>2</v>
      </c>
      <c r="AD63" s="115">
        <v>3</v>
      </c>
      <c r="AE63" s="115">
        <v>3</v>
      </c>
      <c r="AF63" s="115">
        <v>2</v>
      </c>
      <c r="AG63" s="115">
        <v>2</v>
      </c>
      <c r="AH63" s="115">
        <v>2</v>
      </c>
      <c r="AI63" s="115">
        <v>3</v>
      </c>
      <c r="AJ63" s="115">
        <v>3</v>
      </c>
      <c r="AK63" s="115">
        <v>4</v>
      </c>
      <c r="AL63" s="115">
        <v>3</v>
      </c>
      <c r="AM63" s="115">
        <v>2</v>
      </c>
      <c r="AN63" s="115">
        <v>3</v>
      </c>
      <c r="AO63" s="115">
        <v>3</v>
      </c>
      <c r="AP63" s="115">
        <v>2</v>
      </c>
      <c r="AQ63" s="115">
        <v>2</v>
      </c>
      <c r="AR63" s="115">
        <v>2</v>
      </c>
      <c r="AS63" s="115">
        <v>4</v>
      </c>
      <c r="AT63" s="115">
        <v>2</v>
      </c>
      <c r="AU63" s="115">
        <v>2</v>
      </c>
      <c r="AV63" s="115">
        <v>2</v>
      </c>
      <c r="AW63" s="115">
        <v>2</v>
      </c>
      <c r="AX63" s="115">
        <v>3</v>
      </c>
      <c r="AY63" s="115">
        <v>3</v>
      </c>
    </row>
    <row r="64" spans="1:52" x14ac:dyDescent="0.2">
      <c r="A64" s="115"/>
      <c r="B64" s="183" t="s">
        <v>350</v>
      </c>
      <c r="C64" s="115"/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15">
        <v>0</v>
      </c>
      <c r="M64" s="115">
        <v>0</v>
      </c>
      <c r="N64" s="115">
        <v>0</v>
      </c>
      <c r="O64" s="115">
        <v>0</v>
      </c>
      <c r="P64" s="115">
        <v>0</v>
      </c>
      <c r="Q64" s="115">
        <v>0</v>
      </c>
      <c r="R64" s="115">
        <v>0</v>
      </c>
      <c r="S64" s="115">
        <v>0</v>
      </c>
      <c r="T64" s="115">
        <v>0</v>
      </c>
      <c r="U64" s="115">
        <v>0</v>
      </c>
      <c r="V64" s="115">
        <v>0</v>
      </c>
      <c r="W64" s="115">
        <v>0</v>
      </c>
      <c r="X64" s="115">
        <v>0</v>
      </c>
      <c r="Y64" s="115">
        <v>0</v>
      </c>
      <c r="Z64" s="115">
        <v>0</v>
      </c>
      <c r="AA64" s="115">
        <v>0</v>
      </c>
      <c r="AB64" s="115">
        <v>0</v>
      </c>
      <c r="AC64" s="115">
        <v>0</v>
      </c>
      <c r="AD64" s="115">
        <v>0</v>
      </c>
      <c r="AE64" s="115">
        <v>0</v>
      </c>
      <c r="AF64" s="115">
        <v>0</v>
      </c>
      <c r="AG64" s="115">
        <v>0</v>
      </c>
      <c r="AH64" s="115">
        <v>0</v>
      </c>
      <c r="AI64" s="115">
        <v>0</v>
      </c>
      <c r="AJ64" s="115">
        <v>0</v>
      </c>
      <c r="AK64" s="115">
        <v>0</v>
      </c>
      <c r="AL64" s="115">
        <v>0</v>
      </c>
      <c r="AM64" s="115">
        <v>0</v>
      </c>
      <c r="AN64" s="115">
        <v>0</v>
      </c>
      <c r="AO64" s="115">
        <v>0</v>
      </c>
      <c r="AP64" s="115">
        <v>0</v>
      </c>
      <c r="AQ64" s="115">
        <v>0</v>
      </c>
      <c r="AR64" s="115">
        <v>0</v>
      </c>
      <c r="AS64" s="115">
        <v>0</v>
      </c>
      <c r="AT64" s="115">
        <v>0</v>
      </c>
      <c r="AU64" s="115">
        <v>0</v>
      </c>
      <c r="AV64" s="115">
        <v>0</v>
      </c>
      <c r="AW64" s="115">
        <v>0</v>
      </c>
      <c r="AX64" s="115">
        <v>0</v>
      </c>
      <c r="AY64" s="115">
        <v>0</v>
      </c>
      <c r="AZ64" s="105">
        <f>SUM($D$64:$AY$64)</f>
        <v>0</v>
      </c>
    </row>
    <row r="65" spans="1:52" x14ac:dyDescent="0.2">
      <c r="A65" s="115"/>
      <c r="B65" s="183" t="s">
        <v>351</v>
      </c>
      <c r="C65" s="115"/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15">
        <v>0</v>
      </c>
      <c r="AA65" s="115">
        <v>0</v>
      </c>
      <c r="AB65" s="115">
        <v>0</v>
      </c>
      <c r="AC65" s="115">
        <v>0</v>
      </c>
      <c r="AD65" s="115">
        <v>0</v>
      </c>
      <c r="AE65" s="115">
        <v>0</v>
      </c>
      <c r="AF65" s="115">
        <v>0</v>
      </c>
      <c r="AG65" s="115">
        <v>0</v>
      </c>
      <c r="AH65" s="115">
        <v>0</v>
      </c>
      <c r="AI65" s="115">
        <v>0</v>
      </c>
      <c r="AJ65" s="115">
        <v>0</v>
      </c>
      <c r="AK65" s="115">
        <v>0</v>
      </c>
      <c r="AL65" s="115">
        <v>0</v>
      </c>
      <c r="AM65" s="115">
        <v>0</v>
      </c>
      <c r="AN65" s="115">
        <v>0</v>
      </c>
      <c r="AO65" s="115">
        <v>0</v>
      </c>
      <c r="AP65" s="115">
        <v>0</v>
      </c>
      <c r="AQ65" s="115">
        <v>0</v>
      </c>
      <c r="AR65" s="115">
        <v>0</v>
      </c>
      <c r="AS65" s="115">
        <v>0</v>
      </c>
      <c r="AT65" s="115">
        <v>0</v>
      </c>
      <c r="AU65" s="115">
        <v>0</v>
      </c>
      <c r="AV65" s="115">
        <v>0</v>
      </c>
      <c r="AW65" s="115">
        <v>0</v>
      </c>
      <c r="AX65" s="115">
        <v>0</v>
      </c>
      <c r="AY65" s="115">
        <v>0</v>
      </c>
      <c r="AZ65" s="105">
        <f>SUM($D$65:$AY$65)</f>
        <v>0</v>
      </c>
    </row>
    <row r="66" spans="1:52" x14ac:dyDescent="0.2">
      <c r="A66" s="140" t="s">
        <v>70</v>
      </c>
      <c r="B66" s="140" t="s">
        <v>341</v>
      </c>
      <c r="C66" s="129"/>
      <c r="D66" s="129">
        <f>D$21*shipping_manufacturing!$J$30/100</f>
        <v>97.413094636540833</v>
      </c>
      <c r="E66" s="129">
        <f>E$21*shipping_manufacturing!$J$30/100</f>
        <v>108.2367718183787</v>
      </c>
      <c r="F66" s="129">
        <f>F$21*shipping_manufacturing!$J$30/100</f>
        <v>108.2367718183787</v>
      </c>
      <c r="G66" s="129">
        <f>G$21*shipping_manufacturing!$J$30/100</f>
        <v>108.2367718183787</v>
      </c>
      <c r="H66" s="129">
        <f>H$21*shipping_manufacturing!$J$30/100</f>
        <v>108.2367718183787</v>
      </c>
      <c r="I66" s="129">
        <f>I$21*shipping_manufacturing!$J$30/100</f>
        <v>97.413094636540833</v>
      </c>
      <c r="J66" s="129">
        <f>J$21*shipping_manufacturing!$J$30/100</f>
        <v>97.413094636540833</v>
      </c>
      <c r="K66" s="129">
        <f>K$21*shipping_manufacturing!$J$30/100</f>
        <v>97.413094636540833</v>
      </c>
      <c r="L66" s="129">
        <f>L$21*shipping_manufacturing!$J$30/100</f>
        <v>97.413094636540833</v>
      </c>
      <c r="M66" s="129">
        <f>M$21*shipping_manufacturing!$J$30/100</f>
        <v>108.2367718183787</v>
      </c>
      <c r="N66" s="129">
        <f>N$21*shipping_manufacturing!$J$30/100</f>
        <v>108.2367718183787</v>
      </c>
      <c r="O66" s="129">
        <f>O$21*shipping_manufacturing!$J$30/100</f>
        <v>108.2367718183787</v>
      </c>
      <c r="P66" s="129">
        <f>P$21*shipping_manufacturing!$J$30/100</f>
        <v>108.2367718183787</v>
      </c>
      <c r="Q66" s="129">
        <f>Q$21*shipping_manufacturing!$J$30/100</f>
        <v>108.2367718183787</v>
      </c>
      <c r="R66" s="129">
        <f>R$21*shipping_manufacturing!$J$30/100</f>
        <v>108.2367718183787</v>
      </c>
      <c r="S66" s="129">
        <f>S$21*shipping_manufacturing!$J$30/100</f>
        <v>108.2367718183787</v>
      </c>
      <c r="T66" s="129">
        <f>T$21*shipping_manufacturing!$J$30/100</f>
        <v>108.2367718183787</v>
      </c>
      <c r="U66" s="129">
        <f>U$21*shipping_manufacturing!$J$30/100</f>
        <v>97.413094636540833</v>
      </c>
      <c r="V66" s="129">
        <f>V$21*shipping_manufacturing!$J$30/100</f>
        <v>97.413094636540833</v>
      </c>
      <c r="W66" s="129">
        <f>W$21*shipping_manufacturing!$J$30/100</f>
        <v>97.413094636540833</v>
      </c>
      <c r="X66" s="129">
        <f>X$21*shipping_manufacturing!$J$30/100</f>
        <v>97.413094636540833</v>
      </c>
      <c r="Y66" s="129">
        <f>Y$21*shipping_manufacturing!$J$30/100</f>
        <v>119.06044900021659</v>
      </c>
      <c r="Z66" s="129">
        <f>Z$21*shipping_manufacturing!$J$30/100</f>
        <v>119.06044900021659</v>
      </c>
      <c r="AA66" s="129">
        <f>AA$21*shipping_manufacturing!$J$30/100</f>
        <v>119.06044900021659</v>
      </c>
      <c r="AB66" s="129">
        <f>AB$21*shipping_manufacturing!$J$30/100</f>
        <v>119.06044900021659</v>
      </c>
      <c r="AC66" s="129">
        <f>AC$21*shipping_manufacturing!$J$30/100</f>
        <v>108.2367718183787</v>
      </c>
      <c r="AD66" s="129">
        <f>AD$21*shipping_manufacturing!$J$30/100</f>
        <v>108.2367718183787</v>
      </c>
      <c r="AE66" s="129">
        <f>AE$21*shipping_manufacturing!$J$30/100</f>
        <v>108.2367718183787</v>
      </c>
      <c r="AF66" s="129">
        <f>AF$21*shipping_manufacturing!$J$30/100</f>
        <v>108.2367718183787</v>
      </c>
      <c r="AG66" s="129">
        <f>AG$21*shipping_manufacturing!$J$30/100</f>
        <v>108.2367718183787</v>
      </c>
      <c r="AH66" s="129">
        <f>AH$21*shipping_manufacturing!$J$30/100</f>
        <v>108.2367718183787</v>
      </c>
      <c r="AI66" s="129">
        <f>AI$21*shipping_manufacturing!$J$30/100</f>
        <v>108.2367718183787</v>
      </c>
      <c r="AJ66" s="129">
        <f>AJ$21*shipping_manufacturing!$J$30/100</f>
        <v>0</v>
      </c>
      <c r="AK66" s="129">
        <f>AK$21*shipping_manufacturing!$J$30/100</f>
        <v>149.72527472527474</v>
      </c>
      <c r="AL66" s="129">
        <f>AL$21*shipping_manufacturing!$J$30/100</f>
        <v>97.413094636540833</v>
      </c>
      <c r="AM66" s="129">
        <f>AM$21*shipping_manufacturing!$J$30/100</f>
        <v>97.413094636540833</v>
      </c>
      <c r="AN66" s="129">
        <f>AN$21*shipping_manufacturing!$J$30/100</f>
        <v>97.413094636540833</v>
      </c>
      <c r="AO66" s="129">
        <f>AO$21*shipping_manufacturing!$J$30/100</f>
        <v>108.2367718183787</v>
      </c>
      <c r="AP66" s="129">
        <f>AP$21*shipping_manufacturing!$J$30/100</f>
        <v>108.2367718183787</v>
      </c>
      <c r="AQ66" s="129">
        <f>AQ$21*shipping_manufacturing!$J$30/100</f>
        <v>108.2367718183787</v>
      </c>
      <c r="AR66" s="129">
        <f>AR$21*shipping_manufacturing!$J$30/100</f>
        <v>108.2367718183787</v>
      </c>
      <c r="AS66" s="129">
        <f>AS$21*shipping_manufacturing!$J$30/100</f>
        <v>108.2367718183787</v>
      </c>
      <c r="AT66" s="129">
        <f>AT$21*shipping_manufacturing!$J$30/100</f>
        <v>108.2367718183787</v>
      </c>
      <c r="AU66" s="129">
        <f>AU$21*shipping_manufacturing!$J$30/100</f>
        <v>108.2367718183787</v>
      </c>
      <c r="AV66" s="129">
        <f>AV$21*shipping_manufacturing!$J$30/100</f>
        <v>108.2367718183787</v>
      </c>
      <c r="AW66" s="129">
        <f>AW$21*shipping_manufacturing!$J$30/100</f>
        <v>119.06044900021659</v>
      </c>
      <c r="AX66" s="129">
        <f>AX$21*shipping_manufacturing!$J$30/100</f>
        <v>119.06044900021659</v>
      </c>
      <c r="AY66" s="129">
        <f>AY$21*shipping_manufacturing!$J$30/100</f>
        <v>119.06044900021659</v>
      </c>
    </row>
    <row r="67" spans="1:52" x14ac:dyDescent="0.2">
      <c r="A67" s="118" t="s">
        <v>340</v>
      </c>
      <c r="B67" s="170" t="s">
        <v>342</v>
      </c>
      <c r="C67" s="115"/>
      <c r="D67" s="115">
        <f>D$22*shipping_manufacturing!$K$30/100</f>
        <v>65.239962463004417</v>
      </c>
      <c r="E67" s="115">
        <f>E$22*shipping_manufacturing!$K$30/100</f>
        <v>72.488847181116014</v>
      </c>
      <c r="F67" s="115">
        <f>F$22*shipping_manufacturing!$K$30/100</f>
        <v>72.488847181116014</v>
      </c>
      <c r="G67" s="115">
        <f>G$22*shipping_manufacturing!$K$30/100</f>
        <v>72.488847181116014</v>
      </c>
      <c r="H67" s="115">
        <f>H$22*shipping_manufacturing!$K$30/100</f>
        <v>72.488847181116014</v>
      </c>
      <c r="I67" s="115">
        <f>I$22*shipping_manufacturing!$K$30/100</f>
        <v>65.239962463004417</v>
      </c>
      <c r="J67" s="115">
        <f>J$22*shipping_manufacturing!$K$30/100</f>
        <v>65.239962463004417</v>
      </c>
      <c r="K67" s="115">
        <f>K$22*shipping_manufacturing!$K$30/100</f>
        <v>65.239962463004417</v>
      </c>
      <c r="L67" s="115">
        <f>L$22*shipping_manufacturing!$K$30/100</f>
        <v>65.239962463004417</v>
      </c>
      <c r="M67" s="115">
        <f>M$22*shipping_manufacturing!$K$30/100</f>
        <v>72.488847181116014</v>
      </c>
      <c r="N67" s="115">
        <f>N$22*shipping_manufacturing!$K$30/100</f>
        <v>72.488847181116014</v>
      </c>
      <c r="O67" s="115">
        <f>O$22*shipping_manufacturing!$K$30/100</f>
        <v>72.488847181116014</v>
      </c>
      <c r="P67" s="115">
        <f>P$22*shipping_manufacturing!$K$30/100</f>
        <v>72.488847181116014</v>
      </c>
      <c r="Q67" s="115">
        <f>Q$22*shipping_manufacturing!$K$30/100</f>
        <v>72.488847181116014</v>
      </c>
      <c r="R67" s="115">
        <f>R$22*shipping_manufacturing!$K$30/100</f>
        <v>72.488847181116014</v>
      </c>
      <c r="S67" s="115">
        <f>S$22*shipping_manufacturing!$K$30/100</f>
        <v>72.488847181116014</v>
      </c>
      <c r="T67" s="115">
        <f>T$22*shipping_manufacturing!$K$30/100</f>
        <v>72.488847181116014</v>
      </c>
      <c r="U67" s="115">
        <f>U$22*shipping_manufacturing!$K$30/100</f>
        <v>65.239962463004417</v>
      </c>
      <c r="V67" s="115">
        <f>V$22*shipping_manufacturing!$K$30/100</f>
        <v>65.239962463004417</v>
      </c>
      <c r="W67" s="115">
        <f>W$22*shipping_manufacturing!$K$30/100</f>
        <v>65.239962463004417</v>
      </c>
      <c r="X67" s="115">
        <f>X$22*shipping_manufacturing!$K$30/100</f>
        <v>65.239962463004417</v>
      </c>
      <c r="Y67" s="115">
        <f>Y$22*shipping_manufacturing!$K$30/100</f>
        <v>79.737731899227626</v>
      </c>
      <c r="Z67" s="115">
        <f>Z$22*shipping_manufacturing!$K$30/100</f>
        <v>79.737731899227626</v>
      </c>
      <c r="AA67" s="115">
        <f>AA$22*shipping_manufacturing!$K$30/100</f>
        <v>79.737731899227626</v>
      </c>
      <c r="AB67" s="115">
        <f>AB$22*shipping_manufacturing!$K$30/100</f>
        <v>79.737731899227626</v>
      </c>
      <c r="AC67" s="115">
        <f>AC$22*shipping_manufacturing!$K$30/100</f>
        <v>72.488847181116014</v>
      </c>
      <c r="AD67" s="115">
        <f>AD$22*shipping_manufacturing!$K$30/100</f>
        <v>72.488847181116014</v>
      </c>
      <c r="AE67" s="115">
        <f>AE$22*shipping_manufacturing!$K$30/100</f>
        <v>72.488847181116014</v>
      </c>
      <c r="AF67" s="115">
        <f>AF$22*shipping_manufacturing!$K$30/100</f>
        <v>72.488847181116014</v>
      </c>
      <c r="AG67" s="115">
        <f>AG$22*shipping_manufacturing!$K$30/100</f>
        <v>72.488847181116014</v>
      </c>
      <c r="AH67" s="115">
        <f>AH$22*shipping_manufacturing!$K$30/100</f>
        <v>72.488847181116014</v>
      </c>
      <c r="AI67" s="115">
        <f>AI$22*shipping_manufacturing!$K$30/100</f>
        <v>72.488847181116014</v>
      </c>
      <c r="AJ67" s="115">
        <f>AJ$22*shipping_manufacturing!$K$30/100</f>
        <v>0</v>
      </c>
      <c r="AK67" s="115">
        <f>AK$22*shipping_manufacturing!$K$30/100</f>
        <v>100.27472527472528</v>
      </c>
      <c r="AL67" s="115">
        <f>AL$22*shipping_manufacturing!$K$30/100</f>
        <v>65.239962463004417</v>
      </c>
      <c r="AM67" s="115">
        <f>AM$22*shipping_manufacturing!$K$30/100</f>
        <v>65.239962463004417</v>
      </c>
      <c r="AN67" s="115">
        <f>AN$22*shipping_manufacturing!$K$30/100</f>
        <v>65.239962463004417</v>
      </c>
      <c r="AO67" s="115">
        <f>AO$22*shipping_manufacturing!$K$30/100</f>
        <v>72.488847181116014</v>
      </c>
      <c r="AP67" s="115">
        <f>AP$22*shipping_manufacturing!$K$30/100</f>
        <v>72.488847181116014</v>
      </c>
      <c r="AQ67" s="115">
        <f>AQ$22*shipping_manufacturing!$K$30/100</f>
        <v>72.488847181116014</v>
      </c>
      <c r="AR67" s="115">
        <f>AR$22*shipping_manufacturing!$K$30/100</f>
        <v>72.488847181116014</v>
      </c>
      <c r="AS67" s="115">
        <f>AS$22*shipping_manufacturing!$K$30/100</f>
        <v>72.488847181116014</v>
      </c>
      <c r="AT67" s="115">
        <f>AT$22*shipping_manufacturing!$K$30/100</f>
        <v>72.488847181116014</v>
      </c>
      <c r="AU67" s="115">
        <f>AU$22*shipping_manufacturing!$K$30/100</f>
        <v>72.488847181116014</v>
      </c>
      <c r="AV67" s="115">
        <f>AV$22*shipping_manufacturing!$K$30/100</f>
        <v>72.488847181116014</v>
      </c>
      <c r="AW67" s="115">
        <f>AW$22*shipping_manufacturing!$K$30/100</f>
        <v>79.737731899227626</v>
      </c>
      <c r="AX67" s="115">
        <f>AX$22*shipping_manufacturing!$K$30/100</f>
        <v>79.737731899227626</v>
      </c>
      <c r="AY67" s="115">
        <f>AY$22*shipping_manufacturing!$K$30/100</f>
        <v>79.737731899227626</v>
      </c>
    </row>
    <row r="68" spans="1:52" x14ac:dyDescent="0.2">
      <c r="A68" s="115">
        <v>98</v>
      </c>
      <c r="B68" s="170" t="s">
        <v>343</v>
      </c>
      <c r="C68" s="115"/>
      <c r="D68" s="115">
        <f>SUM(D66:D67)</f>
        <v>162.65305709954526</v>
      </c>
      <c r="E68" s="115">
        <f t="shared" ref="E68:AY68" si="20">SUM(E66:E67)</f>
        <v>180.72561899949471</v>
      </c>
      <c r="F68" s="115">
        <f t="shared" si="20"/>
        <v>180.72561899949471</v>
      </c>
      <c r="G68" s="115">
        <f t="shared" si="20"/>
        <v>180.72561899949471</v>
      </c>
      <c r="H68" s="115">
        <f t="shared" si="20"/>
        <v>180.72561899949471</v>
      </c>
      <c r="I68" s="115">
        <f t="shared" si="20"/>
        <v>162.65305709954526</v>
      </c>
      <c r="J68" s="115">
        <f t="shared" si="20"/>
        <v>162.65305709954526</v>
      </c>
      <c r="K68" s="115">
        <f t="shared" si="20"/>
        <v>162.65305709954526</v>
      </c>
      <c r="L68" s="115">
        <f t="shared" si="20"/>
        <v>162.65305709954526</v>
      </c>
      <c r="M68" s="115">
        <f t="shared" si="20"/>
        <v>180.72561899949471</v>
      </c>
      <c r="N68" s="115">
        <f t="shared" si="20"/>
        <v>180.72561899949471</v>
      </c>
      <c r="O68" s="115">
        <f t="shared" si="20"/>
        <v>180.72561899949471</v>
      </c>
      <c r="P68" s="115">
        <f t="shared" si="20"/>
        <v>180.72561899949471</v>
      </c>
      <c r="Q68" s="115">
        <f t="shared" si="20"/>
        <v>180.72561899949471</v>
      </c>
      <c r="R68" s="115">
        <f t="shared" si="20"/>
        <v>180.72561899949471</v>
      </c>
      <c r="S68" s="115">
        <f t="shared" si="20"/>
        <v>180.72561899949471</v>
      </c>
      <c r="T68" s="115">
        <f t="shared" si="20"/>
        <v>180.72561899949471</v>
      </c>
      <c r="U68" s="115">
        <f t="shared" si="20"/>
        <v>162.65305709954526</v>
      </c>
      <c r="V68" s="115">
        <f t="shared" si="20"/>
        <v>162.65305709954526</v>
      </c>
      <c r="W68" s="115">
        <f t="shared" si="20"/>
        <v>162.65305709954526</v>
      </c>
      <c r="X68" s="115">
        <f t="shared" si="20"/>
        <v>162.65305709954526</v>
      </c>
      <c r="Y68" s="115">
        <f t="shared" si="20"/>
        <v>198.79818089944422</v>
      </c>
      <c r="Z68" s="115">
        <f t="shared" si="20"/>
        <v>198.79818089944422</v>
      </c>
      <c r="AA68" s="115">
        <f t="shared" si="20"/>
        <v>198.79818089944422</v>
      </c>
      <c r="AB68" s="115">
        <f t="shared" si="20"/>
        <v>198.79818089944422</v>
      </c>
      <c r="AC68" s="115">
        <f t="shared" si="20"/>
        <v>180.72561899949471</v>
      </c>
      <c r="AD68" s="115">
        <f t="shared" si="20"/>
        <v>180.72561899949471</v>
      </c>
      <c r="AE68" s="115">
        <f t="shared" si="20"/>
        <v>180.72561899949471</v>
      </c>
      <c r="AF68" s="115">
        <f t="shared" si="20"/>
        <v>180.72561899949471</v>
      </c>
      <c r="AG68" s="115">
        <f t="shared" si="20"/>
        <v>180.72561899949471</v>
      </c>
      <c r="AH68" s="115">
        <f t="shared" si="20"/>
        <v>180.72561899949471</v>
      </c>
      <c r="AI68" s="115">
        <f t="shared" si="20"/>
        <v>180.72561899949471</v>
      </c>
      <c r="AJ68" s="115">
        <f t="shared" si="20"/>
        <v>0</v>
      </c>
      <c r="AK68" s="115">
        <f t="shared" si="20"/>
        <v>250.00000000000003</v>
      </c>
      <c r="AL68" s="115">
        <f t="shared" si="20"/>
        <v>162.65305709954526</v>
      </c>
      <c r="AM68" s="115">
        <f t="shared" si="20"/>
        <v>162.65305709954526</v>
      </c>
      <c r="AN68" s="115">
        <f t="shared" si="20"/>
        <v>162.65305709954526</v>
      </c>
      <c r="AO68" s="115">
        <f t="shared" si="20"/>
        <v>180.72561899949471</v>
      </c>
      <c r="AP68" s="115">
        <f t="shared" si="20"/>
        <v>180.72561899949471</v>
      </c>
      <c r="AQ68" s="115">
        <f t="shared" si="20"/>
        <v>180.72561899949471</v>
      </c>
      <c r="AR68" s="115">
        <f t="shared" si="20"/>
        <v>180.72561899949471</v>
      </c>
      <c r="AS68" s="115">
        <f t="shared" si="20"/>
        <v>180.72561899949471</v>
      </c>
      <c r="AT68" s="115">
        <f t="shared" si="20"/>
        <v>180.72561899949471</v>
      </c>
      <c r="AU68" s="115">
        <f t="shared" si="20"/>
        <v>180.72561899949471</v>
      </c>
      <c r="AV68" s="115">
        <f t="shared" si="20"/>
        <v>180.72561899949471</v>
      </c>
      <c r="AW68" s="115">
        <f t="shared" si="20"/>
        <v>198.79818089944422</v>
      </c>
      <c r="AX68" s="115">
        <f t="shared" si="20"/>
        <v>198.79818089944422</v>
      </c>
      <c r="AY68" s="115">
        <f t="shared" si="20"/>
        <v>198.79818089944422</v>
      </c>
    </row>
    <row r="69" spans="1:52" x14ac:dyDescent="0.2">
      <c r="A69" s="115"/>
      <c r="B69" s="170" t="s">
        <v>344</v>
      </c>
      <c r="C69" s="115"/>
      <c r="D69" s="115">
        <v>97.413094636540833</v>
      </c>
      <c r="E69" s="115">
        <v>108.23677181837871</v>
      </c>
      <c r="F69" s="115">
        <v>108.23677181837871</v>
      </c>
      <c r="G69" s="115">
        <v>108.23677181837871</v>
      </c>
      <c r="H69" s="115">
        <v>108.23677181837871</v>
      </c>
      <c r="I69" s="115">
        <v>97.413094636540833</v>
      </c>
      <c r="J69" s="115">
        <v>97.413094636540833</v>
      </c>
      <c r="K69" s="115">
        <v>97.413094636540833</v>
      </c>
      <c r="L69" s="115">
        <v>97.413094636540833</v>
      </c>
      <c r="M69" s="115">
        <v>108.23677181837871</v>
      </c>
      <c r="N69" s="115">
        <v>108.23677181837871</v>
      </c>
      <c r="O69" s="115">
        <v>108.23677181837871</v>
      </c>
      <c r="P69" s="115">
        <v>108.23677181837871</v>
      </c>
      <c r="Q69" s="115">
        <v>108.23677181837871</v>
      </c>
      <c r="R69" s="115">
        <v>108.23677181837871</v>
      </c>
      <c r="S69" s="115">
        <v>108.23677181837871</v>
      </c>
      <c r="T69" s="115">
        <v>108.23677181837871</v>
      </c>
      <c r="U69" s="115">
        <v>97.413094636540833</v>
      </c>
      <c r="V69" s="115">
        <v>97.413094636540833</v>
      </c>
      <c r="W69" s="115">
        <v>97.413094636540833</v>
      </c>
      <c r="X69" s="115">
        <v>97.413094636540833</v>
      </c>
      <c r="Y69" s="115">
        <v>119.06044900021661</v>
      </c>
      <c r="Z69" s="115">
        <v>119.06044900021661</v>
      </c>
      <c r="AA69" s="115">
        <v>119.06044900021661</v>
      </c>
      <c r="AB69" s="115">
        <v>119.06044900021661</v>
      </c>
      <c r="AC69" s="115">
        <v>108.23677181837871</v>
      </c>
      <c r="AD69" s="115">
        <v>108.23677181837871</v>
      </c>
      <c r="AE69" s="115">
        <v>108.23677181837871</v>
      </c>
      <c r="AF69" s="115">
        <v>108.23677181837871</v>
      </c>
      <c r="AG69" s="115">
        <v>108.23677181837871</v>
      </c>
      <c r="AH69" s="115">
        <v>108.23677181837871</v>
      </c>
      <c r="AI69" s="115">
        <v>108.23677181837871</v>
      </c>
      <c r="AJ69" s="115"/>
      <c r="AK69" s="115">
        <v>149.72527472527474</v>
      </c>
      <c r="AL69" s="115">
        <v>97.413094636540833</v>
      </c>
      <c r="AM69" s="115">
        <v>97.413094636540833</v>
      </c>
      <c r="AN69" s="115">
        <v>97.413094636540833</v>
      </c>
      <c r="AO69" s="115">
        <v>108.23677181837871</v>
      </c>
      <c r="AP69" s="115">
        <v>108.23677181837871</v>
      </c>
      <c r="AQ69" s="115">
        <v>108.23677181837871</v>
      </c>
      <c r="AR69" s="115">
        <v>108.23677181837871</v>
      </c>
      <c r="AS69" s="115">
        <v>108.23677181837871</v>
      </c>
      <c r="AT69" s="115">
        <v>108.23677181837871</v>
      </c>
      <c r="AU69" s="115">
        <v>108.23677181837871</v>
      </c>
      <c r="AV69" s="115">
        <v>108.23677181837871</v>
      </c>
      <c r="AW69" s="115">
        <v>119.06044900021661</v>
      </c>
      <c r="AX69" s="115">
        <v>119.06044900021661</v>
      </c>
      <c r="AY69" s="115">
        <v>119.06044900021661</v>
      </c>
    </row>
    <row r="70" spans="1:52" x14ac:dyDescent="0.2">
      <c r="A70" s="115"/>
      <c r="B70" s="170" t="s">
        <v>345</v>
      </c>
      <c r="C70" s="115"/>
      <c r="D70" s="115">
        <v>65.239962463004417</v>
      </c>
      <c r="E70" s="115">
        <v>72.488847181116014</v>
      </c>
      <c r="F70" s="115">
        <v>72.488847181116014</v>
      </c>
      <c r="G70" s="115">
        <v>72.488847181116014</v>
      </c>
      <c r="H70" s="115">
        <v>72.488847181116014</v>
      </c>
      <c r="I70" s="115">
        <v>65.239962463004417</v>
      </c>
      <c r="J70" s="115">
        <v>65.239962463004417</v>
      </c>
      <c r="K70" s="115">
        <v>65.239962463004417</v>
      </c>
      <c r="L70" s="115">
        <v>65.239962463004417</v>
      </c>
      <c r="M70" s="115">
        <v>72.488847181116014</v>
      </c>
      <c r="N70" s="115">
        <v>72.488847181116014</v>
      </c>
      <c r="O70" s="115">
        <v>72.488847181116014</v>
      </c>
      <c r="P70" s="115">
        <v>72.488847181116014</v>
      </c>
      <c r="Q70" s="115">
        <v>72.488847181116014</v>
      </c>
      <c r="R70" s="115">
        <v>72.488847181116014</v>
      </c>
      <c r="S70" s="115">
        <v>72.488847181116014</v>
      </c>
      <c r="T70" s="115">
        <v>72.488847181116014</v>
      </c>
      <c r="U70" s="115">
        <v>65.239962463004417</v>
      </c>
      <c r="V70" s="115">
        <v>65.239962463004417</v>
      </c>
      <c r="W70" s="115">
        <v>65.239962463004417</v>
      </c>
      <c r="X70" s="115">
        <v>65.239962463004417</v>
      </c>
      <c r="Y70" s="115">
        <v>79.737731899227612</v>
      </c>
      <c r="Z70" s="115">
        <v>79.737731899227612</v>
      </c>
      <c r="AA70" s="115">
        <v>79.737731899227612</v>
      </c>
      <c r="AB70" s="115">
        <v>79.737731899227612</v>
      </c>
      <c r="AC70" s="115">
        <v>72.488847181116014</v>
      </c>
      <c r="AD70" s="115">
        <v>72.488847181116014</v>
      </c>
      <c r="AE70" s="115">
        <v>72.488847181116014</v>
      </c>
      <c r="AF70" s="115">
        <v>72.488847181116014</v>
      </c>
      <c r="AG70" s="115">
        <v>72.488847181116014</v>
      </c>
      <c r="AH70" s="115">
        <v>72.488847181116014</v>
      </c>
      <c r="AI70" s="115">
        <v>72.488847181116014</v>
      </c>
      <c r="AJ70" s="115"/>
      <c r="AK70" s="115">
        <v>100.27472527472528</v>
      </c>
      <c r="AL70" s="115">
        <v>65.239962463004417</v>
      </c>
      <c r="AM70" s="115">
        <v>65.239962463004417</v>
      </c>
      <c r="AN70" s="115">
        <v>65.239962463004417</v>
      </c>
      <c r="AO70" s="115">
        <v>72.488847181116014</v>
      </c>
      <c r="AP70" s="115">
        <v>72.488847181116014</v>
      </c>
      <c r="AQ70" s="115">
        <v>72.488847181116014</v>
      </c>
      <c r="AR70" s="115">
        <v>72.488847181116014</v>
      </c>
      <c r="AS70" s="115">
        <v>72.488847181116014</v>
      </c>
      <c r="AT70" s="115">
        <v>72.488847181116014</v>
      </c>
      <c r="AU70" s="115">
        <v>72.488847181116014</v>
      </c>
      <c r="AV70" s="115">
        <v>72.488847181116014</v>
      </c>
      <c r="AW70" s="115">
        <v>79.737731899227612</v>
      </c>
      <c r="AX70" s="115">
        <v>79.737731899227612</v>
      </c>
      <c r="AY70" s="115">
        <v>79.737731899227612</v>
      </c>
    </row>
    <row r="71" spans="1:52" x14ac:dyDescent="0.2">
      <c r="A71" s="115"/>
      <c r="B71" s="170" t="s">
        <v>346</v>
      </c>
      <c r="C71" s="115"/>
      <c r="D71" s="115">
        <v>6</v>
      </c>
      <c r="E71" s="115">
        <v>7</v>
      </c>
      <c r="F71" s="115">
        <v>7</v>
      </c>
      <c r="G71" s="115">
        <v>7</v>
      </c>
      <c r="H71" s="115">
        <v>7</v>
      </c>
      <c r="I71" s="115">
        <v>6</v>
      </c>
      <c r="J71" s="115">
        <v>6</v>
      </c>
      <c r="K71" s="115">
        <v>6</v>
      </c>
      <c r="L71" s="115">
        <v>6</v>
      </c>
      <c r="M71" s="115">
        <v>7</v>
      </c>
      <c r="N71" s="115">
        <v>7</v>
      </c>
      <c r="O71" s="115">
        <v>7</v>
      </c>
      <c r="P71" s="115">
        <v>7</v>
      </c>
      <c r="Q71" s="115">
        <v>7</v>
      </c>
      <c r="R71" s="115">
        <v>7</v>
      </c>
      <c r="S71" s="115">
        <v>7</v>
      </c>
      <c r="T71" s="115">
        <v>7</v>
      </c>
      <c r="U71" s="115">
        <v>6</v>
      </c>
      <c r="V71" s="115">
        <v>6</v>
      </c>
      <c r="W71" s="115">
        <v>6</v>
      </c>
      <c r="X71" s="115">
        <v>6</v>
      </c>
      <c r="Y71" s="115">
        <v>7</v>
      </c>
      <c r="Z71" s="115">
        <v>7</v>
      </c>
      <c r="AA71" s="115">
        <v>7</v>
      </c>
      <c r="AB71" s="115">
        <v>7</v>
      </c>
      <c r="AC71" s="115">
        <v>7</v>
      </c>
      <c r="AD71" s="115">
        <v>7</v>
      </c>
      <c r="AE71" s="115">
        <v>7</v>
      </c>
      <c r="AF71" s="115">
        <v>7</v>
      </c>
      <c r="AG71" s="115">
        <v>7</v>
      </c>
      <c r="AH71" s="115">
        <v>7</v>
      </c>
      <c r="AI71" s="115">
        <v>7</v>
      </c>
      <c r="AJ71" s="115"/>
      <c r="AK71" s="115">
        <v>9</v>
      </c>
      <c r="AL71" s="115">
        <v>6</v>
      </c>
      <c r="AM71" s="115">
        <v>6</v>
      </c>
      <c r="AN71" s="115">
        <v>6</v>
      </c>
      <c r="AO71" s="115">
        <v>7</v>
      </c>
      <c r="AP71" s="115">
        <v>7</v>
      </c>
      <c r="AQ71" s="115">
        <v>7</v>
      </c>
      <c r="AR71" s="115">
        <v>7</v>
      </c>
      <c r="AS71" s="115">
        <v>7</v>
      </c>
      <c r="AT71" s="115">
        <v>7</v>
      </c>
      <c r="AU71" s="115">
        <v>7</v>
      </c>
      <c r="AV71" s="115">
        <v>7</v>
      </c>
      <c r="AW71" s="115">
        <v>7</v>
      </c>
      <c r="AX71" s="115">
        <v>7</v>
      </c>
      <c r="AY71" s="115">
        <v>7</v>
      </c>
    </row>
    <row r="72" spans="1:52" x14ac:dyDescent="0.2">
      <c r="A72" s="115"/>
      <c r="B72" s="170" t="s">
        <v>347</v>
      </c>
      <c r="C72" s="115"/>
      <c r="D72" s="115">
        <f>D66-D69</f>
        <v>0</v>
      </c>
      <c r="E72" s="115">
        <f t="shared" ref="E72:AY72" si="21">E66-E69</f>
        <v>0</v>
      </c>
      <c r="F72" s="115">
        <f t="shared" si="21"/>
        <v>0</v>
      </c>
      <c r="G72" s="115">
        <f t="shared" si="21"/>
        <v>0</v>
      </c>
      <c r="H72" s="115">
        <f t="shared" si="21"/>
        <v>0</v>
      </c>
      <c r="I72" s="115">
        <f t="shared" si="21"/>
        <v>0</v>
      </c>
      <c r="J72" s="115">
        <f t="shared" si="21"/>
        <v>0</v>
      </c>
      <c r="K72" s="115">
        <f t="shared" si="21"/>
        <v>0</v>
      </c>
      <c r="L72" s="115">
        <f t="shared" si="21"/>
        <v>0</v>
      </c>
      <c r="M72" s="115">
        <f t="shared" si="21"/>
        <v>0</v>
      </c>
      <c r="N72" s="115">
        <f t="shared" si="21"/>
        <v>0</v>
      </c>
      <c r="O72" s="115">
        <f t="shared" si="21"/>
        <v>0</v>
      </c>
      <c r="P72" s="115">
        <f t="shared" si="21"/>
        <v>0</v>
      </c>
      <c r="Q72" s="115">
        <f t="shared" si="21"/>
        <v>0</v>
      </c>
      <c r="R72" s="115">
        <f t="shared" si="21"/>
        <v>0</v>
      </c>
      <c r="S72" s="115">
        <f t="shared" si="21"/>
        <v>0</v>
      </c>
      <c r="T72" s="115">
        <f t="shared" si="21"/>
        <v>0</v>
      </c>
      <c r="U72" s="115">
        <f t="shared" si="21"/>
        <v>0</v>
      </c>
      <c r="V72" s="115">
        <f t="shared" si="21"/>
        <v>0</v>
      </c>
      <c r="W72" s="115">
        <f t="shared" si="21"/>
        <v>0</v>
      </c>
      <c r="X72" s="115">
        <f t="shared" si="21"/>
        <v>0</v>
      </c>
      <c r="Y72" s="115">
        <f t="shared" si="21"/>
        <v>0</v>
      </c>
      <c r="Z72" s="115">
        <f t="shared" si="21"/>
        <v>0</v>
      </c>
      <c r="AA72" s="115">
        <f t="shared" si="21"/>
        <v>0</v>
      </c>
      <c r="AB72" s="115">
        <f t="shared" si="21"/>
        <v>0</v>
      </c>
      <c r="AC72" s="115">
        <f t="shared" si="21"/>
        <v>0</v>
      </c>
      <c r="AD72" s="115">
        <f t="shared" si="21"/>
        <v>0</v>
      </c>
      <c r="AE72" s="115">
        <f t="shared" si="21"/>
        <v>0</v>
      </c>
      <c r="AF72" s="115">
        <f t="shared" si="21"/>
        <v>0</v>
      </c>
      <c r="AG72" s="115">
        <f t="shared" si="21"/>
        <v>0</v>
      </c>
      <c r="AH72" s="115">
        <f t="shared" si="21"/>
        <v>0</v>
      </c>
      <c r="AI72" s="115">
        <f t="shared" si="21"/>
        <v>0</v>
      </c>
      <c r="AJ72" s="115">
        <f t="shared" si="21"/>
        <v>0</v>
      </c>
      <c r="AK72" s="115">
        <f t="shared" si="21"/>
        <v>0</v>
      </c>
      <c r="AL72" s="115">
        <f t="shared" si="21"/>
        <v>0</v>
      </c>
      <c r="AM72" s="115">
        <f t="shared" si="21"/>
        <v>0</v>
      </c>
      <c r="AN72" s="115">
        <f t="shared" si="21"/>
        <v>0</v>
      </c>
      <c r="AO72" s="115">
        <f t="shared" si="21"/>
        <v>0</v>
      </c>
      <c r="AP72" s="115">
        <f t="shared" si="21"/>
        <v>0</v>
      </c>
      <c r="AQ72" s="115">
        <f t="shared" si="21"/>
        <v>0</v>
      </c>
      <c r="AR72" s="115">
        <f t="shared" si="21"/>
        <v>0</v>
      </c>
      <c r="AS72" s="115">
        <f t="shared" si="21"/>
        <v>0</v>
      </c>
      <c r="AT72" s="115">
        <f t="shared" si="21"/>
        <v>0</v>
      </c>
      <c r="AU72" s="115">
        <f t="shared" si="21"/>
        <v>0</v>
      </c>
      <c r="AV72" s="115">
        <f t="shared" si="21"/>
        <v>0</v>
      </c>
      <c r="AW72" s="115">
        <f t="shared" si="21"/>
        <v>0</v>
      </c>
      <c r="AX72" s="115">
        <f t="shared" si="21"/>
        <v>0</v>
      </c>
      <c r="AY72" s="115">
        <f t="shared" si="21"/>
        <v>0</v>
      </c>
    </row>
    <row r="73" spans="1:52" x14ac:dyDescent="0.2">
      <c r="A73" s="115"/>
      <c r="B73" s="170" t="s">
        <v>348</v>
      </c>
      <c r="C73" s="115"/>
      <c r="D73" s="115">
        <f>D67-D70</f>
        <v>0</v>
      </c>
      <c r="E73" s="115">
        <f t="shared" ref="E73:AY73" si="22">E67-E70</f>
        <v>0</v>
      </c>
      <c r="F73" s="115">
        <f t="shared" si="22"/>
        <v>0</v>
      </c>
      <c r="G73" s="115">
        <f t="shared" si="22"/>
        <v>0</v>
      </c>
      <c r="H73" s="115">
        <f t="shared" si="22"/>
        <v>0</v>
      </c>
      <c r="I73" s="115">
        <f t="shared" si="22"/>
        <v>0</v>
      </c>
      <c r="J73" s="115">
        <f t="shared" si="22"/>
        <v>0</v>
      </c>
      <c r="K73" s="115">
        <f t="shared" si="22"/>
        <v>0</v>
      </c>
      <c r="L73" s="115">
        <f t="shared" si="22"/>
        <v>0</v>
      </c>
      <c r="M73" s="115">
        <f t="shared" si="22"/>
        <v>0</v>
      </c>
      <c r="N73" s="115">
        <f t="shared" si="22"/>
        <v>0</v>
      </c>
      <c r="O73" s="115">
        <f t="shared" si="22"/>
        <v>0</v>
      </c>
      <c r="P73" s="115">
        <f t="shared" si="22"/>
        <v>0</v>
      </c>
      <c r="Q73" s="115">
        <f t="shared" si="22"/>
        <v>0</v>
      </c>
      <c r="R73" s="115">
        <f t="shared" si="22"/>
        <v>0</v>
      </c>
      <c r="S73" s="115">
        <f t="shared" si="22"/>
        <v>0</v>
      </c>
      <c r="T73" s="115">
        <f t="shared" si="22"/>
        <v>0</v>
      </c>
      <c r="U73" s="115">
        <f t="shared" si="22"/>
        <v>0</v>
      </c>
      <c r="V73" s="115">
        <f t="shared" si="22"/>
        <v>0</v>
      </c>
      <c r="W73" s="115">
        <f t="shared" si="22"/>
        <v>0</v>
      </c>
      <c r="X73" s="115">
        <f t="shared" si="22"/>
        <v>0</v>
      </c>
      <c r="Y73" s="115">
        <f t="shared" si="22"/>
        <v>0</v>
      </c>
      <c r="Z73" s="115">
        <f t="shared" si="22"/>
        <v>0</v>
      </c>
      <c r="AA73" s="115">
        <f t="shared" si="22"/>
        <v>0</v>
      </c>
      <c r="AB73" s="115">
        <f t="shared" si="22"/>
        <v>0</v>
      </c>
      <c r="AC73" s="115">
        <f t="shared" si="22"/>
        <v>0</v>
      </c>
      <c r="AD73" s="115">
        <f t="shared" si="22"/>
        <v>0</v>
      </c>
      <c r="AE73" s="115">
        <f t="shared" si="22"/>
        <v>0</v>
      </c>
      <c r="AF73" s="115">
        <f t="shared" si="22"/>
        <v>0</v>
      </c>
      <c r="AG73" s="115">
        <f t="shared" si="22"/>
        <v>0</v>
      </c>
      <c r="AH73" s="115">
        <f t="shared" si="22"/>
        <v>0</v>
      </c>
      <c r="AI73" s="115">
        <f t="shared" si="22"/>
        <v>0</v>
      </c>
      <c r="AJ73" s="115">
        <f t="shared" si="22"/>
        <v>0</v>
      </c>
      <c r="AK73" s="115">
        <f t="shared" si="22"/>
        <v>0</v>
      </c>
      <c r="AL73" s="115">
        <f t="shared" si="22"/>
        <v>0</v>
      </c>
      <c r="AM73" s="115">
        <f t="shared" si="22"/>
        <v>0</v>
      </c>
      <c r="AN73" s="115">
        <f t="shared" si="22"/>
        <v>0</v>
      </c>
      <c r="AO73" s="115">
        <f t="shared" si="22"/>
        <v>0</v>
      </c>
      <c r="AP73" s="115">
        <f t="shared" si="22"/>
        <v>0</v>
      </c>
      <c r="AQ73" s="115">
        <f t="shared" si="22"/>
        <v>0</v>
      </c>
      <c r="AR73" s="115">
        <f t="shared" si="22"/>
        <v>0</v>
      </c>
      <c r="AS73" s="115">
        <f t="shared" si="22"/>
        <v>0</v>
      </c>
      <c r="AT73" s="115">
        <f t="shared" si="22"/>
        <v>0</v>
      </c>
      <c r="AU73" s="115">
        <f t="shared" si="22"/>
        <v>0</v>
      </c>
      <c r="AV73" s="115">
        <f t="shared" si="22"/>
        <v>0</v>
      </c>
      <c r="AW73" s="115">
        <f t="shared" si="22"/>
        <v>0</v>
      </c>
      <c r="AX73" s="115">
        <f t="shared" si="22"/>
        <v>0</v>
      </c>
      <c r="AY73" s="115">
        <f t="shared" si="22"/>
        <v>0</v>
      </c>
    </row>
    <row r="74" spans="1:52" x14ac:dyDescent="0.2">
      <c r="A74" s="115"/>
      <c r="B74" s="170" t="s">
        <v>349</v>
      </c>
      <c r="C74" s="115"/>
      <c r="D74" s="115">
        <v>1</v>
      </c>
      <c r="E74" s="115">
        <v>1</v>
      </c>
      <c r="F74" s="115">
        <v>2</v>
      </c>
      <c r="G74" s="115">
        <v>2</v>
      </c>
      <c r="H74" s="115">
        <v>1</v>
      </c>
      <c r="I74" s="115">
        <v>1</v>
      </c>
      <c r="J74" s="115">
        <v>2</v>
      </c>
      <c r="K74" s="115">
        <v>1</v>
      </c>
      <c r="L74" s="115">
        <v>1</v>
      </c>
      <c r="M74" s="115">
        <v>2</v>
      </c>
      <c r="N74" s="115">
        <v>1</v>
      </c>
      <c r="O74" s="115">
        <v>2</v>
      </c>
      <c r="P74" s="115">
        <v>1</v>
      </c>
      <c r="Q74" s="115">
        <v>1</v>
      </c>
      <c r="R74" s="115">
        <v>1</v>
      </c>
      <c r="S74" s="115">
        <v>1</v>
      </c>
      <c r="T74" s="115">
        <v>1</v>
      </c>
      <c r="U74" s="115">
        <v>1</v>
      </c>
      <c r="V74" s="115">
        <v>2</v>
      </c>
      <c r="W74" s="115">
        <v>1</v>
      </c>
      <c r="X74" s="115">
        <v>1</v>
      </c>
      <c r="Y74" s="115">
        <v>3</v>
      </c>
      <c r="Z74" s="115">
        <v>1</v>
      </c>
      <c r="AA74" s="115">
        <v>2</v>
      </c>
      <c r="AB74" s="115">
        <v>1</v>
      </c>
      <c r="AC74" s="115">
        <v>1</v>
      </c>
      <c r="AD74" s="115">
        <v>2</v>
      </c>
      <c r="AE74" s="115">
        <v>1</v>
      </c>
      <c r="AF74" s="115">
        <v>1</v>
      </c>
      <c r="AG74" s="115">
        <v>1</v>
      </c>
      <c r="AH74" s="115">
        <v>1</v>
      </c>
      <c r="AI74" s="115">
        <v>3</v>
      </c>
      <c r="AJ74" s="115">
        <v>1</v>
      </c>
      <c r="AK74" s="115">
        <v>2</v>
      </c>
      <c r="AL74" s="115">
        <v>1</v>
      </c>
      <c r="AM74" s="115">
        <v>1</v>
      </c>
      <c r="AN74" s="115">
        <v>2</v>
      </c>
      <c r="AO74" s="115">
        <v>1</v>
      </c>
      <c r="AP74" s="115">
        <v>1</v>
      </c>
      <c r="AQ74" s="115">
        <v>1</v>
      </c>
      <c r="AR74" s="115">
        <v>3</v>
      </c>
      <c r="AS74" s="115">
        <v>1</v>
      </c>
      <c r="AT74" s="115">
        <v>2</v>
      </c>
      <c r="AU74" s="115">
        <v>1</v>
      </c>
      <c r="AV74" s="115">
        <v>1</v>
      </c>
      <c r="AW74" s="115">
        <v>1</v>
      </c>
      <c r="AX74" s="115">
        <v>1</v>
      </c>
      <c r="AY74" s="115">
        <v>2</v>
      </c>
    </row>
    <row r="75" spans="1:52" x14ac:dyDescent="0.2">
      <c r="A75" s="115"/>
      <c r="B75" s="183" t="s">
        <v>350</v>
      </c>
      <c r="C75" s="115"/>
      <c r="D75" s="115">
        <v>21168</v>
      </c>
      <c r="E75" s="115">
        <v>24696</v>
      </c>
      <c r="F75" s="115">
        <v>24696</v>
      </c>
      <c r="G75" s="115">
        <v>24696</v>
      </c>
      <c r="H75" s="115">
        <v>24696</v>
      </c>
      <c r="I75" s="115">
        <v>21168</v>
      </c>
      <c r="J75" s="115">
        <v>21168</v>
      </c>
      <c r="K75" s="115">
        <v>21168</v>
      </c>
      <c r="L75" s="115">
        <v>21168</v>
      </c>
      <c r="M75" s="115">
        <v>24696</v>
      </c>
      <c r="N75" s="115">
        <v>24696</v>
      </c>
      <c r="O75" s="115">
        <v>24696</v>
      </c>
      <c r="P75" s="115">
        <v>24696</v>
      </c>
      <c r="Q75" s="115">
        <v>24696</v>
      </c>
      <c r="R75" s="115">
        <v>24696</v>
      </c>
      <c r="S75" s="115">
        <v>24696</v>
      </c>
      <c r="T75" s="115">
        <v>24696</v>
      </c>
      <c r="U75" s="115">
        <v>21168</v>
      </c>
      <c r="V75" s="115">
        <v>21168</v>
      </c>
      <c r="W75" s="115">
        <v>21168</v>
      </c>
      <c r="X75" s="115">
        <v>21168</v>
      </c>
      <c r="Y75" s="115">
        <v>24696</v>
      </c>
      <c r="Z75" s="115">
        <v>24696</v>
      </c>
      <c r="AA75" s="115">
        <v>24696</v>
      </c>
      <c r="AB75" s="115">
        <v>24696</v>
      </c>
      <c r="AC75" s="115">
        <v>24696</v>
      </c>
      <c r="AD75" s="115">
        <v>24696</v>
      </c>
      <c r="AE75" s="115">
        <v>24696</v>
      </c>
      <c r="AF75" s="115">
        <v>24696</v>
      </c>
      <c r="AG75" s="115">
        <v>24696</v>
      </c>
      <c r="AH75" s="115">
        <v>24696</v>
      </c>
      <c r="AI75" s="115">
        <v>24696</v>
      </c>
      <c r="AJ75" s="115">
        <v>0</v>
      </c>
      <c r="AK75" s="115">
        <v>31752</v>
      </c>
      <c r="AL75" s="115">
        <v>21168</v>
      </c>
      <c r="AM75" s="115">
        <v>21168</v>
      </c>
      <c r="AN75" s="115">
        <v>21168</v>
      </c>
      <c r="AO75" s="115">
        <v>24696</v>
      </c>
      <c r="AP75" s="115">
        <v>24696</v>
      </c>
      <c r="AQ75" s="115">
        <v>24696</v>
      </c>
      <c r="AR75" s="115">
        <v>24696</v>
      </c>
      <c r="AS75" s="115">
        <v>24696</v>
      </c>
      <c r="AT75" s="115">
        <v>24696</v>
      </c>
      <c r="AU75" s="115">
        <v>24696</v>
      </c>
      <c r="AV75" s="115">
        <v>24696</v>
      </c>
      <c r="AW75" s="115">
        <v>24696</v>
      </c>
      <c r="AX75" s="115">
        <v>24696</v>
      </c>
      <c r="AY75" s="115">
        <v>24696</v>
      </c>
      <c r="AZ75" s="105">
        <f>SUM($D$75:$AY$75)</f>
        <v>1125432</v>
      </c>
    </row>
    <row r="76" spans="1:52" x14ac:dyDescent="0.2">
      <c r="A76" s="130"/>
      <c r="B76" s="145" t="s">
        <v>351</v>
      </c>
      <c r="C76" s="130"/>
      <c r="D76" s="130">
        <v>0</v>
      </c>
      <c r="E76" s="130">
        <v>0</v>
      </c>
      <c r="F76" s="130">
        <v>0</v>
      </c>
      <c r="G76" s="130">
        <v>0</v>
      </c>
      <c r="H76" s="130">
        <v>0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0">
        <v>0</v>
      </c>
      <c r="AN76" s="130">
        <v>0</v>
      </c>
      <c r="AO76" s="130">
        <v>0</v>
      </c>
      <c r="AP76" s="130">
        <v>0</v>
      </c>
      <c r="AQ76" s="130">
        <v>0</v>
      </c>
      <c r="AR76" s="130">
        <v>0</v>
      </c>
      <c r="AS76" s="130">
        <v>0</v>
      </c>
      <c r="AT76" s="130">
        <v>0</v>
      </c>
      <c r="AU76" s="130">
        <v>0</v>
      </c>
      <c r="AV76" s="130">
        <v>0</v>
      </c>
      <c r="AW76" s="130">
        <v>0</v>
      </c>
      <c r="AX76" s="130">
        <v>0</v>
      </c>
      <c r="AY76" s="130">
        <v>0</v>
      </c>
      <c r="AZ76" s="105">
        <f>SUM($D$76:$AY$76)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284</v>
      </c>
    </row>
    <row r="2" spans="1:53" x14ac:dyDescent="0.2">
      <c r="A2" s="105" t="s">
        <v>285</v>
      </c>
      <c r="B2" s="112" t="s">
        <v>34</v>
      </c>
    </row>
    <row r="3" spans="1:53" x14ac:dyDescent="0.2">
      <c r="A3" s="105" t="s">
        <v>286</v>
      </c>
      <c r="B3" s="113">
        <v>1000</v>
      </c>
      <c r="C3" s="114"/>
    </row>
    <row r="4" spans="1:53" x14ac:dyDescent="0.2">
      <c r="B4" s="115"/>
      <c r="C4" s="115"/>
    </row>
    <row r="5" spans="1:53" x14ac:dyDescent="0.2">
      <c r="C5" s="116" t="s">
        <v>287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3" x14ac:dyDescent="0.2">
      <c r="A8" s="107" t="s">
        <v>292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293</v>
      </c>
      <c r="D9" s="122">
        <v>196</v>
      </c>
      <c r="E9" s="122">
        <v>196</v>
      </c>
      <c r="F9" s="122">
        <v>196</v>
      </c>
      <c r="G9" s="122">
        <v>196</v>
      </c>
      <c r="H9" s="122">
        <v>196</v>
      </c>
      <c r="I9" s="122">
        <v>196</v>
      </c>
      <c r="J9" s="122">
        <v>196</v>
      </c>
      <c r="K9" s="122">
        <v>196</v>
      </c>
      <c r="L9" s="122">
        <v>215.60000000000002</v>
      </c>
      <c r="M9" s="122">
        <v>215.60000000000002</v>
      </c>
      <c r="N9" s="122">
        <v>215.60000000000002</v>
      </c>
      <c r="O9" s="122">
        <v>215.60000000000002</v>
      </c>
      <c r="P9" s="122">
        <v>215.60000000000002</v>
      </c>
      <c r="Q9" s="122">
        <v>215.60000000000002</v>
      </c>
      <c r="R9" s="122">
        <v>215.60000000000002</v>
      </c>
      <c r="S9" s="122">
        <v>215.60000000000002</v>
      </c>
      <c r="T9" s="122">
        <v>196</v>
      </c>
      <c r="U9" s="122">
        <v>196</v>
      </c>
      <c r="V9" s="122">
        <v>196</v>
      </c>
      <c r="W9" s="122">
        <v>196</v>
      </c>
      <c r="X9" s="122">
        <v>215.60000000000002</v>
      </c>
      <c r="Y9" s="122">
        <v>215.60000000000002</v>
      </c>
      <c r="Z9" s="122">
        <v>215.60000000000002</v>
      </c>
      <c r="AA9" s="122">
        <v>215.60000000000002</v>
      </c>
      <c r="AB9" s="122">
        <v>196</v>
      </c>
      <c r="AC9" s="122">
        <v>196</v>
      </c>
      <c r="AD9" s="122">
        <v>196</v>
      </c>
      <c r="AE9" s="122">
        <v>196</v>
      </c>
      <c r="AF9" s="122">
        <v>176.4</v>
      </c>
      <c r="AG9" s="122">
        <v>176.4</v>
      </c>
      <c r="AH9" s="122">
        <v>176.4</v>
      </c>
      <c r="AI9" s="122">
        <v>176.4</v>
      </c>
      <c r="AJ9" s="122">
        <v>215.60000000000002</v>
      </c>
      <c r="AK9" s="122">
        <v>215.60000000000002</v>
      </c>
      <c r="AL9" s="122">
        <v>215.60000000000002</v>
      </c>
      <c r="AM9" s="122">
        <v>215.60000000000002</v>
      </c>
      <c r="AN9" s="122">
        <v>196</v>
      </c>
      <c r="AO9" s="122">
        <v>196</v>
      </c>
      <c r="AP9" s="122">
        <v>196</v>
      </c>
      <c r="AQ9" s="122">
        <v>196</v>
      </c>
      <c r="AR9" s="122">
        <v>196</v>
      </c>
      <c r="AS9" s="122">
        <v>196</v>
      </c>
      <c r="AT9" s="122">
        <v>196</v>
      </c>
      <c r="AU9" s="122">
        <v>196</v>
      </c>
      <c r="AV9" s="122">
        <v>196</v>
      </c>
      <c r="AW9" s="122">
        <v>196</v>
      </c>
      <c r="AX9" s="122">
        <v>196</v>
      </c>
      <c r="AY9" s="122">
        <v>196</v>
      </c>
    </row>
    <row r="10" spans="1:53" x14ac:dyDescent="0.2">
      <c r="A10" s="123" t="s">
        <v>133</v>
      </c>
      <c r="B10" s="124">
        <v>1</v>
      </c>
      <c r="C10" s="111" t="s">
        <v>293</v>
      </c>
      <c r="D10" s="105">
        <v>146.00000000000003</v>
      </c>
      <c r="E10" s="105">
        <v>146.00000000000003</v>
      </c>
      <c r="F10" s="105">
        <v>146.00000000000003</v>
      </c>
      <c r="G10" s="105">
        <v>146.00000000000003</v>
      </c>
      <c r="H10" s="105">
        <v>146.00000000000003</v>
      </c>
      <c r="I10" s="105">
        <v>146.00000000000003</v>
      </c>
      <c r="J10" s="105">
        <v>146.00000000000003</v>
      </c>
      <c r="K10" s="105">
        <v>146.00000000000003</v>
      </c>
      <c r="L10" s="105">
        <v>146.00000000000003</v>
      </c>
      <c r="M10" s="105">
        <v>146.00000000000003</v>
      </c>
      <c r="N10" s="105">
        <v>160.60000000000005</v>
      </c>
      <c r="O10" s="105">
        <v>160.60000000000005</v>
      </c>
      <c r="P10" s="105">
        <v>160.60000000000005</v>
      </c>
      <c r="Q10" s="105">
        <v>160.60000000000005</v>
      </c>
      <c r="R10" s="105">
        <v>160.60000000000005</v>
      </c>
      <c r="S10" s="105">
        <v>160.60000000000005</v>
      </c>
      <c r="T10" s="105">
        <v>160.60000000000005</v>
      </c>
      <c r="U10" s="105">
        <v>160.60000000000005</v>
      </c>
      <c r="V10" s="105">
        <v>146.00000000000003</v>
      </c>
      <c r="W10" s="105">
        <v>146.00000000000003</v>
      </c>
      <c r="X10" s="105">
        <v>0</v>
      </c>
      <c r="Y10" s="105">
        <v>0</v>
      </c>
      <c r="Z10" s="105">
        <v>189.11917098445599</v>
      </c>
      <c r="AA10" s="105">
        <v>160.60000000000005</v>
      </c>
      <c r="AB10" s="105">
        <v>160.60000000000005</v>
      </c>
      <c r="AC10" s="105">
        <v>160.60000000000005</v>
      </c>
      <c r="AD10" s="105">
        <v>146.00000000000003</v>
      </c>
      <c r="AE10" s="105">
        <v>146.00000000000003</v>
      </c>
      <c r="AF10" s="105">
        <v>146.00000000000003</v>
      </c>
      <c r="AG10" s="105">
        <v>146.00000000000003</v>
      </c>
      <c r="AH10" s="105">
        <v>131.4</v>
      </c>
      <c r="AI10" s="105">
        <v>131.4</v>
      </c>
      <c r="AJ10" s="105">
        <v>131.4</v>
      </c>
      <c r="AK10" s="105">
        <v>131.4</v>
      </c>
      <c r="AL10" s="105">
        <v>160.60000000000005</v>
      </c>
      <c r="AM10" s="105">
        <v>160.60000000000005</v>
      </c>
      <c r="AN10" s="105">
        <v>160.60000000000005</v>
      </c>
      <c r="AO10" s="105">
        <v>160.60000000000005</v>
      </c>
      <c r="AP10" s="105">
        <v>146.00000000000003</v>
      </c>
      <c r="AQ10" s="105">
        <v>146.00000000000003</v>
      </c>
      <c r="AR10" s="105">
        <v>146.00000000000003</v>
      </c>
      <c r="AS10" s="105">
        <v>146.00000000000003</v>
      </c>
      <c r="AT10" s="105">
        <v>146.00000000000003</v>
      </c>
      <c r="AU10" s="105">
        <v>146.00000000000003</v>
      </c>
      <c r="AV10" s="105">
        <v>146.00000000000003</v>
      </c>
      <c r="AW10" s="105">
        <v>146.00000000000003</v>
      </c>
      <c r="AX10" s="105">
        <v>146.00000000000003</v>
      </c>
      <c r="AY10" s="105">
        <v>146.00000000000003</v>
      </c>
      <c r="AZ10" s="105">
        <v>146.00000000000003</v>
      </c>
    </row>
    <row r="11" spans="1:53" x14ac:dyDescent="0.2">
      <c r="B11" s="124">
        <v>2</v>
      </c>
      <c r="C11" s="111" t="s">
        <v>293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L11" s="105">
        <v>0</v>
      </c>
      <c r="N11" s="105">
        <v>0</v>
      </c>
      <c r="O11" s="105">
        <v>0</v>
      </c>
      <c r="Q11" s="105">
        <v>0</v>
      </c>
      <c r="R11" s="105">
        <v>0</v>
      </c>
      <c r="S11" s="105">
        <v>0</v>
      </c>
      <c r="U11" s="105">
        <v>0</v>
      </c>
      <c r="V11" s="105">
        <v>0</v>
      </c>
      <c r="W11" s="105">
        <v>0</v>
      </c>
      <c r="Y11" s="105">
        <v>0</v>
      </c>
      <c r="Z11" s="105">
        <v>0</v>
      </c>
      <c r="AA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K11" s="105">
        <v>0</v>
      </c>
      <c r="AL11" s="105">
        <v>0</v>
      </c>
      <c r="AM11" s="105">
        <v>0</v>
      </c>
      <c r="AN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Y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293</v>
      </c>
      <c r="D12" s="105">
        <v>0</v>
      </c>
      <c r="E12" s="105">
        <v>0</v>
      </c>
      <c r="G12" s="105">
        <v>0</v>
      </c>
      <c r="L12" s="105">
        <v>0</v>
      </c>
      <c r="P12" s="105">
        <v>0</v>
      </c>
      <c r="Q12" s="105">
        <v>0</v>
      </c>
      <c r="W12" s="105">
        <v>0</v>
      </c>
      <c r="X12" s="105">
        <v>0</v>
      </c>
      <c r="Y12" s="105">
        <v>0</v>
      </c>
      <c r="AB12" s="105">
        <v>0</v>
      </c>
      <c r="AC12" s="105">
        <v>0</v>
      </c>
      <c r="AD12" s="105">
        <v>0</v>
      </c>
      <c r="AG12" s="105">
        <v>0</v>
      </c>
      <c r="AI12" s="105">
        <v>0</v>
      </c>
      <c r="AK12" s="105">
        <v>0</v>
      </c>
      <c r="AP12" s="105">
        <v>0</v>
      </c>
      <c r="AX12" s="105">
        <v>0</v>
      </c>
    </row>
    <row r="13" spans="1:53" x14ac:dyDescent="0.2">
      <c r="B13" s="125">
        <v>4</v>
      </c>
      <c r="C13" s="111" t="s">
        <v>293</v>
      </c>
    </row>
    <row r="14" spans="1:53" x14ac:dyDescent="0.2">
      <c r="A14" s="120" t="s">
        <v>134</v>
      </c>
      <c r="B14" s="126">
        <v>1</v>
      </c>
      <c r="C14" s="122" t="s">
        <v>293</v>
      </c>
      <c r="D14" s="122">
        <v>51.706406195001762</v>
      </c>
      <c r="E14" s="122">
        <f t="shared" ref="E14:AZ14" si="0">D$172*SUM(D$122:D$169)</f>
        <v>51.706406195001762</v>
      </c>
      <c r="F14" s="122">
        <f t="shared" si="0"/>
        <v>51.706406195001762</v>
      </c>
      <c r="G14" s="122">
        <f t="shared" si="0"/>
        <v>51.706406195001762</v>
      </c>
      <c r="H14" s="122">
        <f t="shared" si="0"/>
        <v>51.706406195001762</v>
      </c>
      <c r="I14" s="122">
        <f t="shared" si="0"/>
        <v>51.706406195001762</v>
      </c>
      <c r="J14" s="122">
        <f t="shared" si="0"/>
        <v>51.706406195001762</v>
      </c>
      <c r="K14" s="122">
        <f t="shared" si="0"/>
        <v>51.706406195001762</v>
      </c>
      <c r="L14" s="122">
        <f t="shared" si="0"/>
        <v>51.706406195001762</v>
      </c>
      <c r="M14" s="122">
        <f t="shared" si="0"/>
        <v>51.706406195001762</v>
      </c>
      <c r="N14" s="122">
        <f t="shared" si="0"/>
        <v>51.706406195001762</v>
      </c>
      <c r="O14" s="122">
        <f t="shared" si="0"/>
        <v>52.176406195001768</v>
      </c>
      <c r="P14" s="122">
        <f t="shared" si="0"/>
        <v>52.176406195001768</v>
      </c>
      <c r="Q14" s="122">
        <f t="shared" si="0"/>
        <v>52.176406195001768</v>
      </c>
      <c r="R14" s="122">
        <f t="shared" si="0"/>
        <v>52.176406195001768</v>
      </c>
      <c r="S14" s="122">
        <f t="shared" si="0"/>
        <v>52.176406195001768</v>
      </c>
      <c r="T14" s="122">
        <f t="shared" si="0"/>
        <v>52.176406195001768</v>
      </c>
      <c r="U14" s="122">
        <f t="shared" si="0"/>
        <v>52.176406195001768</v>
      </c>
      <c r="V14" s="122">
        <f t="shared" si="0"/>
        <v>52.176406195001768</v>
      </c>
      <c r="W14" s="122">
        <f t="shared" si="0"/>
        <v>51.706406195001762</v>
      </c>
      <c r="X14" s="122">
        <f t="shared" si="0"/>
        <v>51.706406195001762</v>
      </c>
      <c r="Y14" s="122">
        <f t="shared" si="0"/>
        <v>47.006406195001773</v>
      </c>
      <c r="Z14" s="122">
        <f t="shared" si="0"/>
        <v>47.006406195001773</v>
      </c>
      <c r="AA14" s="122">
        <f t="shared" si="0"/>
        <v>53.094489096556174</v>
      </c>
      <c r="AB14" s="122">
        <f t="shared" si="0"/>
        <v>53.116234716871716</v>
      </c>
      <c r="AC14" s="122">
        <f t="shared" si="0"/>
        <v>52.176406195001768</v>
      </c>
      <c r="AD14" s="122">
        <f t="shared" si="0"/>
        <v>52.176406195001768</v>
      </c>
      <c r="AE14" s="122">
        <f t="shared" si="0"/>
        <v>51.706406195001762</v>
      </c>
      <c r="AF14" s="122">
        <f t="shared" si="0"/>
        <v>51.706406195001762</v>
      </c>
      <c r="AG14" s="122">
        <f t="shared" si="0"/>
        <v>51.706406195001762</v>
      </c>
      <c r="AH14" s="122">
        <f t="shared" si="0"/>
        <v>51.706406195001762</v>
      </c>
      <c r="AI14" s="122">
        <f t="shared" si="0"/>
        <v>51.23640619500177</v>
      </c>
      <c r="AJ14" s="122">
        <f t="shared" si="0"/>
        <v>51.23640619500177</v>
      </c>
      <c r="AK14" s="122">
        <f t="shared" si="0"/>
        <v>51.23640619500177</v>
      </c>
      <c r="AL14" s="122">
        <f t="shared" si="0"/>
        <v>51.23640619500177</v>
      </c>
      <c r="AM14" s="122">
        <f t="shared" si="0"/>
        <v>52.176406195001768</v>
      </c>
      <c r="AN14" s="122">
        <f t="shared" si="0"/>
        <v>52.176406195001768</v>
      </c>
      <c r="AO14" s="122">
        <f t="shared" si="0"/>
        <v>56.762397043294634</v>
      </c>
      <c r="AP14" s="122">
        <f t="shared" si="0"/>
        <v>56.762397043294634</v>
      </c>
      <c r="AQ14" s="122">
        <f t="shared" si="0"/>
        <v>56.292397043294628</v>
      </c>
      <c r="AR14" s="122">
        <f t="shared" si="0"/>
        <v>56.292397043294628</v>
      </c>
      <c r="AS14" s="122">
        <f t="shared" si="0"/>
        <v>56.292397043294628</v>
      </c>
      <c r="AT14" s="122">
        <f t="shared" si="0"/>
        <v>56.292397043294628</v>
      </c>
      <c r="AU14" s="122">
        <f t="shared" si="0"/>
        <v>57.947632869714425</v>
      </c>
      <c r="AV14" s="122">
        <f t="shared" si="0"/>
        <v>56.292397043294642</v>
      </c>
      <c r="AW14" s="122">
        <f t="shared" si="0"/>
        <v>51.706406195001762</v>
      </c>
      <c r="AX14" s="122">
        <f t="shared" si="0"/>
        <v>51.706406195001762</v>
      </c>
      <c r="AY14" s="122">
        <f t="shared" si="0"/>
        <v>51.706406195001762</v>
      </c>
      <c r="AZ14" s="115">
        <f t="shared" si="0"/>
        <v>51.706406195001762</v>
      </c>
      <c r="BA14" s="112">
        <f>SUM($E14:$AZ14)</f>
        <v>2518.3485713962727</v>
      </c>
    </row>
    <row r="15" spans="1:53" x14ac:dyDescent="0.2">
      <c r="A15" s="127" t="s">
        <v>123</v>
      </c>
      <c r="B15" s="128">
        <v>1</v>
      </c>
      <c r="C15" s="129" t="s">
        <v>293</v>
      </c>
      <c r="D15" s="129">
        <v>517.06406195001762</v>
      </c>
      <c r="E15" s="129">
        <v>517.06406195001762</v>
      </c>
      <c r="F15" s="129">
        <v>517.06406195001762</v>
      </c>
      <c r="G15" s="129">
        <v>517.06406195001762</v>
      </c>
      <c r="H15" s="129">
        <v>517.06406195001762</v>
      </c>
      <c r="I15" s="129">
        <v>517.06406195001762</v>
      </c>
      <c r="J15" s="129">
        <v>517.06406195001762</v>
      </c>
      <c r="K15" s="129">
        <v>517.06406195001762</v>
      </c>
      <c r="L15" s="129">
        <v>517.06406195001762</v>
      </c>
      <c r="M15" s="129">
        <v>517.06406195001762</v>
      </c>
      <c r="N15" s="129">
        <v>521.76406195001766</v>
      </c>
      <c r="O15" s="129">
        <v>521.76406195001766</v>
      </c>
      <c r="P15" s="129">
        <v>521.76406195001766</v>
      </c>
      <c r="Q15" s="129">
        <v>521.76406195001766</v>
      </c>
      <c r="R15" s="129">
        <v>521.76406195001766</v>
      </c>
      <c r="S15" s="129">
        <v>521.76406195001766</v>
      </c>
      <c r="T15" s="129">
        <v>521.76406195001766</v>
      </c>
      <c r="U15" s="129">
        <v>521.76406195001766</v>
      </c>
      <c r="V15" s="129">
        <v>517.06406195001762</v>
      </c>
      <c r="W15" s="129">
        <v>517.06406195001762</v>
      </c>
      <c r="X15" s="129">
        <v>470.06406195001767</v>
      </c>
      <c r="Y15" s="129">
        <v>470.06406195001767</v>
      </c>
      <c r="Z15" s="129">
        <v>530.94489096556174</v>
      </c>
      <c r="AA15" s="129">
        <v>521.76406195001766</v>
      </c>
      <c r="AB15" s="129">
        <v>521.76406195001766</v>
      </c>
      <c r="AC15" s="129">
        <v>521.76406195001766</v>
      </c>
      <c r="AD15" s="129">
        <v>517.06406195001762</v>
      </c>
      <c r="AE15" s="129">
        <v>517.06406195001762</v>
      </c>
      <c r="AF15" s="129">
        <v>517.06406195001762</v>
      </c>
      <c r="AG15" s="129">
        <v>517.06406195001762</v>
      </c>
      <c r="AH15" s="129">
        <v>512.36406195001769</v>
      </c>
      <c r="AI15" s="129">
        <v>512.36406195001769</v>
      </c>
      <c r="AJ15" s="129">
        <v>512.36406195001769</v>
      </c>
      <c r="AK15" s="129">
        <v>512.36406195001769</v>
      </c>
      <c r="AL15" s="129">
        <v>521.76406195001766</v>
      </c>
      <c r="AM15" s="129">
        <v>521.76406195001766</v>
      </c>
      <c r="AN15" s="129">
        <v>567.62397043294629</v>
      </c>
      <c r="AO15" s="129">
        <v>567.62397043294629</v>
      </c>
      <c r="AP15" s="129">
        <v>562.92397043294625</v>
      </c>
      <c r="AQ15" s="129">
        <v>562.92397043294625</v>
      </c>
      <c r="AR15" s="129">
        <v>562.92397043294625</v>
      </c>
      <c r="AS15" s="129">
        <v>562.92397043294625</v>
      </c>
      <c r="AT15" s="129">
        <v>562.92397043294625</v>
      </c>
      <c r="AU15" s="129">
        <v>562.92397043294625</v>
      </c>
      <c r="AV15" s="129">
        <v>517.06406195001762</v>
      </c>
      <c r="AW15" s="129">
        <v>517.06406195001762</v>
      </c>
      <c r="AX15" s="129">
        <v>517.06406195001762</v>
      </c>
      <c r="AY15" s="129">
        <v>517.06406195001762</v>
      </c>
      <c r="AZ15" s="105">
        <v>46.999999999999993</v>
      </c>
    </row>
    <row r="16" spans="1:53" x14ac:dyDescent="0.2">
      <c r="A16" s="115"/>
      <c r="B16" s="124">
        <v>2</v>
      </c>
      <c r="C16" s="114" t="s">
        <v>293</v>
      </c>
      <c r="D16" s="111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/>
      <c r="L16" s="115">
        <v>0</v>
      </c>
      <c r="M16" s="115"/>
      <c r="N16" s="115">
        <v>0</v>
      </c>
      <c r="O16" s="115">
        <v>0</v>
      </c>
      <c r="P16" s="115"/>
      <c r="Q16" s="115">
        <v>0</v>
      </c>
      <c r="R16" s="115">
        <v>0</v>
      </c>
      <c r="S16" s="115">
        <v>0</v>
      </c>
      <c r="T16" s="115"/>
      <c r="U16" s="115">
        <v>0</v>
      </c>
      <c r="V16" s="115">
        <v>0</v>
      </c>
      <c r="W16" s="115">
        <v>0</v>
      </c>
      <c r="X16" s="115"/>
      <c r="Y16" s="115">
        <v>0</v>
      </c>
      <c r="Z16" s="115">
        <v>0</v>
      </c>
      <c r="AA16" s="115">
        <v>0</v>
      </c>
      <c r="AB16" s="115"/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/>
      <c r="AI16" s="115"/>
      <c r="AJ16" s="115"/>
      <c r="AK16" s="115">
        <v>0</v>
      </c>
      <c r="AL16" s="115">
        <v>0</v>
      </c>
      <c r="AM16" s="115">
        <v>0</v>
      </c>
      <c r="AN16" s="115">
        <v>0</v>
      </c>
      <c r="AO16" s="115"/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/>
      <c r="AY16" s="115">
        <v>0</v>
      </c>
      <c r="AZ16" s="105">
        <v>0</v>
      </c>
      <c r="BA16" s="105">
        <v>0</v>
      </c>
    </row>
    <row r="17" spans="1:51" x14ac:dyDescent="0.2">
      <c r="A17" s="115"/>
      <c r="B17" s="124">
        <v>3</v>
      </c>
      <c r="C17" s="114" t="s">
        <v>293</v>
      </c>
      <c r="D17" s="111">
        <v>0</v>
      </c>
      <c r="E17" s="115">
        <v>0</v>
      </c>
      <c r="F17" s="115"/>
      <c r="G17" s="115">
        <v>0</v>
      </c>
      <c r="H17" s="115"/>
      <c r="I17" s="115"/>
      <c r="J17" s="115"/>
      <c r="K17" s="115"/>
      <c r="L17" s="115">
        <v>0</v>
      </c>
      <c r="M17" s="115"/>
      <c r="N17" s="115"/>
      <c r="O17" s="115"/>
      <c r="P17" s="115">
        <v>0</v>
      </c>
      <c r="Q17" s="115">
        <v>0</v>
      </c>
      <c r="R17" s="115"/>
      <c r="S17" s="115"/>
      <c r="T17" s="115"/>
      <c r="U17" s="115"/>
      <c r="V17" s="115"/>
      <c r="W17" s="115">
        <v>0</v>
      </c>
      <c r="X17" s="115">
        <v>0</v>
      </c>
      <c r="Y17" s="115">
        <v>0</v>
      </c>
      <c r="Z17" s="115"/>
      <c r="AA17" s="115"/>
      <c r="AB17" s="115">
        <v>0</v>
      </c>
      <c r="AC17" s="115">
        <v>0</v>
      </c>
      <c r="AD17" s="115">
        <v>0</v>
      </c>
      <c r="AE17" s="115"/>
      <c r="AF17" s="115"/>
      <c r="AG17" s="115">
        <v>0</v>
      </c>
      <c r="AH17" s="115"/>
      <c r="AI17" s="115">
        <v>0</v>
      </c>
      <c r="AJ17" s="115"/>
      <c r="AK17" s="115">
        <v>0</v>
      </c>
      <c r="AL17" s="115"/>
      <c r="AM17" s="115"/>
      <c r="AN17" s="115"/>
      <c r="AO17" s="115"/>
      <c r="AP17" s="115">
        <v>0</v>
      </c>
      <c r="AQ17" s="115"/>
      <c r="AR17" s="115"/>
      <c r="AS17" s="115"/>
      <c r="AT17" s="115"/>
      <c r="AU17" s="115"/>
      <c r="AV17" s="115"/>
      <c r="AW17" s="115"/>
      <c r="AX17" s="115">
        <v>0</v>
      </c>
      <c r="AY17" s="115"/>
    </row>
    <row r="18" spans="1:51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1" x14ac:dyDescent="0.2">
      <c r="A20" s="107" t="s">
        <v>294</v>
      </c>
    </row>
    <row r="21" spans="1:51" x14ac:dyDescent="0.2">
      <c r="A21" s="131" t="s">
        <v>125</v>
      </c>
      <c r="B21" s="128">
        <v>1</v>
      </c>
      <c r="C21" s="129" t="s">
        <v>293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</row>
    <row r="22" spans="1:51" x14ac:dyDescent="0.2">
      <c r="A22" s="114"/>
      <c r="B22" s="125">
        <v>2</v>
      </c>
      <c r="C22" s="115" t="s">
        <v>293</v>
      </c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>
        <v>16.940468145019622</v>
      </c>
      <c r="Q22" s="115"/>
      <c r="R22" s="115">
        <v>15.200000000000045</v>
      </c>
      <c r="S22" s="115"/>
      <c r="T22" s="115"/>
      <c r="U22" s="115">
        <v>6.6000000000000227</v>
      </c>
      <c r="V22" s="115"/>
      <c r="W22" s="115"/>
      <c r="X22" s="115"/>
      <c r="Y22" s="115"/>
      <c r="Z22" s="115">
        <v>71.329999999999927</v>
      </c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>
        <v>3.2163674762408618</v>
      </c>
      <c r="AS22" s="115"/>
      <c r="AT22" s="115"/>
      <c r="AU22" s="115"/>
      <c r="AV22" s="115"/>
      <c r="AW22" s="115"/>
      <c r="AX22" s="115"/>
      <c r="AY22" s="115"/>
    </row>
    <row r="23" spans="1:51" x14ac:dyDescent="0.2">
      <c r="A23" s="114"/>
      <c r="B23" s="132">
        <v>3</v>
      </c>
      <c r="C23" s="115" t="s">
        <v>293</v>
      </c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>
        <v>0</v>
      </c>
      <c r="Q23" s="115"/>
      <c r="R23" s="115">
        <v>0</v>
      </c>
      <c r="S23" s="115"/>
      <c r="T23" s="115"/>
      <c r="U23" s="115">
        <v>0</v>
      </c>
      <c r="V23" s="115"/>
      <c r="W23" s="115"/>
      <c r="X23" s="115"/>
      <c r="Y23" s="115"/>
      <c r="Z23" s="115">
        <v>0</v>
      </c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>
        <v>0</v>
      </c>
      <c r="AS23" s="115"/>
      <c r="AT23" s="115"/>
      <c r="AU23" s="115"/>
      <c r="AV23" s="115"/>
      <c r="AW23" s="115"/>
      <c r="AX23" s="115"/>
      <c r="AY23" s="115"/>
    </row>
    <row r="24" spans="1:51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1" x14ac:dyDescent="0.2">
      <c r="A25" s="131" t="s">
        <v>133</v>
      </c>
      <c r="B25" s="128">
        <v>1</v>
      </c>
      <c r="C25" s="114" t="s">
        <v>293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1" x14ac:dyDescent="0.2">
      <c r="A26" s="114"/>
      <c r="B26" s="124">
        <v>2</v>
      </c>
      <c r="C26" s="114" t="s">
        <v>293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1" x14ac:dyDescent="0.2">
      <c r="A27" s="114"/>
      <c r="B27" s="125">
        <v>3</v>
      </c>
      <c r="C27" s="114" t="s">
        <v>293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1" x14ac:dyDescent="0.2">
      <c r="A28" s="114"/>
      <c r="B28" s="125">
        <v>4</v>
      </c>
      <c r="C28" s="114" t="s">
        <v>293</v>
      </c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1" x14ac:dyDescent="0.2">
      <c r="A29" s="114"/>
      <c r="B29" s="132">
        <v>5</v>
      </c>
      <c r="C29" s="114" t="s">
        <v>293</v>
      </c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</row>
    <row r="30" spans="1:51" x14ac:dyDescent="0.2">
      <c r="A30" s="114"/>
      <c r="B30" s="132">
        <v>6</v>
      </c>
      <c r="C30" s="114" t="s">
        <v>293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>
        <v>0</v>
      </c>
      <c r="Q30" s="115"/>
      <c r="R30" s="115">
        <v>0</v>
      </c>
      <c r="S30" s="115"/>
      <c r="T30" s="115"/>
      <c r="U30" s="115">
        <v>0</v>
      </c>
      <c r="V30" s="115"/>
      <c r="W30" s="115"/>
      <c r="X30" s="115"/>
      <c r="Y30" s="115"/>
      <c r="Z30" s="115">
        <v>0</v>
      </c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>
        <v>0</v>
      </c>
      <c r="AS30" s="115"/>
      <c r="AT30" s="115"/>
      <c r="AU30" s="115"/>
      <c r="AV30" s="115"/>
      <c r="AW30" s="115"/>
      <c r="AX30" s="115"/>
      <c r="AY30" s="115"/>
    </row>
    <row r="31" spans="1:51" x14ac:dyDescent="0.2">
      <c r="A31" s="114"/>
      <c r="B31" s="135">
        <v>7</v>
      </c>
      <c r="C31" s="114" t="s">
        <v>293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>
        <v>0</v>
      </c>
      <c r="Q31" s="115"/>
      <c r="R31" s="115">
        <v>0</v>
      </c>
      <c r="S31" s="115"/>
      <c r="T31" s="115"/>
      <c r="U31" s="115">
        <v>0</v>
      </c>
      <c r="V31" s="115"/>
      <c r="W31" s="115"/>
      <c r="X31" s="115"/>
      <c r="Y31" s="115"/>
      <c r="Z31" s="115">
        <v>0</v>
      </c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>
        <v>0</v>
      </c>
      <c r="AS31" s="115"/>
      <c r="AT31" s="115"/>
      <c r="AU31" s="115"/>
      <c r="AV31" s="115"/>
      <c r="AW31" s="115"/>
      <c r="AX31" s="115"/>
      <c r="AY31" s="115"/>
    </row>
    <row r="32" spans="1:51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</row>
    <row r="42" spans="1:51" x14ac:dyDescent="0.2">
      <c r="A42" s="114"/>
      <c r="B42" s="135">
        <v>10</v>
      </c>
      <c r="C42" s="114" t="s">
        <v>293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>
        <v>0</v>
      </c>
      <c r="Q42" s="111"/>
      <c r="R42" s="111">
        <v>0</v>
      </c>
      <c r="S42" s="111"/>
      <c r="T42" s="111"/>
      <c r="U42" s="111">
        <v>0</v>
      </c>
      <c r="V42" s="111"/>
      <c r="W42" s="111"/>
      <c r="X42" s="111"/>
      <c r="Y42" s="111"/>
      <c r="Z42" s="111">
        <v>0</v>
      </c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>
        <v>0</v>
      </c>
      <c r="AS42" s="111"/>
      <c r="AT42" s="111"/>
      <c r="AU42" s="111"/>
      <c r="AV42" s="111"/>
      <c r="AW42" s="111"/>
      <c r="AX42" s="111"/>
      <c r="AY42" s="111"/>
    </row>
    <row r="43" spans="1:51" x14ac:dyDescent="0.2">
      <c r="A43" s="114"/>
      <c r="B43" s="135">
        <v>11</v>
      </c>
      <c r="C43" s="114" t="s">
        <v>293</v>
      </c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>
        <v>0</v>
      </c>
      <c r="Q43" s="111"/>
      <c r="R43" s="111">
        <v>0</v>
      </c>
      <c r="S43" s="111"/>
      <c r="T43" s="111"/>
      <c r="U43" s="111">
        <v>0</v>
      </c>
      <c r="V43" s="111"/>
      <c r="W43" s="111"/>
      <c r="X43" s="111"/>
      <c r="Y43" s="111"/>
      <c r="Z43" s="111">
        <v>0</v>
      </c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>
        <v>0</v>
      </c>
      <c r="AS43" s="111"/>
      <c r="AT43" s="111"/>
      <c r="AU43" s="111"/>
      <c r="AV43" s="111"/>
      <c r="AW43" s="111"/>
      <c r="AX43" s="111"/>
      <c r="AY43" s="111"/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</row>
    <row r="90" spans="1:52" x14ac:dyDescent="0.2">
      <c r="A90" s="114"/>
      <c r="B90" s="135">
        <v>46</v>
      </c>
      <c r="C90" s="114" t="s">
        <v>293</v>
      </c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>
        <v>0</v>
      </c>
      <c r="Q90" s="115"/>
      <c r="R90" s="115">
        <v>0</v>
      </c>
      <c r="S90" s="115"/>
      <c r="T90" s="115"/>
      <c r="U90" s="115">
        <v>0</v>
      </c>
      <c r="V90" s="115"/>
      <c r="W90" s="115"/>
      <c r="X90" s="115"/>
      <c r="Y90" s="115"/>
      <c r="Z90" s="115">
        <v>0</v>
      </c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>
        <v>0</v>
      </c>
      <c r="AS90" s="115"/>
      <c r="AT90" s="115"/>
      <c r="AU90" s="115"/>
      <c r="AV90" s="115"/>
      <c r="AW90" s="115"/>
      <c r="AX90" s="115"/>
      <c r="AY90" s="115"/>
    </row>
    <row r="91" spans="1:52" x14ac:dyDescent="0.2">
      <c r="A91" s="114"/>
      <c r="B91" s="135">
        <v>47</v>
      </c>
      <c r="C91" s="114" t="s">
        <v>293</v>
      </c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>
        <v>0</v>
      </c>
      <c r="Q91" s="115"/>
      <c r="R91" s="115">
        <v>0</v>
      </c>
      <c r="S91" s="115"/>
      <c r="T91" s="115"/>
      <c r="U91" s="115">
        <v>0</v>
      </c>
      <c r="V91" s="115"/>
      <c r="W91" s="115"/>
      <c r="X91" s="115"/>
      <c r="Y91" s="115"/>
      <c r="Z91" s="115">
        <v>0</v>
      </c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>
        <v>0</v>
      </c>
      <c r="AS91" s="115"/>
      <c r="AT91" s="115"/>
      <c r="AU91" s="115"/>
      <c r="AV91" s="115"/>
      <c r="AW91" s="115"/>
      <c r="AX91" s="115"/>
      <c r="AY91" s="115"/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113.28683562126048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196</v>
      </c>
      <c r="D95" s="115">
        <v>196</v>
      </c>
      <c r="E95" s="115">
        <v>196</v>
      </c>
      <c r="F95" s="115">
        <v>196</v>
      </c>
      <c r="G95" s="115">
        <v>196</v>
      </c>
      <c r="H95" s="115">
        <v>196</v>
      </c>
      <c r="I95" s="115">
        <v>196</v>
      </c>
      <c r="J95" s="115">
        <v>196</v>
      </c>
      <c r="K95" s="115">
        <v>196</v>
      </c>
      <c r="L95" s="115">
        <v>215.60000000000002</v>
      </c>
      <c r="M95" s="115">
        <v>215.60000000000002</v>
      </c>
      <c r="N95" s="115">
        <v>215.60000000000002</v>
      </c>
      <c r="O95" s="115">
        <v>215.60000000000002</v>
      </c>
      <c r="P95" s="115">
        <v>215.60000000000002</v>
      </c>
      <c r="Q95" s="115">
        <v>215.60000000000002</v>
      </c>
      <c r="R95" s="115">
        <v>215.60000000000002</v>
      </c>
      <c r="S95" s="115">
        <v>215.60000000000002</v>
      </c>
      <c r="T95" s="115">
        <v>196</v>
      </c>
      <c r="U95" s="115">
        <v>196</v>
      </c>
      <c r="V95" s="115">
        <v>196</v>
      </c>
      <c r="W95" s="115">
        <v>196</v>
      </c>
      <c r="X95" s="115">
        <v>215.60000000000002</v>
      </c>
      <c r="Y95" s="115">
        <v>215.60000000000002</v>
      </c>
      <c r="Z95" s="115">
        <v>215.60000000000002</v>
      </c>
      <c r="AA95" s="115">
        <v>215.60000000000002</v>
      </c>
      <c r="AB95" s="115">
        <v>196</v>
      </c>
      <c r="AC95" s="115">
        <v>196</v>
      </c>
      <c r="AD95" s="115">
        <v>196</v>
      </c>
      <c r="AE95" s="115">
        <v>196</v>
      </c>
      <c r="AF95" s="115">
        <v>176.4</v>
      </c>
      <c r="AG95" s="115">
        <v>176.4</v>
      </c>
      <c r="AH95" s="115">
        <v>176.4</v>
      </c>
      <c r="AI95" s="115">
        <v>176.4</v>
      </c>
      <c r="AJ95" s="115">
        <v>215.60000000000002</v>
      </c>
      <c r="AK95" s="115">
        <v>215.60000000000002</v>
      </c>
      <c r="AL95" s="115">
        <v>215.60000000000002</v>
      </c>
      <c r="AM95" s="115">
        <v>215.60000000000002</v>
      </c>
      <c r="AN95" s="115">
        <v>196</v>
      </c>
      <c r="AO95" s="115">
        <v>196</v>
      </c>
      <c r="AP95" s="115">
        <v>196</v>
      </c>
      <c r="AQ95" s="115">
        <v>196</v>
      </c>
      <c r="AR95" s="115">
        <v>196</v>
      </c>
      <c r="AS95" s="115">
        <v>196</v>
      </c>
      <c r="AT95" s="115">
        <v>196</v>
      </c>
      <c r="AU95" s="115">
        <v>196</v>
      </c>
      <c r="AV95" s="115">
        <v>196</v>
      </c>
      <c r="AW95" s="115">
        <v>196</v>
      </c>
      <c r="AX95" s="115">
        <v>196</v>
      </c>
      <c r="AY95" s="115">
        <v>196</v>
      </c>
    </row>
    <row r="96" spans="1:52" x14ac:dyDescent="0.2">
      <c r="A96" s="114"/>
      <c r="B96" s="125">
        <v>2</v>
      </c>
      <c r="C96" s="115">
        <v>0</v>
      </c>
      <c r="D96" s="115">
        <v>0</v>
      </c>
      <c r="E96" s="115">
        <v>2</v>
      </c>
      <c r="F96" s="115">
        <v>0</v>
      </c>
      <c r="G96" s="115">
        <v>0</v>
      </c>
      <c r="H96" s="115">
        <v>0</v>
      </c>
      <c r="I96" s="115">
        <v>0</v>
      </c>
      <c r="J96" s="115">
        <v>23</v>
      </c>
      <c r="K96" s="115">
        <v>0</v>
      </c>
      <c r="L96" s="115">
        <v>0</v>
      </c>
      <c r="M96" s="115">
        <v>0</v>
      </c>
      <c r="N96" s="115">
        <v>36.600000000000023</v>
      </c>
      <c r="O96" s="115">
        <v>22.200000000000045</v>
      </c>
      <c r="P96" s="115">
        <v>49.859531854980446</v>
      </c>
      <c r="Q96" s="115">
        <v>21.459531854980469</v>
      </c>
      <c r="R96" s="115">
        <v>49.859531854980446</v>
      </c>
      <c r="S96" s="115">
        <v>38.459531854980469</v>
      </c>
      <c r="T96" s="115">
        <v>51.059531854980492</v>
      </c>
      <c r="U96" s="115">
        <v>69.459531854980469</v>
      </c>
      <c r="V96" s="115">
        <v>56.459531854980469</v>
      </c>
      <c r="W96" s="115">
        <v>18.459531854980469</v>
      </c>
      <c r="X96" s="115">
        <v>37.459531854980469</v>
      </c>
      <c r="Y96" s="115">
        <v>46.059531854980492</v>
      </c>
      <c r="Z96" s="115">
        <v>17.329531854980587</v>
      </c>
      <c r="AA96" s="115">
        <v>32.92953185498061</v>
      </c>
      <c r="AB96" s="115">
        <v>50.529531854980632</v>
      </c>
      <c r="AC96" s="115">
        <v>20.529531854980632</v>
      </c>
      <c r="AD96" s="115">
        <v>0</v>
      </c>
      <c r="AE96" s="115">
        <v>0</v>
      </c>
      <c r="AF96" s="115">
        <v>0</v>
      </c>
      <c r="AG96" s="115">
        <v>0</v>
      </c>
      <c r="AH96" s="115">
        <v>31.400000000000006</v>
      </c>
      <c r="AI96" s="115">
        <v>20.800000000000011</v>
      </c>
      <c r="AJ96" s="115">
        <v>0</v>
      </c>
      <c r="AK96" s="115">
        <v>0</v>
      </c>
      <c r="AL96" s="115">
        <v>23.600000000000023</v>
      </c>
      <c r="AM96" s="115">
        <v>18.200000000000045</v>
      </c>
      <c r="AN96" s="115">
        <v>10.800000000000068</v>
      </c>
      <c r="AO96" s="115">
        <v>12.800000000000068</v>
      </c>
      <c r="AP96" s="115">
        <v>0</v>
      </c>
      <c r="AQ96" s="115">
        <v>30</v>
      </c>
      <c r="AR96" s="115">
        <v>38.783632523759138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3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146.00000000000003</v>
      </c>
      <c r="D100" s="111">
        <v>146.00000000000003</v>
      </c>
      <c r="E100" s="111">
        <v>146.00000000000003</v>
      </c>
      <c r="F100" s="111">
        <v>146.00000000000003</v>
      </c>
      <c r="G100" s="111">
        <v>146.00000000000003</v>
      </c>
      <c r="H100" s="111">
        <v>146.00000000000003</v>
      </c>
      <c r="I100" s="111">
        <v>146.00000000000003</v>
      </c>
      <c r="J100" s="111">
        <v>146.00000000000003</v>
      </c>
      <c r="K100" s="111">
        <v>146.00000000000003</v>
      </c>
      <c r="L100" s="111">
        <v>146.00000000000003</v>
      </c>
      <c r="M100" s="111">
        <v>146.00000000000003</v>
      </c>
      <c r="N100" s="111">
        <v>160.60000000000005</v>
      </c>
      <c r="O100" s="111">
        <v>160.60000000000005</v>
      </c>
      <c r="P100" s="111">
        <v>160.60000000000005</v>
      </c>
      <c r="Q100" s="111">
        <v>160.60000000000005</v>
      </c>
      <c r="R100" s="111">
        <v>160.60000000000005</v>
      </c>
      <c r="S100" s="111">
        <v>160.60000000000005</v>
      </c>
      <c r="T100" s="111">
        <v>160.60000000000005</v>
      </c>
      <c r="U100" s="111">
        <v>160.60000000000005</v>
      </c>
      <c r="V100" s="111">
        <v>146.00000000000003</v>
      </c>
      <c r="W100" s="111">
        <v>146.00000000000003</v>
      </c>
      <c r="X100" s="111">
        <v>0</v>
      </c>
      <c r="Y100" s="111">
        <v>0</v>
      </c>
      <c r="Z100" s="111">
        <v>189.11917098445599</v>
      </c>
      <c r="AA100" s="111">
        <v>160.60000000000005</v>
      </c>
      <c r="AB100" s="111">
        <v>160.60000000000005</v>
      </c>
      <c r="AC100" s="111">
        <v>160.60000000000005</v>
      </c>
      <c r="AD100" s="111">
        <v>146.00000000000003</v>
      </c>
      <c r="AE100" s="111">
        <v>146.00000000000003</v>
      </c>
      <c r="AF100" s="111">
        <v>146.00000000000003</v>
      </c>
      <c r="AG100" s="111">
        <v>146.00000000000003</v>
      </c>
      <c r="AH100" s="111">
        <v>131.4</v>
      </c>
      <c r="AI100" s="111">
        <v>131.4</v>
      </c>
      <c r="AJ100" s="111">
        <v>131.4</v>
      </c>
      <c r="AK100" s="111">
        <v>131.4</v>
      </c>
      <c r="AL100" s="111">
        <v>160.60000000000005</v>
      </c>
      <c r="AM100" s="111">
        <v>160.60000000000005</v>
      </c>
      <c r="AN100" s="111">
        <v>160.60000000000005</v>
      </c>
      <c r="AO100" s="111">
        <v>160.60000000000005</v>
      </c>
      <c r="AP100" s="111">
        <v>146.00000000000003</v>
      </c>
      <c r="AQ100" s="111">
        <v>146.00000000000003</v>
      </c>
      <c r="AR100" s="111">
        <v>146.00000000000003</v>
      </c>
      <c r="AS100" s="111">
        <v>146.00000000000003</v>
      </c>
      <c r="AT100" s="111">
        <v>146.00000000000003</v>
      </c>
      <c r="AU100" s="111">
        <v>146.00000000000003</v>
      </c>
      <c r="AV100" s="111">
        <v>146.00000000000003</v>
      </c>
      <c r="AW100" s="111">
        <v>146.00000000000003</v>
      </c>
      <c r="AX100" s="111">
        <v>146.00000000000003</v>
      </c>
      <c r="AY100" s="111">
        <v>146.00000000000003</v>
      </c>
    </row>
    <row r="101" spans="1:52" x14ac:dyDescent="0.2">
      <c r="A101" s="114"/>
      <c r="B101" s="124">
        <v>2</v>
      </c>
      <c r="C101" s="111">
        <v>0</v>
      </c>
      <c r="D101" s="111">
        <v>0</v>
      </c>
      <c r="E101" s="111">
        <v>0</v>
      </c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13.600000000000051</v>
      </c>
      <c r="W101" s="111">
        <v>6.6000000000000796</v>
      </c>
      <c r="X101" s="111">
        <v>0</v>
      </c>
      <c r="Y101" s="111">
        <v>0</v>
      </c>
      <c r="Z101" s="111">
        <v>0</v>
      </c>
      <c r="AA101" s="111">
        <v>0</v>
      </c>
      <c r="AB101" s="111">
        <v>7.6000000000000512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51.706406195001762</v>
      </c>
      <c r="D109" s="111">
        <v>51.706406195001762</v>
      </c>
      <c r="E109" s="111">
        <v>51.706406195001762</v>
      </c>
      <c r="F109" s="111">
        <v>51.706406195001762</v>
      </c>
      <c r="G109" s="111">
        <v>51.706406195001762</v>
      </c>
      <c r="H109" s="111">
        <v>51.706406195001762</v>
      </c>
      <c r="I109" s="111">
        <v>51.706406195001762</v>
      </c>
      <c r="J109" s="111">
        <v>51.706406195001762</v>
      </c>
      <c r="K109" s="111">
        <v>51.706406195001762</v>
      </c>
      <c r="L109" s="111">
        <v>51.706406195001762</v>
      </c>
      <c r="M109" s="111">
        <v>51.706406195001762</v>
      </c>
      <c r="N109" s="111">
        <v>51.706406195001762</v>
      </c>
      <c r="O109" s="111">
        <v>52.176406195001768</v>
      </c>
      <c r="P109" s="111">
        <v>52.176406195001768</v>
      </c>
      <c r="Q109" s="111">
        <v>52.176406195001768</v>
      </c>
      <c r="R109" s="111">
        <v>52.176406195001768</v>
      </c>
      <c r="S109" s="111">
        <v>52.176406195001768</v>
      </c>
      <c r="T109" s="111">
        <v>52.176406195001768</v>
      </c>
      <c r="U109" s="111">
        <v>52.176406195001768</v>
      </c>
      <c r="V109" s="111">
        <v>52.176406195001768</v>
      </c>
      <c r="W109" s="111">
        <v>51.706406195001762</v>
      </c>
      <c r="X109" s="111">
        <v>51.706406195001762</v>
      </c>
      <c r="Y109" s="111">
        <v>47.006406195001773</v>
      </c>
      <c r="Z109" s="111">
        <v>47.006406195001773</v>
      </c>
      <c r="AA109" s="111">
        <v>53.094489096556174</v>
      </c>
      <c r="AB109" s="111">
        <v>53.116234716871716</v>
      </c>
      <c r="AC109" s="111">
        <v>52.176406195001768</v>
      </c>
      <c r="AD109" s="111">
        <v>52.176406195001768</v>
      </c>
      <c r="AE109" s="111">
        <v>51.706406195001762</v>
      </c>
      <c r="AF109" s="111">
        <v>51.706406195001762</v>
      </c>
      <c r="AG109" s="111">
        <v>51.706406195001762</v>
      </c>
      <c r="AH109" s="111">
        <v>51.706406195001762</v>
      </c>
      <c r="AI109" s="111">
        <v>51.23640619500177</v>
      </c>
      <c r="AJ109" s="111">
        <v>51.23640619500177</v>
      </c>
      <c r="AK109" s="111">
        <v>51.23640619500177</v>
      </c>
      <c r="AL109" s="111">
        <v>51.23640619500177</v>
      </c>
      <c r="AM109" s="111">
        <v>52.176406195001768</v>
      </c>
      <c r="AN109" s="111">
        <v>52.176406195001768</v>
      </c>
      <c r="AO109" s="111">
        <v>56.762397043294634</v>
      </c>
      <c r="AP109" s="111">
        <v>56.762397043294634</v>
      </c>
      <c r="AQ109" s="111">
        <v>56.292397043294628</v>
      </c>
      <c r="AR109" s="111">
        <v>56.292397043294628</v>
      </c>
      <c r="AS109" s="111">
        <v>56.292397043294628</v>
      </c>
      <c r="AT109" s="111">
        <v>56.292397043294628</v>
      </c>
      <c r="AU109" s="111">
        <v>57.947632869714425</v>
      </c>
      <c r="AV109" s="111">
        <v>56.292397043294642</v>
      </c>
      <c r="AW109" s="111">
        <v>51.706406195001762</v>
      </c>
      <c r="AX109" s="111">
        <v>51.706406195001762</v>
      </c>
      <c r="AY109" s="111">
        <v>51.706406195001762</v>
      </c>
    </row>
    <row r="110" spans="1:52" x14ac:dyDescent="0.2">
      <c r="A110" s="114"/>
      <c r="B110" s="124">
        <v>2</v>
      </c>
      <c r="C110" s="111">
        <v>0</v>
      </c>
      <c r="D110" s="111">
        <v>0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</v>
      </c>
      <c r="M110" s="111">
        <v>0</v>
      </c>
      <c r="N110" s="111">
        <v>0</v>
      </c>
      <c r="O110" s="111">
        <v>0</v>
      </c>
      <c r="P110" s="111">
        <v>0</v>
      </c>
      <c r="Q110" s="111">
        <v>0</v>
      </c>
      <c r="R110" s="111">
        <v>0</v>
      </c>
      <c r="S110" s="111">
        <v>0</v>
      </c>
      <c r="T110" s="111">
        <v>0</v>
      </c>
      <c r="U110" s="111">
        <v>0</v>
      </c>
      <c r="V110" s="111">
        <v>0</v>
      </c>
      <c r="W110" s="111">
        <v>0</v>
      </c>
      <c r="X110" s="111">
        <v>0</v>
      </c>
      <c r="Y110" s="111">
        <v>0.70640619500176172</v>
      </c>
      <c r="Z110" s="111">
        <v>0</v>
      </c>
      <c r="AA110" s="111">
        <v>0</v>
      </c>
      <c r="AB110" s="111">
        <v>0</v>
      </c>
      <c r="AC110" s="111">
        <v>0</v>
      </c>
      <c r="AD110" s="111">
        <v>0</v>
      </c>
      <c r="AE110" s="111">
        <v>0</v>
      </c>
      <c r="AF110" s="111">
        <v>0</v>
      </c>
      <c r="AG110" s="111">
        <v>0</v>
      </c>
      <c r="AH110" s="111">
        <v>0</v>
      </c>
      <c r="AI110" s="111">
        <v>0</v>
      </c>
      <c r="AJ110" s="111">
        <v>0</v>
      </c>
      <c r="AK110" s="111">
        <v>0</v>
      </c>
      <c r="AL110" s="111">
        <v>0</v>
      </c>
      <c r="AM110" s="111">
        <v>0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0</v>
      </c>
      <c r="AT110" s="111">
        <v>0</v>
      </c>
      <c r="AU110" s="111">
        <v>0</v>
      </c>
      <c r="AV110" s="111">
        <v>0</v>
      </c>
      <c r="AW110" s="111">
        <v>0</v>
      </c>
      <c r="AX110" s="111">
        <v>0</v>
      </c>
      <c r="AY110" s="111">
        <v>0</v>
      </c>
    </row>
    <row r="111" spans="1:52" x14ac:dyDescent="0.2">
      <c r="A111" s="114"/>
      <c r="B111" s="124">
        <v>3</v>
      </c>
      <c r="C111" s="111">
        <v>0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0</v>
      </c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0</v>
      </c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517.06406195001762</v>
      </c>
      <c r="D122" s="111">
        <v>517.06406195001762</v>
      </c>
      <c r="E122" s="111">
        <v>517.06406195001762</v>
      </c>
      <c r="F122" s="111">
        <v>517.06406195001762</v>
      </c>
      <c r="G122" s="111">
        <v>517.06406195001762</v>
      </c>
      <c r="H122" s="111">
        <v>517.06406195001762</v>
      </c>
      <c r="I122" s="111">
        <v>517.06406195001762</v>
      </c>
      <c r="J122" s="111">
        <v>517.06406195001762</v>
      </c>
      <c r="K122" s="111">
        <v>517.06406195001762</v>
      </c>
      <c r="L122" s="111">
        <v>517.06406195001762</v>
      </c>
      <c r="M122" s="111">
        <v>517.06406195001762</v>
      </c>
      <c r="N122" s="111">
        <v>521.76406195001766</v>
      </c>
      <c r="O122" s="111">
        <v>521.76406195001766</v>
      </c>
      <c r="P122" s="111">
        <v>521.76406195001766</v>
      </c>
      <c r="Q122" s="111">
        <v>521.76406195001766</v>
      </c>
      <c r="R122" s="111">
        <v>521.76406195001766</v>
      </c>
      <c r="S122" s="111">
        <v>521.76406195001766</v>
      </c>
      <c r="T122" s="111">
        <v>521.76406195001766</v>
      </c>
      <c r="U122" s="111">
        <v>521.76406195001766</v>
      </c>
      <c r="V122" s="111">
        <v>517.06406195001762</v>
      </c>
      <c r="W122" s="111">
        <v>517.06406195001762</v>
      </c>
      <c r="X122" s="111">
        <v>470.06406195001767</v>
      </c>
      <c r="Y122" s="111">
        <v>470.06406195001767</v>
      </c>
      <c r="Z122" s="111">
        <v>530.94489096556174</v>
      </c>
      <c r="AA122" s="111">
        <v>521.76406195001766</v>
      </c>
      <c r="AB122" s="111">
        <v>521.76406195001766</v>
      </c>
      <c r="AC122" s="111">
        <v>521.76406195001766</v>
      </c>
      <c r="AD122" s="111">
        <v>517.06406195001762</v>
      </c>
      <c r="AE122" s="111">
        <v>517.06406195001762</v>
      </c>
      <c r="AF122" s="111">
        <v>517.06406195001762</v>
      </c>
      <c r="AG122" s="111">
        <v>517.06406195001762</v>
      </c>
      <c r="AH122" s="111">
        <v>512.36406195001769</v>
      </c>
      <c r="AI122" s="111">
        <v>512.36406195001769</v>
      </c>
      <c r="AJ122" s="111">
        <v>512.36406195001769</v>
      </c>
      <c r="AK122" s="111">
        <v>512.36406195001769</v>
      </c>
      <c r="AL122" s="111">
        <v>521.76406195001766</v>
      </c>
      <c r="AM122" s="111">
        <v>521.76406195001766</v>
      </c>
      <c r="AN122" s="111">
        <v>567.62397043294629</v>
      </c>
      <c r="AO122" s="111">
        <v>567.62397043294629</v>
      </c>
      <c r="AP122" s="111">
        <v>562.92397043294625</v>
      </c>
      <c r="AQ122" s="111">
        <v>562.92397043294625</v>
      </c>
      <c r="AR122" s="111">
        <v>562.92397043294625</v>
      </c>
      <c r="AS122" s="111">
        <v>562.92397043294625</v>
      </c>
      <c r="AT122" s="111">
        <v>562.92397043294625</v>
      </c>
      <c r="AU122" s="111">
        <v>562.92397043294625</v>
      </c>
      <c r="AV122" s="111">
        <v>517.06406195001762</v>
      </c>
      <c r="AW122" s="111">
        <v>517.06406195001762</v>
      </c>
      <c r="AX122" s="111">
        <v>517.06406195001762</v>
      </c>
      <c r="AY122" s="111">
        <v>517.06406195001762</v>
      </c>
    </row>
    <row r="123" spans="1:52" x14ac:dyDescent="0.2">
      <c r="A123" s="114"/>
      <c r="B123" s="124">
        <v>2</v>
      </c>
      <c r="C123" s="111">
        <v>0</v>
      </c>
      <c r="D123" s="111">
        <v>0</v>
      </c>
      <c r="E123" s="111">
        <v>0</v>
      </c>
      <c r="F123" s="111">
        <v>0</v>
      </c>
      <c r="G123" s="111">
        <v>0</v>
      </c>
      <c r="H123" s="111">
        <v>0</v>
      </c>
      <c r="I123" s="111">
        <v>0</v>
      </c>
      <c r="J123" s="111">
        <v>0</v>
      </c>
      <c r="K123" s="111">
        <v>0</v>
      </c>
      <c r="L123" s="111">
        <v>0</v>
      </c>
      <c r="M123" s="111">
        <v>0</v>
      </c>
      <c r="N123" s="111">
        <v>0</v>
      </c>
      <c r="O123" s="111">
        <v>0</v>
      </c>
      <c r="P123" s="111">
        <v>0</v>
      </c>
      <c r="Q123" s="111">
        <v>0</v>
      </c>
      <c r="R123" s="111">
        <v>0</v>
      </c>
      <c r="S123" s="111">
        <v>0</v>
      </c>
      <c r="T123" s="111">
        <v>0</v>
      </c>
      <c r="U123" s="111">
        <v>0</v>
      </c>
      <c r="V123" s="111">
        <v>0</v>
      </c>
      <c r="W123" s="111">
        <v>0</v>
      </c>
      <c r="X123" s="111">
        <v>0</v>
      </c>
      <c r="Y123" s="111">
        <v>0</v>
      </c>
      <c r="Z123" s="111">
        <v>0</v>
      </c>
      <c r="AA123" s="111">
        <v>9.3982852186994137</v>
      </c>
      <c r="AB123" s="111">
        <v>0</v>
      </c>
      <c r="AC123" s="111">
        <v>0</v>
      </c>
      <c r="AD123" s="111">
        <v>0</v>
      </c>
      <c r="AE123" s="111">
        <v>0</v>
      </c>
      <c r="AF123" s="111">
        <v>0</v>
      </c>
      <c r="AG123" s="111">
        <v>0</v>
      </c>
      <c r="AH123" s="111">
        <v>0</v>
      </c>
      <c r="AI123" s="111">
        <v>0</v>
      </c>
      <c r="AJ123" s="111">
        <v>0</v>
      </c>
      <c r="AK123" s="111">
        <v>0</v>
      </c>
      <c r="AL123" s="111">
        <v>0</v>
      </c>
      <c r="AM123" s="111">
        <v>0</v>
      </c>
      <c r="AN123" s="111">
        <v>0</v>
      </c>
      <c r="AO123" s="111">
        <v>0</v>
      </c>
      <c r="AP123" s="111">
        <v>0</v>
      </c>
      <c r="AQ123" s="111">
        <v>0</v>
      </c>
      <c r="AR123" s="111">
        <v>0</v>
      </c>
      <c r="AS123" s="111">
        <v>0</v>
      </c>
      <c r="AT123" s="111">
        <v>16.552358264198062</v>
      </c>
      <c r="AU123" s="111">
        <v>5.6843418860808015E-14</v>
      </c>
      <c r="AV123" s="111">
        <v>0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</v>
      </c>
      <c r="D172" s="139">
        <v>0.1</v>
      </c>
      <c r="E172" s="139">
        <v>0.1</v>
      </c>
      <c r="F172" s="139">
        <v>0.1</v>
      </c>
      <c r="G172" s="139">
        <v>0.1</v>
      </c>
      <c r="H172" s="139">
        <v>0.1</v>
      </c>
      <c r="I172" s="139">
        <v>0.1</v>
      </c>
      <c r="J172" s="139">
        <v>0.1</v>
      </c>
      <c r="K172" s="139">
        <v>0.1</v>
      </c>
      <c r="L172" s="139">
        <v>0.1</v>
      </c>
      <c r="M172" s="139">
        <v>0.1</v>
      </c>
      <c r="N172" s="139">
        <v>0.1</v>
      </c>
      <c r="O172" s="139">
        <v>0.1</v>
      </c>
      <c r="P172" s="139">
        <v>0.1</v>
      </c>
      <c r="Q172" s="139">
        <v>0.1</v>
      </c>
      <c r="R172" s="139">
        <v>0.1</v>
      </c>
      <c r="S172" s="139">
        <v>0.1</v>
      </c>
      <c r="T172" s="139">
        <v>0.1</v>
      </c>
      <c r="U172" s="139">
        <v>0.1</v>
      </c>
      <c r="V172" s="139">
        <v>0.1</v>
      </c>
      <c r="W172" s="139">
        <v>0.1</v>
      </c>
      <c r="X172" s="139">
        <v>0.1</v>
      </c>
      <c r="Y172" s="139">
        <v>0.1</v>
      </c>
      <c r="Z172" s="139">
        <v>0.1</v>
      </c>
      <c r="AA172" s="139">
        <v>0.1</v>
      </c>
      <c r="AB172" s="139">
        <v>0.1</v>
      </c>
      <c r="AC172" s="139">
        <v>0.1</v>
      </c>
      <c r="AD172" s="139">
        <v>0.1</v>
      </c>
      <c r="AE172" s="139">
        <v>0.1</v>
      </c>
      <c r="AF172" s="139">
        <v>0.1</v>
      </c>
      <c r="AG172" s="139">
        <v>0.1</v>
      </c>
      <c r="AH172" s="139">
        <v>0.1</v>
      </c>
      <c r="AI172" s="139">
        <v>0.1</v>
      </c>
      <c r="AJ172" s="139">
        <v>0.1</v>
      </c>
      <c r="AK172" s="139">
        <v>0.1</v>
      </c>
      <c r="AL172" s="139">
        <v>0.1</v>
      </c>
      <c r="AM172" s="139">
        <v>0.1</v>
      </c>
      <c r="AN172" s="139">
        <v>0.1</v>
      </c>
      <c r="AO172" s="139">
        <v>0.1</v>
      </c>
      <c r="AP172" s="139">
        <v>0.1</v>
      </c>
      <c r="AQ172" s="139">
        <v>0.1</v>
      </c>
      <c r="AR172" s="139">
        <v>0.1</v>
      </c>
      <c r="AS172" s="139">
        <v>0.1</v>
      </c>
      <c r="AT172" s="139">
        <v>0.1</v>
      </c>
      <c r="AU172" s="139">
        <v>0.1</v>
      </c>
      <c r="AV172" s="139">
        <v>0.1</v>
      </c>
      <c r="AW172" s="139">
        <v>0.1</v>
      </c>
      <c r="AX172" s="139">
        <v>0.1</v>
      </c>
      <c r="AY172" s="139">
        <v>0.1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196</v>
      </c>
      <c r="E175" s="129">
        <f t="shared" si="1"/>
        <v>198</v>
      </c>
      <c r="F175" s="129">
        <f t="shared" si="1"/>
        <v>196</v>
      </c>
      <c r="G175" s="129">
        <f t="shared" si="1"/>
        <v>196</v>
      </c>
      <c r="H175" s="129">
        <f t="shared" si="1"/>
        <v>196</v>
      </c>
      <c r="I175" s="129">
        <f t="shared" si="1"/>
        <v>196</v>
      </c>
      <c r="J175" s="129">
        <f t="shared" si="1"/>
        <v>219</v>
      </c>
      <c r="K175" s="129">
        <f t="shared" si="1"/>
        <v>196</v>
      </c>
      <c r="L175" s="129">
        <f t="shared" si="1"/>
        <v>215.60000000000002</v>
      </c>
      <c r="M175" s="129">
        <f t="shared" si="1"/>
        <v>215.60000000000002</v>
      </c>
      <c r="N175" s="129">
        <f t="shared" si="1"/>
        <v>252.20000000000005</v>
      </c>
      <c r="O175" s="129">
        <f t="shared" si="1"/>
        <v>237.80000000000007</v>
      </c>
      <c r="P175" s="129">
        <f t="shared" si="1"/>
        <v>265.45953185498047</v>
      </c>
      <c r="Q175" s="129">
        <f t="shared" si="1"/>
        <v>237.05953185498049</v>
      </c>
      <c r="R175" s="129">
        <f t="shared" si="1"/>
        <v>265.45953185498047</v>
      </c>
      <c r="S175" s="129">
        <f t="shared" si="1"/>
        <v>254.05953185498049</v>
      </c>
      <c r="T175" s="129">
        <f t="shared" si="1"/>
        <v>247.05953185498049</v>
      </c>
      <c r="U175" s="129">
        <f t="shared" si="1"/>
        <v>265.45953185498047</v>
      </c>
      <c r="V175" s="129">
        <f t="shared" si="1"/>
        <v>252.45953185498047</v>
      </c>
      <c r="W175" s="129">
        <f t="shared" si="1"/>
        <v>214.45953185498047</v>
      </c>
      <c r="X175" s="129">
        <f t="shared" si="1"/>
        <v>253.05953185498049</v>
      </c>
      <c r="Y175" s="129">
        <f t="shared" si="1"/>
        <v>261.65953185498051</v>
      </c>
      <c r="Z175" s="129">
        <f t="shared" si="1"/>
        <v>232.92953185498061</v>
      </c>
      <c r="AA175" s="129">
        <f t="shared" si="1"/>
        <v>248.52953185498063</v>
      </c>
      <c r="AB175" s="129">
        <f t="shared" si="1"/>
        <v>246.52953185498063</v>
      </c>
      <c r="AC175" s="129">
        <f t="shared" si="1"/>
        <v>216.52953185498063</v>
      </c>
      <c r="AD175" s="129">
        <f t="shared" si="1"/>
        <v>196</v>
      </c>
      <c r="AE175" s="129">
        <f t="shared" si="1"/>
        <v>196</v>
      </c>
      <c r="AF175" s="129">
        <f t="shared" si="1"/>
        <v>176.4</v>
      </c>
      <c r="AG175" s="129">
        <f t="shared" si="1"/>
        <v>176.4</v>
      </c>
      <c r="AH175" s="129">
        <f t="shared" si="1"/>
        <v>207.8</v>
      </c>
      <c r="AI175" s="129">
        <f t="shared" si="1"/>
        <v>197.20000000000002</v>
      </c>
      <c r="AJ175" s="129">
        <f t="shared" si="1"/>
        <v>215.60000000000002</v>
      </c>
      <c r="AK175" s="129">
        <f t="shared" si="1"/>
        <v>215.60000000000002</v>
      </c>
      <c r="AL175" s="129">
        <f t="shared" si="1"/>
        <v>239.20000000000005</v>
      </c>
      <c r="AM175" s="129">
        <f t="shared" si="1"/>
        <v>233.80000000000007</v>
      </c>
      <c r="AN175" s="129">
        <f t="shared" si="1"/>
        <v>206.80000000000007</v>
      </c>
      <c r="AO175" s="129">
        <f t="shared" si="1"/>
        <v>208.80000000000007</v>
      </c>
      <c r="AP175" s="129">
        <f t="shared" si="1"/>
        <v>196</v>
      </c>
      <c r="AQ175" s="129">
        <f t="shared" si="1"/>
        <v>226</v>
      </c>
      <c r="AR175" s="129">
        <f t="shared" si="1"/>
        <v>234.78363252375914</v>
      </c>
      <c r="AS175" s="129">
        <f t="shared" si="1"/>
        <v>196</v>
      </c>
      <c r="AT175" s="129">
        <f t="shared" si="1"/>
        <v>196</v>
      </c>
      <c r="AU175" s="129">
        <f t="shared" si="1"/>
        <v>196</v>
      </c>
      <c r="AV175" s="129">
        <f t="shared" si="1"/>
        <v>196</v>
      </c>
      <c r="AW175" s="129">
        <f t="shared" si="1"/>
        <v>196</v>
      </c>
      <c r="AX175" s="129">
        <f t="shared" si="1"/>
        <v>196</v>
      </c>
      <c r="AY175" s="129">
        <f t="shared" si="1"/>
        <v>199</v>
      </c>
    </row>
    <row r="176" spans="1:52" x14ac:dyDescent="0.2">
      <c r="A176" s="130"/>
      <c r="B176" s="141" t="s">
        <v>299</v>
      </c>
      <c r="C176" s="130" t="s">
        <v>293</v>
      </c>
      <c r="D176" s="130">
        <v>194</v>
      </c>
      <c r="E176" s="130">
        <v>198</v>
      </c>
      <c r="F176" s="130">
        <v>196</v>
      </c>
      <c r="G176" s="130">
        <v>196</v>
      </c>
      <c r="H176" s="130">
        <v>196</v>
      </c>
      <c r="I176" s="130">
        <v>173</v>
      </c>
      <c r="J176" s="130">
        <v>219</v>
      </c>
      <c r="K176" s="130">
        <v>196</v>
      </c>
      <c r="L176" s="130">
        <v>215.60000000000002</v>
      </c>
      <c r="M176" s="130">
        <v>179</v>
      </c>
      <c r="N176" s="130">
        <v>230</v>
      </c>
      <c r="O176" s="130">
        <v>171</v>
      </c>
      <c r="P176" s="130">
        <v>244</v>
      </c>
      <c r="Q176" s="130">
        <v>172</v>
      </c>
      <c r="R176" s="130">
        <v>227</v>
      </c>
      <c r="S176" s="130">
        <v>203</v>
      </c>
      <c r="T176" s="130">
        <v>171</v>
      </c>
      <c r="U176" s="130">
        <v>209</v>
      </c>
      <c r="V176" s="130">
        <v>234</v>
      </c>
      <c r="W176" s="130">
        <v>177</v>
      </c>
      <c r="X176" s="130">
        <v>207</v>
      </c>
      <c r="Y176" s="130">
        <v>173</v>
      </c>
      <c r="Z176" s="130">
        <v>200</v>
      </c>
      <c r="AA176" s="130">
        <v>198</v>
      </c>
      <c r="AB176" s="130">
        <v>226</v>
      </c>
      <c r="AC176" s="130">
        <v>216.52953185498063</v>
      </c>
      <c r="AD176" s="130">
        <v>196</v>
      </c>
      <c r="AE176" s="130">
        <v>196</v>
      </c>
      <c r="AF176" s="130">
        <v>176.4</v>
      </c>
      <c r="AG176" s="130">
        <v>145</v>
      </c>
      <c r="AH176" s="130">
        <v>187</v>
      </c>
      <c r="AI176" s="130">
        <v>197.20000000000002</v>
      </c>
      <c r="AJ176" s="130">
        <v>215.60000000000002</v>
      </c>
      <c r="AK176" s="130">
        <v>192</v>
      </c>
      <c r="AL176" s="130">
        <v>221</v>
      </c>
      <c r="AM176" s="130">
        <v>223</v>
      </c>
      <c r="AN176" s="130">
        <v>194</v>
      </c>
      <c r="AO176" s="130">
        <v>208.80000000000007</v>
      </c>
      <c r="AP176" s="130">
        <v>166</v>
      </c>
      <c r="AQ176" s="130">
        <v>184</v>
      </c>
      <c r="AR176" s="130">
        <v>234.78363252375914</v>
      </c>
      <c r="AS176" s="130">
        <v>196</v>
      </c>
      <c r="AT176" s="130">
        <v>196</v>
      </c>
      <c r="AU176" s="130">
        <v>196</v>
      </c>
      <c r="AV176" s="130">
        <v>196</v>
      </c>
      <c r="AW176" s="130">
        <v>196</v>
      </c>
      <c r="AX176" s="130">
        <v>193</v>
      </c>
      <c r="AY176" s="130">
        <v>177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146.00000000000003</v>
      </c>
      <c r="E177" s="129">
        <f t="shared" si="2"/>
        <v>146.00000000000003</v>
      </c>
      <c r="F177" s="129">
        <f t="shared" si="2"/>
        <v>146.00000000000003</v>
      </c>
      <c r="G177" s="129">
        <f t="shared" si="2"/>
        <v>146.00000000000003</v>
      </c>
      <c r="H177" s="129">
        <f t="shared" si="2"/>
        <v>146.00000000000003</v>
      </c>
      <c r="I177" s="129">
        <f t="shared" si="2"/>
        <v>146.00000000000003</v>
      </c>
      <c r="J177" s="129">
        <f t="shared" si="2"/>
        <v>146.00000000000003</v>
      </c>
      <c r="K177" s="129">
        <f t="shared" si="2"/>
        <v>146.00000000000003</v>
      </c>
      <c r="L177" s="129">
        <f t="shared" si="2"/>
        <v>146.00000000000003</v>
      </c>
      <c r="M177" s="129">
        <f t="shared" si="2"/>
        <v>146.00000000000003</v>
      </c>
      <c r="N177" s="129">
        <f t="shared" si="2"/>
        <v>160.60000000000005</v>
      </c>
      <c r="O177" s="129">
        <f t="shared" si="2"/>
        <v>160.60000000000005</v>
      </c>
      <c r="P177" s="129">
        <f t="shared" si="2"/>
        <v>160.60000000000005</v>
      </c>
      <c r="Q177" s="129">
        <f t="shared" si="2"/>
        <v>160.60000000000005</v>
      </c>
      <c r="R177" s="129">
        <f t="shared" si="2"/>
        <v>160.60000000000005</v>
      </c>
      <c r="S177" s="129">
        <f t="shared" si="2"/>
        <v>160.60000000000005</v>
      </c>
      <c r="T177" s="129">
        <f t="shared" si="2"/>
        <v>160.60000000000005</v>
      </c>
      <c r="U177" s="129">
        <f t="shared" si="2"/>
        <v>160.60000000000005</v>
      </c>
      <c r="V177" s="129">
        <f t="shared" si="2"/>
        <v>159.60000000000008</v>
      </c>
      <c r="W177" s="129">
        <f t="shared" si="2"/>
        <v>152.60000000000011</v>
      </c>
      <c r="X177" s="129">
        <f t="shared" si="2"/>
        <v>0</v>
      </c>
      <c r="Y177" s="129">
        <f t="shared" si="2"/>
        <v>0</v>
      </c>
      <c r="Z177" s="129">
        <f t="shared" si="2"/>
        <v>189.11917098445599</v>
      </c>
      <c r="AA177" s="129">
        <f t="shared" si="2"/>
        <v>160.60000000000005</v>
      </c>
      <c r="AB177" s="129">
        <f t="shared" si="2"/>
        <v>168.2000000000001</v>
      </c>
      <c r="AC177" s="129">
        <f t="shared" si="2"/>
        <v>160.60000000000005</v>
      </c>
      <c r="AD177" s="129">
        <f t="shared" si="2"/>
        <v>146.00000000000003</v>
      </c>
      <c r="AE177" s="129">
        <f t="shared" si="2"/>
        <v>146.00000000000003</v>
      </c>
      <c r="AF177" s="129">
        <f t="shared" si="2"/>
        <v>146.00000000000003</v>
      </c>
      <c r="AG177" s="129">
        <f t="shared" si="2"/>
        <v>146.00000000000003</v>
      </c>
      <c r="AH177" s="129">
        <f t="shared" si="2"/>
        <v>131.4</v>
      </c>
      <c r="AI177" s="129">
        <f t="shared" si="2"/>
        <v>131.4</v>
      </c>
      <c r="AJ177" s="129">
        <f t="shared" si="2"/>
        <v>131.4</v>
      </c>
      <c r="AK177" s="129">
        <f t="shared" si="2"/>
        <v>131.4</v>
      </c>
      <c r="AL177" s="129">
        <f t="shared" si="2"/>
        <v>160.60000000000005</v>
      </c>
      <c r="AM177" s="129">
        <f t="shared" si="2"/>
        <v>160.60000000000005</v>
      </c>
      <c r="AN177" s="129">
        <f t="shared" si="2"/>
        <v>160.60000000000005</v>
      </c>
      <c r="AO177" s="129">
        <f t="shared" si="2"/>
        <v>160.60000000000005</v>
      </c>
      <c r="AP177" s="129">
        <f t="shared" si="2"/>
        <v>146.00000000000003</v>
      </c>
      <c r="AQ177" s="129">
        <f t="shared" si="2"/>
        <v>146.00000000000003</v>
      </c>
      <c r="AR177" s="129">
        <f t="shared" si="2"/>
        <v>146.00000000000003</v>
      </c>
      <c r="AS177" s="129">
        <f t="shared" si="2"/>
        <v>146.00000000000003</v>
      </c>
      <c r="AT177" s="129">
        <f t="shared" si="2"/>
        <v>146.00000000000003</v>
      </c>
      <c r="AU177" s="129">
        <f t="shared" si="2"/>
        <v>146.00000000000003</v>
      </c>
      <c r="AV177" s="129">
        <f t="shared" si="2"/>
        <v>146.00000000000003</v>
      </c>
      <c r="AW177" s="129">
        <f t="shared" si="2"/>
        <v>146.00000000000003</v>
      </c>
      <c r="AX177" s="129">
        <f t="shared" si="2"/>
        <v>146.00000000000003</v>
      </c>
      <c r="AY177" s="129">
        <f t="shared" si="2"/>
        <v>146.00000000000003</v>
      </c>
    </row>
    <row r="178" spans="1:51" x14ac:dyDescent="0.2">
      <c r="A178" s="130"/>
      <c r="B178" s="141" t="s">
        <v>299</v>
      </c>
      <c r="C178" s="130" t="s">
        <v>293</v>
      </c>
      <c r="D178" s="130">
        <v>146.00000000000003</v>
      </c>
      <c r="E178" s="130">
        <v>146.00000000000003</v>
      </c>
      <c r="F178" s="130">
        <v>146.00000000000003</v>
      </c>
      <c r="G178" s="130">
        <v>146.00000000000003</v>
      </c>
      <c r="H178" s="130">
        <v>146.00000000000003</v>
      </c>
      <c r="I178" s="130">
        <v>146.00000000000003</v>
      </c>
      <c r="J178" s="130">
        <v>146.00000000000003</v>
      </c>
      <c r="K178" s="130">
        <v>146.00000000000003</v>
      </c>
      <c r="L178" s="130">
        <v>146.00000000000003</v>
      </c>
      <c r="M178" s="130">
        <v>146.00000000000003</v>
      </c>
      <c r="N178" s="130">
        <v>160.60000000000005</v>
      </c>
      <c r="O178" s="130">
        <v>160.60000000000005</v>
      </c>
      <c r="P178" s="130">
        <v>160.60000000000005</v>
      </c>
      <c r="Q178" s="130">
        <v>160.60000000000005</v>
      </c>
      <c r="R178" s="130">
        <v>160.60000000000005</v>
      </c>
      <c r="S178" s="130">
        <v>160.60000000000005</v>
      </c>
      <c r="T178" s="130">
        <v>160.60000000000005</v>
      </c>
      <c r="U178" s="130">
        <v>147</v>
      </c>
      <c r="V178" s="130">
        <v>153</v>
      </c>
      <c r="W178" s="130">
        <v>152.60000000000011</v>
      </c>
      <c r="X178" s="130">
        <v>0</v>
      </c>
      <c r="Y178" s="130">
        <v>0</v>
      </c>
      <c r="Z178" s="130">
        <v>189.11917098445599</v>
      </c>
      <c r="AA178" s="130">
        <v>153</v>
      </c>
      <c r="AB178" s="130">
        <v>168.2000000000001</v>
      </c>
      <c r="AC178" s="130">
        <v>160.60000000000005</v>
      </c>
      <c r="AD178" s="130">
        <v>146.00000000000003</v>
      </c>
      <c r="AE178" s="130">
        <v>146.00000000000003</v>
      </c>
      <c r="AF178" s="130">
        <v>146.00000000000003</v>
      </c>
      <c r="AG178" s="130">
        <v>146.00000000000003</v>
      </c>
      <c r="AH178" s="130">
        <v>131.4</v>
      </c>
      <c r="AI178" s="130">
        <v>131.4</v>
      </c>
      <c r="AJ178" s="130">
        <v>131.4</v>
      </c>
      <c r="AK178" s="130">
        <v>131.4</v>
      </c>
      <c r="AL178" s="130">
        <v>160.60000000000005</v>
      </c>
      <c r="AM178" s="130">
        <v>160.60000000000005</v>
      </c>
      <c r="AN178" s="130">
        <v>160.60000000000005</v>
      </c>
      <c r="AO178" s="130">
        <v>160.60000000000005</v>
      </c>
      <c r="AP178" s="130">
        <v>146.00000000000003</v>
      </c>
      <c r="AQ178" s="130">
        <v>146.00000000000003</v>
      </c>
      <c r="AR178" s="130">
        <v>146.00000000000003</v>
      </c>
      <c r="AS178" s="130">
        <v>146.00000000000003</v>
      </c>
      <c r="AT178" s="130">
        <v>146.00000000000003</v>
      </c>
      <c r="AU178" s="130">
        <v>146.00000000000003</v>
      </c>
      <c r="AV178" s="130">
        <v>146.00000000000003</v>
      </c>
      <c r="AW178" s="130">
        <v>146.00000000000003</v>
      </c>
      <c r="AX178" s="130">
        <v>146.00000000000003</v>
      </c>
      <c r="AY178" s="130">
        <v>146.00000000000003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51.706406195001762</v>
      </c>
      <c r="E179" s="129">
        <f t="shared" si="3"/>
        <v>51.706406195001762</v>
      </c>
      <c r="F179" s="129">
        <f t="shared" si="3"/>
        <v>51.706406195001762</v>
      </c>
      <c r="G179" s="129">
        <f t="shared" si="3"/>
        <v>51.706406195001762</v>
      </c>
      <c r="H179" s="129">
        <f t="shared" si="3"/>
        <v>51.706406195001762</v>
      </c>
      <c r="I179" s="129">
        <f t="shared" si="3"/>
        <v>51.706406195001762</v>
      </c>
      <c r="J179" s="129">
        <f t="shared" si="3"/>
        <v>51.706406195001762</v>
      </c>
      <c r="K179" s="129">
        <f t="shared" si="3"/>
        <v>51.706406195001762</v>
      </c>
      <c r="L179" s="129">
        <f t="shared" si="3"/>
        <v>51.706406195001762</v>
      </c>
      <c r="M179" s="129">
        <f t="shared" si="3"/>
        <v>51.706406195001762</v>
      </c>
      <c r="N179" s="129">
        <f t="shared" si="3"/>
        <v>51.706406195001762</v>
      </c>
      <c r="O179" s="129">
        <f t="shared" si="3"/>
        <v>52.176406195001768</v>
      </c>
      <c r="P179" s="129">
        <f t="shared" si="3"/>
        <v>52.176406195001768</v>
      </c>
      <c r="Q179" s="129">
        <f t="shared" si="3"/>
        <v>52.176406195001768</v>
      </c>
      <c r="R179" s="129">
        <f t="shared" si="3"/>
        <v>52.176406195001768</v>
      </c>
      <c r="S179" s="129">
        <f t="shared" si="3"/>
        <v>52.176406195001768</v>
      </c>
      <c r="T179" s="129">
        <f t="shared" si="3"/>
        <v>52.176406195001768</v>
      </c>
      <c r="U179" s="129">
        <f t="shared" si="3"/>
        <v>52.176406195001768</v>
      </c>
      <c r="V179" s="129">
        <f t="shared" si="3"/>
        <v>52.176406195001768</v>
      </c>
      <c r="W179" s="129">
        <f t="shared" si="3"/>
        <v>51.706406195001762</v>
      </c>
      <c r="X179" s="129">
        <f t="shared" si="3"/>
        <v>51.706406195001762</v>
      </c>
      <c r="Y179" s="129">
        <f t="shared" si="3"/>
        <v>47.712812390003535</v>
      </c>
      <c r="Z179" s="129">
        <f t="shared" si="3"/>
        <v>47.006406195001773</v>
      </c>
      <c r="AA179" s="129">
        <f t="shared" si="3"/>
        <v>53.094489096556174</v>
      </c>
      <c r="AB179" s="129">
        <f t="shared" si="3"/>
        <v>53.116234716871716</v>
      </c>
      <c r="AC179" s="129">
        <f t="shared" si="3"/>
        <v>52.176406195001768</v>
      </c>
      <c r="AD179" s="129">
        <f t="shared" si="3"/>
        <v>52.176406195001768</v>
      </c>
      <c r="AE179" s="129">
        <f t="shared" si="3"/>
        <v>51.706406195001762</v>
      </c>
      <c r="AF179" s="129">
        <f t="shared" si="3"/>
        <v>51.706406195001762</v>
      </c>
      <c r="AG179" s="129">
        <f t="shared" si="3"/>
        <v>51.706406195001762</v>
      </c>
      <c r="AH179" s="129">
        <f t="shared" si="3"/>
        <v>51.706406195001762</v>
      </c>
      <c r="AI179" s="129">
        <f t="shared" si="3"/>
        <v>51.23640619500177</v>
      </c>
      <c r="AJ179" s="129">
        <f t="shared" si="3"/>
        <v>51.23640619500177</v>
      </c>
      <c r="AK179" s="129">
        <f t="shared" si="3"/>
        <v>51.23640619500177</v>
      </c>
      <c r="AL179" s="129">
        <f t="shared" si="3"/>
        <v>51.23640619500177</v>
      </c>
      <c r="AM179" s="129">
        <f t="shared" si="3"/>
        <v>52.176406195001768</v>
      </c>
      <c r="AN179" s="129">
        <f t="shared" si="3"/>
        <v>52.176406195001768</v>
      </c>
      <c r="AO179" s="129">
        <f t="shared" si="3"/>
        <v>56.762397043294634</v>
      </c>
      <c r="AP179" s="129">
        <f t="shared" si="3"/>
        <v>56.762397043294634</v>
      </c>
      <c r="AQ179" s="129">
        <f t="shared" si="3"/>
        <v>56.292397043294628</v>
      </c>
      <c r="AR179" s="129">
        <f t="shared" si="3"/>
        <v>56.292397043294628</v>
      </c>
      <c r="AS179" s="129">
        <f t="shared" si="3"/>
        <v>56.292397043294628</v>
      </c>
      <c r="AT179" s="129">
        <f t="shared" si="3"/>
        <v>56.292397043294628</v>
      </c>
      <c r="AU179" s="129">
        <f t="shared" si="3"/>
        <v>57.947632869714425</v>
      </c>
      <c r="AV179" s="129">
        <f t="shared" si="3"/>
        <v>56.292397043294642</v>
      </c>
      <c r="AW179" s="129">
        <f t="shared" si="3"/>
        <v>51.706406195001762</v>
      </c>
      <c r="AX179" s="129">
        <f t="shared" si="3"/>
        <v>51.706406195001762</v>
      </c>
      <c r="AY179" s="129">
        <f t="shared" si="3"/>
        <v>51.706406195001762</v>
      </c>
    </row>
    <row r="180" spans="1:51" x14ac:dyDescent="0.2">
      <c r="A180" s="130"/>
      <c r="B180" s="141" t="s">
        <v>299</v>
      </c>
      <c r="C180" s="130" t="s">
        <v>293</v>
      </c>
      <c r="D180" s="130">
        <v>51.706406195001762</v>
      </c>
      <c r="E180" s="130">
        <v>51.706406195001762</v>
      </c>
      <c r="F180" s="130">
        <v>51.706406195001762</v>
      </c>
      <c r="G180" s="130">
        <v>51.706406195001762</v>
      </c>
      <c r="H180" s="130">
        <v>51.706406195001762</v>
      </c>
      <c r="I180" s="130">
        <v>51.706406195001762</v>
      </c>
      <c r="J180" s="130">
        <v>51.706406195001762</v>
      </c>
      <c r="K180" s="130">
        <v>51.706406195001762</v>
      </c>
      <c r="L180" s="130">
        <v>51.706406195001762</v>
      </c>
      <c r="M180" s="130">
        <v>51.706406195001762</v>
      </c>
      <c r="N180" s="130">
        <v>51.706406195001762</v>
      </c>
      <c r="O180" s="130">
        <v>52.176406195001768</v>
      </c>
      <c r="P180" s="130">
        <v>52.176406195001768</v>
      </c>
      <c r="Q180" s="130">
        <v>52.176406195001768</v>
      </c>
      <c r="R180" s="130">
        <v>52.176406195001768</v>
      </c>
      <c r="S180" s="130">
        <v>52.176406195001768</v>
      </c>
      <c r="T180" s="130">
        <v>52.176406195001768</v>
      </c>
      <c r="U180" s="130">
        <v>52.176406195001768</v>
      </c>
      <c r="V180" s="130">
        <v>52.176406195001768</v>
      </c>
      <c r="W180" s="130">
        <v>51.706406195001762</v>
      </c>
      <c r="X180" s="130">
        <v>51</v>
      </c>
      <c r="Y180" s="130">
        <v>47.712812390003535</v>
      </c>
      <c r="Z180" s="130">
        <v>47.006406195001773</v>
      </c>
      <c r="AA180" s="130">
        <v>53.094489096556174</v>
      </c>
      <c r="AB180" s="130">
        <v>53.116234716871716</v>
      </c>
      <c r="AC180" s="130">
        <v>52.176406195001768</v>
      </c>
      <c r="AD180" s="130">
        <v>52.176406195001768</v>
      </c>
      <c r="AE180" s="130">
        <v>51.706406195001762</v>
      </c>
      <c r="AF180" s="130">
        <v>51.706406195001762</v>
      </c>
      <c r="AG180" s="130">
        <v>51.706406195001762</v>
      </c>
      <c r="AH180" s="130">
        <v>51.706406195001762</v>
      </c>
      <c r="AI180" s="130">
        <v>51.23640619500177</v>
      </c>
      <c r="AJ180" s="130">
        <v>51.23640619500177</v>
      </c>
      <c r="AK180" s="130">
        <v>51.23640619500177</v>
      </c>
      <c r="AL180" s="130">
        <v>51.23640619500177</v>
      </c>
      <c r="AM180" s="130">
        <v>52.176406195001768</v>
      </c>
      <c r="AN180" s="130">
        <v>52.176406195001768</v>
      </c>
      <c r="AO180" s="130">
        <v>56.762397043294634</v>
      </c>
      <c r="AP180" s="130">
        <v>56.762397043294634</v>
      </c>
      <c r="AQ180" s="130">
        <v>56.292397043294628</v>
      </c>
      <c r="AR180" s="130">
        <v>56.292397043294628</v>
      </c>
      <c r="AS180" s="130">
        <v>56.292397043294628</v>
      </c>
      <c r="AT180" s="130">
        <v>56.292397043294628</v>
      </c>
      <c r="AU180" s="130">
        <v>57.947632869714425</v>
      </c>
      <c r="AV180" s="130">
        <v>56.292397043294642</v>
      </c>
      <c r="AW180" s="130">
        <v>51.706406195001762</v>
      </c>
      <c r="AX180" s="130">
        <v>51.706406195001762</v>
      </c>
      <c r="AY180" s="130">
        <v>51.706406195001762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465.35765575501586</v>
      </c>
      <c r="E181" s="129">
        <f t="shared" si="4"/>
        <v>465.35765575501586</v>
      </c>
      <c r="F181" s="129">
        <f t="shared" si="4"/>
        <v>465.35765575501586</v>
      </c>
      <c r="G181" s="129">
        <f t="shared" si="4"/>
        <v>465.35765575501586</v>
      </c>
      <c r="H181" s="129">
        <f t="shared" si="4"/>
        <v>465.35765575501586</v>
      </c>
      <c r="I181" s="129">
        <f t="shared" si="4"/>
        <v>465.35765575501586</v>
      </c>
      <c r="J181" s="129">
        <f t="shared" si="4"/>
        <v>465.35765575501586</v>
      </c>
      <c r="K181" s="129">
        <f t="shared" si="4"/>
        <v>465.35765575501586</v>
      </c>
      <c r="L181" s="129">
        <f t="shared" si="4"/>
        <v>465.35765575501586</v>
      </c>
      <c r="M181" s="129">
        <f t="shared" si="4"/>
        <v>465.35765575501586</v>
      </c>
      <c r="N181" s="129">
        <f t="shared" si="4"/>
        <v>469.58765575501593</v>
      </c>
      <c r="O181" s="129">
        <f t="shared" si="4"/>
        <v>469.58765575501593</v>
      </c>
      <c r="P181" s="129">
        <f t="shared" si="4"/>
        <v>469.58765575501593</v>
      </c>
      <c r="Q181" s="129">
        <f t="shared" si="4"/>
        <v>469.58765575501593</v>
      </c>
      <c r="R181" s="129">
        <f t="shared" si="4"/>
        <v>469.58765575501593</v>
      </c>
      <c r="S181" s="129">
        <f t="shared" si="4"/>
        <v>469.58765575501593</v>
      </c>
      <c r="T181" s="129">
        <f t="shared" si="4"/>
        <v>469.58765575501593</v>
      </c>
      <c r="U181" s="129">
        <f t="shared" si="4"/>
        <v>469.58765575501593</v>
      </c>
      <c r="V181" s="129">
        <f t="shared" si="4"/>
        <v>465.35765575501586</v>
      </c>
      <c r="W181" s="129">
        <f t="shared" si="4"/>
        <v>465.35765575501586</v>
      </c>
      <c r="X181" s="129">
        <f t="shared" si="4"/>
        <v>423.0576557550159</v>
      </c>
      <c r="Y181" s="129">
        <f t="shared" si="4"/>
        <v>423.0576557550159</v>
      </c>
      <c r="Z181" s="129">
        <f t="shared" si="4"/>
        <v>477.85040186900557</v>
      </c>
      <c r="AA181" s="129">
        <f t="shared" si="4"/>
        <v>478.04611245184543</v>
      </c>
      <c r="AB181" s="129">
        <f t="shared" si="4"/>
        <v>469.58765575501593</v>
      </c>
      <c r="AC181" s="129">
        <f t="shared" si="4"/>
        <v>469.58765575501593</v>
      </c>
      <c r="AD181" s="129">
        <f t="shared" si="4"/>
        <v>465.35765575501586</v>
      </c>
      <c r="AE181" s="129">
        <f t="shared" si="4"/>
        <v>465.35765575501586</v>
      </c>
      <c r="AF181" s="129">
        <f t="shared" si="4"/>
        <v>465.35765575501586</v>
      </c>
      <c r="AG181" s="129">
        <f t="shared" si="4"/>
        <v>465.35765575501586</v>
      </c>
      <c r="AH181" s="129">
        <f t="shared" si="4"/>
        <v>461.12765575501595</v>
      </c>
      <c r="AI181" s="129">
        <f t="shared" si="4"/>
        <v>461.12765575501595</v>
      </c>
      <c r="AJ181" s="129">
        <f t="shared" si="4"/>
        <v>461.12765575501595</v>
      </c>
      <c r="AK181" s="129">
        <f t="shared" si="4"/>
        <v>461.12765575501595</v>
      </c>
      <c r="AL181" s="129">
        <f t="shared" si="4"/>
        <v>469.58765575501593</v>
      </c>
      <c r="AM181" s="129">
        <f t="shared" si="4"/>
        <v>469.58765575501593</v>
      </c>
      <c r="AN181" s="129">
        <f t="shared" si="4"/>
        <v>510.86157338965165</v>
      </c>
      <c r="AO181" s="129">
        <f t="shared" si="4"/>
        <v>510.86157338965165</v>
      </c>
      <c r="AP181" s="129">
        <f t="shared" si="4"/>
        <v>506.63157338965163</v>
      </c>
      <c r="AQ181" s="129">
        <f t="shared" si="4"/>
        <v>506.63157338965163</v>
      </c>
      <c r="AR181" s="129">
        <f t="shared" si="4"/>
        <v>506.63157338965163</v>
      </c>
      <c r="AS181" s="129">
        <f t="shared" si="4"/>
        <v>506.63157338965163</v>
      </c>
      <c r="AT181" s="129">
        <f t="shared" si="4"/>
        <v>521.52869582742983</v>
      </c>
      <c r="AU181" s="129">
        <f t="shared" si="4"/>
        <v>506.63157338965175</v>
      </c>
      <c r="AV181" s="129">
        <f t="shared" si="4"/>
        <v>465.35765575501586</v>
      </c>
      <c r="AW181" s="129">
        <f t="shared" si="4"/>
        <v>465.35765575501586</v>
      </c>
      <c r="AX181" s="129">
        <f t="shared" si="4"/>
        <v>465.35765575501586</v>
      </c>
      <c r="AY181" s="129">
        <f t="shared" si="4"/>
        <v>465.35765575501586</v>
      </c>
    </row>
    <row r="182" spans="1:51" x14ac:dyDescent="0.2">
      <c r="A182" s="130"/>
      <c r="B182" s="141" t="s">
        <v>299</v>
      </c>
      <c r="C182" s="130" t="s">
        <v>293</v>
      </c>
      <c r="D182" s="130">
        <v>465.35765575501586</v>
      </c>
      <c r="E182" s="130">
        <v>465.35765575501586</v>
      </c>
      <c r="F182" s="130">
        <v>465.35765575501586</v>
      </c>
      <c r="G182" s="130">
        <v>465.35765575501586</v>
      </c>
      <c r="H182" s="130">
        <v>465.35765575501586</v>
      </c>
      <c r="I182" s="130">
        <v>465.35765575501586</v>
      </c>
      <c r="J182" s="130">
        <v>465.35765575501586</v>
      </c>
      <c r="K182" s="130">
        <v>465.35765575501586</v>
      </c>
      <c r="L182" s="130">
        <v>465.35765575501586</v>
      </c>
      <c r="M182" s="130">
        <v>465.35765575501586</v>
      </c>
      <c r="N182" s="130">
        <v>469.58765575501593</v>
      </c>
      <c r="O182" s="130">
        <v>469.58765575501593</v>
      </c>
      <c r="P182" s="130">
        <v>469.58765575501593</v>
      </c>
      <c r="Q182" s="130">
        <v>469.58765575501593</v>
      </c>
      <c r="R182" s="130">
        <v>469.58765575501593</v>
      </c>
      <c r="S182" s="130">
        <v>469.58765575501593</v>
      </c>
      <c r="T182" s="130">
        <v>469.58765575501593</v>
      </c>
      <c r="U182" s="130">
        <v>469.58765575501593</v>
      </c>
      <c r="V182" s="130">
        <v>465.35765575501586</v>
      </c>
      <c r="W182" s="130">
        <v>465.35765575501586</v>
      </c>
      <c r="X182" s="130">
        <v>423.0576557550159</v>
      </c>
      <c r="Y182" s="130">
        <v>423.0576557550159</v>
      </c>
      <c r="Z182" s="130">
        <v>468.45211665030615</v>
      </c>
      <c r="AA182" s="130">
        <v>478.04611245184543</v>
      </c>
      <c r="AB182" s="130">
        <v>469.58765575501593</v>
      </c>
      <c r="AC182" s="130">
        <v>469.58765575501593</v>
      </c>
      <c r="AD182" s="130">
        <v>465.35765575501586</v>
      </c>
      <c r="AE182" s="130">
        <v>465.35765575501586</v>
      </c>
      <c r="AF182" s="130">
        <v>465.35765575501586</v>
      </c>
      <c r="AG182" s="130">
        <v>465.35765575501586</v>
      </c>
      <c r="AH182" s="130">
        <v>461.12765575501595</v>
      </c>
      <c r="AI182" s="130">
        <v>461.12765575501595</v>
      </c>
      <c r="AJ182" s="130">
        <v>461.12765575501595</v>
      </c>
      <c r="AK182" s="130">
        <v>461.12765575501595</v>
      </c>
      <c r="AL182" s="130">
        <v>469.58765575501593</v>
      </c>
      <c r="AM182" s="130">
        <v>469.58765575501593</v>
      </c>
      <c r="AN182" s="130">
        <v>510.86157338965165</v>
      </c>
      <c r="AO182" s="130">
        <v>510.86157338965165</v>
      </c>
      <c r="AP182" s="130">
        <v>506.63157338965163</v>
      </c>
      <c r="AQ182" s="130">
        <v>506.63157338965163</v>
      </c>
      <c r="AR182" s="130">
        <v>506.63157338965163</v>
      </c>
      <c r="AS182" s="130">
        <v>490.07921512545357</v>
      </c>
      <c r="AT182" s="130">
        <v>521.52869582742983</v>
      </c>
      <c r="AU182" s="130">
        <v>506.63157338965175</v>
      </c>
      <c r="AV182" s="130">
        <v>465.35765575501586</v>
      </c>
      <c r="AW182" s="130">
        <v>465.35765575501586</v>
      </c>
      <c r="AX182" s="130">
        <v>465.35765575501586</v>
      </c>
      <c r="AY182" s="130">
        <v>465.35765575501586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196</v>
      </c>
      <c r="D185" s="129">
        <v>194</v>
      </c>
      <c r="E185" s="129">
        <v>196</v>
      </c>
      <c r="F185" s="129">
        <v>196</v>
      </c>
      <c r="G185" s="129">
        <v>196</v>
      </c>
      <c r="H185" s="129">
        <v>196</v>
      </c>
      <c r="I185" s="129">
        <v>173</v>
      </c>
      <c r="J185" s="129">
        <v>196</v>
      </c>
      <c r="K185" s="129">
        <v>196</v>
      </c>
      <c r="L185" s="129">
        <v>215.60000000000002</v>
      </c>
      <c r="M185" s="129">
        <v>179</v>
      </c>
      <c r="N185" s="129">
        <v>193.39999999999998</v>
      </c>
      <c r="O185" s="129">
        <v>148.79999999999995</v>
      </c>
      <c r="P185" s="129">
        <v>194.14046814501955</v>
      </c>
      <c r="Q185" s="129">
        <v>150.54046814501953</v>
      </c>
      <c r="R185" s="129">
        <v>177.14046814501955</v>
      </c>
      <c r="S185" s="129">
        <v>164.54046814501953</v>
      </c>
      <c r="T185" s="129">
        <v>119.94046814501951</v>
      </c>
      <c r="U185" s="129">
        <v>139.54046814501953</v>
      </c>
      <c r="V185" s="129">
        <v>177.54046814501953</v>
      </c>
      <c r="W185" s="129">
        <v>158.54046814501953</v>
      </c>
      <c r="X185" s="129">
        <v>169.54046814501953</v>
      </c>
      <c r="Y185" s="129">
        <v>126.94046814501951</v>
      </c>
      <c r="Z185" s="129">
        <v>182.67046814501941</v>
      </c>
      <c r="AA185" s="129">
        <v>165.07046814501939</v>
      </c>
      <c r="AB185" s="129">
        <v>175.47046814501937</v>
      </c>
      <c r="AC185" s="129">
        <v>196</v>
      </c>
      <c r="AD185" s="129">
        <v>196</v>
      </c>
      <c r="AE185" s="129">
        <v>196</v>
      </c>
      <c r="AF185" s="129">
        <v>176.4</v>
      </c>
      <c r="AG185" s="129">
        <v>145</v>
      </c>
      <c r="AH185" s="129">
        <v>155.6</v>
      </c>
      <c r="AI185" s="129">
        <v>176.4</v>
      </c>
      <c r="AJ185" s="129">
        <v>215.60000000000002</v>
      </c>
      <c r="AK185" s="129">
        <v>192</v>
      </c>
      <c r="AL185" s="129">
        <v>197.39999999999998</v>
      </c>
      <c r="AM185" s="129">
        <v>204.79999999999995</v>
      </c>
      <c r="AN185" s="129">
        <v>183.19999999999993</v>
      </c>
      <c r="AO185" s="129">
        <v>196</v>
      </c>
      <c r="AP185" s="129">
        <v>166</v>
      </c>
      <c r="AQ185" s="129">
        <v>154</v>
      </c>
      <c r="AR185" s="129">
        <v>196</v>
      </c>
      <c r="AS185" s="129">
        <v>196</v>
      </c>
      <c r="AT185" s="129">
        <v>196</v>
      </c>
      <c r="AU185" s="129">
        <v>196</v>
      </c>
      <c r="AV185" s="129">
        <v>196</v>
      </c>
      <c r="AW185" s="129">
        <v>196</v>
      </c>
      <c r="AX185" s="129">
        <v>193</v>
      </c>
      <c r="AY185" s="129">
        <v>174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2</v>
      </c>
      <c r="F186" s="111">
        <v>0</v>
      </c>
      <c r="G186" s="111">
        <v>0</v>
      </c>
      <c r="H186" s="111">
        <v>0</v>
      </c>
      <c r="I186" s="111">
        <v>0</v>
      </c>
      <c r="J186" s="111">
        <v>23</v>
      </c>
      <c r="K186" s="111">
        <v>0</v>
      </c>
      <c r="L186" s="111">
        <v>0</v>
      </c>
      <c r="M186" s="111">
        <v>0</v>
      </c>
      <c r="N186" s="111">
        <v>36.600000000000023</v>
      </c>
      <c r="O186" s="111">
        <v>22.200000000000045</v>
      </c>
      <c r="P186" s="111">
        <v>49.859531854980446</v>
      </c>
      <c r="Q186" s="111">
        <v>21.459531854980469</v>
      </c>
      <c r="R186" s="111">
        <v>49.859531854980446</v>
      </c>
      <c r="S186" s="111">
        <v>38.459531854980469</v>
      </c>
      <c r="T186" s="111">
        <v>51.059531854980492</v>
      </c>
      <c r="U186" s="111">
        <v>69.459531854980469</v>
      </c>
      <c r="V186" s="111">
        <v>56.459531854980469</v>
      </c>
      <c r="W186" s="111">
        <v>18.459531854980469</v>
      </c>
      <c r="X186" s="111">
        <v>37.459531854980469</v>
      </c>
      <c r="Y186" s="111">
        <v>46.059531854980492</v>
      </c>
      <c r="Z186" s="111">
        <v>17.329531854980587</v>
      </c>
      <c r="AA186" s="111">
        <v>32.92953185498061</v>
      </c>
      <c r="AB186" s="111">
        <v>50.529531854980632</v>
      </c>
      <c r="AC186" s="111">
        <v>20.529531854980632</v>
      </c>
      <c r="AD186" s="111">
        <v>0</v>
      </c>
      <c r="AE186" s="111">
        <v>0</v>
      </c>
      <c r="AF186" s="111">
        <v>0</v>
      </c>
      <c r="AG186" s="111">
        <v>0</v>
      </c>
      <c r="AH186" s="111">
        <v>31.400000000000006</v>
      </c>
      <c r="AI186" s="111">
        <v>20.800000000000011</v>
      </c>
      <c r="AJ186" s="111">
        <v>0</v>
      </c>
      <c r="AK186" s="111">
        <v>0</v>
      </c>
      <c r="AL186" s="111">
        <v>23.600000000000023</v>
      </c>
      <c r="AM186" s="111">
        <v>18.200000000000045</v>
      </c>
      <c r="AN186" s="111">
        <v>10.800000000000068</v>
      </c>
      <c r="AO186" s="111">
        <v>12.800000000000068</v>
      </c>
      <c r="AP186" s="111">
        <v>0</v>
      </c>
      <c r="AQ186" s="111">
        <v>30</v>
      </c>
      <c r="AR186" s="111">
        <v>38.783632523759138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3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146.00000000000003</v>
      </c>
      <c r="D189" s="129">
        <v>146.00000000000003</v>
      </c>
      <c r="E189" s="129">
        <v>146.00000000000003</v>
      </c>
      <c r="F189" s="129">
        <v>146.00000000000003</v>
      </c>
      <c r="G189" s="129">
        <v>146.00000000000003</v>
      </c>
      <c r="H189" s="129">
        <v>146.00000000000003</v>
      </c>
      <c r="I189" s="129">
        <v>146.00000000000003</v>
      </c>
      <c r="J189" s="129">
        <v>146.00000000000003</v>
      </c>
      <c r="K189" s="129">
        <v>146.00000000000003</v>
      </c>
      <c r="L189" s="129">
        <v>146.00000000000003</v>
      </c>
      <c r="M189" s="129">
        <v>146.00000000000003</v>
      </c>
      <c r="N189" s="129">
        <v>160.60000000000005</v>
      </c>
      <c r="O189" s="129">
        <v>160.60000000000005</v>
      </c>
      <c r="P189" s="129">
        <v>160.60000000000005</v>
      </c>
      <c r="Q189" s="129">
        <v>160.60000000000005</v>
      </c>
      <c r="R189" s="129">
        <v>160.60000000000005</v>
      </c>
      <c r="S189" s="129">
        <v>160.60000000000005</v>
      </c>
      <c r="T189" s="129">
        <v>160.60000000000005</v>
      </c>
      <c r="U189" s="129">
        <v>147</v>
      </c>
      <c r="V189" s="129">
        <v>139.39999999999995</v>
      </c>
      <c r="W189" s="129">
        <v>146.00000000000003</v>
      </c>
      <c r="X189" s="129">
        <v>0</v>
      </c>
      <c r="Y189" s="129">
        <v>0</v>
      </c>
      <c r="Z189" s="129">
        <v>189.11917098445599</v>
      </c>
      <c r="AA189" s="129">
        <v>153</v>
      </c>
      <c r="AB189" s="129">
        <v>160.60000000000005</v>
      </c>
      <c r="AC189" s="129">
        <v>160.60000000000005</v>
      </c>
      <c r="AD189" s="129">
        <v>146.00000000000003</v>
      </c>
      <c r="AE189" s="129">
        <v>146.00000000000003</v>
      </c>
      <c r="AF189" s="129">
        <v>146.00000000000003</v>
      </c>
      <c r="AG189" s="129">
        <v>146.00000000000003</v>
      </c>
      <c r="AH189" s="129">
        <v>131.4</v>
      </c>
      <c r="AI189" s="129">
        <v>131.4</v>
      </c>
      <c r="AJ189" s="129">
        <v>131.4</v>
      </c>
      <c r="AK189" s="129">
        <v>131.4</v>
      </c>
      <c r="AL189" s="129">
        <v>160.60000000000005</v>
      </c>
      <c r="AM189" s="129">
        <v>160.60000000000005</v>
      </c>
      <c r="AN189" s="129">
        <v>160.60000000000005</v>
      </c>
      <c r="AO189" s="129">
        <v>160.60000000000005</v>
      </c>
      <c r="AP189" s="129">
        <v>146.00000000000003</v>
      </c>
      <c r="AQ189" s="129">
        <v>146.00000000000003</v>
      </c>
      <c r="AR189" s="129">
        <v>146.00000000000003</v>
      </c>
      <c r="AS189" s="129">
        <v>146.00000000000003</v>
      </c>
      <c r="AT189" s="129">
        <v>146.00000000000003</v>
      </c>
      <c r="AU189" s="129">
        <v>146.00000000000003</v>
      </c>
      <c r="AV189" s="129">
        <v>146.00000000000003</v>
      </c>
      <c r="AW189" s="129">
        <v>146.00000000000003</v>
      </c>
      <c r="AX189" s="129">
        <v>146.00000000000003</v>
      </c>
      <c r="AY189" s="129">
        <v>146.00000000000003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0</v>
      </c>
      <c r="F190" s="111">
        <v>0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13.600000000000051</v>
      </c>
      <c r="W190" s="111">
        <v>6.6000000000000796</v>
      </c>
      <c r="X190" s="111">
        <v>0</v>
      </c>
      <c r="Y190" s="111">
        <v>0</v>
      </c>
      <c r="Z190" s="111">
        <v>0</v>
      </c>
      <c r="AA190" s="111">
        <v>0</v>
      </c>
      <c r="AB190" s="111">
        <v>7.6000000000000512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51.706406195001762</v>
      </c>
      <c r="D197" s="111">
        <v>51.706406195001762</v>
      </c>
      <c r="E197" s="111">
        <v>51.706406195001762</v>
      </c>
      <c r="F197" s="111">
        <v>51.706406195001762</v>
      </c>
      <c r="G197" s="111">
        <v>51.706406195001762</v>
      </c>
      <c r="H197" s="111">
        <v>51.706406195001762</v>
      </c>
      <c r="I197" s="111">
        <v>51.706406195001762</v>
      </c>
      <c r="J197" s="111">
        <v>51.706406195001762</v>
      </c>
      <c r="K197" s="111">
        <v>51.706406195001762</v>
      </c>
      <c r="L197" s="111">
        <v>51.706406195001762</v>
      </c>
      <c r="M197" s="111">
        <v>51.706406195001762</v>
      </c>
      <c r="N197" s="111">
        <v>51.706406195001762</v>
      </c>
      <c r="O197" s="111">
        <v>52.176406195001768</v>
      </c>
      <c r="P197" s="111">
        <v>52.176406195001768</v>
      </c>
      <c r="Q197" s="111">
        <v>52.176406195001768</v>
      </c>
      <c r="R197" s="111">
        <v>52.176406195001768</v>
      </c>
      <c r="S197" s="111">
        <v>52.176406195001768</v>
      </c>
      <c r="T197" s="111">
        <v>52.176406195001768</v>
      </c>
      <c r="U197" s="111">
        <v>52.176406195001768</v>
      </c>
      <c r="V197" s="111">
        <v>52.176406195001768</v>
      </c>
      <c r="W197" s="111">
        <v>51.706406195001762</v>
      </c>
      <c r="X197" s="111">
        <v>51</v>
      </c>
      <c r="Y197" s="111">
        <v>47.006406195001773</v>
      </c>
      <c r="Z197" s="111">
        <v>47.006406195001773</v>
      </c>
      <c r="AA197" s="111">
        <v>53.094489096556174</v>
      </c>
      <c r="AB197" s="111">
        <v>53.116234716871716</v>
      </c>
      <c r="AC197" s="111">
        <v>52.176406195001768</v>
      </c>
      <c r="AD197" s="111">
        <v>52.176406195001768</v>
      </c>
      <c r="AE197" s="111">
        <v>51.706406195001762</v>
      </c>
      <c r="AF197" s="111">
        <v>51.706406195001762</v>
      </c>
      <c r="AG197" s="111">
        <v>51.706406195001762</v>
      </c>
      <c r="AH197" s="111">
        <v>51.706406195001762</v>
      </c>
      <c r="AI197" s="111">
        <v>51.23640619500177</v>
      </c>
      <c r="AJ197" s="111">
        <v>51.23640619500177</v>
      </c>
      <c r="AK197" s="111">
        <v>51.23640619500177</v>
      </c>
      <c r="AL197" s="111">
        <v>51.23640619500177</v>
      </c>
      <c r="AM197" s="111">
        <v>52.176406195001768</v>
      </c>
      <c r="AN197" s="111">
        <v>52.176406195001768</v>
      </c>
      <c r="AO197" s="111">
        <v>56.762397043294634</v>
      </c>
      <c r="AP197" s="111">
        <v>56.762397043294634</v>
      </c>
      <c r="AQ197" s="111">
        <v>56.292397043294628</v>
      </c>
      <c r="AR197" s="111">
        <v>56.292397043294628</v>
      </c>
      <c r="AS197" s="111">
        <v>56.292397043294628</v>
      </c>
      <c r="AT197" s="111">
        <v>56.292397043294628</v>
      </c>
      <c r="AU197" s="111">
        <v>57.947632869714425</v>
      </c>
      <c r="AV197" s="111">
        <v>56.292397043294642</v>
      </c>
      <c r="AW197" s="111">
        <v>51.706406195001762</v>
      </c>
      <c r="AX197" s="111">
        <v>51.706406195001762</v>
      </c>
      <c r="AY197" s="111">
        <v>51.706406195001762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0.70640619500176172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0</v>
      </c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465.35765575501586</v>
      </c>
      <c r="D209" s="129">
        <v>465.35765575501586</v>
      </c>
      <c r="E209" s="129">
        <v>465.35765575501586</v>
      </c>
      <c r="F209" s="129">
        <v>465.35765575501586</v>
      </c>
      <c r="G209" s="129">
        <v>465.35765575501586</v>
      </c>
      <c r="H209" s="129">
        <v>465.35765575501586</v>
      </c>
      <c r="I209" s="129">
        <v>465.35765575501586</v>
      </c>
      <c r="J209" s="129">
        <v>465.35765575501586</v>
      </c>
      <c r="K209" s="129">
        <v>465.35765575501586</v>
      </c>
      <c r="L209" s="129">
        <v>465.35765575501586</v>
      </c>
      <c r="M209" s="129">
        <v>465.35765575501586</v>
      </c>
      <c r="N209" s="129">
        <v>469.58765575501593</v>
      </c>
      <c r="O209" s="129">
        <v>469.58765575501593</v>
      </c>
      <c r="P209" s="129">
        <v>469.58765575501593</v>
      </c>
      <c r="Q209" s="129">
        <v>469.58765575501593</v>
      </c>
      <c r="R209" s="129">
        <v>469.58765575501593</v>
      </c>
      <c r="S209" s="129">
        <v>469.58765575501593</v>
      </c>
      <c r="T209" s="129">
        <v>469.58765575501593</v>
      </c>
      <c r="U209" s="129">
        <v>469.58765575501593</v>
      </c>
      <c r="V209" s="129">
        <v>465.35765575501586</v>
      </c>
      <c r="W209" s="129">
        <v>465.35765575501586</v>
      </c>
      <c r="X209" s="129">
        <v>423.0576557550159</v>
      </c>
      <c r="Y209" s="129">
        <v>423.0576557550159</v>
      </c>
      <c r="Z209" s="129">
        <v>468.45211665030615</v>
      </c>
      <c r="AA209" s="129">
        <v>469.58765575501593</v>
      </c>
      <c r="AB209" s="129">
        <v>469.58765575501593</v>
      </c>
      <c r="AC209" s="129">
        <v>469.58765575501593</v>
      </c>
      <c r="AD209" s="129">
        <v>465.35765575501586</v>
      </c>
      <c r="AE209" s="129">
        <v>465.35765575501586</v>
      </c>
      <c r="AF209" s="129">
        <v>465.35765575501586</v>
      </c>
      <c r="AG209" s="129">
        <v>465.35765575501586</v>
      </c>
      <c r="AH209" s="129">
        <v>461.12765575501595</v>
      </c>
      <c r="AI209" s="129">
        <v>461.12765575501595</v>
      </c>
      <c r="AJ209" s="129">
        <v>461.12765575501595</v>
      </c>
      <c r="AK209" s="129">
        <v>461.12765575501595</v>
      </c>
      <c r="AL209" s="129">
        <v>469.58765575501593</v>
      </c>
      <c r="AM209" s="129">
        <v>469.58765575501593</v>
      </c>
      <c r="AN209" s="129">
        <v>510.86157338965165</v>
      </c>
      <c r="AO209" s="129">
        <v>510.86157338965165</v>
      </c>
      <c r="AP209" s="129">
        <v>506.63157338965163</v>
      </c>
      <c r="AQ209" s="129">
        <v>506.63157338965163</v>
      </c>
      <c r="AR209" s="129">
        <v>506.63157338965163</v>
      </c>
      <c r="AS209" s="129">
        <v>490.07921512545357</v>
      </c>
      <c r="AT209" s="129">
        <v>506.63157338965158</v>
      </c>
      <c r="AU209" s="129">
        <v>506.63157338965163</v>
      </c>
      <c r="AV209" s="129">
        <v>465.35765575501586</v>
      </c>
      <c r="AW209" s="129">
        <v>465.35765575501586</v>
      </c>
      <c r="AX209" s="129">
        <v>465.35765575501586</v>
      </c>
      <c r="AY209" s="129">
        <v>465.35765575501586</v>
      </c>
    </row>
    <row r="210" spans="1:51" x14ac:dyDescent="0.2">
      <c r="A210" s="114"/>
      <c r="B210" s="124">
        <v>2</v>
      </c>
      <c r="C210" s="111">
        <v>0</v>
      </c>
      <c r="D210" s="115">
        <v>0</v>
      </c>
      <c r="E210" s="115">
        <v>0</v>
      </c>
      <c r="F210" s="115">
        <v>0</v>
      </c>
      <c r="G210" s="115">
        <v>0</v>
      </c>
      <c r="H210" s="115">
        <v>0</v>
      </c>
      <c r="I210" s="115">
        <v>0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0</v>
      </c>
      <c r="P210" s="115">
        <v>0</v>
      </c>
      <c r="Q210" s="115">
        <v>0</v>
      </c>
      <c r="R210" s="115">
        <v>0</v>
      </c>
      <c r="S210" s="115">
        <v>0</v>
      </c>
      <c r="T210" s="115">
        <v>0</v>
      </c>
      <c r="U210" s="115">
        <v>0</v>
      </c>
      <c r="V210" s="115">
        <v>0</v>
      </c>
      <c r="W210" s="115">
        <v>0</v>
      </c>
      <c r="X210" s="115">
        <v>0</v>
      </c>
      <c r="Y210" s="115">
        <v>0</v>
      </c>
      <c r="Z210" s="115">
        <v>0</v>
      </c>
      <c r="AA210" s="115">
        <v>8.4584566968294723</v>
      </c>
      <c r="AB210" s="115">
        <v>0</v>
      </c>
      <c r="AC210" s="115">
        <v>0</v>
      </c>
      <c r="AD210" s="115">
        <v>0</v>
      </c>
      <c r="AE210" s="115">
        <v>0</v>
      </c>
      <c r="AF210" s="115">
        <v>0</v>
      </c>
      <c r="AG210" s="115">
        <v>0</v>
      </c>
      <c r="AH210" s="115">
        <v>0</v>
      </c>
      <c r="AI210" s="115">
        <v>0</v>
      </c>
      <c r="AJ210" s="115">
        <v>0</v>
      </c>
      <c r="AK210" s="115">
        <v>0</v>
      </c>
      <c r="AL210" s="115">
        <v>0</v>
      </c>
      <c r="AM210" s="115">
        <v>0</v>
      </c>
      <c r="AN210" s="115">
        <v>0</v>
      </c>
      <c r="AO210" s="115">
        <v>0</v>
      </c>
      <c r="AP210" s="115">
        <v>0</v>
      </c>
      <c r="AQ210" s="115">
        <v>0</v>
      </c>
      <c r="AR210" s="115">
        <v>0</v>
      </c>
      <c r="AS210" s="115">
        <v>0</v>
      </c>
      <c r="AT210" s="115">
        <v>14.897122437778256</v>
      </c>
      <c r="AU210" s="115">
        <v>5.1159076974727215E-14</v>
      </c>
      <c r="AV210" s="115">
        <v>0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33609.164026751147</v>
      </c>
      <c r="E259" s="129">
        <f t="shared" ref="E259:AX259" si="5">F$14*$B$259</f>
        <v>33609.164026751147</v>
      </c>
      <c r="F259" s="129">
        <f t="shared" si="5"/>
        <v>33609.164026751147</v>
      </c>
      <c r="G259" s="129">
        <f t="shared" si="5"/>
        <v>33609.164026751147</v>
      </c>
      <c r="H259" s="129">
        <f t="shared" si="5"/>
        <v>33609.164026751147</v>
      </c>
      <c r="I259" s="129">
        <f t="shared" si="5"/>
        <v>33609.164026751147</v>
      </c>
      <c r="J259" s="129">
        <f t="shared" si="5"/>
        <v>33609.164026751147</v>
      </c>
      <c r="K259" s="129">
        <f t="shared" si="5"/>
        <v>33609.164026751147</v>
      </c>
      <c r="L259" s="129">
        <f t="shared" si="5"/>
        <v>33609.164026751147</v>
      </c>
      <c r="M259" s="129">
        <f t="shared" si="5"/>
        <v>33609.164026751147</v>
      </c>
      <c r="N259" s="129">
        <f t="shared" si="5"/>
        <v>33914.664026751147</v>
      </c>
      <c r="O259" s="129">
        <f t="shared" si="5"/>
        <v>33914.664026751147</v>
      </c>
      <c r="P259" s="129">
        <f t="shared" si="5"/>
        <v>33914.664026751147</v>
      </c>
      <c r="Q259" s="129">
        <f t="shared" si="5"/>
        <v>33914.664026751147</v>
      </c>
      <c r="R259" s="129">
        <f t="shared" si="5"/>
        <v>33914.664026751147</v>
      </c>
      <c r="S259" s="129">
        <f t="shared" si="5"/>
        <v>33914.664026751147</v>
      </c>
      <c r="T259" s="129">
        <f t="shared" si="5"/>
        <v>33914.664026751147</v>
      </c>
      <c r="U259" s="129">
        <f t="shared" si="5"/>
        <v>33914.664026751147</v>
      </c>
      <c r="V259" s="129">
        <f t="shared" si="5"/>
        <v>33609.164026751147</v>
      </c>
      <c r="W259" s="129">
        <f t="shared" si="5"/>
        <v>33609.164026751147</v>
      </c>
      <c r="X259" s="129">
        <f t="shared" si="5"/>
        <v>30554.164026751154</v>
      </c>
      <c r="Y259" s="129">
        <f t="shared" si="5"/>
        <v>30554.164026751154</v>
      </c>
      <c r="Z259" s="129">
        <f t="shared" si="5"/>
        <v>34511.417912761513</v>
      </c>
      <c r="AA259" s="129">
        <f t="shared" si="5"/>
        <v>34525.552565966616</v>
      </c>
      <c r="AB259" s="129">
        <f t="shared" si="5"/>
        <v>33914.664026751147</v>
      </c>
      <c r="AC259" s="129">
        <f t="shared" si="5"/>
        <v>33914.664026751147</v>
      </c>
      <c r="AD259" s="129">
        <f t="shared" si="5"/>
        <v>33609.164026751147</v>
      </c>
      <c r="AE259" s="129">
        <f t="shared" si="5"/>
        <v>33609.164026751147</v>
      </c>
      <c r="AF259" s="129">
        <f t="shared" si="5"/>
        <v>33609.164026751147</v>
      </c>
      <c r="AG259" s="129">
        <f t="shared" si="5"/>
        <v>33609.164026751147</v>
      </c>
      <c r="AH259" s="129">
        <f t="shared" si="5"/>
        <v>33303.664026751154</v>
      </c>
      <c r="AI259" s="129">
        <f t="shared" si="5"/>
        <v>33303.664026751154</v>
      </c>
      <c r="AJ259" s="129">
        <f t="shared" si="5"/>
        <v>33303.664026751154</v>
      </c>
      <c r="AK259" s="129">
        <f t="shared" si="5"/>
        <v>33303.664026751154</v>
      </c>
      <c r="AL259" s="129">
        <f t="shared" si="5"/>
        <v>33914.664026751147</v>
      </c>
      <c r="AM259" s="129">
        <f t="shared" si="5"/>
        <v>33914.664026751147</v>
      </c>
      <c r="AN259" s="129">
        <f t="shared" si="5"/>
        <v>36895.558078141512</v>
      </c>
      <c r="AO259" s="129">
        <f t="shared" si="5"/>
        <v>36895.558078141512</v>
      </c>
      <c r="AP259" s="129">
        <f t="shared" si="5"/>
        <v>36590.058078141505</v>
      </c>
      <c r="AQ259" s="129">
        <f t="shared" si="5"/>
        <v>36590.058078141505</v>
      </c>
      <c r="AR259" s="129">
        <f t="shared" si="5"/>
        <v>36590.058078141505</v>
      </c>
      <c r="AS259" s="129">
        <f t="shared" si="5"/>
        <v>36590.058078141505</v>
      </c>
      <c r="AT259" s="129">
        <f t="shared" si="5"/>
        <v>37665.961365314375</v>
      </c>
      <c r="AU259" s="129">
        <f t="shared" si="5"/>
        <v>36590.058078141519</v>
      </c>
      <c r="AV259" s="129">
        <f t="shared" si="5"/>
        <v>33609.164026751147</v>
      </c>
      <c r="AW259" s="129">
        <f t="shared" si="5"/>
        <v>33609.164026751147</v>
      </c>
      <c r="AX259" s="129">
        <f t="shared" si="5"/>
        <v>33609.164026751147</v>
      </c>
      <c r="AY259" s="129">
        <f>AZ$14*$B$259</f>
        <v>33609.164026751147</v>
      </c>
      <c r="AZ259" s="144">
        <f>SUM($D259:$AY259)</f>
        <v>1636926.5714075768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120</v>
      </c>
      <c r="E260" s="130">
        <f t="shared" ref="E260:AY260" si="6">(E$175-E$176+E$177-E$178+E$179-E$180+E$181-E$182)*$B$260</f>
        <v>0</v>
      </c>
      <c r="F260" s="130">
        <f t="shared" si="6"/>
        <v>0</v>
      </c>
      <c r="G260" s="130">
        <f t="shared" si="6"/>
        <v>0</v>
      </c>
      <c r="H260" s="130">
        <f t="shared" si="6"/>
        <v>0</v>
      </c>
      <c r="I260" s="130">
        <f t="shared" si="6"/>
        <v>1380</v>
      </c>
      <c r="J260" s="130">
        <f t="shared" si="6"/>
        <v>0</v>
      </c>
      <c r="K260" s="130">
        <f t="shared" si="6"/>
        <v>0</v>
      </c>
      <c r="L260" s="130">
        <f t="shared" si="6"/>
        <v>0</v>
      </c>
      <c r="M260" s="130">
        <f t="shared" si="6"/>
        <v>2196.0000000000014</v>
      </c>
      <c r="N260" s="130">
        <f t="shared" si="6"/>
        <v>1332.0000000000027</v>
      </c>
      <c r="O260" s="130">
        <f t="shared" si="6"/>
        <v>4008.0000000000041</v>
      </c>
      <c r="P260" s="130">
        <f t="shared" si="6"/>
        <v>1287.5719112988281</v>
      </c>
      <c r="Q260" s="130">
        <f t="shared" si="6"/>
        <v>3903.5719112988295</v>
      </c>
      <c r="R260" s="130">
        <f t="shared" si="6"/>
        <v>2307.5719112988281</v>
      </c>
      <c r="S260" s="130">
        <f t="shared" si="6"/>
        <v>3063.5719112988295</v>
      </c>
      <c r="T260" s="130">
        <f t="shared" si="6"/>
        <v>4563.5719112988299</v>
      </c>
      <c r="U260" s="130">
        <f t="shared" si="6"/>
        <v>4203.5719112988299</v>
      </c>
      <c r="V260" s="130">
        <f t="shared" si="6"/>
        <v>1503.5719112988329</v>
      </c>
      <c r="W260" s="130">
        <f t="shared" si="6"/>
        <v>2247.5719112988281</v>
      </c>
      <c r="X260" s="130">
        <f t="shared" si="6"/>
        <v>2805.9562829989354</v>
      </c>
      <c r="Y260" s="130">
        <f t="shared" si="6"/>
        <v>5319.5719112988309</v>
      </c>
      <c r="Z260" s="130">
        <f t="shared" si="6"/>
        <v>2539.6690244208012</v>
      </c>
      <c r="AA260" s="130">
        <f t="shared" si="6"/>
        <v>3487.7719112988425</v>
      </c>
      <c r="AB260" s="130">
        <f t="shared" si="6"/>
        <v>1231.7719112988379</v>
      </c>
      <c r="AC260" s="130">
        <f t="shared" si="6"/>
        <v>0</v>
      </c>
      <c r="AD260" s="130">
        <f t="shared" si="6"/>
        <v>0</v>
      </c>
      <c r="AE260" s="130">
        <f t="shared" si="6"/>
        <v>0</v>
      </c>
      <c r="AF260" s="130">
        <f t="shared" si="6"/>
        <v>0</v>
      </c>
      <c r="AG260" s="130">
        <f t="shared" si="6"/>
        <v>1884.000000000002</v>
      </c>
      <c r="AH260" s="130">
        <f t="shared" si="6"/>
        <v>1248.0000000000007</v>
      </c>
      <c r="AI260" s="130">
        <f t="shared" si="6"/>
        <v>0</v>
      </c>
      <c r="AJ260" s="130">
        <f t="shared" si="6"/>
        <v>0</v>
      </c>
      <c r="AK260" s="130">
        <f t="shared" si="6"/>
        <v>1416.0000000000014</v>
      </c>
      <c r="AL260" s="130">
        <f t="shared" si="6"/>
        <v>1092.0000000000027</v>
      </c>
      <c r="AM260" s="130">
        <f t="shared" si="6"/>
        <v>648.00000000000409</v>
      </c>
      <c r="AN260" s="130">
        <f t="shared" si="6"/>
        <v>768.00000000000409</v>
      </c>
      <c r="AO260" s="130">
        <f t="shared" si="6"/>
        <v>0</v>
      </c>
      <c r="AP260" s="130">
        <f t="shared" si="6"/>
        <v>1800</v>
      </c>
      <c r="AQ260" s="130">
        <f t="shared" si="6"/>
        <v>2520</v>
      </c>
      <c r="AR260" s="130">
        <f t="shared" si="6"/>
        <v>0</v>
      </c>
      <c r="AS260" s="130">
        <f t="shared" si="6"/>
        <v>993.14149585188375</v>
      </c>
      <c r="AT260" s="130">
        <f t="shared" si="6"/>
        <v>0</v>
      </c>
      <c r="AU260" s="130">
        <f t="shared" si="6"/>
        <v>0</v>
      </c>
      <c r="AV260" s="130">
        <f t="shared" si="6"/>
        <v>0</v>
      </c>
      <c r="AW260" s="130">
        <f t="shared" si="6"/>
        <v>0</v>
      </c>
      <c r="AX260" s="130">
        <f t="shared" si="6"/>
        <v>180</v>
      </c>
      <c r="AY260" s="130">
        <f t="shared" si="6"/>
        <v>1320</v>
      </c>
      <c r="AZ260" s="146">
        <f>SUM($D260:$AY260)</f>
        <v>61370.457827558799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4" x14ac:dyDescent="0.2">
      <c r="A1" s="107" t="s">
        <v>284</v>
      </c>
    </row>
    <row r="2" spans="1:54" x14ac:dyDescent="0.2">
      <c r="A2" s="105" t="s">
        <v>285</v>
      </c>
      <c r="B2" s="112" t="s">
        <v>49</v>
      </c>
    </row>
    <row r="3" spans="1:54" x14ac:dyDescent="0.2">
      <c r="A3" s="105" t="s">
        <v>286</v>
      </c>
      <c r="B3" s="113">
        <v>3000</v>
      </c>
      <c r="C3" s="114"/>
    </row>
    <row r="4" spans="1:54" x14ac:dyDescent="0.2">
      <c r="B4" s="115"/>
      <c r="C4" s="115"/>
    </row>
    <row r="5" spans="1:54" x14ac:dyDescent="0.2">
      <c r="C5" s="116" t="s">
        <v>287</v>
      </c>
    </row>
    <row r="6" spans="1:54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4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4" x14ac:dyDescent="0.2">
      <c r="A8" s="107" t="s">
        <v>292</v>
      </c>
      <c r="B8" s="119"/>
      <c r="AY8" s="115"/>
    </row>
    <row r="9" spans="1:54" x14ac:dyDescent="0.2">
      <c r="A9" s="120" t="s">
        <v>125</v>
      </c>
      <c r="B9" s="121">
        <v>1</v>
      </c>
      <c r="C9" s="122" t="s">
        <v>293</v>
      </c>
      <c r="D9" s="122">
        <v>856.69934310257713</v>
      </c>
      <c r="E9" s="122">
        <v>856.69934310257713</v>
      </c>
      <c r="F9" s="122">
        <v>856.69934310257713</v>
      </c>
      <c r="G9" s="122">
        <v>856.69934310257713</v>
      </c>
      <c r="H9" s="122">
        <v>771.02940879231937</v>
      </c>
      <c r="I9" s="122">
        <v>771.02940879231937</v>
      </c>
      <c r="J9" s="122">
        <v>771.02940879231937</v>
      </c>
      <c r="K9" s="122">
        <v>771.02940879231937</v>
      </c>
      <c r="L9" s="122">
        <v>856.69934310257713</v>
      </c>
      <c r="M9" s="122">
        <v>856.69934310257713</v>
      </c>
      <c r="N9" s="122">
        <v>856.69934310257713</v>
      </c>
      <c r="O9" s="122">
        <v>856.69934310257713</v>
      </c>
      <c r="P9" s="122">
        <v>856.69934310257713</v>
      </c>
      <c r="Q9" s="122">
        <v>856.69934310257713</v>
      </c>
      <c r="R9" s="122">
        <v>856.69934310257713</v>
      </c>
      <c r="S9" s="122">
        <v>856.69934310257713</v>
      </c>
      <c r="T9" s="122">
        <v>771.02940879231937</v>
      </c>
      <c r="U9" s="122">
        <v>771.02940879231937</v>
      </c>
      <c r="V9" s="122">
        <v>771.02940879231937</v>
      </c>
      <c r="W9" s="122">
        <v>771.02940879231937</v>
      </c>
      <c r="X9" s="122">
        <v>942.369277412835</v>
      </c>
      <c r="Y9" s="122">
        <v>942.369277412835</v>
      </c>
      <c r="Z9" s="122">
        <v>942.369277412835</v>
      </c>
      <c r="AA9" s="122">
        <v>942.369277412835</v>
      </c>
      <c r="AB9" s="122">
        <v>856.69934310257713</v>
      </c>
      <c r="AC9" s="122">
        <v>856.69934310257713</v>
      </c>
      <c r="AD9" s="122">
        <v>856.69934310257713</v>
      </c>
      <c r="AE9" s="122">
        <v>856.69934310257713</v>
      </c>
      <c r="AF9" s="122">
        <v>856.69934310257713</v>
      </c>
      <c r="AG9" s="122">
        <v>856.69934310257713</v>
      </c>
      <c r="AH9" s="122">
        <v>856.69934310257713</v>
      </c>
      <c r="AI9" s="122">
        <v>856.69934310257713</v>
      </c>
      <c r="AJ9" s="122">
        <v>771.02940879231937</v>
      </c>
      <c r="AK9" s="122">
        <v>771.02940879231937</v>
      </c>
      <c r="AL9" s="122">
        <v>771.02940879231937</v>
      </c>
      <c r="AM9" s="122">
        <v>771.02940879231937</v>
      </c>
      <c r="AN9" s="122">
        <v>856.69934310257713</v>
      </c>
      <c r="AO9" s="122">
        <v>856.69934310257713</v>
      </c>
      <c r="AP9" s="122">
        <v>856.69934310257713</v>
      </c>
      <c r="AQ9" s="122">
        <v>856.69934310257713</v>
      </c>
      <c r="AR9" s="122">
        <v>856.69934310257713</v>
      </c>
      <c r="AS9" s="122">
        <v>856.69934310257713</v>
      </c>
      <c r="AT9" s="122">
        <v>856.69934310257713</v>
      </c>
      <c r="AU9" s="122">
        <v>856.69934310257713</v>
      </c>
      <c r="AV9" s="122">
        <v>942.369277412835</v>
      </c>
      <c r="AW9" s="122">
        <v>942.369277412835</v>
      </c>
      <c r="AX9" s="122">
        <v>942.369277412835</v>
      </c>
      <c r="AY9" s="122">
        <v>942.369277412835</v>
      </c>
    </row>
    <row r="10" spans="1:54" x14ac:dyDescent="0.2">
      <c r="A10" s="123" t="s">
        <v>133</v>
      </c>
      <c r="B10" s="124">
        <v>1</v>
      </c>
      <c r="C10" s="111" t="s">
        <v>293</v>
      </c>
      <c r="D10" s="105">
        <v>345.9747347145024</v>
      </c>
      <c r="E10" s="105">
        <v>345.9747347145024</v>
      </c>
      <c r="F10" s="105">
        <v>384.41637190500262</v>
      </c>
      <c r="G10" s="105">
        <v>384.41637190500262</v>
      </c>
      <c r="H10" s="105">
        <v>384.41637190500262</v>
      </c>
      <c r="I10" s="105">
        <v>384.41637190500262</v>
      </c>
      <c r="J10" s="105">
        <v>345.9747347145024</v>
      </c>
      <c r="K10" s="105">
        <v>345.9747347145024</v>
      </c>
      <c r="L10" s="105">
        <v>345.9747347145024</v>
      </c>
      <c r="M10" s="105">
        <v>345.9747347145024</v>
      </c>
      <c r="N10" s="105">
        <v>384.41637190500262</v>
      </c>
      <c r="O10" s="105">
        <v>384.41637190500262</v>
      </c>
      <c r="P10" s="105">
        <v>0</v>
      </c>
      <c r="Q10" s="105">
        <v>451.87793427230048</v>
      </c>
      <c r="R10" s="105">
        <v>384.41637190500262</v>
      </c>
      <c r="S10" s="105">
        <v>0</v>
      </c>
      <c r="T10" s="105">
        <v>451.87793427230048</v>
      </c>
      <c r="U10" s="105">
        <v>384.41637190500262</v>
      </c>
      <c r="V10" s="105">
        <v>345.9747347145024</v>
      </c>
      <c r="W10" s="105">
        <v>345.9747347145024</v>
      </c>
      <c r="X10" s="105">
        <v>0</v>
      </c>
      <c r="Y10" s="105">
        <v>451.87793427230048</v>
      </c>
      <c r="Z10" s="105">
        <v>422.85800909550284</v>
      </c>
      <c r="AA10" s="105">
        <v>422.85800909550284</v>
      </c>
      <c r="AB10" s="105">
        <v>422.85800909550284</v>
      </c>
      <c r="AC10" s="105">
        <v>422.85800909550284</v>
      </c>
      <c r="AD10" s="105">
        <v>384.41637190500262</v>
      </c>
      <c r="AE10" s="105">
        <v>384.41637190500262</v>
      </c>
      <c r="AF10" s="105">
        <v>384.41637190500262</v>
      </c>
      <c r="AG10" s="105">
        <v>384.41637190500262</v>
      </c>
      <c r="AH10" s="105">
        <v>384.41637190500262</v>
      </c>
      <c r="AI10" s="105">
        <v>384.41637190500262</v>
      </c>
      <c r="AJ10" s="105">
        <v>384.41637190500262</v>
      </c>
      <c r="AK10" s="105">
        <v>384.41637190500262</v>
      </c>
      <c r="AL10" s="105">
        <v>345.9747347145024</v>
      </c>
      <c r="AM10" s="105">
        <v>345.9747347145024</v>
      </c>
      <c r="AN10" s="105">
        <v>345.9747347145024</v>
      </c>
      <c r="AO10" s="105">
        <v>345.9747347145024</v>
      </c>
      <c r="AP10" s="105">
        <v>384.41637190500262</v>
      </c>
      <c r="AQ10" s="105">
        <v>384.41637190500262</v>
      </c>
      <c r="AR10" s="105">
        <v>384.41637190500262</v>
      </c>
      <c r="AS10" s="105">
        <v>384.41637190500262</v>
      </c>
      <c r="AT10" s="105">
        <v>384.41637190500262</v>
      </c>
      <c r="AU10" s="105">
        <v>384.41637190500262</v>
      </c>
      <c r="AV10" s="105">
        <v>384.41637190500262</v>
      </c>
      <c r="AW10" s="105">
        <v>384.41637190500262</v>
      </c>
      <c r="AX10" s="105">
        <v>422.85800909550284</v>
      </c>
      <c r="AY10" s="105">
        <v>422.85800909550284</v>
      </c>
      <c r="AZ10" s="105">
        <v>422.85800909550284</v>
      </c>
    </row>
    <row r="11" spans="1:54" x14ac:dyDescent="0.2">
      <c r="B11" s="124">
        <v>2</v>
      </c>
      <c r="C11" s="111" t="s">
        <v>293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T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  <c r="BA11" s="105">
        <v>0</v>
      </c>
    </row>
    <row r="12" spans="1:54" x14ac:dyDescent="0.2">
      <c r="B12" s="125">
        <v>3</v>
      </c>
      <c r="C12" s="111" t="s">
        <v>293</v>
      </c>
      <c r="D12" s="105">
        <v>0</v>
      </c>
      <c r="E12" s="105">
        <v>0</v>
      </c>
      <c r="I12" s="105">
        <v>0</v>
      </c>
      <c r="J12" s="105">
        <v>0</v>
      </c>
      <c r="K12" s="105">
        <v>0</v>
      </c>
      <c r="N12" s="105">
        <v>0</v>
      </c>
      <c r="P12" s="105">
        <v>0</v>
      </c>
      <c r="Q12" s="105">
        <v>0</v>
      </c>
      <c r="R12" s="105">
        <v>0</v>
      </c>
      <c r="S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B12" s="105">
        <v>0</v>
      </c>
      <c r="AD12" s="105">
        <v>0</v>
      </c>
      <c r="AE12" s="105">
        <v>0</v>
      </c>
      <c r="AH12" s="105">
        <v>0</v>
      </c>
      <c r="AJ12" s="105">
        <v>0</v>
      </c>
      <c r="AK12" s="105">
        <v>0</v>
      </c>
      <c r="AN12" s="105">
        <v>0</v>
      </c>
      <c r="AO12" s="105">
        <v>0</v>
      </c>
      <c r="AP12" s="105">
        <v>0</v>
      </c>
      <c r="AS12" s="105">
        <v>0</v>
      </c>
      <c r="AT12" s="105">
        <v>0</v>
      </c>
      <c r="AV12" s="105">
        <v>0</v>
      </c>
      <c r="AW12" s="105">
        <v>0</v>
      </c>
      <c r="AY12" s="105">
        <v>0</v>
      </c>
      <c r="BA12" s="105">
        <v>0</v>
      </c>
      <c r="BB12" s="105">
        <v>0</v>
      </c>
    </row>
    <row r="13" spans="1:54" x14ac:dyDescent="0.2">
      <c r="B13" s="125">
        <v>4</v>
      </c>
      <c r="C13" s="111" t="s">
        <v>293</v>
      </c>
      <c r="AM13" s="105">
        <v>0</v>
      </c>
    </row>
    <row r="14" spans="1:54" x14ac:dyDescent="0.2">
      <c r="A14" s="120" t="s">
        <v>134</v>
      </c>
      <c r="B14" s="126">
        <v>1</v>
      </c>
      <c r="C14" s="122" t="s">
        <v>293</v>
      </c>
      <c r="D14" s="122">
        <v>273.54653117288018</v>
      </c>
      <c r="E14" s="122">
        <f t="shared" ref="E14:AZ14" si="0">D$172*SUM(D$122:D$169)</f>
        <v>273.54653117288018</v>
      </c>
      <c r="F14" s="122">
        <f t="shared" si="0"/>
        <v>285.634686734642</v>
      </c>
      <c r="G14" s="122">
        <f t="shared" si="0"/>
        <v>278.11160039976244</v>
      </c>
      <c r="H14" s="122">
        <f t="shared" si="0"/>
        <v>278.11160039976244</v>
      </c>
      <c r="I14" s="122">
        <f t="shared" si="0"/>
        <v>278.11160039976244</v>
      </c>
      <c r="J14" s="122">
        <f t="shared" si="0"/>
        <v>278.11160039976244</v>
      </c>
      <c r="K14" s="122">
        <f t="shared" si="0"/>
        <v>273.54653117288018</v>
      </c>
      <c r="L14" s="122">
        <f t="shared" si="0"/>
        <v>273.54653117288024</v>
      </c>
      <c r="M14" s="122">
        <f t="shared" si="0"/>
        <v>273.54653117288018</v>
      </c>
      <c r="N14" s="122">
        <f t="shared" si="0"/>
        <v>275.91468673464198</v>
      </c>
      <c r="O14" s="122">
        <f t="shared" si="0"/>
        <v>278.11160039976244</v>
      </c>
      <c r="P14" s="122">
        <f t="shared" si="0"/>
        <v>308.88311272756766</v>
      </c>
      <c r="Q14" s="122">
        <f t="shared" si="0"/>
        <v>253.18506056754529</v>
      </c>
      <c r="R14" s="122">
        <f t="shared" si="0"/>
        <v>286.12287996192578</v>
      </c>
      <c r="S14" s="122">
        <f t="shared" si="0"/>
        <v>283.77236196854159</v>
      </c>
      <c r="T14" s="122">
        <f t="shared" si="0"/>
        <v>261.39424494514395</v>
      </c>
      <c r="U14" s="122">
        <f t="shared" si="0"/>
        <v>286.12287996192578</v>
      </c>
      <c r="V14" s="122">
        <f t="shared" si="0"/>
        <v>331.65236196854158</v>
      </c>
      <c r="W14" s="122">
        <f t="shared" si="0"/>
        <v>317.2614679870843</v>
      </c>
      <c r="X14" s="122">
        <f t="shared" si="0"/>
        <v>273.54653117288018</v>
      </c>
      <c r="Y14" s="122">
        <f t="shared" si="0"/>
        <v>260.5690636927016</v>
      </c>
      <c r="Z14" s="122">
        <f t="shared" si="0"/>
        <v>286.12287996192578</v>
      </c>
      <c r="AA14" s="122">
        <f t="shared" si="0"/>
        <v>282.67666962664475</v>
      </c>
      <c r="AB14" s="122">
        <f t="shared" si="0"/>
        <v>317.01153872049349</v>
      </c>
      <c r="AC14" s="122">
        <f t="shared" si="0"/>
        <v>315.64613137744942</v>
      </c>
      <c r="AD14" s="122">
        <f t="shared" si="0"/>
        <v>282.67666962664475</v>
      </c>
      <c r="AE14" s="122">
        <f t="shared" si="0"/>
        <v>278.11160039976244</v>
      </c>
      <c r="AF14" s="122">
        <f t="shared" si="0"/>
        <v>278.11160039976238</v>
      </c>
      <c r="AG14" s="122">
        <f t="shared" si="0"/>
        <v>278.11160039976244</v>
      </c>
      <c r="AH14" s="122">
        <f t="shared" si="0"/>
        <v>278.11160039976244</v>
      </c>
      <c r="AI14" s="122">
        <f t="shared" si="0"/>
        <v>278.11160039976244</v>
      </c>
      <c r="AJ14" s="122">
        <f t="shared" si="0"/>
        <v>310.68311272756767</v>
      </c>
      <c r="AK14" s="122">
        <f t="shared" si="0"/>
        <v>328.75175283636793</v>
      </c>
      <c r="AL14" s="122">
        <f t="shared" si="0"/>
        <v>336.7280377255841</v>
      </c>
      <c r="AM14" s="122">
        <f t="shared" si="0"/>
        <v>349.68352210785918</v>
      </c>
      <c r="AN14" s="122">
        <f t="shared" si="0"/>
        <v>283.26701930132481</v>
      </c>
      <c r="AO14" s="122">
        <f t="shared" si="0"/>
        <v>296.22564416126454</v>
      </c>
      <c r="AP14" s="122">
        <f t="shared" si="0"/>
        <v>332.13067237350151</v>
      </c>
      <c r="AQ14" s="122">
        <f t="shared" si="0"/>
        <v>332.65786473441813</v>
      </c>
      <c r="AR14" s="122">
        <f t="shared" si="0"/>
        <v>324.63016247036967</v>
      </c>
      <c r="AS14" s="122">
        <f t="shared" si="0"/>
        <v>300.7907133881468</v>
      </c>
      <c r="AT14" s="122">
        <f t="shared" si="0"/>
        <v>300.79071338814686</v>
      </c>
      <c r="AU14" s="122">
        <f t="shared" si="0"/>
        <v>300.7907133881468</v>
      </c>
      <c r="AV14" s="122">
        <f t="shared" si="0"/>
        <v>300.79071338814691</v>
      </c>
      <c r="AW14" s="122">
        <f t="shared" si="0"/>
        <v>289.49998537804288</v>
      </c>
      <c r="AX14" s="122">
        <f t="shared" si="0"/>
        <v>281.86158840975759</v>
      </c>
      <c r="AY14" s="122">
        <f t="shared" si="0"/>
        <v>282.67666962664475</v>
      </c>
      <c r="AZ14" s="115">
        <f t="shared" si="0"/>
        <v>282.67666962664475</v>
      </c>
      <c r="BA14" s="112">
        <f>SUM($E14:$AZ14)</f>
        <v>14018.130911457383</v>
      </c>
    </row>
    <row r="15" spans="1:54" x14ac:dyDescent="0.2">
      <c r="A15" s="127" t="s">
        <v>123</v>
      </c>
      <c r="B15" s="128">
        <v>1</v>
      </c>
      <c r="C15" s="129" t="s">
        <v>293</v>
      </c>
      <c r="D15" s="129">
        <v>1519.7029509604456</v>
      </c>
      <c r="E15" s="129">
        <v>1519.7029509604456</v>
      </c>
      <c r="F15" s="129">
        <v>1545.0644466653468</v>
      </c>
      <c r="G15" s="129">
        <v>1545.0644466653468</v>
      </c>
      <c r="H15" s="129">
        <v>1545.0644466653468</v>
      </c>
      <c r="I15" s="129">
        <v>1545.0644466653471</v>
      </c>
      <c r="J15" s="129">
        <v>1519.7029509604456</v>
      </c>
      <c r="K15" s="129">
        <v>1519.7029509604456</v>
      </c>
      <c r="L15" s="129">
        <v>1519.7029509604456</v>
      </c>
      <c r="M15" s="129">
        <v>1519.7029509604456</v>
      </c>
      <c r="N15" s="129">
        <v>1545.0644466653471</v>
      </c>
      <c r="O15" s="129">
        <v>1545.0644466653468</v>
      </c>
      <c r="P15" s="129">
        <v>1291.4494896163324</v>
      </c>
      <c r="Q15" s="129">
        <v>1589.571555344032</v>
      </c>
      <c r="R15" s="129">
        <v>1545.0644466653468</v>
      </c>
      <c r="S15" s="129">
        <v>1291.4494896163324</v>
      </c>
      <c r="T15" s="129">
        <v>1589.571555344032</v>
      </c>
      <c r="U15" s="129">
        <v>1545.0644466653471</v>
      </c>
      <c r="V15" s="129">
        <v>1519.7029509604456</v>
      </c>
      <c r="W15" s="129">
        <v>1519.7029509604456</v>
      </c>
      <c r="X15" s="129">
        <v>1291.4494896163324</v>
      </c>
      <c r="Y15" s="129">
        <v>1589.571555344032</v>
      </c>
      <c r="Z15" s="129">
        <v>1570.4259423702488</v>
      </c>
      <c r="AA15" s="129">
        <v>1570.4259423702488</v>
      </c>
      <c r="AB15" s="129">
        <v>1570.4259423702488</v>
      </c>
      <c r="AC15" s="129">
        <v>1570.4259423702488</v>
      </c>
      <c r="AD15" s="129">
        <v>1545.0644466653471</v>
      </c>
      <c r="AE15" s="129">
        <v>1545.0644466653468</v>
      </c>
      <c r="AF15" s="129">
        <v>1545.0644466653468</v>
      </c>
      <c r="AG15" s="129">
        <v>1545.0644466653468</v>
      </c>
      <c r="AH15" s="129">
        <v>1545.0644466653468</v>
      </c>
      <c r="AI15" s="129">
        <v>1545.0644466653471</v>
      </c>
      <c r="AJ15" s="129">
        <v>1545.0644466653471</v>
      </c>
      <c r="AK15" s="129">
        <v>1545.0644466653468</v>
      </c>
      <c r="AL15" s="129">
        <v>1519.7029509604456</v>
      </c>
      <c r="AM15" s="129">
        <v>1519.7029509604456</v>
      </c>
      <c r="AN15" s="129">
        <v>1645.6980231181365</v>
      </c>
      <c r="AO15" s="129">
        <v>1645.6980231181365</v>
      </c>
      <c r="AP15" s="129">
        <v>1671.0595188230379</v>
      </c>
      <c r="AQ15" s="129">
        <v>1671.0595188230379</v>
      </c>
      <c r="AR15" s="129">
        <v>1671.0595188230379</v>
      </c>
      <c r="AS15" s="129">
        <v>1671.0595188230382</v>
      </c>
      <c r="AT15" s="129">
        <v>1671.0595188230382</v>
      </c>
      <c r="AU15" s="129">
        <v>1671.0595188230382</v>
      </c>
      <c r="AV15" s="129">
        <v>1545.0644466653471</v>
      </c>
      <c r="AW15" s="129">
        <v>1545.0644466653468</v>
      </c>
      <c r="AX15" s="129">
        <v>1570.4259423702488</v>
      </c>
      <c r="AY15" s="129">
        <v>1570.4259423702488</v>
      </c>
      <c r="AZ15" s="105">
        <v>278.97645275391636</v>
      </c>
    </row>
    <row r="16" spans="1:54" x14ac:dyDescent="0.2">
      <c r="A16" s="115"/>
      <c r="B16" s="124">
        <v>2</v>
      </c>
      <c r="C16" s="114" t="s">
        <v>293</v>
      </c>
      <c r="D16" s="111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-2.2737367544323206E-13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-2.2737367544323206E-13</v>
      </c>
      <c r="W16" s="115"/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/>
      <c r="AE16" s="115">
        <v>-2.2737367544323206E-13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-2.2737367544323206E-13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/>
      <c r="AT16" s="115">
        <v>-2.2737367544323206E-13</v>
      </c>
      <c r="AU16" s="115"/>
      <c r="AV16" s="115">
        <v>-2.2737367544323206E-13</v>
      </c>
      <c r="AW16" s="115">
        <v>-2.2737367544323206E-13</v>
      </c>
      <c r="AX16" s="115">
        <v>0</v>
      </c>
      <c r="AY16" s="115">
        <v>0</v>
      </c>
      <c r="AZ16" s="105">
        <v>0</v>
      </c>
      <c r="BA16" s="105">
        <v>0</v>
      </c>
    </row>
    <row r="17" spans="1:54" x14ac:dyDescent="0.2">
      <c r="A17" s="115"/>
      <c r="B17" s="124">
        <v>3</v>
      </c>
      <c r="C17" s="114" t="s">
        <v>293</v>
      </c>
      <c r="D17" s="111">
        <v>0</v>
      </c>
      <c r="E17" s="115">
        <v>0</v>
      </c>
      <c r="F17" s="115"/>
      <c r="G17" s="115"/>
      <c r="H17" s="115"/>
      <c r="I17" s="115">
        <v>0</v>
      </c>
      <c r="J17" s="115">
        <v>0</v>
      </c>
      <c r="K17" s="115">
        <v>0</v>
      </c>
      <c r="L17" s="115"/>
      <c r="M17" s="115"/>
      <c r="N17" s="115">
        <v>0</v>
      </c>
      <c r="O17" s="115"/>
      <c r="P17" s="115">
        <v>-2.2737367544323206E-13</v>
      </c>
      <c r="Q17" s="115">
        <v>0</v>
      </c>
      <c r="R17" s="115">
        <v>0</v>
      </c>
      <c r="S17" s="115">
        <v>0</v>
      </c>
      <c r="T17" s="115"/>
      <c r="U17" s="115"/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/>
      <c r="AB17" s="115">
        <v>0</v>
      </c>
      <c r="AC17" s="115"/>
      <c r="AD17" s="115">
        <v>0</v>
      </c>
      <c r="AE17" s="115">
        <v>0</v>
      </c>
      <c r="AF17" s="115"/>
      <c r="AG17" s="115"/>
      <c r="AH17" s="115">
        <v>0</v>
      </c>
      <c r="AI17" s="115"/>
      <c r="AJ17" s="115">
        <v>0</v>
      </c>
      <c r="AK17" s="115">
        <v>-2.2737367544323206E-13</v>
      </c>
      <c r="AL17" s="115"/>
      <c r="AM17" s="115"/>
      <c r="AN17" s="115">
        <v>0</v>
      </c>
      <c r="AO17" s="115">
        <v>0</v>
      </c>
      <c r="AP17" s="115">
        <v>0</v>
      </c>
      <c r="AQ17" s="115"/>
      <c r="AR17" s="115"/>
      <c r="AS17" s="115">
        <v>0</v>
      </c>
      <c r="AT17" s="115">
        <v>0</v>
      </c>
      <c r="AU17" s="115"/>
      <c r="AV17" s="115">
        <v>-2.2737367544323206E-13</v>
      </c>
      <c r="AW17" s="115">
        <v>0</v>
      </c>
      <c r="AX17" s="115"/>
      <c r="AY17" s="115">
        <v>0</v>
      </c>
      <c r="BA17" s="105">
        <v>0</v>
      </c>
      <c r="BB17" s="105">
        <v>0</v>
      </c>
    </row>
    <row r="18" spans="1:54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>
        <v>0</v>
      </c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4" x14ac:dyDescent="0.2">
      <c r="A20" s="107" t="s">
        <v>294</v>
      </c>
    </row>
    <row r="21" spans="1:54" x14ac:dyDescent="0.2">
      <c r="A21" s="131" t="s">
        <v>125</v>
      </c>
      <c r="B21" s="128">
        <v>1</v>
      </c>
      <c r="C21" s="129" t="s">
        <v>293</v>
      </c>
      <c r="D21" s="129">
        <v>856.69934310257713</v>
      </c>
      <c r="E21" s="129">
        <v>856.69934310257713</v>
      </c>
      <c r="F21" s="129">
        <v>856.69934310257713</v>
      </c>
      <c r="G21" s="129">
        <v>856.69934310257713</v>
      </c>
      <c r="H21" s="129">
        <v>771.02940879231937</v>
      </c>
      <c r="I21" s="129">
        <v>771.02940879231937</v>
      </c>
      <c r="J21" s="129">
        <v>771.02940879231937</v>
      </c>
      <c r="K21" s="129">
        <v>771.02940879231937</v>
      </c>
      <c r="L21" s="129">
        <v>856.69934310257713</v>
      </c>
      <c r="M21" s="129">
        <v>856.69934310257713</v>
      </c>
      <c r="N21" s="129">
        <v>856.69934310257713</v>
      </c>
      <c r="O21" s="129">
        <v>856.69934310257713</v>
      </c>
      <c r="P21" s="129">
        <v>372.81033345943888</v>
      </c>
      <c r="Q21" s="129">
        <v>856.69934310257713</v>
      </c>
      <c r="R21" s="129">
        <v>856.69934310257713</v>
      </c>
      <c r="S21" s="129">
        <v>419.48993434311433</v>
      </c>
      <c r="T21" s="129">
        <v>771.02940879231937</v>
      </c>
      <c r="U21" s="129">
        <v>771.02940879231937</v>
      </c>
      <c r="V21" s="129">
        <v>771.02940879231937</v>
      </c>
      <c r="W21" s="129">
        <v>771.02940879231937</v>
      </c>
      <c r="X21" s="129">
        <v>637.0855224330594</v>
      </c>
      <c r="Y21" s="129">
        <v>942.369277412835</v>
      </c>
      <c r="Z21" s="129">
        <v>942.369277412835</v>
      </c>
      <c r="AA21" s="129">
        <v>942.369277412835</v>
      </c>
      <c r="AB21" s="129">
        <v>856.69934310257713</v>
      </c>
      <c r="AC21" s="129">
        <v>856.69934310257713</v>
      </c>
      <c r="AD21" s="129">
        <v>856.69934310257713</v>
      </c>
      <c r="AE21" s="129">
        <v>856.69934310257713</v>
      </c>
      <c r="AF21" s="129">
        <v>856.69934310257713</v>
      </c>
      <c r="AG21" s="129">
        <v>856.69934310257713</v>
      </c>
      <c r="AH21" s="129">
        <v>856.69934310257713</v>
      </c>
      <c r="AI21" s="129">
        <v>856.69934310257713</v>
      </c>
      <c r="AJ21" s="129">
        <v>771.02940879231937</v>
      </c>
      <c r="AK21" s="129">
        <v>771.02940879231937</v>
      </c>
      <c r="AL21" s="129">
        <v>771.02940879231937</v>
      </c>
      <c r="AM21" s="129">
        <v>766.70709446726732</v>
      </c>
      <c r="AN21" s="129">
        <v>856.69934310257713</v>
      </c>
      <c r="AO21" s="129">
        <v>856.69934310257713</v>
      </c>
      <c r="AP21" s="129">
        <v>856.69934310257713</v>
      </c>
      <c r="AQ21" s="129">
        <v>856.69934310257713</v>
      </c>
      <c r="AR21" s="129">
        <v>856.69934310257713</v>
      </c>
      <c r="AS21" s="129">
        <v>856.69934310257713</v>
      </c>
      <c r="AT21" s="129">
        <v>856.69934310257713</v>
      </c>
      <c r="AU21" s="129">
        <v>856.69934310257713</v>
      </c>
      <c r="AV21" s="129">
        <v>942.369277412835</v>
      </c>
      <c r="AW21" s="129">
        <v>942.369277412835</v>
      </c>
      <c r="AX21" s="129">
        <v>942.369277412835</v>
      </c>
      <c r="AY21" s="129">
        <v>942.369277412835</v>
      </c>
    </row>
    <row r="22" spans="1:54" x14ac:dyDescent="0.2">
      <c r="A22" s="114"/>
      <c r="B22" s="125">
        <v>2</v>
      </c>
      <c r="C22" s="115" t="s">
        <v>293</v>
      </c>
      <c r="D22" s="115">
        <v>771.02940879231937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>
        <v>0</v>
      </c>
      <c r="AC22" s="115">
        <v>0</v>
      </c>
      <c r="AD22" s="115">
        <v>0</v>
      </c>
      <c r="AE22" s="115">
        <v>0</v>
      </c>
      <c r="AF22" s="115">
        <v>0</v>
      </c>
      <c r="AG22" s="115">
        <v>0</v>
      </c>
      <c r="AH22" s="115">
        <v>0</v>
      </c>
      <c r="AI22" s="115">
        <v>0</v>
      </c>
      <c r="AJ22" s="115">
        <v>0</v>
      </c>
      <c r="AK22" s="115">
        <v>0</v>
      </c>
      <c r="AL22" s="115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0</v>
      </c>
      <c r="AR22" s="115">
        <v>0</v>
      </c>
      <c r="AS22" s="115">
        <v>0</v>
      </c>
      <c r="AT22" s="115">
        <v>0</v>
      </c>
      <c r="AU22" s="115">
        <v>0</v>
      </c>
      <c r="AV22" s="115">
        <v>0</v>
      </c>
      <c r="AW22" s="115">
        <v>0</v>
      </c>
      <c r="AX22" s="115">
        <v>0</v>
      </c>
      <c r="AY22" s="115">
        <v>0</v>
      </c>
    </row>
    <row r="23" spans="1:54" x14ac:dyDescent="0.2">
      <c r="A23" s="114"/>
      <c r="B23" s="132">
        <v>3</v>
      </c>
      <c r="C23" s="115" t="s">
        <v>293</v>
      </c>
      <c r="D23" s="115">
        <v>771.02940879231937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5">
        <v>0</v>
      </c>
      <c r="O23" s="115">
        <v>0</v>
      </c>
      <c r="P23" s="115">
        <v>0</v>
      </c>
      <c r="Q23" s="115">
        <v>0</v>
      </c>
      <c r="R23" s="115">
        <v>0</v>
      </c>
      <c r="S23" s="115">
        <v>0</v>
      </c>
      <c r="T23" s="115">
        <v>0</v>
      </c>
      <c r="U23" s="115">
        <v>0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>
        <v>0</v>
      </c>
      <c r="AC23" s="115">
        <v>0</v>
      </c>
      <c r="AD23" s="115">
        <v>0</v>
      </c>
      <c r="AE23" s="115">
        <v>0</v>
      </c>
      <c r="AF23" s="115">
        <v>0</v>
      </c>
      <c r="AG23" s="115">
        <v>0</v>
      </c>
      <c r="AH23" s="115">
        <v>0</v>
      </c>
      <c r="AI23" s="115">
        <v>0</v>
      </c>
      <c r="AJ23" s="115">
        <v>0</v>
      </c>
      <c r="AK23" s="115">
        <v>0</v>
      </c>
      <c r="AL23" s="115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0</v>
      </c>
      <c r="AR23" s="115">
        <v>0</v>
      </c>
      <c r="AS23" s="115">
        <v>0</v>
      </c>
      <c r="AT23" s="115">
        <v>0</v>
      </c>
      <c r="AU23" s="115">
        <v>0</v>
      </c>
      <c r="AV23" s="115">
        <v>0</v>
      </c>
      <c r="AW23" s="115">
        <v>0</v>
      </c>
      <c r="AX23" s="115">
        <v>0</v>
      </c>
      <c r="AY23" s="115">
        <v>0</v>
      </c>
    </row>
    <row r="24" spans="1:54" x14ac:dyDescent="0.2">
      <c r="A24" s="133"/>
      <c r="B24" s="134">
        <v>4</v>
      </c>
      <c r="C24" s="133" t="s">
        <v>293</v>
      </c>
      <c r="D24" s="130">
        <v>771.02940879231937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4" x14ac:dyDescent="0.2">
      <c r="A25" s="131" t="s">
        <v>133</v>
      </c>
      <c r="B25" s="128">
        <v>1</v>
      </c>
      <c r="C25" s="114" t="s">
        <v>293</v>
      </c>
      <c r="D25" s="115">
        <v>99.934742059640541</v>
      </c>
      <c r="E25" s="115">
        <v>105.3458107763888</v>
      </c>
      <c r="F25" s="115">
        <v>112.15507378507007</v>
      </c>
      <c r="G25" s="115">
        <v>101.993873295022</v>
      </c>
      <c r="H25" s="115">
        <v>104.10910097847585</v>
      </c>
      <c r="I25" s="115">
        <v>99.021389042566199</v>
      </c>
      <c r="J25" s="115">
        <v>44.523035830331786</v>
      </c>
      <c r="K25" s="115">
        <v>46.669662822424002</v>
      </c>
      <c r="L25" s="115">
        <v>45.590730603269897</v>
      </c>
      <c r="M25" s="115">
        <v>45.860526991043351</v>
      </c>
      <c r="N25" s="115">
        <v>100.24409585397453</v>
      </c>
      <c r="O25" s="115">
        <v>225.07787264553264</v>
      </c>
      <c r="P25" s="115"/>
      <c r="Q25" s="115">
        <v>166.15458923115872</v>
      </c>
      <c r="R25" s="115">
        <v>75.7574735292078</v>
      </c>
      <c r="S25" s="115"/>
      <c r="T25" s="115">
        <v>134.7116626633356</v>
      </c>
      <c r="U25" s="115">
        <v>276.31454696138508</v>
      </c>
      <c r="V25" s="115">
        <v>260.57586073133052</v>
      </c>
      <c r="W25" s="115">
        <v>97.241490118394552</v>
      </c>
      <c r="X25" s="115"/>
      <c r="Y25" s="115">
        <v>249.81114979823758</v>
      </c>
      <c r="Z25" s="115">
        <v>157.73438795025146</v>
      </c>
      <c r="AA25" s="115">
        <v>311.9261210988227</v>
      </c>
      <c r="AB25" s="115">
        <v>326.149513371887</v>
      </c>
      <c r="AC25" s="115">
        <v>167.63196835597728</v>
      </c>
      <c r="AD25" s="115">
        <v>135.27783842855959</v>
      </c>
      <c r="AE25" s="115">
        <v>149.48809504214478</v>
      </c>
      <c r="AF25" s="115">
        <v>121.3696974044571</v>
      </c>
      <c r="AG25" s="115">
        <v>87.42974205515921</v>
      </c>
      <c r="AH25" s="115">
        <v>33.541342454921505</v>
      </c>
      <c r="AI25" s="115">
        <v>172.60578912026858</v>
      </c>
      <c r="AJ25" s="115">
        <v>326.67023578561566</v>
      </c>
      <c r="AK25" s="115">
        <v>384.41637190500262</v>
      </c>
      <c r="AL25" s="115">
        <v>345.9747347145024</v>
      </c>
      <c r="AM25" s="115"/>
      <c r="AN25" s="115">
        <v>64.937065309271475</v>
      </c>
      <c r="AO25" s="115">
        <v>238.63508842740794</v>
      </c>
      <c r="AP25" s="115">
        <v>308.13624444094648</v>
      </c>
      <c r="AQ25" s="115">
        <v>316.19576326398374</v>
      </c>
      <c r="AR25" s="115">
        <v>174.38454194422684</v>
      </c>
      <c r="AS25" s="115">
        <v>181.17525533237358</v>
      </c>
      <c r="AT25" s="115">
        <v>136.96596872052032</v>
      </c>
      <c r="AU25" s="115">
        <v>191.75668210866752</v>
      </c>
      <c r="AV25" s="115">
        <v>131.82112877401448</v>
      </c>
      <c r="AW25" s="115">
        <v>96.885575439361105</v>
      </c>
      <c r="AX25" s="115">
        <v>126.7170300223255</v>
      </c>
      <c r="AY25" s="115">
        <v>83.393699648970482</v>
      </c>
    </row>
    <row r="26" spans="1:54" x14ac:dyDescent="0.2">
      <c r="A26" s="114"/>
      <c r="B26" s="124">
        <v>2</v>
      </c>
      <c r="C26" s="114" t="s">
        <v>293</v>
      </c>
      <c r="D26" s="115">
        <v>345.9747347145024</v>
      </c>
      <c r="E26" s="115">
        <v>0</v>
      </c>
      <c r="F26" s="115">
        <v>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  <c r="N26" s="115">
        <v>0</v>
      </c>
      <c r="O26" s="115">
        <v>0</v>
      </c>
      <c r="P26" s="115"/>
      <c r="Q26" s="115">
        <v>0</v>
      </c>
      <c r="R26" s="115">
        <v>0</v>
      </c>
      <c r="S26" s="115"/>
      <c r="T26" s="115">
        <v>0</v>
      </c>
      <c r="U26" s="115">
        <v>0</v>
      </c>
      <c r="V26" s="115">
        <v>0</v>
      </c>
      <c r="W26" s="115">
        <v>0</v>
      </c>
      <c r="X26" s="115"/>
      <c r="Y26" s="115">
        <v>0</v>
      </c>
      <c r="Z26" s="115">
        <v>0</v>
      </c>
      <c r="AA26" s="115">
        <v>0</v>
      </c>
      <c r="AB26" s="115">
        <v>0</v>
      </c>
      <c r="AC26" s="115">
        <v>0</v>
      </c>
      <c r="AD26" s="115">
        <v>0</v>
      </c>
      <c r="AE26" s="115">
        <v>0</v>
      </c>
      <c r="AF26" s="115">
        <v>0</v>
      </c>
      <c r="AG26" s="115">
        <v>0</v>
      </c>
      <c r="AH26" s="115">
        <v>0</v>
      </c>
      <c r="AI26" s="115">
        <v>0</v>
      </c>
      <c r="AJ26" s="115">
        <v>0</v>
      </c>
      <c r="AK26" s="115">
        <v>0</v>
      </c>
      <c r="AL26" s="115">
        <v>0</v>
      </c>
      <c r="AM26" s="115"/>
      <c r="AN26" s="115">
        <v>0</v>
      </c>
      <c r="AO26" s="115">
        <v>0</v>
      </c>
      <c r="AP26" s="115">
        <v>0</v>
      </c>
      <c r="AQ26" s="115">
        <v>0</v>
      </c>
      <c r="AR26" s="115">
        <v>0</v>
      </c>
      <c r="AS26" s="115">
        <v>0</v>
      </c>
      <c r="AT26" s="115">
        <v>0</v>
      </c>
      <c r="AU26" s="115">
        <v>0</v>
      </c>
      <c r="AV26" s="115">
        <v>0</v>
      </c>
      <c r="AW26" s="115">
        <v>0</v>
      </c>
      <c r="AX26" s="115">
        <v>0</v>
      </c>
      <c r="AY26" s="115">
        <v>0</v>
      </c>
    </row>
    <row r="27" spans="1:54" x14ac:dyDescent="0.2">
      <c r="A27" s="114"/>
      <c r="B27" s="125">
        <v>3</v>
      </c>
      <c r="C27" s="114" t="s">
        <v>293</v>
      </c>
      <c r="D27" s="115">
        <v>345.9747347145024</v>
      </c>
      <c r="E27" s="115">
        <v>0</v>
      </c>
      <c r="F27" s="115">
        <v>0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/>
      <c r="Q27" s="115">
        <v>0</v>
      </c>
      <c r="R27" s="115">
        <v>0</v>
      </c>
      <c r="S27" s="115"/>
      <c r="T27" s="115">
        <v>0</v>
      </c>
      <c r="U27" s="115">
        <v>0</v>
      </c>
      <c r="V27" s="115">
        <v>0</v>
      </c>
      <c r="W27" s="115">
        <v>0</v>
      </c>
      <c r="X27" s="115"/>
      <c r="Y27" s="115">
        <v>0</v>
      </c>
      <c r="Z27" s="115">
        <v>0</v>
      </c>
      <c r="AA27" s="115">
        <v>0</v>
      </c>
      <c r="AB27" s="115">
        <v>0</v>
      </c>
      <c r="AC27" s="115">
        <v>0</v>
      </c>
      <c r="AD27" s="115">
        <v>0</v>
      </c>
      <c r="AE27" s="115">
        <v>0</v>
      </c>
      <c r="AF27" s="115">
        <v>0</v>
      </c>
      <c r="AG27" s="115">
        <v>0</v>
      </c>
      <c r="AH27" s="115">
        <v>0</v>
      </c>
      <c r="AI27" s="115">
        <v>0</v>
      </c>
      <c r="AJ27" s="115">
        <v>0</v>
      </c>
      <c r="AK27" s="115">
        <v>0</v>
      </c>
      <c r="AL27" s="115">
        <v>0</v>
      </c>
      <c r="AM27" s="115"/>
      <c r="AN27" s="115">
        <v>0</v>
      </c>
      <c r="AO27" s="115">
        <v>0</v>
      </c>
      <c r="AP27" s="115">
        <v>0</v>
      </c>
      <c r="AQ27" s="115">
        <v>0</v>
      </c>
      <c r="AR27" s="115">
        <v>0</v>
      </c>
      <c r="AS27" s="115">
        <v>0</v>
      </c>
      <c r="AT27" s="115">
        <v>0</v>
      </c>
      <c r="AU27" s="115">
        <v>0</v>
      </c>
      <c r="AV27" s="115">
        <v>0</v>
      </c>
      <c r="AW27" s="115">
        <v>0</v>
      </c>
      <c r="AX27" s="115">
        <v>0</v>
      </c>
      <c r="AY27" s="115">
        <v>0</v>
      </c>
    </row>
    <row r="28" spans="1:54" x14ac:dyDescent="0.2">
      <c r="A28" s="114"/>
      <c r="B28" s="125">
        <v>4</v>
      </c>
      <c r="C28" s="114" t="s">
        <v>293</v>
      </c>
      <c r="D28" s="115">
        <v>36.853461344117022</v>
      </c>
      <c r="E28" s="115">
        <v>0</v>
      </c>
      <c r="F28" s="115">
        <v>0</v>
      </c>
      <c r="G28" s="115">
        <v>0</v>
      </c>
      <c r="H28" s="115">
        <v>0</v>
      </c>
      <c r="I28" s="115">
        <v>0</v>
      </c>
      <c r="J28" s="115">
        <v>0</v>
      </c>
      <c r="K28" s="115">
        <v>0</v>
      </c>
      <c r="L28" s="115">
        <v>0</v>
      </c>
      <c r="M28" s="115">
        <v>0</v>
      </c>
      <c r="N28" s="115">
        <v>0</v>
      </c>
      <c r="O28" s="115">
        <v>0</v>
      </c>
      <c r="P28" s="115"/>
      <c r="Q28" s="115">
        <v>0</v>
      </c>
      <c r="R28" s="115">
        <v>0</v>
      </c>
      <c r="S28" s="115"/>
      <c r="T28" s="115">
        <v>0</v>
      </c>
      <c r="U28" s="115">
        <v>0</v>
      </c>
      <c r="V28" s="115">
        <v>0</v>
      </c>
      <c r="W28" s="115">
        <v>0</v>
      </c>
      <c r="X28" s="115"/>
      <c r="Y28" s="115">
        <v>0</v>
      </c>
      <c r="Z28" s="115">
        <v>0</v>
      </c>
      <c r="AA28" s="115">
        <v>0</v>
      </c>
      <c r="AB28" s="115">
        <v>0</v>
      </c>
      <c r="AC28" s="115">
        <v>0</v>
      </c>
      <c r="AD28" s="115">
        <v>0</v>
      </c>
      <c r="AE28" s="115">
        <v>0</v>
      </c>
      <c r="AF28" s="115">
        <v>0</v>
      </c>
      <c r="AG28" s="115">
        <v>0</v>
      </c>
      <c r="AH28" s="115">
        <v>0</v>
      </c>
      <c r="AI28" s="115">
        <v>0</v>
      </c>
      <c r="AJ28" s="115">
        <v>0</v>
      </c>
      <c r="AK28" s="115">
        <v>0</v>
      </c>
      <c r="AL28" s="115">
        <v>0</v>
      </c>
      <c r="AM28" s="115"/>
      <c r="AN28" s="115">
        <v>0</v>
      </c>
      <c r="AO28" s="115">
        <v>0</v>
      </c>
      <c r="AP28" s="115">
        <v>0</v>
      </c>
      <c r="AQ28" s="115">
        <v>0</v>
      </c>
      <c r="AR28" s="115">
        <v>0</v>
      </c>
      <c r="AS28" s="115">
        <v>0</v>
      </c>
      <c r="AT28" s="115">
        <v>0</v>
      </c>
      <c r="AU28" s="115">
        <v>0</v>
      </c>
      <c r="AV28" s="115">
        <v>0</v>
      </c>
      <c r="AW28" s="115">
        <v>0</v>
      </c>
      <c r="AX28" s="115">
        <v>0</v>
      </c>
      <c r="AY28" s="115">
        <v>0</v>
      </c>
    </row>
    <row r="29" spans="1:54" x14ac:dyDescent="0.2">
      <c r="A29" s="114"/>
      <c r="B29" s="132">
        <v>5</v>
      </c>
      <c r="C29" s="114" t="s">
        <v>293</v>
      </c>
      <c r="D29" s="115">
        <v>0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0</v>
      </c>
      <c r="R29" s="115">
        <v>0</v>
      </c>
      <c r="S29" s="115">
        <v>0</v>
      </c>
      <c r="T29" s="115">
        <v>0</v>
      </c>
      <c r="U29" s="115">
        <v>0</v>
      </c>
      <c r="V29" s="115">
        <v>0</v>
      </c>
      <c r="W29" s="115">
        <v>0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15">
        <v>0</v>
      </c>
      <c r="AG29" s="115">
        <v>0</v>
      </c>
      <c r="AH29" s="115">
        <v>0</v>
      </c>
      <c r="AI29" s="115">
        <v>0</v>
      </c>
      <c r="AJ29" s="115">
        <v>0</v>
      </c>
      <c r="AK29" s="115">
        <v>0</v>
      </c>
      <c r="AL29" s="115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0</v>
      </c>
      <c r="AR29" s="115">
        <v>0</v>
      </c>
      <c r="AS29" s="115">
        <v>0</v>
      </c>
      <c r="AT29" s="115">
        <v>0</v>
      </c>
      <c r="AU29" s="115">
        <v>0</v>
      </c>
      <c r="AV29" s="115">
        <v>0</v>
      </c>
      <c r="AW29" s="115">
        <v>0</v>
      </c>
      <c r="AX29" s="115">
        <v>0</v>
      </c>
      <c r="AY29" s="115">
        <v>0</v>
      </c>
    </row>
    <row r="30" spans="1:54" x14ac:dyDescent="0.2">
      <c r="A30" s="114"/>
      <c r="B30" s="132">
        <v>6</v>
      </c>
      <c r="C30" s="114" t="s">
        <v>293</v>
      </c>
      <c r="D30" s="115">
        <v>0</v>
      </c>
      <c r="E30" s="115">
        <v>0</v>
      </c>
      <c r="F30" s="115">
        <v>0</v>
      </c>
      <c r="G30" s="115">
        <v>0</v>
      </c>
      <c r="H30" s="115">
        <v>0</v>
      </c>
      <c r="I30" s="115">
        <v>0</v>
      </c>
      <c r="J30" s="115">
        <v>0</v>
      </c>
      <c r="K30" s="115">
        <v>0</v>
      </c>
      <c r="L30" s="115">
        <v>0</v>
      </c>
      <c r="M30" s="115">
        <v>0</v>
      </c>
      <c r="N30" s="115">
        <v>0</v>
      </c>
      <c r="O30" s="115">
        <v>0</v>
      </c>
      <c r="P30" s="115">
        <v>0</v>
      </c>
      <c r="Q30" s="115">
        <v>0</v>
      </c>
      <c r="R30" s="115">
        <v>0</v>
      </c>
      <c r="S30" s="115">
        <v>0</v>
      </c>
      <c r="T30" s="115">
        <v>0</v>
      </c>
      <c r="U30" s="115">
        <v>0</v>
      </c>
      <c r="V30" s="115">
        <v>0</v>
      </c>
      <c r="W30" s="115">
        <v>0</v>
      </c>
      <c r="X30" s="115">
        <v>0</v>
      </c>
      <c r="Y30" s="115">
        <v>0</v>
      </c>
      <c r="Z30" s="115">
        <v>0</v>
      </c>
      <c r="AA30" s="115">
        <v>0</v>
      </c>
      <c r="AB30" s="115">
        <v>0</v>
      </c>
      <c r="AC30" s="115">
        <v>0</v>
      </c>
      <c r="AD30" s="115">
        <v>0</v>
      </c>
      <c r="AE30" s="115">
        <v>0</v>
      </c>
      <c r="AF30" s="115">
        <v>0</v>
      </c>
      <c r="AG30" s="115">
        <v>0</v>
      </c>
      <c r="AH30" s="115">
        <v>0</v>
      </c>
      <c r="AI30" s="115">
        <v>0</v>
      </c>
      <c r="AJ30" s="115">
        <v>0</v>
      </c>
      <c r="AK30" s="115">
        <v>0</v>
      </c>
      <c r="AL30" s="115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0</v>
      </c>
      <c r="AR30" s="115">
        <v>0</v>
      </c>
      <c r="AS30" s="115">
        <v>0</v>
      </c>
      <c r="AT30" s="115">
        <v>0</v>
      </c>
      <c r="AU30" s="115">
        <v>0</v>
      </c>
      <c r="AV30" s="115">
        <v>0</v>
      </c>
      <c r="AW30" s="115">
        <v>0</v>
      </c>
      <c r="AX30" s="115">
        <v>0</v>
      </c>
      <c r="AY30" s="115">
        <v>0</v>
      </c>
    </row>
    <row r="31" spans="1:54" x14ac:dyDescent="0.2">
      <c r="A31" s="114"/>
      <c r="B31" s="135">
        <v>7</v>
      </c>
      <c r="C31" s="114" t="s">
        <v>293</v>
      </c>
      <c r="D31" s="115">
        <v>0</v>
      </c>
      <c r="E31" s="115">
        <v>0</v>
      </c>
      <c r="F31" s="115">
        <v>0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  <c r="Q31" s="115">
        <v>0</v>
      </c>
      <c r="R31" s="115">
        <v>0</v>
      </c>
      <c r="S31" s="115">
        <v>0</v>
      </c>
      <c r="T31" s="115">
        <v>0</v>
      </c>
      <c r="U31" s="115">
        <v>0</v>
      </c>
      <c r="V31" s="115">
        <v>0</v>
      </c>
      <c r="W31" s="115">
        <v>0</v>
      </c>
      <c r="X31" s="115">
        <v>0</v>
      </c>
      <c r="Y31" s="115">
        <v>0</v>
      </c>
      <c r="Z31" s="115">
        <v>0</v>
      </c>
      <c r="AA31" s="115">
        <v>0</v>
      </c>
      <c r="AB31" s="115">
        <v>0</v>
      </c>
      <c r="AC31" s="115">
        <v>0</v>
      </c>
      <c r="AD31" s="115">
        <v>0</v>
      </c>
      <c r="AE31" s="115">
        <v>0</v>
      </c>
      <c r="AF31" s="115">
        <v>0</v>
      </c>
      <c r="AG31" s="115">
        <v>0</v>
      </c>
      <c r="AH31" s="115">
        <v>0</v>
      </c>
      <c r="AI31" s="115">
        <v>0</v>
      </c>
      <c r="AJ31" s="115">
        <v>0</v>
      </c>
      <c r="AK31" s="115">
        <v>0</v>
      </c>
      <c r="AL31" s="115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>
        <v>0</v>
      </c>
      <c r="AW31" s="115">
        <v>0</v>
      </c>
      <c r="AX31" s="115">
        <v>0</v>
      </c>
      <c r="AY31" s="115">
        <v>0</v>
      </c>
    </row>
    <row r="32" spans="1:54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>
        <v>6.3183105459596618</v>
      </c>
      <c r="AL36" s="111">
        <v>147.702950960446</v>
      </c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>
        <v>53.184582946321648</v>
      </c>
      <c r="E37" s="111">
        <v>32.291882243697067</v>
      </c>
      <c r="F37" s="111">
        <v>31.472136833796608</v>
      </c>
      <c r="G37" s="111">
        <v>22.272800889810476</v>
      </c>
      <c r="H37" s="111">
        <v>21.996372716308599</v>
      </c>
      <c r="I37" s="111">
        <v>17.199312335672367</v>
      </c>
      <c r="J37" s="111">
        <v>9.8068207165949612</v>
      </c>
      <c r="K37" s="111">
        <v>11.399904180788342</v>
      </c>
      <c r="L37" s="111">
        <v>11.625463392034469</v>
      </c>
      <c r="M37" s="111">
        <v>10.433154572672029</v>
      </c>
      <c r="N37" s="111">
        <v>26.177830979546883</v>
      </c>
      <c r="O37" s="111">
        <v>33.230669873789061</v>
      </c>
      <c r="P37" s="111"/>
      <c r="Q37" s="111">
        <v>5.007281489885405</v>
      </c>
      <c r="R37" s="111">
        <v>0</v>
      </c>
      <c r="S37" s="111"/>
      <c r="T37" s="111">
        <v>3.7324134434338347</v>
      </c>
      <c r="U37" s="111">
        <v>0</v>
      </c>
      <c r="V37" s="111">
        <v>0</v>
      </c>
      <c r="W37" s="111">
        <v>13.735078521108502</v>
      </c>
      <c r="X37" s="111"/>
      <c r="Y37" s="111">
        <v>31.317739127123328</v>
      </c>
      <c r="Z37" s="111">
        <v>16.034103659330714</v>
      </c>
      <c r="AA37" s="111">
        <v>70.234209221677332</v>
      </c>
      <c r="AB37" s="111">
        <v>11.202550097184723</v>
      </c>
      <c r="AC37" s="111">
        <v>0</v>
      </c>
      <c r="AD37" s="111">
        <v>4.2276666586605804</v>
      </c>
      <c r="AE37" s="111">
        <v>16.901343786176785</v>
      </c>
      <c r="AF37" s="111">
        <v>17.22999803745034</v>
      </c>
      <c r="AG37" s="111">
        <v>12.051555749060391</v>
      </c>
      <c r="AH37" s="111">
        <v>0</v>
      </c>
      <c r="AI37" s="111">
        <v>0</v>
      </c>
      <c r="AJ37" s="111">
        <v>0</v>
      </c>
      <c r="AK37" s="111">
        <v>0</v>
      </c>
      <c r="AL37" s="111">
        <v>0</v>
      </c>
      <c r="AM37" s="111"/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0</v>
      </c>
      <c r="AY37" s="111">
        <v>0</v>
      </c>
    </row>
    <row r="38" spans="1:51" x14ac:dyDescent="0.2">
      <c r="A38" s="114"/>
      <c r="B38" s="125">
        <v>6</v>
      </c>
      <c r="C38" s="114" t="s">
        <v>293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/>
      <c r="Q38" s="111">
        <v>0</v>
      </c>
      <c r="R38" s="111">
        <v>0</v>
      </c>
      <c r="S38" s="111"/>
      <c r="T38" s="111">
        <v>0</v>
      </c>
      <c r="U38" s="111">
        <v>0</v>
      </c>
      <c r="V38" s="111">
        <v>0</v>
      </c>
      <c r="W38" s="111">
        <v>0</v>
      </c>
      <c r="X38" s="111"/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0</v>
      </c>
      <c r="AJ38" s="111">
        <v>0</v>
      </c>
      <c r="AK38" s="111">
        <v>0</v>
      </c>
      <c r="AL38" s="111">
        <v>0</v>
      </c>
      <c r="AM38" s="111"/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  <c r="AY38" s="111">
        <v>0</v>
      </c>
    </row>
    <row r="39" spans="1:51" x14ac:dyDescent="0.2">
      <c r="A39" s="114"/>
      <c r="B39" s="132">
        <v>7</v>
      </c>
      <c r="C39" s="114" t="s">
        <v>293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/>
      <c r="Q39" s="111">
        <v>0</v>
      </c>
      <c r="R39" s="111">
        <v>0</v>
      </c>
      <c r="S39" s="111"/>
      <c r="T39" s="111">
        <v>0</v>
      </c>
      <c r="U39" s="111">
        <v>0</v>
      </c>
      <c r="V39" s="111">
        <v>0</v>
      </c>
      <c r="W39" s="111">
        <v>0</v>
      </c>
      <c r="X39" s="111"/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0</v>
      </c>
      <c r="AM39" s="111"/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  <c r="AY39" s="111">
        <v>0</v>
      </c>
    </row>
    <row r="40" spans="1:51" x14ac:dyDescent="0.2">
      <c r="A40" s="114"/>
      <c r="B40" s="132">
        <v>8</v>
      </c>
      <c r="C40" s="114" t="s">
        <v>293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/>
      <c r="Q40" s="111">
        <v>0</v>
      </c>
      <c r="R40" s="111">
        <v>0</v>
      </c>
      <c r="S40" s="111"/>
      <c r="T40" s="111">
        <v>0</v>
      </c>
      <c r="U40" s="111">
        <v>0</v>
      </c>
      <c r="V40" s="111">
        <v>0</v>
      </c>
      <c r="W40" s="111">
        <v>0</v>
      </c>
      <c r="X40" s="111"/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/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  <c r="AY40" s="111">
        <v>0</v>
      </c>
    </row>
    <row r="41" spans="1:51" x14ac:dyDescent="0.2">
      <c r="A41" s="114"/>
      <c r="B41" s="132">
        <v>9</v>
      </c>
      <c r="C41" s="114" t="s">
        <v>293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  <c r="AY41" s="111">
        <v>0</v>
      </c>
    </row>
    <row r="42" spans="1:51" x14ac:dyDescent="0.2">
      <c r="A42" s="114"/>
      <c r="B42" s="135">
        <v>10</v>
      </c>
      <c r="C42" s="114" t="s">
        <v>293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  <c r="AY42" s="111">
        <v>0</v>
      </c>
    </row>
    <row r="43" spans="1:51" x14ac:dyDescent="0.2">
      <c r="A43" s="114"/>
      <c r="B43" s="135">
        <v>11</v>
      </c>
      <c r="C43" s="114" t="s">
        <v>293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  <c r="AY43" s="111">
        <v>0</v>
      </c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>
        <v>0</v>
      </c>
      <c r="AL84" s="115">
        <v>0</v>
      </c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>
        <v>0</v>
      </c>
      <c r="E85" s="115">
        <v>0</v>
      </c>
      <c r="F85" s="115">
        <v>0</v>
      </c>
      <c r="G85" s="115">
        <v>0</v>
      </c>
      <c r="H85" s="115">
        <v>0</v>
      </c>
      <c r="I85" s="115">
        <v>0</v>
      </c>
      <c r="J85" s="115">
        <v>0</v>
      </c>
      <c r="K85" s="115">
        <v>0</v>
      </c>
      <c r="L85" s="115">
        <v>0</v>
      </c>
      <c r="M85" s="115">
        <v>0</v>
      </c>
      <c r="N85" s="115">
        <v>0</v>
      </c>
      <c r="O85" s="115">
        <v>0</v>
      </c>
      <c r="P85" s="115"/>
      <c r="Q85" s="115">
        <v>0</v>
      </c>
      <c r="R85" s="115">
        <v>0</v>
      </c>
      <c r="S85" s="115"/>
      <c r="T85" s="115">
        <v>0</v>
      </c>
      <c r="U85" s="115">
        <v>0</v>
      </c>
      <c r="V85" s="115">
        <v>0</v>
      </c>
      <c r="W85" s="115">
        <v>0</v>
      </c>
      <c r="X85" s="115"/>
      <c r="Y85" s="115">
        <v>0</v>
      </c>
      <c r="Z85" s="115">
        <v>0</v>
      </c>
      <c r="AA85" s="115">
        <v>0</v>
      </c>
      <c r="AB85" s="115">
        <v>0</v>
      </c>
      <c r="AC85" s="115">
        <v>0</v>
      </c>
      <c r="AD85" s="115">
        <v>0</v>
      </c>
      <c r="AE85" s="115">
        <v>0</v>
      </c>
      <c r="AF85" s="115">
        <v>0</v>
      </c>
      <c r="AG85" s="115">
        <v>0</v>
      </c>
      <c r="AH85" s="115">
        <v>0</v>
      </c>
      <c r="AI85" s="115">
        <v>0</v>
      </c>
      <c r="AJ85" s="115">
        <v>0</v>
      </c>
      <c r="AK85" s="115">
        <v>0</v>
      </c>
      <c r="AL85" s="115">
        <v>0</v>
      </c>
      <c r="AM85" s="115"/>
      <c r="AN85" s="115">
        <v>0</v>
      </c>
      <c r="AO85" s="115">
        <v>0</v>
      </c>
      <c r="AP85" s="115">
        <v>0</v>
      </c>
      <c r="AQ85" s="115">
        <v>0</v>
      </c>
      <c r="AR85" s="115">
        <v>0</v>
      </c>
      <c r="AS85" s="115">
        <v>0</v>
      </c>
      <c r="AT85" s="115">
        <v>0</v>
      </c>
      <c r="AU85" s="115">
        <v>0</v>
      </c>
      <c r="AV85" s="115">
        <v>0</v>
      </c>
      <c r="AW85" s="115">
        <v>0</v>
      </c>
      <c r="AX85" s="115">
        <v>0</v>
      </c>
      <c r="AY85" s="115">
        <v>0</v>
      </c>
    </row>
    <row r="86" spans="1:52" x14ac:dyDescent="0.2">
      <c r="A86" s="114"/>
      <c r="B86" s="135">
        <v>42</v>
      </c>
      <c r="C86" s="114" t="s">
        <v>293</v>
      </c>
      <c r="D86" s="115">
        <v>0</v>
      </c>
      <c r="E86" s="115">
        <v>0</v>
      </c>
      <c r="F86" s="115">
        <v>0</v>
      </c>
      <c r="G86" s="115">
        <v>0</v>
      </c>
      <c r="H86" s="115">
        <v>0</v>
      </c>
      <c r="I86" s="115">
        <v>0</v>
      </c>
      <c r="J86" s="115">
        <v>0</v>
      </c>
      <c r="K86" s="115">
        <v>0</v>
      </c>
      <c r="L86" s="115">
        <v>0</v>
      </c>
      <c r="M86" s="115">
        <v>0</v>
      </c>
      <c r="N86" s="115">
        <v>0</v>
      </c>
      <c r="O86" s="115">
        <v>0</v>
      </c>
      <c r="P86" s="115"/>
      <c r="Q86" s="115">
        <v>0</v>
      </c>
      <c r="R86" s="115">
        <v>0</v>
      </c>
      <c r="S86" s="115"/>
      <c r="T86" s="115">
        <v>0</v>
      </c>
      <c r="U86" s="115">
        <v>0</v>
      </c>
      <c r="V86" s="115">
        <v>0</v>
      </c>
      <c r="W86" s="115">
        <v>0</v>
      </c>
      <c r="X86" s="115"/>
      <c r="Y86" s="115">
        <v>0</v>
      </c>
      <c r="Z86" s="115">
        <v>0</v>
      </c>
      <c r="AA86" s="115">
        <v>0</v>
      </c>
      <c r="AB86" s="115">
        <v>0</v>
      </c>
      <c r="AC86" s="115">
        <v>0</v>
      </c>
      <c r="AD86" s="115">
        <v>0</v>
      </c>
      <c r="AE86" s="115">
        <v>0</v>
      </c>
      <c r="AF86" s="115">
        <v>0</v>
      </c>
      <c r="AG86" s="115">
        <v>0</v>
      </c>
      <c r="AH86" s="115">
        <v>0</v>
      </c>
      <c r="AI86" s="115">
        <v>0</v>
      </c>
      <c r="AJ86" s="115">
        <v>0</v>
      </c>
      <c r="AK86" s="115">
        <v>0</v>
      </c>
      <c r="AL86" s="115">
        <v>0</v>
      </c>
      <c r="AM86" s="115"/>
      <c r="AN86" s="115">
        <v>0</v>
      </c>
      <c r="AO86" s="115">
        <v>0</v>
      </c>
      <c r="AP86" s="115">
        <v>0</v>
      </c>
      <c r="AQ86" s="115">
        <v>0</v>
      </c>
      <c r="AR86" s="115">
        <v>0</v>
      </c>
      <c r="AS86" s="115">
        <v>0</v>
      </c>
      <c r="AT86" s="115">
        <v>0</v>
      </c>
      <c r="AU86" s="115">
        <v>0</v>
      </c>
      <c r="AV86" s="115">
        <v>0</v>
      </c>
      <c r="AW86" s="115">
        <v>0</v>
      </c>
      <c r="AX86" s="115">
        <v>0</v>
      </c>
      <c r="AY86" s="115">
        <v>0</v>
      </c>
    </row>
    <row r="87" spans="1:52" x14ac:dyDescent="0.2">
      <c r="A87" s="114"/>
      <c r="B87" s="135">
        <v>43</v>
      </c>
      <c r="C87" s="114" t="s">
        <v>293</v>
      </c>
      <c r="D87" s="115">
        <v>0</v>
      </c>
      <c r="E87" s="115">
        <v>0</v>
      </c>
      <c r="F87" s="115">
        <v>0</v>
      </c>
      <c r="G87" s="115">
        <v>0</v>
      </c>
      <c r="H87" s="115">
        <v>0</v>
      </c>
      <c r="I87" s="115">
        <v>0</v>
      </c>
      <c r="J87" s="115">
        <v>0</v>
      </c>
      <c r="K87" s="115">
        <v>0</v>
      </c>
      <c r="L87" s="115">
        <v>0</v>
      </c>
      <c r="M87" s="115">
        <v>0</v>
      </c>
      <c r="N87" s="115">
        <v>0</v>
      </c>
      <c r="O87" s="115">
        <v>0</v>
      </c>
      <c r="P87" s="115"/>
      <c r="Q87" s="115">
        <v>0</v>
      </c>
      <c r="R87" s="115">
        <v>0</v>
      </c>
      <c r="S87" s="115"/>
      <c r="T87" s="115">
        <v>0</v>
      </c>
      <c r="U87" s="115">
        <v>0</v>
      </c>
      <c r="V87" s="115">
        <v>0</v>
      </c>
      <c r="W87" s="115">
        <v>0</v>
      </c>
      <c r="X87" s="115"/>
      <c r="Y87" s="115">
        <v>0</v>
      </c>
      <c r="Z87" s="115">
        <v>0</v>
      </c>
      <c r="AA87" s="115">
        <v>0</v>
      </c>
      <c r="AB87" s="115">
        <v>0</v>
      </c>
      <c r="AC87" s="115">
        <v>0</v>
      </c>
      <c r="AD87" s="115">
        <v>0</v>
      </c>
      <c r="AE87" s="115">
        <v>0</v>
      </c>
      <c r="AF87" s="115">
        <v>0</v>
      </c>
      <c r="AG87" s="115">
        <v>0</v>
      </c>
      <c r="AH87" s="115">
        <v>0</v>
      </c>
      <c r="AI87" s="115">
        <v>0</v>
      </c>
      <c r="AJ87" s="115">
        <v>0</v>
      </c>
      <c r="AK87" s="115">
        <v>0</v>
      </c>
      <c r="AL87" s="115">
        <v>0</v>
      </c>
      <c r="AM87" s="115"/>
      <c r="AN87" s="115">
        <v>0</v>
      </c>
      <c r="AO87" s="115">
        <v>0</v>
      </c>
      <c r="AP87" s="115">
        <v>0</v>
      </c>
      <c r="AQ87" s="115">
        <v>0</v>
      </c>
      <c r="AR87" s="115">
        <v>0</v>
      </c>
      <c r="AS87" s="115">
        <v>0</v>
      </c>
      <c r="AT87" s="115">
        <v>0</v>
      </c>
      <c r="AU87" s="115">
        <v>0</v>
      </c>
      <c r="AV87" s="115">
        <v>0</v>
      </c>
      <c r="AW87" s="115">
        <v>0</v>
      </c>
      <c r="AX87" s="115">
        <v>0</v>
      </c>
      <c r="AY87" s="115">
        <v>0</v>
      </c>
    </row>
    <row r="88" spans="1:52" x14ac:dyDescent="0.2">
      <c r="A88" s="114"/>
      <c r="B88" s="135">
        <v>44</v>
      </c>
      <c r="C88" s="114" t="s">
        <v>293</v>
      </c>
      <c r="D88" s="115">
        <v>0</v>
      </c>
      <c r="E88" s="115">
        <v>0</v>
      </c>
      <c r="F88" s="115">
        <v>0</v>
      </c>
      <c r="G88" s="115">
        <v>0</v>
      </c>
      <c r="H88" s="115">
        <v>0</v>
      </c>
      <c r="I88" s="115">
        <v>0</v>
      </c>
      <c r="J88" s="115">
        <v>0</v>
      </c>
      <c r="K88" s="115">
        <v>0</v>
      </c>
      <c r="L88" s="115">
        <v>0</v>
      </c>
      <c r="M88" s="115">
        <v>0</v>
      </c>
      <c r="N88" s="115">
        <v>0</v>
      </c>
      <c r="O88" s="115">
        <v>0</v>
      </c>
      <c r="P88" s="115"/>
      <c r="Q88" s="115">
        <v>0</v>
      </c>
      <c r="R88" s="115">
        <v>0</v>
      </c>
      <c r="S88" s="115"/>
      <c r="T88" s="115">
        <v>0</v>
      </c>
      <c r="U88" s="115">
        <v>0</v>
      </c>
      <c r="V88" s="115">
        <v>0</v>
      </c>
      <c r="W88" s="115">
        <v>0</v>
      </c>
      <c r="X88" s="115"/>
      <c r="Y88" s="115">
        <v>0</v>
      </c>
      <c r="Z88" s="115">
        <v>0</v>
      </c>
      <c r="AA88" s="115">
        <v>0</v>
      </c>
      <c r="AB88" s="115">
        <v>0</v>
      </c>
      <c r="AC88" s="115">
        <v>0</v>
      </c>
      <c r="AD88" s="115">
        <v>0</v>
      </c>
      <c r="AE88" s="115">
        <v>0</v>
      </c>
      <c r="AF88" s="115">
        <v>0</v>
      </c>
      <c r="AG88" s="115">
        <v>0</v>
      </c>
      <c r="AH88" s="115">
        <v>0</v>
      </c>
      <c r="AI88" s="115">
        <v>0</v>
      </c>
      <c r="AJ88" s="115">
        <v>0</v>
      </c>
      <c r="AK88" s="115">
        <v>0</v>
      </c>
      <c r="AL88" s="115">
        <v>0</v>
      </c>
      <c r="AM88" s="115"/>
      <c r="AN88" s="115">
        <v>0</v>
      </c>
      <c r="AO88" s="115">
        <v>0</v>
      </c>
      <c r="AP88" s="115">
        <v>0</v>
      </c>
      <c r="AQ88" s="115">
        <v>0</v>
      </c>
      <c r="AR88" s="115">
        <v>0</v>
      </c>
      <c r="AS88" s="115">
        <v>0</v>
      </c>
      <c r="AT88" s="115">
        <v>0</v>
      </c>
      <c r="AU88" s="115">
        <v>0</v>
      </c>
      <c r="AV88" s="115">
        <v>0</v>
      </c>
      <c r="AW88" s="115">
        <v>0</v>
      </c>
      <c r="AX88" s="115">
        <v>0</v>
      </c>
      <c r="AY88" s="115">
        <v>0</v>
      </c>
    </row>
    <row r="89" spans="1:52" x14ac:dyDescent="0.2">
      <c r="A89" s="114"/>
      <c r="B89" s="135">
        <v>45</v>
      </c>
      <c r="C89" s="114" t="s">
        <v>293</v>
      </c>
      <c r="D89" s="115">
        <v>0</v>
      </c>
      <c r="E89" s="115">
        <v>0</v>
      </c>
      <c r="F89" s="115">
        <v>0</v>
      </c>
      <c r="G89" s="115">
        <v>0</v>
      </c>
      <c r="H89" s="115">
        <v>0</v>
      </c>
      <c r="I89" s="115">
        <v>0</v>
      </c>
      <c r="J89" s="115">
        <v>0</v>
      </c>
      <c r="K89" s="115">
        <v>0</v>
      </c>
      <c r="L89" s="115">
        <v>0</v>
      </c>
      <c r="M89" s="115">
        <v>0</v>
      </c>
      <c r="N89" s="115">
        <v>0</v>
      </c>
      <c r="O89" s="115">
        <v>0</v>
      </c>
      <c r="P89" s="115">
        <v>0</v>
      </c>
      <c r="Q89" s="115">
        <v>0</v>
      </c>
      <c r="R89" s="115">
        <v>0</v>
      </c>
      <c r="S89" s="115">
        <v>0</v>
      </c>
      <c r="T89" s="115">
        <v>0</v>
      </c>
      <c r="U89" s="115">
        <v>0</v>
      </c>
      <c r="V89" s="115">
        <v>0</v>
      </c>
      <c r="W89" s="115">
        <v>0</v>
      </c>
      <c r="X89" s="115">
        <v>0</v>
      </c>
      <c r="Y89" s="115">
        <v>0</v>
      </c>
      <c r="Z89" s="115">
        <v>0</v>
      </c>
      <c r="AA89" s="115">
        <v>0</v>
      </c>
      <c r="AB89" s="115">
        <v>0</v>
      </c>
      <c r="AC89" s="115">
        <v>0</v>
      </c>
      <c r="AD89" s="115">
        <v>0</v>
      </c>
      <c r="AE89" s="115">
        <v>0</v>
      </c>
      <c r="AF89" s="115">
        <v>0</v>
      </c>
      <c r="AG89" s="115">
        <v>0</v>
      </c>
      <c r="AH89" s="115">
        <v>0</v>
      </c>
      <c r="AI89" s="115">
        <v>0</v>
      </c>
      <c r="AJ89" s="115">
        <v>0</v>
      </c>
      <c r="AK89" s="115">
        <v>0</v>
      </c>
      <c r="AL89" s="115">
        <v>0</v>
      </c>
      <c r="AM89" s="115">
        <v>0</v>
      </c>
      <c r="AN89" s="115">
        <v>0</v>
      </c>
      <c r="AO89" s="115">
        <v>0</v>
      </c>
      <c r="AP89" s="115">
        <v>0</v>
      </c>
      <c r="AQ89" s="115">
        <v>0</v>
      </c>
      <c r="AR89" s="115">
        <v>0</v>
      </c>
      <c r="AS89" s="115">
        <v>0</v>
      </c>
      <c r="AT89" s="115">
        <v>0</v>
      </c>
      <c r="AU89" s="115">
        <v>0</v>
      </c>
      <c r="AV89" s="115">
        <v>0</v>
      </c>
      <c r="AW89" s="115">
        <v>0</v>
      </c>
      <c r="AX89" s="115">
        <v>0</v>
      </c>
      <c r="AY89" s="115">
        <v>0</v>
      </c>
    </row>
    <row r="90" spans="1:52" x14ac:dyDescent="0.2">
      <c r="A90" s="114"/>
      <c r="B90" s="135">
        <v>46</v>
      </c>
      <c r="C90" s="114" t="s">
        <v>293</v>
      </c>
      <c r="D90" s="115">
        <v>0</v>
      </c>
      <c r="E90" s="115">
        <v>0</v>
      </c>
      <c r="F90" s="115">
        <v>0</v>
      </c>
      <c r="G90" s="115">
        <v>0</v>
      </c>
      <c r="H90" s="115">
        <v>0</v>
      </c>
      <c r="I90" s="115">
        <v>0</v>
      </c>
      <c r="J90" s="115">
        <v>0</v>
      </c>
      <c r="K90" s="115">
        <v>0</v>
      </c>
      <c r="L90" s="115">
        <v>0</v>
      </c>
      <c r="M90" s="115">
        <v>0</v>
      </c>
      <c r="N90" s="115">
        <v>0</v>
      </c>
      <c r="O90" s="115">
        <v>0</v>
      </c>
      <c r="P90" s="115">
        <v>0</v>
      </c>
      <c r="Q90" s="115">
        <v>0</v>
      </c>
      <c r="R90" s="115">
        <v>0</v>
      </c>
      <c r="S90" s="115">
        <v>0</v>
      </c>
      <c r="T90" s="115">
        <v>0</v>
      </c>
      <c r="U90" s="115">
        <v>0</v>
      </c>
      <c r="V90" s="115">
        <v>0</v>
      </c>
      <c r="W90" s="115">
        <v>0</v>
      </c>
      <c r="X90" s="115">
        <v>0</v>
      </c>
      <c r="Y90" s="115">
        <v>0</v>
      </c>
      <c r="Z90" s="115">
        <v>0</v>
      </c>
      <c r="AA90" s="115">
        <v>0</v>
      </c>
      <c r="AB90" s="115">
        <v>0</v>
      </c>
      <c r="AC90" s="115">
        <v>0</v>
      </c>
      <c r="AD90" s="115">
        <v>0</v>
      </c>
      <c r="AE90" s="115">
        <v>0</v>
      </c>
      <c r="AF90" s="115">
        <v>0</v>
      </c>
      <c r="AG90" s="115">
        <v>0</v>
      </c>
      <c r="AH90" s="115">
        <v>0</v>
      </c>
      <c r="AI90" s="115">
        <v>0</v>
      </c>
      <c r="AJ90" s="115">
        <v>0</v>
      </c>
      <c r="AK90" s="115">
        <v>0</v>
      </c>
      <c r="AL90" s="115">
        <v>0</v>
      </c>
      <c r="AM90" s="115">
        <v>0</v>
      </c>
      <c r="AN90" s="115">
        <v>0</v>
      </c>
      <c r="AO90" s="115">
        <v>0</v>
      </c>
      <c r="AP90" s="115">
        <v>0</v>
      </c>
      <c r="AQ90" s="115">
        <v>0</v>
      </c>
      <c r="AR90" s="115">
        <v>0</v>
      </c>
      <c r="AS90" s="115">
        <v>0</v>
      </c>
      <c r="AT90" s="115">
        <v>0</v>
      </c>
      <c r="AU90" s="115">
        <v>0</v>
      </c>
      <c r="AV90" s="115">
        <v>0</v>
      </c>
      <c r="AW90" s="115">
        <v>0</v>
      </c>
      <c r="AX90" s="115">
        <v>0</v>
      </c>
      <c r="AY90" s="115">
        <v>0</v>
      </c>
    </row>
    <row r="91" spans="1:52" x14ac:dyDescent="0.2">
      <c r="A91" s="114"/>
      <c r="B91" s="135">
        <v>47</v>
      </c>
      <c r="C91" s="114" t="s">
        <v>293</v>
      </c>
      <c r="D91" s="115">
        <v>0</v>
      </c>
      <c r="E91" s="115">
        <v>0</v>
      </c>
      <c r="F91" s="115">
        <v>0</v>
      </c>
      <c r="G91" s="115">
        <v>0</v>
      </c>
      <c r="H91" s="115">
        <v>0</v>
      </c>
      <c r="I91" s="115">
        <v>0</v>
      </c>
      <c r="J91" s="115">
        <v>0</v>
      </c>
      <c r="K91" s="115">
        <v>0</v>
      </c>
      <c r="L91" s="115">
        <v>0</v>
      </c>
      <c r="M91" s="115">
        <v>0</v>
      </c>
      <c r="N91" s="115">
        <v>0</v>
      </c>
      <c r="O91" s="115">
        <v>0</v>
      </c>
      <c r="P91" s="115">
        <v>0</v>
      </c>
      <c r="Q91" s="115">
        <v>0</v>
      </c>
      <c r="R91" s="115">
        <v>0</v>
      </c>
      <c r="S91" s="115">
        <v>0</v>
      </c>
      <c r="T91" s="115">
        <v>0</v>
      </c>
      <c r="U91" s="115">
        <v>0</v>
      </c>
      <c r="V91" s="115">
        <v>0</v>
      </c>
      <c r="W91" s="115">
        <v>0</v>
      </c>
      <c r="X91" s="115">
        <v>0</v>
      </c>
      <c r="Y91" s="115">
        <v>0</v>
      </c>
      <c r="Z91" s="115">
        <v>0</v>
      </c>
      <c r="AA91" s="115">
        <v>0</v>
      </c>
      <c r="AB91" s="115">
        <v>0</v>
      </c>
      <c r="AC91" s="115">
        <v>0</v>
      </c>
      <c r="AD91" s="115">
        <v>0</v>
      </c>
      <c r="AE91" s="115">
        <v>0</v>
      </c>
      <c r="AF91" s="115">
        <v>0</v>
      </c>
      <c r="AG91" s="115">
        <v>0</v>
      </c>
      <c r="AH91" s="115">
        <v>0</v>
      </c>
      <c r="AI91" s="115">
        <v>0</v>
      </c>
      <c r="AJ91" s="115">
        <v>0</v>
      </c>
      <c r="AK91" s="115">
        <v>0</v>
      </c>
      <c r="AL91" s="115">
        <v>0</v>
      </c>
      <c r="AM91" s="115">
        <v>0</v>
      </c>
      <c r="AN91" s="115">
        <v>0</v>
      </c>
      <c r="AO91" s="115">
        <v>0</v>
      </c>
      <c r="AP91" s="115">
        <v>0</v>
      </c>
      <c r="AQ91" s="115">
        <v>0</v>
      </c>
      <c r="AR91" s="115">
        <v>0</v>
      </c>
      <c r="AS91" s="115">
        <v>0</v>
      </c>
      <c r="AT91" s="115">
        <v>0</v>
      </c>
      <c r="AU91" s="115">
        <v>0</v>
      </c>
      <c r="AV91" s="115">
        <v>0</v>
      </c>
      <c r="AW91" s="115">
        <v>0</v>
      </c>
      <c r="AX91" s="115">
        <v>0</v>
      </c>
      <c r="AY91" s="115">
        <v>0</v>
      </c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50389.174102940276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771.02940879231937</v>
      </c>
      <c r="D95" s="115">
        <v>0</v>
      </c>
      <c r="E95" s="115">
        <v>0</v>
      </c>
      <c r="F95" s="115">
        <v>0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15">
        <v>0</v>
      </c>
      <c r="M95" s="115">
        <v>0</v>
      </c>
      <c r="N95" s="115">
        <v>0</v>
      </c>
      <c r="O95" s="115">
        <v>0</v>
      </c>
      <c r="P95" s="115">
        <v>483.88900964313825</v>
      </c>
      <c r="Q95" s="115">
        <v>0</v>
      </c>
      <c r="R95" s="115">
        <v>0</v>
      </c>
      <c r="S95" s="115">
        <v>437.2094087594628</v>
      </c>
      <c r="T95" s="115">
        <v>0</v>
      </c>
      <c r="U95" s="115">
        <v>0</v>
      </c>
      <c r="V95" s="115">
        <v>0</v>
      </c>
      <c r="W95" s="115">
        <v>0</v>
      </c>
      <c r="X95" s="115">
        <v>305.28375497977561</v>
      </c>
      <c r="Y95" s="115">
        <v>0</v>
      </c>
      <c r="Z95" s="115">
        <v>0</v>
      </c>
      <c r="AA95" s="115">
        <v>0</v>
      </c>
      <c r="AB95" s="115">
        <v>0</v>
      </c>
      <c r="AC95" s="115">
        <v>0</v>
      </c>
      <c r="AD95" s="115">
        <v>0</v>
      </c>
      <c r="AE95" s="115">
        <v>0</v>
      </c>
      <c r="AF95" s="115">
        <v>0</v>
      </c>
      <c r="AG95" s="115">
        <v>0</v>
      </c>
      <c r="AH95" s="115">
        <v>0</v>
      </c>
      <c r="AI95" s="115">
        <v>0</v>
      </c>
      <c r="AJ95" s="115">
        <v>0</v>
      </c>
      <c r="AK95" s="115">
        <v>0</v>
      </c>
      <c r="AL95" s="115">
        <v>0</v>
      </c>
      <c r="AM95" s="115">
        <v>4.3223143250520479</v>
      </c>
      <c r="AN95" s="115">
        <v>0</v>
      </c>
      <c r="AO95" s="115">
        <v>0</v>
      </c>
      <c r="AP95" s="115">
        <v>0</v>
      </c>
      <c r="AQ95" s="115">
        <v>0</v>
      </c>
      <c r="AR95" s="115">
        <v>0</v>
      </c>
      <c r="AS95" s="115">
        <v>0</v>
      </c>
      <c r="AT95" s="115">
        <v>0</v>
      </c>
      <c r="AU95" s="115">
        <v>0</v>
      </c>
      <c r="AV95" s="115">
        <v>0</v>
      </c>
      <c r="AW95" s="115">
        <v>0</v>
      </c>
      <c r="AX95" s="115">
        <v>0</v>
      </c>
      <c r="AY95" s="115">
        <v>0</v>
      </c>
    </row>
    <row r="96" spans="1:52" x14ac:dyDescent="0.2">
      <c r="A96" s="114"/>
      <c r="B96" s="125">
        <v>2</v>
      </c>
      <c r="C96" s="115">
        <v>771.02940879231937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771.02940879231937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771.02940879231937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241.69934310257713</v>
      </c>
      <c r="D99" s="130">
        <v>172.02940879231937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172.02940879231937</v>
      </c>
    </row>
    <row r="100" spans="1:52" x14ac:dyDescent="0.2">
      <c r="A100" s="136" t="s">
        <v>133</v>
      </c>
      <c r="B100" s="124">
        <v>1</v>
      </c>
      <c r="C100" s="111">
        <v>345.9747347145024</v>
      </c>
      <c r="D100" s="111">
        <v>246.03999265486186</v>
      </c>
      <c r="E100" s="111">
        <v>240.62892393811359</v>
      </c>
      <c r="F100" s="111">
        <v>272.26129811993258</v>
      </c>
      <c r="G100" s="111">
        <v>282.42249860998061</v>
      </c>
      <c r="H100" s="111">
        <v>280.30727092652677</v>
      </c>
      <c r="I100" s="111">
        <v>285.39498286243645</v>
      </c>
      <c r="J100" s="111">
        <v>301.45169888417064</v>
      </c>
      <c r="K100" s="111">
        <v>299.30507189207839</v>
      </c>
      <c r="L100" s="111">
        <v>300.38400411123251</v>
      </c>
      <c r="M100" s="111">
        <v>300.11420772345906</v>
      </c>
      <c r="N100" s="111">
        <v>284.17227605102812</v>
      </c>
      <c r="O100" s="111">
        <v>159.33849925946998</v>
      </c>
      <c r="P100" s="111">
        <v>0</v>
      </c>
      <c r="Q100" s="111">
        <v>285.72334504114178</v>
      </c>
      <c r="R100" s="111">
        <v>308.65889837579482</v>
      </c>
      <c r="S100" s="111">
        <v>0</v>
      </c>
      <c r="T100" s="111">
        <v>317.16627160896485</v>
      </c>
      <c r="U100" s="111">
        <v>108.10182494361754</v>
      </c>
      <c r="V100" s="111">
        <v>85.398873983171882</v>
      </c>
      <c r="W100" s="111">
        <v>248.73324459610785</v>
      </c>
      <c r="X100" s="111">
        <v>0</v>
      </c>
      <c r="Y100" s="111">
        <v>202.0667844740629</v>
      </c>
      <c r="Z100" s="111">
        <v>265.12362114525138</v>
      </c>
      <c r="AA100" s="111">
        <v>110.93188799668013</v>
      </c>
      <c r="AB100" s="111">
        <v>96.70849572361584</v>
      </c>
      <c r="AC100" s="111">
        <v>255.22604073952556</v>
      </c>
      <c r="AD100" s="111">
        <v>249.13853347644303</v>
      </c>
      <c r="AE100" s="111">
        <v>234.92827686285784</v>
      </c>
      <c r="AF100" s="111">
        <v>263.04667450054552</v>
      </c>
      <c r="AG100" s="111">
        <v>296.98662984984344</v>
      </c>
      <c r="AH100" s="111">
        <v>350.87502945008112</v>
      </c>
      <c r="AI100" s="111">
        <v>211.81058278473404</v>
      </c>
      <c r="AJ100" s="111">
        <v>57.746136119386961</v>
      </c>
      <c r="AK100" s="111">
        <v>0</v>
      </c>
      <c r="AL100" s="111">
        <v>0</v>
      </c>
      <c r="AM100" s="111">
        <v>345.9747347145024</v>
      </c>
      <c r="AN100" s="111">
        <v>281.03766940523093</v>
      </c>
      <c r="AO100" s="111">
        <v>107.33964628709447</v>
      </c>
      <c r="AP100" s="111">
        <v>76.280127464056136</v>
      </c>
      <c r="AQ100" s="111">
        <v>68.220608641018885</v>
      </c>
      <c r="AR100" s="111">
        <v>210.03182996077578</v>
      </c>
      <c r="AS100" s="111">
        <v>203.24111657262904</v>
      </c>
      <c r="AT100" s="111">
        <v>247.4504031844823</v>
      </c>
      <c r="AU100" s="111">
        <v>192.6596897963351</v>
      </c>
      <c r="AV100" s="111">
        <v>252.59524313098814</v>
      </c>
      <c r="AW100" s="111">
        <v>287.53079646564152</v>
      </c>
      <c r="AX100" s="111">
        <v>296.14097907317733</v>
      </c>
      <c r="AY100" s="111">
        <v>339.46430944653235</v>
      </c>
    </row>
    <row r="101" spans="1:52" x14ac:dyDescent="0.2">
      <c r="A101" s="114"/>
      <c r="B101" s="124">
        <v>2</v>
      </c>
      <c r="C101" s="111">
        <v>345.9747347145024</v>
      </c>
      <c r="D101" s="111">
        <v>0</v>
      </c>
      <c r="E101" s="111">
        <v>0</v>
      </c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384.41637190500262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52.437089439114402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273.54653117288018</v>
      </c>
      <c r="D109" s="111">
        <v>273.54653117288018</v>
      </c>
      <c r="E109" s="111">
        <v>273.54653117288018</v>
      </c>
      <c r="F109" s="111">
        <v>285.634686734642</v>
      </c>
      <c r="G109" s="111">
        <v>278.11160039976244</v>
      </c>
      <c r="H109" s="111">
        <v>278.11160039976244</v>
      </c>
      <c r="I109" s="111">
        <v>278.11160039976244</v>
      </c>
      <c r="J109" s="111">
        <v>278.11160039976244</v>
      </c>
      <c r="K109" s="111">
        <v>273.54653117288018</v>
      </c>
      <c r="L109" s="111">
        <v>273.54653117288024</v>
      </c>
      <c r="M109" s="111">
        <v>273.54653117288018</v>
      </c>
      <c r="N109" s="111">
        <v>275.91468673464198</v>
      </c>
      <c r="O109" s="111">
        <v>278.11160039976244</v>
      </c>
      <c r="P109" s="111">
        <v>308.88311272756766</v>
      </c>
      <c r="Q109" s="111">
        <v>253.18506056754529</v>
      </c>
      <c r="R109" s="111">
        <v>286.12287996192578</v>
      </c>
      <c r="S109" s="111">
        <v>283.77236196854159</v>
      </c>
      <c r="T109" s="111">
        <v>261.39424494514395</v>
      </c>
      <c r="U109" s="111">
        <v>286.12287996192578</v>
      </c>
      <c r="V109" s="111">
        <v>331.65236196854158</v>
      </c>
      <c r="W109" s="111">
        <v>317.2614679870843</v>
      </c>
      <c r="X109" s="111">
        <v>273.54653117288018</v>
      </c>
      <c r="Y109" s="111">
        <v>260.5690636927016</v>
      </c>
      <c r="Z109" s="111">
        <v>286.12287996192578</v>
      </c>
      <c r="AA109" s="111">
        <v>282.67666962664475</v>
      </c>
      <c r="AB109" s="111">
        <v>317.01153872049349</v>
      </c>
      <c r="AC109" s="111">
        <v>315.64613137744942</v>
      </c>
      <c r="AD109" s="111">
        <v>282.67666962664475</v>
      </c>
      <c r="AE109" s="111">
        <v>278.11160039976244</v>
      </c>
      <c r="AF109" s="111">
        <v>278.11160039976238</v>
      </c>
      <c r="AG109" s="111">
        <v>278.11160039976244</v>
      </c>
      <c r="AH109" s="111">
        <v>278.11160039976244</v>
      </c>
      <c r="AI109" s="111">
        <v>278.11160039976244</v>
      </c>
      <c r="AJ109" s="111">
        <v>310.68311272756767</v>
      </c>
      <c r="AK109" s="111">
        <v>328.75175283636793</v>
      </c>
      <c r="AL109" s="111">
        <v>336.7280377255841</v>
      </c>
      <c r="AM109" s="111">
        <v>349.68352210785918</v>
      </c>
      <c r="AN109" s="111">
        <v>283.26701930132481</v>
      </c>
      <c r="AO109" s="111">
        <v>296.22564416126454</v>
      </c>
      <c r="AP109" s="111">
        <v>332.13067237350151</v>
      </c>
      <c r="AQ109" s="111">
        <v>332.65786473441813</v>
      </c>
      <c r="AR109" s="111">
        <v>324.63016247036967</v>
      </c>
      <c r="AS109" s="111">
        <v>300.7907133881468</v>
      </c>
      <c r="AT109" s="111">
        <v>300.79071338814686</v>
      </c>
      <c r="AU109" s="111">
        <v>300.7907133881468</v>
      </c>
      <c r="AV109" s="111">
        <v>300.79071338814691</v>
      </c>
      <c r="AW109" s="111">
        <v>289.49998537804288</v>
      </c>
      <c r="AX109" s="111">
        <v>281.86158840975759</v>
      </c>
      <c r="AY109" s="111">
        <v>282.67666962664475</v>
      </c>
    </row>
    <row r="110" spans="1:52" x14ac:dyDescent="0.2">
      <c r="A110" s="114"/>
      <c r="B110" s="124">
        <v>2</v>
      </c>
      <c r="C110" s="111">
        <v>278.11160039976244</v>
      </c>
      <c r="D110" s="111">
        <v>273.54653117288018</v>
      </c>
      <c r="E110" s="111">
        <v>273.54653117288018</v>
      </c>
      <c r="F110" s="111">
        <v>273.54653117288018</v>
      </c>
      <c r="G110" s="111">
        <v>285.634686734642</v>
      </c>
      <c r="H110" s="111">
        <v>278.11160039976244</v>
      </c>
      <c r="I110" s="111">
        <v>278.11160039976244</v>
      </c>
      <c r="J110" s="111">
        <v>278.11160039976244</v>
      </c>
      <c r="K110" s="111">
        <v>278.11160039976244</v>
      </c>
      <c r="L110" s="111">
        <v>273.54653117288018</v>
      </c>
      <c r="M110" s="111">
        <v>273.54653117288024</v>
      </c>
      <c r="N110" s="111">
        <v>273.54653117288018</v>
      </c>
      <c r="O110" s="111">
        <v>275.91468673464198</v>
      </c>
      <c r="P110" s="111">
        <v>278.11160039976244</v>
      </c>
      <c r="Q110" s="111">
        <v>308.88311272756766</v>
      </c>
      <c r="R110" s="111">
        <v>253.18506056754529</v>
      </c>
      <c r="S110" s="111">
        <v>286.12287996192578</v>
      </c>
      <c r="T110" s="111">
        <v>283.77236196854159</v>
      </c>
      <c r="U110" s="111">
        <v>261.39424494514395</v>
      </c>
      <c r="V110" s="111">
        <v>286.12287996192578</v>
      </c>
      <c r="W110" s="111">
        <v>331.65236196854158</v>
      </c>
      <c r="X110" s="111">
        <v>317.2614679870843</v>
      </c>
      <c r="Y110" s="111">
        <v>273.54653117288018</v>
      </c>
      <c r="Z110" s="111">
        <v>260.5690636927016</v>
      </c>
      <c r="AA110" s="111">
        <v>286.12287996192578</v>
      </c>
      <c r="AB110" s="111">
        <v>282.67666962664475</v>
      </c>
      <c r="AC110" s="111">
        <v>317.01153872049349</v>
      </c>
      <c r="AD110" s="111">
        <v>315.64613137744942</v>
      </c>
      <c r="AE110" s="111">
        <v>282.67666962664475</v>
      </c>
      <c r="AF110" s="111">
        <v>278.11160039976244</v>
      </c>
      <c r="AG110" s="111">
        <v>278.11160039976238</v>
      </c>
      <c r="AH110" s="111">
        <v>278.11160039976244</v>
      </c>
      <c r="AI110" s="111">
        <v>278.11160039976244</v>
      </c>
      <c r="AJ110" s="111">
        <v>278.11160039976244</v>
      </c>
      <c r="AK110" s="111">
        <v>310.68311272756767</v>
      </c>
      <c r="AL110" s="111">
        <v>328.75175283636793</v>
      </c>
      <c r="AM110" s="111">
        <v>336.7280377255841</v>
      </c>
      <c r="AN110" s="111">
        <v>349.68352210785918</v>
      </c>
      <c r="AO110" s="111">
        <v>283.26701930132481</v>
      </c>
      <c r="AP110" s="111">
        <v>296.22564416126454</v>
      </c>
      <c r="AQ110" s="111">
        <v>332.13067237350151</v>
      </c>
      <c r="AR110" s="111">
        <v>332.65786473441813</v>
      </c>
      <c r="AS110" s="111">
        <v>324.63016247036967</v>
      </c>
      <c r="AT110" s="111">
        <v>300.7907133881468</v>
      </c>
      <c r="AU110" s="111">
        <v>300.79071338814686</v>
      </c>
      <c r="AV110" s="111">
        <v>300.7907133881468</v>
      </c>
      <c r="AW110" s="111">
        <v>300.79071338814691</v>
      </c>
      <c r="AX110" s="111">
        <v>289.49998537804288</v>
      </c>
      <c r="AY110" s="111">
        <v>281.86158840975759</v>
      </c>
    </row>
    <row r="111" spans="1:52" x14ac:dyDescent="0.2">
      <c r="A111" s="114"/>
      <c r="B111" s="124">
        <v>3</v>
      </c>
      <c r="C111" s="111">
        <v>278.11160039976238</v>
      </c>
      <c r="D111" s="111">
        <v>278.11160039976244</v>
      </c>
      <c r="E111" s="111">
        <v>273.54653117288018</v>
      </c>
      <c r="F111" s="111">
        <v>273.54653117288018</v>
      </c>
      <c r="G111" s="111">
        <v>273.54653117288018</v>
      </c>
      <c r="H111" s="111">
        <v>285.634686734642</v>
      </c>
      <c r="I111" s="111">
        <v>278.11160039976244</v>
      </c>
      <c r="J111" s="111">
        <v>278.11160039976244</v>
      </c>
      <c r="K111" s="111">
        <v>278.11160039976244</v>
      </c>
      <c r="L111" s="111">
        <v>278.11160039976244</v>
      </c>
      <c r="M111" s="111">
        <v>273.54653117288018</v>
      </c>
      <c r="N111" s="111">
        <v>273.54653117288024</v>
      </c>
      <c r="O111" s="111">
        <v>273.54653117288018</v>
      </c>
      <c r="P111" s="111">
        <v>275.91468673464198</v>
      </c>
      <c r="Q111" s="111">
        <v>278.11160039976244</v>
      </c>
      <c r="R111" s="111">
        <v>308.88311272756766</v>
      </c>
      <c r="S111" s="111">
        <v>253.18506056754529</v>
      </c>
      <c r="T111" s="111">
        <v>286.12287996192578</v>
      </c>
      <c r="U111" s="111">
        <v>283.77236196854159</v>
      </c>
      <c r="V111" s="111">
        <v>261.39424494514395</v>
      </c>
      <c r="W111" s="111">
        <v>286.12287996192578</v>
      </c>
      <c r="X111" s="111">
        <v>331.65236196854158</v>
      </c>
      <c r="Y111" s="111">
        <v>317.2614679870843</v>
      </c>
      <c r="Z111" s="111">
        <v>273.54653117288018</v>
      </c>
      <c r="AA111" s="111">
        <v>260.5690636927016</v>
      </c>
      <c r="AB111" s="111">
        <v>286.12287996192578</v>
      </c>
      <c r="AC111" s="111">
        <v>282.67666962664475</v>
      </c>
      <c r="AD111" s="111">
        <v>317.01153872049349</v>
      </c>
      <c r="AE111" s="111">
        <v>315.64613137744942</v>
      </c>
      <c r="AF111" s="111">
        <v>282.67666962664475</v>
      </c>
      <c r="AG111" s="111">
        <v>278.11160039976244</v>
      </c>
      <c r="AH111" s="111">
        <v>278.11160039976238</v>
      </c>
      <c r="AI111" s="111">
        <v>278.11160039976244</v>
      </c>
      <c r="AJ111" s="111">
        <v>278.11160039976244</v>
      </c>
      <c r="AK111" s="111">
        <v>278.11160039976244</v>
      </c>
      <c r="AL111" s="111">
        <v>310.68311272756767</v>
      </c>
      <c r="AM111" s="111">
        <v>328.75175283636793</v>
      </c>
      <c r="AN111" s="111">
        <v>336.7280377255841</v>
      </c>
      <c r="AO111" s="111">
        <v>349.68352210785918</v>
      </c>
      <c r="AP111" s="111">
        <v>283.26701930132481</v>
      </c>
      <c r="AQ111" s="111">
        <v>296.22564416126454</v>
      </c>
      <c r="AR111" s="111">
        <v>332.13067237350151</v>
      </c>
      <c r="AS111" s="111">
        <v>332.65786473441813</v>
      </c>
      <c r="AT111" s="111">
        <v>324.63016247036967</v>
      </c>
      <c r="AU111" s="111">
        <v>300.7907133881468</v>
      </c>
      <c r="AV111" s="111">
        <v>300.79071338814686</v>
      </c>
      <c r="AW111" s="111">
        <v>300.7907133881468</v>
      </c>
      <c r="AX111" s="111">
        <v>300.79071338814691</v>
      </c>
      <c r="AY111" s="111">
        <v>289.49998537804288</v>
      </c>
    </row>
    <row r="112" spans="1:52" x14ac:dyDescent="0.2">
      <c r="A112" s="114"/>
      <c r="B112" s="125">
        <v>4</v>
      </c>
      <c r="C112" s="111">
        <v>335.8491268344024</v>
      </c>
      <c r="D112" s="111">
        <v>278.11160039976238</v>
      </c>
      <c r="E112" s="111">
        <v>278.11160039976244</v>
      </c>
      <c r="F112" s="111">
        <v>273.54653117288018</v>
      </c>
      <c r="G112" s="111">
        <v>273.54653117288018</v>
      </c>
      <c r="H112" s="111">
        <v>273.54653117288018</v>
      </c>
      <c r="I112" s="111">
        <v>285.634686734642</v>
      </c>
      <c r="J112" s="111">
        <v>278.11160039976244</v>
      </c>
      <c r="K112" s="111">
        <v>278.11160039976244</v>
      </c>
      <c r="L112" s="111">
        <v>278.11160039976244</v>
      </c>
      <c r="M112" s="111">
        <v>278.11160039976244</v>
      </c>
      <c r="N112" s="111">
        <v>273.54653117288018</v>
      </c>
      <c r="O112" s="111">
        <v>273.54653117288024</v>
      </c>
      <c r="P112" s="111">
        <v>246.61792067519389</v>
      </c>
      <c r="Q112" s="111">
        <v>275.91468673464198</v>
      </c>
      <c r="R112" s="111">
        <v>266.63692631971287</v>
      </c>
      <c r="S112" s="111">
        <v>287.52003904728053</v>
      </c>
      <c r="T112" s="111">
        <v>253.18506056754529</v>
      </c>
      <c r="U112" s="111">
        <v>218.09556613331779</v>
      </c>
      <c r="V112" s="111">
        <v>272.86792810185938</v>
      </c>
      <c r="W112" s="111">
        <v>261.39424494514395</v>
      </c>
      <c r="X112" s="111">
        <v>286.12287996192578</v>
      </c>
      <c r="Y112" s="111">
        <v>331.65236196854158</v>
      </c>
      <c r="Z112" s="111">
        <v>317.2614679870843</v>
      </c>
      <c r="AA112" s="111">
        <v>273.54653117288018</v>
      </c>
      <c r="AB112" s="111">
        <v>260.5690636927016</v>
      </c>
      <c r="AC112" s="111">
        <v>259.01367716563794</v>
      </c>
      <c r="AD112" s="111">
        <v>282.67666962664475</v>
      </c>
      <c r="AE112" s="111">
        <v>317.01153872049349</v>
      </c>
      <c r="AF112" s="111">
        <v>315.64613137744942</v>
      </c>
      <c r="AG112" s="111">
        <v>282.67666962664475</v>
      </c>
      <c r="AH112" s="111">
        <v>269.72572268528467</v>
      </c>
      <c r="AI112" s="111">
        <v>227.83732308504705</v>
      </c>
      <c r="AJ112" s="111">
        <v>248.94892348480948</v>
      </c>
      <c r="AK112" s="111">
        <v>211.74221333861226</v>
      </c>
      <c r="AL112" s="111">
        <v>81.150862777928694</v>
      </c>
      <c r="AM112" s="111">
        <v>60.833975505496369</v>
      </c>
      <c r="AN112" s="111">
        <v>103.5857283418643</v>
      </c>
      <c r="AO112" s="111">
        <v>118.3137660674484</v>
      </c>
      <c r="AP112" s="111">
        <v>163.99728817530757</v>
      </c>
      <c r="AQ112" s="111">
        <v>167.26430747663238</v>
      </c>
      <c r="AR112" s="111">
        <v>129.48995163789692</v>
      </c>
      <c r="AS112" s="111">
        <v>167.62062401139843</v>
      </c>
      <c r="AT112" s="111">
        <v>155.27848874581656</v>
      </c>
      <c r="AU112" s="111">
        <v>233.90865121618623</v>
      </c>
      <c r="AV112" s="111">
        <v>236.69936460433303</v>
      </c>
      <c r="AW112" s="111">
        <v>255.49007799247988</v>
      </c>
      <c r="AX112" s="111">
        <v>261.28079138062668</v>
      </c>
      <c r="AY112" s="111">
        <v>236.07150476877359</v>
      </c>
    </row>
    <row r="113" spans="1:52" x14ac:dyDescent="0.2">
      <c r="A113" s="114"/>
      <c r="B113" s="125">
        <v>5</v>
      </c>
      <c r="C113" s="111">
        <v>96.276249351326328</v>
      </c>
      <c r="D113" s="111">
        <v>130.94079323940707</v>
      </c>
      <c r="E113" s="111">
        <v>73.760511395472378</v>
      </c>
      <c r="F113" s="111">
        <v>76.399974961438204</v>
      </c>
      <c r="G113" s="111">
        <v>61.673705244507907</v>
      </c>
      <c r="H113" s="111">
        <v>59.223863701079495</v>
      </c>
      <c r="I113" s="111">
        <v>49.571082538287307</v>
      </c>
      <c r="J113" s="111">
        <v>66.398948556334346</v>
      </c>
      <c r="K113" s="111">
        <v>73.110644775308444</v>
      </c>
      <c r="L113" s="111">
        <v>76.59678178303642</v>
      </c>
      <c r="M113" s="111">
        <v>68.275227610126834</v>
      </c>
      <c r="N113" s="111">
        <v>74.208997030342374</v>
      </c>
      <c r="O113" s="111">
        <v>23.524858329433492</v>
      </c>
      <c r="P113" s="111">
        <v>0</v>
      </c>
      <c r="Q113" s="111">
        <v>8.6106391853084823</v>
      </c>
      <c r="R113" s="111">
        <v>0</v>
      </c>
      <c r="S113" s="111">
        <v>0</v>
      </c>
      <c r="T113" s="111">
        <v>8.7876256038466991</v>
      </c>
      <c r="U113" s="111">
        <v>0</v>
      </c>
      <c r="V113" s="111">
        <v>0</v>
      </c>
      <c r="W113" s="111">
        <v>35.132849580750872</v>
      </c>
      <c r="X113" s="111">
        <v>38.527094525894825</v>
      </c>
      <c r="Y113" s="111">
        <v>25.332235360697272</v>
      </c>
      <c r="Z113" s="111">
        <v>26.950493669908138</v>
      </c>
      <c r="AA113" s="111">
        <v>24.977752435315097</v>
      </c>
      <c r="AB113" s="111">
        <v>3.321733511010553</v>
      </c>
      <c r="AC113" s="111">
        <v>0</v>
      </c>
      <c r="AD113" s="111">
        <v>7.7860105069773633</v>
      </c>
      <c r="AE113" s="111">
        <v>26.56133634744533</v>
      </c>
      <c r="AF113" s="111">
        <v>37.342877030488467</v>
      </c>
      <c r="AG113" s="111">
        <v>40.937452658877497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0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0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0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1519.7029509604456</v>
      </c>
      <c r="D122" s="111">
        <v>1519.7029509604456</v>
      </c>
      <c r="E122" s="111">
        <v>1519.7029509604456</v>
      </c>
      <c r="F122" s="111">
        <v>1545.0644466653468</v>
      </c>
      <c r="G122" s="111">
        <v>1545.0644466653468</v>
      </c>
      <c r="H122" s="111">
        <v>1545.0644466653468</v>
      </c>
      <c r="I122" s="111">
        <v>1545.0644466653471</v>
      </c>
      <c r="J122" s="111">
        <v>1519.7029509604456</v>
      </c>
      <c r="K122" s="111">
        <v>1519.7029509604456</v>
      </c>
      <c r="L122" s="111">
        <v>1519.7029509604456</v>
      </c>
      <c r="M122" s="111">
        <v>1519.7029509604456</v>
      </c>
      <c r="N122" s="111">
        <v>1545.0644466653471</v>
      </c>
      <c r="O122" s="111">
        <v>1545.0644466653468</v>
      </c>
      <c r="P122" s="111">
        <v>1291.4494896163324</v>
      </c>
      <c r="Q122" s="111">
        <v>1589.571555344032</v>
      </c>
      <c r="R122" s="111">
        <v>1545.0644466653468</v>
      </c>
      <c r="S122" s="111">
        <v>1291.4494896163324</v>
      </c>
      <c r="T122" s="111">
        <v>1589.571555344032</v>
      </c>
      <c r="U122" s="111">
        <v>1545.0644466653471</v>
      </c>
      <c r="V122" s="111">
        <v>1519.7029509604456</v>
      </c>
      <c r="W122" s="111">
        <v>1519.7029509604456</v>
      </c>
      <c r="X122" s="111">
        <v>1291.4494896163324</v>
      </c>
      <c r="Y122" s="111">
        <v>1589.571555344032</v>
      </c>
      <c r="Z122" s="111">
        <v>1570.4259423702488</v>
      </c>
      <c r="AA122" s="111">
        <v>1570.4259423702488</v>
      </c>
      <c r="AB122" s="111">
        <v>1570.4259423702488</v>
      </c>
      <c r="AC122" s="111">
        <v>1570.4259423702488</v>
      </c>
      <c r="AD122" s="111">
        <v>1545.0644466653471</v>
      </c>
      <c r="AE122" s="111">
        <v>1545.0644466653468</v>
      </c>
      <c r="AF122" s="111">
        <v>1545.0644466653468</v>
      </c>
      <c r="AG122" s="111">
        <v>1545.0644466653468</v>
      </c>
      <c r="AH122" s="111">
        <v>1545.0644466653468</v>
      </c>
      <c r="AI122" s="111">
        <v>1545.0644466653471</v>
      </c>
      <c r="AJ122" s="111">
        <v>1545.0644466653471</v>
      </c>
      <c r="AK122" s="111">
        <v>1545.0644466653468</v>
      </c>
      <c r="AL122" s="111">
        <v>1519.7029509604456</v>
      </c>
      <c r="AM122" s="111">
        <v>1519.7029509604456</v>
      </c>
      <c r="AN122" s="111">
        <v>1645.6980231181365</v>
      </c>
      <c r="AO122" s="111">
        <v>1645.6980231181365</v>
      </c>
      <c r="AP122" s="111">
        <v>1671.0595188230379</v>
      </c>
      <c r="AQ122" s="111">
        <v>1671.0595188230379</v>
      </c>
      <c r="AR122" s="111">
        <v>1671.0595188230379</v>
      </c>
      <c r="AS122" s="111">
        <v>1671.0595188230382</v>
      </c>
      <c r="AT122" s="111">
        <v>1671.0595188230382</v>
      </c>
      <c r="AU122" s="111">
        <v>1671.0595188230382</v>
      </c>
      <c r="AV122" s="111">
        <v>1545.0644466653471</v>
      </c>
      <c r="AW122" s="111">
        <v>1545.0644466653468</v>
      </c>
      <c r="AX122" s="111">
        <v>1570.4259423702488</v>
      </c>
      <c r="AY122" s="111">
        <v>1570.4259423702488</v>
      </c>
    </row>
    <row r="123" spans="1:52" x14ac:dyDescent="0.2">
      <c r="A123" s="114"/>
      <c r="B123" s="124">
        <v>2</v>
      </c>
      <c r="C123" s="111">
        <v>0</v>
      </c>
      <c r="D123" s="111">
        <v>0</v>
      </c>
      <c r="E123" s="111">
        <v>67.156419787565483</v>
      </c>
      <c r="F123" s="111">
        <v>0</v>
      </c>
      <c r="G123" s="111">
        <v>0</v>
      </c>
      <c r="H123" s="111">
        <v>0</v>
      </c>
      <c r="I123" s="111">
        <v>0</v>
      </c>
      <c r="J123" s="111">
        <v>-2.2737367544323206E-13</v>
      </c>
      <c r="K123" s="111">
        <v>0</v>
      </c>
      <c r="L123" s="111">
        <v>0</v>
      </c>
      <c r="M123" s="111">
        <v>13.156419787565483</v>
      </c>
      <c r="N123" s="111">
        <v>0</v>
      </c>
      <c r="O123" s="111">
        <v>170.95284626558464</v>
      </c>
      <c r="P123" s="111">
        <v>115.13418020336394</v>
      </c>
      <c r="Q123" s="111">
        <v>0</v>
      </c>
      <c r="R123" s="111">
        <v>31.448675382106558</v>
      </c>
      <c r="S123" s="111">
        <v>160.74076007891176</v>
      </c>
      <c r="T123" s="111">
        <v>0</v>
      </c>
      <c r="U123" s="111">
        <v>297.44867538210633</v>
      </c>
      <c r="V123" s="111">
        <v>242.86076007891165</v>
      </c>
      <c r="W123" s="111">
        <v>0</v>
      </c>
      <c r="X123" s="111">
        <v>156.15641978756548</v>
      </c>
      <c r="Y123" s="111">
        <v>0</v>
      </c>
      <c r="Z123" s="111">
        <v>0</v>
      </c>
      <c r="AA123" s="111">
        <v>190.74927274360402</v>
      </c>
      <c r="AB123" s="111">
        <v>183.16367639335931</v>
      </c>
      <c r="AC123" s="111">
        <v>0</v>
      </c>
      <c r="AD123" s="111">
        <v>0</v>
      </c>
      <c r="AE123" s="111">
        <v>-2.2737367544323206E-13</v>
      </c>
      <c r="AF123" s="111">
        <v>0</v>
      </c>
      <c r="AG123" s="111">
        <v>0</v>
      </c>
      <c r="AH123" s="111">
        <v>0</v>
      </c>
      <c r="AI123" s="111">
        <v>180.95284626558441</v>
      </c>
      <c r="AJ123" s="111">
        <v>281.33418020336387</v>
      </c>
      <c r="AK123" s="111">
        <v>325.64687403234279</v>
      </c>
      <c r="AL123" s="111">
        <v>422.98328297210537</v>
      </c>
      <c r="AM123" s="111">
        <v>54.002711824692142</v>
      </c>
      <c r="AN123" s="111">
        <v>0</v>
      </c>
      <c r="AO123" s="111">
        <v>199.47237895687203</v>
      </c>
      <c r="AP123" s="111">
        <v>177.03972970150721</v>
      </c>
      <c r="AQ123" s="111">
        <v>132.44138379012702</v>
      </c>
      <c r="AR123" s="111">
        <v>0</v>
      </c>
      <c r="AS123" s="111">
        <v>0</v>
      </c>
      <c r="AT123" s="111">
        <v>-2.2737367544323206E-13</v>
      </c>
      <c r="AU123" s="111">
        <v>0</v>
      </c>
      <c r="AV123" s="111">
        <v>63.268805434891419</v>
      </c>
      <c r="AW123" s="111">
        <v>20.833266722195049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1.864464138634503E-13</v>
      </c>
      <c r="L124" s="111">
        <v>0</v>
      </c>
      <c r="M124" s="111">
        <v>0</v>
      </c>
      <c r="N124" s="111">
        <v>0</v>
      </c>
      <c r="O124" s="111">
        <v>0</v>
      </c>
      <c r="P124" s="111">
        <v>-2.2737367544323206E-13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1.864464138634503E-13</v>
      </c>
      <c r="AG124" s="111">
        <v>0</v>
      </c>
      <c r="AH124" s="111">
        <v>0</v>
      </c>
      <c r="AI124" s="111">
        <v>0</v>
      </c>
      <c r="AJ124" s="111">
        <v>0</v>
      </c>
      <c r="AK124" s="111">
        <v>-2.2737367544323206E-13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1.864464138634503E-13</v>
      </c>
      <c r="AV124" s="111">
        <v>-2.2737367544323206E-13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1.864464138634503E-13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1.864464138634503E-13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1.864464138634503E-13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0.18</v>
      </c>
      <c r="D172" s="139">
        <v>0.18</v>
      </c>
      <c r="E172" s="139">
        <v>0.18</v>
      </c>
      <c r="F172" s="139">
        <v>0.18</v>
      </c>
      <c r="G172" s="139">
        <v>0.18</v>
      </c>
      <c r="H172" s="139">
        <v>0.18</v>
      </c>
      <c r="I172" s="139">
        <v>0.18</v>
      </c>
      <c r="J172" s="139">
        <v>0.18</v>
      </c>
      <c r="K172" s="139">
        <v>0.18</v>
      </c>
      <c r="L172" s="139">
        <v>0.18</v>
      </c>
      <c r="M172" s="139">
        <v>0.18</v>
      </c>
      <c r="N172" s="139">
        <v>0.18</v>
      </c>
      <c r="O172" s="139">
        <v>0.18</v>
      </c>
      <c r="P172" s="139">
        <v>0.18</v>
      </c>
      <c r="Q172" s="139">
        <v>0.18</v>
      </c>
      <c r="R172" s="139">
        <v>0.18</v>
      </c>
      <c r="S172" s="139">
        <v>0.18</v>
      </c>
      <c r="T172" s="139">
        <v>0.18</v>
      </c>
      <c r="U172" s="139">
        <v>0.18</v>
      </c>
      <c r="V172" s="139">
        <v>0.18</v>
      </c>
      <c r="W172" s="139">
        <v>0.18</v>
      </c>
      <c r="X172" s="139">
        <v>0.18</v>
      </c>
      <c r="Y172" s="139">
        <v>0.18</v>
      </c>
      <c r="Z172" s="139">
        <v>0.18</v>
      </c>
      <c r="AA172" s="139">
        <v>0.18</v>
      </c>
      <c r="AB172" s="139">
        <v>0.18</v>
      </c>
      <c r="AC172" s="139">
        <v>0.18</v>
      </c>
      <c r="AD172" s="139">
        <v>0.18</v>
      </c>
      <c r="AE172" s="139">
        <v>0.18</v>
      </c>
      <c r="AF172" s="139">
        <v>0.18</v>
      </c>
      <c r="AG172" s="139">
        <v>0.18</v>
      </c>
      <c r="AH172" s="139">
        <v>0.18</v>
      </c>
      <c r="AI172" s="139">
        <v>0.18</v>
      </c>
      <c r="AJ172" s="139">
        <v>0.18</v>
      </c>
      <c r="AK172" s="139">
        <v>0.18</v>
      </c>
      <c r="AL172" s="139">
        <v>0.18</v>
      </c>
      <c r="AM172" s="139">
        <v>0.18</v>
      </c>
      <c r="AN172" s="139">
        <v>0.18</v>
      </c>
      <c r="AO172" s="139">
        <v>0.18</v>
      </c>
      <c r="AP172" s="139">
        <v>0.18</v>
      </c>
      <c r="AQ172" s="139">
        <v>0.18</v>
      </c>
      <c r="AR172" s="139">
        <v>0.18</v>
      </c>
      <c r="AS172" s="139">
        <v>0.18</v>
      </c>
      <c r="AT172" s="139">
        <v>0.18</v>
      </c>
      <c r="AU172" s="139">
        <v>0.18</v>
      </c>
      <c r="AV172" s="139">
        <v>0.18</v>
      </c>
      <c r="AW172" s="139">
        <v>0.18</v>
      </c>
      <c r="AX172" s="139">
        <v>0.18</v>
      </c>
      <c r="AY172" s="139">
        <v>0.18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0</v>
      </c>
      <c r="I175" s="129">
        <f t="shared" si="1"/>
        <v>0</v>
      </c>
      <c r="J175" s="129">
        <f t="shared" si="1"/>
        <v>0</v>
      </c>
      <c r="K175" s="129">
        <f t="shared" si="1"/>
        <v>0</v>
      </c>
      <c r="L175" s="129">
        <f t="shared" si="1"/>
        <v>0</v>
      </c>
      <c r="M175" s="129">
        <f t="shared" si="1"/>
        <v>0</v>
      </c>
      <c r="N175" s="129">
        <f t="shared" si="1"/>
        <v>0</v>
      </c>
      <c r="O175" s="129">
        <f t="shared" si="1"/>
        <v>0</v>
      </c>
      <c r="P175" s="129">
        <f t="shared" si="1"/>
        <v>483.88900964313825</v>
      </c>
      <c r="Q175" s="129">
        <f t="shared" si="1"/>
        <v>0</v>
      </c>
      <c r="R175" s="129">
        <f t="shared" si="1"/>
        <v>0</v>
      </c>
      <c r="S175" s="129">
        <f t="shared" si="1"/>
        <v>437.2094087594628</v>
      </c>
      <c r="T175" s="129">
        <f t="shared" si="1"/>
        <v>0</v>
      </c>
      <c r="U175" s="129">
        <f t="shared" si="1"/>
        <v>0</v>
      </c>
      <c r="V175" s="129">
        <f t="shared" si="1"/>
        <v>0</v>
      </c>
      <c r="W175" s="129">
        <f t="shared" si="1"/>
        <v>0</v>
      </c>
      <c r="X175" s="129">
        <f t="shared" si="1"/>
        <v>305.28375497977561</v>
      </c>
      <c r="Y175" s="129">
        <f t="shared" si="1"/>
        <v>0</v>
      </c>
      <c r="Z175" s="129">
        <f t="shared" si="1"/>
        <v>0</v>
      </c>
      <c r="AA175" s="129">
        <f t="shared" si="1"/>
        <v>0</v>
      </c>
      <c r="AB175" s="129">
        <f t="shared" si="1"/>
        <v>0</v>
      </c>
      <c r="AC175" s="129">
        <f t="shared" si="1"/>
        <v>0</v>
      </c>
      <c r="AD175" s="129">
        <f t="shared" si="1"/>
        <v>0</v>
      </c>
      <c r="AE175" s="129">
        <f t="shared" si="1"/>
        <v>0</v>
      </c>
      <c r="AF175" s="129">
        <f t="shared" si="1"/>
        <v>0</v>
      </c>
      <c r="AG175" s="129">
        <f t="shared" si="1"/>
        <v>0</v>
      </c>
      <c r="AH175" s="129">
        <f t="shared" si="1"/>
        <v>0</v>
      </c>
      <c r="AI175" s="129">
        <f t="shared" si="1"/>
        <v>0</v>
      </c>
      <c r="AJ175" s="129">
        <f t="shared" si="1"/>
        <v>0</v>
      </c>
      <c r="AK175" s="129">
        <f t="shared" si="1"/>
        <v>0</v>
      </c>
      <c r="AL175" s="129">
        <f t="shared" si="1"/>
        <v>0</v>
      </c>
      <c r="AM175" s="129">
        <f t="shared" si="1"/>
        <v>4.3223143250520479</v>
      </c>
      <c r="AN175" s="129">
        <f t="shared" si="1"/>
        <v>0</v>
      </c>
      <c r="AO175" s="129">
        <f t="shared" si="1"/>
        <v>0</v>
      </c>
      <c r="AP175" s="129">
        <f t="shared" si="1"/>
        <v>0</v>
      </c>
      <c r="AQ175" s="129">
        <f t="shared" si="1"/>
        <v>0</v>
      </c>
      <c r="AR175" s="129">
        <f t="shared" si="1"/>
        <v>0</v>
      </c>
      <c r="AS175" s="129">
        <f t="shared" si="1"/>
        <v>0</v>
      </c>
      <c r="AT175" s="129">
        <f t="shared" si="1"/>
        <v>0</v>
      </c>
      <c r="AU175" s="129">
        <f t="shared" si="1"/>
        <v>0</v>
      </c>
      <c r="AV175" s="129">
        <f t="shared" si="1"/>
        <v>0</v>
      </c>
      <c r="AW175" s="129">
        <f t="shared" si="1"/>
        <v>0</v>
      </c>
      <c r="AX175" s="129">
        <f t="shared" si="1"/>
        <v>0</v>
      </c>
      <c r="AY175" s="129">
        <f t="shared" si="1"/>
        <v>0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0</v>
      </c>
      <c r="I176" s="130">
        <v>0</v>
      </c>
      <c r="J176" s="130">
        <v>0</v>
      </c>
      <c r="K176" s="130">
        <v>0</v>
      </c>
      <c r="L176" s="130">
        <v>0</v>
      </c>
      <c r="M176" s="130">
        <v>0</v>
      </c>
      <c r="N176" s="130">
        <v>0</v>
      </c>
      <c r="O176" s="130">
        <v>0</v>
      </c>
      <c r="P176" s="130">
        <v>483.88900964313825</v>
      </c>
      <c r="Q176" s="130">
        <v>0</v>
      </c>
      <c r="R176" s="130">
        <v>0</v>
      </c>
      <c r="S176" s="130">
        <v>437.2094087594628</v>
      </c>
      <c r="T176" s="130">
        <v>0</v>
      </c>
      <c r="U176" s="130">
        <v>0</v>
      </c>
      <c r="V176" s="130">
        <v>0</v>
      </c>
      <c r="W176" s="130">
        <v>0</v>
      </c>
      <c r="X176" s="130">
        <v>305.28375497977561</v>
      </c>
      <c r="Y176" s="130">
        <v>0</v>
      </c>
      <c r="Z176" s="130">
        <v>0</v>
      </c>
      <c r="AA176" s="130">
        <v>0</v>
      </c>
      <c r="AB176" s="130">
        <v>0</v>
      </c>
      <c r="AC176" s="130">
        <v>0</v>
      </c>
      <c r="AD176" s="130">
        <v>0</v>
      </c>
      <c r="AE176" s="130">
        <v>0</v>
      </c>
      <c r="AF176" s="130">
        <v>0</v>
      </c>
      <c r="AG176" s="130">
        <v>0</v>
      </c>
      <c r="AH176" s="130">
        <v>0</v>
      </c>
      <c r="AI176" s="130">
        <v>0</v>
      </c>
      <c r="AJ176" s="130">
        <v>0</v>
      </c>
      <c r="AK176" s="130">
        <v>0</v>
      </c>
      <c r="AL176" s="130">
        <v>0</v>
      </c>
      <c r="AM176" s="130">
        <v>4.3223143250520479</v>
      </c>
      <c r="AN176" s="130">
        <v>0</v>
      </c>
      <c r="AO176" s="130">
        <v>0</v>
      </c>
      <c r="AP176" s="130">
        <v>0</v>
      </c>
      <c r="AQ176" s="130">
        <v>0</v>
      </c>
      <c r="AR176" s="130">
        <v>0</v>
      </c>
      <c r="AS176" s="130">
        <v>0</v>
      </c>
      <c r="AT176" s="130">
        <v>0</v>
      </c>
      <c r="AU176" s="130">
        <v>0</v>
      </c>
      <c r="AV176" s="130">
        <v>0</v>
      </c>
      <c r="AW176" s="130">
        <v>0</v>
      </c>
      <c r="AX176" s="130">
        <v>0</v>
      </c>
      <c r="AY176" s="130">
        <v>0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246.03999265486186</v>
      </c>
      <c r="E177" s="129">
        <f t="shared" si="2"/>
        <v>240.62892393811359</v>
      </c>
      <c r="F177" s="129">
        <f t="shared" si="2"/>
        <v>272.26129811993258</v>
      </c>
      <c r="G177" s="129">
        <f t="shared" si="2"/>
        <v>282.42249860998061</v>
      </c>
      <c r="H177" s="129">
        <f t="shared" si="2"/>
        <v>280.30727092652677</v>
      </c>
      <c r="I177" s="129">
        <f t="shared" si="2"/>
        <v>285.39498286243645</v>
      </c>
      <c r="J177" s="129">
        <f t="shared" si="2"/>
        <v>301.45169888417064</v>
      </c>
      <c r="K177" s="129">
        <f t="shared" si="2"/>
        <v>299.30507189207839</v>
      </c>
      <c r="L177" s="129">
        <f t="shared" si="2"/>
        <v>300.38400411123251</v>
      </c>
      <c r="M177" s="129">
        <f t="shared" si="2"/>
        <v>300.11420772345906</v>
      </c>
      <c r="N177" s="129">
        <f t="shared" si="2"/>
        <v>284.17227605102812</v>
      </c>
      <c r="O177" s="129">
        <f t="shared" si="2"/>
        <v>159.33849925946998</v>
      </c>
      <c r="P177" s="129">
        <f t="shared" si="2"/>
        <v>0</v>
      </c>
      <c r="Q177" s="129">
        <f t="shared" si="2"/>
        <v>285.72334504114178</v>
      </c>
      <c r="R177" s="129">
        <f t="shared" si="2"/>
        <v>308.65889837579482</v>
      </c>
      <c r="S177" s="129">
        <f t="shared" si="2"/>
        <v>0</v>
      </c>
      <c r="T177" s="129">
        <f t="shared" si="2"/>
        <v>317.16627160896485</v>
      </c>
      <c r="U177" s="129">
        <f t="shared" si="2"/>
        <v>108.10182494361754</v>
      </c>
      <c r="V177" s="129">
        <f t="shared" si="2"/>
        <v>85.398873983171882</v>
      </c>
      <c r="W177" s="129">
        <f t="shared" si="2"/>
        <v>248.73324459610785</v>
      </c>
      <c r="X177" s="129">
        <f t="shared" si="2"/>
        <v>0</v>
      </c>
      <c r="Y177" s="129">
        <f t="shared" si="2"/>
        <v>202.0667844740629</v>
      </c>
      <c r="Z177" s="129">
        <f t="shared" si="2"/>
        <v>265.12362114525138</v>
      </c>
      <c r="AA177" s="129">
        <f t="shared" si="2"/>
        <v>110.93188799668013</v>
      </c>
      <c r="AB177" s="129">
        <f t="shared" si="2"/>
        <v>96.70849572361584</v>
      </c>
      <c r="AC177" s="129">
        <f t="shared" si="2"/>
        <v>255.22604073952556</v>
      </c>
      <c r="AD177" s="129">
        <f t="shared" si="2"/>
        <v>249.13853347644303</v>
      </c>
      <c r="AE177" s="129">
        <f t="shared" si="2"/>
        <v>234.92827686285784</v>
      </c>
      <c r="AF177" s="129">
        <f t="shared" si="2"/>
        <v>263.04667450054552</v>
      </c>
      <c r="AG177" s="129">
        <f t="shared" si="2"/>
        <v>296.98662984984344</v>
      </c>
      <c r="AH177" s="129">
        <f t="shared" si="2"/>
        <v>350.87502945008112</v>
      </c>
      <c r="AI177" s="129">
        <f t="shared" si="2"/>
        <v>211.81058278473404</v>
      </c>
      <c r="AJ177" s="129">
        <f t="shared" si="2"/>
        <v>57.746136119386961</v>
      </c>
      <c r="AK177" s="129">
        <f t="shared" si="2"/>
        <v>0</v>
      </c>
      <c r="AL177" s="129">
        <f t="shared" si="2"/>
        <v>0</v>
      </c>
      <c r="AM177" s="129">
        <f t="shared" si="2"/>
        <v>345.9747347145024</v>
      </c>
      <c r="AN177" s="129">
        <f t="shared" si="2"/>
        <v>281.03766940523093</v>
      </c>
      <c r="AO177" s="129">
        <f t="shared" si="2"/>
        <v>107.33964628709447</v>
      </c>
      <c r="AP177" s="129">
        <f t="shared" si="2"/>
        <v>76.280127464056136</v>
      </c>
      <c r="AQ177" s="129">
        <f t="shared" si="2"/>
        <v>68.220608641018885</v>
      </c>
      <c r="AR177" s="129">
        <f t="shared" si="2"/>
        <v>210.03182996077578</v>
      </c>
      <c r="AS177" s="129">
        <f t="shared" si="2"/>
        <v>203.24111657262904</v>
      </c>
      <c r="AT177" s="129">
        <f t="shared" si="2"/>
        <v>247.4504031844823</v>
      </c>
      <c r="AU177" s="129">
        <f t="shared" si="2"/>
        <v>192.6596897963351</v>
      </c>
      <c r="AV177" s="129">
        <f t="shared" si="2"/>
        <v>252.59524313098814</v>
      </c>
      <c r="AW177" s="129">
        <f t="shared" si="2"/>
        <v>287.53079646564152</v>
      </c>
      <c r="AX177" s="129">
        <f t="shared" si="2"/>
        <v>296.14097907317733</v>
      </c>
      <c r="AY177" s="129">
        <f t="shared" si="2"/>
        <v>339.46430944653235</v>
      </c>
    </row>
    <row r="178" spans="1:51" x14ac:dyDescent="0.2">
      <c r="A178" s="130"/>
      <c r="B178" s="141" t="s">
        <v>299</v>
      </c>
      <c r="C178" s="130" t="s">
        <v>293</v>
      </c>
      <c r="D178" s="130">
        <v>246.03999265486186</v>
      </c>
      <c r="E178" s="130">
        <v>240.62892393811359</v>
      </c>
      <c r="F178" s="130">
        <v>272.26129811993258</v>
      </c>
      <c r="G178" s="130">
        <v>282.42249860998061</v>
      </c>
      <c r="H178" s="130">
        <v>280.30727092652677</v>
      </c>
      <c r="I178" s="130">
        <v>285.39498286243645</v>
      </c>
      <c r="J178" s="130">
        <v>301.45169888417064</v>
      </c>
      <c r="K178" s="130">
        <v>299.30507189207839</v>
      </c>
      <c r="L178" s="130">
        <v>300.38400411123251</v>
      </c>
      <c r="M178" s="130">
        <v>300.11420772345906</v>
      </c>
      <c r="N178" s="130">
        <v>284.17227605102812</v>
      </c>
      <c r="O178" s="130">
        <v>159.33849925946998</v>
      </c>
      <c r="P178" s="130">
        <v>0</v>
      </c>
      <c r="Q178" s="130">
        <v>285.72334504114178</v>
      </c>
      <c r="R178" s="130">
        <v>308.65889837579482</v>
      </c>
      <c r="S178" s="130">
        <v>0</v>
      </c>
      <c r="T178" s="130">
        <v>317.16627160896485</v>
      </c>
      <c r="U178" s="130">
        <v>108.10182494361754</v>
      </c>
      <c r="V178" s="130">
        <v>85.398873983171882</v>
      </c>
      <c r="W178" s="130">
        <v>248.73324459610785</v>
      </c>
      <c r="X178" s="130">
        <v>0</v>
      </c>
      <c r="Y178" s="130">
        <v>202.0667844740629</v>
      </c>
      <c r="Z178" s="130">
        <v>265.12362114525138</v>
      </c>
      <c r="AA178" s="130">
        <v>110.93188799668013</v>
      </c>
      <c r="AB178" s="130">
        <v>96.70849572361584</v>
      </c>
      <c r="AC178" s="130">
        <v>255.22604073952556</v>
      </c>
      <c r="AD178" s="130">
        <v>249.13853347644303</v>
      </c>
      <c r="AE178" s="130">
        <v>234.92827686285784</v>
      </c>
      <c r="AF178" s="130">
        <v>263.04667450054552</v>
      </c>
      <c r="AG178" s="130">
        <v>296.98662984984344</v>
      </c>
      <c r="AH178" s="130">
        <v>350.87502945008112</v>
      </c>
      <c r="AI178" s="130">
        <v>211.81058278473404</v>
      </c>
      <c r="AJ178" s="130">
        <v>57.746136119386961</v>
      </c>
      <c r="AK178" s="130">
        <v>0</v>
      </c>
      <c r="AL178" s="130">
        <v>0</v>
      </c>
      <c r="AM178" s="130">
        <v>345.9747347145024</v>
      </c>
      <c r="AN178" s="130">
        <v>281.03766940523093</v>
      </c>
      <c r="AO178" s="130">
        <v>107.33964628709447</v>
      </c>
      <c r="AP178" s="130">
        <v>76.280127464056136</v>
      </c>
      <c r="AQ178" s="130">
        <v>68.220608641018885</v>
      </c>
      <c r="AR178" s="130">
        <v>210.03182996077578</v>
      </c>
      <c r="AS178" s="130">
        <v>203.24111657262904</v>
      </c>
      <c r="AT178" s="130">
        <v>247.4504031844823</v>
      </c>
      <c r="AU178" s="130">
        <v>192.6596897963351</v>
      </c>
      <c r="AV178" s="130">
        <v>252.59524313098814</v>
      </c>
      <c r="AW178" s="130">
        <v>287.53079646564152</v>
      </c>
      <c r="AX178" s="130">
        <v>296.14097907317733</v>
      </c>
      <c r="AY178" s="130">
        <v>339.46430944653235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1234.2570563846921</v>
      </c>
      <c r="E179" s="129">
        <f t="shared" si="3"/>
        <v>1172.5117053138754</v>
      </c>
      <c r="F179" s="129">
        <f t="shared" si="3"/>
        <v>1182.6742552147207</v>
      </c>
      <c r="G179" s="129">
        <f t="shared" si="3"/>
        <v>1172.5130547246724</v>
      </c>
      <c r="H179" s="129">
        <f t="shared" si="3"/>
        <v>1174.6282824081263</v>
      </c>
      <c r="I179" s="129">
        <f t="shared" si="3"/>
        <v>1169.5405704722166</v>
      </c>
      <c r="J179" s="129">
        <f t="shared" si="3"/>
        <v>1178.845350155384</v>
      </c>
      <c r="K179" s="129">
        <f t="shared" si="3"/>
        <v>1180.9919771474758</v>
      </c>
      <c r="L179" s="129">
        <f t="shared" si="3"/>
        <v>1179.9130449283218</v>
      </c>
      <c r="M179" s="129">
        <f t="shared" si="3"/>
        <v>1167.0264215285299</v>
      </c>
      <c r="N179" s="129">
        <f t="shared" si="3"/>
        <v>1170.7632772836248</v>
      </c>
      <c r="O179" s="129">
        <f t="shared" si="3"/>
        <v>1124.6442078095981</v>
      </c>
      <c r="P179" s="129">
        <f t="shared" si="3"/>
        <v>1109.5273205371659</v>
      </c>
      <c r="Q179" s="129">
        <f t="shared" si="3"/>
        <v>1124.7050996148257</v>
      </c>
      <c r="R179" s="129">
        <f t="shared" si="3"/>
        <v>1114.8279795767517</v>
      </c>
      <c r="S179" s="129">
        <f t="shared" si="3"/>
        <v>1110.6003415452933</v>
      </c>
      <c r="T179" s="129">
        <f t="shared" si="3"/>
        <v>1093.2621730470032</v>
      </c>
      <c r="U179" s="129">
        <f t="shared" si="3"/>
        <v>1049.3850530089292</v>
      </c>
      <c r="V179" s="129">
        <f t="shared" si="3"/>
        <v>1152.0374149774707</v>
      </c>
      <c r="W179" s="129">
        <f t="shared" si="3"/>
        <v>1231.5638044434465</v>
      </c>
      <c r="X179" s="129">
        <f t="shared" si="3"/>
        <v>1247.1103356163267</v>
      </c>
      <c r="Y179" s="129">
        <f t="shared" si="3"/>
        <v>1208.3616601819049</v>
      </c>
      <c r="Z179" s="129">
        <f t="shared" si="3"/>
        <v>1164.4504364845002</v>
      </c>
      <c r="AA179" s="129">
        <f t="shared" si="3"/>
        <v>1127.8928968894672</v>
      </c>
      <c r="AB179" s="129">
        <f t="shared" si="3"/>
        <v>1149.701885512776</v>
      </c>
      <c r="AC179" s="129">
        <f t="shared" si="3"/>
        <v>1174.3480168902256</v>
      </c>
      <c r="AD179" s="129">
        <f t="shared" si="3"/>
        <v>1205.7970198582098</v>
      </c>
      <c r="AE179" s="129">
        <f t="shared" si="3"/>
        <v>1220.0072764717954</v>
      </c>
      <c r="AF179" s="129">
        <f t="shared" si="3"/>
        <v>1191.8888788341073</v>
      </c>
      <c r="AG179" s="129">
        <f t="shared" si="3"/>
        <v>1157.9489234848095</v>
      </c>
      <c r="AH179" s="129">
        <f t="shared" si="3"/>
        <v>1104.0605238845719</v>
      </c>
      <c r="AI179" s="129">
        <f t="shared" si="3"/>
        <v>1062.1721242843344</v>
      </c>
      <c r="AJ179" s="129">
        <f t="shared" si="3"/>
        <v>1115.8552370119021</v>
      </c>
      <c r="AK179" s="129">
        <f t="shared" si="3"/>
        <v>1129.2886793023104</v>
      </c>
      <c r="AL179" s="129">
        <f t="shared" si="3"/>
        <v>1057.3137660674486</v>
      </c>
      <c r="AM179" s="129">
        <f t="shared" si="3"/>
        <v>1075.9972881753076</v>
      </c>
      <c r="AN179" s="129">
        <f t="shared" si="3"/>
        <v>1073.2643074766324</v>
      </c>
      <c r="AO179" s="129">
        <f t="shared" si="3"/>
        <v>1047.4899516378969</v>
      </c>
      <c r="AP179" s="129">
        <f t="shared" si="3"/>
        <v>1075.6206240113984</v>
      </c>
      <c r="AQ179" s="129">
        <f t="shared" si="3"/>
        <v>1128.2784887458165</v>
      </c>
      <c r="AR179" s="129">
        <f t="shared" si="3"/>
        <v>1118.9086512161862</v>
      </c>
      <c r="AS179" s="129">
        <f t="shared" si="3"/>
        <v>1125.6993646043329</v>
      </c>
      <c r="AT179" s="129">
        <f t="shared" si="3"/>
        <v>1081.4900779924799</v>
      </c>
      <c r="AU179" s="129">
        <f t="shared" si="3"/>
        <v>1136.2807913806266</v>
      </c>
      <c r="AV179" s="129">
        <f t="shared" si="3"/>
        <v>1139.0715047687736</v>
      </c>
      <c r="AW179" s="129">
        <f t="shared" si="3"/>
        <v>1146.5714901468164</v>
      </c>
      <c r="AX179" s="129">
        <f t="shared" si="3"/>
        <v>1133.4330785565739</v>
      </c>
      <c r="AY179" s="129">
        <f t="shared" si="3"/>
        <v>1090.1097481832189</v>
      </c>
    </row>
    <row r="180" spans="1:51" x14ac:dyDescent="0.2">
      <c r="A180" s="130"/>
      <c r="B180" s="141" t="s">
        <v>299</v>
      </c>
      <c r="C180" s="130" t="s">
        <v>293</v>
      </c>
      <c r="D180" s="130">
        <v>303</v>
      </c>
      <c r="E180" s="130">
        <v>244</v>
      </c>
      <c r="F180" s="130">
        <v>266</v>
      </c>
      <c r="G180" s="130">
        <v>254</v>
      </c>
      <c r="H180" s="130">
        <v>266</v>
      </c>
      <c r="I180" s="130">
        <v>259</v>
      </c>
      <c r="J180" s="130">
        <v>260</v>
      </c>
      <c r="K180" s="130">
        <v>263</v>
      </c>
      <c r="L180" s="130">
        <v>276</v>
      </c>
      <c r="M180" s="130">
        <v>246</v>
      </c>
      <c r="N180" s="130">
        <v>291</v>
      </c>
      <c r="O180" s="130">
        <v>324</v>
      </c>
      <c r="P180" s="130">
        <v>233</v>
      </c>
      <c r="Q180" s="130">
        <v>296</v>
      </c>
      <c r="R180" s="130">
        <v>288</v>
      </c>
      <c r="S180" s="130">
        <v>275</v>
      </c>
      <c r="T180" s="130">
        <v>330</v>
      </c>
      <c r="U180" s="130">
        <v>229</v>
      </c>
      <c r="V180" s="130">
        <v>224</v>
      </c>
      <c r="W180" s="130">
        <v>258</v>
      </c>
      <c r="X180" s="130">
        <v>268</v>
      </c>
      <c r="Y180" s="130">
        <v>314</v>
      </c>
      <c r="Z180" s="130">
        <v>249</v>
      </c>
      <c r="AA180" s="130">
        <v>284</v>
      </c>
      <c r="AB180" s="130">
        <v>291</v>
      </c>
      <c r="AC180" s="130">
        <v>247</v>
      </c>
      <c r="AD180" s="130">
        <v>247</v>
      </c>
      <c r="AE180" s="130">
        <v>289</v>
      </c>
      <c r="AF180" s="130">
        <v>300</v>
      </c>
      <c r="AG180" s="130">
        <v>332</v>
      </c>
      <c r="AH180" s="130">
        <v>320</v>
      </c>
      <c r="AI180" s="130">
        <v>257</v>
      </c>
      <c r="AJ180" s="130">
        <v>309</v>
      </c>
      <c r="AK180" s="130">
        <v>261</v>
      </c>
      <c r="AL180" s="130">
        <v>331</v>
      </c>
      <c r="AM180" s="130">
        <v>286</v>
      </c>
      <c r="AN180" s="130">
        <v>322</v>
      </c>
      <c r="AO180" s="130">
        <v>304</v>
      </c>
      <c r="AP180" s="130">
        <v>280</v>
      </c>
      <c r="AQ180" s="130">
        <v>334</v>
      </c>
      <c r="AR180" s="130">
        <v>294</v>
      </c>
      <c r="AS180" s="130">
        <v>345</v>
      </c>
      <c r="AT180" s="130">
        <v>246</v>
      </c>
      <c r="AU180" s="130">
        <v>298</v>
      </c>
      <c r="AV180" s="130">
        <v>282</v>
      </c>
      <c r="AW180" s="130">
        <v>295</v>
      </c>
      <c r="AX180" s="130">
        <v>326</v>
      </c>
      <c r="AY180" s="130">
        <v>324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1246.1564197875655</v>
      </c>
      <c r="E181" s="129">
        <f t="shared" si="4"/>
        <v>1301.2246840133691</v>
      </c>
      <c r="F181" s="129">
        <f t="shared" si="4"/>
        <v>1266.9528462655844</v>
      </c>
      <c r="G181" s="129">
        <f t="shared" si="4"/>
        <v>1266.9528462655844</v>
      </c>
      <c r="H181" s="129">
        <f t="shared" si="4"/>
        <v>1266.9528462655844</v>
      </c>
      <c r="I181" s="129">
        <f t="shared" si="4"/>
        <v>1266.9528462655846</v>
      </c>
      <c r="J181" s="129">
        <f t="shared" si="4"/>
        <v>1246.1564197875653</v>
      </c>
      <c r="K181" s="129">
        <f t="shared" si="4"/>
        <v>1246.1564197875657</v>
      </c>
      <c r="L181" s="129">
        <f t="shared" si="4"/>
        <v>1246.1564197875655</v>
      </c>
      <c r="M181" s="129">
        <f t="shared" si="4"/>
        <v>1256.9446840133692</v>
      </c>
      <c r="N181" s="129">
        <f t="shared" si="4"/>
        <v>1266.9528462655846</v>
      </c>
      <c r="O181" s="129">
        <f t="shared" si="4"/>
        <v>1407.1341802033639</v>
      </c>
      <c r="P181" s="129">
        <f t="shared" si="4"/>
        <v>1153.3986092521509</v>
      </c>
      <c r="Q181" s="129">
        <f t="shared" si="4"/>
        <v>1303.4486753821066</v>
      </c>
      <c r="R181" s="129">
        <f t="shared" si="4"/>
        <v>1292.740760078912</v>
      </c>
      <c r="S181" s="129">
        <f t="shared" si="4"/>
        <v>1190.7960047501003</v>
      </c>
      <c r="T181" s="129">
        <f t="shared" si="4"/>
        <v>1303.4486753821063</v>
      </c>
      <c r="U181" s="129">
        <f t="shared" si="4"/>
        <v>1510.8607600789119</v>
      </c>
      <c r="V181" s="129">
        <f t="shared" si="4"/>
        <v>1445.3022430522731</v>
      </c>
      <c r="W181" s="129">
        <f t="shared" si="4"/>
        <v>1246.1564197875655</v>
      </c>
      <c r="X181" s="129">
        <f t="shared" si="4"/>
        <v>1187.0368457111963</v>
      </c>
      <c r="Y181" s="129">
        <f t="shared" si="4"/>
        <v>1303.4486753821063</v>
      </c>
      <c r="Z181" s="129">
        <f t="shared" si="4"/>
        <v>1287.749272743604</v>
      </c>
      <c r="AA181" s="129">
        <f t="shared" si="4"/>
        <v>1444.1636763933593</v>
      </c>
      <c r="AB181" s="129">
        <f t="shared" si="4"/>
        <v>1437.9434873861587</v>
      </c>
      <c r="AC181" s="129">
        <f t="shared" si="4"/>
        <v>1287.749272743604</v>
      </c>
      <c r="AD181" s="129">
        <f t="shared" si="4"/>
        <v>1266.9528462655846</v>
      </c>
      <c r="AE181" s="129">
        <f t="shared" si="4"/>
        <v>1266.9528462655844</v>
      </c>
      <c r="AF181" s="129">
        <f t="shared" si="4"/>
        <v>1266.9528462655846</v>
      </c>
      <c r="AG181" s="129">
        <f t="shared" si="4"/>
        <v>1266.9528462655844</v>
      </c>
      <c r="AH181" s="129">
        <f t="shared" si="4"/>
        <v>1266.9528462655844</v>
      </c>
      <c r="AI181" s="129">
        <f t="shared" si="4"/>
        <v>1415.334180203364</v>
      </c>
      <c r="AJ181" s="129">
        <f t="shared" si="4"/>
        <v>1497.646874032343</v>
      </c>
      <c r="AK181" s="129">
        <f t="shared" si="4"/>
        <v>1533.9832829721054</v>
      </c>
      <c r="AL181" s="129">
        <f t="shared" si="4"/>
        <v>1593.0027118246921</v>
      </c>
      <c r="AM181" s="129">
        <f t="shared" si="4"/>
        <v>1290.4386434838129</v>
      </c>
      <c r="AN181" s="129">
        <f t="shared" si="4"/>
        <v>1349.472378956872</v>
      </c>
      <c r="AO181" s="129">
        <f t="shared" si="4"/>
        <v>1513.039729701507</v>
      </c>
      <c r="AP181" s="129">
        <f t="shared" si="4"/>
        <v>1515.4413837901272</v>
      </c>
      <c r="AQ181" s="129">
        <f t="shared" si="4"/>
        <v>1478.8707401427953</v>
      </c>
      <c r="AR181" s="129">
        <f t="shared" si="4"/>
        <v>1370.2688054348912</v>
      </c>
      <c r="AS181" s="129">
        <f t="shared" si="4"/>
        <v>1370.2688054348914</v>
      </c>
      <c r="AT181" s="129">
        <f t="shared" si="4"/>
        <v>1370.2688054348912</v>
      </c>
      <c r="AU181" s="129">
        <f t="shared" si="4"/>
        <v>1370.2688054348916</v>
      </c>
      <c r="AV181" s="129">
        <f t="shared" si="4"/>
        <v>1318.8332667221955</v>
      </c>
      <c r="AW181" s="129">
        <f t="shared" si="4"/>
        <v>1284.0361249777845</v>
      </c>
      <c r="AX181" s="129">
        <f t="shared" si="4"/>
        <v>1287.749272743604</v>
      </c>
      <c r="AY181" s="129">
        <f t="shared" si="4"/>
        <v>1287.749272743604</v>
      </c>
    </row>
    <row r="182" spans="1:51" x14ac:dyDescent="0.2">
      <c r="A182" s="130"/>
      <c r="B182" s="141" t="s">
        <v>299</v>
      </c>
      <c r="C182" s="130" t="s">
        <v>293</v>
      </c>
      <c r="D182" s="130">
        <v>1179</v>
      </c>
      <c r="E182" s="130">
        <v>1301.2246840133691</v>
      </c>
      <c r="F182" s="130">
        <v>1266.9528462655844</v>
      </c>
      <c r="G182" s="130">
        <v>1266.9528462655844</v>
      </c>
      <c r="H182" s="130">
        <v>1266.9528462655844</v>
      </c>
      <c r="I182" s="130">
        <v>1266.9528462655846</v>
      </c>
      <c r="J182" s="130">
        <v>1246.1564197875653</v>
      </c>
      <c r="K182" s="130">
        <v>1246.1564197875657</v>
      </c>
      <c r="L182" s="130">
        <v>1233</v>
      </c>
      <c r="M182" s="130">
        <v>1256.9446840133692</v>
      </c>
      <c r="N182" s="130">
        <v>1096</v>
      </c>
      <c r="O182" s="130">
        <v>1292</v>
      </c>
      <c r="P182" s="130">
        <v>1153.3986092521509</v>
      </c>
      <c r="Q182" s="130">
        <v>1272</v>
      </c>
      <c r="R182" s="130">
        <v>1132</v>
      </c>
      <c r="S182" s="130">
        <v>1190.7960047501003</v>
      </c>
      <c r="T182" s="130">
        <v>1006</v>
      </c>
      <c r="U182" s="130">
        <v>1268</v>
      </c>
      <c r="V182" s="130">
        <v>1445.3022430522731</v>
      </c>
      <c r="W182" s="130">
        <v>1090</v>
      </c>
      <c r="X182" s="130">
        <v>1187.0368457111963</v>
      </c>
      <c r="Y182" s="130">
        <v>1303.4486753821063</v>
      </c>
      <c r="Z182" s="130">
        <v>1097</v>
      </c>
      <c r="AA182" s="130">
        <v>1261</v>
      </c>
      <c r="AB182" s="130">
        <v>1437.9434873861587</v>
      </c>
      <c r="AC182" s="130">
        <v>1287.749272743604</v>
      </c>
      <c r="AD182" s="130">
        <v>1266.9528462655846</v>
      </c>
      <c r="AE182" s="130">
        <v>1266.9528462655844</v>
      </c>
      <c r="AF182" s="130">
        <v>1266.9528462655846</v>
      </c>
      <c r="AG182" s="130">
        <v>1266.9528462655844</v>
      </c>
      <c r="AH182" s="130">
        <v>1086</v>
      </c>
      <c r="AI182" s="130">
        <v>1134</v>
      </c>
      <c r="AJ182" s="130">
        <v>1172</v>
      </c>
      <c r="AK182" s="130">
        <v>1111</v>
      </c>
      <c r="AL182" s="130">
        <v>1539</v>
      </c>
      <c r="AM182" s="130">
        <v>1290.4386434838129</v>
      </c>
      <c r="AN182" s="130">
        <v>1150</v>
      </c>
      <c r="AO182" s="130">
        <v>1336</v>
      </c>
      <c r="AP182" s="130">
        <v>1383</v>
      </c>
      <c r="AQ182" s="130">
        <v>1478.8707401427953</v>
      </c>
      <c r="AR182" s="130">
        <v>1370.2688054348912</v>
      </c>
      <c r="AS182" s="130">
        <v>1370.2688054348914</v>
      </c>
      <c r="AT182" s="130">
        <v>1370.2688054348912</v>
      </c>
      <c r="AU182" s="130">
        <v>1307</v>
      </c>
      <c r="AV182" s="130">
        <v>1298</v>
      </c>
      <c r="AW182" s="130">
        <v>1284.0361249777845</v>
      </c>
      <c r="AX182" s="130">
        <v>1287.749272743604</v>
      </c>
      <c r="AY182" s="130">
        <v>1287.749272743604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0</v>
      </c>
      <c r="D185" s="129">
        <v>0</v>
      </c>
      <c r="E185" s="129">
        <v>0</v>
      </c>
      <c r="F185" s="129">
        <v>0</v>
      </c>
      <c r="G185" s="129">
        <v>0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483.88900964313825</v>
      </c>
      <c r="Q185" s="129">
        <v>0</v>
      </c>
      <c r="R185" s="129">
        <v>0</v>
      </c>
      <c r="S185" s="129">
        <v>437.2094087594628</v>
      </c>
      <c r="T185" s="129">
        <v>0</v>
      </c>
      <c r="U185" s="129">
        <v>0</v>
      </c>
      <c r="V185" s="129">
        <v>0</v>
      </c>
      <c r="W185" s="129">
        <v>0</v>
      </c>
      <c r="X185" s="129">
        <v>305.28375497977561</v>
      </c>
      <c r="Y185" s="129">
        <v>0</v>
      </c>
      <c r="Z185" s="129">
        <v>0</v>
      </c>
      <c r="AA185" s="129">
        <v>0</v>
      </c>
      <c r="AB185" s="129">
        <v>0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4.3223143250520479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599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0</v>
      </c>
      <c r="D189" s="129">
        <v>246.03999265486186</v>
      </c>
      <c r="E189" s="129">
        <v>240.62892393811359</v>
      </c>
      <c r="F189" s="129">
        <v>272.26129811993258</v>
      </c>
      <c r="G189" s="129">
        <v>282.42249860998061</v>
      </c>
      <c r="H189" s="129">
        <v>280.30727092652677</v>
      </c>
      <c r="I189" s="129">
        <v>285.39498286243645</v>
      </c>
      <c r="J189" s="129">
        <v>301.45169888417064</v>
      </c>
      <c r="K189" s="129">
        <v>299.30507189207839</v>
      </c>
      <c r="L189" s="129">
        <v>300.38400411123251</v>
      </c>
      <c r="M189" s="129">
        <v>300.11420772345906</v>
      </c>
      <c r="N189" s="129">
        <v>284.17227605102812</v>
      </c>
      <c r="O189" s="129">
        <v>159.33849925946998</v>
      </c>
      <c r="P189" s="129">
        <v>0</v>
      </c>
      <c r="Q189" s="129">
        <v>285.72334504114178</v>
      </c>
      <c r="R189" s="129">
        <v>308.65889837579482</v>
      </c>
      <c r="S189" s="129">
        <v>0</v>
      </c>
      <c r="T189" s="129">
        <v>317.16627160896485</v>
      </c>
      <c r="U189" s="129">
        <v>108.10182494361754</v>
      </c>
      <c r="V189" s="129">
        <v>85.398873983171882</v>
      </c>
      <c r="W189" s="129">
        <v>248.73324459610785</v>
      </c>
      <c r="X189" s="129">
        <v>0</v>
      </c>
      <c r="Y189" s="129">
        <v>202.0667844740629</v>
      </c>
      <c r="Z189" s="129">
        <v>265.12362114525138</v>
      </c>
      <c r="AA189" s="129">
        <v>110.93188799668013</v>
      </c>
      <c r="AB189" s="129">
        <v>96.70849572361584</v>
      </c>
      <c r="AC189" s="129">
        <v>255.22604073952556</v>
      </c>
      <c r="AD189" s="129">
        <v>249.13853347644303</v>
      </c>
      <c r="AE189" s="129">
        <v>234.92827686285784</v>
      </c>
      <c r="AF189" s="129">
        <v>263.04667450054552</v>
      </c>
      <c r="AG189" s="129">
        <v>296.98662984984344</v>
      </c>
      <c r="AH189" s="129">
        <v>350.87502945008112</v>
      </c>
      <c r="AI189" s="129">
        <v>211.81058278473404</v>
      </c>
      <c r="AJ189" s="129">
        <v>57.746136119386961</v>
      </c>
      <c r="AK189" s="129">
        <v>0</v>
      </c>
      <c r="AL189" s="129">
        <v>0</v>
      </c>
      <c r="AM189" s="129">
        <v>345.9747347145024</v>
      </c>
      <c r="AN189" s="129">
        <v>281.03766940523093</v>
      </c>
      <c r="AO189" s="129">
        <v>107.33964628709447</v>
      </c>
      <c r="AP189" s="129">
        <v>76.280127464056136</v>
      </c>
      <c r="AQ189" s="129">
        <v>68.220608641018885</v>
      </c>
      <c r="AR189" s="129">
        <v>210.03182996077578</v>
      </c>
      <c r="AS189" s="129">
        <v>203.24111657262904</v>
      </c>
      <c r="AT189" s="129">
        <v>247.4504031844823</v>
      </c>
      <c r="AU189" s="129">
        <v>192.6596897963351</v>
      </c>
      <c r="AV189" s="129">
        <v>252.59524313098814</v>
      </c>
      <c r="AW189" s="129">
        <v>287.53079646564152</v>
      </c>
      <c r="AX189" s="129">
        <v>296.14097907317733</v>
      </c>
      <c r="AY189" s="129">
        <v>339.46430944653235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0</v>
      </c>
      <c r="F190" s="111">
        <v>0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347.5629105608856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52.437089439114402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0</v>
      </c>
      <c r="D197" s="111">
        <v>0</v>
      </c>
      <c r="E197" s="111">
        <v>0</v>
      </c>
      <c r="F197" s="111">
        <v>0</v>
      </c>
      <c r="G197" s="111">
        <v>0</v>
      </c>
      <c r="H197" s="111">
        <v>0</v>
      </c>
      <c r="I197" s="111">
        <v>0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0</v>
      </c>
      <c r="AQ197" s="111">
        <v>0</v>
      </c>
      <c r="AR197" s="111">
        <v>0</v>
      </c>
      <c r="AS197" s="111">
        <v>0</v>
      </c>
      <c r="AT197" s="111">
        <v>0</v>
      </c>
      <c r="AU197" s="111">
        <v>0</v>
      </c>
      <c r="AV197" s="111">
        <v>0</v>
      </c>
      <c r="AW197" s="111">
        <v>0</v>
      </c>
      <c r="AX197" s="111">
        <v>0</v>
      </c>
      <c r="AY197" s="111">
        <v>0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26.928610497686293</v>
      </c>
      <c r="P199" s="111">
        <v>0</v>
      </c>
      <c r="Q199" s="111">
        <v>11.474674080049567</v>
      </c>
      <c r="R199" s="111">
        <v>21.36307368028713</v>
      </c>
      <c r="S199" s="111">
        <v>0</v>
      </c>
      <c r="T199" s="111">
        <v>68.027313828607987</v>
      </c>
      <c r="U199" s="111">
        <v>10.904433866682211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27.109202796287832</v>
      </c>
      <c r="AC199" s="111">
        <v>0</v>
      </c>
      <c r="AD199" s="111">
        <v>0</v>
      </c>
      <c r="AE199" s="111">
        <v>0</v>
      </c>
      <c r="AF199" s="111">
        <v>0</v>
      </c>
      <c r="AG199" s="111">
        <v>8.3858777144777719</v>
      </c>
      <c r="AH199" s="111">
        <v>50.274277314715334</v>
      </c>
      <c r="AI199" s="111">
        <v>29.162676914952954</v>
      </c>
      <c r="AJ199" s="111">
        <v>60.051076515190516</v>
      </c>
      <c r="AK199" s="111">
        <v>49.25778666138774</v>
      </c>
      <c r="AL199" s="111">
        <v>249.84913722207131</v>
      </c>
      <c r="AM199" s="111">
        <v>225.16602449450363</v>
      </c>
      <c r="AN199" s="111">
        <v>218.4142716581357</v>
      </c>
      <c r="AO199" s="111">
        <v>185.6862339325516</v>
      </c>
      <c r="AP199" s="111">
        <v>116.00271182469243</v>
      </c>
      <c r="AQ199" s="111">
        <v>166.73569252336762</v>
      </c>
      <c r="AR199" s="111">
        <v>164.51004836210308</v>
      </c>
      <c r="AS199" s="111">
        <v>177.37937598860157</v>
      </c>
      <c r="AT199" s="111">
        <v>90.72151125418344</v>
      </c>
      <c r="AU199" s="111">
        <v>64.091348783813771</v>
      </c>
      <c r="AV199" s="111">
        <v>45.300635395666973</v>
      </c>
      <c r="AW199" s="111">
        <v>39.509922007520117</v>
      </c>
      <c r="AX199" s="111">
        <v>64.719208619373319</v>
      </c>
      <c r="AY199" s="111">
        <v>87.928495231226407</v>
      </c>
    </row>
    <row r="200" spans="1:51" x14ac:dyDescent="0.2">
      <c r="A200" s="114"/>
      <c r="B200" s="125">
        <v>4</v>
      </c>
      <c r="C200" s="111">
        <v>151.72375064867367</v>
      </c>
      <c r="D200" s="111">
        <v>172.05920676059293</v>
      </c>
      <c r="E200" s="111">
        <v>170.23948860452762</v>
      </c>
      <c r="F200" s="111">
        <v>189.6000250385618</v>
      </c>
      <c r="G200" s="111">
        <v>192.32629475549209</v>
      </c>
      <c r="H200" s="111">
        <v>206.77613629892051</v>
      </c>
      <c r="I200" s="111">
        <v>209.4289174617127</v>
      </c>
      <c r="J200" s="111">
        <v>193.60105144366565</v>
      </c>
      <c r="K200" s="111">
        <v>189.88935522469154</v>
      </c>
      <c r="L200" s="111">
        <v>199.40321821696358</v>
      </c>
      <c r="M200" s="111">
        <v>177.72477238987318</v>
      </c>
      <c r="N200" s="111">
        <v>216.79100296965763</v>
      </c>
      <c r="O200" s="111">
        <v>273.54653117288024</v>
      </c>
      <c r="P200" s="111">
        <v>233</v>
      </c>
      <c r="Q200" s="111">
        <v>275.91468673464198</v>
      </c>
      <c r="R200" s="111">
        <v>266.63692631971287</v>
      </c>
      <c r="S200" s="111">
        <v>275</v>
      </c>
      <c r="T200" s="111">
        <v>253.18506056754529</v>
      </c>
      <c r="U200" s="111">
        <v>218.09556613331779</v>
      </c>
      <c r="V200" s="111">
        <v>224</v>
      </c>
      <c r="W200" s="111">
        <v>222.86715041924913</v>
      </c>
      <c r="X200" s="111">
        <v>229.47290547410518</v>
      </c>
      <c r="Y200" s="111">
        <v>288.66776463930273</v>
      </c>
      <c r="Z200" s="111">
        <v>222.04950633009187</v>
      </c>
      <c r="AA200" s="111">
        <v>259.0222475646849</v>
      </c>
      <c r="AB200" s="111">
        <v>260.5690636927016</v>
      </c>
      <c r="AC200" s="111">
        <v>247</v>
      </c>
      <c r="AD200" s="111">
        <v>239.21398949302264</v>
      </c>
      <c r="AE200" s="111">
        <v>262.43866365255468</v>
      </c>
      <c r="AF200" s="111">
        <v>262.65712296951153</v>
      </c>
      <c r="AG200" s="111">
        <v>282.67666962664475</v>
      </c>
      <c r="AH200" s="111">
        <v>269.72572268528467</v>
      </c>
      <c r="AI200" s="111">
        <v>227.83732308504705</v>
      </c>
      <c r="AJ200" s="111">
        <v>248.94892348480948</v>
      </c>
      <c r="AK200" s="111">
        <v>211.74221333861226</v>
      </c>
      <c r="AL200" s="111">
        <v>81.150862777928694</v>
      </c>
      <c r="AM200" s="111">
        <v>60.833975505496369</v>
      </c>
      <c r="AN200" s="111">
        <v>103.5857283418643</v>
      </c>
      <c r="AO200" s="111">
        <v>118.3137660674484</v>
      </c>
      <c r="AP200" s="111">
        <v>163.99728817530757</v>
      </c>
      <c r="AQ200" s="111">
        <v>167.26430747663238</v>
      </c>
      <c r="AR200" s="111">
        <v>129.48995163789692</v>
      </c>
      <c r="AS200" s="111">
        <v>167.62062401139843</v>
      </c>
      <c r="AT200" s="111">
        <v>155.27848874581656</v>
      </c>
      <c r="AU200" s="111">
        <v>233.90865121618623</v>
      </c>
      <c r="AV200" s="111">
        <v>236.69936460433303</v>
      </c>
      <c r="AW200" s="111">
        <v>255.49007799247988</v>
      </c>
      <c r="AX200" s="111">
        <v>261.28079138062668</v>
      </c>
      <c r="AY200" s="111">
        <v>236.07150476877359</v>
      </c>
    </row>
    <row r="201" spans="1:51" x14ac:dyDescent="0.2">
      <c r="A201" s="114"/>
      <c r="B201" s="125">
        <v>5</v>
      </c>
      <c r="C201" s="111">
        <v>96.276249351326328</v>
      </c>
      <c r="D201" s="111">
        <v>130.94079323940707</v>
      </c>
      <c r="E201" s="111">
        <v>73.760511395472378</v>
      </c>
      <c r="F201" s="111">
        <v>76.399974961438204</v>
      </c>
      <c r="G201" s="111">
        <v>61.673705244507907</v>
      </c>
      <c r="H201" s="111">
        <v>59.223863701079495</v>
      </c>
      <c r="I201" s="111">
        <v>49.571082538287307</v>
      </c>
      <c r="J201" s="111">
        <v>66.398948556334346</v>
      </c>
      <c r="K201" s="111">
        <v>73.110644775308444</v>
      </c>
      <c r="L201" s="111">
        <v>76.59678178303642</v>
      </c>
      <c r="M201" s="111">
        <v>68.275227610126834</v>
      </c>
      <c r="N201" s="111">
        <v>74.208997030342374</v>
      </c>
      <c r="O201" s="111">
        <v>23.524858329433492</v>
      </c>
      <c r="P201" s="111">
        <v>0</v>
      </c>
      <c r="Q201" s="111">
        <v>8.6106391853084823</v>
      </c>
      <c r="R201" s="111">
        <v>0</v>
      </c>
      <c r="S201" s="111">
        <v>0</v>
      </c>
      <c r="T201" s="111">
        <v>8.7876256038466991</v>
      </c>
      <c r="U201" s="111">
        <v>0</v>
      </c>
      <c r="V201" s="111">
        <v>0</v>
      </c>
      <c r="W201" s="111">
        <v>35.132849580750872</v>
      </c>
      <c r="X201" s="111">
        <v>38.527094525894825</v>
      </c>
      <c r="Y201" s="111">
        <v>25.332235360697272</v>
      </c>
      <c r="Z201" s="111">
        <v>26.950493669908138</v>
      </c>
      <c r="AA201" s="111">
        <v>24.977752435315097</v>
      </c>
      <c r="AB201" s="111">
        <v>3.321733511010553</v>
      </c>
      <c r="AC201" s="111">
        <v>0</v>
      </c>
      <c r="AD201" s="111">
        <v>7.7860105069773633</v>
      </c>
      <c r="AE201" s="111">
        <v>26.56133634744533</v>
      </c>
      <c r="AF201" s="111">
        <v>37.342877030488467</v>
      </c>
      <c r="AG201" s="111">
        <v>40.937452658877497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1246.1564197875655</v>
      </c>
      <c r="D209" s="129">
        <v>1179</v>
      </c>
      <c r="E209" s="129">
        <v>1246.1564197875655</v>
      </c>
      <c r="F209" s="129">
        <v>1266.9528462655844</v>
      </c>
      <c r="G209" s="129">
        <v>1266.9528462655844</v>
      </c>
      <c r="H209" s="129">
        <v>1266.9528462655844</v>
      </c>
      <c r="I209" s="129">
        <v>1266.9528462655846</v>
      </c>
      <c r="J209" s="129">
        <v>1246.1564197875655</v>
      </c>
      <c r="K209" s="129">
        <v>1246.1564197875655</v>
      </c>
      <c r="L209" s="129">
        <v>1233</v>
      </c>
      <c r="M209" s="129">
        <v>1246.1564197875655</v>
      </c>
      <c r="N209" s="129">
        <v>1096</v>
      </c>
      <c r="O209" s="129">
        <v>1151.8186660622205</v>
      </c>
      <c r="P209" s="129">
        <v>1058.9885814853926</v>
      </c>
      <c r="Q209" s="129">
        <v>1271.9999999999998</v>
      </c>
      <c r="R209" s="129">
        <v>1106.2120861866727</v>
      </c>
      <c r="S209" s="129">
        <v>1058.9885814853926</v>
      </c>
      <c r="T209" s="129">
        <v>1006</v>
      </c>
      <c r="U209" s="129">
        <v>1024.0920861866728</v>
      </c>
      <c r="V209" s="129">
        <v>1246.1564197875655</v>
      </c>
      <c r="W209" s="129">
        <v>1090</v>
      </c>
      <c r="X209" s="129">
        <v>1058.9885814853926</v>
      </c>
      <c r="Y209" s="129">
        <v>1303.4486753821063</v>
      </c>
      <c r="Z209" s="129">
        <v>1097</v>
      </c>
      <c r="AA209" s="129">
        <v>1104.5855963502447</v>
      </c>
      <c r="AB209" s="129">
        <v>1287.749272743604</v>
      </c>
      <c r="AC209" s="129">
        <v>1287.749272743604</v>
      </c>
      <c r="AD209" s="129">
        <v>1266.9528462655846</v>
      </c>
      <c r="AE209" s="129">
        <v>1266.9528462655844</v>
      </c>
      <c r="AF209" s="129">
        <v>1266.9528462655844</v>
      </c>
      <c r="AG209" s="129">
        <v>1266.9528462655844</v>
      </c>
      <c r="AH209" s="129">
        <v>1086</v>
      </c>
      <c r="AI209" s="129">
        <v>985.61866606222077</v>
      </c>
      <c r="AJ209" s="129">
        <v>941.30597223324162</v>
      </c>
      <c r="AK209" s="129">
        <v>843.96956329347904</v>
      </c>
      <c r="AL209" s="129">
        <v>1192.1537079628733</v>
      </c>
      <c r="AM209" s="129">
        <v>1246.1564197875655</v>
      </c>
      <c r="AN209" s="129">
        <v>1150</v>
      </c>
      <c r="AO209" s="129">
        <v>1172.4326492553648</v>
      </c>
      <c r="AP209" s="129">
        <v>1237.8274216447642</v>
      </c>
      <c r="AQ209" s="129">
        <v>1370.2688054348912</v>
      </c>
      <c r="AR209" s="129">
        <v>1370.2688054348912</v>
      </c>
      <c r="AS209" s="129">
        <v>1370.2688054348914</v>
      </c>
      <c r="AT209" s="129">
        <v>1370.2688054348914</v>
      </c>
      <c r="AU209" s="129">
        <v>1306.9999999999998</v>
      </c>
      <c r="AV209" s="129">
        <v>1246.1195795433894</v>
      </c>
      <c r="AW209" s="129">
        <v>1266.9528462655844</v>
      </c>
      <c r="AX209" s="129">
        <v>1287.749272743604</v>
      </c>
      <c r="AY209" s="129">
        <v>1287.749272743604</v>
      </c>
    </row>
    <row r="210" spans="1:51" x14ac:dyDescent="0.2">
      <c r="A210" s="114"/>
      <c r="B210" s="124">
        <v>2</v>
      </c>
      <c r="C210" s="111">
        <v>0</v>
      </c>
      <c r="D210" s="115">
        <v>0</v>
      </c>
      <c r="E210" s="115">
        <v>55.068264225803702</v>
      </c>
      <c r="F210" s="115">
        <v>0</v>
      </c>
      <c r="G210" s="115">
        <v>0</v>
      </c>
      <c r="H210" s="115">
        <v>0</v>
      </c>
      <c r="I210" s="115">
        <v>0</v>
      </c>
      <c r="J210" s="115">
        <v>-1.864464138634503E-13</v>
      </c>
      <c r="K210" s="115">
        <v>0</v>
      </c>
      <c r="L210" s="115">
        <v>0</v>
      </c>
      <c r="M210" s="115">
        <v>10.788264225803697</v>
      </c>
      <c r="N210" s="115">
        <v>0</v>
      </c>
      <c r="O210" s="115">
        <v>140.18133393777941</v>
      </c>
      <c r="P210" s="115">
        <v>94.410027766758432</v>
      </c>
      <c r="Q210" s="115">
        <v>0</v>
      </c>
      <c r="R210" s="115">
        <v>25.787913813327378</v>
      </c>
      <c r="S210" s="115">
        <v>131.80742326470767</v>
      </c>
      <c r="T210" s="115">
        <v>0</v>
      </c>
      <c r="U210" s="115">
        <v>243.90791381332721</v>
      </c>
      <c r="V210" s="115">
        <v>199.14582326470756</v>
      </c>
      <c r="W210" s="115">
        <v>0</v>
      </c>
      <c r="X210" s="115">
        <v>128.04826422580371</v>
      </c>
      <c r="Y210" s="115">
        <v>0</v>
      </c>
      <c r="Z210" s="115">
        <v>0</v>
      </c>
      <c r="AA210" s="115">
        <v>156.41440364975531</v>
      </c>
      <c r="AB210" s="115">
        <v>150.19421464255464</v>
      </c>
      <c r="AC210" s="115">
        <v>0</v>
      </c>
      <c r="AD210" s="115">
        <v>0</v>
      </c>
      <c r="AE210" s="115">
        <v>-1.864464138634503E-13</v>
      </c>
      <c r="AF210" s="115">
        <v>0</v>
      </c>
      <c r="AG210" s="115">
        <v>0</v>
      </c>
      <c r="AH210" s="115">
        <v>0</v>
      </c>
      <c r="AI210" s="115">
        <v>148.38133393777923</v>
      </c>
      <c r="AJ210" s="115">
        <v>230.69402776675838</v>
      </c>
      <c r="AK210" s="115">
        <v>267.03043670652113</v>
      </c>
      <c r="AL210" s="115">
        <v>346.84629203712643</v>
      </c>
      <c r="AM210" s="115">
        <v>44.282223696247563</v>
      </c>
      <c r="AN210" s="115">
        <v>0</v>
      </c>
      <c r="AO210" s="115">
        <v>163.56735074463509</v>
      </c>
      <c r="AP210" s="115">
        <v>145.17257835523591</v>
      </c>
      <c r="AQ210" s="115">
        <v>108.60193470790416</v>
      </c>
      <c r="AR210" s="115">
        <v>0</v>
      </c>
      <c r="AS210" s="115">
        <v>0</v>
      </c>
      <c r="AT210" s="115">
        <v>-1.864464138634503E-13</v>
      </c>
      <c r="AU210" s="115">
        <v>0</v>
      </c>
      <c r="AV210" s="115">
        <v>51.88042045661097</v>
      </c>
      <c r="AW210" s="115">
        <v>17.083278712199942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1.5288605936802926E-13</v>
      </c>
      <c r="L211" s="115">
        <v>0</v>
      </c>
      <c r="M211" s="115">
        <v>0</v>
      </c>
      <c r="N211" s="115">
        <v>0</v>
      </c>
      <c r="O211" s="115">
        <v>0</v>
      </c>
      <c r="P211" s="115">
        <v>-1.864464138634503E-13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1.5288605936802926E-13</v>
      </c>
      <c r="AG211" s="115">
        <v>0</v>
      </c>
      <c r="AH211" s="115">
        <v>0</v>
      </c>
      <c r="AI211" s="115">
        <v>0</v>
      </c>
      <c r="AJ211" s="115">
        <v>0</v>
      </c>
      <c r="AK211" s="115">
        <v>-1.864464138634503E-13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1.5288605936802926E-13</v>
      </c>
      <c r="AV211" s="115">
        <v>-1.864464138634503E-13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1.5288605936802926E-13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1.5288605936802926E-13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1.5288605936802926E-13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177805.2452623721</v>
      </c>
      <c r="E259" s="129">
        <f t="shared" ref="E259:AX259" si="5">F$14*$B$259</f>
        <v>185662.54637751731</v>
      </c>
      <c r="F259" s="129">
        <f t="shared" si="5"/>
        <v>180772.54025984558</v>
      </c>
      <c r="G259" s="129">
        <f t="shared" si="5"/>
        <v>180772.54025984558</v>
      </c>
      <c r="H259" s="129">
        <f t="shared" si="5"/>
        <v>180772.54025984558</v>
      </c>
      <c r="I259" s="129">
        <f t="shared" si="5"/>
        <v>180772.54025984558</v>
      </c>
      <c r="J259" s="129">
        <f t="shared" si="5"/>
        <v>177805.2452623721</v>
      </c>
      <c r="K259" s="129">
        <f t="shared" si="5"/>
        <v>177805.24526237216</v>
      </c>
      <c r="L259" s="129">
        <f t="shared" si="5"/>
        <v>177805.2452623721</v>
      </c>
      <c r="M259" s="129">
        <f t="shared" si="5"/>
        <v>179344.54637751728</v>
      </c>
      <c r="N259" s="129">
        <f t="shared" si="5"/>
        <v>180772.54025984558</v>
      </c>
      <c r="O259" s="129">
        <f t="shared" si="5"/>
        <v>200774.02327291897</v>
      </c>
      <c r="P259" s="129">
        <f t="shared" si="5"/>
        <v>164570.28936890443</v>
      </c>
      <c r="Q259" s="129">
        <f t="shared" si="5"/>
        <v>185979.87197525176</v>
      </c>
      <c r="R259" s="129">
        <f t="shared" si="5"/>
        <v>184452.03527955204</v>
      </c>
      <c r="S259" s="129">
        <f t="shared" si="5"/>
        <v>169906.25921434356</v>
      </c>
      <c r="T259" s="129">
        <f t="shared" si="5"/>
        <v>185979.87197525176</v>
      </c>
      <c r="U259" s="129">
        <f t="shared" si="5"/>
        <v>215574.03527955202</v>
      </c>
      <c r="V259" s="129">
        <f t="shared" si="5"/>
        <v>206219.9541916048</v>
      </c>
      <c r="W259" s="129">
        <f t="shared" si="5"/>
        <v>177805.2452623721</v>
      </c>
      <c r="X259" s="129">
        <f t="shared" si="5"/>
        <v>169369.89140025605</v>
      </c>
      <c r="Y259" s="129">
        <f t="shared" si="5"/>
        <v>185979.87197525176</v>
      </c>
      <c r="Z259" s="129">
        <f t="shared" si="5"/>
        <v>183739.83525731909</v>
      </c>
      <c r="AA259" s="129">
        <f t="shared" si="5"/>
        <v>206057.50016832078</v>
      </c>
      <c r="AB259" s="129">
        <f t="shared" si="5"/>
        <v>205169.98539534211</v>
      </c>
      <c r="AC259" s="129">
        <f t="shared" si="5"/>
        <v>183739.83525731909</v>
      </c>
      <c r="AD259" s="129">
        <f t="shared" si="5"/>
        <v>180772.54025984558</v>
      </c>
      <c r="AE259" s="129">
        <f t="shared" si="5"/>
        <v>180772.54025984555</v>
      </c>
      <c r="AF259" s="129">
        <f t="shared" si="5"/>
        <v>180772.54025984558</v>
      </c>
      <c r="AG259" s="129">
        <f t="shared" si="5"/>
        <v>180772.54025984558</v>
      </c>
      <c r="AH259" s="129">
        <f t="shared" si="5"/>
        <v>180772.54025984558</v>
      </c>
      <c r="AI259" s="129">
        <f t="shared" si="5"/>
        <v>201944.023272919</v>
      </c>
      <c r="AJ259" s="129">
        <f t="shared" si="5"/>
        <v>213688.63934363917</v>
      </c>
      <c r="AK259" s="129">
        <f t="shared" si="5"/>
        <v>218873.22452162966</v>
      </c>
      <c r="AL259" s="129">
        <f t="shared" si="5"/>
        <v>227294.28937010845</v>
      </c>
      <c r="AM259" s="129">
        <f t="shared" si="5"/>
        <v>184123.56254586112</v>
      </c>
      <c r="AN259" s="129">
        <f t="shared" si="5"/>
        <v>192546.66870482196</v>
      </c>
      <c r="AO259" s="129">
        <f t="shared" si="5"/>
        <v>215884.93704277597</v>
      </c>
      <c r="AP259" s="129">
        <f t="shared" si="5"/>
        <v>216227.61207737177</v>
      </c>
      <c r="AQ259" s="129">
        <f t="shared" si="5"/>
        <v>211009.60560574027</v>
      </c>
      <c r="AR259" s="129">
        <f t="shared" si="5"/>
        <v>195513.96370229541</v>
      </c>
      <c r="AS259" s="129">
        <f t="shared" si="5"/>
        <v>195513.96370229547</v>
      </c>
      <c r="AT259" s="129">
        <f t="shared" si="5"/>
        <v>195513.96370229541</v>
      </c>
      <c r="AU259" s="129">
        <f t="shared" si="5"/>
        <v>195513.9637022955</v>
      </c>
      <c r="AV259" s="129">
        <f t="shared" si="5"/>
        <v>188174.99049572786</v>
      </c>
      <c r="AW259" s="129">
        <f t="shared" si="5"/>
        <v>183210.03246634244</v>
      </c>
      <c r="AX259" s="129">
        <f t="shared" si="5"/>
        <v>183739.83525731909</v>
      </c>
      <c r="AY259" s="129">
        <f>AZ$14*$B$259</f>
        <v>183739.83525731909</v>
      </c>
      <c r="AZ259" s="144">
        <f>SUM($D259:$AY259)</f>
        <v>9111785.0924472976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59904.808570335452</v>
      </c>
      <c r="E260" s="130">
        <f t="shared" ref="E260:AY260" si="6">(E$175-E$176+E$177-E$178+E$179-E$180+E$181-E$182)*$B$260</f>
        <v>55710.702318832526</v>
      </c>
      <c r="F260" s="130">
        <f t="shared" si="6"/>
        <v>55000.455312883241</v>
      </c>
      <c r="G260" s="130">
        <f t="shared" si="6"/>
        <v>55110.783283480356</v>
      </c>
      <c r="H260" s="130">
        <f t="shared" si="6"/>
        <v>54517.696944487579</v>
      </c>
      <c r="I260" s="130">
        <f t="shared" si="6"/>
        <v>54632.434228333012</v>
      </c>
      <c r="J260" s="130">
        <f t="shared" si="6"/>
        <v>55130.721009323031</v>
      </c>
      <c r="K260" s="130">
        <f t="shared" si="6"/>
        <v>55079.518628848549</v>
      </c>
      <c r="L260" s="130">
        <f t="shared" si="6"/>
        <v>55024.167882953225</v>
      </c>
      <c r="M260" s="130">
        <f t="shared" si="6"/>
        <v>55261.58529171181</v>
      </c>
      <c r="N260" s="130">
        <f t="shared" si="6"/>
        <v>63042.967412952567</v>
      </c>
      <c r="O260" s="130">
        <f t="shared" si="6"/>
        <v>54946.703280777714</v>
      </c>
      <c r="P260" s="130">
        <f t="shared" si="6"/>
        <v>52591.639232229951</v>
      </c>
      <c r="Q260" s="130">
        <f t="shared" si="6"/>
        <v>51609.226499815923</v>
      </c>
      <c r="R260" s="130">
        <f t="shared" si="6"/>
        <v>59254.124379339817</v>
      </c>
      <c r="S260" s="130">
        <f t="shared" si="6"/>
        <v>50136.020492717595</v>
      </c>
      <c r="T260" s="130">
        <f t="shared" si="6"/>
        <v>63642.650905746559</v>
      </c>
      <c r="U260" s="130">
        <f t="shared" si="6"/>
        <v>63794.74878527048</v>
      </c>
      <c r="V260" s="130">
        <f t="shared" si="6"/>
        <v>55682.244898648256</v>
      </c>
      <c r="W260" s="130">
        <f t="shared" si="6"/>
        <v>67783.213453860735</v>
      </c>
      <c r="X260" s="130">
        <f t="shared" si="6"/>
        <v>58746.620136979604</v>
      </c>
      <c r="Y260" s="130">
        <f t="shared" si="6"/>
        <v>53661.699610914307</v>
      </c>
      <c r="Z260" s="130">
        <f t="shared" si="6"/>
        <v>66371.982553686263</v>
      </c>
      <c r="AA260" s="130">
        <f t="shared" si="6"/>
        <v>61623.394396969583</v>
      </c>
      <c r="AB260" s="130">
        <f t="shared" si="6"/>
        <v>51522.113130766549</v>
      </c>
      <c r="AC260" s="130">
        <f t="shared" si="6"/>
        <v>55640.881013413549</v>
      </c>
      <c r="AD260" s="130">
        <f t="shared" si="6"/>
        <v>57527.821191492571</v>
      </c>
      <c r="AE260" s="130">
        <f t="shared" si="6"/>
        <v>55860.436588307712</v>
      </c>
      <c r="AF260" s="130">
        <f t="shared" si="6"/>
        <v>53513.33273004643</v>
      </c>
      <c r="AG260" s="130">
        <f t="shared" si="6"/>
        <v>49556.935409088583</v>
      </c>
      <c r="AH260" s="130">
        <f t="shared" si="6"/>
        <v>57900.80220900938</v>
      </c>
      <c r="AI260" s="130">
        <f t="shared" si="6"/>
        <v>65190.378269261899</v>
      </c>
      <c r="AJ260" s="130">
        <f t="shared" si="6"/>
        <v>67950.126662654686</v>
      </c>
      <c r="AK260" s="130">
        <f t="shared" si="6"/>
        <v>77476.317736464945</v>
      </c>
      <c r="AL260" s="130">
        <f t="shared" si="6"/>
        <v>46818.988673528453</v>
      </c>
      <c r="AM260" s="130">
        <f t="shared" si="6"/>
        <v>47399.837290518473</v>
      </c>
      <c r="AN260" s="130">
        <f t="shared" si="6"/>
        <v>57044.201186010265</v>
      </c>
      <c r="AO260" s="130">
        <f t="shared" si="6"/>
        <v>55231.780880364233</v>
      </c>
      <c r="AP260" s="130">
        <f t="shared" si="6"/>
        <v>55683.720468091524</v>
      </c>
      <c r="AQ260" s="130">
        <f t="shared" si="6"/>
        <v>47656.709324749005</v>
      </c>
      <c r="AR260" s="130">
        <f t="shared" si="6"/>
        <v>49494.519072971183</v>
      </c>
      <c r="AS260" s="130">
        <f t="shared" si="6"/>
        <v>46841.961876259971</v>
      </c>
      <c r="AT260" s="130">
        <f t="shared" si="6"/>
        <v>50129.404679548796</v>
      </c>
      <c r="AU260" s="130">
        <f t="shared" si="6"/>
        <v>54092.975808931093</v>
      </c>
      <c r="AV260" s="130">
        <f t="shared" si="6"/>
        <v>52674.286289458163</v>
      </c>
      <c r="AW260" s="130">
        <f t="shared" si="6"/>
        <v>51094.289408808967</v>
      </c>
      <c r="AX260" s="130">
        <f t="shared" si="6"/>
        <v>48445.984713394449</v>
      </c>
      <c r="AY260" s="130">
        <f t="shared" si="6"/>
        <v>45966.584890993152</v>
      </c>
      <c r="AZ260" s="146">
        <f>SUM($D260:$AY260)</f>
        <v>2678974.499015233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5" x14ac:dyDescent="0.2">
      <c r="A1" s="107" t="s">
        <v>284</v>
      </c>
    </row>
    <row r="2" spans="1:55" x14ac:dyDescent="0.2">
      <c r="A2" s="105" t="s">
        <v>285</v>
      </c>
      <c r="B2" s="112" t="s">
        <v>57</v>
      </c>
    </row>
    <row r="3" spans="1:55" x14ac:dyDescent="0.2">
      <c r="A3" s="105" t="s">
        <v>286</v>
      </c>
      <c r="B3" s="113">
        <v>750</v>
      </c>
      <c r="C3" s="114"/>
    </row>
    <row r="4" spans="1:55" x14ac:dyDescent="0.2">
      <c r="B4" s="115"/>
      <c r="C4" s="115"/>
    </row>
    <row r="5" spans="1:55" x14ac:dyDescent="0.2">
      <c r="C5" s="116" t="s">
        <v>287</v>
      </c>
    </row>
    <row r="6" spans="1:55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5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5" x14ac:dyDescent="0.2">
      <c r="A8" s="107" t="s">
        <v>292</v>
      </c>
      <c r="B8" s="119"/>
      <c r="AY8" s="115"/>
    </row>
    <row r="9" spans="1:55" x14ac:dyDescent="0.2">
      <c r="A9" s="120" t="s">
        <v>125</v>
      </c>
      <c r="B9" s="121">
        <v>1</v>
      </c>
      <c r="C9" s="122" t="s">
        <v>293</v>
      </c>
      <c r="D9" s="122">
        <v>132.15822784810126</v>
      </c>
      <c r="E9" s="122">
        <v>132.15822784810126</v>
      </c>
      <c r="F9" s="122">
        <v>132.15822784810126</v>
      </c>
      <c r="G9" s="122">
        <v>132.15822784810126</v>
      </c>
      <c r="H9" s="122">
        <v>132.15822784810126</v>
      </c>
      <c r="I9" s="122">
        <v>132.15822784810126</v>
      </c>
      <c r="J9" s="122">
        <v>132.15822784810126</v>
      </c>
      <c r="K9" s="122">
        <v>132.15822784810126</v>
      </c>
      <c r="L9" s="122">
        <v>132.15822784810126</v>
      </c>
      <c r="M9" s="122">
        <v>132.15822784810126</v>
      </c>
      <c r="N9" s="122">
        <v>132.15822784810126</v>
      </c>
      <c r="O9" s="122">
        <v>132.15822784810126</v>
      </c>
      <c r="P9" s="122">
        <v>132.15822784810126</v>
      </c>
      <c r="Q9" s="122">
        <v>132.15822784810126</v>
      </c>
      <c r="R9" s="122">
        <v>132.15822784810126</v>
      </c>
      <c r="S9" s="122">
        <v>132.15822784810126</v>
      </c>
      <c r="T9" s="122">
        <v>132.15822784810126</v>
      </c>
      <c r="U9" s="122">
        <v>132.15822784810126</v>
      </c>
      <c r="V9" s="122">
        <v>132.15822784810126</v>
      </c>
      <c r="W9" s="122">
        <v>132.15822784810126</v>
      </c>
      <c r="X9" s="122">
        <v>132.15822784810126</v>
      </c>
      <c r="Y9" s="122">
        <v>132.15822784810126</v>
      </c>
      <c r="Z9" s="122">
        <v>132.15822784810126</v>
      </c>
      <c r="AA9" s="122">
        <v>132.15822784810126</v>
      </c>
      <c r="AB9" s="122">
        <v>132.15822784810126</v>
      </c>
      <c r="AC9" s="122">
        <v>132.15822784810126</v>
      </c>
      <c r="AD9" s="122">
        <v>132.15822784810126</v>
      </c>
      <c r="AE9" s="122">
        <v>132.15822784810126</v>
      </c>
      <c r="AF9" s="122">
        <v>132.15822784810126</v>
      </c>
      <c r="AG9" s="122">
        <v>132.15822784810126</v>
      </c>
      <c r="AH9" s="122">
        <v>132.15822784810126</v>
      </c>
      <c r="AI9" s="122">
        <v>132.15822784810126</v>
      </c>
      <c r="AJ9" s="122">
        <v>132.15822784810126</v>
      </c>
      <c r="AK9" s="122">
        <v>132.15822784810126</v>
      </c>
      <c r="AL9" s="122">
        <v>132.15822784810126</v>
      </c>
      <c r="AM9" s="122">
        <v>132.15822784810126</v>
      </c>
      <c r="AN9" s="122">
        <v>132.15822784810126</v>
      </c>
      <c r="AO9" s="122">
        <v>132.15822784810126</v>
      </c>
      <c r="AP9" s="122">
        <v>132.15822784810126</v>
      </c>
      <c r="AQ9" s="122">
        <v>132.15822784810126</v>
      </c>
      <c r="AR9" s="122">
        <v>132.15822784810126</v>
      </c>
      <c r="AS9" s="122">
        <v>132.15822784810126</v>
      </c>
      <c r="AT9" s="122">
        <v>132.15822784810126</v>
      </c>
      <c r="AU9" s="122">
        <v>132.15822784810126</v>
      </c>
      <c r="AV9" s="122">
        <v>132.15822784810126</v>
      </c>
      <c r="AW9" s="122">
        <v>132.15822784810126</v>
      </c>
      <c r="AX9" s="122">
        <v>132.15822784810126</v>
      </c>
      <c r="AY9" s="122">
        <v>132.15822784810126</v>
      </c>
    </row>
    <row r="10" spans="1:55" x14ac:dyDescent="0.2">
      <c r="A10" s="123" t="s">
        <v>133</v>
      </c>
      <c r="B10" s="124">
        <v>1</v>
      </c>
      <c r="C10" s="111" t="s">
        <v>293</v>
      </c>
      <c r="D10" s="105">
        <v>103.34177215189874</v>
      </c>
      <c r="E10" s="105">
        <v>103.34177215189874</v>
      </c>
      <c r="F10" s="105">
        <v>103.34177215189874</v>
      </c>
      <c r="G10" s="105">
        <v>103.34177215189874</v>
      </c>
      <c r="H10" s="105">
        <v>103.34177215189874</v>
      </c>
      <c r="I10" s="105">
        <v>103.34177215189874</v>
      </c>
      <c r="J10" s="105">
        <v>103.34177215189874</v>
      </c>
      <c r="K10" s="105">
        <v>103.34177215189874</v>
      </c>
      <c r="L10" s="105">
        <v>103.34177215189874</v>
      </c>
      <c r="M10" s="105">
        <v>103.34177215189874</v>
      </c>
      <c r="N10" s="105">
        <v>103.34177215189874</v>
      </c>
      <c r="O10" s="105">
        <v>103.34177215189874</v>
      </c>
      <c r="P10" s="105">
        <v>103.34177215189874</v>
      </c>
      <c r="Q10" s="105">
        <v>103.34177215189874</v>
      </c>
      <c r="R10" s="105">
        <v>103.34177215189874</v>
      </c>
      <c r="S10" s="105">
        <v>103.34177215189874</v>
      </c>
      <c r="T10" s="105">
        <v>103.34177215189874</v>
      </c>
      <c r="U10" s="105">
        <v>103.34177215189874</v>
      </c>
      <c r="V10" s="105">
        <v>103.34177215189874</v>
      </c>
      <c r="W10" s="105">
        <v>103.34177215189874</v>
      </c>
      <c r="X10" s="105">
        <v>103.34177215189874</v>
      </c>
      <c r="Y10" s="105">
        <v>103.34177215189874</v>
      </c>
      <c r="Z10" s="105">
        <v>103.34177215189874</v>
      </c>
      <c r="AA10" s="105">
        <v>103.34177215189874</v>
      </c>
      <c r="AB10" s="105">
        <v>0</v>
      </c>
      <c r="AC10" s="105">
        <v>142.07650273224044</v>
      </c>
      <c r="AD10" s="105">
        <v>103.34177215189874</v>
      </c>
      <c r="AE10" s="105">
        <v>103.34177215189874</v>
      </c>
      <c r="AF10" s="105">
        <v>103.34177215189874</v>
      </c>
      <c r="AG10" s="105">
        <v>103.34177215189874</v>
      </c>
      <c r="AH10" s="105">
        <v>103.34177215189874</v>
      </c>
      <c r="AI10" s="105">
        <v>103.34177215189874</v>
      </c>
      <c r="AJ10" s="105">
        <v>103.34177215189874</v>
      </c>
      <c r="AK10" s="105">
        <v>103.34177215189874</v>
      </c>
      <c r="AL10" s="105">
        <v>103.34177215189874</v>
      </c>
      <c r="AM10" s="105">
        <v>103.34177215189874</v>
      </c>
      <c r="AN10" s="105">
        <v>103.34177215189874</v>
      </c>
      <c r="AO10" s="105">
        <v>103.34177215189874</v>
      </c>
      <c r="AP10" s="105">
        <v>103.34177215189874</v>
      </c>
      <c r="AQ10" s="105">
        <v>103.34177215189874</v>
      </c>
      <c r="AR10" s="105">
        <v>103.34177215189874</v>
      </c>
      <c r="AS10" s="105">
        <v>103.34177215189874</v>
      </c>
      <c r="AT10" s="105">
        <v>103.34177215189874</v>
      </c>
      <c r="AU10" s="105">
        <v>103.34177215189874</v>
      </c>
      <c r="AV10" s="105">
        <v>103.34177215189874</v>
      </c>
      <c r="AW10" s="105">
        <v>103.34177215189874</v>
      </c>
      <c r="AX10" s="105">
        <v>103.34177215189874</v>
      </c>
      <c r="AY10" s="105">
        <v>103.34177215189874</v>
      </c>
      <c r="AZ10" s="105">
        <v>103.34177215189874</v>
      </c>
    </row>
    <row r="11" spans="1:55" x14ac:dyDescent="0.2">
      <c r="B11" s="124">
        <v>2</v>
      </c>
      <c r="C11" s="111" t="s">
        <v>293</v>
      </c>
      <c r="D11" s="105">
        <v>0</v>
      </c>
      <c r="F11" s="105">
        <v>0</v>
      </c>
      <c r="H11" s="105">
        <v>0</v>
      </c>
      <c r="I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</row>
    <row r="12" spans="1:55" x14ac:dyDescent="0.2">
      <c r="B12" s="125">
        <v>3</v>
      </c>
      <c r="C12" s="111" t="s">
        <v>293</v>
      </c>
      <c r="F12" s="105">
        <v>0</v>
      </c>
      <c r="H12" s="105">
        <v>0</v>
      </c>
      <c r="J12" s="105">
        <v>0</v>
      </c>
      <c r="K12" s="105">
        <v>0</v>
      </c>
      <c r="L12" s="105">
        <v>0</v>
      </c>
      <c r="M12" s="105">
        <v>0</v>
      </c>
      <c r="O12" s="105">
        <v>0</v>
      </c>
      <c r="P12" s="105">
        <v>0</v>
      </c>
      <c r="Q12" s="105">
        <v>0</v>
      </c>
      <c r="S12" s="105">
        <v>0</v>
      </c>
      <c r="U12" s="105">
        <v>0</v>
      </c>
      <c r="W12" s="105">
        <v>0</v>
      </c>
      <c r="X12" s="105">
        <v>0</v>
      </c>
      <c r="AB12" s="105">
        <v>0</v>
      </c>
      <c r="AC12" s="105">
        <v>0</v>
      </c>
      <c r="AD12" s="105">
        <v>0</v>
      </c>
      <c r="AF12" s="105">
        <v>0</v>
      </c>
      <c r="AG12" s="105">
        <v>0</v>
      </c>
      <c r="AH12" s="105">
        <v>0</v>
      </c>
      <c r="AL12" s="105">
        <v>0</v>
      </c>
      <c r="AM12" s="105">
        <v>0</v>
      </c>
      <c r="AO12" s="105">
        <v>0</v>
      </c>
      <c r="AQ12" s="105">
        <v>0</v>
      </c>
      <c r="AR12" s="105">
        <v>0</v>
      </c>
      <c r="AT12" s="105">
        <v>0</v>
      </c>
      <c r="AV12" s="105">
        <v>0</v>
      </c>
      <c r="AY12" s="105">
        <v>0</v>
      </c>
      <c r="BA12" s="105">
        <v>0</v>
      </c>
      <c r="BB12" s="105">
        <v>0</v>
      </c>
    </row>
    <row r="13" spans="1:55" x14ac:dyDescent="0.2">
      <c r="B13" s="125">
        <v>4</v>
      </c>
      <c r="C13" s="111" t="s">
        <v>293</v>
      </c>
      <c r="E13" s="105">
        <v>0</v>
      </c>
      <c r="I13" s="105">
        <v>0</v>
      </c>
      <c r="J13" s="105">
        <v>0</v>
      </c>
      <c r="K13" s="105">
        <v>0</v>
      </c>
      <c r="L13" s="105">
        <v>0</v>
      </c>
      <c r="T13" s="105">
        <v>0</v>
      </c>
      <c r="AA13" s="105">
        <v>0</v>
      </c>
      <c r="AF13" s="105">
        <v>0</v>
      </c>
      <c r="AI13" s="105">
        <v>0</v>
      </c>
      <c r="AO13" s="105">
        <v>0</v>
      </c>
      <c r="AR13" s="105">
        <v>0</v>
      </c>
      <c r="AW13" s="105">
        <v>0</v>
      </c>
      <c r="BB13" s="105">
        <v>0</v>
      </c>
      <c r="BC13" s="105">
        <v>0</v>
      </c>
    </row>
    <row r="14" spans="1:55" x14ac:dyDescent="0.2">
      <c r="A14" s="120" t="s">
        <v>134</v>
      </c>
      <c r="B14" s="126">
        <v>1</v>
      </c>
      <c r="C14" s="122" t="s">
        <v>293</v>
      </c>
      <c r="D14" s="122">
        <v>93.854891250422384</v>
      </c>
      <c r="E14" s="122">
        <f t="shared" ref="E14:AZ14" si="0">D$172*SUM(D$122:D$169)</f>
        <v>105.16178791013252</v>
      </c>
      <c r="F14" s="122">
        <f t="shared" si="0"/>
        <v>103.97809833810933</v>
      </c>
      <c r="G14" s="122">
        <f t="shared" si="0"/>
        <v>109.96665736765148</v>
      </c>
      <c r="H14" s="122">
        <f t="shared" si="0"/>
        <v>87.667847820398919</v>
      </c>
      <c r="I14" s="122">
        <f t="shared" si="0"/>
        <v>98.09776446901445</v>
      </c>
      <c r="J14" s="122">
        <f t="shared" si="0"/>
        <v>87.038800288448414</v>
      </c>
      <c r="K14" s="122">
        <f t="shared" si="0"/>
        <v>84.413521647307292</v>
      </c>
      <c r="L14" s="122">
        <f t="shared" si="0"/>
        <v>103.1819333157339</v>
      </c>
      <c r="M14" s="122">
        <f t="shared" si="0"/>
        <v>100.61361030042238</v>
      </c>
      <c r="N14" s="122">
        <f t="shared" si="0"/>
        <v>96.796001578632513</v>
      </c>
      <c r="O14" s="122">
        <f t="shared" si="0"/>
        <v>84.413521647307306</v>
      </c>
      <c r="P14" s="122">
        <f t="shared" si="0"/>
        <v>84.413521647307292</v>
      </c>
      <c r="Q14" s="122">
        <f t="shared" si="0"/>
        <v>89.611933315733893</v>
      </c>
      <c r="R14" s="122">
        <f t="shared" si="0"/>
        <v>84.413521647307292</v>
      </c>
      <c r="S14" s="122">
        <f t="shared" si="0"/>
        <v>84.413521647307292</v>
      </c>
      <c r="T14" s="122">
        <f t="shared" si="0"/>
        <v>90.071933315733901</v>
      </c>
      <c r="U14" s="122">
        <f t="shared" si="0"/>
        <v>87.98891030042239</v>
      </c>
      <c r="V14" s="122">
        <f t="shared" si="0"/>
        <v>92.594982578632525</v>
      </c>
      <c r="W14" s="122">
        <f t="shared" si="0"/>
        <v>84.413521647307306</v>
      </c>
      <c r="X14" s="122">
        <f t="shared" si="0"/>
        <v>84.413521647307292</v>
      </c>
      <c r="Y14" s="122">
        <f t="shared" si="0"/>
        <v>84.413521647307292</v>
      </c>
      <c r="Z14" s="122">
        <f t="shared" si="0"/>
        <v>84.413521647307292</v>
      </c>
      <c r="AA14" s="122">
        <f t="shared" si="0"/>
        <v>84.413521647307292</v>
      </c>
      <c r="AB14" s="122">
        <f t="shared" si="0"/>
        <v>85.471933315733892</v>
      </c>
      <c r="AC14" s="122">
        <f t="shared" si="0"/>
        <v>66.358521647307285</v>
      </c>
      <c r="AD14" s="122">
        <f t="shared" si="0"/>
        <v>91.180926018891981</v>
      </c>
      <c r="AE14" s="122">
        <f t="shared" si="0"/>
        <v>84.413521647307292</v>
      </c>
      <c r="AF14" s="122">
        <f t="shared" si="0"/>
        <v>93.2919333157339</v>
      </c>
      <c r="AG14" s="122">
        <f t="shared" si="0"/>
        <v>95.298310300422386</v>
      </c>
      <c r="AH14" s="122">
        <f t="shared" si="0"/>
        <v>84.413521647307292</v>
      </c>
      <c r="AI14" s="122">
        <f t="shared" si="0"/>
        <v>84.413521647307292</v>
      </c>
      <c r="AJ14" s="122">
        <f t="shared" si="0"/>
        <v>86.16193331573389</v>
      </c>
      <c r="AK14" s="122">
        <f t="shared" si="0"/>
        <v>84.413521647307292</v>
      </c>
      <c r="AL14" s="122">
        <f t="shared" si="0"/>
        <v>84.413521647307292</v>
      </c>
      <c r="AM14" s="122">
        <f t="shared" si="0"/>
        <v>84.413521647307292</v>
      </c>
      <c r="AN14" s="122">
        <f t="shared" si="0"/>
        <v>87.5419333157339</v>
      </c>
      <c r="AO14" s="122">
        <f t="shared" si="0"/>
        <v>102.17481241235481</v>
      </c>
      <c r="AP14" s="122">
        <f t="shared" si="0"/>
        <v>91.362129316752927</v>
      </c>
      <c r="AQ14" s="122">
        <f t="shared" si="0"/>
        <v>90.887523759239713</v>
      </c>
      <c r="AR14" s="122">
        <f t="shared" si="0"/>
        <v>90.887523759239713</v>
      </c>
      <c r="AS14" s="122">
        <f t="shared" si="0"/>
        <v>99.690917053854292</v>
      </c>
      <c r="AT14" s="122">
        <f t="shared" si="0"/>
        <v>94.279529890707522</v>
      </c>
      <c r="AU14" s="122">
        <f t="shared" si="0"/>
        <v>100.00276177508451</v>
      </c>
      <c r="AV14" s="122">
        <f t="shared" si="0"/>
        <v>91.759650326054782</v>
      </c>
      <c r="AW14" s="122">
        <f t="shared" si="0"/>
        <v>84.413521647307292</v>
      </c>
      <c r="AX14" s="122">
        <f t="shared" si="0"/>
        <v>84.413521647307292</v>
      </c>
      <c r="AY14" s="122">
        <f t="shared" si="0"/>
        <v>84.413521647307292</v>
      </c>
      <c r="AZ14" s="115">
        <f t="shared" si="0"/>
        <v>84.413521647307292</v>
      </c>
      <c r="BA14" s="112">
        <f>SUM($E14:$AZ14)</f>
        <v>4307.3910333680578</v>
      </c>
    </row>
    <row r="15" spans="1:55" x14ac:dyDescent="0.2">
      <c r="A15" s="127" t="s">
        <v>123</v>
      </c>
      <c r="B15" s="128">
        <v>1</v>
      </c>
      <c r="C15" s="129" t="s">
        <v>293</v>
      </c>
      <c r="D15" s="129">
        <v>367.01531151003167</v>
      </c>
      <c r="E15" s="129">
        <v>367.01531151003167</v>
      </c>
      <c r="F15" s="129">
        <v>367.01531151003167</v>
      </c>
      <c r="G15" s="129">
        <v>367.01531151003167</v>
      </c>
      <c r="H15" s="129">
        <v>367.01531151003167</v>
      </c>
      <c r="I15" s="129">
        <v>367.01531151003167</v>
      </c>
      <c r="J15" s="129">
        <v>367.01531151003167</v>
      </c>
      <c r="K15" s="129">
        <v>367.01531151003167</v>
      </c>
      <c r="L15" s="129">
        <v>367.01531151003167</v>
      </c>
      <c r="M15" s="129">
        <v>367.01531151003167</v>
      </c>
      <c r="N15" s="129">
        <v>367.01531151003167</v>
      </c>
      <c r="O15" s="129">
        <v>367.01531151003167</v>
      </c>
      <c r="P15" s="129">
        <v>367.01531151003167</v>
      </c>
      <c r="Q15" s="129">
        <v>367.01531151003167</v>
      </c>
      <c r="R15" s="129">
        <v>367.01531151003167</v>
      </c>
      <c r="S15" s="129">
        <v>367.01531151003167</v>
      </c>
      <c r="T15" s="129">
        <v>367.01531151003167</v>
      </c>
      <c r="U15" s="129">
        <v>367.01531151003167</v>
      </c>
      <c r="V15" s="129">
        <v>367.01531151003167</v>
      </c>
      <c r="W15" s="129">
        <v>367.01531151003167</v>
      </c>
      <c r="X15" s="129">
        <v>367.01531151003167</v>
      </c>
      <c r="Y15" s="129">
        <v>367.01531151003167</v>
      </c>
      <c r="Z15" s="129">
        <v>367.01531151003167</v>
      </c>
      <c r="AA15" s="129">
        <v>367.01531151003167</v>
      </c>
      <c r="AB15" s="129">
        <v>288.51531151003167</v>
      </c>
      <c r="AC15" s="129">
        <v>396.43880877779122</v>
      </c>
      <c r="AD15" s="129">
        <v>367.01531151003167</v>
      </c>
      <c r="AE15" s="129">
        <v>367.01531151003167</v>
      </c>
      <c r="AF15" s="129">
        <v>367.01531151003167</v>
      </c>
      <c r="AG15" s="129">
        <v>367.01531151003167</v>
      </c>
      <c r="AH15" s="129">
        <v>367.01531151003167</v>
      </c>
      <c r="AI15" s="129">
        <v>367.01531151003167</v>
      </c>
      <c r="AJ15" s="129">
        <v>367.01531151003167</v>
      </c>
      <c r="AK15" s="129">
        <v>367.01531151003167</v>
      </c>
      <c r="AL15" s="129">
        <v>367.01531151003167</v>
      </c>
      <c r="AM15" s="129">
        <v>367.01531151003167</v>
      </c>
      <c r="AN15" s="129">
        <v>395.16314677930308</v>
      </c>
      <c r="AO15" s="129">
        <v>395.16314677930308</v>
      </c>
      <c r="AP15" s="129">
        <v>395.16314677930308</v>
      </c>
      <c r="AQ15" s="129">
        <v>395.16314677930308</v>
      </c>
      <c r="AR15" s="129">
        <v>395.16314677930308</v>
      </c>
      <c r="AS15" s="129">
        <v>395.16314677930308</v>
      </c>
      <c r="AT15" s="129">
        <v>395.16314677930308</v>
      </c>
      <c r="AU15" s="129">
        <v>395.16314677930308</v>
      </c>
      <c r="AV15" s="129">
        <v>367.01531151003167</v>
      </c>
      <c r="AW15" s="129">
        <v>367.01531151003167</v>
      </c>
      <c r="AX15" s="129">
        <v>367.01531151003167</v>
      </c>
      <c r="AY15" s="129">
        <v>367.01531151003167</v>
      </c>
      <c r="AZ15" s="105">
        <v>78.500000000000014</v>
      </c>
    </row>
    <row r="16" spans="1:55" x14ac:dyDescent="0.2">
      <c r="A16" s="115"/>
      <c r="B16" s="124">
        <v>2</v>
      </c>
      <c r="C16" s="114" t="s">
        <v>293</v>
      </c>
      <c r="D16" s="111">
        <v>0</v>
      </c>
      <c r="E16" s="115"/>
      <c r="F16" s="115">
        <v>0</v>
      </c>
      <c r="G16" s="115"/>
      <c r="H16" s="115">
        <v>0</v>
      </c>
      <c r="I16" s="115">
        <v>0</v>
      </c>
      <c r="J16" s="115"/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</row>
    <row r="17" spans="1:55" x14ac:dyDescent="0.2">
      <c r="A17" s="115"/>
      <c r="B17" s="124">
        <v>3</v>
      </c>
      <c r="C17" s="114" t="s">
        <v>293</v>
      </c>
      <c r="D17" s="111"/>
      <c r="E17" s="115"/>
      <c r="F17" s="115">
        <v>0</v>
      </c>
      <c r="G17" s="115"/>
      <c r="H17" s="115">
        <v>0</v>
      </c>
      <c r="I17" s="115"/>
      <c r="J17" s="115">
        <v>0</v>
      </c>
      <c r="K17" s="115">
        <v>0</v>
      </c>
      <c r="L17" s="115">
        <v>0</v>
      </c>
      <c r="M17" s="115">
        <v>0</v>
      </c>
      <c r="N17" s="115"/>
      <c r="O17" s="115">
        <v>0</v>
      </c>
      <c r="P17" s="115">
        <v>0</v>
      </c>
      <c r="Q17" s="115">
        <v>0</v>
      </c>
      <c r="R17" s="115"/>
      <c r="S17" s="115">
        <v>0</v>
      </c>
      <c r="T17" s="115"/>
      <c r="U17" s="115">
        <v>0</v>
      </c>
      <c r="V17" s="115"/>
      <c r="W17" s="115">
        <v>0</v>
      </c>
      <c r="X17" s="115">
        <v>0</v>
      </c>
      <c r="Y17" s="115"/>
      <c r="Z17" s="115"/>
      <c r="AA17" s="115"/>
      <c r="AB17" s="115">
        <v>0</v>
      </c>
      <c r="AC17" s="115">
        <v>0</v>
      </c>
      <c r="AD17" s="115">
        <v>0</v>
      </c>
      <c r="AE17" s="115"/>
      <c r="AF17" s="115">
        <v>0</v>
      </c>
      <c r="AG17" s="115">
        <v>0</v>
      </c>
      <c r="AH17" s="115">
        <v>0</v>
      </c>
      <c r="AI17" s="115"/>
      <c r="AJ17" s="115"/>
      <c r="AK17" s="115"/>
      <c r="AL17" s="115">
        <v>0</v>
      </c>
      <c r="AM17" s="115">
        <v>0</v>
      </c>
      <c r="AN17" s="115"/>
      <c r="AO17" s="115">
        <v>0</v>
      </c>
      <c r="AP17" s="115"/>
      <c r="AQ17" s="115">
        <v>0</v>
      </c>
      <c r="AR17" s="115">
        <v>0</v>
      </c>
      <c r="AS17" s="115"/>
      <c r="AT17" s="115">
        <v>0</v>
      </c>
      <c r="AU17" s="115"/>
      <c r="AV17" s="115">
        <v>0</v>
      </c>
      <c r="AW17" s="115"/>
      <c r="AX17" s="115"/>
      <c r="AY17" s="115">
        <v>0</v>
      </c>
      <c r="BA17" s="105">
        <v>0</v>
      </c>
      <c r="BB17" s="105">
        <v>0</v>
      </c>
    </row>
    <row r="18" spans="1:55" x14ac:dyDescent="0.2">
      <c r="A18" s="130"/>
      <c r="B18" s="121">
        <v>4</v>
      </c>
      <c r="C18" s="130" t="s">
        <v>293</v>
      </c>
      <c r="D18" s="130"/>
      <c r="E18" s="130">
        <v>0</v>
      </c>
      <c r="F18" s="130"/>
      <c r="G18" s="130"/>
      <c r="H18" s="130"/>
      <c r="I18" s="130">
        <v>0</v>
      </c>
      <c r="J18" s="130">
        <v>0</v>
      </c>
      <c r="K18" s="130">
        <v>0</v>
      </c>
      <c r="L18" s="130">
        <v>0</v>
      </c>
      <c r="M18" s="130"/>
      <c r="N18" s="130"/>
      <c r="O18" s="130"/>
      <c r="P18" s="130"/>
      <c r="Q18" s="130"/>
      <c r="R18" s="130"/>
      <c r="S18" s="130"/>
      <c r="T18" s="130">
        <v>0</v>
      </c>
      <c r="U18" s="130"/>
      <c r="V18" s="130"/>
      <c r="W18" s="130"/>
      <c r="X18" s="130"/>
      <c r="Y18" s="130"/>
      <c r="Z18" s="130"/>
      <c r="AA18" s="130">
        <v>0</v>
      </c>
      <c r="AB18" s="130"/>
      <c r="AC18" s="130"/>
      <c r="AD18" s="130"/>
      <c r="AE18" s="130"/>
      <c r="AF18" s="130">
        <v>0</v>
      </c>
      <c r="AG18" s="130"/>
      <c r="AH18" s="130"/>
      <c r="AI18" s="130">
        <v>0</v>
      </c>
      <c r="AJ18" s="130"/>
      <c r="AK18" s="130"/>
      <c r="AL18" s="130"/>
      <c r="AM18" s="130"/>
      <c r="AN18" s="130"/>
      <c r="AO18" s="130">
        <v>0</v>
      </c>
      <c r="AP18" s="130"/>
      <c r="AQ18" s="130"/>
      <c r="AR18" s="130">
        <v>0</v>
      </c>
      <c r="AS18" s="130"/>
      <c r="AT18" s="130"/>
      <c r="AU18" s="130"/>
      <c r="AV18" s="130"/>
      <c r="AW18" s="130">
        <v>0</v>
      </c>
      <c r="AX18" s="130"/>
      <c r="AY18" s="130"/>
      <c r="BB18" s="105">
        <v>0</v>
      </c>
      <c r="BC18" s="105">
        <v>0</v>
      </c>
    </row>
    <row r="20" spans="1:55" x14ac:dyDescent="0.2">
      <c r="A20" s="107" t="s">
        <v>294</v>
      </c>
    </row>
    <row r="21" spans="1:55" x14ac:dyDescent="0.2">
      <c r="A21" s="131" t="s">
        <v>125</v>
      </c>
      <c r="B21" s="128">
        <v>1</v>
      </c>
      <c r="C21" s="129" t="s">
        <v>293</v>
      </c>
      <c r="D21" s="129">
        <v>132.15822784810126</v>
      </c>
      <c r="E21" s="129">
        <v>132.15822784810126</v>
      </c>
      <c r="F21" s="129">
        <v>132.15822784810126</v>
      </c>
      <c r="G21" s="129">
        <v>132.15822784810126</v>
      </c>
      <c r="H21" s="129">
        <v>132.15822784810126</v>
      </c>
      <c r="I21" s="129">
        <v>132.15822784810126</v>
      </c>
      <c r="J21" s="129">
        <v>132.15822784810126</v>
      </c>
      <c r="K21" s="129">
        <v>132.15822784810126</v>
      </c>
      <c r="L21" s="129">
        <v>132.15822784810126</v>
      </c>
      <c r="M21" s="129">
        <v>132.15822784810126</v>
      </c>
      <c r="N21" s="129">
        <v>132.15822784810126</v>
      </c>
      <c r="O21" s="129">
        <v>132.15822784810126</v>
      </c>
      <c r="P21" s="129">
        <v>132.15822784810126</v>
      </c>
      <c r="Q21" s="129">
        <v>132.15822784810126</v>
      </c>
      <c r="R21" s="129">
        <v>132.15822784810126</v>
      </c>
      <c r="S21" s="129">
        <v>132.15822784810126</v>
      </c>
      <c r="T21" s="129">
        <v>132.15822784810126</v>
      </c>
      <c r="U21" s="129">
        <v>132.15822784810126</v>
      </c>
      <c r="V21" s="129">
        <v>132.15822784810126</v>
      </c>
      <c r="W21" s="129">
        <v>132.15822784810126</v>
      </c>
      <c r="X21" s="129">
        <v>132.15822784810126</v>
      </c>
      <c r="Y21" s="129">
        <v>132.15822784810126</v>
      </c>
      <c r="Z21" s="129">
        <v>132.15822784810126</v>
      </c>
      <c r="AA21" s="129">
        <v>132.15822784810126</v>
      </c>
      <c r="AB21" s="129">
        <v>29.462769633849348</v>
      </c>
      <c r="AC21" s="129">
        <v>132.15822784810126</v>
      </c>
      <c r="AD21" s="129">
        <v>132.15822784810126</v>
      </c>
      <c r="AE21" s="129">
        <v>132.15822784810126</v>
      </c>
      <c r="AF21" s="129">
        <v>132.15822784810126</v>
      </c>
      <c r="AG21" s="129">
        <v>132.15822784810126</v>
      </c>
      <c r="AH21" s="129">
        <v>132.15822784810126</v>
      </c>
      <c r="AI21" s="129">
        <v>132.15822784810126</v>
      </c>
      <c r="AJ21" s="129">
        <v>132.15822784810126</v>
      </c>
      <c r="AK21" s="129">
        <v>132.15822784810126</v>
      </c>
      <c r="AL21" s="129">
        <v>132.15822784810126</v>
      </c>
      <c r="AM21" s="129">
        <v>132.15822784810126</v>
      </c>
      <c r="AN21" s="129">
        <v>132.15822784810126</v>
      </c>
      <c r="AO21" s="129">
        <v>132.15822784810126</v>
      </c>
      <c r="AP21" s="129">
        <v>132.15822784810126</v>
      </c>
      <c r="AQ21" s="129">
        <v>132.15822784810126</v>
      </c>
      <c r="AR21" s="129">
        <v>132.15822784810126</v>
      </c>
      <c r="AS21" s="129">
        <v>132.15822784810126</v>
      </c>
      <c r="AT21" s="129">
        <v>132.15822784810126</v>
      </c>
      <c r="AU21" s="129">
        <v>132.15822784810126</v>
      </c>
      <c r="AV21" s="129">
        <v>132.15822784810126</v>
      </c>
      <c r="AW21" s="129">
        <v>132.15822784810126</v>
      </c>
      <c r="AX21" s="129">
        <v>132.15822784810126</v>
      </c>
      <c r="AY21" s="129">
        <v>132.15822784810126</v>
      </c>
    </row>
    <row r="22" spans="1:55" x14ac:dyDescent="0.2">
      <c r="A22" s="114"/>
      <c r="B22" s="125">
        <v>2</v>
      </c>
      <c r="C22" s="115" t="s">
        <v>293</v>
      </c>
      <c r="D22" s="115">
        <v>132.15822784810126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>
        <v>0</v>
      </c>
      <c r="AC22" s="115">
        <v>0</v>
      </c>
      <c r="AD22" s="115">
        <v>0</v>
      </c>
      <c r="AE22" s="115">
        <v>0</v>
      </c>
      <c r="AF22" s="115">
        <v>0</v>
      </c>
      <c r="AG22" s="115">
        <v>0</v>
      </c>
      <c r="AH22" s="115">
        <v>0</v>
      </c>
      <c r="AI22" s="115">
        <v>0</v>
      </c>
      <c r="AJ22" s="115">
        <v>0</v>
      </c>
      <c r="AK22" s="115">
        <v>0</v>
      </c>
      <c r="AL22" s="115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0</v>
      </c>
      <c r="AR22" s="115">
        <v>0</v>
      </c>
      <c r="AS22" s="115">
        <v>0</v>
      </c>
      <c r="AT22" s="115">
        <v>0</v>
      </c>
      <c r="AU22" s="115">
        <v>0</v>
      </c>
      <c r="AV22" s="115">
        <v>0</v>
      </c>
      <c r="AW22" s="115">
        <v>0</v>
      </c>
      <c r="AX22" s="115">
        <v>0</v>
      </c>
      <c r="AY22" s="115">
        <v>0</v>
      </c>
    </row>
    <row r="23" spans="1:55" x14ac:dyDescent="0.2">
      <c r="A23" s="114"/>
      <c r="B23" s="132">
        <v>3</v>
      </c>
      <c r="C23" s="115" t="s">
        <v>293</v>
      </c>
      <c r="D23" s="115">
        <v>132.15822784810126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5">
        <v>0</v>
      </c>
      <c r="O23" s="115">
        <v>0</v>
      </c>
      <c r="P23" s="115">
        <v>0</v>
      </c>
      <c r="Q23" s="115">
        <v>0</v>
      </c>
      <c r="R23" s="115">
        <v>0</v>
      </c>
      <c r="S23" s="115">
        <v>0</v>
      </c>
      <c r="T23" s="115">
        <v>0</v>
      </c>
      <c r="U23" s="115">
        <v>0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>
        <v>0</v>
      </c>
      <c r="AC23" s="115">
        <v>0</v>
      </c>
      <c r="AD23" s="115">
        <v>0</v>
      </c>
      <c r="AE23" s="115">
        <v>0</v>
      </c>
      <c r="AF23" s="115">
        <v>0</v>
      </c>
      <c r="AG23" s="115">
        <v>0</v>
      </c>
      <c r="AH23" s="115">
        <v>0</v>
      </c>
      <c r="AI23" s="115">
        <v>0</v>
      </c>
      <c r="AJ23" s="115">
        <v>0</v>
      </c>
      <c r="AK23" s="115">
        <v>0</v>
      </c>
      <c r="AL23" s="115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0</v>
      </c>
      <c r="AR23" s="115">
        <v>0</v>
      </c>
      <c r="AS23" s="115">
        <v>0</v>
      </c>
      <c r="AT23" s="115">
        <v>0</v>
      </c>
      <c r="AU23" s="115">
        <v>0</v>
      </c>
      <c r="AV23" s="115">
        <v>0</v>
      </c>
      <c r="AW23" s="115">
        <v>0</v>
      </c>
      <c r="AX23" s="115">
        <v>0</v>
      </c>
      <c r="AY23" s="115">
        <v>0</v>
      </c>
    </row>
    <row r="24" spans="1:55" x14ac:dyDescent="0.2">
      <c r="A24" s="133"/>
      <c r="B24" s="134">
        <v>4</v>
      </c>
      <c r="C24" s="133" t="s">
        <v>293</v>
      </c>
      <c r="D24" s="130">
        <v>132.15822784810126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5" x14ac:dyDescent="0.2">
      <c r="A25" s="131" t="s">
        <v>133</v>
      </c>
      <c r="B25" s="128">
        <v>1</v>
      </c>
      <c r="C25" s="114" t="s">
        <v>293</v>
      </c>
      <c r="D25" s="115">
        <v>103.34177215189874</v>
      </c>
      <c r="E25" s="115">
        <v>103.34177215189874</v>
      </c>
      <c r="F25" s="115">
        <v>103.34177215189874</v>
      </c>
      <c r="G25" s="115">
        <v>34.357083661930517</v>
      </c>
      <c r="H25" s="115">
        <v>98.372395171962296</v>
      </c>
      <c r="I25" s="115">
        <v>58.387706681993848</v>
      </c>
      <c r="J25" s="115">
        <v>55.012252008959138</v>
      </c>
      <c r="K25" s="115">
        <v>103.34177215189874</v>
      </c>
      <c r="L25" s="115">
        <v>103.34177215189874</v>
      </c>
      <c r="M25" s="115">
        <v>98.357083661930403</v>
      </c>
      <c r="N25" s="115">
        <v>65.316215973931492</v>
      </c>
      <c r="O25" s="115">
        <v>55.729737621238826</v>
      </c>
      <c r="P25" s="115">
        <v>90.745049131270491</v>
      </c>
      <c r="Q25" s="115">
        <v>77.852178670534471</v>
      </c>
      <c r="R25" s="115">
        <v>71.290773164888094</v>
      </c>
      <c r="S25" s="115">
        <v>92.183691530524257</v>
      </c>
      <c r="T25" s="115">
        <v>88.074835540858231</v>
      </c>
      <c r="U25" s="115">
        <v>102.9355431816216</v>
      </c>
      <c r="V25" s="115">
        <v>78.44364891362774</v>
      </c>
      <c r="W25" s="115">
        <v>81.449339911583152</v>
      </c>
      <c r="X25" s="115">
        <v>75.681817414859268</v>
      </c>
      <c r="Y25" s="115">
        <v>74.529636288634151</v>
      </c>
      <c r="Z25" s="115">
        <v>71.95953365090611</v>
      </c>
      <c r="AA25" s="115">
        <v>67.276170484637433</v>
      </c>
      <c r="AB25" s="115"/>
      <c r="AC25" s="115">
        <v>115.74926829815976</v>
      </c>
      <c r="AD25" s="115">
        <v>59.287682272834232</v>
      </c>
      <c r="AE25" s="115">
        <v>86.533286425245436</v>
      </c>
      <c r="AF25" s="115">
        <v>102.9296327399335</v>
      </c>
      <c r="AG25" s="115">
        <v>60.897348382654002</v>
      </c>
      <c r="AH25" s="115">
        <v>78.620371358895071</v>
      </c>
      <c r="AI25" s="115">
        <v>74.635682868926722</v>
      </c>
      <c r="AJ25" s="115">
        <v>72.311307823809997</v>
      </c>
      <c r="AK25" s="115">
        <v>70.055540715125829</v>
      </c>
      <c r="AL25" s="115">
        <v>63.1471231089523</v>
      </c>
      <c r="AM25" s="115">
        <v>74.954863342529009</v>
      </c>
      <c r="AN25" s="115">
        <v>103.34177215189874</v>
      </c>
      <c r="AO25" s="115">
        <v>94.504918931201871</v>
      </c>
      <c r="AP25" s="115">
        <v>103.34177215189874</v>
      </c>
      <c r="AQ25" s="115">
        <v>103.34177215189874</v>
      </c>
      <c r="AR25" s="115">
        <v>103.34177215189874</v>
      </c>
      <c r="AS25" s="115">
        <v>99.504918931201871</v>
      </c>
      <c r="AT25" s="115">
        <v>103.34177215189874</v>
      </c>
      <c r="AU25" s="115">
        <v>75.504918931201871</v>
      </c>
      <c r="AV25" s="115">
        <v>64.324879349658829</v>
      </c>
      <c r="AW25" s="115">
        <v>73.738400996966163</v>
      </c>
      <c r="AX25" s="115">
        <v>84.300906393670886</v>
      </c>
      <c r="AY25" s="115">
        <v>74.834770708797336</v>
      </c>
    </row>
    <row r="26" spans="1:55" x14ac:dyDescent="0.2">
      <c r="A26" s="114"/>
      <c r="B26" s="124">
        <v>2</v>
      </c>
      <c r="C26" s="114" t="s">
        <v>293</v>
      </c>
      <c r="D26" s="115">
        <v>103.34177215189874</v>
      </c>
      <c r="E26" s="115">
        <v>0</v>
      </c>
      <c r="F26" s="115">
        <v>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  <c r="N26" s="115">
        <v>0</v>
      </c>
      <c r="O26" s="115">
        <v>0</v>
      </c>
      <c r="P26" s="115">
        <v>0</v>
      </c>
      <c r="Q26" s="115">
        <v>0</v>
      </c>
      <c r="R26" s="115">
        <v>0</v>
      </c>
      <c r="S26" s="115">
        <v>0</v>
      </c>
      <c r="T26" s="115">
        <v>0</v>
      </c>
      <c r="U26" s="115">
        <v>0</v>
      </c>
      <c r="V26" s="115">
        <v>0</v>
      </c>
      <c r="W26" s="115">
        <v>0</v>
      </c>
      <c r="X26" s="115">
        <v>0</v>
      </c>
      <c r="Y26" s="115">
        <v>0</v>
      </c>
      <c r="Z26" s="115">
        <v>0</v>
      </c>
      <c r="AA26" s="115">
        <v>0</v>
      </c>
      <c r="AB26" s="115"/>
      <c r="AC26" s="115">
        <v>0</v>
      </c>
      <c r="AD26" s="115">
        <v>0</v>
      </c>
      <c r="AE26" s="115">
        <v>0</v>
      </c>
      <c r="AF26" s="115">
        <v>0</v>
      </c>
      <c r="AG26" s="115">
        <v>0</v>
      </c>
      <c r="AH26" s="115">
        <v>0</v>
      </c>
      <c r="AI26" s="115">
        <v>0</v>
      </c>
      <c r="AJ26" s="115">
        <v>0</v>
      </c>
      <c r="AK26" s="115">
        <v>0</v>
      </c>
      <c r="AL26" s="115">
        <v>0</v>
      </c>
      <c r="AM26" s="115">
        <v>0</v>
      </c>
      <c r="AN26" s="115">
        <v>0</v>
      </c>
      <c r="AO26" s="115">
        <v>0</v>
      </c>
      <c r="AP26" s="115">
        <v>0</v>
      </c>
      <c r="AQ26" s="115">
        <v>0</v>
      </c>
      <c r="AR26" s="115">
        <v>0</v>
      </c>
      <c r="AS26" s="115">
        <v>0</v>
      </c>
      <c r="AT26" s="115">
        <v>0</v>
      </c>
      <c r="AU26" s="115">
        <v>0</v>
      </c>
      <c r="AV26" s="115">
        <v>0</v>
      </c>
      <c r="AW26" s="115">
        <v>0</v>
      </c>
      <c r="AX26" s="115">
        <v>0</v>
      </c>
      <c r="AY26" s="115">
        <v>0</v>
      </c>
    </row>
    <row r="27" spans="1:55" x14ac:dyDescent="0.2">
      <c r="A27" s="114"/>
      <c r="B27" s="125">
        <v>3</v>
      </c>
      <c r="C27" s="114" t="s">
        <v>293</v>
      </c>
      <c r="D27" s="115">
        <v>103.34177215189874</v>
      </c>
      <c r="E27" s="115">
        <v>0</v>
      </c>
      <c r="F27" s="115">
        <v>0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>
        <v>0</v>
      </c>
      <c r="Q27" s="115">
        <v>0</v>
      </c>
      <c r="R27" s="115">
        <v>0</v>
      </c>
      <c r="S27" s="115">
        <v>0</v>
      </c>
      <c r="T27" s="115">
        <v>0</v>
      </c>
      <c r="U27" s="115">
        <v>0</v>
      </c>
      <c r="V27" s="115">
        <v>0</v>
      </c>
      <c r="W27" s="115">
        <v>0</v>
      </c>
      <c r="X27" s="115">
        <v>0</v>
      </c>
      <c r="Y27" s="115">
        <v>0</v>
      </c>
      <c r="Z27" s="115">
        <v>0</v>
      </c>
      <c r="AA27" s="115">
        <v>0</v>
      </c>
      <c r="AB27" s="115"/>
      <c r="AC27" s="115">
        <v>0</v>
      </c>
      <c r="AD27" s="115">
        <v>0</v>
      </c>
      <c r="AE27" s="115">
        <v>0</v>
      </c>
      <c r="AF27" s="115">
        <v>0</v>
      </c>
      <c r="AG27" s="115">
        <v>0</v>
      </c>
      <c r="AH27" s="115">
        <v>0</v>
      </c>
      <c r="AI27" s="115">
        <v>0</v>
      </c>
      <c r="AJ27" s="115">
        <v>0</v>
      </c>
      <c r="AK27" s="115">
        <v>0</v>
      </c>
      <c r="AL27" s="115">
        <v>0</v>
      </c>
      <c r="AM27" s="115">
        <v>0</v>
      </c>
      <c r="AN27" s="115">
        <v>0</v>
      </c>
      <c r="AO27" s="115">
        <v>0</v>
      </c>
      <c r="AP27" s="115">
        <v>0</v>
      </c>
      <c r="AQ27" s="115">
        <v>0</v>
      </c>
      <c r="AR27" s="115">
        <v>0</v>
      </c>
      <c r="AS27" s="115">
        <v>0</v>
      </c>
      <c r="AT27" s="115">
        <v>0</v>
      </c>
      <c r="AU27" s="115">
        <v>0</v>
      </c>
      <c r="AV27" s="115">
        <v>0</v>
      </c>
      <c r="AW27" s="115">
        <v>0</v>
      </c>
      <c r="AX27" s="115">
        <v>0</v>
      </c>
      <c r="AY27" s="115">
        <v>0</v>
      </c>
    </row>
    <row r="28" spans="1:55" x14ac:dyDescent="0.2">
      <c r="A28" s="114"/>
      <c r="B28" s="125">
        <v>4</v>
      </c>
      <c r="C28" s="114" t="s">
        <v>293</v>
      </c>
      <c r="D28" s="115">
        <v>113.67594936708862</v>
      </c>
      <c r="E28" s="115">
        <v>0</v>
      </c>
      <c r="F28" s="115">
        <v>0</v>
      </c>
      <c r="G28" s="115">
        <v>0</v>
      </c>
      <c r="H28" s="115">
        <v>0</v>
      </c>
      <c r="I28" s="115">
        <v>0</v>
      </c>
      <c r="J28" s="115">
        <v>0</v>
      </c>
      <c r="K28" s="115">
        <v>0</v>
      </c>
      <c r="L28" s="115">
        <v>0</v>
      </c>
      <c r="M28" s="115">
        <v>0</v>
      </c>
      <c r="N28" s="115">
        <v>0</v>
      </c>
      <c r="O28" s="115">
        <v>0</v>
      </c>
      <c r="P28" s="115">
        <v>0</v>
      </c>
      <c r="Q28" s="115">
        <v>0</v>
      </c>
      <c r="R28" s="115">
        <v>0</v>
      </c>
      <c r="S28" s="115">
        <v>0</v>
      </c>
      <c r="T28" s="115">
        <v>0</v>
      </c>
      <c r="U28" s="115">
        <v>0</v>
      </c>
      <c r="V28" s="115">
        <v>0</v>
      </c>
      <c r="W28" s="115">
        <v>0</v>
      </c>
      <c r="X28" s="115">
        <v>0</v>
      </c>
      <c r="Y28" s="115">
        <v>0</v>
      </c>
      <c r="Z28" s="115">
        <v>0</v>
      </c>
      <c r="AA28" s="115">
        <v>0</v>
      </c>
      <c r="AB28" s="115"/>
      <c r="AC28" s="115">
        <v>0</v>
      </c>
      <c r="AD28" s="115">
        <v>0</v>
      </c>
      <c r="AE28" s="115">
        <v>0</v>
      </c>
      <c r="AF28" s="115">
        <v>0</v>
      </c>
      <c r="AG28" s="115">
        <v>0</v>
      </c>
      <c r="AH28" s="115">
        <v>0</v>
      </c>
      <c r="AI28" s="115">
        <v>0</v>
      </c>
      <c r="AJ28" s="115">
        <v>0</v>
      </c>
      <c r="AK28" s="115">
        <v>0</v>
      </c>
      <c r="AL28" s="115">
        <v>0</v>
      </c>
      <c r="AM28" s="115">
        <v>0</v>
      </c>
      <c r="AN28" s="115">
        <v>0</v>
      </c>
      <c r="AO28" s="115">
        <v>0</v>
      </c>
      <c r="AP28" s="115">
        <v>0</v>
      </c>
      <c r="AQ28" s="115">
        <v>0</v>
      </c>
      <c r="AR28" s="115">
        <v>0</v>
      </c>
      <c r="AS28" s="115">
        <v>0</v>
      </c>
      <c r="AT28" s="115">
        <v>0</v>
      </c>
      <c r="AU28" s="115">
        <v>0</v>
      </c>
      <c r="AV28" s="115">
        <v>0</v>
      </c>
      <c r="AW28" s="115">
        <v>0</v>
      </c>
      <c r="AX28" s="115">
        <v>0</v>
      </c>
      <c r="AY28" s="115">
        <v>0</v>
      </c>
    </row>
    <row r="29" spans="1:55" x14ac:dyDescent="0.2">
      <c r="A29" s="114"/>
      <c r="B29" s="132">
        <v>5</v>
      </c>
      <c r="C29" s="114" t="s">
        <v>293</v>
      </c>
      <c r="D29" s="115">
        <v>113.67594936708862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0</v>
      </c>
      <c r="R29" s="115">
        <v>0</v>
      </c>
      <c r="S29" s="115">
        <v>0</v>
      </c>
      <c r="T29" s="115">
        <v>0</v>
      </c>
      <c r="U29" s="115">
        <v>0</v>
      </c>
      <c r="V29" s="115">
        <v>0</v>
      </c>
      <c r="W29" s="115">
        <v>0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15">
        <v>0</v>
      </c>
      <c r="AG29" s="115">
        <v>0</v>
      </c>
      <c r="AH29" s="115">
        <v>0</v>
      </c>
      <c r="AI29" s="115">
        <v>0</v>
      </c>
      <c r="AJ29" s="115">
        <v>0</v>
      </c>
      <c r="AK29" s="115">
        <v>0</v>
      </c>
      <c r="AL29" s="115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0</v>
      </c>
      <c r="AR29" s="115">
        <v>0</v>
      </c>
      <c r="AS29" s="115">
        <v>0</v>
      </c>
      <c r="AT29" s="115">
        <v>0</v>
      </c>
      <c r="AU29" s="115">
        <v>0</v>
      </c>
      <c r="AV29" s="115">
        <v>0</v>
      </c>
      <c r="AW29" s="115">
        <v>0</v>
      </c>
      <c r="AX29" s="115">
        <v>0</v>
      </c>
      <c r="AY29" s="115">
        <v>0</v>
      </c>
    </row>
    <row r="30" spans="1:55" x14ac:dyDescent="0.2">
      <c r="A30" s="114"/>
      <c r="B30" s="132">
        <v>6</v>
      </c>
      <c r="C30" s="114" t="s">
        <v>293</v>
      </c>
      <c r="D30" s="115">
        <v>113.67594936708862</v>
      </c>
      <c r="E30" s="115">
        <v>0</v>
      </c>
      <c r="F30" s="115">
        <v>0</v>
      </c>
      <c r="G30" s="115">
        <v>0</v>
      </c>
      <c r="H30" s="115">
        <v>0</v>
      </c>
      <c r="I30" s="115">
        <v>0</v>
      </c>
      <c r="J30" s="115">
        <v>0</v>
      </c>
      <c r="K30" s="115">
        <v>0</v>
      </c>
      <c r="L30" s="115">
        <v>0</v>
      </c>
      <c r="M30" s="115">
        <v>0</v>
      </c>
      <c r="N30" s="115">
        <v>0</v>
      </c>
      <c r="O30" s="115">
        <v>0</v>
      </c>
      <c r="P30" s="115">
        <v>0</v>
      </c>
      <c r="Q30" s="115">
        <v>0</v>
      </c>
      <c r="R30" s="115">
        <v>0</v>
      </c>
      <c r="S30" s="115">
        <v>0</v>
      </c>
      <c r="T30" s="115">
        <v>0</v>
      </c>
      <c r="U30" s="115">
        <v>0</v>
      </c>
      <c r="V30" s="115">
        <v>0</v>
      </c>
      <c r="W30" s="115">
        <v>0</v>
      </c>
      <c r="X30" s="115">
        <v>0</v>
      </c>
      <c r="Y30" s="115">
        <v>0</v>
      </c>
      <c r="Z30" s="115">
        <v>0</v>
      </c>
      <c r="AA30" s="115">
        <v>0</v>
      </c>
      <c r="AB30" s="115">
        <v>0</v>
      </c>
      <c r="AC30" s="115">
        <v>0</v>
      </c>
      <c r="AD30" s="115">
        <v>0</v>
      </c>
      <c r="AE30" s="115">
        <v>0</v>
      </c>
      <c r="AF30" s="115">
        <v>0</v>
      </c>
      <c r="AG30" s="115">
        <v>0</v>
      </c>
      <c r="AH30" s="115">
        <v>0</v>
      </c>
      <c r="AI30" s="115">
        <v>0</v>
      </c>
      <c r="AJ30" s="115">
        <v>0</v>
      </c>
      <c r="AK30" s="115">
        <v>0</v>
      </c>
      <c r="AL30" s="115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0</v>
      </c>
      <c r="AR30" s="115">
        <v>0</v>
      </c>
      <c r="AS30" s="115">
        <v>0</v>
      </c>
      <c r="AT30" s="115">
        <v>0</v>
      </c>
      <c r="AU30" s="115">
        <v>0</v>
      </c>
      <c r="AV30" s="115">
        <v>0</v>
      </c>
      <c r="AW30" s="115">
        <v>0</v>
      </c>
      <c r="AX30" s="115">
        <v>0</v>
      </c>
      <c r="AY30" s="115">
        <v>0</v>
      </c>
    </row>
    <row r="31" spans="1:55" x14ac:dyDescent="0.2">
      <c r="A31" s="114"/>
      <c r="B31" s="135">
        <v>7</v>
      </c>
      <c r="C31" s="114" t="s">
        <v>293</v>
      </c>
      <c r="D31" s="115">
        <v>113.67594936708862</v>
      </c>
      <c r="E31" s="115">
        <v>0</v>
      </c>
      <c r="F31" s="115">
        <v>0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  <c r="Q31" s="115">
        <v>0</v>
      </c>
      <c r="R31" s="115">
        <v>0</v>
      </c>
      <c r="S31" s="115">
        <v>0</v>
      </c>
      <c r="T31" s="115">
        <v>0</v>
      </c>
      <c r="U31" s="115">
        <v>0</v>
      </c>
      <c r="V31" s="115">
        <v>0</v>
      </c>
      <c r="W31" s="115">
        <v>0</v>
      </c>
      <c r="X31" s="115">
        <v>0</v>
      </c>
      <c r="Y31" s="115">
        <v>0</v>
      </c>
      <c r="Z31" s="115">
        <v>0</v>
      </c>
      <c r="AA31" s="115">
        <v>0</v>
      </c>
      <c r="AB31" s="115">
        <v>0</v>
      </c>
      <c r="AC31" s="115">
        <v>0</v>
      </c>
      <c r="AD31" s="115">
        <v>0</v>
      </c>
      <c r="AE31" s="115">
        <v>0</v>
      </c>
      <c r="AF31" s="115">
        <v>0</v>
      </c>
      <c r="AG31" s="115">
        <v>0</v>
      </c>
      <c r="AH31" s="115">
        <v>0</v>
      </c>
      <c r="AI31" s="115">
        <v>0</v>
      </c>
      <c r="AJ31" s="115">
        <v>0</v>
      </c>
      <c r="AK31" s="115">
        <v>0</v>
      </c>
      <c r="AL31" s="115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>
        <v>0</v>
      </c>
      <c r="AW31" s="115">
        <v>0</v>
      </c>
      <c r="AX31" s="115">
        <v>0</v>
      </c>
      <c r="AY31" s="115">
        <v>0</v>
      </c>
    </row>
    <row r="32" spans="1:55" x14ac:dyDescent="0.2">
      <c r="A32" s="133"/>
      <c r="B32" s="134">
        <v>8</v>
      </c>
      <c r="C32" s="133" t="s">
        <v>293</v>
      </c>
      <c r="D32" s="130">
        <v>103.34177215189874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/>
      <c r="E35" s="111"/>
      <c r="F35" s="111">
        <v>31.110679097148747</v>
      </c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>
        <v>66.130267687434014</v>
      </c>
      <c r="E36" s="111">
        <v>15.015311510031665</v>
      </c>
      <c r="F36" s="111">
        <v>11.904632412882805</v>
      </c>
      <c r="G36" s="111"/>
      <c r="H36" s="111"/>
      <c r="I36" s="111"/>
      <c r="J36" s="111"/>
      <c r="K36" s="111">
        <v>31.685791367092179</v>
      </c>
      <c r="L36" s="111">
        <v>12.015311510031552</v>
      </c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>
        <v>35.020813093981026</v>
      </c>
      <c r="AO36" s="111"/>
      <c r="AP36" s="111">
        <v>9.4617736720856556</v>
      </c>
      <c r="AQ36" s="111">
        <v>17.129545583384484</v>
      </c>
      <c r="AR36" s="111">
        <v>41.163146779303133</v>
      </c>
      <c r="AS36" s="111"/>
      <c r="AT36" s="111">
        <v>26.326293558606153</v>
      </c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>
        <v>102.57770865935828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6.9030139137455269</v>
      </c>
      <c r="R37" s="111">
        <v>17.974927152953569</v>
      </c>
      <c r="S37" s="111">
        <v>36.122393144395609</v>
      </c>
      <c r="T37" s="111">
        <v>21.124167499697734</v>
      </c>
      <c r="U37" s="111">
        <v>30.154603869268339</v>
      </c>
      <c r="V37" s="111">
        <v>9.5059993442011308</v>
      </c>
      <c r="W37" s="111">
        <v>22.407830649351965</v>
      </c>
      <c r="X37" s="111">
        <v>16.181044144031144</v>
      </c>
      <c r="Y37" s="111">
        <v>21.565702773532344</v>
      </c>
      <c r="Z37" s="111">
        <v>31.983624285035425</v>
      </c>
      <c r="AA37" s="111">
        <v>8.6986746763002856</v>
      </c>
      <c r="AB37" s="111"/>
      <c r="AC37" s="111">
        <v>28.91379513489559</v>
      </c>
      <c r="AD37" s="111">
        <v>15.48428419611632</v>
      </c>
      <c r="AE37" s="111">
        <v>0.7697073576204998</v>
      </c>
      <c r="AF37" s="111">
        <v>0.61896519534359662</v>
      </c>
      <c r="AG37" s="111">
        <v>0</v>
      </c>
      <c r="AH37" s="111">
        <v>2.6904986710662717</v>
      </c>
      <c r="AI37" s="111">
        <v>0</v>
      </c>
      <c r="AJ37" s="111">
        <v>3.8845184981261753</v>
      </c>
      <c r="AK37" s="111">
        <v>21.669288755991456</v>
      </c>
      <c r="AL37" s="111">
        <v>5.3219392534809495</v>
      </c>
      <c r="AM37" s="111">
        <v>4.2075712764549094</v>
      </c>
      <c r="AN37" s="111">
        <v>22.755424875952365</v>
      </c>
      <c r="AO37" s="111">
        <v>0</v>
      </c>
      <c r="AP37" s="111">
        <v>0</v>
      </c>
      <c r="AQ37" s="111">
        <v>2.7579781758552002</v>
      </c>
      <c r="AR37" s="111">
        <v>0</v>
      </c>
      <c r="AS37" s="111">
        <v>0</v>
      </c>
      <c r="AT37" s="111">
        <v>0</v>
      </c>
      <c r="AU37" s="111">
        <v>0</v>
      </c>
      <c r="AV37" s="111">
        <v>0</v>
      </c>
      <c r="AW37" s="111">
        <v>0</v>
      </c>
      <c r="AX37" s="111">
        <v>14.851016250602612</v>
      </c>
      <c r="AY37" s="111">
        <v>24.879657332180795</v>
      </c>
    </row>
    <row r="38" spans="1:51" x14ac:dyDescent="0.2">
      <c r="A38" s="114"/>
      <c r="B38" s="125">
        <v>6</v>
      </c>
      <c r="C38" s="114" t="s">
        <v>293</v>
      </c>
      <c r="D38" s="111">
        <v>109.91517519495916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0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/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0</v>
      </c>
      <c r="AJ38" s="111">
        <v>0</v>
      </c>
      <c r="AK38" s="111">
        <v>0</v>
      </c>
      <c r="AL38" s="111">
        <v>0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  <c r="AV38" s="111">
        <v>0</v>
      </c>
      <c r="AW38" s="111">
        <v>0</v>
      </c>
      <c r="AX38" s="111">
        <v>0</v>
      </c>
      <c r="AY38" s="111">
        <v>0</v>
      </c>
    </row>
    <row r="39" spans="1:51" x14ac:dyDescent="0.2">
      <c r="A39" s="114"/>
      <c r="B39" s="132">
        <v>7</v>
      </c>
      <c r="C39" s="114" t="s">
        <v>293</v>
      </c>
      <c r="D39" s="111">
        <v>109.5872096567785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/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0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</v>
      </c>
      <c r="AT39" s="111">
        <v>0</v>
      </c>
      <c r="AU39" s="111">
        <v>0</v>
      </c>
      <c r="AV39" s="111">
        <v>0</v>
      </c>
      <c r="AW39" s="111">
        <v>0</v>
      </c>
      <c r="AX39" s="111">
        <v>0</v>
      </c>
      <c r="AY39" s="111">
        <v>0</v>
      </c>
    </row>
    <row r="40" spans="1:51" x14ac:dyDescent="0.2">
      <c r="A40" s="114"/>
      <c r="B40" s="132">
        <v>8</v>
      </c>
      <c r="C40" s="114" t="s">
        <v>293</v>
      </c>
      <c r="D40" s="111">
        <v>112.9995920747257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/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>
        <v>0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</v>
      </c>
      <c r="AT40" s="111">
        <v>0</v>
      </c>
      <c r="AU40" s="111">
        <v>0</v>
      </c>
      <c r="AV40" s="111">
        <v>0</v>
      </c>
      <c r="AW40" s="111">
        <v>0</v>
      </c>
      <c r="AX40" s="111">
        <v>0</v>
      </c>
      <c r="AY40" s="111">
        <v>0</v>
      </c>
    </row>
    <row r="41" spans="1:51" x14ac:dyDescent="0.2">
      <c r="A41" s="114"/>
      <c r="B41" s="132">
        <v>9</v>
      </c>
      <c r="C41" s="114" t="s">
        <v>293</v>
      </c>
      <c r="D41" s="111">
        <v>113.54814066946231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</v>
      </c>
      <c r="AT41" s="111">
        <v>0</v>
      </c>
      <c r="AU41" s="111">
        <v>0</v>
      </c>
      <c r="AV41" s="111">
        <v>0</v>
      </c>
      <c r="AW41" s="111">
        <v>0</v>
      </c>
      <c r="AX41" s="111">
        <v>0</v>
      </c>
      <c r="AY41" s="111">
        <v>0</v>
      </c>
    </row>
    <row r="42" spans="1:51" x14ac:dyDescent="0.2">
      <c r="A42" s="114"/>
      <c r="B42" s="135">
        <v>10</v>
      </c>
      <c r="C42" s="114" t="s">
        <v>293</v>
      </c>
      <c r="D42" s="111">
        <v>105.59820377950987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</v>
      </c>
      <c r="AT42" s="111">
        <v>0</v>
      </c>
      <c r="AU42" s="111">
        <v>0</v>
      </c>
      <c r="AV42" s="111">
        <v>0</v>
      </c>
      <c r="AW42" s="111">
        <v>0</v>
      </c>
      <c r="AX42" s="111">
        <v>0</v>
      </c>
      <c r="AY42" s="111">
        <v>0</v>
      </c>
    </row>
    <row r="43" spans="1:51" x14ac:dyDescent="0.2">
      <c r="A43" s="114"/>
      <c r="B43" s="135">
        <v>11</v>
      </c>
      <c r="C43" s="114" t="s">
        <v>293</v>
      </c>
      <c r="D43" s="111">
        <v>117.07880522113005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</v>
      </c>
      <c r="AT43" s="111">
        <v>0</v>
      </c>
      <c r="AU43" s="111">
        <v>0</v>
      </c>
      <c r="AV43" s="111">
        <v>0</v>
      </c>
      <c r="AW43" s="111">
        <v>0</v>
      </c>
      <c r="AX43" s="111">
        <v>0</v>
      </c>
      <c r="AY43" s="111">
        <v>0</v>
      </c>
    </row>
    <row r="44" spans="1:51" x14ac:dyDescent="0.2">
      <c r="A44" s="114"/>
      <c r="B44" s="135">
        <v>12</v>
      </c>
      <c r="C44" s="133" t="s">
        <v>293</v>
      </c>
      <c r="D44" s="111">
        <v>123.96854735310434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/>
      <c r="E83" s="115"/>
      <c r="F83" s="115">
        <v>0</v>
      </c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>
        <v>0</v>
      </c>
      <c r="E84" s="115">
        <v>0</v>
      </c>
      <c r="F84" s="115">
        <v>0</v>
      </c>
      <c r="G84" s="115"/>
      <c r="H84" s="115"/>
      <c r="I84" s="115"/>
      <c r="J84" s="115"/>
      <c r="K84" s="115">
        <v>0</v>
      </c>
      <c r="L84" s="115">
        <v>0</v>
      </c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>
        <v>0</v>
      </c>
      <c r="AO84" s="115"/>
      <c r="AP84" s="115">
        <v>0</v>
      </c>
      <c r="AQ84" s="115">
        <v>0</v>
      </c>
      <c r="AR84" s="115">
        <v>0</v>
      </c>
      <c r="AS84" s="115"/>
      <c r="AT84" s="115">
        <v>0</v>
      </c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>
        <v>0</v>
      </c>
      <c r="E85" s="115">
        <v>0</v>
      </c>
      <c r="F85" s="115">
        <v>0</v>
      </c>
      <c r="G85" s="115">
        <v>0</v>
      </c>
      <c r="H85" s="115">
        <v>0</v>
      </c>
      <c r="I85" s="115">
        <v>0</v>
      </c>
      <c r="J85" s="115">
        <v>0</v>
      </c>
      <c r="K85" s="115">
        <v>0</v>
      </c>
      <c r="L85" s="115">
        <v>0</v>
      </c>
      <c r="M85" s="115">
        <v>0</v>
      </c>
      <c r="N85" s="115">
        <v>0</v>
      </c>
      <c r="O85" s="115">
        <v>0</v>
      </c>
      <c r="P85" s="115">
        <v>0</v>
      </c>
      <c r="Q85" s="115">
        <v>0</v>
      </c>
      <c r="R85" s="115">
        <v>0</v>
      </c>
      <c r="S85" s="115">
        <v>0</v>
      </c>
      <c r="T85" s="115">
        <v>0</v>
      </c>
      <c r="U85" s="115">
        <v>0</v>
      </c>
      <c r="V85" s="115">
        <v>0</v>
      </c>
      <c r="W85" s="115">
        <v>0</v>
      </c>
      <c r="X85" s="115">
        <v>0</v>
      </c>
      <c r="Y85" s="115">
        <v>0</v>
      </c>
      <c r="Z85" s="115">
        <v>0</v>
      </c>
      <c r="AA85" s="115">
        <v>0</v>
      </c>
      <c r="AB85" s="115"/>
      <c r="AC85" s="115">
        <v>0</v>
      </c>
      <c r="AD85" s="115">
        <v>0</v>
      </c>
      <c r="AE85" s="115">
        <v>0</v>
      </c>
      <c r="AF85" s="115">
        <v>0</v>
      </c>
      <c r="AG85" s="115">
        <v>0</v>
      </c>
      <c r="AH85" s="115">
        <v>0</v>
      </c>
      <c r="AI85" s="115">
        <v>0</v>
      </c>
      <c r="AJ85" s="115">
        <v>0</v>
      </c>
      <c r="AK85" s="115">
        <v>0</v>
      </c>
      <c r="AL85" s="115">
        <v>0</v>
      </c>
      <c r="AM85" s="115">
        <v>0</v>
      </c>
      <c r="AN85" s="115">
        <v>0</v>
      </c>
      <c r="AO85" s="115">
        <v>0</v>
      </c>
      <c r="AP85" s="115">
        <v>0</v>
      </c>
      <c r="AQ85" s="115">
        <v>0</v>
      </c>
      <c r="AR85" s="115">
        <v>0</v>
      </c>
      <c r="AS85" s="115">
        <v>0</v>
      </c>
      <c r="AT85" s="115">
        <v>0</v>
      </c>
      <c r="AU85" s="115">
        <v>0</v>
      </c>
      <c r="AV85" s="115">
        <v>0</v>
      </c>
      <c r="AW85" s="115">
        <v>0</v>
      </c>
      <c r="AX85" s="115">
        <v>0</v>
      </c>
      <c r="AY85" s="115">
        <v>0</v>
      </c>
    </row>
    <row r="86" spans="1:52" x14ac:dyDescent="0.2">
      <c r="A86" s="114"/>
      <c r="B86" s="135">
        <v>42</v>
      </c>
      <c r="C86" s="114" t="s">
        <v>293</v>
      </c>
      <c r="D86" s="115">
        <v>0</v>
      </c>
      <c r="E86" s="115">
        <v>0</v>
      </c>
      <c r="F86" s="115">
        <v>0</v>
      </c>
      <c r="G86" s="115">
        <v>0</v>
      </c>
      <c r="H86" s="115">
        <v>0</v>
      </c>
      <c r="I86" s="115">
        <v>0</v>
      </c>
      <c r="J86" s="115">
        <v>0</v>
      </c>
      <c r="K86" s="115">
        <v>0</v>
      </c>
      <c r="L86" s="115">
        <v>0</v>
      </c>
      <c r="M86" s="115">
        <v>0</v>
      </c>
      <c r="N86" s="115">
        <v>0</v>
      </c>
      <c r="O86" s="115">
        <v>0</v>
      </c>
      <c r="P86" s="115">
        <v>0</v>
      </c>
      <c r="Q86" s="115">
        <v>0</v>
      </c>
      <c r="R86" s="115">
        <v>0</v>
      </c>
      <c r="S86" s="115">
        <v>0</v>
      </c>
      <c r="T86" s="115">
        <v>0</v>
      </c>
      <c r="U86" s="115">
        <v>0</v>
      </c>
      <c r="V86" s="115">
        <v>0</v>
      </c>
      <c r="W86" s="115">
        <v>0</v>
      </c>
      <c r="X86" s="115">
        <v>0</v>
      </c>
      <c r="Y86" s="115">
        <v>0</v>
      </c>
      <c r="Z86" s="115">
        <v>0</v>
      </c>
      <c r="AA86" s="115">
        <v>0</v>
      </c>
      <c r="AB86" s="115"/>
      <c r="AC86" s="115">
        <v>0</v>
      </c>
      <c r="AD86" s="115">
        <v>0</v>
      </c>
      <c r="AE86" s="115">
        <v>0</v>
      </c>
      <c r="AF86" s="115">
        <v>0</v>
      </c>
      <c r="AG86" s="115">
        <v>0</v>
      </c>
      <c r="AH86" s="115">
        <v>0</v>
      </c>
      <c r="AI86" s="115">
        <v>0</v>
      </c>
      <c r="AJ86" s="115">
        <v>0</v>
      </c>
      <c r="AK86" s="115">
        <v>0</v>
      </c>
      <c r="AL86" s="115">
        <v>0</v>
      </c>
      <c r="AM86" s="115">
        <v>0</v>
      </c>
      <c r="AN86" s="115">
        <v>0</v>
      </c>
      <c r="AO86" s="115">
        <v>0</v>
      </c>
      <c r="AP86" s="115">
        <v>0</v>
      </c>
      <c r="AQ86" s="115">
        <v>0</v>
      </c>
      <c r="AR86" s="115">
        <v>0</v>
      </c>
      <c r="AS86" s="115">
        <v>0</v>
      </c>
      <c r="AT86" s="115">
        <v>0</v>
      </c>
      <c r="AU86" s="115">
        <v>0</v>
      </c>
      <c r="AV86" s="115">
        <v>0</v>
      </c>
      <c r="AW86" s="115">
        <v>0</v>
      </c>
      <c r="AX86" s="115">
        <v>0</v>
      </c>
      <c r="AY86" s="115">
        <v>0</v>
      </c>
    </row>
    <row r="87" spans="1:52" x14ac:dyDescent="0.2">
      <c r="A87" s="114"/>
      <c r="B87" s="135">
        <v>43</v>
      </c>
      <c r="C87" s="114" t="s">
        <v>293</v>
      </c>
      <c r="D87" s="115">
        <v>0</v>
      </c>
      <c r="E87" s="115">
        <v>0</v>
      </c>
      <c r="F87" s="115">
        <v>0</v>
      </c>
      <c r="G87" s="115">
        <v>0</v>
      </c>
      <c r="H87" s="115">
        <v>0</v>
      </c>
      <c r="I87" s="115">
        <v>0</v>
      </c>
      <c r="J87" s="115">
        <v>0</v>
      </c>
      <c r="K87" s="115">
        <v>0</v>
      </c>
      <c r="L87" s="115">
        <v>0</v>
      </c>
      <c r="M87" s="115">
        <v>0</v>
      </c>
      <c r="N87" s="115">
        <v>0</v>
      </c>
      <c r="O87" s="115">
        <v>0</v>
      </c>
      <c r="P87" s="115">
        <v>0</v>
      </c>
      <c r="Q87" s="115">
        <v>0</v>
      </c>
      <c r="R87" s="115">
        <v>0</v>
      </c>
      <c r="S87" s="115">
        <v>0</v>
      </c>
      <c r="T87" s="115">
        <v>0</v>
      </c>
      <c r="U87" s="115">
        <v>0</v>
      </c>
      <c r="V87" s="115">
        <v>0</v>
      </c>
      <c r="W87" s="115">
        <v>0</v>
      </c>
      <c r="X87" s="115">
        <v>0</v>
      </c>
      <c r="Y87" s="115">
        <v>0</v>
      </c>
      <c r="Z87" s="115">
        <v>0</v>
      </c>
      <c r="AA87" s="115">
        <v>0</v>
      </c>
      <c r="AB87" s="115"/>
      <c r="AC87" s="115">
        <v>0</v>
      </c>
      <c r="AD87" s="115">
        <v>0</v>
      </c>
      <c r="AE87" s="115">
        <v>0</v>
      </c>
      <c r="AF87" s="115">
        <v>0</v>
      </c>
      <c r="AG87" s="115">
        <v>0</v>
      </c>
      <c r="AH87" s="115">
        <v>0</v>
      </c>
      <c r="AI87" s="115">
        <v>0</v>
      </c>
      <c r="AJ87" s="115">
        <v>0</v>
      </c>
      <c r="AK87" s="115">
        <v>0</v>
      </c>
      <c r="AL87" s="115">
        <v>0</v>
      </c>
      <c r="AM87" s="115">
        <v>0</v>
      </c>
      <c r="AN87" s="115">
        <v>0</v>
      </c>
      <c r="AO87" s="115">
        <v>0</v>
      </c>
      <c r="AP87" s="115">
        <v>0</v>
      </c>
      <c r="AQ87" s="115">
        <v>0</v>
      </c>
      <c r="AR87" s="115">
        <v>0</v>
      </c>
      <c r="AS87" s="115">
        <v>0</v>
      </c>
      <c r="AT87" s="115">
        <v>0</v>
      </c>
      <c r="AU87" s="115">
        <v>0</v>
      </c>
      <c r="AV87" s="115">
        <v>0</v>
      </c>
      <c r="AW87" s="115">
        <v>0</v>
      </c>
      <c r="AX87" s="115">
        <v>0</v>
      </c>
      <c r="AY87" s="115">
        <v>0</v>
      </c>
    </row>
    <row r="88" spans="1:52" x14ac:dyDescent="0.2">
      <c r="A88" s="114"/>
      <c r="B88" s="135">
        <v>44</v>
      </c>
      <c r="C88" s="114" t="s">
        <v>293</v>
      </c>
      <c r="D88" s="115">
        <v>0</v>
      </c>
      <c r="E88" s="115">
        <v>0</v>
      </c>
      <c r="F88" s="115">
        <v>0</v>
      </c>
      <c r="G88" s="115">
        <v>0</v>
      </c>
      <c r="H88" s="115">
        <v>0</v>
      </c>
      <c r="I88" s="115">
        <v>0</v>
      </c>
      <c r="J88" s="115">
        <v>0</v>
      </c>
      <c r="K88" s="115">
        <v>0</v>
      </c>
      <c r="L88" s="115">
        <v>0</v>
      </c>
      <c r="M88" s="115">
        <v>0</v>
      </c>
      <c r="N88" s="115">
        <v>0</v>
      </c>
      <c r="O88" s="115">
        <v>0</v>
      </c>
      <c r="P88" s="115">
        <v>0</v>
      </c>
      <c r="Q88" s="115">
        <v>0</v>
      </c>
      <c r="R88" s="115">
        <v>0</v>
      </c>
      <c r="S88" s="115">
        <v>0</v>
      </c>
      <c r="T88" s="115">
        <v>0</v>
      </c>
      <c r="U88" s="115">
        <v>0</v>
      </c>
      <c r="V88" s="115">
        <v>0</v>
      </c>
      <c r="W88" s="115">
        <v>0</v>
      </c>
      <c r="X88" s="115">
        <v>0</v>
      </c>
      <c r="Y88" s="115">
        <v>0</v>
      </c>
      <c r="Z88" s="115">
        <v>0</v>
      </c>
      <c r="AA88" s="115">
        <v>0</v>
      </c>
      <c r="AB88" s="115"/>
      <c r="AC88" s="115">
        <v>0</v>
      </c>
      <c r="AD88" s="115">
        <v>0</v>
      </c>
      <c r="AE88" s="115">
        <v>0</v>
      </c>
      <c r="AF88" s="115">
        <v>0</v>
      </c>
      <c r="AG88" s="115">
        <v>0</v>
      </c>
      <c r="AH88" s="115">
        <v>0</v>
      </c>
      <c r="AI88" s="115">
        <v>0</v>
      </c>
      <c r="AJ88" s="115">
        <v>0</v>
      </c>
      <c r="AK88" s="115">
        <v>0</v>
      </c>
      <c r="AL88" s="115">
        <v>0</v>
      </c>
      <c r="AM88" s="115">
        <v>0</v>
      </c>
      <c r="AN88" s="115">
        <v>0</v>
      </c>
      <c r="AO88" s="115">
        <v>0</v>
      </c>
      <c r="AP88" s="115">
        <v>0</v>
      </c>
      <c r="AQ88" s="115">
        <v>0</v>
      </c>
      <c r="AR88" s="115">
        <v>0</v>
      </c>
      <c r="AS88" s="115">
        <v>0</v>
      </c>
      <c r="AT88" s="115">
        <v>0</v>
      </c>
      <c r="AU88" s="115">
        <v>0</v>
      </c>
      <c r="AV88" s="115">
        <v>0</v>
      </c>
      <c r="AW88" s="115">
        <v>0</v>
      </c>
      <c r="AX88" s="115">
        <v>0</v>
      </c>
      <c r="AY88" s="115">
        <v>0</v>
      </c>
    </row>
    <row r="89" spans="1:52" x14ac:dyDescent="0.2">
      <c r="A89" s="114"/>
      <c r="B89" s="135">
        <v>45</v>
      </c>
      <c r="C89" s="114" t="s">
        <v>293</v>
      </c>
      <c r="D89" s="115">
        <v>0</v>
      </c>
      <c r="E89" s="115">
        <v>0</v>
      </c>
      <c r="F89" s="115">
        <v>0</v>
      </c>
      <c r="G89" s="115">
        <v>0</v>
      </c>
      <c r="H89" s="115">
        <v>0</v>
      </c>
      <c r="I89" s="115">
        <v>0</v>
      </c>
      <c r="J89" s="115">
        <v>0</v>
      </c>
      <c r="K89" s="115">
        <v>0</v>
      </c>
      <c r="L89" s="115">
        <v>0</v>
      </c>
      <c r="M89" s="115">
        <v>0</v>
      </c>
      <c r="N89" s="115">
        <v>0</v>
      </c>
      <c r="O89" s="115">
        <v>0</v>
      </c>
      <c r="P89" s="115">
        <v>0</v>
      </c>
      <c r="Q89" s="115">
        <v>0</v>
      </c>
      <c r="R89" s="115">
        <v>0</v>
      </c>
      <c r="S89" s="115">
        <v>0</v>
      </c>
      <c r="T89" s="115">
        <v>0</v>
      </c>
      <c r="U89" s="115">
        <v>0</v>
      </c>
      <c r="V89" s="115">
        <v>0</v>
      </c>
      <c r="W89" s="115">
        <v>0</v>
      </c>
      <c r="X89" s="115">
        <v>0</v>
      </c>
      <c r="Y89" s="115">
        <v>0</v>
      </c>
      <c r="Z89" s="115">
        <v>0</v>
      </c>
      <c r="AA89" s="115">
        <v>0</v>
      </c>
      <c r="AB89" s="115">
        <v>0</v>
      </c>
      <c r="AC89" s="115">
        <v>0</v>
      </c>
      <c r="AD89" s="115">
        <v>0</v>
      </c>
      <c r="AE89" s="115">
        <v>0</v>
      </c>
      <c r="AF89" s="115">
        <v>0</v>
      </c>
      <c r="AG89" s="115">
        <v>0</v>
      </c>
      <c r="AH89" s="115">
        <v>0</v>
      </c>
      <c r="AI89" s="115">
        <v>0</v>
      </c>
      <c r="AJ89" s="115">
        <v>0</v>
      </c>
      <c r="AK89" s="115">
        <v>0</v>
      </c>
      <c r="AL89" s="115">
        <v>0</v>
      </c>
      <c r="AM89" s="115">
        <v>0</v>
      </c>
      <c r="AN89" s="115">
        <v>0</v>
      </c>
      <c r="AO89" s="115">
        <v>0</v>
      </c>
      <c r="AP89" s="115">
        <v>0</v>
      </c>
      <c r="AQ89" s="115">
        <v>0</v>
      </c>
      <c r="AR89" s="115">
        <v>0</v>
      </c>
      <c r="AS89" s="115">
        <v>0</v>
      </c>
      <c r="AT89" s="115">
        <v>0</v>
      </c>
      <c r="AU89" s="115">
        <v>0</v>
      </c>
      <c r="AV89" s="115">
        <v>0</v>
      </c>
      <c r="AW89" s="115">
        <v>0</v>
      </c>
      <c r="AX89" s="115">
        <v>0</v>
      </c>
      <c r="AY89" s="115">
        <v>0</v>
      </c>
    </row>
    <row r="90" spans="1:52" x14ac:dyDescent="0.2">
      <c r="A90" s="114"/>
      <c r="B90" s="135">
        <v>46</v>
      </c>
      <c r="C90" s="114" t="s">
        <v>293</v>
      </c>
      <c r="D90" s="115">
        <v>0</v>
      </c>
      <c r="E90" s="115">
        <v>0</v>
      </c>
      <c r="F90" s="115">
        <v>0</v>
      </c>
      <c r="G90" s="115">
        <v>0</v>
      </c>
      <c r="H90" s="115">
        <v>0</v>
      </c>
      <c r="I90" s="115">
        <v>0</v>
      </c>
      <c r="J90" s="115">
        <v>0</v>
      </c>
      <c r="K90" s="115">
        <v>0</v>
      </c>
      <c r="L90" s="115">
        <v>0</v>
      </c>
      <c r="M90" s="115">
        <v>0</v>
      </c>
      <c r="N90" s="115">
        <v>0</v>
      </c>
      <c r="O90" s="115">
        <v>0</v>
      </c>
      <c r="P90" s="115">
        <v>0</v>
      </c>
      <c r="Q90" s="115">
        <v>0</v>
      </c>
      <c r="R90" s="115">
        <v>0</v>
      </c>
      <c r="S90" s="115">
        <v>0</v>
      </c>
      <c r="T90" s="115">
        <v>0</v>
      </c>
      <c r="U90" s="115">
        <v>0</v>
      </c>
      <c r="V90" s="115">
        <v>0</v>
      </c>
      <c r="W90" s="115">
        <v>0</v>
      </c>
      <c r="X90" s="115">
        <v>0</v>
      </c>
      <c r="Y90" s="115">
        <v>0</v>
      </c>
      <c r="Z90" s="115">
        <v>0</v>
      </c>
      <c r="AA90" s="115">
        <v>0</v>
      </c>
      <c r="AB90" s="115">
        <v>0</v>
      </c>
      <c r="AC90" s="115">
        <v>0</v>
      </c>
      <c r="AD90" s="115">
        <v>0</v>
      </c>
      <c r="AE90" s="115">
        <v>0</v>
      </c>
      <c r="AF90" s="115">
        <v>0</v>
      </c>
      <c r="AG90" s="115">
        <v>0</v>
      </c>
      <c r="AH90" s="115">
        <v>0</v>
      </c>
      <c r="AI90" s="115">
        <v>0</v>
      </c>
      <c r="AJ90" s="115">
        <v>0</v>
      </c>
      <c r="AK90" s="115">
        <v>0</v>
      </c>
      <c r="AL90" s="115">
        <v>0</v>
      </c>
      <c r="AM90" s="115">
        <v>0</v>
      </c>
      <c r="AN90" s="115">
        <v>0</v>
      </c>
      <c r="AO90" s="115">
        <v>0</v>
      </c>
      <c r="AP90" s="115">
        <v>0</v>
      </c>
      <c r="AQ90" s="115">
        <v>0</v>
      </c>
      <c r="AR90" s="115">
        <v>0</v>
      </c>
      <c r="AS90" s="115">
        <v>0</v>
      </c>
      <c r="AT90" s="115">
        <v>0</v>
      </c>
      <c r="AU90" s="115">
        <v>0</v>
      </c>
      <c r="AV90" s="115">
        <v>0</v>
      </c>
      <c r="AW90" s="115">
        <v>0</v>
      </c>
      <c r="AX90" s="115">
        <v>0</v>
      </c>
      <c r="AY90" s="115">
        <v>0</v>
      </c>
    </row>
    <row r="91" spans="1:52" x14ac:dyDescent="0.2">
      <c r="A91" s="114"/>
      <c r="B91" s="135">
        <v>47</v>
      </c>
      <c r="C91" s="114" t="s">
        <v>293</v>
      </c>
      <c r="D91" s="115">
        <v>0</v>
      </c>
      <c r="E91" s="115">
        <v>0</v>
      </c>
      <c r="F91" s="115">
        <v>0</v>
      </c>
      <c r="G91" s="115">
        <v>0</v>
      </c>
      <c r="H91" s="115">
        <v>0</v>
      </c>
      <c r="I91" s="115">
        <v>0</v>
      </c>
      <c r="J91" s="115">
        <v>0</v>
      </c>
      <c r="K91" s="115">
        <v>0</v>
      </c>
      <c r="L91" s="115">
        <v>0</v>
      </c>
      <c r="M91" s="115">
        <v>0</v>
      </c>
      <c r="N91" s="115">
        <v>0</v>
      </c>
      <c r="O91" s="115">
        <v>0</v>
      </c>
      <c r="P91" s="115">
        <v>0</v>
      </c>
      <c r="Q91" s="115">
        <v>0</v>
      </c>
      <c r="R91" s="115">
        <v>0</v>
      </c>
      <c r="S91" s="115">
        <v>0</v>
      </c>
      <c r="T91" s="115">
        <v>0</v>
      </c>
      <c r="U91" s="115">
        <v>0</v>
      </c>
      <c r="V91" s="115">
        <v>0</v>
      </c>
      <c r="W91" s="115">
        <v>0</v>
      </c>
      <c r="X91" s="115">
        <v>0</v>
      </c>
      <c r="Y91" s="115">
        <v>0</v>
      </c>
      <c r="Z91" s="115">
        <v>0</v>
      </c>
      <c r="AA91" s="115">
        <v>0</v>
      </c>
      <c r="AB91" s="115">
        <v>0</v>
      </c>
      <c r="AC91" s="115">
        <v>0</v>
      </c>
      <c r="AD91" s="115">
        <v>0</v>
      </c>
      <c r="AE91" s="115">
        <v>0</v>
      </c>
      <c r="AF91" s="115">
        <v>0</v>
      </c>
      <c r="AG91" s="115">
        <v>0</v>
      </c>
      <c r="AH91" s="115">
        <v>0</v>
      </c>
      <c r="AI91" s="115">
        <v>0</v>
      </c>
      <c r="AJ91" s="115">
        <v>0</v>
      </c>
      <c r="AK91" s="115">
        <v>0</v>
      </c>
      <c r="AL91" s="115">
        <v>0</v>
      </c>
      <c r="AM91" s="115">
        <v>0</v>
      </c>
      <c r="AN91" s="115">
        <v>0</v>
      </c>
      <c r="AO91" s="115">
        <v>0</v>
      </c>
      <c r="AP91" s="115">
        <v>0</v>
      </c>
      <c r="AQ91" s="115">
        <v>0</v>
      </c>
      <c r="AR91" s="115">
        <v>0</v>
      </c>
      <c r="AS91" s="115">
        <v>0</v>
      </c>
      <c r="AT91" s="115">
        <v>0</v>
      </c>
      <c r="AU91" s="115">
        <v>0</v>
      </c>
      <c r="AV91" s="115">
        <v>0</v>
      </c>
      <c r="AW91" s="115">
        <v>0</v>
      </c>
      <c r="AX91" s="115">
        <v>0</v>
      </c>
      <c r="AY91" s="115">
        <v>0</v>
      </c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12862.975087034805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132.15822784810126</v>
      </c>
      <c r="D95" s="115">
        <v>0</v>
      </c>
      <c r="E95" s="115">
        <v>0</v>
      </c>
      <c r="F95" s="115">
        <v>0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15">
        <v>0</v>
      </c>
      <c r="M95" s="115">
        <v>0</v>
      </c>
      <c r="N95" s="115">
        <v>0</v>
      </c>
      <c r="O95" s="115">
        <v>0</v>
      </c>
      <c r="P95" s="115">
        <v>0</v>
      </c>
      <c r="Q95" s="115">
        <v>0</v>
      </c>
      <c r="R95" s="115">
        <v>0</v>
      </c>
      <c r="S95" s="115">
        <v>0</v>
      </c>
      <c r="T95" s="115">
        <v>0</v>
      </c>
      <c r="U95" s="115">
        <v>0</v>
      </c>
      <c r="V95" s="115">
        <v>0</v>
      </c>
      <c r="W95" s="115">
        <v>0</v>
      </c>
      <c r="X95" s="115">
        <v>0</v>
      </c>
      <c r="Y95" s="115">
        <v>0</v>
      </c>
      <c r="Z95" s="115">
        <v>0</v>
      </c>
      <c r="AA95" s="115">
        <v>0</v>
      </c>
      <c r="AB95" s="115">
        <v>102.69545821425191</v>
      </c>
      <c r="AC95" s="115">
        <v>0</v>
      </c>
      <c r="AD95" s="115">
        <v>0</v>
      </c>
      <c r="AE95" s="115">
        <v>0</v>
      </c>
      <c r="AF95" s="115">
        <v>0</v>
      </c>
      <c r="AG95" s="115">
        <v>0</v>
      </c>
      <c r="AH95" s="115">
        <v>0</v>
      </c>
      <c r="AI95" s="115">
        <v>0</v>
      </c>
      <c r="AJ95" s="115">
        <v>0</v>
      </c>
      <c r="AK95" s="115">
        <v>0</v>
      </c>
      <c r="AL95" s="115">
        <v>0</v>
      </c>
      <c r="AM95" s="115">
        <v>0</v>
      </c>
      <c r="AN95" s="115">
        <v>0</v>
      </c>
      <c r="AO95" s="115">
        <v>0</v>
      </c>
      <c r="AP95" s="115">
        <v>0</v>
      </c>
      <c r="AQ95" s="115">
        <v>0</v>
      </c>
      <c r="AR95" s="115">
        <v>0</v>
      </c>
      <c r="AS95" s="115">
        <v>0</v>
      </c>
      <c r="AT95" s="115">
        <v>0</v>
      </c>
      <c r="AU95" s="115">
        <v>0</v>
      </c>
      <c r="AV95" s="115">
        <v>0</v>
      </c>
      <c r="AW95" s="115">
        <v>0</v>
      </c>
      <c r="AX95" s="115">
        <v>0</v>
      </c>
      <c r="AY95" s="115">
        <v>0</v>
      </c>
    </row>
    <row r="96" spans="1:52" x14ac:dyDescent="0.2">
      <c r="A96" s="114"/>
      <c r="B96" s="125">
        <v>2</v>
      </c>
      <c r="C96" s="115">
        <v>132.15822784810126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0</v>
      </c>
      <c r="O96" s="115">
        <v>0</v>
      </c>
      <c r="P96" s="115">
        <v>0</v>
      </c>
      <c r="Q96" s="115">
        <v>0</v>
      </c>
      <c r="R96" s="115">
        <v>0</v>
      </c>
      <c r="S96" s="115">
        <v>0</v>
      </c>
      <c r="T96" s="115">
        <v>0</v>
      </c>
      <c r="U96" s="115">
        <v>0</v>
      </c>
      <c r="V96" s="115">
        <v>0</v>
      </c>
      <c r="W96" s="115">
        <v>0</v>
      </c>
      <c r="X96" s="115">
        <v>0</v>
      </c>
      <c r="Y96" s="115">
        <v>0</v>
      </c>
      <c r="Z96" s="115">
        <v>0</v>
      </c>
      <c r="AA96" s="115">
        <v>0</v>
      </c>
      <c r="AB96" s="115">
        <v>0</v>
      </c>
      <c r="AC96" s="115">
        <v>0</v>
      </c>
      <c r="AD96" s="115">
        <v>0</v>
      </c>
      <c r="AE96" s="115">
        <v>0</v>
      </c>
      <c r="AF96" s="115">
        <v>0</v>
      </c>
      <c r="AG96" s="115">
        <v>0</v>
      </c>
      <c r="AH96" s="115">
        <v>0</v>
      </c>
      <c r="AI96" s="115">
        <v>0</v>
      </c>
      <c r="AJ96" s="115">
        <v>0</v>
      </c>
      <c r="AK96" s="115">
        <v>0</v>
      </c>
      <c r="AL96" s="115">
        <v>0</v>
      </c>
      <c r="AM96" s="115">
        <v>0</v>
      </c>
      <c r="AN96" s="115">
        <v>0</v>
      </c>
      <c r="AO96" s="115">
        <v>0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0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132.15822784810126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132.15822784810126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37.374050632911406</v>
      </c>
      <c r="D99" s="130">
        <v>9.1582278481012622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9.1582278481012622</v>
      </c>
    </row>
    <row r="100" spans="1:52" x14ac:dyDescent="0.2">
      <c r="A100" s="136" t="s">
        <v>133</v>
      </c>
      <c r="B100" s="124">
        <v>1</v>
      </c>
      <c r="C100" s="111">
        <v>103.34177215189874</v>
      </c>
      <c r="D100" s="111">
        <v>0</v>
      </c>
      <c r="E100" s="111">
        <v>0</v>
      </c>
      <c r="F100" s="111">
        <v>0</v>
      </c>
      <c r="G100" s="111">
        <v>68.984688489968221</v>
      </c>
      <c r="H100" s="111">
        <v>4.9693769799364418</v>
      </c>
      <c r="I100" s="111">
        <v>44.95406546990489</v>
      </c>
      <c r="J100" s="111">
        <v>48.3295201429396</v>
      </c>
      <c r="K100" s="111">
        <v>0</v>
      </c>
      <c r="L100" s="111">
        <v>0</v>
      </c>
      <c r="M100" s="111">
        <v>4.9846884899683346</v>
      </c>
      <c r="N100" s="111">
        <v>38.025556177967246</v>
      </c>
      <c r="O100" s="111">
        <v>47.612034530659912</v>
      </c>
      <c r="P100" s="111">
        <v>12.596723020628247</v>
      </c>
      <c r="Q100" s="111">
        <v>25.489593481364267</v>
      </c>
      <c r="R100" s="111">
        <v>32.050998987010644</v>
      </c>
      <c r="S100" s="111">
        <v>11.158080621374481</v>
      </c>
      <c r="T100" s="111">
        <v>15.266936611040506</v>
      </c>
      <c r="U100" s="111">
        <v>0.40622897027714089</v>
      </c>
      <c r="V100" s="111">
        <v>24.898123238270998</v>
      </c>
      <c r="W100" s="111">
        <v>21.892432240315586</v>
      </c>
      <c r="X100" s="111">
        <v>27.65995473703947</v>
      </c>
      <c r="Y100" s="111">
        <v>28.812135863264587</v>
      </c>
      <c r="Z100" s="111">
        <v>31.382238500992628</v>
      </c>
      <c r="AA100" s="111">
        <v>36.065601667261305</v>
      </c>
      <c r="AB100" s="111">
        <v>0</v>
      </c>
      <c r="AC100" s="111">
        <v>26.32723443408068</v>
      </c>
      <c r="AD100" s="111">
        <v>44.054089879064506</v>
      </c>
      <c r="AE100" s="111">
        <v>16.808485726653302</v>
      </c>
      <c r="AF100" s="111">
        <v>0.41213941196524218</v>
      </c>
      <c r="AG100" s="111">
        <v>42.444423769244736</v>
      </c>
      <c r="AH100" s="111">
        <v>24.721400793003667</v>
      </c>
      <c r="AI100" s="111">
        <v>28.706089282972016</v>
      </c>
      <c r="AJ100" s="111">
        <v>31.03046432808874</v>
      </c>
      <c r="AK100" s="111">
        <v>33.286231436772908</v>
      </c>
      <c r="AL100" s="111">
        <v>40.194649042946438</v>
      </c>
      <c r="AM100" s="111">
        <v>28.386908809369729</v>
      </c>
      <c r="AN100" s="111">
        <v>0</v>
      </c>
      <c r="AO100" s="111">
        <v>8.8368532206968666</v>
      </c>
      <c r="AP100" s="111">
        <v>0</v>
      </c>
      <c r="AQ100" s="111">
        <v>0</v>
      </c>
      <c r="AR100" s="111">
        <v>0</v>
      </c>
      <c r="AS100" s="111">
        <v>3.8368532206968666</v>
      </c>
      <c r="AT100" s="111">
        <v>0</v>
      </c>
      <c r="AU100" s="111">
        <v>27.836853220696867</v>
      </c>
      <c r="AV100" s="111">
        <v>39.016892802239909</v>
      </c>
      <c r="AW100" s="111">
        <v>29.603371154932574</v>
      </c>
      <c r="AX100" s="111">
        <v>19.040865758227852</v>
      </c>
      <c r="AY100" s="111">
        <v>28.507001443101402</v>
      </c>
    </row>
    <row r="101" spans="1:52" x14ac:dyDescent="0.2">
      <c r="A101" s="114"/>
      <c r="B101" s="124">
        <v>2</v>
      </c>
      <c r="C101" s="111">
        <v>103.34177215189874</v>
      </c>
      <c r="D101" s="111">
        <v>0</v>
      </c>
      <c r="E101" s="111">
        <v>0</v>
      </c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0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113.67594936708862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113.67594936708862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113.67594936708862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113.67594936708862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103.34177215189874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103.34177215189874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12.341772151898738</v>
      </c>
      <c r="D108" s="130">
        <v>14.341772151898738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14.341772151898738</v>
      </c>
    </row>
    <row r="109" spans="1:52" x14ac:dyDescent="0.2">
      <c r="A109" s="136" t="s">
        <v>134</v>
      </c>
      <c r="B109" s="124">
        <v>1</v>
      </c>
      <c r="C109" s="111">
        <v>92.612168315733896</v>
      </c>
      <c r="D109" s="111">
        <v>93.854891250422384</v>
      </c>
      <c r="E109" s="111">
        <v>105.16178791013252</v>
      </c>
      <c r="F109" s="111">
        <v>103.97809833810933</v>
      </c>
      <c r="G109" s="111">
        <v>109.96665736765148</v>
      </c>
      <c r="H109" s="111">
        <v>87.667847820398919</v>
      </c>
      <c r="I109" s="111">
        <v>98.09776446901445</v>
      </c>
      <c r="J109" s="111">
        <v>87.038800288448414</v>
      </c>
      <c r="K109" s="111">
        <v>84.413521647307292</v>
      </c>
      <c r="L109" s="111">
        <v>103.1819333157339</v>
      </c>
      <c r="M109" s="111">
        <v>100.61361030042238</v>
      </c>
      <c r="N109" s="111">
        <v>96.796001578632513</v>
      </c>
      <c r="O109" s="111">
        <v>84.413521647307306</v>
      </c>
      <c r="P109" s="111">
        <v>84.413521647307292</v>
      </c>
      <c r="Q109" s="111">
        <v>89.611933315733893</v>
      </c>
      <c r="R109" s="111">
        <v>84.413521647307292</v>
      </c>
      <c r="S109" s="111">
        <v>84.413521647307292</v>
      </c>
      <c r="T109" s="111">
        <v>90.071933315733901</v>
      </c>
      <c r="U109" s="111">
        <v>87.98891030042239</v>
      </c>
      <c r="V109" s="111">
        <v>92.594982578632525</v>
      </c>
      <c r="W109" s="111">
        <v>84.413521647307306</v>
      </c>
      <c r="X109" s="111">
        <v>84.413521647307292</v>
      </c>
      <c r="Y109" s="111">
        <v>84.413521647307292</v>
      </c>
      <c r="Z109" s="111">
        <v>84.413521647307292</v>
      </c>
      <c r="AA109" s="111">
        <v>84.413521647307292</v>
      </c>
      <c r="AB109" s="111">
        <v>85.471933315733892</v>
      </c>
      <c r="AC109" s="111">
        <v>66.358521647307285</v>
      </c>
      <c r="AD109" s="111">
        <v>91.180926018891981</v>
      </c>
      <c r="AE109" s="111">
        <v>84.413521647307292</v>
      </c>
      <c r="AF109" s="111">
        <v>93.2919333157339</v>
      </c>
      <c r="AG109" s="111">
        <v>95.298310300422386</v>
      </c>
      <c r="AH109" s="111">
        <v>84.413521647307292</v>
      </c>
      <c r="AI109" s="111">
        <v>84.413521647307292</v>
      </c>
      <c r="AJ109" s="111">
        <v>86.16193331573389</v>
      </c>
      <c r="AK109" s="111">
        <v>84.413521647307292</v>
      </c>
      <c r="AL109" s="111">
        <v>84.413521647307292</v>
      </c>
      <c r="AM109" s="111">
        <v>84.413521647307292</v>
      </c>
      <c r="AN109" s="111">
        <v>87.5419333157339</v>
      </c>
      <c r="AO109" s="111">
        <v>102.17481241235481</v>
      </c>
      <c r="AP109" s="111">
        <v>91.362129316752927</v>
      </c>
      <c r="AQ109" s="111">
        <v>90.887523759239713</v>
      </c>
      <c r="AR109" s="111">
        <v>90.887523759239713</v>
      </c>
      <c r="AS109" s="111">
        <v>99.690917053854292</v>
      </c>
      <c r="AT109" s="111">
        <v>94.279529890707522</v>
      </c>
      <c r="AU109" s="111">
        <v>100.00276177508451</v>
      </c>
      <c r="AV109" s="111">
        <v>91.759650326054782</v>
      </c>
      <c r="AW109" s="111">
        <v>84.413521647307292</v>
      </c>
      <c r="AX109" s="111">
        <v>84.413521647307292</v>
      </c>
      <c r="AY109" s="111">
        <v>84.413521647307292</v>
      </c>
    </row>
    <row r="110" spans="1:52" x14ac:dyDescent="0.2">
      <c r="A110" s="114"/>
      <c r="B110" s="124">
        <v>2</v>
      </c>
      <c r="C110" s="111">
        <v>86.219021647307287</v>
      </c>
      <c r="D110" s="111">
        <v>92.612168315733896</v>
      </c>
      <c r="E110" s="111">
        <v>93.854891250422384</v>
      </c>
      <c r="F110" s="111">
        <v>105.16178791013252</v>
      </c>
      <c r="G110" s="111">
        <v>103.97809833810933</v>
      </c>
      <c r="H110" s="111">
        <v>109.96665736765148</v>
      </c>
      <c r="I110" s="111">
        <v>87.667847820398919</v>
      </c>
      <c r="J110" s="111">
        <v>98.09776446901445</v>
      </c>
      <c r="K110" s="111">
        <v>87.038800288448414</v>
      </c>
      <c r="L110" s="111">
        <v>84.413521647307292</v>
      </c>
      <c r="M110" s="111">
        <v>103.1819333157339</v>
      </c>
      <c r="N110" s="111">
        <v>100.61361030042238</v>
      </c>
      <c r="O110" s="111">
        <v>96.796001578632513</v>
      </c>
      <c r="P110" s="111">
        <v>84.413521647307306</v>
      </c>
      <c r="Q110" s="111">
        <v>84.413521647307292</v>
      </c>
      <c r="R110" s="111">
        <v>89.611933315733893</v>
      </c>
      <c r="S110" s="111">
        <v>84.413521647307292</v>
      </c>
      <c r="T110" s="111">
        <v>84.413521647307292</v>
      </c>
      <c r="U110" s="111">
        <v>90.071933315733901</v>
      </c>
      <c r="V110" s="111">
        <v>87.98891030042239</v>
      </c>
      <c r="W110" s="111">
        <v>92.594982578632525</v>
      </c>
      <c r="X110" s="111">
        <v>84.413521647307306</v>
      </c>
      <c r="Y110" s="111">
        <v>84.413521647307292</v>
      </c>
      <c r="Z110" s="111">
        <v>84.413521647307292</v>
      </c>
      <c r="AA110" s="111">
        <v>84.413521647307292</v>
      </c>
      <c r="AB110" s="111">
        <v>84.413521647307292</v>
      </c>
      <c r="AC110" s="111">
        <v>85.471933315733892</v>
      </c>
      <c r="AD110" s="111">
        <v>66.358521647307285</v>
      </c>
      <c r="AE110" s="111">
        <v>91.180926018891981</v>
      </c>
      <c r="AF110" s="111">
        <v>84.413521647307292</v>
      </c>
      <c r="AG110" s="111">
        <v>93.2919333157339</v>
      </c>
      <c r="AH110" s="111">
        <v>95.298310300422386</v>
      </c>
      <c r="AI110" s="111">
        <v>84.413521647307292</v>
      </c>
      <c r="AJ110" s="111">
        <v>84.413521647307292</v>
      </c>
      <c r="AK110" s="111">
        <v>86.16193331573389</v>
      </c>
      <c r="AL110" s="111">
        <v>84.413521647307292</v>
      </c>
      <c r="AM110" s="111">
        <v>84.413521647307292</v>
      </c>
      <c r="AN110" s="111">
        <v>84.413521647307292</v>
      </c>
      <c r="AO110" s="111">
        <v>87.5419333157339</v>
      </c>
      <c r="AP110" s="111">
        <v>102.17481241235481</v>
      </c>
      <c r="AQ110" s="111">
        <v>91.362129316752927</v>
      </c>
      <c r="AR110" s="111">
        <v>90.887523759239713</v>
      </c>
      <c r="AS110" s="111">
        <v>90.887523759239713</v>
      </c>
      <c r="AT110" s="111">
        <v>99.690917053854292</v>
      </c>
      <c r="AU110" s="111">
        <v>94.279529890707522</v>
      </c>
      <c r="AV110" s="111">
        <v>100.00276177508451</v>
      </c>
      <c r="AW110" s="111">
        <v>91.759650326054782</v>
      </c>
      <c r="AX110" s="111">
        <v>84.413521647307292</v>
      </c>
      <c r="AY110" s="111">
        <v>84.413521647307292</v>
      </c>
    </row>
    <row r="111" spans="1:52" x14ac:dyDescent="0.2">
      <c r="A111" s="114"/>
      <c r="B111" s="124">
        <v>3</v>
      </c>
      <c r="C111" s="111">
        <v>86.219021647307301</v>
      </c>
      <c r="D111" s="111">
        <v>86.219021647307287</v>
      </c>
      <c r="E111" s="111">
        <v>92.612168315733896</v>
      </c>
      <c r="F111" s="111">
        <v>62.744212153273637</v>
      </c>
      <c r="G111" s="111">
        <v>85.906000063406154</v>
      </c>
      <c r="H111" s="111">
        <v>103.97809833810933</v>
      </c>
      <c r="I111" s="111">
        <v>109.96665736765148</v>
      </c>
      <c r="J111" s="111">
        <v>87.667847820398919</v>
      </c>
      <c r="K111" s="111">
        <v>98.09776446901445</v>
      </c>
      <c r="L111" s="111">
        <v>87.038800288448414</v>
      </c>
      <c r="M111" s="111">
        <v>84.413521647307292</v>
      </c>
      <c r="N111" s="111">
        <v>103.1819333157339</v>
      </c>
      <c r="O111" s="111">
        <v>100.61361030042238</v>
      </c>
      <c r="P111" s="111">
        <v>96.796001578632513</v>
      </c>
      <c r="Q111" s="111">
        <v>84.413521647307306</v>
      </c>
      <c r="R111" s="111">
        <v>84.413521647307292</v>
      </c>
      <c r="S111" s="111">
        <v>89.611933315733893</v>
      </c>
      <c r="T111" s="111">
        <v>84.413521647307292</v>
      </c>
      <c r="U111" s="111">
        <v>84.413521647307292</v>
      </c>
      <c r="V111" s="111">
        <v>90.071933315733901</v>
      </c>
      <c r="W111" s="111">
        <v>87.98891030042239</v>
      </c>
      <c r="X111" s="111">
        <v>92.594982578632525</v>
      </c>
      <c r="Y111" s="111">
        <v>84.413521647307306</v>
      </c>
      <c r="Z111" s="111">
        <v>84.413521647307292</v>
      </c>
      <c r="AA111" s="111">
        <v>84.413521647307292</v>
      </c>
      <c r="AB111" s="111">
        <v>84.413521647307292</v>
      </c>
      <c r="AC111" s="111">
        <v>84.413521647307292</v>
      </c>
      <c r="AD111" s="111">
        <v>85.471933315733892</v>
      </c>
      <c r="AE111" s="111">
        <v>66.358521647307285</v>
      </c>
      <c r="AF111" s="111">
        <v>91.180926018891981</v>
      </c>
      <c r="AG111" s="111">
        <v>84.413521647307292</v>
      </c>
      <c r="AH111" s="111">
        <v>93.2919333157339</v>
      </c>
      <c r="AI111" s="111">
        <v>95.298310300422386</v>
      </c>
      <c r="AJ111" s="111">
        <v>84.413521647307292</v>
      </c>
      <c r="AK111" s="111">
        <v>84.413521647307292</v>
      </c>
      <c r="AL111" s="111">
        <v>86.16193331573389</v>
      </c>
      <c r="AM111" s="111">
        <v>84.413521647307292</v>
      </c>
      <c r="AN111" s="111">
        <v>84.413521647307292</v>
      </c>
      <c r="AO111" s="111">
        <v>84.413521647307292</v>
      </c>
      <c r="AP111" s="111">
        <v>87.5419333157339</v>
      </c>
      <c r="AQ111" s="111">
        <v>102.17481241235481</v>
      </c>
      <c r="AR111" s="111">
        <v>91.362129316752927</v>
      </c>
      <c r="AS111" s="111">
        <v>90.887523759239713</v>
      </c>
      <c r="AT111" s="111">
        <v>90.887523759239713</v>
      </c>
      <c r="AU111" s="111">
        <v>99.690917053854292</v>
      </c>
      <c r="AV111" s="111">
        <v>94.279529890707522</v>
      </c>
      <c r="AW111" s="111">
        <v>100.00276177508451</v>
      </c>
      <c r="AX111" s="111">
        <v>91.759650326054782</v>
      </c>
      <c r="AY111" s="111">
        <v>84.413521647307292</v>
      </c>
    </row>
    <row r="112" spans="1:52" x14ac:dyDescent="0.2">
      <c r="A112" s="114"/>
      <c r="B112" s="125">
        <v>4</v>
      </c>
      <c r="C112" s="111">
        <v>102.57770865935828</v>
      </c>
      <c r="D112" s="111">
        <v>20.088753959873287</v>
      </c>
      <c r="E112" s="111">
        <v>6.2924640971489083</v>
      </c>
      <c r="F112" s="111">
        <v>0</v>
      </c>
      <c r="G112" s="111">
        <v>0</v>
      </c>
      <c r="H112" s="111">
        <v>16.906000063406154</v>
      </c>
      <c r="I112" s="111">
        <v>30.884098401515487</v>
      </c>
      <c r="J112" s="111">
        <v>61.850755769166966</v>
      </c>
      <c r="K112" s="111">
        <v>31.832812222473706</v>
      </c>
      <c r="L112" s="111">
        <v>37.915265181456604</v>
      </c>
      <c r="M112" s="111">
        <v>35.954065469905018</v>
      </c>
      <c r="N112" s="111">
        <v>44.36758711721231</v>
      </c>
      <c r="O112" s="111">
        <v>53.54952043294621</v>
      </c>
      <c r="P112" s="111">
        <v>82.16313073336859</v>
      </c>
      <c r="Q112" s="111">
        <v>96.796001578632513</v>
      </c>
      <c r="R112" s="111">
        <v>84.413521647307306</v>
      </c>
      <c r="S112" s="111">
        <v>84.413521647307292</v>
      </c>
      <c r="T112" s="111">
        <v>89.611933315733893</v>
      </c>
      <c r="U112" s="111">
        <v>84.413521647307292</v>
      </c>
      <c r="V112" s="111">
        <v>84.413521647307292</v>
      </c>
      <c r="W112" s="111">
        <v>90.071933315733901</v>
      </c>
      <c r="X112" s="111">
        <v>87.98891030042239</v>
      </c>
      <c r="Y112" s="111">
        <v>92.594982578632525</v>
      </c>
      <c r="Z112" s="111">
        <v>84.413521647307306</v>
      </c>
      <c r="AA112" s="111">
        <v>84.413521647307292</v>
      </c>
      <c r="AB112" s="111">
        <v>84.413521647307292</v>
      </c>
      <c r="AC112" s="111">
        <v>84.413521647307292</v>
      </c>
      <c r="AD112" s="111">
        <v>84.413521647307292</v>
      </c>
      <c r="AE112" s="111">
        <v>85.471933315733892</v>
      </c>
      <c r="AF112" s="111">
        <v>66.358521647307285</v>
      </c>
      <c r="AG112" s="111">
        <v>67.536499457260064</v>
      </c>
      <c r="AH112" s="111">
        <v>84.413521647307292</v>
      </c>
      <c r="AI112" s="111">
        <v>82.551455749234989</v>
      </c>
      <c r="AJ112" s="111">
        <v>95.298310300422386</v>
      </c>
      <c r="AK112" s="111">
        <v>84.413521647307292</v>
      </c>
      <c r="AL112" s="111">
        <v>84.413521647307292</v>
      </c>
      <c r="AM112" s="111">
        <v>86.16193331573389</v>
      </c>
      <c r="AN112" s="111">
        <v>49.392708553326266</v>
      </c>
      <c r="AO112" s="111">
        <v>69.806230200633564</v>
      </c>
      <c r="AP112" s="111">
        <v>73.7579781758552</v>
      </c>
      <c r="AQ112" s="111">
        <v>70.412387732349416</v>
      </c>
      <c r="AR112" s="111">
        <v>43.424053365401093</v>
      </c>
      <c r="AS112" s="111">
        <v>54.786182682154021</v>
      </c>
      <c r="AT112" s="111">
        <v>30.34741288278758</v>
      </c>
      <c r="AU112" s="111">
        <v>29.234936642027293</v>
      </c>
      <c r="AV112" s="111">
        <v>57.925853695881585</v>
      </c>
      <c r="AW112" s="111">
        <v>77.205383586589107</v>
      </c>
      <c r="AX112" s="111">
        <v>100.00276177508451</v>
      </c>
      <c r="AY112" s="111">
        <v>91.759650326054782</v>
      </c>
    </row>
    <row r="113" spans="1:52" x14ac:dyDescent="0.2">
      <c r="A113" s="114"/>
      <c r="B113" s="125">
        <v>5</v>
      </c>
      <c r="C113" s="111">
        <v>109.91517519495916</v>
      </c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2.2601168196230628</v>
      </c>
      <c r="R113" s="111">
        <v>8.0811912453020085</v>
      </c>
      <c r="S113" s="111">
        <v>4.3723197482137053</v>
      </c>
      <c r="T113" s="111">
        <v>3.6616738958232631</v>
      </c>
      <c r="U113" s="111">
        <v>0.11900334228881704</v>
      </c>
      <c r="V113" s="111">
        <v>3.0172174096012139</v>
      </c>
      <c r="W113" s="111">
        <v>6.0229084075565424</v>
      </c>
      <c r="X113" s="111">
        <v>5.9137975792592989</v>
      </c>
      <c r="Y113" s="111">
        <v>8.3370051061493413</v>
      </c>
      <c r="Z113" s="111">
        <v>13.948363399746441</v>
      </c>
      <c r="AA113" s="111">
        <v>4.6632103707534611</v>
      </c>
      <c r="AB113" s="111">
        <v>20.076732018060753</v>
      </c>
      <c r="AC113" s="111">
        <v>6.5764585304724541</v>
      </c>
      <c r="AD113" s="111">
        <v>11.505695981663422</v>
      </c>
      <c r="AE113" s="111">
        <v>0.14951027135021366</v>
      </c>
      <c r="AF113" s="111">
        <v>2.4783917405049039E-3</v>
      </c>
      <c r="AG113" s="111">
        <v>0</v>
      </c>
      <c r="AH113" s="111">
        <v>0.84600078619379193</v>
      </c>
      <c r="AI113" s="111">
        <v>0</v>
      </c>
      <c r="AJ113" s="111">
        <v>1.6669372511088141</v>
      </c>
      <c r="AK113" s="111">
        <v>10.295958795539743</v>
      </c>
      <c r="AL113" s="111">
        <v>3.3875411893660887</v>
      </c>
      <c r="AM113" s="111">
        <v>1.5934915602184718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3.3543673359864954</v>
      </c>
      <c r="AY113" s="111">
        <v>9.4774717788902088</v>
      </c>
    </row>
    <row r="114" spans="1:52" x14ac:dyDescent="0.2">
      <c r="A114" s="114"/>
      <c r="B114" s="125">
        <v>6</v>
      </c>
      <c r="C114" s="111">
        <v>109.5872096567785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112.9995920747257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113.54814066946231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105.59820377950987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117.07880522113005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123.96854735310434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111.40977090112288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32.87110292703322</v>
      </c>
      <c r="D121" s="130">
        <v>22.409770901122883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22.409770901122883</v>
      </c>
    </row>
    <row r="122" spans="1:52" x14ac:dyDescent="0.2">
      <c r="A122" s="136" t="s">
        <v>123</v>
      </c>
      <c r="B122" s="124">
        <v>1</v>
      </c>
      <c r="C122" s="111">
        <v>367.01531151003167</v>
      </c>
      <c r="D122" s="111">
        <v>367.01531151003167</v>
      </c>
      <c r="E122" s="111">
        <v>367.01531151003167</v>
      </c>
      <c r="F122" s="111">
        <v>367.01531151003167</v>
      </c>
      <c r="G122" s="111">
        <v>367.01531151003167</v>
      </c>
      <c r="H122" s="111">
        <v>367.01531151003167</v>
      </c>
      <c r="I122" s="111">
        <v>367.01531151003167</v>
      </c>
      <c r="J122" s="111">
        <v>367.01531151003167</v>
      </c>
      <c r="K122" s="111">
        <v>367.01531151003167</v>
      </c>
      <c r="L122" s="111">
        <v>367.01531151003167</v>
      </c>
      <c r="M122" s="111">
        <v>367.01531151003167</v>
      </c>
      <c r="N122" s="111">
        <v>367.01531151003167</v>
      </c>
      <c r="O122" s="111">
        <v>367.01531151003167</v>
      </c>
      <c r="P122" s="111">
        <v>367.01531151003167</v>
      </c>
      <c r="Q122" s="111">
        <v>367.01531151003167</v>
      </c>
      <c r="R122" s="111">
        <v>367.01531151003167</v>
      </c>
      <c r="S122" s="111">
        <v>367.01531151003167</v>
      </c>
      <c r="T122" s="111">
        <v>367.01531151003167</v>
      </c>
      <c r="U122" s="111">
        <v>367.01531151003167</v>
      </c>
      <c r="V122" s="111">
        <v>367.01531151003167</v>
      </c>
      <c r="W122" s="111">
        <v>367.01531151003167</v>
      </c>
      <c r="X122" s="111">
        <v>367.01531151003167</v>
      </c>
      <c r="Y122" s="111">
        <v>367.01531151003167</v>
      </c>
      <c r="Z122" s="111">
        <v>367.01531151003167</v>
      </c>
      <c r="AA122" s="111">
        <v>367.01531151003167</v>
      </c>
      <c r="AB122" s="111">
        <v>288.51531151003167</v>
      </c>
      <c r="AC122" s="111">
        <v>396.43880877779122</v>
      </c>
      <c r="AD122" s="111">
        <v>367.01531151003167</v>
      </c>
      <c r="AE122" s="111">
        <v>367.01531151003167</v>
      </c>
      <c r="AF122" s="111">
        <v>367.01531151003167</v>
      </c>
      <c r="AG122" s="111">
        <v>367.01531151003167</v>
      </c>
      <c r="AH122" s="111">
        <v>367.01531151003167</v>
      </c>
      <c r="AI122" s="111">
        <v>367.01531151003167</v>
      </c>
      <c r="AJ122" s="111">
        <v>367.01531151003167</v>
      </c>
      <c r="AK122" s="111">
        <v>367.01531151003167</v>
      </c>
      <c r="AL122" s="111">
        <v>367.01531151003167</v>
      </c>
      <c r="AM122" s="111">
        <v>367.01531151003167</v>
      </c>
      <c r="AN122" s="111">
        <v>395.16314677930308</v>
      </c>
      <c r="AO122" s="111">
        <v>395.16314677930308</v>
      </c>
      <c r="AP122" s="111">
        <v>395.16314677930308</v>
      </c>
      <c r="AQ122" s="111">
        <v>395.16314677930308</v>
      </c>
      <c r="AR122" s="111">
        <v>395.16314677930308</v>
      </c>
      <c r="AS122" s="111">
        <v>395.16314677930308</v>
      </c>
      <c r="AT122" s="111">
        <v>395.16314677930308</v>
      </c>
      <c r="AU122" s="111">
        <v>395.16314677930308</v>
      </c>
      <c r="AV122" s="111">
        <v>367.01531151003167</v>
      </c>
      <c r="AW122" s="111">
        <v>367.01531151003167</v>
      </c>
      <c r="AX122" s="111">
        <v>367.01531151003167</v>
      </c>
      <c r="AY122" s="111">
        <v>367.01531151003167</v>
      </c>
    </row>
    <row r="123" spans="1:52" x14ac:dyDescent="0.2">
      <c r="A123" s="114"/>
      <c r="B123" s="124">
        <v>2</v>
      </c>
      <c r="C123" s="111">
        <v>41.049433057022185</v>
      </c>
      <c r="D123" s="111">
        <v>90.209853316631467</v>
      </c>
      <c r="E123" s="111">
        <v>85.063376916530615</v>
      </c>
      <c r="F123" s="111">
        <v>111.10059008845298</v>
      </c>
      <c r="G123" s="111">
        <v>14.149244230833176</v>
      </c>
      <c r="H123" s="111">
        <v>59.496707920465923</v>
      </c>
      <c r="I123" s="111">
        <v>11.414254961483152</v>
      </c>
      <c r="J123" s="111">
        <v>0</v>
      </c>
      <c r="K123" s="111">
        <v>81.601789862724388</v>
      </c>
      <c r="L123" s="111">
        <v>70.435168057022167</v>
      </c>
      <c r="M123" s="111">
        <v>53.836869266631453</v>
      </c>
      <c r="N123" s="111">
        <v>5.6843418860808015E-14</v>
      </c>
      <c r="O123" s="111">
        <v>0</v>
      </c>
      <c r="P123" s="111">
        <v>22.601789862724388</v>
      </c>
      <c r="Q123" s="111">
        <v>0</v>
      </c>
      <c r="R123" s="111">
        <v>0</v>
      </c>
      <c r="S123" s="111">
        <v>24.601789862724388</v>
      </c>
      <c r="T123" s="111">
        <v>15.545168057022181</v>
      </c>
      <c r="U123" s="111">
        <v>35.571569266631457</v>
      </c>
      <c r="V123" s="111">
        <v>5.6843418860808015E-14</v>
      </c>
      <c r="W123" s="111">
        <v>0</v>
      </c>
      <c r="X123" s="111">
        <v>0</v>
      </c>
      <c r="Y123" s="111">
        <v>0</v>
      </c>
      <c r="Z123" s="111">
        <v>0</v>
      </c>
      <c r="AA123" s="111">
        <v>4.6017898627243881</v>
      </c>
      <c r="AB123" s="111">
        <v>0</v>
      </c>
      <c r="AC123" s="111">
        <v>0</v>
      </c>
      <c r="AD123" s="111">
        <v>0</v>
      </c>
      <c r="AE123" s="111">
        <v>38.601789862724388</v>
      </c>
      <c r="AF123" s="111">
        <v>47.325168057022154</v>
      </c>
      <c r="AG123" s="111">
        <v>0</v>
      </c>
      <c r="AH123" s="111">
        <v>0</v>
      </c>
      <c r="AI123" s="111">
        <v>7.6017898627243881</v>
      </c>
      <c r="AJ123" s="111">
        <v>0</v>
      </c>
      <c r="AK123" s="111">
        <v>0</v>
      </c>
      <c r="AL123" s="111">
        <v>0</v>
      </c>
      <c r="AM123" s="111">
        <v>13.601789862724388</v>
      </c>
      <c r="AN123" s="111">
        <v>49.075168057022154</v>
      </c>
      <c r="AO123" s="111">
        <v>2.0635024239704762</v>
      </c>
      <c r="AP123" s="111">
        <v>0</v>
      </c>
      <c r="AQ123" s="111">
        <v>0</v>
      </c>
      <c r="AR123" s="111">
        <v>38.275623020063392</v>
      </c>
      <c r="AS123" s="111">
        <v>14.747852745512205</v>
      </c>
      <c r="AT123" s="111">
        <v>39.631469634107816</v>
      </c>
      <c r="AU123" s="111">
        <v>3.7918546383264129</v>
      </c>
      <c r="AV123" s="111">
        <v>0</v>
      </c>
      <c r="AW123" s="111">
        <v>0</v>
      </c>
      <c r="AX123" s="111">
        <v>0</v>
      </c>
      <c r="AY123" s="111">
        <v>0</v>
      </c>
    </row>
    <row r="124" spans="1:52" x14ac:dyDescent="0.2">
      <c r="A124" s="114"/>
      <c r="B124" s="124">
        <v>3</v>
      </c>
      <c r="C124" s="111">
        <v>0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0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0.23</v>
      </c>
      <c r="D172" s="139">
        <v>0.23</v>
      </c>
      <c r="E172" s="139">
        <v>0.23</v>
      </c>
      <c r="F172" s="139">
        <v>0.23</v>
      </c>
      <c r="G172" s="139">
        <v>0.23</v>
      </c>
      <c r="H172" s="139">
        <v>0.23</v>
      </c>
      <c r="I172" s="139">
        <v>0.23</v>
      </c>
      <c r="J172" s="139">
        <v>0.23</v>
      </c>
      <c r="K172" s="139">
        <v>0.23</v>
      </c>
      <c r="L172" s="139">
        <v>0.23</v>
      </c>
      <c r="M172" s="139">
        <v>0.23</v>
      </c>
      <c r="N172" s="139">
        <v>0.23</v>
      </c>
      <c r="O172" s="139">
        <v>0.23</v>
      </c>
      <c r="P172" s="139">
        <v>0.23</v>
      </c>
      <c r="Q172" s="139">
        <v>0.23</v>
      </c>
      <c r="R172" s="139">
        <v>0.23</v>
      </c>
      <c r="S172" s="139">
        <v>0.23</v>
      </c>
      <c r="T172" s="139">
        <v>0.23</v>
      </c>
      <c r="U172" s="139">
        <v>0.23</v>
      </c>
      <c r="V172" s="139">
        <v>0.23</v>
      </c>
      <c r="W172" s="139">
        <v>0.23</v>
      </c>
      <c r="X172" s="139">
        <v>0.23</v>
      </c>
      <c r="Y172" s="139">
        <v>0.23</v>
      </c>
      <c r="Z172" s="139">
        <v>0.23</v>
      </c>
      <c r="AA172" s="139">
        <v>0.23</v>
      </c>
      <c r="AB172" s="139">
        <v>0.23</v>
      </c>
      <c r="AC172" s="139">
        <v>0.23</v>
      </c>
      <c r="AD172" s="139">
        <v>0.23</v>
      </c>
      <c r="AE172" s="139">
        <v>0.23</v>
      </c>
      <c r="AF172" s="139">
        <v>0.23</v>
      </c>
      <c r="AG172" s="139">
        <v>0.23</v>
      </c>
      <c r="AH172" s="139">
        <v>0.23</v>
      </c>
      <c r="AI172" s="139">
        <v>0.23</v>
      </c>
      <c r="AJ172" s="139">
        <v>0.23</v>
      </c>
      <c r="AK172" s="139">
        <v>0.23</v>
      </c>
      <c r="AL172" s="139">
        <v>0.23</v>
      </c>
      <c r="AM172" s="139">
        <v>0.23</v>
      </c>
      <c r="AN172" s="139">
        <v>0.23</v>
      </c>
      <c r="AO172" s="139">
        <v>0.23</v>
      </c>
      <c r="AP172" s="139">
        <v>0.23</v>
      </c>
      <c r="AQ172" s="139">
        <v>0.23</v>
      </c>
      <c r="AR172" s="139">
        <v>0.23</v>
      </c>
      <c r="AS172" s="139">
        <v>0.23</v>
      </c>
      <c r="AT172" s="139">
        <v>0.23</v>
      </c>
      <c r="AU172" s="139">
        <v>0.23</v>
      </c>
      <c r="AV172" s="139">
        <v>0.23</v>
      </c>
      <c r="AW172" s="139">
        <v>0.23</v>
      </c>
      <c r="AX172" s="139">
        <v>0.23</v>
      </c>
      <c r="AY172" s="139">
        <v>0.23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0</v>
      </c>
      <c r="I175" s="129">
        <f t="shared" si="1"/>
        <v>0</v>
      </c>
      <c r="J175" s="129">
        <f t="shared" si="1"/>
        <v>0</v>
      </c>
      <c r="K175" s="129">
        <f t="shared" si="1"/>
        <v>0</v>
      </c>
      <c r="L175" s="129">
        <f t="shared" si="1"/>
        <v>0</v>
      </c>
      <c r="M175" s="129">
        <f t="shared" si="1"/>
        <v>0</v>
      </c>
      <c r="N175" s="129">
        <f t="shared" si="1"/>
        <v>0</v>
      </c>
      <c r="O175" s="129">
        <f t="shared" si="1"/>
        <v>0</v>
      </c>
      <c r="P175" s="129">
        <f t="shared" si="1"/>
        <v>0</v>
      </c>
      <c r="Q175" s="129">
        <f t="shared" si="1"/>
        <v>0</v>
      </c>
      <c r="R175" s="129">
        <f t="shared" si="1"/>
        <v>0</v>
      </c>
      <c r="S175" s="129">
        <f t="shared" si="1"/>
        <v>0</v>
      </c>
      <c r="T175" s="129">
        <f t="shared" si="1"/>
        <v>0</v>
      </c>
      <c r="U175" s="129">
        <f t="shared" si="1"/>
        <v>0</v>
      </c>
      <c r="V175" s="129">
        <f t="shared" si="1"/>
        <v>0</v>
      </c>
      <c r="W175" s="129">
        <f t="shared" si="1"/>
        <v>0</v>
      </c>
      <c r="X175" s="129">
        <f t="shared" si="1"/>
        <v>0</v>
      </c>
      <c r="Y175" s="129">
        <f t="shared" si="1"/>
        <v>0</v>
      </c>
      <c r="Z175" s="129">
        <f t="shared" si="1"/>
        <v>0</v>
      </c>
      <c r="AA175" s="129">
        <f t="shared" si="1"/>
        <v>0</v>
      </c>
      <c r="AB175" s="129">
        <f t="shared" si="1"/>
        <v>102.69545821425191</v>
      </c>
      <c r="AC175" s="129">
        <f t="shared" si="1"/>
        <v>0</v>
      </c>
      <c r="AD175" s="129">
        <f t="shared" si="1"/>
        <v>0</v>
      </c>
      <c r="AE175" s="129">
        <f t="shared" si="1"/>
        <v>0</v>
      </c>
      <c r="AF175" s="129">
        <f t="shared" si="1"/>
        <v>0</v>
      </c>
      <c r="AG175" s="129">
        <f t="shared" si="1"/>
        <v>0</v>
      </c>
      <c r="AH175" s="129">
        <f t="shared" si="1"/>
        <v>0</v>
      </c>
      <c r="AI175" s="129">
        <f t="shared" si="1"/>
        <v>0</v>
      </c>
      <c r="AJ175" s="129">
        <f t="shared" si="1"/>
        <v>0</v>
      </c>
      <c r="AK175" s="129">
        <f t="shared" si="1"/>
        <v>0</v>
      </c>
      <c r="AL175" s="129">
        <f t="shared" si="1"/>
        <v>0</v>
      </c>
      <c r="AM175" s="129">
        <f t="shared" si="1"/>
        <v>0</v>
      </c>
      <c r="AN175" s="129">
        <f t="shared" si="1"/>
        <v>0</v>
      </c>
      <c r="AO175" s="129">
        <f t="shared" si="1"/>
        <v>0</v>
      </c>
      <c r="AP175" s="129">
        <f t="shared" si="1"/>
        <v>0</v>
      </c>
      <c r="AQ175" s="129">
        <f t="shared" si="1"/>
        <v>0</v>
      </c>
      <c r="AR175" s="129">
        <f t="shared" si="1"/>
        <v>0</v>
      </c>
      <c r="AS175" s="129">
        <f t="shared" si="1"/>
        <v>0</v>
      </c>
      <c r="AT175" s="129">
        <f t="shared" si="1"/>
        <v>0</v>
      </c>
      <c r="AU175" s="129">
        <f t="shared" si="1"/>
        <v>0</v>
      </c>
      <c r="AV175" s="129">
        <f t="shared" si="1"/>
        <v>0</v>
      </c>
      <c r="AW175" s="129">
        <f t="shared" si="1"/>
        <v>0</v>
      </c>
      <c r="AX175" s="129">
        <f t="shared" si="1"/>
        <v>0</v>
      </c>
      <c r="AY175" s="129">
        <f t="shared" si="1"/>
        <v>0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0</v>
      </c>
      <c r="I176" s="130">
        <v>0</v>
      </c>
      <c r="J176" s="130">
        <v>0</v>
      </c>
      <c r="K176" s="130">
        <v>0</v>
      </c>
      <c r="L176" s="130">
        <v>0</v>
      </c>
      <c r="M176" s="130">
        <v>0</v>
      </c>
      <c r="N176" s="130">
        <v>0</v>
      </c>
      <c r="O176" s="130">
        <v>0</v>
      </c>
      <c r="P176" s="130">
        <v>0</v>
      </c>
      <c r="Q176" s="130">
        <v>0</v>
      </c>
      <c r="R176" s="130">
        <v>0</v>
      </c>
      <c r="S176" s="130">
        <v>0</v>
      </c>
      <c r="T176" s="130">
        <v>0</v>
      </c>
      <c r="U176" s="130">
        <v>0</v>
      </c>
      <c r="V176" s="130">
        <v>0</v>
      </c>
      <c r="W176" s="130">
        <v>0</v>
      </c>
      <c r="X176" s="130">
        <v>0</v>
      </c>
      <c r="Y176" s="130">
        <v>0</v>
      </c>
      <c r="Z176" s="130">
        <v>0</v>
      </c>
      <c r="AA176" s="130">
        <v>0</v>
      </c>
      <c r="AB176" s="130">
        <v>102.69545821425191</v>
      </c>
      <c r="AC176" s="130">
        <v>0</v>
      </c>
      <c r="AD176" s="130">
        <v>0</v>
      </c>
      <c r="AE176" s="130">
        <v>0</v>
      </c>
      <c r="AF176" s="130">
        <v>0</v>
      </c>
      <c r="AG176" s="130">
        <v>0</v>
      </c>
      <c r="AH176" s="130">
        <v>0</v>
      </c>
      <c r="AI176" s="130">
        <v>0</v>
      </c>
      <c r="AJ176" s="130">
        <v>0</v>
      </c>
      <c r="AK176" s="130">
        <v>0</v>
      </c>
      <c r="AL176" s="130">
        <v>0</v>
      </c>
      <c r="AM176" s="130">
        <v>0</v>
      </c>
      <c r="AN176" s="130">
        <v>0</v>
      </c>
      <c r="AO176" s="130">
        <v>0</v>
      </c>
      <c r="AP176" s="130">
        <v>0</v>
      </c>
      <c r="AQ176" s="130">
        <v>0</v>
      </c>
      <c r="AR176" s="130">
        <v>0</v>
      </c>
      <c r="AS176" s="130">
        <v>0</v>
      </c>
      <c r="AT176" s="130">
        <v>0</v>
      </c>
      <c r="AU176" s="130">
        <v>0</v>
      </c>
      <c r="AV176" s="130">
        <v>0</v>
      </c>
      <c r="AW176" s="130">
        <v>0</v>
      </c>
      <c r="AX176" s="130">
        <v>0</v>
      </c>
      <c r="AY176" s="130">
        <v>0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0</v>
      </c>
      <c r="G177" s="129">
        <f t="shared" si="2"/>
        <v>68.984688489968221</v>
      </c>
      <c r="H177" s="129">
        <f t="shared" si="2"/>
        <v>4.9693769799364418</v>
      </c>
      <c r="I177" s="129">
        <f t="shared" si="2"/>
        <v>44.95406546990489</v>
      </c>
      <c r="J177" s="129">
        <f t="shared" si="2"/>
        <v>48.3295201429396</v>
      </c>
      <c r="K177" s="129">
        <f t="shared" si="2"/>
        <v>0</v>
      </c>
      <c r="L177" s="129">
        <f t="shared" si="2"/>
        <v>0</v>
      </c>
      <c r="M177" s="129">
        <f t="shared" si="2"/>
        <v>4.9846884899683346</v>
      </c>
      <c r="N177" s="129">
        <f t="shared" si="2"/>
        <v>38.025556177967246</v>
      </c>
      <c r="O177" s="129">
        <f t="shared" si="2"/>
        <v>47.612034530659912</v>
      </c>
      <c r="P177" s="129">
        <f t="shared" si="2"/>
        <v>12.596723020628247</v>
      </c>
      <c r="Q177" s="129">
        <f t="shared" si="2"/>
        <v>25.489593481364267</v>
      </c>
      <c r="R177" s="129">
        <f t="shared" si="2"/>
        <v>32.050998987010644</v>
      </c>
      <c r="S177" s="129">
        <f t="shared" si="2"/>
        <v>11.158080621374481</v>
      </c>
      <c r="T177" s="129">
        <f t="shared" si="2"/>
        <v>15.266936611040506</v>
      </c>
      <c r="U177" s="129">
        <f t="shared" si="2"/>
        <v>0.40622897027714089</v>
      </c>
      <c r="V177" s="129">
        <f t="shared" si="2"/>
        <v>24.898123238270998</v>
      </c>
      <c r="W177" s="129">
        <f t="shared" si="2"/>
        <v>21.892432240315586</v>
      </c>
      <c r="X177" s="129">
        <f t="shared" si="2"/>
        <v>27.65995473703947</v>
      </c>
      <c r="Y177" s="129">
        <f t="shared" si="2"/>
        <v>28.812135863264587</v>
      </c>
      <c r="Z177" s="129">
        <f t="shared" si="2"/>
        <v>31.382238500992628</v>
      </c>
      <c r="AA177" s="129">
        <f t="shared" si="2"/>
        <v>36.065601667261305</v>
      </c>
      <c r="AB177" s="129">
        <f t="shared" si="2"/>
        <v>0</v>
      </c>
      <c r="AC177" s="129">
        <f t="shared" si="2"/>
        <v>26.32723443408068</v>
      </c>
      <c r="AD177" s="129">
        <f t="shared" si="2"/>
        <v>44.054089879064506</v>
      </c>
      <c r="AE177" s="129">
        <f t="shared" si="2"/>
        <v>16.808485726653302</v>
      </c>
      <c r="AF177" s="129">
        <f t="shared" si="2"/>
        <v>0.41213941196524218</v>
      </c>
      <c r="AG177" s="129">
        <f t="shared" si="2"/>
        <v>42.444423769244736</v>
      </c>
      <c r="AH177" s="129">
        <f t="shared" si="2"/>
        <v>24.721400793003667</v>
      </c>
      <c r="AI177" s="129">
        <f t="shared" si="2"/>
        <v>28.706089282972016</v>
      </c>
      <c r="AJ177" s="129">
        <f t="shared" si="2"/>
        <v>31.03046432808874</v>
      </c>
      <c r="AK177" s="129">
        <f t="shared" si="2"/>
        <v>33.286231436772908</v>
      </c>
      <c r="AL177" s="129">
        <f t="shared" si="2"/>
        <v>40.194649042946438</v>
      </c>
      <c r="AM177" s="129">
        <f t="shared" si="2"/>
        <v>28.386908809369729</v>
      </c>
      <c r="AN177" s="129">
        <f t="shared" si="2"/>
        <v>0</v>
      </c>
      <c r="AO177" s="129">
        <f t="shared" si="2"/>
        <v>8.8368532206968666</v>
      </c>
      <c r="AP177" s="129">
        <f t="shared" si="2"/>
        <v>0</v>
      </c>
      <c r="AQ177" s="129">
        <f t="shared" si="2"/>
        <v>0</v>
      </c>
      <c r="AR177" s="129">
        <f t="shared" si="2"/>
        <v>0</v>
      </c>
      <c r="AS177" s="129">
        <f t="shared" si="2"/>
        <v>3.8368532206968666</v>
      </c>
      <c r="AT177" s="129">
        <f t="shared" si="2"/>
        <v>0</v>
      </c>
      <c r="AU177" s="129">
        <f t="shared" si="2"/>
        <v>27.836853220696867</v>
      </c>
      <c r="AV177" s="129">
        <f t="shared" si="2"/>
        <v>39.016892802239909</v>
      </c>
      <c r="AW177" s="129">
        <f t="shared" si="2"/>
        <v>29.603371154932574</v>
      </c>
      <c r="AX177" s="129">
        <f t="shared" si="2"/>
        <v>19.040865758227852</v>
      </c>
      <c r="AY177" s="129">
        <f t="shared" si="2"/>
        <v>28.507001443101402</v>
      </c>
    </row>
    <row r="178" spans="1:51" x14ac:dyDescent="0.2">
      <c r="A178" s="130"/>
      <c r="B178" s="141" t="s">
        <v>299</v>
      </c>
      <c r="C178" s="130" t="s">
        <v>293</v>
      </c>
      <c r="D178" s="130">
        <v>0</v>
      </c>
      <c r="E178" s="130">
        <v>0</v>
      </c>
      <c r="F178" s="130">
        <v>0</v>
      </c>
      <c r="G178" s="130">
        <v>68.984688489968221</v>
      </c>
      <c r="H178" s="130">
        <v>4.9693769799364418</v>
      </c>
      <c r="I178" s="130">
        <v>44.95406546990489</v>
      </c>
      <c r="J178" s="130">
        <v>48.3295201429396</v>
      </c>
      <c r="K178" s="130">
        <v>0</v>
      </c>
      <c r="L178" s="130">
        <v>0</v>
      </c>
      <c r="M178" s="130">
        <v>4.9846884899683346</v>
      </c>
      <c r="N178" s="130">
        <v>38.025556177967246</v>
      </c>
      <c r="O178" s="130">
        <v>47.612034530659912</v>
      </c>
      <c r="P178" s="130">
        <v>12.596723020628247</v>
      </c>
      <c r="Q178" s="130">
        <v>25.489593481364267</v>
      </c>
      <c r="R178" s="130">
        <v>32.050998987010644</v>
      </c>
      <c r="S178" s="130">
        <v>11.158080621374481</v>
      </c>
      <c r="T178" s="130">
        <v>15.266936611040506</v>
      </c>
      <c r="U178" s="130">
        <v>0.40622897027714089</v>
      </c>
      <c r="V178" s="130">
        <v>24.898123238270998</v>
      </c>
      <c r="W178" s="130">
        <v>21.892432240315586</v>
      </c>
      <c r="X178" s="130">
        <v>27.65995473703947</v>
      </c>
      <c r="Y178" s="130">
        <v>28.812135863264587</v>
      </c>
      <c r="Z178" s="130">
        <v>31.382238500992628</v>
      </c>
      <c r="AA178" s="130">
        <v>36.065601667261305</v>
      </c>
      <c r="AB178" s="130">
        <v>0</v>
      </c>
      <c r="AC178" s="130">
        <v>26.32723443408068</v>
      </c>
      <c r="AD178" s="130">
        <v>44.054089879064506</v>
      </c>
      <c r="AE178" s="130">
        <v>16.808485726653302</v>
      </c>
      <c r="AF178" s="130">
        <v>0.41213941196524218</v>
      </c>
      <c r="AG178" s="130">
        <v>42.444423769244736</v>
      </c>
      <c r="AH178" s="130">
        <v>24.721400793003667</v>
      </c>
      <c r="AI178" s="130">
        <v>28.706089282972016</v>
      </c>
      <c r="AJ178" s="130">
        <v>31.03046432808874</v>
      </c>
      <c r="AK178" s="130">
        <v>33.286231436772908</v>
      </c>
      <c r="AL178" s="130">
        <v>40.194649042946438</v>
      </c>
      <c r="AM178" s="130">
        <v>28.386908809369729</v>
      </c>
      <c r="AN178" s="130">
        <v>0</v>
      </c>
      <c r="AO178" s="130">
        <v>8.8368532206968666</v>
      </c>
      <c r="AP178" s="130">
        <v>0</v>
      </c>
      <c r="AQ178" s="130">
        <v>0</v>
      </c>
      <c r="AR178" s="130">
        <v>0</v>
      </c>
      <c r="AS178" s="130">
        <v>3.8368532206968666</v>
      </c>
      <c r="AT178" s="130">
        <v>0</v>
      </c>
      <c r="AU178" s="130">
        <v>27.836853220696867</v>
      </c>
      <c r="AV178" s="130">
        <v>39.016892802239909</v>
      </c>
      <c r="AW178" s="130">
        <v>29.603371154932574</v>
      </c>
      <c r="AX178" s="130">
        <v>19.040865758227852</v>
      </c>
      <c r="AY178" s="130">
        <v>28.507001443101402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292.7748351733369</v>
      </c>
      <c r="E179" s="129">
        <f t="shared" si="3"/>
        <v>297.92131157343772</v>
      </c>
      <c r="F179" s="129">
        <f t="shared" si="3"/>
        <v>271.88409840151547</v>
      </c>
      <c r="G179" s="129">
        <f t="shared" si="3"/>
        <v>299.85075576916699</v>
      </c>
      <c r="H179" s="129">
        <f t="shared" si="3"/>
        <v>318.51860358956594</v>
      </c>
      <c r="I179" s="129">
        <f t="shared" si="3"/>
        <v>326.61636805858029</v>
      </c>
      <c r="J179" s="129">
        <f t="shared" si="3"/>
        <v>334.65516834702873</v>
      </c>
      <c r="K179" s="129">
        <f t="shared" si="3"/>
        <v>301.38289862724389</v>
      </c>
      <c r="L179" s="129">
        <f t="shared" si="3"/>
        <v>312.54952043294622</v>
      </c>
      <c r="M179" s="129">
        <f t="shared" si="3"/>
        <v>324.16313073336858</v>
      </c>
      <c r="N179" s="129">
        <f t="shared" si="3"/>
        <v>344.95913231200109</v>
      </c>
      <c r="O179" s="129">
        <f t="shared" si="3"/>
        <v>335.37265395930842</v>
      </c>
      <c r="P179" s="129">
        <f t="shared" si="3"/>
        <v>347.7861756066157</v>
      </c>
      <c r="Q179" s="129">
        <f t="shared" si="3"/>
        <v>357.4950950086041</v>
      </c>
      <c r="R179" s="129">
        <f t="shared" si="3"/>
        <v>350.93368950295775</v>
      </c>
      <c r="S179" s="129">
        <f t="shared" si="3"/>
        <v>347.22481800586951</v>
      </c>
      <c r="T179" s="129">
        <f t="shared" si="3"/>
        <v>352.17258382190562</v>
      </c>
      <c r="U179" s="129">
        <f t="shared" si="3"/>
        <v>347.00689025305968</v>
      </c>
      <c r="V179" s="129">
        <f t="shared" si="3"/>
        <v>358.08656525169727</v>
      </c>
      <c r="W179" s="129">
        <f t="shared" si="3"/>
        <v>361.09225624965268</v>
      </c>
      <c r="X179" s="129">
        <f t="shared" si="3"/>
        <v>355.32473375292886</v>
      </c>
      <c r="Y179" s="129">
        <f t="shared" si="3"/>
        <v>354.17255262670375</v>
      </c>
      <c r="Z179" s="129">
        <f t="shared" si="3"/>
        <v>351.60244998897565</v>
      </c>
      <c r="AA179" s="129">
        <f t="shared" si="3"/>
        <v>342.31729695998263</v>
      </c>
      <c r="AB179" s="129">
        <f t="shared" si="3"/>
        <v>358.78923027571648</v>
      </c>
      <c r="AC179" s="129">
        <f t="shared" si="3"/>
        <v>327.23395678812818</v>
      </c>
      <c r="AD179" s="129">
        <f t="shared" si="3"/>
        <v>338.93059861090387</v>
      </c>
      <c r="AE179" s="129">
        <f t="shared" si="3"/>
        <v>327.57441290059069</v>
      </c>
      <c r="AF179" s="129">
        <f t="shared" si="3"/>
        <v>335.24738102098092</v>
      </c>
      <c r="AG179" s="129">
        <f t="shared" si="3"/>
        <v>340.5402647207236</v>
      </c>
      <c r="AH179" s="129">
        <f t="shared" si="3"/>
        <v>358.26328769696465</v>
      </c>
      <c r="AI179" s="129">
        <f t="shared" si="3"/>
        <v>346.67680934427199</v>
      </c>
      <c r="AJ179" s="129">
        <f t="shared" si="3"/>
        <v>351.95422416187967</v>
      </c>
      <c r="AK179" s="129">
        <f t="shared" si="3"/>
        <v>349.69845705319545</v>
      </c>
      <c r="AL179" s="129">
        <f t="shared" si="3"/>
        <v>342.7900394470218</v>
      </c>
      <c r="AM179" s="129">
        <f t="shared" si="3"/>
        <v>340.99598981787426</v>
      </c>
      <c r="AN179" s="129">
        <f t="shared" si="3"/>
        <v>305.76168516367471</v>
      </c>
      <c r="AO179" s="129">
        <f t="shared" si="3"/>
        <v>343.93649757602952</v>
      </c>
      <c r="AP179" s="129">
        <f t="shared" si="3"/>
        <v>354.83685322069687</v>
      </c>
      <c r="AQ179" s="129">
        <f t="shared" si="3"/>
        <v>354.83685322069687</v>
      </c>
      <c r="AR179" s="129">
        <f t="shared" si="3"/>
        <v>316.56123020063347</v>
      </c>
      <c r="AS179" s="129">
        <f t="shared" si="3"/>
        <v>336.2521472544878</v>
      </c>
      <c r="AT179" s="129">
        <f t="shared" si="3"/>
        <v>315.20538358658911</v>
      </c>
      <c r="AU179" s="129">
        <f t="shared" si="3"/>
        <v>323.20814536167359</v>
      </c>
      <c r="AV179" s="129">
        <f t="shared" si="3"/>
        <v>343.96779568772837</v>
      </c>
      <c r="AW179" s="129">
        <f t="shared" si="3"/>
        <v>353.3813173350357</v>
      </c>
      <c r="AX179" s="129">
        <f t="shared" si="3"/>
        <v>363.9438227317404</v>
      </c>
      <c r="AY179" s="129">
        <f t="shared" si="3"/>
        <v>354.47768704686689</v>
      </c>
    </row>
    <row r="180" spans="1:51" x14ac:dyDescent="0.2">
      <c r="A180" s="130"/>
      <c r="B180" s="141" t="s">
        <v>299</v>
      </c>
      <c r="C180" s="130" t="s">
        <v>293</v>
      </c>
      <c r="D180" s="130">
        <v>85</v>
      </c>
      <c r="E180" s="130">
        <v>87</v>
      </c>
      <c r="F180" s="130">
        <v>82</v>
      </c>
      <c r="G180" s="130">
        <v>69</v>
      </c>
      <c r="H180" s="130">
        <v>90</v>
      </c>
      <c r="I180" s="130">
        <v>79</v>
      </c>
      <c r="J180" s="130">
        <v>86</v>
      </c>
      <c r="K180" s="130">
        <v>80</v>
      </c>
      <c r="L180" s="130">
        <v>89</v>
      </c>
      <c r="M180" s="130">
        <v>76</v>
      </c>
      <c r="N180" s="130">
        <v>94</v>
      </c>
      <c r="O180" s="130">
        <v>72</v>
      </c>
      <c r="P180" s="130">
        <v>73</v>
      </c>
      <c r="Q180" s="130">
        <v>73</v>
      </c>
      <c r="R180" s="130">
        <v>52</v>
      </c>
      <c r="S180" s="130">
        <v>64</v>
      </c>
      <c r="T180" s="130">
        <v>63</v>
      </c>
      <c r="U180" s="130">
        <v>72.009308235793767</v>
      </c>
      <c r="V180" s="130">
        <v>59</v>
      </c>
      <c r="W180" s="130">
        <v>74</v>
      </c>
      <c r="X180" s="130">
        <v>64</v>
      </c>
      <c r="Y180" s="130">
        <v>55</v>
      </c>
      <c r="Z180" s="130">
        <v>85</v>
      </c>
      <c r="AA180" s="130">
        <v>69</v>
      </c>
      <c r="AB180" s="130">
        <v>69</v>
      </c>
      <c r="AC180" s="130">
        <v>64</v>
      </c>
      <c r="AD180" s="130">
        <v>95</v>
      </c>
      <c r="AE180" s="130">
        <v>85</v>
      </c>
      <c r="AF180" s="130">
        <v>90.005426600679712</v>
      </c>
      <c r="AG180" s="130">
        <v>64</v>
      </c>
      <c r="AH180" s="130">
        <v>96</v>
      </c>
      <c r="AI180" s="130">
        <v>77</v>
      </c>
      <c r="AJ180" s="130">
        <v>65</v>
      </c>
      <c r="AK180" s="130">
        <v>86</v>
      </c>
      <c r="AL180" s="130">
        <v>82</v>
      </c>
      <c r="AM180" s="130">
        <v>65</v>
      </c>
      <c r="AN180" s="130">
        <v>64</v>
      </c>
      <c r="AO180" s="130">
        <v>71</v>
      </c>
      <c r="AP180" s="130">
        <v>71</v>
      </c>
      <c r="AQ180" s="130">
        <v>88</v>
      </c>
      <c r="AR180" s="130">
        <v>80</v>
      </c>
      <c r="AS180" s="130">
        <v>89</v>
      </c>
      <c r="AT180" s="130">
        <v>92</v>
      </c>
      <c r="AU180" s="130">
        <v>71</v>
      </c>
      <c r="AV180" s="130">
        <v>75</v>
      </c>
      <c r="AW180" s="130">
        <v>59</v>
      </c>
      <c r="AX180" s="130">
        <v>69</v>
      </c>
      <c r="AY180" s="130">
        <v>84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352.06337691653061</v>
      </c>
      <c r="E181" s="129">
        <f t="shared" si="4"/>
        <v>348.10059008845298</v>
      </c>
      <c r="F181" s="129">
        <f t="shared" si="4"/>
        <v>368.14924423083318</v>
      </c>
      <c r="G181" s="129">
        <f t="shared" si="4"/>
        <v>293.49670792046595</v>
      </c>
      <c r="H181" s="129">
        <f t="shared" si="4"/>
        <v>328.41425496148315</v>
      </c>
      <c r="I181" s="129">
        <f t="shared" si="4"/>
        <v>291.39076618306643</v>
      </c>
      <c r="J181" s="129">
        <f t="shared" si="4"/>
        <v>282.60178986272439</v>
      </c>
      <c r="K181" s="129">
        <f t="shared" si="4"/>
        <v>345.43516805702217</v>
      </c>
      <c r="L181" s="129">
        <f t="shared" si="4"/>
        <v>336.83686926663148</v>
      </c>
      <c r="M181" s="129">
        <f t="shared" si="4"/>
        <v>324.05617919803058</v>
      </c>
      <c r="N181" s="129">
        <f t="shared" si="4"/>
        <v>282.60178986272444</v>
      </c>
      <c r="O181" s="129">
        <f t="shared" si="4"/>
        <v>282.60178986272439</v>
      </c>
      <c r="P181" s="129">
        <f t="shared" si="4"/>
        <v>300.00516805702216</v>
      </c>
      <c r="Q181" s="129">
        <f t="shared" si="4"/>
        <v>282.60178986272439</v>
      </c>
      <c r="R181" s="129">
        <f t="shared" si="4"/>
        <v>282.60178986272439</v>
      </c>
      <c r="S181" s="129">
        <f t="shared" si="4"/>
        <v>301.54516805702218</v>
      </c>
      <c r="T181" s="129">
        <f t="shared" si="4"/>
        <v>294.57156926663146</v>
      </c>
      <c r="U181" s="129">
        <f t="shared" si="4"/>
        <v>309.99189819803058</v>
      </c>
      <c r="V181" s="129">
        <f t="shared" si="4"/>
        <v>282.60178986272444</v>
      </c>
      <c r="W181" s="129">
        <f t="shared" si="4"/>
        <v>282.60178986272439</v>
      </c>
      <c r="X181" s="129">
        <f t="shared" si="4"/>
        <v>282.60178986272439</v>
      </c>
      <c r="Y181" s="129">
        <f t="shared" si="4"/>
        <v>282.60178986272439</v>
      </c>
      <c r="Z181" s="129">
        <f t="shared" si="4"/>
        <v>282.60178986272439</v>
      </c>
      <c r="AA181" s="129">
        <f t="shared" si="4"/>
        <v>286.14516805702215</v>
      </c>
      <c r="AB181" s="129">
        <f t="shared" si="4"/>
        <v>222.15678986272439</v>
      </c>
      <c r="AC181" s="129">
        <f t="shared" si="4"/>
        <v>305.25788275889926</v>
      </c>
      <c r="AD181" s="129">
        <f t="shared" si="4"/>
        <v>282.60178986272439</v>
      </c>
      <c r="AE181" s="129">
        <f t="shared" si="4"/>
        <v>312.32516805702215</v>
      </c>
      <c r="AF181" s="129">
        <f t="shared" si="4"/>
        <v>319.04216926663145</v>
      </c>
      <c r="AG181" s="129">
        <f t="shared" si="4"/>
        <v>282.60178986272439</v>
      </c>
      <c r="AH181" s="129">
        <f t="shared" si="4"/>
        <v>282.60178986272439</v>
      </c>
      <c r="AI181" s="129">
        <f t="shared" si="4"/>
        <v>288.45516805702215</v>
      </c>
      <c r="AJ181" s="129">
        <f t="shared" si="4"/>
        <v>282.60178986272439</v>
      </c>
      <c r="AK181" s="129">
        <f t="shared" si="4"/>
        <v>282.60178986272439</v>
      </c>
      <c r="AL181" s="129">
        <f t="shared" si="4"/>
        <v>282.60178986272439</v>
      </c>
      <c r="AM181" s="129">
        <f t="shared" si="4"/>
        <v>293.07516805702215</v>
      </c>
      <c r="AN181" s="129">
        <f t="shared" si="4"/>
        <v>342.06350242397042</v>
      </c>
      <c r="AO181" s="129">
        <f t="shared" si="4"/>
        <v>305.86451988652067</v>
      </c>
      <c r="AP181" s="129">
        <f t="shared" si="4"/>
        <v>304.27562302006339</v>
      </c>
      <c r="AQ181" s="129">
        <f t="shared" si="4"/>
        <v>304.27562302006339</v>
      </c>
      <c r="AR181" s="129">
        <f t="shared" si="4"/>
        <v>333.7478527455122</v>
      </c>
      <c r="AS181" s="129">
        <f t="shared" si="4"/>
        <v>315.63146963410776</v>
      </c>
      <c r="AT181" s="129">
        <f t="shared" si="4"/>
        <v>334.79185463832641</v>
      </c>
      <c r="AU181" s="129">
        <f t="shared" si="4"/>
        <v>307.19535109157471</v>
      </c>
      <c r="AV181" s="129">
        <f t="shared" si="4"/>
        <v>282.60178986272439</v>
      </c>
      <c r="AW181" s="129">
        <f t="shared" si="4"/>
        <v>282.60178986272439</v>
      </c>
      <c r="AX181" s="129">
        <f t="shared" si="4"/>
        <v>282.60178986272439</v>
      </c>
      <c r="AY181" s="129">
        <f t="shared" si="4"/>
        <v>282.60178986272439</v>
      </c>
    </row>
    <row r="182" spans="1:51" x14ac:dyDescent="0.2">
      <c r="A182" s="130"/>
      <c r="B182" s="141" t="s">
        <v>299</v>
      </c>
      <c r="C182" s="130" t="s">
        <v>293</v>
      </c>
      <c r="D182" s="130">
        <v>267</v>
      </c>
      <c r="E182" s="130">
        <v>237</v>
      </c>
      <c r="F182" s="130">
        <v>354</v>
      </c>
      <c r="G182" s="130">
        <v>234</v>
      </c>
      <c r="H182" s="130">
        <v>317</v>
      </c>
      <c r="I182" s="130">
        <v>291.39076618306643</v>
      </c>
      <c r="J182" s="130">
        <v>201</v>
      </c>
      <c r="K182" s="130">
        <v>275</v>
      </c>
      <c r="L182" s="130">
        <v>283</v>
      </c>
      <c r="M182" s="130">
        <v>324.05617919803058</v>
      </c>
      <c r="N182" s="130">
        <v>282.60178986272444</v>
      </c>
      <c r="O182" s="130">
        <v>260</v>
      </c>
      <c r="P182" s="130">
        <v>300.00516805702216</v>
      </c>
      <c r="Q182" s="130">
        <v>282.60178986272439</v>
      </c>
      <c r="R182" s="130">
        <v>258</v>
      </c>
      <c r="S182" s="130">
        <v>286</v>
      </c>
      <c r="T182" s="130">
        <v>259</v>
      </c>
      <c r="U182" s="130">
        <v>309.99189819803058</v>
      </c>
      <c r="V182" s="130">
        <v>282.60178986272444</v>
      </c>
      <c r="W182" s="130">
        <v>282.60178986272439</v>
      </c>
      <c r="X182" s="130">
        <v>282.60178986272439</v>
      </c>
      <c r="Y182" s="130">
        <v>282.60178986272439</v>
      </c>
      <c r="Z182" s="130">
        <v>278</v>
      </c>
      <c r="AA182" s="130">
        <v>286.14516805702215</v>
      </c>
      <c r="AB182" s="130">
        <v>222.15678986272439</v>
      </c>
      <c r="AC182" s="130">
        <v>305.25788275889926</v>
      </c>
      <c r="AD182" s="130">
        <v>244</v>
      </c>
      <c r="AE182" s="130">
        <v>265</v>
      </c>
      <c r="AF182" s="130">
        <v>319.04216926663145</v>
      </c>
      <c r="AG182" s="130">
        <v>282.60178986272439</v>
      </c>
      <c r="AH182" s="130">
        <v>275</v>
      </c>
      <c r="AI182" s="130">
        <v>288.45516805702215</v>
      </c>
      <c r="AJ182" s="130">
        <v>282.60178986272439</v>
      </c>
      <c r="AK182" s="130">
        <v>282.60178986272439</v>
      </c>
      <c r="AL182" s="130">
        <v>269</v>
      </c>
      <c r="AM182" s="130">
        <v>244</v>
      </c>
      <c r="AN182" s="130">
        <v>340</v>
      </c>
      <c r="AO182" s="130">
        <v>305.86451988652067</v>
      </c>
      <c r="AP182" s="130">
        <v>304.27562302006339</v>
      </c>
      <c r="AQ182" s="130">
        <v>266</v>
      </c>
      <c r="AR182" s="130">
        <v>319</v>
      </c>
      <c r="AS182" s="130">
        <v>276</v>
      </c>
      <c r="AT182" s="130">
        <v>331</v>
      </c>
      <c r="AU182" s="130">
        <v>307.19535109157471</v>
      </c>
      <c r="AV182" s="130">
        <v>282.60178986272439</v>
      </c>
      <c r="AW182" s="130">
        <v>282.60178986272439</v>
      </c>
      <c r="AX182" s="130">
        <v>282.60178986272439</v>
      </c>
      <c r="AY182" s="130">
        <v>282.60178986272439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0</v>
      </c>
      <c r="D185" s="129">
        <v>0</v>
      </c>
      <c r="E185" s="129">
        <v>0</v>
      </c>
      <c r="F185" s="129">
        <v>0</v>
      </c>
      <c r="G185" s="129">
        <v>0</v>
      </c>
      <c r="H185" s="129">
        <v>0</v>
      </c>
      <c r="I185" s="129">
        <v>0</v>
      </c>
      <c r="J185" s="129">
        <v>0</v>
      </c>
      <c r="K185" s="129">
        <v>0</v>
      </c>
      <c r="L185" s="129">
        <v>0</v>
      </c>
      <c r="M185" s="129">
        <v>0</v>
      </c>
      <c r="N185" s="129">
        <v>0</v>
      </c>
      <c r="O185" s="129">
        <v>0</v>
      </c>
      <c r="P185" s="129">
        <v>0</v>
      </c>
      <c r="Q185" s="129">
        <v>0</v>
      </c>
      <c r="R185" s="129">
        <v>0</v>
      </c>
      <c r="S185" s="129">
        <v>0</v>
      </c>
      <c r="T185" s="129">
        <v>0</v>
      </c>
      <c r="U185" s="129">
        <v>0</v>
      </c>
      <c r="V185" s="129">
        <v>0</v>
      </c>
      <c r="W185" s="129">
        <v>0</v>
      </c>
      <c r="X185" s="129">
        <v>0</v>
      </c>
      <c r="Y185" s="129">
        <v>0</v>
      </c>
      <c r="Z185" s="129">
        <v>0</v>
      </c>
      <c r="AA185" s="129">
        <v>0</v>
      </c>
      <c r="AB185" s="129">
        <v>102.69545821425191</v>
      </c>
      <c r="AC185" s="129">
        <v>0</v>
      </c>
      <c r="AD185" s="129">
        <v>0</v>
      </c>
      <c r="AE185" s="129">
        <v>0</v>
      </c>
      <c r="AF185" s="129">
        <v>0</v>
      </c>
      <c r="AG185" s="129">
        <v>0</v>
      </c>
      <c r="AH185" s="129">
        <v>0</v>
      </c>
      <c r="AI185" s="129">
        <v>0</v>
      </c>
      <c r="AJ185" s="129">
        <v>0</v>
      </c>
      <c r="AK185" s="129">
        <v>0</v>
      </c>
      <c r="AL185" s="129">
        <v>0</v>
      </c>
      <c r="AM185" s="129">
        <v>0</v>
      </c>
      <c r="AN185" s="129">
        <v>0</v>
      </c>
      <c r="AO185" s="129">
        <v>0</v>
      </c>
      <c r="AP185" s="129">
        <v>0</v>
      </c>
      <c r="AQ185" s="129">
        <v>0</v>
      </c>
      <c r="AR185" s="129">
        <v>0</v>
      </c>
      <c r="AS185" s="129">
        <v>0</v>
      </c>
      <c r="AT185" s="129">
        <v>0</v>
      </c>
      <c r="AU185" s="129">
        <v>0</v>
      </c>
      <c r="AV185" s="129">
        <v>0</v>
      </c>
      <c r="AW185" s="129">
        <v>0</v>
      </c>
      <c r="AX185" s="129">
        <v>0</v>
      </c>
      <c r="AY185" s="129">
        <v>0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0</v>
      </c>
      <c r="O186" s="111">
        <v>0</v>
      </c>
      <c r="P186" s="111">
        <v>0</v>
      </c>
      <c r="Q186" s="111">
        <v>0</v>
      </c>
      <c r="R186" s="111">
        <v>0</v>
      </c>
      <c r="S186" s="111">
        <v>0</v>
      </c>
      <c r="T186" s="111">
        <v>0</v>
      </c>
      <c r="U186" s="111">
        <v>0</v>
      </c>
      <c r="V186" s="111">
        <v>0</v>
      </c>
      <c r="W186" s="111">
        <v>0</v>
      </c>
      <c r="X186" s="111">
        <v>0</v>
      </c>
      <c r="Y186" s="111">
        <v>0</v>
      </c>
      <c r="Z186" s="111">
        <v>0</v>
      </c>
      <c r="AA186" s="111">
        <v>0</v>
      </c>
      <c r="AB186" s="111">
        <v>0</v>
      </c>
      <c r="AC186" s="111">
        <v>0</v>
      </c>
      <c r="AD186" s="111">
        <v>0</v>
      </c>
      <c r="AE186" s="111">
        <v>0</v>
      </c>
      <c r="AF186" s="111">
        <v>0</v>
      </c>
      <c r="AG186" s="111">
        <v>0</v>
      </c>
      <c r="AH186" s="111">
        <v>0</v>
      </c>
      <c r="AI186" s="111">
        <v>0</v>
      </c>
      <c r="AJ186" s="111">
        <v>0</v>
      </c>
      <c r="AK186" s="111">
        <v>0</v>
      </c>
      <c r="AL186" s="111">
        <v>0</v>
      </c>
      <c r="AM186" s="111">
        <v>0</v>
      </c>
      <c r="AN186" s="111">
        <v>0</v>
      </c>
      <c r="AO186" s="111">
        <v>0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0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123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0</v>
      </c>
      <c r="D189" s="129">
        <v>0</v>
      </c>
      <c r="E189" s="129">
        <v>0</v>
      </c>
      <c r="F189" s="129">
        <v>0</v>
      </c>
      <c r="G189" s="129">
        <v>68.984688489968221</v>
      </c>
      <c r="H189" s="129">
        <v>4.9693769799364418</v>
      </c>
      <c r="I189" s="129">
        <v>44.95406546990489</v>
      </c>
      <c r="J189" s="129">
        <v>48.3295201429396</v>
      </c>
      <c r="K189" s="129">
        <v>0</v>
      </c>
      <c r="L189" s="129">
        <v>0</v>
      </c>
      <c r="M189" s="129">
        <v>4.9846884899683346</v>
      </c>
      <c r="N189" s="129">
        <v>38.025556177967246</v>
      </c>
      <c r="O189" s="129">
        <v>47.612034530659912</v>
      </c>
      <c r="P189" s="129">
        <v>12.596723020628247</v>
      </c>
      <c r="Q189" s="129">
        <v>25.489593481364267</v>
      </c>
      <c r="R189" s="129">
        <v>32.050998987010644</v>
      </c>
      <c r="S189" s="129">
        <v>11.158080621374481</v>
      </c>
      <c r="T189" s="129">
        <v>15.266936611040506</v>
      </c>
      <c r="U189" s="129">
        <v>0.40622897027714089</v>
      </c>
      <c r="V189" s="129">
        <v>24.898123238270998</v>
      </c>
      <c r="W189" s="129">
        <v>21.892432240315586</v>
      </c>
      <c r="X189" s="129">
        <v>27.65995473703947</v>
      </c>
      <c r="Y189" s="129">
        <v>28.812135863264587</v>
      </c>
      <c r="Z189" s="129">
        <v>31.382238500992628</v>
      </c>
      <c r="AA189" s="129">
        <v>36.065601667261305</v>
      </c>
      <c r="AB189" s="129">
        <v>0</v>
      </c>
      <c r="AC189" s="129">
        <v>26.32723443408068</v>
      </c>
      <c r="AD189" s="129">
        <v>44.054089879064506</v>
      </c>
      <c r="AE189" s="129">
        <v>16.808485726653302</v>
      </c>
      <c r="AF189" s="129">
        <v>0.41213941196524218</v>
      </c>
      <c r="AG189" s="129">
        <v>42.444423769244736</v>
      </c>
      <c r="AH189" s="129">
        <v>24.721400793003667</v>
      </c>
      <c r="AI189" s="129">
        <v>28.706089282972016</v>
      </c>
      <c r="AJ189" s="129">
        <v>31.03046432808874</v>
      </c>
      <c r="AK189" s="129">
        <v>33.286231436772908</v>
      </c>
      <c r="AL189" s="129">
        <v>40.194649042946438</v>
      </c>
      <c r="AM189" s="129">
        <v>28.386908809369729</v>
      </c>
      <c r="AN189" s="129">
        <v>0</v>
      </c>
      <c r="AO189" s="129">
        <v>8.8368532206968666</v>
      </c>
      <c r="AP189" s="129">
        <v>0</v>
      </c>
      <c r="AQ189" s="129">
        <v>0</v>
      </c>
      <c r="AR189" s="129">
        <v>0</v>
      </c>
      <c r="AS189" s="129">
        <v>3.8368532206968666</v>
      </c>
      <c r="AT189" s="129">
        <v>0</v>
      </c>
      <c r="AU189" s="129">
        <v>27.836853220696867</v>
      </c>
      <c r="AV189" s="129">
        <v>39.016892802239909</v>
      </c>
      <c r="AW189" s="129">
        <v>29.603371154932574</v>
      </c>
      <c r="AX189" s="129">
        <v>19.040865758227852</v>
      </c>
      <c r="AY189" s="129">
        <v>28.507001443101402</v>
      </c>
    </row>
    <row r="190" spans="1:51" x14ac:dyDescent="0.2">
      <c r="A190" s="114"/>
      <c r="B190" s="124">
        <v>2</v>
      </c>
      <c r="C190" s="111">
        <v>0</v>
      </c>
      <c r="D190" s="111">
        <v>0</v>
      </c>
      <c r="E190" s="111">
        <v>0</v>
      </c>
      <c r="F190" s="111">
        <v>0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0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89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0</v>
      </c>
      <c r="D197" s="111">
        <v>0</v>
      </c>
      <c r="E197" s="111">
        <v>0</v>
      </c>
      <c r="F197" s="111">
        <v>0</v>
      </c>
      <c r="G197" s="111">
        <v>0</v>
      </c>
      <c r="H197" s="111">
        <v>0</v>
      </c>
      <c r="I197" s="111">
        <v>0</v>
      </c>
      <c r="J197" s="111">
        <v>0</v>
      </c>
      <c r="K197" s="111">
        <v>0</v>
      </c>
      <c r="L197" s="111">
        <v>0</v>
      </c>
      <c r="M197" s="111">
        <v>0</v>
      </c>
      <c r="N197" s="111">
        <v>0</v>
      </c>
      <c r="O197" s="111">
        <v>0</v>
      </c>
      <c r="P197" s="111">
        <v>0</v>
      </c>
      <c r="Q197" s="111">
        <v>0</v>
      </c>
      <c r="R197" s="111">
        <v>0</v>
      </c>
      <c r="S197" s="111">
        <v>0</v>
      </c>
      <c r="T197" s="111">
        <v>0</v>
      </c>
      <c r="U197" s="111">
        <v>0</v>
      </c>
      <c r="V197" s="111">
        <v>0</v>
      </c>
      <c r="W197" s="111">
        <v>0</v>
      </c>
      <c r="X197" s="111">
        <v>0</v>
      </c>
      <c r="Y197" s="111">
        <v>0</v>
      </c>
      <c r="Z197" s="111">
        <v>0</v>
      </c>
      <c r="AA197" s="111">
        <v>0</v>
      </c>
      <c r="AB197" s="111">
        <v>0</v>
      </c>
      <c r="AC197" s="111">
        <v>0</v>
      </c>
      <c r="AD197" s="111">
        <v>0</v>
      </c>
      <c r="AE197" s="111">
        <v>0</v>
      </c>
      <c r="AF197" s="111">
        <v>0</v>
      </c>
      <c r="AG197" s="111">
        <v>0</v>
      </c>
      <c r="AH197" s="111">
        <v>0</v>
      </c>
      <c r="AI197" s="111">
        <v>0</v>
      </c>
      <c r="AJ197" s="111">
        <v>0</v>
      </c>
      <c r="AK197" s="111">
        <v>0</v>
      </c>
      <c r="AL197" s="111">
        <v>0</v>
      </c>
      <c r="AM197" s="111">
        <v>0</v>
      </c>
      <c r="AN197" s="111">
        <v>0</v>
      </c>
      <c r="AO197" s="111">
        <v>0</v>
      </c>
      <c r="AP197" s="111">
        <v>0</v>
      </c>
      <c r="AQ197" s="111">
        <v>0</v>
      </c>
      <c r="AR197" s="111">
        <v>0</v>
      </c>
      <c r="AS197" s="111">
        <v>0</v>
      </c>
      <c r="AT197" s="111">
        <v>0</v>
      </c>
      <c r="AU197" s="111">
        <v>0</v>
      </c>
      <c r="AV197" s="111">
        <v>0</v>
      </c>
      <c r="AW197" s="111">
        <v>0</v>
      </c>
      <c r="AX197" s="111">
        <v>0</v>
      </c>
      <c r="AY197" s="111">
        <v>0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19.255787846726363</v>
      </c>
      <c r="G198" s="111">
        <v>0</v>
      </c>
      <c r="H198" s="111">
        <v>0</v>
      </c>
      <c r="I198" s="111">
        <v>0</v>
      </c>
      <c r="J198" s="111">
        <v>0</v>
      </c>
      <c r="K198" s="111">
        <v>0</v>
      </c>
      <c r="L198" s="111">
        <v>0</v>
      </c>
      <c r="M198" s="111">
        <v>0</v>
      </c>
      <c r="N198" s="111">
        <v>0</v>
      </c>
      <c r="O198" s="111">
        <v>0</v>
      </c>
      <c r="P198" s="111">
        <v>0</v>
      </c>
      <c r="Q198" s="111">
        <v>0</v>
      </c>
      <c r="R198" s="111">
        <v>0</v>
      </c>
      <c r="S198" s="111">
        <v>0</v>
      </c>
      <c r="T198" s="111">
        <v>0</v>
      </c>
      <c r="U198" s="111">
        <v>0</v>
      </c>
      <c r="V198" s="111">
        <v>0</v>
      </c>
      <c r="W198" s="111">
        <v>0</v>
      </c>
      <c r="X198" s="111">
        <v>0</v>
      </c>
      <c r="Y198" s="111">
        <v>0</v>
      </c>
      <c r="Z198" s="111">
        <v>0</v>
      </c>
      <c r="AA198" s="111">
        <v>0</v>
      </c>
      <c r="AB198" s="111">
        <v>0</v>
      </c>
      <c r="AC198" s="111">
        <v>0</v>
      </c>
      <c r="AD198" s="111">
        <v>0</v>
      </c>
      <c r="AE198" s="111">
        <v>0</v>
      </c>
      <c r="AF198" s="111">
        <v>0</v>
      </c>
      <c r="AG198" s="111">
        <v>0</v>
      </c>
      <c r="AH198" s="111">
        <v>0</v>
      </c>
      <c r="AI198" s="111">
        <v>0</v>
      </c>
      <c r="AJ198" s="111">
        <v>0</v>
      </c>
      <c r="AK198" s="111">
        <v>0</v>
      </c>
      <c r="AL198" s="111">
        <v>0</v>
      </c>
      <c r="AM198" s="111">
        <v>0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0</v>
      </c>
      <c r="AT198" s="111">
        <v>0</v>
      </c>
      <c r="AU198" s="111">
        <v>0</v>
      </c>
      <c r="AV198" s="111">
        <v>0</v>
      </c>
      <c r="AW198" s="111">
        <v>0</v>
      </c>
      <c r="AX198" s="111">
        <v>0</v>
      </c>
      <c r="AY198" s="111">
        <v>0</v>
      </c>
    </row>
    <row r="199" spans="1:51" x14ac:dyDescent="0.2">
      <c r="A199" s="114"/>
      <c r="B199" s="124">
        <v>3</v>
      </c>
      <c r="C199" s="111">
        <v>0</v>
      </c>
      <c r="D199" s="111">
        <v>64.911246040126713</v>
      </c>
      <c r="E199" s="111">
        <v>80.707535902851092</v>
      </c>
      <c r="F199" s="111">
        <v>62.744212153273637</v>
      </c>
      <c r="G199" s="111">
        <v>69</v>
      </c>
      <c r="H199" s="111">
        <v>73.093999936593846</v>
      </c>
      <c r="I199" s="111">
        <v>48.115901598484513</v>
      </c>
      <c r="J199" s="111">
        <v>24.149244230833034</v>
      </c>
      <c r="K199" s="111">
        <v>48.167187777526294</v>
      </c>
      <c r="L199" s="111">
        <v>51.084734818543396</v>
      </c>
      <c r="M199" s="111">
        <v>40.045934530094982</v>
      </c>
      <c r="N199" s="111">
        <v>49.63241288278769</v>
      </c>
      <c r="O199" s="111">
        <v>18.45047956705379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23.644426561631917</v>
      </c>
      <c r="AG199" s="111">
        <v>0</v>
      </c>
      <c r="AH199" s="111">
        <v>10.74047756649891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14.607291446673734</v>
      </c>
      <c r="AO199" s="111">
        <v>1.1937697993664358</v>
      </c>
      <c r="AP199" s="111">
        <v>0</v>
      </c>
      <c r="AQ199" s="111">
        <v>17.587612267650584</v>
      </c>
      <c r="AR199" s="111">
        <v>36.575946634598907</v>
      </c>
      <c r="AS199" s="111">
        <v>34.213817317845979</v>
      </c>
      <c r="AT199" s="111">
        <v>61.65258711721242</v>
      </c>
      <c r="AU199" s="111">
        <v>41.765063357972707</v>
      </c>
      <c r="AV199" s="111">
        <v>17.074146304118415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0</v>
      </c>
      <c r="D200" s="111">
        <v>20.088753959873287</v>
      </c>
      <c r="E200" s="111">
        <v>6.2924640971489083</v>
      </c>
      <c r="F200" s="111">
        <v>0</v>
      </c>
      <c r="G200" s="111">
        <v>0</v>
      </c>
      <c r="H200" s="111">
        <v>16.906000063406154</v>
      </c>
      <c r="I200" s="111">
        <v>30.884098401515487</v>
      </c>
      <c r="J200" s="111">
        <v>61.850755769166966</v>
      </c>
      <c r="K200" s="111">
        <v>31.832812222473706</v>
      </c>
      <c r="L200" s="111">
        <v>37.915265181456604</v>
      </c>
      <c r="M200" s="111">
        <v>35.954065469905018</v>
      </c>
      <c r="N200" s="111">
        <v>44.36758711721231</v>
      </c>
      <c r="O200" s="111">
        <v>53.54952043294621</v>
      </c>
      <c r="P200" s="111">
        <v>73</v>
      </c>
      <c r="Q200" s="111">
        <v>70.739883180376935</v>
      </c>
      <c r="R200" s="111">
        <v>43.918808754697992</v>
      </c>
      <c r="S200" s="111">
        <v>59.627680251786295</v>
      </c>
      <c r="T200" s="111">
        <v>59.338326104176737</v>
      </c>
      <c r="U200" s="111">
        <v>71.890304893504947</v>
      </c>
      <c r="V200" s="111">
        <v>55.982782590398784</v>
      </c>
      <c r="W200" s="111">
        <v>67.977091592443458</v>
      </c>
      <c r="X200" s="111">
        <v>58.086202420740705</v>
      </c>
      <c r="Y200" s="111">
        <v>46.662994893850659</v>
      </c>
      <c r="Z200" s="111">
        <v>71.051636600253559</v>
      </c>
      <c r="AA200" s="111">
        <v>64.336789629246539</v>
      </c>
      <c r="AB200" s="111">
        <v>48.923267981939247</v>
      </c>
      <c r="AC200" s="111">
        <v>57.423541469527549</v>
      </c>
      <c r="AD200" s="111">
        <v>83.494304018336578</v>
      </c>
      <c r="AE200" s="111">
        <v>84.850489728649791</v>
      </c>
      <c r="AF200" s="111">
        <v>66.358521647307285</v>
      </c>
      <c r="AG200" s="111">
        <v>64</v>
      </c>
      <c r="AH200" s="111">
        <v>84.413521647307292</v>
      </c>
      <c r="AI200" s="111">
        <v>77</v>
      </c>
      <c r="AJ200" s="111">
        <v>63.333062748891187</v>
      </c>
      <c r="AK200" s="111">
        <v>75.704041204460253</v>
      </c>
      <c r="AL200" s="111">
        <v>78.61245881063391</v>
      </c>
      <c r="AM200" s="111">
        <v>63.406508439781526</v>
      </c>
      <c r="AN200" s="111">
        <v>49.392708553326266</v>
      </c>
      <c r="AO200" s="111">
        <v>69.806230200633564</v>
      </c>
      <c r="AP200" s="111">
        <v>71</v>
      </c>
      <c r="AQ200" s="111">
        <v>70.412387732349416</v>
      </c>
      <c r="AR200" s="111">
        <v>43.424053365401093</v>
      </c>
      <c r="AS200" s="111">
        <v>54.786182682154021</v>
      </c>
      <c r="AT200" s="111">
        <v>30.34741288278758</v>
      </c>
      <c r="AU200" s="111">
        <v>29.234936642027293</v>
      </c>
      <c r="AV200" s="111">
        <v>57.925853695881585</v>
      </c>
      <c r="AW200" s="111">
        <v>59</v>
      </c>
      <c r="AX200" s="111">
        <v>65.645632664013505</v>
      </c>
      <c r="AY200" s="111">
        <v>74.522528221109795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2.2601168196230628</v>
      </c>
      <c r="R201" s="111">
        <v>8.0811912453020085</v>
      </c>
      <c r="S201" s="111">
        <v>4.3723197482137053</v>
      </c>
      <c r="T201" s="111">
        <v>3.6616738958232631</v>
      </c>
      <c r="U201" s="111">
        <v>0.11900334228881704</v>
      </c>
      <c r="V201" s="111">
        <v>3.0172174096012139</v>
      </c>
      <c r="W201" s="111">
        <v>6.0229084075565424</v>
      </c>
      <c r="X201" s="111">
        <v>5.9137975792592989</v>
      </c>
      <c r="Y201" s="111">
        <v>8.3370051061493413</v>
      </c>
      <c r="Z201" s="111">
        <v>13.948363399746441</v>
      </c>
      <c r="AA201" s="111">
        <v>4.6632103707534611</v>
      </c>
      <c r="AB201" s="111">
        <v>20.076732018060753</v>
      </c>
      <c r="AC201" s="111">
        <v>6.5764585304724541</v>
      </c>
      <c r="AD201" s="111">
        <v>11.505695981663422</v>
      </c>
      <c r="AE201" s="111">
        <v>0.14951027135021366</v>
      </c>
      <c r="AF201" s="111">
        <v>2.4783917405049039E-3</v>
      </c>
      <c r="AG201" s="111">
        <v>0</v>
      </c>
      <c r="AH201" s="111">
        <v>0.84600078619379193</v>
      </c>
      <c r="AI201" s="111">
        <v>0</v>
      </c>
      <c r="AJ201" s="111">
        <v>1.6669372511088141</v>
      </c>
      <c r="AK201" s="111">
        <v>10.295958795539743</v>
      </c>
      <c r="AL201" s="111">
        <v>3.3875411893660887</v>
      </c>
      <c r="AM201" s="111">
        <v>1.5934915602184718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3.3543673359864954</v>
      </c>
      <c r="AY201" s="111">
        <v>9.4774717788902088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0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89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192.39193654609292</v>
      </c>
      <c r="D209" s="129">
        <v>197.53841294619377</v>
      </c>
      <c r="E209" s="129">
        <v>171.50119977427141</v>
      </c>
      <c r="F209" s="129">
        <v>268.45254563189121</v>
      </c>
      <c r="G209" s="129">
        <v>223.10508194225847</v>
      </c>
      <c r="H209" s="129">
        <v>271.18753490124124</v>
      </c>
      <c r="I209" s="129">
        <v>282.60178986272439</v>
      </c>
      <c r="J209" s="129">
        <v>201</v>
      </c>
      <c r="K209" s="129">
        <v>212.16662180570222</v>
      </c>
      <c r="L209" s="129">
        <v>228.76492059609294</v>
      </c>
      <c r="M209" s="129">
        <v>282.60178986272433</v>
      </c>
      <c r="N209" s="129">
        <v>282.60178986272439</v>
      </c>
      <c r="O209" s="129">
        <v>260</v>
      </c>
      <c r="P209" s="129">
        <v>282.60178986272439</v>
      </c>
      <c r="Q209" s="129">
        <v>282.60178986272439</v>
      </c>
      <c r="R209" s="129">
        <v>258</v>
      </c>
      <c r="S209" s="129">
        <v>267.05662180570221</v>
      </c>
      <c r="T209" s="129">
        <v>247.03022059609293</v>
      </c>
      <c r="U209" s="129">
        <v>282.60178986272433</v>
      </c>
      <c r="V209" s="129">
        <v>282.60178986272439</v>
      </c>
      <c r="W209" s="129">
        <v>282.60178986272439</v>
      </c>
      <c r="X209" s="129">
        <v>282.60178986272439</v>
      </c>
      <c r="Y209" s="129">
        <v>282.60178986272439</v>
      </c>
      <c r="Z209" s="129">
        <v>278</v>
      </c>
      <c r="AA209" s="129">
        <v>282.60178986272439</v>
      </c>
      <c r="AB209" s="129">
        <v>222.15678986272439</v>
      </c>
      <c r="AC209" s="129">
        <v>305.25788275889926</v>
      </c>
      <c r="AD209" s="129">
        <v>244</v>
      </c>
      <c r="AE209" s="129">
        <v>235.27662180570223</v>
      </c>
      <c r="AF209" s="129">
        <v>282.60178986272439</v>
      </c>
      <c r="AG209" s="129">
        <v>282.60178986272439</v>
      </c>
      <c r="AH209" s="129">
        <v>275</v>
      </c>
      <c r="AI209" s="129">
        <v>282.60178986272439</v>
      </c>
      <c r="AJ209" s="129">
        <v>282.60178986272439</v>
      </c>
      <c r="AK209" s="129">
        <v>282.60178986272439</v>
      </c>
      <c r="AL209" s="129">
        <v>269</v>
      </c>
      <c r="AM209" s="129">
        <v>233.52662180570223</v>
      </c>
      <c r="AN209" s="129">
        <v>302.21212059609292</v>
      </c>
      <c r="AO209" s="129">
        <v>304.27562302006339</v>
      </c>
      <c r="AP209" s="129">
        <v>304.27562302006339</v>
      </c>
      <c r="AQ209" s="129">
        <v>266</v>
      </c>
      <c r="AR209" s="129">
        <v>289.52777027455119</v>
      </c>
      <c r="AS209" s="129">
        <v>264.64415338595558</v>
      </c>
      <c r="AT209" s="129">
        <v>300.48376838173698</v>
      </c>
      <c r="AU209" s="129">
        <v>304.27562302006339</v>
      </c>
      <c r="AV209" s="129">
        <v>282.60178986272439</v>
      </c>
      <c r="AW209" s="129">
        <v>282.60178986272439</v>
      </c>
      <c r="AX209" s="129">
        <v>282.60178986272439</v>
      </c>
      <c r="AY209" s="129">
        <v>282.60178986272439</v>
      </c>
    </row>
    <row r="210" spans="1:51" x14ac:dyDescent="0.2">
      <c r="A210" s="114"/>
      <c r="B210" s="124">
        <v>2</v>
      </c>
      <c r="C210" s="111">
        <v>31.608063453907082</v>
      </c>
      <c r="D210" s="115">
        <v>69.461587053806227</v>
      </c>
      <c r="E210" s="115">
        <v>65.498800225728573</v>
      </c>
      <c r="F210" s="115">
        <v>85.547454368108788</v>
      </c>
      <c r="G210" s="115">
        <v>10.894918057741545</v>
      </c>
      <c r="H210" s="115">
        <v>45.812465098758764</v>
      </c>
      <c r="I210" s="115">
        <v>8.7889763203420284</v>
      </c>
      <c r="J210" s="115">
        <v>0</v>
      </c>
      <c r="K210" s="115">
        <v>62.833378194297779</v>
      </c>
      <c r="L210" s="115">
        <v>54.235079403907072</v>
      </c>
      <c r="M210" s="115">
        <v>41.454389335306217</v>
      </c>
      <c r="N210" s="115">
        <v>4.3769432522822172E-14</v>
      </c>
      <c r="O210" s="115">
        <v>0</v>
      </c>
      <c r="P210" s="115">
        <v>17.40337819429778</v>
      </c>
      <c r="Q210" s="115">
        <v>0</v>
      </c>
      <c r="R210" s="115">
        <v>0</v>
      </c>
      <c r="S210" s="115">
        <v>18.943378194297779</v>
      </c>
      <c r="T210" s="115">
        <v>11.969779403907079</v>
      </c>
      <c r="U210" s="115">
        <v>27.390108335306223</v>
      </c>
      <c r="V210" s="115">
        <v>4.3769432522822172E-14</v>
      </c>
      <c r="W210" s="115">
        <v>0</v>
      </c>
      <c r="X210" s="115">
        <v>0</v>
      </c>
      <c r="Y210" s="115">
        <v>0</v>
      </c>
      <c r="Z210" s="115">
        <v>0</v>
      </c>
      <c r="AA210" s="115">
        <v>3.5433781942977789</v>
      </c>
      <c r="AB210" s="115">
        <v>0</v>
      </c>
      <c r="AC210" s="115">
        <v>0</v>
      </c>
      <c r="AD210" s="115">
        <v>0</v>
      </c>
      <c r="AE210" s="115">
        <v>29.72337819429778</v>
      </c>
      <c r="AF210" s="115">
        <v>36.440379403907059</v>
      </c>
      <c r="AG210" s="115">
        <v>0</v>
      </c>
      <c r="AH210" s="115">
        <v>0</v>
      </c>
      <c r="AI210" s="115">
        <v>5.8533781942977789</v>
      </c>
      <c r="AJ210" s="115">
        <v>0</v>
      </c>
      <c r="AK210" s="115">
        <v>0</v>
      </c>
      <c r="AL210" s="115">
        <v>0</v>
      </c>
      <c r="AM210" s="115">
        <v>10.473378194297778</v>
      </c>
      <c r="AN210" s="115">
        <v>37.787879403907063</v>
      </c>
      <c r="AO210" s="115">
        <v>1.5888968664572667</v>
      </c>
      <c r="AP210" s="115">
        <v>0</v>
      </c>
      <c r="AQ210" s="115">
        <v>0</v>
      </c>
      <c r="AR210" s="115">
        <v>29.472229725448813</v>
      </c>
      <c r="AS210" s="115">
        <v>11.355846614044397</v>
      </c>
      <c r="AT210" s="115">
        <v>30.516231618263021</v>
      </c>
      <c r="AU210" s="115">
        <v>2.9197280715113378</v>
      </c>
      <c r="AV210" s="115">
        <v>0</v>
      </c>
      <c r="AW210" s="115">
        <v>0</v>
      </c>
      <c r="AX210" s="115">
        <v>0</v>
      </c>
      <c r="AY210" s="115">
        <v>0</v>
      </c>
    </row>
    <row r="211" spans="1:51" x14ac:dyDescent="0.2">
      <c r="A211" s="114"/>
      <c r="B211" s="124">
        <v>3</v>
      </c>
      <c r="C211" s="111">
        <v>0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0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68355.16214158613</v>
      </c>
      <c r="E259" s="129">
        <f t="shared" ref="E259:AX259" si="5">F$14*$B$259</f>
        <v>67585.763919771067</v>
      </c>
      <c r="F259" s="129">
        <f t="shared" si="5"/>
        <v>71478.327288973465</v>
      </c>
      <c r="G259" s="129">
        <f t="shared" si="5"/>
        <v>56984.101083259295</v>
      </c>
      <c r="H259" s="129">
        <f t="shared" si="5"/>
        <v>63763.546904859395</v>
      </c>
      <c r="I259" s="129">
        <f t="shared" si="5"/>
        <v>56575.220187491468</v>
      </c>
      <c r="J259" s="129">
        <f t="shared" si="5"/>
        <v>54868.789070749743</v>
      </c>
      <c r="K259" s="129">
        <f t="shared" si="5"/>
        <v>67068.256655227029</v>
      </c>
      <c r="L259" s="129">
        <f t="shared" si="5"/>
        <v>65398.846695274544</v>
      </c>
      <c r="M259" s="129">
        <f t="shared" si="5"/>
        <v>62917.401026111133</v>
      </c>
      <c r="N259" s="129">
        <f t="shared" si="5"/>
        <v>54868.78907074975</v>
      </c>
      <c r="O259" s="129">
        <f t="shared" si="5"/>
        <v>54868.789070749743</v>
      </c>
      <c r="P259" s="129">
        <f t="shared" si="5"/>
        <v>58247.756655227029</v>
      </c>
      <c r="Q259" s="129">
        <f t="shared" si="5"/>
        <v>54868.789070749743</v>
      </c>
      <c r="R259" s="129">
        <f t="shared" si="5"/>
        <v>54868.789070749743</v>
      </c>
      <c r="S259" s="129">
        <f t="shared" si="5"/>
        <v>58546.756655227036</v>
      </c>
      <c r="T259" s="129">
        <f t="shared" si="5"/>
        <v>57192.791695274551</v>
      </c>
      <c r="U259" s="129">
        <f t="shared" si="5"/>
        <v>60186.738676111141</v>
      </c>
      <c r="V259" s="129">
        <f t="shared" si="5"/>
        <v>54868.78907074975</v>
      </c>
      <c r="W259" s="129">
        <f t="shared" si="5"/>
        <v>54868.789070749743</v>
      </c>
      <c r="X259" s="129">
        <f t="shared" si="5"/>
        <v>54868.789070749743</v>
      </c>
      <c r="Y259" s="129">
        <f t="shared" si="5"/>
        <v>54868.789070749743</v>
      </c>
      <c r="Z259" s="129">
        <f t="shared" si="5"/>
        <v>54868.789070749743</v>
      </c>
      <c r="AA259" s="129">
        <f t="shared" si="5"/>
        <v>55556.756655227029</v>
      </c>
      <c r="AB259" s="129">
        <f t="shared" si="5"/>
        <v>43133.039070749735</v>
      </c>
      <c r="AC259" s="129">
        <f t="shared" si="5"/>
        <v>59267.601912279788</v>
      </c>
      <c r="AD259" s="129">
        <f t="shared" si="5"/>
        <v>54868.789070749743</v>
      </c>
      <c r="AE259" s="129">
        <f t="shared" si="5"/>
        <v>60639.756655227036</v>
      </c>
      <c r="AF259" s="129">
        <f t="shared" si="5"/>
        <v>61943.901695274551</v>
      </c>
      <c r="AG259" s="129">
        <f t="shared" si="5"/>
        <v>54868.789070749743</v>
      </c>
      <c r="AH259" s="129">
        <f t="shared" si="5"/>
        <v>54868.789070749743</v>
      </c>
      <c r="AI259" s="129">
        <f t="shared" si="5"/>
        <v>56005.256655227029</v>
      </c>
      <c r="AJ259" s="129">
        <f t="shared" si="5"/>
        <v>54868.789070749743</v>
      </c>
      <c r="AK259" s="129">
        <f t="shared" si="5"/>
        <v>54868.789070749743</v>
      </c>
      <c r="AL259" s="129">
        <f t="shared" si="5"/>
        <v>54868.789070749743</v>
      </c>
      <c r="AM259" s="129">
        <f t="shared" si="5"/>
        <v>56902.256655227036</v>
      </c>
      <c r="AN259" s="129">
        <f t="shared" si="5"/>
        <v>66413.628068030623</v>
      </c>
      <c r="AO259" s="129">
        <f t="shared" si="5"/>
        <v>59385.384055889401</v>
      </c>
      <c r="AP259" s="129">
        <f t="shared" si="5"/>
        <v>59076.890443505814</v>
      </c>
      <c r="AQ259" s="129">
        <f t="shared" si="5"/>
        <v>59076.890443505814</v>
      </c>
      <c r="AR259" s="129">
        <f t="shared" si="5"/>
        <v>64799.096085005287</v>
      </c>
      <c r="AS259" s="129">
        <f t="shared" si="5"/>
        <v>61281.694428959891</v>
      </c>
      <c r="AT259" s="129">
        <f t="shared" si="5"/>
        <v>65001.795153804931</v>
      </c>
      <c r="AU259" s="129">
        <f t="shared" si="5"/>
        <v>59643.772711935606</v>
      </c>
      <c r="AV259" s="129">
        <f t="shared" si="5"/>
        <v>54868.789070749743</v>
      </c>
      <c r="AW259" s="129">
        <f t="shared" si="5"/>
        <v>54868.789070749743</v>
      </c>
      <c r="AX259" s="129">
        <f t="shared" si="5"/>
        <v>54868.789070749743</v>
      </c>
      <c r="AY259" s="129">
        <f>AZ$14*$B$259</f>
        <v>54868.789070749743</v>
      </c>
      <c r="AZ259" s="144">
        <f>SUM($D259:$AY259)</f>
        <v>2799804.1716892356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17570.29272539205</v>
      </c>
      <c r="E260" s="130">
        <f t="shared" ref="E260:AY260" si="6">(E$175-E$176+E$177-E$178+E$179-E$180+E$181-E$182)*$B$260</f>
        <v>19321.314099713447</v>
      </c>
      <c r="F260" s="130">
        <f t="shared" si="6"/>
        <v>12242.000557940919</v>
      </c>
      <c r="G260" s="130">
        <f t="shared" si="6"/>
        <v>17420.847821377978</v>
      </c>
      <c r="H260" s="130">
        <f t="shared" si="6"/>
        <v>14395.971513062945</v>
      </c>
      <c r="I260" s="130">
        <f t="shared" si="6"/>
        <v>14856.98208351482</v>
      </c>
      <c r="J260" s="130">
        <f t="shared" si="6"/>
        <v>19815.417492585184</v>
      </c>
      <c r="K260" s="130">
        <f t="shared" si="6"/>
        <v>17509.084001055966</v>
      </c>
      <c r="L260" s="130">
        <f t="shared" si="6"/>
        <v>16643.183381974661</v>
      </c>
      <c r="M260" s="130">
        <f t="shared" si="6"/>
        <v>14889.787844002114</v>
      </c>
      <c r="N260" s="130">
        <f t="shared" si="6"/>
        <v>15057.547938720065</v>
      </c>
      <c r="O260" s="130">
        <f t="shared" si="6"/>
        <v>17158.466629321963</v>
      </c>
      <c r="P260" s="130">
        <f t="shared" si="6"/>
        <v>16487.170536396945</v>
      </c>
      <c r="Q260" s="130">
        <f t="shared" si="6"/>
        <v>17069.705700516246</v>
      </c>
      <c r="R260" s="130">
        <f t="shared" si="6"/>
        <v>19412.128761940927</v>
      </c>
      <c r="S260" s="130">
        <f t="shared" si="6"/>
        <v>17926.199163773501</v>
      </c>
      <c r="T260" s="130">
        <f t="shared" si="6"/>
        <v>19484.649185312228</v>
      </c>
      <c r="U260" s="130">
        <f t="shared" si="6"/>
        <v>16499.854921035952</v>
      </c>
      <c r="V260" s="130">
        <f t="shared" si="6"/>
        <v>17945.193915101838</v>
      </c>
      <c r="W260" s="130">
        <f t="shared" si="6"/>
        <v>17225.535374979157</v>
      </c>
      <c r="X260" s="130">
        <f t="shared" si="6"/>
        <v>17479.484025175727</v>
      </c>
      <c r="Y260" s="130">
        <f t="shared" si="6"/>
        <v>17950.353157602225</v>
      </c>
      <c r="Z260" s="130">
        <f t="shared" si="6"/>
        <v>16272.254391102006</v>
      </c>
      <c r="AA260" s="130">
        <f t="shared" si="6"/>
        <v>16399.037817598957</v>
      </c>
      <c r="AB260" s="130">
        <f t="shared" si="6"/>
        <v>17387.353816542989</v>
      </c>
      <c r="AC260" s="130">
        <f t="shared" si="6"/>
        <v>15794.037407287691</v>
      </c>
      <c r="AD260" s="130">
        <f t="shared" si="6"/>
        <v>16951.9433084177</v>
      </c>
      <c r="AE260" s="130">
        <f t="shared" si="6"/>
        <v>17393.974857456775</v>
      </c>
      <c r="AF260" s="130">
        <f t="shared" si="6"/>
        <v>14714.51726521807</v>
      </c>
      <c r="AG260" s="130">
        <f t="shared" si="6"/>
        <v>16592.415883243419</v>
      </c>
      <c r="AH260" s="130">
        <f t="shared" si="6"/>
        <v>16191.904653581347</v>
      </c>
      <c r="AI260" s="130">
        <f t="shared" si="6"/>
        <v>16180.608560656316</v>
      </c>
      <c r="AJ260" s="130">
        <f t="shared" si="6"/>
        <v>17217.253449712782</v>
      </c>
      <c r="AK260" s="130">
        <f t="shared" si="6"/>
        <v>15821.907423191728</v>
      </c>
      <c r="AL260" s="130">
        <f t="shared" si="6"/>
        <v>16463.509758584772</v>
      </c>
      <c r="AM260" s="130">
        <f t="shared" si="6"/>
        <v>19504.26947249379</v>
      </c>
      <c r="AN260" s="130">
        <f t="shared" si="6"/>
        <v>14629.511255258709</v>
      </c>
      <c r="AO260" s="130">
        <f t="shared" si="6"/>
        <v>16376.189854561768</v>
      </c>
      <c r="AP260" s="130">
        <f t="shared" si="6"/>
        <v>17030.211193241816</v>
      </c>
      <c r="AQ260" s="130">
        <f t="shared" si="6"/>
        <v>18306.748574445621</v>
      </c>
      <c r="AR260" s="130">
        <f t="shared" si="6"/>
        <v>15078.544976768744</v>
      </c>
      <c r="AS260" s="130">
        <f t="shared" si="6"/>
        <v>17213.01701331573</v>
      </c>
      <c r="AT260" s="130">
        <f t="shared" si="6"/>
        <v>13619.834293494929</v>
      </c>
      <c r="AU260" s="130">
        <f t="shared" si="6"/>
        <v>15132.488721700414</v>
      </c>
      <c r="AV260" s="130">
        <f t="shared" si="6"/>
        <v>16138.067741263701</v>
      </c>
      <c r="AW260" s="130">
        <f t="shared" si="6"/>
        <v>17662.879040102143</v>
      </c>
      <c r="AX260" s="130">
        <f t="shared" si="6"/>
        <v>17696.62936390442</v>
      </c>
      <c r="AY260" s="130">
        <f t="shared" si="6"/>
        <v>16228.66122281201</v>
      </c>
      <c r="AZ260" s="146">
        <f>SUM($D260:$AY260)</f>
        <v>802358.94214645505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6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5" customWidth="1"/>
    <col min="2" max="2" width="12.7109375" style="105" customWidth="1"/>
    <col min="3" max="16384" width="9.140625" style="105"/>
  </cols>
  <sheetData>
    <row r="1" spans="1:53" x14ac:dyDescent="0.2">
      <c r="A1" s="107" t="s">
        <v>284</v>
      </c>
    </row>
    <row r="2" spans="1:53" x14ac:dyDescent="0.2">
      <c r="A2" s="105" t="s">
        <v>285</v>
      </c>
      <c r="B2" s="112" t="s">
        <v>70</v>
      </c>
    </row>
    <row r="3" spans="1:53" x14ac:dyDescent="0.2">
      <c r="A3" s="105" t="s">
        <v>286</v>
      </c>
      <c r="B3" s="113">
        <v>1400</v>
      </c>
      <c r="C3" s="114"/>
    </row>
    <row r="4" spans="1:53" x14ac:dyDescent="0.2">
      <c r="B4" s="115"/>
      <c r="C4" s="115"/>
    </row>
    <row r="5" spans="1:53" x14ac:dyDescent="0.2">
      <c r="C5" s="116" t="s">
        <v>287</v>
      </c>
    </row>
    <row r="6" spans="1:53" x14ac:dyDescent="0.2">
      <c r="C6" s="117">
        <v>0</v>
      </c>
      <c r="D6" s="117">
        <v>1</v>
      </c>
      <c r="E6" s="117">
        <v>2</v>
      </c>
      <c r="F6" s="117">
        <v>3</v>
      </c>
      <c r="G6" s="117">
        <v>4</v>
      </c>
      <c r="H6" s="117">
        <v>5</v>
      </c>
      <c r="I6" s="117">
        <v>6</v>
      </c>
      <c r="J6" s="117">
        <v>7</v>
      </c>
      <c r="K6" s="117">
        <v>8</v>
      </c>
      <c r="L6" s="117">
        <v>9</v>
      </c>
      <c r="M6" s="117">
        <v>10</v>
      </c>
      <c r="N6" s="117">
        <v>11</v>
      </c>
      <c r="O6" s="117">
        <v>12</v>
      </c>
      <c r="P6" s="117">
        <v>13</v>
      </c>
      <c r="Q6" s="117">
        <v>14</v>
      </c>
      <c r="R6" s="117">
        <v>15</v>
      </c>
      <c r="S6" s="117">
        <v>16</v>
      </c>
      <c r="T6" s="117">
        <v>17</v>
      </c>
      <c r="U6" s="117">
        <v>18</v>
      </c>
      <c r="V6" s="117">
        <v>19</v>
      </c>
      <c r="W6" s="117">
        <v>20</v>
      </c>
      <c r="X6" s="117">
        <v>21</v>
      </c>
      <c r="Y6" s="117">
        <v>22</v>
      </c>
      <c r="Z6" s="117">
        <v>23</v>
      </c>
      <c r="AA6" s="117">
        <v>24</v>
      </c>
      <c r="AB6" s="117">
        <v>25</v>
      </c>
      <c r="AC6" s="117">
        <v>26</v>
      </c>
      <c r="AD6" s="117">
        <v>27</v>
      </c>
      <c r="AE6" s="117">
        <v>28</v>
      </c>
      <c r="AF6" s="117">
        <v>29</v>
      </c>
      <c r="AG6" s="117">
        <v>30</v>
      </c>
      <c r="AH6" s="117">
        <v>31</v>
      </c>
      <c r="AI6" s="117">
        <v>32</v>
      </c>
      <c r="AJ6" s="117">
        <v>33</v>
      </c>
      <c r="AK6" s="117">
        <v>34</v>
      </c>
      <c r="AL6" s="117">
        <v>35</v>
      </c>
      <c r="AM6" s="117">
        <v>36</v>
      </c>
      <c r="AN6" s="117">
        <v>37</v>
      </c>
      <c r="AO6" s="117">
        <v>38</v>
      </c>
      <c r="AP6" s="117">
        <v>39</v>
      </c>
      <c r="AQ6" s="117">
        <v>40</v>
      </c>
      <c r="AR6" s="117">
        <v>41</v>
      </c>
      <c r="AS6" s="117">
        <v>42</v>
      </c>
      <c r="AT6" s="117">
        <v>43</v>
      </c>
      <c r="AU6" s="117">
        <v>44</v>
      </c>
      <c r="AV6" s="117">
        <v>45</v>
      </c>
      <c r="AW6" s="117">
        <v>46</v>
      </c>
      <c r="AX6" s="117">
        <v>47</v>
      </c>
      <c r="AY6" s="117">
        <v>48</v>
      </c>
    </row>
    <row r="7" spans="1:53" x14ac:dyDescent="0.2">
      <c r="B7" s="115"/>
      <c r="C7" s="118" t="s">
        <v>288</v>
      </c>
      <c r="D7" s="117" t="s">
        <v>289</v>
      </c>
      <c r="E7" s="117" t="s">
        <v>289</v>
      </c>
      <c r="F7" s="117" t="s">
        <v>289</v>
      </c>
      <c r="G7" s="117" t="s">
        <v>289</v>
      </c>
      <c r="H7" s="117" t="s">
        <v>289</v>
      </c>
      <c r="I7" s="117" t="s">
        <v>289</v>
      </c>
      <c r="J7" s="117" t="s">
        <v>289</v>
      </c>
      <c r="K7" s="117" t="s">
        <v>289</v>
      </c>
      <c r="L7" s="117" t="s">
        <v>289</v>
      </c>
      <c r="M7" s="117" t="s">
        <v>289</v>
      </c>
      <c r="N7" s="117" t="s">
        <v>289</v>
      </c>
      <c r="O7" s="117" t="s">
        <v>289</v>
      </c>
      <c r="P7" s="117" t="s">
        <v>289</v>
      </c>
      <c r="Q7" s="117" t="s">
        <v>289</v>
      </c>
      <c r="R7" s="117" t="s">
        <v>289</v>
      </c>
      <c r="S7" s="117" t="s">
        <v>289</v>
      </c>
      <c r="T7" s="117" t="s">
        <v>289</v>
      </c>
      <c r="U7" s="117" t="s">
        <v>289</v>
      </c>
      <c r="V7" s="117" t="s">
        <v>289</v>
      </c>
      <c r="W7" s="117" t="s">
        <v>289</v>
      </c>
      <c r="X7" s="117" t="s">
        <v>289</v>
      </c>
      <c r="Y7" s="117" t="s">
        <v>289</v>
      </c>
      <c r="Z7" s="117" t="s">
        <v>289</v>
      </c>
      <c r="AA7" s="117" t="s">
        <v>289</v>
      </c>
      <c r="AB7" s="117" t="s">
        <v>289</v>
      </c>
      <c r="AC7" s="117" t="s">
        <v>289</v>
      </c>
      <c r="AD7" s="117" t="s">
        <v>289</v>
      </c>
      <c r="AE7" s="117" t="s">
        <v>289</v>
      </c>
      <c r="AF7" s="117" t="s">
        <v>289</v>
      </c>
      <c r="AG7" s="117" t="s">
        <v>289</v>
      </c>
      <c r="AH7" s="117" t="s">
        <v>289</v>
      </c>
      <c r="AI7" s="117" t="s">
        <v>289</v>
      </c>
      <c r="AJ7" s="117" t="s">
        <v>289</v>
      </c>
      <c r="AK7" s="117" t="s">
        <v>289</v>
      </c>
      <c r="AL7" s="117" t="s">
        <v>289</v>
      </c>
      <c r="AM7" s="117" t="s">
        <v>289</v>
      </c>
      <c r="AN7" s="117" t="s">
        <v>289</v>
      </c>
      <c r="AO7" s="117" t="s">
        <v>289</v>
      </c>
      <c r="AP7" s="117" t="s">
        <v>289</v>
      </c>
      <c r="AQ7" s="117" t="s">
        <v>289</v>
      </c>
      <c r="AR7" s="117" t="s">
        <v>289</v>
      </c>
      <c r="AS7" s="117" t="s">
        <v>289</v>
      </c>
      <c r="AT7" s="117" t="s">
        <v>289</v>
      </c>
      <c r="AU7" s="117" t="s">
        <v>289</v>
      </c>
      <c r="AV7" s="117" t="s">
        <v>289</v>
      </c>
      <c r="AW7" s="117" t="s">
        <v>289</v>
      </c>
      <c r="AX7" s="117" t="s">
        <v>289</v>
      </c>
      <c r="AY7" s="116" t="s">
        <v>290</v>
      </c>
      <c r="AZ7" s="116" t="s">
        <v>291</v>
      </c>
    </row>
    <row r="8" spans="1:53" x14ac:dyDescent="0.2">
      <c r="A8" s="107" t="s">
        <v>292</v>
      </c>
      <c r="B8" s="119"/>
      <c r="AY8" s="115"/>
    </row>
    <row r="9" spans="1:53" x14ac:dyDescent="0.2">
      <c r="A9" s="120" t="s">
        <v>125</v>
      </c>
      <c r="B9" s="121">
        <v>1</v>
      </c>
      <c r="C9" s="122" t="s">
        <v>293</v>
      </c>
      <c r="D9" s="122">
        <v>300.54370894391104</v>
      </c>
      <c r="E9" s="122">
        <v>300.54370894391104</v>
      </c>
      <c r="F9" s="122">
        <v>300.54370894391104</v>
      </c>
      <c r="G9" s="122">
        <v>300.54370894391104</v>
      </c>
      <c r="H9" s="122">
        <v>270.48933804951997</v>
      </c>
      <c r="I9" s="122">
        <v>270.48933804951997</v>
      </c>
      <c r="J9" s="122">
        <v>270.48933804951997</v>
      </c>
      <c r="K9" s="122">
        <v>270.48933804951997</v>
      </c>
      <c r="L9" s="122">
        <v>300.54370894391104</v>
      </c>
      <c r="M9" s="122">
        <v>300.54370894391104</v>
      </c>
      <c r="N9" s="122">
        <v>300.54370894391104</v>
      </c>
      <c r="O9" s="122">
        <v>300.54370894391104</v>
      </c>
      <c r="P9" s="122">
        <v>300.54370894391104</v>
      </c>
      <c r="Q9" s="122">
        <v>300.54370894391104</v>
      </c>
      <c r="R9" s="122">
        <v>300.54370894391104</v>
      </c>
      <c r="S9" s="122">
        <v>300.54370894391104</v>
      </c>
      <c r="T9" s="122">
        <v>270.48933804951997</v>
      </c>
      <c r="U9" s="122">
        <v>270.48933804951997</v>
      </c>
      <c r="V9" s="122">
        <v>270.48933804951997</v>
      </c>
      <c r="W9" s="122">
        <v>270.48933804951997</v>
      </c>
      <c r="X9" s="122">
        <v>330.59807983830223</v>
      </c>
      <c r="Y9" s="122">
        <v>330.59807983830223</v>
      </c>
      <c r="Z9" s="122">
        <v>330.59807983830223</v>
      </c>
      <c r="AA9" s="122">
        <v>330.59807983830223</v>
      </c>
      <c r="AB9" s="122">
        <v>300.54370894391104</v>
      </c>
      <c r="AC9" s="122">
        <v>300.54370894391104</v>
      </c>
      <c r="AD9" s="122">
        <v>300.54370894391104</v>
      </c>
      <c r="AE9" s="122">
        <v>300.54370894391104</v>
      </c>
      <c r="AF9" s="122">
        <v>300.54370894391104</v>
      </c>
      <c r="AG9" s="122">
        <v>300.54370894391104</v>
      </c>
      <c r="AH9" s="122">
        <v>300.54370894391104</v>
      </c>
      <c r="AI9" s="122">
        <v>300.54370894391104</v>
      </c>
      <c r="AJ9" s="122">
        <v>270.48933804951997</v>
      </c>
      <c r="AK9" s="122">
        <v>270.48933804951997</v>
      </c>
      <c r="AL9" s="122">
        <v>270.48933804951997</v>
      </c>
      <c r="AM9" s="122">
        <v>270.48933804951997</v>
      </c>
      <c r="AN9" s="122">
        <v>300.54370894391104</v>
      </c>
      <c r="AO9" s="122">
        <v>300.54370894391104</v>
      </c>
      <c r="AP9" s="122">
        <v>300.54370894391104</v>
      </c>
      <c r="AQ9" s="122">
        <v>300.54370894391104</v>
      </c>
      <c r="AR9" s="122">
        <v>300.54370894391104</v>
      </c>
      <c r="AS9" s="122">
        <v>300.54370894391104</v>
      </c>
      <c r="AT9" s="122">
        <v>300.54370894391104</v>
      </c>
      <c r="AU9" s="122">
        <v>300.54370894391104</v>
      </c>
      <c r="AV9" s="122">
        <v>330.59807983830223</v>
      </c>
      <c r="AW9" s="122">
        <v>330.59807983830223</v>
      </c>
      <c r="AX9" s="122">
        <v>330.59807983830223</v>
      </c>
      <c r="AY9" s="122">
        <v>330.59807983830223</v>
      </c>
    </row>
    <row r="10" spans="1:53" x14ac:dyDescent="0.2">
      <c r="A10" s="123" t="s">
        <v>133</v>
      </c>
      <c r="B10" s="124">
        <v>1</v>
      </c>
      <c r="C10" s="111" t="s">
        <v>293</v>
      </c>
      <c r="D10" s="105">
        <v>97.413094636540833</v>
      </c>
      <c r="E10" s="105">
        <v>97.413094636540833</v>
      </c>
      <c r="F10" s="105">
        <v>108.23677181837871</v>
      </c>
      <c r="G10" s="105">
        <v>108.23677181837871</v>
      </c>
      <c r="H10" s="105">
        <v>108.23677181837871</v>
      </c>
      <c r="I10" s="105">
        <v>108.23677181837871</v>
      </c>
      <c r="J10" s="105">
        <v>97.413094636540833</v>
      </c>
      <c r="K10" s="105">
        <v>97.413094636540833</v>
      </c>
      <c r="L10" s="105">
        <v>97.413094636540833</v>
      </c>
      <c r="M10" s="105">
        <v>97.413094636540833</v>
      </c>
      <c r="N10" s="105">
        <v>108.23677181837871</v>
      </c>
      <c r="O10" s="105">
        <v>108.23677181837871</v>
      </c>
      <c r="P10" s="105">
        <v>108.23677181837871</v>
      </c>
      <c r="Q10" s="105">
        <v>108.23677181837871</v>
      </c>
      <c r="R10" s="105">
        <v>108.23677181837871</v>
      </c>
      <c r="S10" s="105">
        <v>108.23677181837871</v>
      </c>
      <c r="T10" s="105">
        <v>108.23677181837871</v>
      </c>
      <c r="U10" s="105">
        <v>108.23677181837871</v>
      </c>
      <c r="V10" s="105">
        <v>97.413094636540833</v>
      </c>
      <c r="W10" s="105">
        <v>97.413094636540833</v>
      </c>
      <c r="X10" s="105">
        <v>97.413094636540833</v>
      </c>
      <c r="Y10" s="105">
        <v>97.413094636540833</v>
      </c>
      <c r="Z10" s="105">
        <v>119.06044900021661</v>
      </c>
      <c r="AA10" s="105">
        <v>119.06044900021661</v>
      </c>
      <c r="AB10" s="105">
        <v>119.06044900021661</v>
      </c>
      <c r="AC10" s="105">
        <v>119.06044900021661</v>
      </c>
      <c r="AD10" s="105">
        <v>108.23677181837871</v>
      </c>
      <c r="AE10" s="105">
        <v>108.23677181837871</v>
      </c>
      <c r="AF10" s="105">
        <v>108.23677181837871</v>
      </c>
      <c r="AG10" s="105">
        <v>108.23677181837871</v>
      </c>
      <c r="AH10" s="105">
        <v>108.23677181837871</v>
      </c>
      <c r="AI10" s="105">
        <v>108.23677181837871</v>
      </c>
      <c r="AJ10" s="105">
        <v>108.23677181837871</v>
      </c>
      <c r="AK10" s="105">
        <v>0</v>
      </c>
      <c r="AL10" s="105">
        <v>149.72527472527474</v>
      </c>
      <c r="AM10" s="105">
        <v>97.413094636540833</v>
      </c>
      <c r="AN10" s="105">
        <v>97.413094636540833</v>
      </c>
      <c r="AO10" s="105">
        <v>97.413094636540833</v>
      </c>
      <c r="AP10" s="105">
        <v>108.23677181837871</v>
      </c>
      <c r="AQ10" s="105">
        <v>108.23677181837871</v>
      </c>
      <c r="AR10" s="105">
        <v>108.23677181837871</v>
      </c>
      <c r="AS10" s="105">
        <v>108.23677181837871</v>
      </c>
      <c r="AT10" s="105">
        <v>108.23677181837871</v>
      </c>
      <c r="AU10" s="105">
        <v>108.23677181837871</v>
      </c>
      <c r="AV10" s="105">
        <v>108.23677181837871</v>
      </c>
      <c r="AW10" s="105">
        <v>108.23677181837871</v>
      </c>
      <c r="AX10" s="105">
        <v>119.06044900021661</v>
      </c>
      <c r="AY10" s="105">
        <v>119.06044900021661</v>
      </c>
      <c r="AZ10" s="105">
        <v>119.06044900021661</v>
      </c>
    </row>
    <row r="11" spans="1:53" x14ac:dyDescent="0.2">
      <c r="B11" s="124">
        <v>2</v>
      </c>
      <c r="C11" s="111" t="s">
        <v>293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T11" s="105">
        <v>0</v>
      </c>
      <c r="W11" s="105">
        <v>0</v>
      </c>
      <c r="X11" s="105">
        <v>0</v>
      </c>
      <c r="Z11" s="105">
        <v>0</v>
      </c>
      <c r="AC11" s="105">
        <v>0</v>
      </c>
      <c r="AD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P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Z11" s="105">
        <v>0</v>
      </c>
      <c r="BA11" s="105">
        <v>0</v>
      </c>
    </row>
    <row r="12" spans="1:53" x14ac:dyDescent="0.2">
      <c r="B12" s="125">
        <v>3</v>
      </c>
      <c r="C12" s="111" t="s">
        <v>293</v>
      </c>
      <c r="I12" s="105">
        <v>0</v>
      </c>
      <c r="N12" s="105">
        <v>0</v>
      </c>
      <c r="Q12" s="105">
        <v>0</v>
      </c>
      <c r="T12" s="105">
        <v>0</v>
      </c>
      <c r="V12" s="105">
        <v>0</v>
      </c>
      <c r="X12" s="105">
        <v>0</v>
      </c>
      <c r="Z12" s="105">
        <v>0</v>
      </c>
      <c r="AB12" s="105">
        <v>0</v>
      </c>
      <c r="AF12" s="105">
        <v>0</v>
      </c>
      <c r="AI12" s="105">
        <v>0</v>
      </c>
      <c r="AJ12" s="105">
        <v>0</v>
      </c>
      <c r="AL12" s="105">
        <v>0</v>
      </c>
      <c r="AO12" s="105">
        <v>0</v>
      </c>
      <c r="AU12" s="105">
        <v>0</v>
      </c>
      <c r="AX12" s="105">
        <v>0</v>
      </c>
      <c r="AY12" s="105">
        <v>0</v>
      </c>
    </row>
    <row r="13" spans="1:53" x14ac:dyDescent="0.2">
      <c r="B13" s="125">
        <v>4</v>
      </c>
      <c r="C13" s="111" t="s">
        <v>293</v>
      </c>
    </row>
    <row r="14" spans="1:53" x14ac:dyDescent="0.2">
      <c r="A14" s="120" t="s">
        <v>134</v>
      </c>
      <c r="B14" s="126">
        <v>1</v>
      </c>
      <c r="C14" s="122" t="s">
        <v>293</v>
      </c>
      <c r="D14" s="122">
        <v>222.57836826502069</v>
      </c>
      <c r="E14" s="122">
        <f t="shared" ref="E14:AZ14" si="0">D$172*SUM(D$122:D$169)</f>
        <v>139.99999999999991</v>
      </c>
      <c r="F14" s="122">
        <f t="shared" si="0"/>
        <v>140</v>
      </c>
      <c r="G14" s="122">
        <f t="shared" si="0"/>
        <v>140</v>
      </c>
      <c r="H14" s="122">
        <f t="shared" si="0"/>
        <v>139.99999999999997</v>
      </c>
      <c r="I14" s="122">
        <f t="shared" si="0"/>
        <v>140</v>
      </c>
      <c r="J14" s="122">
        <f t="shared" si="0"/>
        <v>108.54599841047349</v>
      </c>
      <c r="K14" s="122">
        <f t="shared" si="0"/>
        <v>80.321109938662289</v>
      </c>
      <c r="L14" s="122">
        <f t="shared" si="0"/>
        <v>80.321109938662289</v>
      </c>
      <c r="M14" s="122">
        <f t="shared" si="0"/>
        <v>80.321109938662289</v>
      </c>
      <c r="N14" s="122">
        <f t="shared" si="0"/>
        <v>80.321109938662289</v>
      </c>
      <c r="O14" s="122">
        <f t="shared" si="0"/>
        <v>81.045998410473459</v>
      </c>
      <c r="P14" s="122">
        <f t="shared" si="0"/>
        <v>87.337154080439674</v>
      </c>
      <c r="Q14" s="122">
        <f t="shared" si="0"/>
        <v>81.045998410473459</v>
      </c>
      <c r="R14" s="122">
        <f t="shared" si="0"/>
        <v>81.045998410473459</v>
      </c>
      <c r="S14" s="122">
        <f t="shared" si="0"/>
        <v>93.708765518644952</v>
      </c>
      <c r="T14" s="122">
        <f t="shared" si="0"/>
        <v>83.242385447757727</v>
      </c>
      <c r="U14" s="122">
        <f t="shared" si="0"/>
        <v>81.045998410473459</v>
      </c>
      <c r="V14" s="122">
        <f t="shared" si="0"/>
        <v>81.045998410473459</v>
      </c>
      <c r="W14" s="122">
        <f t="shared" si="0"/>
        <v>80.321109938662289</v>
      </c>
      <c r="X14" s="122">
        <f t="shared" si="0"/>
        <v>87.791526872473696</v>
      </c>
      <c r="Y14" s="122">
        <f t="shared" si="0"/>
        <v>86.203855334208527</v>
      </c>
      <c r="Z14" s="122">
        <f t="shared" si="0"/>
        <v>80.321109938662289</v>
      </c>
      <c r="AA14" s="122">
        <f t="shared" si="0"/>
        <v>81.770886882284614</v>
      </c>
      <c r="AB14" s="122">
        <f t="shared" si="0"/>
        <v>81.770886882284614</v>
      </c>
      <c r="AC14" s="122">
        <f t="shared" si="0"/>
        <v>81.770886882284614</v>
      </c>
      <c r="AD14" s="122">
        <f t="shared" si="0"/>
        <v>81.770886882284614</v>
      </c>
      <c r="AE14" s="122">
        <f t="shared" si="0"/>
        <v>81.664045100373642</v>
      </c>
      <c r="AF14" s="122">
        <f t="shared" si="0"/>
        <v>81.045998410473459</v>
      </c>
      <c r="AG14" s="122">
        <f t="shared" si="0"/>
        <v>81.045998410473459</v>
      </c>
      <c r="AH14" s="122">
        <f t="shared" si="0"/>
        <v>81.045998410473459</v>
      </c>
      <c r="AI14" s="122">
        <f t="shared" si="0"/>
        <v>90.255743388931563</v>
      </c>
      <c r="AJ14" s="122">
        <f t="shared" si="0"/>
        <v>85.037703357948189</v>
      </c>
      <c r="AK14" s="122">
        <f t="shared" si="0"/>
        <v>81.045998410473459</v>
      </c>
      <c r="AL14" s="122">
        <f t="shared" si="0"/>
        <v>73.797113692361847</v>
      </c>
      <c r="AM14" s="122">
        <f t="shared" si="0"/>
        <v>83.824586219834373</v>
      </c>
      <c r="AN14" s="122">
        <f t="shared" si="0"/>
        <v>95.996390329753922</v>
      </c>
      <c r="AO14" s="122">
        <f t="shared" si="0"/>
        <v>87.520828347673202</v>
      </c>
      <c r="AP14" s="122">
        <f t="shared" si="0"/>
        <v>87.520828347673202</v>
      </c>
      <c r="AQ14" s="122">
        <f t="shared" si="0"/>
        <v>97.151430288704759</v>
      </c>
      <c r="AR14" s="122">
        <f t="shared" si="0"/>
        <v>88.245716819484372</v>
      </c>
      <c r="AS14" s="122">
        <f t="shared" si="0"/>
        <v>99.246870173593905</v>
      </c>
      <c r="AT14" s="122">
        <f t="shared" si="0"/>
        <v>99.331137084241689</v>
      </c>
      <c r="AU14" s="122">
        <f t="shared" si="0"/>
        <v>88.245716819484358</v>
      </c>
      <c r="AV14" s="122">
        <f t="shared" si="0"/>
        <v>88.245716819484358</v>
      </c>
      <c r="AW14" s="122">
        <f t="shared" si="0"/>
        <v>97.914046663082303</v>
      </c>
      <c r="AX14" s="122">
        <f t="shared" si="0"/>
        <v>87.753572722554281</v>
      </c>
      <c r="AY14" s="122">
        <f t="shared" si="0"/>
        <v>81.770886882284614</v>
      </c>
      <c r="AZ14" s="115">
        <f t="shared" si="0"/>
        <v>92.858592234154742</v>
      </c>
      <c r="BA14" s="112">
        <f>SUM($E14:$AZ14)</f>
        <v>4391.63480381099</v>
      </c>
    </row>
    <row r="15" spans="1:53" x14ac:dyDescent="0.2">
      <c r="A15" s="127" t="s">
        <v>123</v>
      </c>
      <c r="B15" s="128">
        <v>1</v>
      </c>
      <c r="C15" s="129" t="s">
        <v>293</v>
      </c>
      <c r="D15" s="129">
        <v>803.21109938662289</v>
      </c>
      <c r="E15" s="129">
        <v>803.21109938662289</v>
      </c>
      <c r="F15" s="129">
        <v>810.45998410473453</v>
      </c>
      <c r="G15" s="129">
        <v>810.45998410473453</v>
      </c>
      <c r="H15" s="129">
        <v>810.45998410473453</v>
      </c>
      <c r="I15" s="129">
        <v>810.45998410473453</v>
      </c>
      <c r="J15" s="129">
        <v>803.21109938662289</v>
      </c>
      <c r="K15" s="129">
        <v>803.21109938662289</v>
      </c>
      <c r="L15" s="129">
        <v>803.21109938662289</v>
      </c>
      <c r="M15" s="129">
        <v>803.21109938662289</v>
      </c>
      <c r="N15" s="129">
        <v>810.45998410473453</v>
      </c>
      <c r="O15" s="129">
        <v>810.45998410473453</v>
      </c>
      <c r="P15" s="129">
        <v>810.45998410473453</v>
      </c>
      <c r="Q15" s="129">
        <v>810.45998410473453</v>
      </c>
      <c r="R15" s="129">
        <v>810.45998410473453</v>
      </c>
      <c r="S15" s="129">
        <v>810.45998410473453</v>
      </c>
      <c r="T15" s="129">
        <v>810.45998410473453</v>
      </c>
      <c r="U15" s="129">
        <v>810.45998410473453</v>
      </c>
      <c r="V15" s="129">
        <v>803.21109938662289</v>
      </c>
      <c r="W15" s="129">
        <v>803.21109938662289</v>
      </c>
      <c r="X15" s="129">
        <v>803.21109938662289</v>
      </c>
      <c r="Y15" s="129">
        <v>803.21109938662289</v>
      </c>
      <c r="Z15" s="129">
        <v>817.70886882284606</v>
      </c>
      <c r="AA15" s="129">
        <v>817.70886882284606</v>
      </c>
      <c r="AB15" s="129">
        <v>817.70886882284606</v>
      </c>
      <c r="AC15" s="129">
        <v>817.70886882284606</v>
      </c>
      <c r="AD15" s="129">
        <v>810.45998410473453</v>
      </c>
      <c r="AE15" s="129">
        <v>810.45998410473453</v>
      </c>
      <c r="AF15" s="129">
        <v>810.45998410473453</v>
      </c>
      <c r="AG15" s="129">
        <v>810.45998410473453</v>
      </c>
      <c r="AH15" s="129">
        <v>810.45998410473453</v>
      </c>
      <c r="AI15" s="129">
        <v>810.45998410473453</v>
      </c>
      <c r="AJ15" s="129">
        <v>810.45998410473453</v>
      </c>
      <c r="AK15" s="129">
        <v>737.97113692361847</v>
      </c>
      <c r="AL15" s="129">
        <v>838.24586219834373</v>
      </c>
      <c r="AM15" s="129">
        <v>803.21109938662289</v>
      </c>
      <c r="AN15" s="129">
        <v>875.20828347673194</v>
      </c>
      <c r="AO15" s="129">
        <v>875.20828347673194</v>
      </c>
      <c r="AP15" s="129">
        <v>882.45716819484358</v>
      </c>
      <c r="AQ15" s="129">
        <v>882.45716819484358</v>
      </c>
      <c r="AR15" s="129">
        <v>882.45716819484358</v>
      </c>
      <c r="AS15" s="129">
        <v>882.45716819484358</v>
      </c>
      <c r="AT15" s="129">
        <v>882.45716819484358</v>
      </c>
      <c r="AU15" s="129">
        <v>882.45716819484358</v>
      </c>
      <c r="AV15" s="129">
        <v>810.45998410473453</v>
      </c>
      <c r="AW15" s="129">
        <v>810.45998410473453</v>
      </c>
      <c r="AX15" s="129">
        <v>817.70886882284606</v>
      </c>
      <c r="AY15" s="129">
        <v>817.70886882284606</v>
      </c>
      <c r="AZ15" s="105">
        <v>79.737731899227612</v>
      </c>
    </row>
    <row r="16" spans="1:53" x14ac:dyDescent="0.2">
      <c r="A16" s="115"/>
      <c r="B16" s="124">
        <v>2</v>
      </c>
      <c r="C16" s="114" t="s">
        <v>293</v>
      </c>
      <c r="D16" s="111"/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/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/>
      <c r="T16" s="115">
        <v>0</v>
      </c>
      <c r="U16" s="115"/>
      <c r="V16" s="115"/>
      <c r="W16" s="115">
        <v>0</v>
      </c>
      <c r="X16" s="115">
        <v>0</v>
      </c>
      <c r="Y16" s="115"/>
      <c r="Z16" s="115">
        <v>0</v>
      </c>
      <c r="AA16" s="115"/>
      <c r="AB16" s="115"/>
      <c r="AC16" s="115">
        <v>0</v>
      </c>
      <c r="AD16" s="115">
        <v>0</v>
      </c>
      <c r="AE16" s="115"/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/>
      <c r="AP16" s="115">
        <v>0</v>
      </c>
      <c r="AQ16" s="115"/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/>
      <c r="AY16" s="115"/>
      <c r="AZ16" s="105">
        <v>0</v>
      </c>
      <c r="BA16" s="105">
        <v>0</v>
      </c>
    </row>
    <row r="17" spans="1:51" x14ac:dyDescent="0.2">
      <c r="A17" s="115"/>
      <c r="B17" s="124">
        <v>3</v>
      </c>
      <c r="C17" s="114" t="s">
        <v>293</v>
      </c>
      <c r="D17" s="111"/>
      <c r="E17" s="115"/>
      <c r="F17" s="115"/>
      <c r="G17" s="115"/>
      <c r="H17" s="115"/>
      <c r="I17" s="115">
        <v>0</v>
      </c>
      <c r="J17" s="115"/>
      <c r="K17" s="115"/>
      <c r="L17" s="115"/>
      <c r="M17" s="115"/>
      <c r="N17" s="115">
        <v>0</v>
      </c>
      <c r="O17" s="115"/>
      <c r="P17" s="115"/>
      <c r="Q17" s="115">
        <v>0</v>
      </c>
      <c r="R17" s="115"/>
      <c r="S17" s="115"/>
      <c r="T17" s="115">
        <v>0</v>
      </c>
      <c r="U17" s="115"/>
      <c r="V17" s="115">
        <v>0</v>
      </c>
      <c r="W17" s="115"/>
      <c r="X17" s="115">
        <v>0</v>
      </c>
      <c r="Y17" s="115"/>
      <c r="Z17" s="115">
        <v>0</v>
      </c>
      <c r="AA17" s="115"/>
      <c r="AB17" s="115">
        <v>0</v>
      </c>
      <c r="AC17" s="115"/>
      <c r="AD17" s="115"/>
      <c r="AE17" s="115"/>
      <c r="AF17" s="115">
        <v>0</v>
      </c>
      <c r="AG17" s="115"/>
      <c r="AH17" s="115"/>
      <c r="AI17" s="115">
        <v>0</v>
      </c>
      <c r="AJ17" s="115">
        <v>0</v>
      </c>
      <c r="AK17" s="115"/>
      <c r="AL17" s="115">
        <v>0</v>
      </c>
      <c r="AM17" s="115"/>
      <c r="AN17" s="115"/>
      <c r="AO17" s="115">
        <v>0</v>
      </c>
      <c r="AP17" s="115"/>
      <c r="AQ17" s="115"/>
      <c r="AR17" s="115"/>
      <c r="AS17" s="115"/>
      <c r="AT17" s="115"/>
      <c r="AU17" s="115">
        <v>0</v>
      </c>
      <c r="AV17" s="115"/>
      <c r="AW17" s="115"/>
      <c r="AX17" s="115">
        <v>0</v>
      </c>
      <c r="AY17" s="115">
        <v>0</v>
      </c>
    </row>
    <row r="18" spans="1:51" x14ac:dyDescent="0.2">
      <c r="A18" s="130"/>
      <c r="B18" s="121">
        <v>4</v>
      </c>
      <c r="C18" s="130" t="s">
        <v>293</v>
      </c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</row>
    <row r="20" spans="1:51" x14ac:dyDescent="0.2">
      <c r="A20" s="107" t="s">
        <v>294</v>
      </c>
    </row>
    <row r="21" spans="1:51" x14ac:dyDescent="0.2">
      <c r="A21" s="131" t="s">
        <v>125</v>
      </c>
      <c r="B21" s="128">
        <v>1</v>
      </c>
      <c r="C21" s="129" t="s">
        <v>293</v>
      </c>
      <c r="D21" s="129">
        <v>300.54370894391104</v>
      </c>
      <c r="E21" s="129">
        <v>300.54370894391104</v>
      </c>
      <c r="F21" s="129">
        <v>300.54370894391104</v>
      </c>
      <c r="G21" s="129">
        <v>300.54370894391104</v>
      </c>
      <c r="H21" s="129">
        <v>270.48933804951997</v>
      </c>
      <c r="I21" s="129">
        <v>204.18609397263344</v>
      </c>
      <c r="J21" s="129"/>
      <c r="K21" s="129"/>
      <c r="L21" s="129"/>
      <c r="M21" s="129"/>
      <c r="N21" s="129"/>
      <c r="O21" s="129"/>
      <c r="P21" s="129"/>
      <c r="Q21" s="129"/>
      <c r="R21" s="129">
        <v>26.914134359212767</v>
      </c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>
        <v>13.746023671373393</v>
      </c>
      <c r="AN21" s="129"/>
      <c r="AO21" s="129"/>
      <c r="AP21" s="129">
        <v>67.815611997010365</v>
      </c>
      <c r="AQ21" s="129"/>
      <c r="AR21" s="129">
        <v>89.494899317713134</v>
      </c>
      <c r="AS21" s="129">
        <v>104.21680968301303</v>
      </c>
      <c r="AT21" s="129"/>
      <c r="AU21" s="129"/>
      <c r="AV21" s="129">
        <v>144.31724662438342</v>
      </c>
      <c r="AW21" s="129">
        <v>41.475877035253234</v>
      </c>
      <c r="AX21" s="129"/>
      <c r="AY21" s="129">
        <v>77.615058079428138</v>
      </c>
    </row>
    <row r="22" spans="1:51" x14ac:dyDescent="0.2">
      <c r="A22" s="114"/>
      <c r="B22" s="125">
        <v>2</v>
      </c>
      <c r="C22" s="115" t="s">
        <v>293</v>
      </c>
      <c r="D22" s="115">
        <v>0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/>
      <c r="K22" s="115"/>
      <c r="L22" s="115"/>
      <c r="M22" s="115"/>
      <c r="N22" s="115"/>
      <c r="O22" s="115">
        <v>29.978440752959386</v>
      </c>
      <c r="P22" s="115"/>
      <c r="Q22" s="115"/>
      <c r="R22" s="115">
        <v>0</v>
      </c>
      <c r="S22" s="115"/>
      <c r="T22" s="115"/>
      <c r="U22" s="115"/>
      <c r="V22" s="115"/>
      <c r="W22" s="115"/>
      <c r="X22" s="115"/>
      <c r="Y22" s="115">
        <v>2.1028162869092739</v>
      </c>
      <c r="Z22" s="115"/>
      <c r="AA22" s="115"/>
      <c r="AB22" s="115"/>
      <c r="AC22" s="115"/>
      <c r="AD22" s="115"/>
      <c r="AE22" s="115"/>
      <c r="AF22" s="115"/>
      <c r="AG22" s="115"/>
      <c r="AH22" s="115">
        <v>97.558748837722987</v>
      </c>
      <c r="AI22" s="115"/>
      <c r="AJ22" s="115"/>
      <c r="AK22" s="115"/>
      <c r="AL22" s="115"/>
      <c r="AM22" s="115">
        <v>1.1715189743031829</v>
      </c>
      <c r="AN22" s="115"/>
      <c r="AO22" s="115"/>
      <c r="AP22" s="115">
        <v>0</v>
      </c>
      <c r="AQ22" s="115"/>
      <c r="AR22" s="115">
        <v>0</v>
      </c>
      <c r="AS22" s="115">
        <v>0</v>
      </c>
      <c r="AT22" s="115"/>
      <c r="AU22" s="115">
        <v>54.408538267710355</v>
      </c>
      <c r="AV22" s="115">
        <v>0</v>
      </c>
      <c r="AW22" s="115">
        <v>0</v>
      </c>
      <c r="AX22" s="115"/>
      <c r="AY22" s="115">
        <v>67.598079838302226</v>
      </c>
    </row>
    <row r="23" spans="1:51" x14ac:dyDescent="0.2">
      <c r="A23" s="114"/>
      <c r="B23" s="132">
        <v>3</v>
      </c>
      <c r="C23" s="115" t="s">
        <v>293</v>
      </c>
      <c r="D23" s="115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/>
      <c r="K23" s="115"/>
      <c r="L23" s="115"/>
      <c r="M23" s="115"/>
      <c r="N23" s="115"/>
      <c r="O23" s="115">
        <v>0</v>
      </c>
      <c r="P23" s="115"/>
      <c r="Q23" s="115"/>
      <c r="R23" s="115">
        <v>0</v>
      </c>
      <c r="S23" s="115"/>
      <c r="T23" s="115"/>
      <c r="U23" s="115"/>
      <c r="V23" s="115"/>
      <c r="W23" s="115"/>
      <c r="X23" s="115"/>
      <c r="Y23" s="115">
        <v>0</v>
      </c>
      <c r="Z23" s="115"/>
      <c r="AA23" s="115"/>
      <c r="AB23" s="115"/>
      <c r="AC23" s="115"/>
      <c r="AD23" s="115"/>
      <c r="AE23" s="115"/>
      <c r="AF23" s="115"/>
      <c r="AG23" s="115"/>
      <c r="AH23" s="115">
        <v>0</v>
      </c>
      <c r="AI23" s="115"/>
      <c r="AJ23" s="115"/>
      <c r="AK23" s="115"/>
      <c r="AL23" s="115"/>
      <c r="AM23" s="115">
        <v>0</v>
      </c>
      <c r="AN23" s="115"/>
      <c r="AO23" s="115"/>
      <c r="AP23" s="115">
        <v>0</v>
      </c>
      <c r="AQ23" s="115"/>
      <c r="AR23" s="115">
        <v>0</v>
      </c>
      <c r="AS23" s="115">
        <v>0</v>
      </c>
      <c r="AT23" s="115"/>
      <c r="AU23" s="115">
        <v>0</v>
      </c>
      <c r="AV23" s="115">
        <v>0</v>
      </c>
      <c r="AW23" s="115">
        <v>0</v>
      </c>
      <c r="AX23" s="115"/>
      <c r="AY23" s="115">
        <v>0</v>
      </c>
    </row>
    <row r="24" spans="1:51" x14ac:dyDescent="0.2">
      <c r="A24" s="133"/>
      <c r="B24" s="134">
        <v>4</v>
      </c>
      <c r="C24" s="133" t="s">
        <v>293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0">
        <v>0</v>
      </c>
      <c r="AN24" s="130">
        <v>0</v>
      </c>
      <c r="AO24" s="130">
        <v>0</v>
      </c>
      <c r="AP24" s="130">
        <v>0</v>
      </c>
      <c r="AQ24" s="130">
        <v>0</v>
      </c>
      <c r="AR24" s="130">
        <v>0</v>
      </c>
      <c r="AS24" s="130">
        <v>0</v>
      </c>
      <c r="AT24" s="130">
        <v>0</v>
      </c>
      <c r="AU24" s="130">
        <v>0</v>
      </c>
      <c r="AV24" s="130">
        <v>0</v>
      </c>
      <c r="AW24" s="130">
        <v>0</v>
      </c>
      <c r="AX24" s="130">
        <v>0</v>
      </c>
      <c r="AY24" s="130">
        <v>0</v>
      </c>
    </row>
    <row r="25" spans="1:51" x14ac:dyDescent="0.2">
      <c r="A25" s="131" t="s">
        <v>133</v>
      </c>
      <c r="B25" s="128">
        <v>1</v>
      </c>
      <c r="C25" s="114" t="s">
        <v>293</v>
      </c>
      <c r="D25" s="115">
        <v>97.413094636540833</v>
      </c>
      <c r="E25" s="115">
        <v>97.413094636540833</v>
      </c>
      <c r="F25" s="115">
        <v>108.23677181837871</v>
      </c>
      <c r="G25" s="115">
        <v>108.23677181837871</v>
      </c>
      <c r="H25" s="115">
        <v>108.23677181837871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</row>
    <row r="26" spans="1:51" x14ac:dyDescent="0.2">
      <c r="A26" s="114"/>
      <c r="B26" s="124">
        <v>2</v>
      </c>
      <c r="C26" s="114" t="s">
        <v>293</v>
      </c>
      <c r="D26" s="115">
        <v>62.773276546596492</v>
      </c>
      <c r="E26" s="115">
        <v>0</v>
      </c>
      <c r="F26" s="115">
        <v>0</v>
      </c>
      <c r="G26" s="115">
        <v>0</v>
      </c>
      <c r="H26" s="115">
        <v>0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</row>
    <row r="27" spans="1:51" x14ac:dyDescent="0.2">
      <c r="A27" s="114"/>
      <c r="B27" s="125">
        <v>3</v>
      </c>
      <c r="C27" s="114" t="s">
        <v>293</v>
      </c>
      <c r="D27" s="115">
        <v>0</v>
      </c>
      <c r="E27" s="115">
        <v>0</v>
      </c>
      <c r="F27" s="115">
        <v>0</v>
      </c>
      <c r="G27" s="115">
        <v>0</v>
      </c>
      <c r="H27" s="115">
        <v>0</v>
      </c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</row>
    <row r="28" spans="1:51" x14ac:dyDescent="0.2">
      <c r="A28" s="114"/>
      <c r="B28" s="125">
        <v>4</v>
      </c>
      <c r="C28" s="114" t="s">
        <v>293</v>
      </c>
      <c r="D28" s="115">
        <v>0</v>
      </c>
      <c r="E28" s="115">
        <v>0</v>
      </c>
      <c r="F28" s="115">
        <v>0</v>
      </c>
      <c r="G28" s="115">
        <v>0</v>
      </c>
      <c r="H28" s="115">
        <v>0</v>
      </c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</row>
    <row r="29" spans="1:51" x14ac:dyDescent="0.2">
      <c r="A29" s="114"/>
      <c r="B29" s="132">
        <v>5</v>
      </c>
      <c r="C29" s="114" t="s">
        <v>293</v>
      </c>
      <c r="D29" s="115">
        <v>0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/>
      <c r="K29" s="115"/>
      <c r="L29" s="115"/>
      <c r="M29" s="115"/>
      <c r="N29" s="115"/>
      <c r="O29" s="115"/>
      <c r="P29" s="115"/>
      <c r="Q29" s="115"/>
      <c r="R29" s="115">
        <v>0</v>
      </c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>
        <v>0</v>
      </c>
      <c r="AN29" s="115"/>
      <c r="AO29" s="115"/>
      <c r="AP29" s="115">
        <v>0</v>
      </c>
      <c r="AQ29" s="115"/>
      <c r="AR29" s="115">
        <v>0</v>
      </c>
      <c r="AS29" s="115">
        <v>0</v>
      </c>
      <c r="AT29" s="115"/>
      <c r="AU29" s="115"/>
      <c r="AV29" s="115">
        <v>0</v>
      </c>
      <c r="AW29" s="115">
        <v>0</v>
      </c>
      <c r="AX29" s="115"/>
      <c r="AY29" s="115">
        <v>0</v>
      </c>
    </row>
    <row r="30" spans="1:51" x14ac:dyDescent="0.2">
      <c r="A30" s="114"/>
      <c r="B30" s="132">
        <v>6</v>
      </c>
      <c r="C30" s="114" t="s">
        <v>293</v>
      </c>
      <c r="D30" s="115">
        <v>0</v>
      </c>
      <c r="E30" s="115">
        <v>0</v>
      </c>
      <c r="F30" s="115">
        <v>0</v>
      </c>
      <c r="G30" s="115">
        <v>0</v>
      </c>
      <c r="H30" s="115">
        <v>0</v>
      </c>
      <c r="I30" s="115">
        <v>0</v>
      </c>
      <c r="J30" s="115"/>
      <c r="K30" s="115"/>
      <c r="L30" s="115"/>
      <c r="M30" s="115"/>
      <c r="N30" s="115"/>
      <c r="O30" s="115">
        <v>0</v>
      </c>
      <c r="P30" s="115"/>
      <c r="Q30" s="115"/>
      <c r="R30" s="115">
        <v>0</v>
      </c>
      <c r="S30" s="115"/>
      <c r="T30" s="115"/>
      <c r="U30" s="115"/>
      <c r="V30" s="115"/>
      <c r="W30" s="115"/>
      <c r="X30" s="115"/>
      <c r="Y30" s="115">
        <v>0</v>
      </c>
      <c r="Z30" s="115"/>
      <c r="AA30" s="115"/>
      <c r="AB30" s="115"/>
      <c r="AC30" s="115"/>
      <c r="AD30" s="115"/>
      <c r="AE30" s="115"/>
      <c r="AF30" s="115"/>
      <c r="AG30" s="115"/>
      <c r="AH30" s="115">
        <v>0</v>
      </c>
      <c r="AI30" s="115"/>
      <c r="AJ30" s="115"/>
      <c r="AK30" s="115"/>
      <c r="AL30" s="115"/>
      <c r="AM30" s="115">
        <v>0</v>
      </c>
      <c r="AN30" s="115"/>
      <c r="AO30" s="115"/>
      <c r="AP30" s="115">
        <v>0</v>
      </c>
      <c r="AQ30" s="115"/>
      <c r="AR30" s="115">
        <v>0</v>
      </c>
      <c r="AS30" s="115">
        <v>0</v>
      </c>
      <c r="AT30" s="115"/>
      <c r="AU30" s="115">
        <v>0</v>
      </c>
      <c r="AV30" s="115">
        <v>0</v>
      </c>
      <c r="AW30" s="115">
        <v>0</v>
      </c>
      <c r="AX30" s="115"/>
      <c r="AY30" s="115">
        <v>0</v>
      </c>
    </row>
    <row r="31" spans="1:51" x14ac:dyDescent="0.2">
      <c r="A31" s="114"/>
      <c r="B31" s="135">
        <v>7</v>
      </c>
      <c r="C31" s="114" t="s">
        <v>293</v>
      </c>
      <c r="D31" s="115">
        <v>0</v>
      </c>
      <c r="E31" s="115">
        <v>0</v>
      </c>
      <c r="F31" s="115">
        <v>0</v>
      </c>
      <c r="G31" s="115">
        <v>0</v>
      </c>
      <c r="H31" s="115">
        <v>0</v>
      </c>
      <c r="I31" s="115">
        <v>0</v>
      </c>
      <c r="J31" s="115"/>
      <c r="K31" s="115"/>
      <c r="L31" s="115"/>
      <c r="M31" s="115"/>
      <c r="N31" s="115"/>
      <c r="O31" s="115">
        <v>0</v>
      </c>
      <c r="P31" s="115"/>
      <c r="Q31" s="115"/>
      <c r="R31" s="115">
        <v>0</v>
      </c>
      <c r="S31" s="115"/>
      <c r="T31" s="115"/>
      <c r="U31" s="115"/>
      <c r="V31" s="115"/>
      <c r="W31" s="115"/>
      <c r="X31" s="115"/>
      <c r="Y31" s="115">
        <v>0</v>
      </c>
      <c r="Z31" s="115"/>
      <c r="AA31" s="115"/>
      <c r="AB31" s="115"/>
      <c r="AC31" s="115"/>
      <c r="AD31" s="115"/>
      <c r="AE31" s="115"/>
      <c r="AF31" s="115"/>
      <c r="AG31" s="115"/>
      <c r="AH31" s="115">
        <v>0</v>
      </c>
      <c r="AI31" s="115"/>
      <c r="AJ31" s="115"/>
      <c r="AK31" s="115"/>
      <c r="AL31" s="115"/>
      <c r="AM31" s="115">
        <v>0</v>
      </c>
      <c r="AN31" s="115"/>
      <c r="AO31" s="115"/>
      <c r="AP31" s="115">
        <v>0</v>
      </c>
      <c r="AQ31" s="115"/>
      <c r="AR31" s="115">
        <v>0</v>
      </c>
      <c r="AS31" s="115">
        <v>0</v>
      </c>
      <c r="AT31" s="115"/>
      <c r="AU31" s="115">
        <v>0</v>
      </c>
      <c r="AV31" s="115">
        <v>0</v>
      </c>
      <c r="AW31" s="115">
        <v>0</v>
      </c>
      <c r="AX31" s="115"/>
      <c r="AY31" s="115">
        <v>0</v>
      </c>
    </row>
    <row r="32" spans="1:51" x14ac:dyDescent="0.2">
      <c r="A32" s="133"/>
      <c r="B32" s="134">
        <v>8</v>
      </c>
      <c r="C32" s="133" t="s">
        <v>293</v>
      </c>
      <c r="D32" s="130">
        <v>0</v>
      </c>
      <c r="E32" s="130">
        <v>0</v>
      </c>
      <c r="F32" s="130">
        <v>0</v>
      </c>
      <c r="G32" s="130">
        <v>0</v>
      </c>
      <c r="H32" s="130">
        <v>0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0">
        <v>0</v>
      </c>
      <c r="AN32" s="130">
        <v>0</v>
      </c>
      <c r="AO32" s="130">
        <v>0</v>
      </c>
      <c r="AP32" s="130">
        <v>0</v>
      </c>
      <c r="AQ32" s="130">
        <v>0</v>
      </c>
      <c r="AR32" s="130">
        <v>0</v>
      </c>
      <c r="AS32" s="130">
        <v>0</v>
      </c>
      <c r="AT32" s="130">
        <v>0</v>
      </c>
      <c r="AU32" s="130">
        <v>0</v>
      </c>
      <c r="AV32" s="130">
        <v>0</v>
      </c>
      <c r="AW32" s="130">
        <v>0</v>
      </c>
      <c r="AX32" s="130">
        <v>0</v>
      </c>
      <c r="AY32" s="130">
        <v>0</v>
      </c>
    </row>
    <row r="33" spans="1:51" x14ac:dyDescent="0.2">
      <c r="A33" s="136" t="s">
        <v>134</v>
      </c>
      <c r="B33" s="124">
        <v>1</v>
      </c>
      <c r="C33" s="114" t="s">
        <v>293</v>
      </c>
      <c r="D33" s="111">
        <v>222.57836826502069</v>
      </c>
      <c r="E33" s="111">
        <v>139.99999999999991</v>
      </c>
      <c r="F33" s="111">
        <v>140</v>
      </c>
      <c r="G33" s="111">
        <v>140</v>
      </c>
      <c r="H33" s="111">
        <v>139.99999999999997</v>
      </c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</row>
    <row r="34" spans="1:51" x14ac:dyDescent="0.2">
      <c r="A34" s="114"/>
      <c r="B34" s="124">
        <v>2</v>
      </c>
      <c r="C34" s="114" t="s">
        <v>293</v>
      </c>
      <c r="D34" s="111">
        <v>220.84139814039816</v>
      </c>
      <c r="E34" s="111">
        <v>0</v>
      </c>
      <c r="F34" s="111">
        <v>0</v>
      </c>
      <c r="G34" s="111">
        <v>0</v>
      </c>
      <c r="H34" s="111">
        <v>0</v>
      </c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</row>
    <row r="35" spans="1:51" x14ac:dyDescent="0.2">
      <c r="A35" s="114"/>
      <c r="B35" s="124">
        <v>3</v>
      </c>
      <c r="C35" s="114" t="s">
        <v>293</v>
      </c>
      <c r="D35" s="111">
        <v>224.57809800192874</v>
      </c>
      <c r="E35" s="111">
        <v>0</v>
      </c>
      <c r="F35" s="111">
        <v>0</v>
      </c>
      <c r="G35" s="111">
        <v>0</v>
      </c>
      <c r="H35" s="111">
        <v>0</v>
      </c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</row>
    <row r="36" spans="1:51" x14ac:dyDescent="0.2">
      <c r="A36" s="114"/>
      <c r="B36" s="125">
        <v>4</v>
      </c>
      <c r="C36" s="114" t="s">
        <v>293</v>
      </c>
      <c r="D36" s="111">
        <v>220.59122176828362</v>
      </c>
      <c r="E36" s="111">
        <v>0</v>
      </c>
      <c r="F36" s="111">
        <v>0</v>
      </c>
      <c r="G36" s="111">
        <v>0</v>
      </c>
      <c r="H36" s="111">
        <v>0</v>
      </c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</row>
    <row r="37" spans="1:51" x14ac:dyDescent="0.2">
      <c r="A37" s="114"/>
      <c r="B37" s="125">
        <v>5</v>
      </c>
      <c r="C37" s="114" t="s">
        <v>293</v>
      </c>
      <c r="D37" s="111">
        <v>222.49469261978913</v>
      </c>
      <c r="E37" s="111">
        <v>0</v>
      </c>
      <c r="F37" s="111">
        <v>0</v>
      </c>
      <c r="G37" s="111">
        <v>0</v>
      </c>
      <c r="H37" s="111">
        <v>0</v>
      </c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</row>
    <row r="38" spans="1:51" x14ac:dyDescent="0.2">
      <c r="A38" s="114"/>
      <c r="B38" s="125">
        <v>6</v>
      </c>
      <c r="C38" s="114" t="s">
        <v>293</v>
      </c>
      <c r="D38" s="111">
        <v>198.1728804398056</v>
      </c>
      <c r="E38" s="111">
        <v>0</v>
      </c>
      <c r="F38" s="111">
        <v>0</v>
      </c>
      <c r="G38" s="111">
        <v>0</v>
      </c>
      <c r="H38" s="111">
        <v>0</v>
      </c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</row>
    <row r="39" spans="1:51" x14ac:dyDescent="0.2">
      <c r="A39" s="114"/>
      <c r="B39" s="132">
        <v>7</v>
      </c>
      <c r="C39" s="114" t="s">
        <v>293</v>
      </c>
      <c r="D39" s="111">
        <v>188.19560926492537</v>
      </c>
      <c r="E39" s="111">
        <v>0</v>
      </c>
      <c r="F39" s="111">
        <v>0</v>
      </c>
      <c r="G39" s="111">
        <v>0</v>
      </c>
      <c r="H39" s="111">
        <v>0</v>
      </c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</row>
    <row r="40" spans="1:51" x14ac:dyDescent="0.2">
      <c r="A40" s="114"/>
      <c r="B40" s="132">
        <v>8</v>
      </c>
      <c r="C40" s="114" t="s">
        <v>293</v>
      </c>
      <c r="D40" s="111">
        <v>176.91667108181096</v>
      </c>
      <c r="E40" s="111">
        <v>0</v>
      </c>
      <c r="F40" s="111">
        <v>0</v>
      </c>
      <c r="G40" s="111">
        <v>0</v>
      </c>
      <c r="H40" s="111">
        <v>0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</row>
    <row r="41" spans="1:51" x14ac:dyDescent="0.2">
      <c r="A41" s="114"/>
      <c r="B41" s="132">
        <v>9</v>
      </c>
      <c r="C41" s="114" t="s">
        <v>293</v>
      </c>
      <c r="D41" s="111">
        <v>70.6524694862552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/>
      <c r="K41" s="111"/>
      <c r="L41" s="111"/>
      <c r="M41" s="111"/>
      <c r="N41" s="111"/>
      <c r="O41" s="111"/>
      <c r="P41" s="111"/>
      <c r="Q41" s="111"/>
      <c r="R41" s="111">
        <v>0</v>
      </c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>
        <v>0</v>
      </c>
      <c r="AN41" s="111"/>
      <c r="AO41" s="111"/>
      <c r="AP41" s="111">
        <v>0</v>
      </c>
      <c r="AQ41" s="111"/>
      <c r="AR41" s="111">
        <v>0</v>
      </c>
      <c r="AS41" s="111">
        <v>0</v>
      </c>
      <c r="AT41" s="111"/>
      <c r="AU41" s="111"/>
      <c r="AV41" s="111">
        <v>0</v>
      </c>
      <c r="AW41" s="111">
        <v>0</v>
      </c>
      <c r="AX41" s="111"/>
      <c r="AY41" s="111">
        <v>0</v>
      </c>
    </row>
    <row r="42" spans="1:51" x14ac:dyDescent="0.2">
      <c r="A42" s="114"/>
      <c r="B42" s="135">
        <v>10</v>
      </c>
      <c r="C42" s="114" t="s">
        <v>293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/>
      <c r="K42" s="111"/>
      <c r="L42" s="111"/>
      <c r="M42" s="111"/>
      <c r="N42" s="111"/>
      <c r="O42" s="111">
        <v>0</v>
      </c>
      <c r="P42" s="111"/>
      <c r="Q42" s="111"/>
      <c r="R42" s="111">
        <v>0</v>
      </c>
      <c r="S42" s="111"/>
      <c r="T42" s="111"/>
      <c r="U42" s="111"/>
      <c r="V42" s="111"/>
      <c r="W42" s="111"/>
      <c r="X42" s="111"/>
      <c r="Y42" s="111">
        <v>0</v>
      </c>
      <c r="Z42" s="111"/>
      <c r="AA42" s="111"/>
      <c r="AB42" s="111"/>
      <c r="AC42" s="111"/>
      <c r="AD42" s="111"/>
      <c r="AE42" s="111"/>
      <c r="AF42" s="111"/>
      <c r="AG42" s="111"/>
      <c r="AH42" s="111">
        <v>0</v>
      </c>
      <c r="AI42" s="111"/>
      <c r="AJ42" s="111"/>
      <c r="AK42" s="111"/>
      <c r="AL42" s="111"/>
      <c r="AM42" s="111">
        <v>0</v>
      </c>
      <c r="AN42" s="111"/>
      <c r="AO42" s="111"/>
      <c r="AP42" s="111">
        <v>0</v>
      </c>
      <c r="AQ42" s="111"/>
      <c r="AR42" s="111">
        <v>0</v>
      </c>
      <c r="AS42" s="111">
        <v>0</v>
      </c>
      <c r="AT42" s="111"/>
      <c r="AU42" s="111">
        <v>0</v>
      </c>
      <c r="AV42" s="111">
        <v>0</v>
      </c>
      <c r="AW42" s="111">
        <v>0</v>
      </c>
      <c r="AX42" s="111"/>
      <c r="AY42" s="111">
        <v>0</v>
      </c>
    </row>
    <row r="43" spans="1:51" x14ac:dyDescent="0.2">
      <c r="A43" s="114"/>
      <c r="B43" s="135">
        <v>11</v>
      </c>
      <c r="C43" s="114" t="s">
        <v>293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/>
      <c r="K43" s="111"/>
      <c r="L43" s="111"/>
      <c r="M43" s="111"/>
      <c r="N43" s="111"/>
      <c r="O43" s="111">
        <v>0</v>
      </c>
      <c r="P43" s="111"/>
      <c r="Q43" s="111"/>
      <c r="R43" s="111">
        <v>0</v>
      </c>
      <c r="S43" s="111"/>
      <c r="T43" s="111"/>
      <c r="U43" s="111"/>
      <c r="V43" s="111"/>
      <c r="W43" s="111"/>
      <c r="X43" s="111"/>
      <c r="Y43" s="111">
        <v>0</v>
      </c>
      <c r="Z43" s="111"/>
      <c r="AA43" s="111"/>
      <c r="AB43" s="111"/>
      <c r="AC43" s="111"/>
      <c r="AD43" s="111"/>
      <c r="AE43" s="111"/>
      <c r="AF43" s="111"/>
      <c r="AG43" s="111"/>
      <c r="AH43" s="111">
        <v>0</v>
      </c>
      <c r="AI43" s="111"/>
      <c r="AJ43" s="111"/>
      <c r="AK43" s="111"/>
      <c r="AL43" s="111"/>
      <c r="AM43" s="111">
        <v>0</v>
      </c>
      <c r="AN43" s="111"/>
      <c r="AO43" s="111"/>
      <c r="AP43" s="111">
        <v>0</v>
      </c>
      <c r="AQ43" s="111"/>
      <c r="AR43" s="111">
        <v>0</v>
      </c>
      <c r="AS43" s="111">
        <v>0</v>
      </c>
      <c r="AT43" s="111"/>
      <c r="AU43" s="111">
        <v>0</v>
      </c>
      <c r="AV43" s="111">
        <v>0</v>
      </c>
      <c r="AW43" s="111">
        <v>0</v>
      </c>
      <c r="AX43" s="111"/>
      <c r="AY43" s="111">
        <v>0</v>
      </c>
    </row>
    <row r="44" spans="1:51" x14ac:dyDescent="0.2">
      <c r="A44" s="114"/>
      <c r="B44" s="135">
        <v>12</v>
      </c>
      <c r="C44" s="133" t="s">
        <v>293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</v>
      </c>
      <c r="AT44" s="111">
        <v>0</v>
      </c>
      <c r="AU44" s="111">
        <v>0</v>
      </c>
      <c r="AV44" s="111">
        <v>0</v>
      </c>
      <c r="AW44" s="111">
        <v>0</v>
      </c>
      <c r="AX44" s="111">
        <v>0</v>
      </c>
      <c r="AY44" s="111">
        <v>0</v>
      </c>
    </row>
    <row r="45" spans="1:51" x14ac:dyDescent="0.2">
      <c r="A45" s="131" t="s">
        <v>123</v>
      </c>
      <c r="B45" s="128">
        <v>1</v>
      </c>
      <c r="C45" s="114" t="s">
        <v>293</v>
      </c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</row>
    <row r="46" spans="1:51" x14ac:dyDescent="0.2">
      <c r="A46" s="114"/>
      <c r="B46" s="124">
        <v>2</v>
      </c>
      <c r="C46" s="114" t="s">
        <v>293</v>
      </c>
      <c r="D46" s="115">
        <v>126.10108883458429</v>
      </c>
      <c r="E46" s="115">
        <v>50.211099386622237</v>
      </c>
      <c r="F46" s="115">
        <v>17.459984104734474</v>
      </c>
      <c r="G46" s="115">
        <v>127.4599841047347</v>
      </c>
      <c r="H46" s="115">
        <v>119.45998410473433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</row>
    <row r="47" spans="1:51" x14ac:dyDescent="0.2">
      <c r="A47" s="114"/>
      <c r="B47" s="124">
        <v>3</v>
      </c>
      <c r="C47" s="114" t="s">
        <v>293</v>
      </c>
      <c r="D47" s="115">
        <v>476.31532493722511</v>
      </c>
      <c r="E47" s="115">
        <v>0</v>
      </c>
      <c r="F47" s="115">
        <v>0</v>
      </c>
      <c r="G47" s="115">
        <v>0</v>
      </c>
      <c r="H47" s="115">
        <v>0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</row>
    <row r="48" spans="1:51" x14ac:dyDescent="0.2">
      <c r="A48" s="114"/>
      <c r="B48" s="124">
        <v>4</v>
      </c>
      <c r="C48" s="114" t="s">
        <v>293</v>
      </c>
      <c r="D48" s="115">
        <v>0</v>
      </c>
      <c r="E48" s="115">
        <v>0</v>
      </c>
      <c r="F48" s="115">
        <v>0</v>
      </c>
      <c r="G48" s="115">
        <v>0</v>
      </c>
      <c r="H48" s="115">
        <v>0</v>
      </c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</row>
    <row r="49" spans="1:51" x14ac:dyDescent="0.2">
      <c r="A49" s="114"/>
      <c r="B49" s="124">
        <v>5</v>
      </c>
      <c r="C49" s="114" t="s">
        <v>293</v>
      </c>
      <c r="D49" s="115">
        <v>0</v>
      </c>
      <c r="E49" s="115">
        <v>0</v>
      </c>
      <c r="F49" s="115">
        <v>0</v>
      </c>
      <c r="G49" s="115">
        <v>0</v>
      </c>
      <c r="H49" s="115">
        <v>0</v>
      </c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</row>
    <row r="50" spans="1:51" x14ac:dyDescent="0.2">
      <c r="A50" s="114"/>
      <c r="B50" s="124">
        <v>6</v>
      </c>
      <c r="C50" s="114" t="s">
        <v>293</v>
      </c>
      <c r="D50" s="115">
        <v>0</v>
      </c>
      <c r="E50" s="115">
        <v>0</v>
      </c>
      <c r="F50" s="115">
        <v>0</v>
      </c>
      <c r="G50" s="115">
        <v>0</v>
      </c>
      <c r="H50" s="115">
        <v>0</v>
      </c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</row>
    <row r="51" spans="1:51" x14ac:dyDescent="0.2">
      <c r="A51" s="114"/>
      <c r="B51" s="124">
        <v>7</v>
      </c>
      <c r="C51" s="114" t="s">
        <v>293</v>
      </c>
      <c r="D51" s="115">
        <v>0</v>
      </c>
      <c r="E51" s="115">
        <v>0</v>
      </c>
      <c r="F51" s="115">
        <v>0</v>
      </c>
      <c r="G51" s="115">
        <v>0</v>
      </c>
      <c r="H51" s="115">
        <v>0</v>
      </c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</row>
    <row r="52" spans="1:51" x14ac:dyDescent="0.2">
      <c r="A52" s="114"/>
      <c r="B52" s="124">
        <v>8</v>
      </c>
      <c r="C52" s="114" t="s">
        <v>293</v>
      </c>
      <c r="D52" s="115">
        <v>0</v>
      </c>
      <c r="E52" s="115">
        <v>0</v>
      </c>
      <c r="F52" s="115">
        <v>0</v>
      </c>
      <c r="G52" s="115">
        <v>0</v>
      </c>
      <c r="H52" s="115">
        <v>0</v>
      </c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</row>
    <row r="53" spans="1:51" x14ac:dyDescent="0.2">
      <c r="A53" s="114"/>
      <c r="B53" s="124">
        <v>9</v>
      </c>
      <c r="C53" s="114" t="s">
        <v>293</v>
      </c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</row>
    <row r="54" spans="1:51" x14ac:dyDescent="0.2">
      <c r="A54" s="114"/>
      <c r="B54" s="124">
        <v>10</v>
      </c>
      <c r="C54" s="114" t="s">
        <v>293</v>
      </c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</row>
    <row r="55" spans="1:51" x14ac:dyDescent="0.2">
      <c r="A55" s="114"/>
      <c r="B55" s="124">
        <v>11</v>
      </c>
      <c r="C55" s="114" t="s">
        <v>293</v>
      </c>
      <c r="D55" s="115">
        <v>0</v>
      </c>
      <c r="E55" s="115">
        <v>0</v>
      </c>
      <c r="F55" s="115">
        <v>0</v>
      </c>
      <c r="G55" s="115">
        <v>0</v>
      </c>
      <c r="H55" s="115">
        <v>0</v>
      </c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</row>
    <row r="56" spans="1:51" x14ac:dyDescent="0.2">
      <c r="A56" s="114"/>
      <c r="B56" s="124">
        <v>12</v>
      </c>
      <c r="C56" s="114" t="s">
        <v>293</v>
      </c>
      <c r="D56" s="115">
        <v>0</v>
      </c>
      <c r="E56" s="115">
        <v>0</v>
      </c>
      <c r="F56" s="115">
        <v>0</v>
      </c>
      <c r="G56" s="115">
        <v>0</v>
      </c>
      <c r="H56" s="115">
        <v>0</v>
      </c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</row>
    <row r="57" spans="1:51" x14ac:dyDescent="0.2">
      <c r="A57" s="114"/>
      <c r="B57" s="125">
        <v>13</v>
      </c>
      <c r="C57" s="114" t="s">
        <v>293</v>
      </c>
      <c r="D57" s="115">
        <v>0</v>
      </c>
      <c r="E57" s="115">
        <v>0</v>
      </c>
      <c r="F57" s="115">
        <v>0</v>
      </c>
      <c r="G57" s="115">
        <v>0</v>
      </c>
      <c r="H57" s="115">
        <v>0</v>
      </c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</row>
    <row r="58" spans="1:51" x14ac:dyDescent="0.2">
      <c r="A58" s="114"/>
      <c r="B58" s="125">
        <v>14</v>
      </c>
      <c r="C58" s="114" t="s">
        <v>293</v>
      </c>
      <c r="D58" s="115">
        <v>0</v>
      </c>
      <c r="E58" s="115">
        <v>0</v>
      </c>
      <c r="F58" s="115">
        <v>0</v>
      </c>
      <c r="G58" s="115">
        <v>0</v>
      </c>
      <c r="H58" s="115">
        <v>0</v>
      </c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</row>
    <row r="59" spans="1:51" x14ac:dyDescent="0.2">
      <c r="A59" s="114"/>
      <c r="B59" s="125">
        <v>15</v>
      </c>
      <c r="C59" s="114" t="s">
        <v>293</v>
      </c>
      <c r="D59" s="115">
        <v>0</v>
      </c>
      <c r="E59" s="115">
        <v>0</v>
      </c>
      <c r="F59" s="115">
        <v>0</v>
      </c>
      <c r="G59" s="115">
        <v>0</v>
      </c>
      <c r="H59" s="115">
        <v>0</v>
      </c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</row>
    <row r="60" spans="1:51" x14ac:dyDescent="0.2">
      <c r="A60" s="114"/>
      <c r="B60" s="125">
        <v>16</v>
      </c>
      <c r="C60" s="114" t="s">
        <v>293</v>
      </c>
      <c r="D60" s="115">
        <v>0</v>
      </c>
      <c r="E60" s="115">
        <v>0</v>
      </c>
      <c r="F60" s="115">
        <v>0</v>
      </c>
      <c r="G60" s="115">
        <v>0</v>
      </c>
      <c r="H60" s="115">
        <v>0</v>
      </c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</row>
    <row r="61" spans="1:51" x14ac:dyDescent="0.2">
      <c r="A61" s="114"/>
      <c r="B61" s="125">
        <v>17</v>
      </c>
      <c r="C61" s="114" t="s">
        <v>293</v>
      </c>
      <c r="D61" s="115">
        <v>0</v>
      </c>
      <c r="E61" s="115">
        <v>0</v>
      </c>
      <c r="F61" s="115">
        <v>0</v>
      </c>
      <c r="G61" s="115">
        <v>0</v>
      </c>
      <c r="H61" s="115">
        <v>0</v>
      </c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</row>
    <row r="62" spans="1:51" x14ac:dyDescent="0.2">
      <c r="A62" s="114"/>
      <c r="B62" s="125">
        <v>18</v>
      </c>
      <c r="C62" s="114" t="s">
        <v>293</v>
      </c>
      <c r="D62" s="115">
        <v>0</v>
      </c>
      <c r="E62" s="115">
        <v>0</v>
      </c>
      <c r="F62" s="115">
        <v>0</v>
      </c>
      <c r="G62" s="115">
        <v>0</v>
      </c>
      <c r="H62" s="115">
        <v>0</v>
      </c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</row>
    <row r="63" spans="1:51" x14ac:dyDescent="0.2">
      <c r="A63" s="114"/>
      <c r="B63" s="125">
        <v>19</v>
      </c>
      <c r="C63" s="114" t="s">
        <v>293</v>
      </c>
      <c r="D63" s="115">
        <v>0</v>
      </c>
      <c r="E63" s="115">
        <v>0</v>
      </c>
      <c r="F63" s="115">
        <v>0</v>
      </c>
      <c r="G63" s="115">
        <v>0</v>
      </c>
      <c r="H63" s="115">
        <v>0</v>
      </c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</row>
    <row r="64" spans="1:51" x14ac:dyDescent="0.2">
      <c r="A64" s="114"/>
      <c r="B64" s="125">
        <v>20</v>
      </c>
      <c r="C64" s="114" t="s">
        <v>293</v>
      </c>
      <c r="D64" s="115">
        <v>0</v>
      </c>
      <c r="E64" s="115">
        <v>0</v>
      </c>
      <c r="F64" s="115">
        <v>0</v>
      </c>
      <c r="G64" s="115">
        <v>0</v>
      </c>
      <c r="H64" s="115">
        <v>0</v>
      </c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</row>
    <row r="65" spans="1:51" x14ac:dyDescent="0.2">
      <c r="A65" s="114"/>
      <c r="B65" s="125">
        <v>21</v>
      </c>
      <c r="C65" s="114" t="s">
        <v>293</v>
      </c>
      <c r="D65" s="115">
        <v>0</v>
      </c>
      <c r="E65" s="115">
        <v>0</v>
      </c>
      <c r="F65" s="115">
        <v>0</v>
      </c>
      <c r="G65" s="115">
        <v>0</v>
      </c>
      <c r="H65" s="115">
        <v>0</v>
      </c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</row>
    <row r="66" spans="1:51" x14ac:dyDescent="0.2">
      <c r="A66" s="114"/>
      <c r="B66" s="125">
        <v>22</v>
      </c>
      <c r="C66" s="114" t="s">
        <v>293</v>
      </c>
      <c r="D66" s="115">
        <v>0</v>
      </c>
      <c r="E66" s="115">
        <v>0</v>
      </c>
      <c r="F66" s="115">
        <v>0</v>
      </c>
      <c r="G66" s="115">
        <v>0</v>
      </c>
      <c r="H66" s="115">
        <v>0</v>
      </c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</row>
    <row r="67" spans="1:51" x14ac:dyDescent="0.2">
      <c r="A67" s="114"/>
      <c r="B67" s="125">
        <v>23</v>
      </c>
      <c r="C67" s="114" t="s">
        <v>293</v>
      </c>
      <c r="D67" s="115">
        <v>0</v>
      </c>
      <c r="E67" s="115">
        <v>0</v>
      </c>
      <c r="F67" s="115">
        <v>0</v>
      </c>
      <c r="G67" s="115">
        <v>0</v>
      </c>
      <c r="H67" s="115">
        <v>0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</row>
    <row r="68" spans="1:51" x14ac:dyDescent="0.2">
      <c r="A68" s="114"/>
      <c r="B68" s="125">
        <v>24</v>
      </c>
      <c r="C68" s="114" t="s">
        <v>293</v>
      </c>
      <c r="D68" s="115">
        <v>0</v>
      </c>
      <c r="E68" s="115">
        <v>0</v>
      </c>
      <c r="F68" s="115">
        <v>0</v>
      </c>
      <c r="G68" s="115">
        <v>0</v>
      </c>
      <c r="H68" s="115">
        <v>0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</row>
    <row r="69" spans="1:51" x14ac:dyDescent="0.2">
      <c r="A69" s="114"/>
      <c r="B69" s="132">
        <v>25</v>
      </c>
      <c r="C69" s="114" t="s">
        <v>293</v>
      </c>
      <c r="D69" s="115">
        <v>0</v>
      </c>
      <c r="E69" s="115">
        <v>0</v>
      </c>
      <c r="F69" s="115">
        <v>0</v>
      </c>
      <c r="G69" s="115">
        <v>0</v>
      </c>
      <c r="H69" s="115">
        <v>0</v>
      </c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</row>
    <row r="70" spans="1:51" x14ac:dyDescent="0.2">
      <c r="A70" s="114"/>
      <c r="B70" s="132">
        <v>26</v>
      </c>
      <c r="C70" s="114" t="s">
        <v>293</v>
      </c>
      <c r="D70" s="115">
        <v>0</v>
      </c>
      <c r="E70" s="115">
        <v>0</v>
      </c>
      <c r="F70" s="115">
        <v>0</v>
      </c>
      <c r="G70" s="115">
        <v>0</v>
      </c>
      <c r="H70" s="115">
        <v>0</v>
      </c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</row>
    <row r="71" spans="1:51" x14ac:dyDescent="0.2">
      <c r="A71" s="114"/>
      <c r="B71" s="132">
        <v>27</v>
      </c>
      <c r="C71" s="114" t="s">
        <v>293</v>
      </c>
      <c r="D71" s="115">
        <v>0</v>
      </c>
      <c r="E71" s="115">
        <v>0</v>
      </c>
      <c r="F71" s="115">
        <v>0</v>
      </c>
      <c r="G71" s="115">
        <v>0</v>
      </c>
      <c r="H71" s="115">
        <v>0</v>
      </c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</row>
    <row r="72" spans="1:51" x14ac:dyDescent="0.2">
      <c r="A72" s="114"/>
      <c r="B72" s="132">
        <v>28</v>
      </c>
      <c r="C72" s="114" t="s">
        <v>293</v>
      </c>
      <c r="D72" s="115">
        <v>0</v>
      </c>
      <c r="E72" s="115">
        <v>0</v>
      </c>
      <c r="F72" s="115">
        <v>0</v>
      </c>
      <c r="G72" s="115">
        <v>0</v>
      </c>
      <c r="H72" s="115">
        <v>0</v>
      </c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</row>
    <row r="73" spans="1:51" x14ac:dyDescent="0.2">
      <c r="A73" s="114"/>
      <c r="B73" s="132">
        <v>29</v>
      </c>
      <c r="C73" s="114" t="s">
        <v>293</v>
      </c>
      <c r="D73" s="115">
        <v>0</v>
      </c>
      <c r="E73" s="115">
        <v>0</v>
      </c>
      <c r="F73" s="115">
        <v>0</v>
      </c>
      <c r="G73" s="115">
        <v>0</v>
      </c>
      <c r="H73" s="115">
        <v>0</v>
      </c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</row>
    <row r="74" spans="1:51" x14ac:dyDescent="0.2">
      <c r="A74" s="114"/>
      <c r="B74" s="132">
        <v>30</v>
      </c>
      <c r="C74" s="114" t="s">
        <v>293</v>
      </c>
      <c r="D74" s="115">
        <v>0</v>
      </c>
      <c r="E74" s="115">
        <v>0</v>
      </c>
      <c r="F74" s="115">
        <v>0</v>
      </c>
      <c r="G74" s="115">
        <v>0</v>
      </c>
      <c r="H74" s="115">
        <v>0</v>
      </c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</row>
    <row r="75" spans="1:51" x14ac:dyDescent="0.2">
      <c r="A75" s="114"/>
      <c r="B75" s="132">
        <v>31</v>
      </c>
      <c r="C75" s="114" t="s">
        <v>293</v>
      </c>
      <c r="D75" s="115">
        <v>0</v>
      </c>
      <c r="E75" s="115">
        <v>0</v>
      </c>
      <c r="F75" s="115">
        <v>0</v>
      </c>
      <c r="G75" s="115">
        <v>0</v>
      </c>
      <c r="H75" s="115">
        <v>0</v>
      </c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</row>
    <row r="76" spans="1:51" x14ac:dyDescent="0.2">
      <c r="A76" s="114"/>
      <c r="B76" s="132">
        <v>32</v>
      </c>
      <c r="C76" s="114" t="s">
        <v>293</v>
      </c>
      <c r="D76" s="115">
        <v>0</v>
      </c>
      <c r="E76" s="115">
        <v>0</v>
      </c>
      <c r="F76" s="115">
        <v>0</v>
      </c>
      <c r="G76" s="115">
        <v>0</v>
      </c>
      <c r="H76" s="115">
        <v>0</v>
      </c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</row>
    <row r="77" spans="1:51" x14ac:dyDescent="0.2">
      <c r="A77" s="114"/>
      <c r="B77" s="132">
        <v>33</v>
      </c>
      <c r="C77" s="114" t="s">
        <v>293</v>
      </c>
      <c r="D77" s="115">
        <v>0</v>
      </c>
      <c r="E77" s="115">
        <v>0</v>
      </c>
      <c r="F77" s="115">
        <v>0</v>
      </c>
      <c r="G77" s="115">
        <v>0</v>
      </c>
      <c r="H77" s="115">
        <v>0</v>
      </c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</row>
    <row r="78" spans="1:51" x14ac:dyDescent="0.2">
      <c r="A78" s="114"/>
      <c r="B78" s="132">
        <v>34</v>
      </c>
      <c r="C78" s="114" t="s">
        <v>293</v>
      </c>
      <c r="D78" s="115">
        <v>0</v>
      </c>
      <c r="E78" s="115">
        <v>0</v>
      </c>
      <c r="F78" s="115">
        <v>0</v>
      </c>
      <c r="G78" s="115">
        <v>0</v>
      </c>
      <c r="H78" s="115">
        <v>0</v>
      </c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</row>
    <row r="79" spans="1:51" x14ac:dyDescent="0.2">
      <c r="A79" s="114"/>
      <c r="B79" s="132">
        <v>35</v>
      </c>
      <c r="C79" s="114" t="s">
        <v>293</v>
      </c>
      <c r="D79" s="115">
        <v>0</v>
      </c>
      <c r="E79" s="115">
        <v>0</v>
      </c>
      <c r="F79" s="115">
        <v>0</v>
      </c>
      <c r="G79" s="115">
        <v>0</v>
      </c>
      <c r="H79" s="115">
        <v>0</v>
      </c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</row>
    <row r="80" spans="1:51" x14ac:dyDescent="0.2">
      <c r="A80" s="114"/>
      <c r="B80" s="132">
        <v>36</v>
      </c>
      <c r="C80" s="114" t="s">
        <v>293</v>
      </c>
      <c r="D80" s="115">
        <v>0</v>
      </c>
      <c r="E80" s="115">
        <v>0</v>
      </c>
      <c r="F80" s="115">
        <v>0</v>
      </c>
      <c r="G80" s="115">
        <v>0</v>
      </c>
      <c r="H80" s="115">
        <v>0</v>
      </c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</row>
    <row r="81" spans="1:52" x14ac:dyDescent="0.2">
      <c r="A81" s="114"/>
      <c r="B81" s="135">
        <v>37</v>
      </c>
      <c r="C81" s="114" t="s">
        <v>293</v>
      </c>
      <c r="D81" s="115">
        <v>0</v>
      </c>
      <c r="E81" s="115">
        <v>0</v>
      </c>
      <c r="F81" s="115">
        <v>0</v>
      </c>
      <c r="G81" s="115">
        <v>0</v>
      </c>
      <c r="H81" s="115">
        <v>0</v>
      </c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</row>
    <row r="82" spans="1:52" x14ac:dyDescent="0.2">
      <c r="A82" s="114"/>
      <c r="B82" s="135">
        <v>38</v>
      </c>
      <c r="C82" s="114" t="s">
        <v>293</v>
      </c>
      <c r="D82" s="115">
        <v>0</v>
      </c>
      <c r="E82" s="115">
        <v>0</v>
      </c>
      <c r="F82" s="115">
        <v>0</v>
      </c>
      <c r="G82" s="115">
        <v>0</v>
      </c>
      <c r="H82" s="115">
        <v>0</v>
      </c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</row>
    <row r="83" spans="1:52" x14ac:dyDescent="0.2">
      <c r="A83" s="114"/>
      <c r="B83" s="135">
        <v>39</v>
      </c>
      <c r="C83" s="114" t="s">
        <v>293</v>
      </c>
      <c r="D83" s="115">
        <v>0</v>
      </c>
      <c r="E83" s="115">
        <v>0</v>
      </c>
      <c r="F83" s="115">
        <v>0</v>
      </c>
      <c r="G83" s="115">
        <v>0</v>
      </c>
      <c r="H83" s="115">
        <v>0</v>
      </c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</row>
    <row r="84" spans="1:52" x14ac:dyDescent="0.2">
      <c r="A84" s="114"/>
      <c r="B84" s="135">
        <v>40</v>
      </c>
      <c r="C84" s="114" t="s">
        <v>293</v>
      </c>
      <c r="D84" s="115">
        <v>0</v>
      </c>
      <c r="E84" s="115">
        <v>0</v>
      </c>
      <c r="F84" s="115">
        <v>0</v>
      </c>
      <c r="G84" s="115">
        <v>0</v>
      </c>
      <c r="H84" s="115">
        <v>0</v>
      </c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</row>
    <row r="85" spans="1:52" x14ac:dyDescent="0.2">
      <c r="A85" s="114"/>
      <c r="B85" s="135">
        <v>41</v>
      </c>
      <c r="C85" s="114" t="s">
        <v>293</v>
      </c>
      <c r="D85" s="115">
        <v>0</v>
      </c>
      <c r="E85" s="115">
        <v>0</v>
      </c>
      <c r="F85" s="115">
        <v>0</v>
      </c>
      <c r="G85" s="115">
        <v>0</v>
      </c>
      <c r="H85" s="115">
        <v>0</v>
      </c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</row>
    <row r="86" spans="1:52" x14ac:dyDescent="0.2">
      <c r="A86" s="114"/>
      <c r="B86" s="135">
        <v>42</v>
      </c>
      <c r="C86" s="114" t="s">
        <v>293</v>
      </c>
      <c r="D86" s="115">
        <v>0</v>
      </c>
      <c r="E86" s="115">
        <v>0</v>
      </c>
      <c r="F86" s="115">
        <v>0</v>
      </c>
      <c r="G86" s="115">
        <v>0</v>
      </c>
      <c r="H86" s="115">
        <v>0</v>
      </c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</row>
    <row r="87" spans="1:52" x14ac:dyDescent="0.2">
      <c r="A87" s="114"/>
      <c r="B87" s="135">
        <v>43</v>
      </c>
      <c r="C87" s="114" t="s">
        <v>293</v>
      </c>
      <c r="D87" s="115">
        <v>0</v>
      </c>
      <c r="E87" s="115">
        <v>0</v>
      </c>
      <c r="F87" s="115">
        <v>0</v>
      </c>
      <c r="G87" s="115">
        <v>0</v>
      </c>
      <c r="H87" s="115">
        <v>0</v>
      </c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</row>
    <row r="88" spans="1:52" x14ac:dyDescent="0.2">
      <c r="A88" s="114"/>
      <c r="B88" s="135">
        <v>44</v>
      </c>
      <c r="C88" s="114" t="s">
        <v>293</v>
      </c>
      <c r="D88" s="115">
        <v>0</v>
      </c>
      <c r="E88" s="115">
        <v>0</v>
      </c>
      <c r="F88" s="115">
        <v>0</v>
      </c>
      <c r="G88" s="115">
        <v>0</v>
      </c>
      <c r="H88" s="115">
        <v>0</v>
      </c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</row>
    <row r="89" spans="1:52" x14ac:dyDescent="0.2">
      <c r="A89" s="114"/>
      <c r="B89" s="135">
        <v>45</v>
      </c>
      <c r="C89" s="114" t="s">
        <v>293</v>
      </c>
      <c r="D89" s="115">
        <v>0</v>
      </c>
      <c r="E89" s="115">
        <v>0</v>
      </c>
      <c r="F89" s="115">
        <v>0</v>
      </c>
      <c r="G89" s="115">
        <v>0</v>
      </c>
      <c r="H89" s="115">
        <v>0</v>
      </c>
      <c r="I89" s="115">
        <v>0</v>
      </c>
      <c r="J89" s="115"/>
      <c r="K89" s="115"/>
      <c r="L89" s="115"/>
      <c r="M89" s="115"/>
      <c r="N89" s="115"/>
      <c r="O89" s="115"/>
      <c r="P89" s="115"/>
      <c r="Q89" s="115"/>
      <c r="R89" s="115">
        <v>0</v>
      </c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>
        <v>0</v>
      </c>
      <c r="AN89" s="115"/>
      <c r="AO89" s="115"/>
      <c r="AP89" s="115">
        <v>0</v>
      </c>
      <c r="AQ89" s="115"/>
      <c r="AR89" s="115">
        <v>0</v>
      </c>
      <c r="AS89" s="115">
        <v>0</v>
      </c>
      <c r="AT89" s="115"/>
      <c r="AU89" s="115"/>
      <c r="AV89" s="115">
        <v>0</v>
      </c>
      <c r="AW89" s="115">
        <v>0</v>
      </c>
      <c r="AX89" s="115"/>
      <c r="AY89" s="115">
        <v>0</v>
      </c>
    </row>
    <row r="90" spans="1:52" x14ac:dyDescent="0.2">
      <c r="A90" s="114"/>
      <c r="B90" s="135">
        <v>46</v>
      </c>
      <c r="C90" s="114" t="s">
        <v>293</v>
      </c>
      <c r="D90" s="115">
        <v>0</v>
      </c>
      <c r="E90" s="115">
        <v>0</v>
      </c>
      <c r="F90" s="115">
        <v>0</v>
      </c>
      <c r="G90" s="115">
        <v>0</v>
      </c>
      <c r="H90" s="115">
        <v>0</v>
      </c>
      <c r="I90" s="115">
        <v>0</v>
      </c>
      <c r="J90" s="115"/>
      <c r="K90" s="115"/>
      <c r="L90" s="115"/>
      <c r="M90" s="115"/>
      <c r="N90" s="115"/>
      <c r="O90" s="115">
        <v>0</v>
      </c>
      <c r="P90" s="115"/>
      <c r="Q90" s="115"/>
      <c r="R90" s="115">
        <v>0</v>
      </c>
      <c r="S90" s="115"/>
      <c r="T90" s="115"/>
      <c r="U90" s="115"/>
      <c r="V90" s="115"/>
      <c r="W90" s="115"/>
      <c r="X90" s="115"/>
      <c r="Y90" s="115">
        <v>0</v>
      </c>
      <c r="Z90" s="115"/>
      <c r="AA90" s="115"/>
      <c r="AB90" s="115"/>
      <c r="AC90" s="115"/>
      <c r="AD90" s="115"/>
      <c r="AE90" s="115"/>
      <c r="AF90" s="115"/>
      <c r="AG90" s="115"/>
      <c r="AH90" s="115">
        <v>0</v>
      </c>
      <c r="AI90" s="115"/>
      <c r="AJ90" s="115"/>
      <c r="AK90" s="115"/>
      <c r="AL90" s="115"/>
      <c r="AM90" s="115">
        <v>0</v>
      </c>
      <c r="AN90" s="115"/>
      <c r="AO90" s="115"/>
      <c r="AP90" s="115">
        <v>0</v>
      </c>
      <c r="AQ90" s="115"/>
      <c r="AR90" s="115">
        <v>0</v>
      </c>
      <c r="AS90" s="115">
        <v>0</v>
      </c>
      <c r="AT90" s="115"/>
      <c r="AU90" s="115">
        <v>0</v>
      </c>
      <c r="AV90" s="115">
        <v>0</v>
      </c>
      <c r="AW90" s="115">
        <v>0</v>
      </c>
      <c r="AX90" s="115"/>
      <c r="AY90" s="115">
        <v>0</v>
      </c>
    </row>
    <row r="91" spans="1:52" x14ac:dyDescent="0.2">
      <c r="A91" s="114"/>
      <c r="B91" s="135">
        <v>47</v>
      </c>
      <c r="C91" s="114" t="s">
        <v>293</v>
      </c>
      <c r="D91" s="115">
        <v>0</v>
      </c>
      <c r="E91" s="115">
        <v>0</v>
      </c>
      <c r="F91" s="115">
        <v>0</v>
      </c>
      <c r="G91" s="115">
        <v>0</v>
      </c>
      <c r="H91" s="115">
        <v>0</v>
      </c>
      <c r="I91" s="115">
        <v>0</v>
      </c>
      <c r="J91" s="115"/>
      <c r="K91" s="115"/>
      <c r="L91" s="115"/>
      <c r="M91" s="115"/>
      <c r="N91" s="115"/>
      <c r="O91" s="115">
        <v>0</v>
      </c>
      <c r="P91" s="115"/>
      <c r="Q91" s="115"/>
      <c r="R91" s="115">
        <v>0</v>
      </c>
      <c r="S91" s="115"/>
      <c r="T91" s="115"/>
      <c r="U91" s="115"/>
      <c r="V91" s="115"/>
      <c r="W91" s="115"/>
      <c r="X91" s="115"/>
      <c r="Y91" s="115">
        <v>0</v>
      </c>
      <c r="Z91" s="115"/>
      <c r="AA91" s="115"/>
      <c r="AB91" s="115"/>
      <c r="AC91" s="115"/>
      <c r="AD91" s="115"/>
      <c r="AE91" s="115"/>
      <c r="AF91" s="115"/>
      <c r="AG91" s="115"/>
      <c r="AH91" s="115">
        <v>0</v>
      </c>
      <c r="AI91" s="115"/>
      <c r="AJ91" s="115"/>
      <c r="AK91" s="115"/>
      <c r="AL91" s="115"/>
      <c r="AM91" s="115">
        <v>0</v>
      </c>
      <c r="AN91" s="115"/>
      <c r="AO91" s="115"/>
      <c r="AP91" s="115">
        <v>0</v>
      </c>
      <c r="AQ91" s="115"/>
      <c r="AR91" s="115">
        <v>0</v>
      </c>
      <c r="AS91" s="115">
        <v>0</v>
      </c>
      <c r="AT91" s="115"/>
      <c r="AU91" s="115">
        <v>0</v>
      </c>
      <c r="AV91" s="115">
        <v>0</v>
      </c>
      <c r="AW91" s="115">
        <v>0</v>
      </c>
      <c r="AX91" s="115"/>
      <c r="AY91" s="115">
        <v>0</v>
      </c>
    </row>
    <row r="92" spans="1:52" x14ac:dyDescent="0.2">
      <c r="A92" s="133"/>
      <c r="B92" s="134">
        <v>48</v>
      </c>
      <c r="C92" s="133" t="s">
        <v>293</v>
      </c>
      <c r="D92" s="130">
        <v>0</v>
      </c>
      <c r="E92" s="130">
        <v>0</v>
      </c>
      <c r="F92" s="130">
        <v>0</v>
      </c>
      <c r="G92" s="130">
        <v>0</v>
      </c>
      <c r="H92" s="130">
        <v>0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>
        <v>0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>
        <v>0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>
        <v>0</v>
      </c>
      <c r="AK92" s="130">
        <v>0</v>
      </c>
      <c r="AL92" s="130">
        <v>0</v>
      </c>
      <c r="AM92" s="130">
        <v>0</v>
      </c>
      <c r="AN92" s="130">
        <v>0</v>
      </c>
      <c r="AO92" s="130">
        <v>0</v>
      </c>
      <c r="AP92" s="130">
        <v>0</v>
      </c>
      <c r="AQ92" s="130">
        <v>0</v>
      </c>
      <c r="AR92" s="130">
        <v>0</v>
      </c>
      <c r="AS92" s="130">
        <v>0</v>
      </c>
      <c r="AT92" s="130">
        <v>0</v>
      </c>
      <c r="AU92" s="130">
        <v>0</v>
      </c>
      <c r="AV92" s="130">
        <v>0</v>
      </c>
      <c r="AW92" s="130">
        <v>0</v>
      </c>
      <c r="AX92" s="130">
        <v>0</v>
      </c>
      <c r="AY92" s="130">
        <v>0</v>
      </c>
      <c r="AZ92" s="112">
        <f>SUM(D21:AY92)</f>
        <v>6299.6027273387599</v>
      </c>
    </row>
    <row r="94" spans="1:52" x14ac:dyDescent="0.2">
      <c r="A94" s="107" t="s">
        <v>295</v>
      </c>
      <c r="B94" s="111"/>
      <c r="C94" s="111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</row>
    <row r="95" spans="1:52" x14ac:dyDescent="0.2">
      <c r="A95" s="131" t="s">
        <v>125</v>
      </c>
      <c r="B95" s="128">
        <v>1</v>
      </c>
      <c r="C95" s="129">
        <v>0</v>
      </c>
      <c r="D95" s="115">
        <v>0</v>
      </c>
      <c r="E95" s="115">
        <v>0</v>
      </c>
      <c r="F95" s="115">
        <v>0</v>
      </c>
      <c r="G95" s="115">
        <v>0</v>
      </c>
      <c r="H95" s="115">
        <v>0</v>
      </c>
      <c r="I95" s="115">
        <v>66.303244076886529</v>
      </c>
      <c r="J95" s="115">
        <v>270.48933804951997</v>
      </c>
      <c r="K95" s="115">
        <v>270.48933804951997</v>
      </c>
      <c r="L95" s="115">
        <v>300.54370894391104</v>
      </c>
      <c r="M95" s="115">
        <v>300.54370894391104</v>
      </c>
      <c r="N95" s="115">
        <v>300.54370894391104</v>
      </c>
      <c r="O95" s="115">
        <v>300.54370894391104</v>
      </c>
      <c r="P95" s="115">
        <v>300.54370894391104</v>
      </c>
      <c r="Q95" s="115">
        <v>300.54370894391104</v>
      </c>
      <c r="R95" s="115">
        <v>273.62957458469828</v>
      </c>
      <c r="S95" s="115">
        <v>300.54370894391104</v>
      </c>
      <c r="T95" s="115">
        <v>270.48933804951997</v>
      </c>
      <c r="U95" s="115">
        <v>270.48933804951997</v>
      </c>
      <c r="V95" s="115">
        <v>270.48933804951997</v>
      </c>
      <c r="W95" s="115">
        <v>270.48933804951997</v>
      </c>
      <c r="X95" s="115">
        <v>330.59807983830223</v>
      </c>
      <c r="Y95" s="115">
        <v>330.59807983830223</v>
      </c>
      <c r="Z95" s="115">
        <v>330.59807983830223</v>
      </c>
      <c r="AA95" s="115">
        <v>330.59807983830223</v>
      </c>
      <c r="AB95" s="115">
        <v>300.54370894391104</v>
      </c>
      <c r="AC95" s="115">
        <v>300.54370894391104</v>
      </c>
      <c r="AD95" s="115">
        <v>300.54370894391104</v>
      </c>
      <c r="AE95" s="115">
        <v>300.54370894391104</v>
      </c>
      <c r="AF95" s="115">
        <v>300.54370894391104</v>
      </c>
      <c r="AG95" s="115">
        <v>300.54370894391104</v>
      </c>
      <c r="AH95" s="115">
        <v>300.54370894391104</v>
      </c>
      <c r="AI95" s="115">
        <v>300.54370894391104</v>
      </c>
      <c r="AJ95" s="115">
        <v>270.48933804951997</v>
      </c>
      <c r="AK95" s="115">
        <v>270.48933804951997</v>
      </c>
      <c r="AL95" s="115">
        <v>270.48933804951997</v>
      </c>
      <c r="AM95" s="115">
        <v>256.74331437814658</v>
      </c>
      <c r="AN95" s="115">
        <v>300.54370894391104</v>
      </c>
      <c r="AO95" s="115">
        <v>300.54370894391104</v>
      </c>
      <c r="AP95" s="115">
        <v>232.72809694690068</v>
      </c>
      <c r="AQ95" s="115">
        <v>300.54370894391104</v>
      </c>
      <c r="AR95" s="115">
        <v>211.04880962619791</v>
      </c>
      <c r="AS95" s="115">
        <v>196.32689926089802</v>
      </c>
      <c r="AT95" s="115">
        <v>300.54370894391104</v>
      </c>
      <c r="AU95" s="115">
        <v>300.54370894391104</v>
      </c>
      <c r="AV95" s="115">
        <v>186.28083321391881</v>
      </c>
      <c r="AW95" s="115">
        <v>289.12220280304899</v>
      </c>
      <c r="AX95" s="115">
        <v>330.59807983830223</v>
      </c>
      <c r="AY95" s="115">
        <v>252.98302175887409</v>
      </c>
    </row>
    <row r="96" spans="1:52" x14ac:dyDescent="0.2">
      <c r="A96" s="114"/>
      <c r="B96" s="125">
        <v>2</v>
      </c>
      <c r="C96" s="115">
        <v>0</v>
      </c>
      <c r="D96" s="115">
        <v>0</v>
      </c>
      <c r="E96" s="115">
        <v>0</v>
      </c>
      <c r="F96" s="115">
        <v>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15">
        <v>0</v>
      </c>
      <c r="M96" s="115">
        <v>0</v>
      </c>
      <c r="N96" s="115">
        <v>64.543708943911042</v>
      </c>
      <c r="O96" s="115">
        <v>14.108977134862698</v>
      </c>
      <c r="P96" s="115">
        <v>0</v>
      </c>
      <c r="Q96" s="115">
        <v>0</v>
      </c>
      <c r="R96" s="115">
        <v>0</v>
      </c>
      <c r="S96" s="115">
        <v>20.629574584698275</v>
      </c>
      <c r="T96" s="115">
        <v>73.173283528609318</v>
      </c>
      <c r="U96" s="115">
        <v>37.66262157812929</v>
      </c>
      <c r="V96" s="115">
        <v>0</v>
      </c>
      <c r="W96" s="115">
        <v>0</v>
      </c>
      <c r="X96" s="115">
        <v>0</v>
      </c>
      <c r="Y96" s="115">
        <v>73.495263551392952</v>
      </c>
      <c r="Z96" s="115">
        <v>23.093343389695178</v>
      </c>
      <c r="AA96" s="115">
        <v>2.6914232279974044</v>
      </c>
      <c r="AB96" s="115">
        <v>0</v>
      </c>
      <c r="AC96" s="115">
        <v>0</v>
      </c>
      <c r="AD96" s="115">
        <v>0</v>
      </c>
      <c r="AE96" s="115">
        <v>27.543708943911042</v>
      </c>
      <c r="AF96" s="115">
        <v>7.0874178878220846</v>
      </c>
      <c r="AG96" s="115">
        <v>46.631126831733127</v>
      </c>
      <c r="AH96" s="115">
        <v>7.6160869379211817</v>
      </c>
      <c r="AI96" s="115">
        <v>4.159795881832224</v>
      </c>
      <c r="AJ96" s="115">
        <v>38.703504825743266</v>
      </c>
      <c r="AK96" s="115">
        <v>41.192842875263239</v>
      </c>
      <c r="AL96" s="115">
        <v>17.682180924783211</v>
      </c>
      <c r="AM96" s="115">
        <v>0</v>
      </c>
      <c r="AN96" s="115">
        <v>0</v>
      </c>
      <c r="AO96" s="115">
        <v>35.543708943911042</v>
      </c>
      <c r="AP96" s="115">
        <v>0</v>
      </c>
      <c r="AQ96" s="115">
        <v>0</v>
      </c>
      <c r="AR96" s="115">
        <v>0</v>
      </c>
      <c r="AS96" s="115">
        <v>0</v>
      </c>
      <c r="AT96" s="115">
        <v>0</v>
      </c>
      <c r="AU96" s="115">
        <v>6.135170676200687</v>
      </c>
      <c r="AV96" s="115">
        <v>0</v>
      </c>
      <c r="AW96" s="115">
        <v>0</v>
      </c>
      <c r="AX96" s="115">
        <v>0</v>
      </c>
      <c r="AY96" s="115">
        <v>0</v>
      </c>
    </row>
    <row r="97" spans="1:52" x14ac:dyDescent="0.2">
      <c r="A97" s="114"/>
      <c r="B97" s="132">
        <v>3</v>
      </c>
      <c r="C97" s="115">
        <v>0</v>
      </c>
      <c r="D97" s="115">
        <v>0</v>
      </c>
      <c r="E97" s="115">
        <v>0</v>
      </c>
      <c r="F97" s="115">
        <v>0</v>
      </c>
      <c r="G97" s="115">
        <v>0</v>
      </c>
      <c r="H97" s="115">
        <v>0</v>
      </c>
      <c r="I97" s="115">
        <v>0</v>
      </c>
      <c r="J97" s="115">
        <v>0</v>
      </c>
      <c r="K97" s="115">
        <v>0</v>
      </c>
      <c r="L97" s="115">
        <v>0</v>
      </c>
      <c r="M97" s="115">
        <v>0</v>
      </c>
      <c r="N97" s="115">
        <v>0</v>
      </c>
      <c r="O97" s="115">
        <v>0</v>
      </c>
      <c r="P97" s="115">
        <v>0</v>
      </c>
      <c r="Q97" s="115">
        <v>0</v>
      </c>
      <c r="R97" s="115">
        <v>0</v>
      </c>
      <c r="S97" s="115">
        <v>0</v>
      </c>
      <c r="T97" s="115">
        <v>0</v>
      </c>
      <c r="U97" s="115">
        <v>0</v>
      </c>
      <c r="V97" s="115">
        <v>0</v>
      </c>
      <c r="W97" s="115">
        <v>0</v>
      </c>
      <c r="X97" s="115">
        <v>0</v>
      </c>
      <c r="Y97" s="115">
        <v>0</v>
      </c>
      <c r="Z97" s="115">
        <v>0</v>
      </c>
      <c r="AA97" s="115">
        <v>0</v>
      </c>
      <c r="AB97" s="115">
        <v>0</v>
      </c>
      <c r="AC97" s="115">
        <v>0</v>
      </c>
      <c r="AD97" s="115">
        <v>0</v>
      </c>
      <c r="AE97" s="115">
        <v>0</v>
      </c>
      <c r="AF97" s="115">
        <v>0</v>
      </c>
      <c r="AG97" s="115">
        <v>0</v>
      </c>
      <c r="AH97" s="115">
        <v>0</v>
      </c>
      <c r="AI97" s="115">
        <v>0</v>
      </c>
      <c r="AJ97" s="115">
        <v>0</v>
      </c>
      <c r="AK97" s="115">
        <v>0</v>
      </c>
      <c r="AL97" s="115">
        <v>0</v>
      </c>
      <c r="AM97" s="115">
        <v>0</v>
      </c>
      <c r="AN97" s="115">
        <v>0</v>
      </c>
      <c r="AO97" s="115">
        <v>0</v>
      </c>
      <c r="AP97" s="115">
        <v>0</v>
      </c>
      <c r="AQ97" s="115">
        <v>0</v>
      </c>
      <c r="AR97" s="115">
        <v>0</v>
      </c>
      <c r="AS97" s="115">
        <v>0</v>
      </c>
      <c r="AT97" s="115">
        <v>0</v>
      </c>
      <c r="AU97" s="115">
        <v>0</v>
      </c>
      <c r="AV97" s="115">
        <v>0</v>
      </c>
      <c r="AW97" s="115">
        <v>0</v>
      </c>
      <c r="AX97" s="115">
        <v>0</v>
      </c>
      <c r="AY97" s="115">
        <v>0</v>
      </c>
    </row>
    <row r="98" spans="1:52" x14ac:dyDescent="0.2">
      <c r="A98" s="114"/>
      <c r="B98" s="135">
        <v>4</v>
      </c>
      <c r="C98" s="111">
        <v>0</v>
      </c>
      <c r="D98" s="115">
        <v>0</v>
      </c>
      <c r="E98" s="115">
        <v>0</v>
      </c>
      <c r="F98" s="115">
        <v>0</v>
      </c>
      <c r="G98" s="115">
        <v>0</v>
      </c>
      <c r="H98" s="115">
        <v>0</v>
      </c>
      <c r="I98" s="115">
        <v>0</v>
      </c>
      <c r="J98" s="115">
        <v>0</v>
      </c>
      <c r="K98" s="115">
        <v>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5">
        <v>0</v>
      </c>
      <c r="R98" s="115">
        <v>0</v>
      </c>
      <c r="S98" s="115">
        <v>0</v>
      </c>
      <c r="T98" s="115">
        <v>0</v>
      </c>
      <c r="U98" s="115">
        <v>0</v>
      </c>
      <c r="V98" s="115">
        <v>0</v>
      </c>
      <c r="W98" s="115">
        <v>0</v>
      </c>
      <c r="X98" s="115">
        <v>0</v>
      </c>
      <c r="Y98" s="115">
        <v>0</v>
      </c>
      <c r="Z98" s="115">
        <v>0</v>
      </c>
      <c r="AA98" s="115">
        <v>0</v>
      </c>
      <c r="AB98" s="115">
        <v>0</v>
      </c>
      <c r="AC98" s="115">
        <v>0</v>
      </c>
      <c r="AD98" s="115">
        <v>0</v>
      </c>
      <c r="AE98" s="115">
        <v>0</v>
      </c>
      <c r="AF98" s="115">
        <v>0</v>
      </c>
      <c r="AG98" s="115">
        <v>0</v>
      </c>
      <c r="AH98" s="115">
        <v>0</v>
      </c>
      <c r="AI98" s="115">
        <v>0</v>
      </c>
      <c r="AJ98" s="115">
        <v>0</v>
      </c>
      <c r="AK98" s="115">
        <v>0</v>
      </c>
      <c r="AL98" s="115">
        <v>0</v>
      </c>
      <c r="AM98" s="115">
        <v>0</v>
      </c>
      <c r="AN98" s="115">
        <v>0</v>
      </c>
      <c r="AO98" s="115">
        <v>0</v>
      </c>
      <c r="AP98" s="115">
        <v>0</v>
      </c>
      <c r="AQ98" s="115">
        <v>0</v>
      </c>
      <c r="AR98" s="115">
        <v>0</v>
      </c>
      <c r="AS98" s="115">
        <v>0</v>
      </c>
      <c r="AT98" s="115">
        <v>0</v>
      </c>
      <c r="AU98" s="115">
        <v>0</v>
      </c>
      <c r="AV98" s="115">
        <v>0</v>
      </c>
      <c r="AW98" s="115">
        <v>0</v>
      </c>
      <c r="AX98" s="115">
        <v>0</v>
      </c>
      <c r="AY98" s="115">
        <v>0</v>
      </c>
    </row>
    <row r="99" spans="1:52" x14ac:dyDescent="0.2">
      <c r="A99" s="133"/>
      <c r="B99" s="137" t="s">
        <v>296</v>
      </c>
      <c r="C99" s="130">
        <v>0</v>
      </c>
      <c r="D99" s="130">
        <v>0</v>
      </c>
      <c r="E99" s="130">
        <v>0</v>
      </c>
      <c r="F99" s="130">
        <v>0</v>
      </c>
      <c r="G99" s="130">
        <v>0</v>
      </c>
      <c r="H99" s="130">
        <v>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0">
        <v>0</v>
      </c>
      <c r="AN99" s="130">
        <v>0</v>
      </c>
      <c r="AO99" s="130">
        <v>0</v>
      </c>
      <c r="AP99" s="130">
        <v>0</v>
      </c>
      <c r="AQ99" s="130">
        <v>0</v>
      </c>
      <c r="AR99" s="130">
        <v>0</v>
      </c>
      <c r="AS99" s="130">
        <v>0</v>
      </c>
      <c r="AT99" s="130">
        <v>0</v>
      </c>
      <c r="AU99" s="130">
        <v>0</v>
      </c>
      <c r="AV99" s="130">
        <v>0</v>
      </c>
      <c r="AW99" s="130">
        <v>0</v>
      </c>
      <c r="AX99" s="130">
        <v>0</v>
      </c>
      <c r="AY99" s="130">
        <v>0</v>
      </c>
      <c r="AZ99" s="112">
        <f>SUM($D99:$AY99)</f>
        <v>0</v>
      </c>
    </row>
    <row r="100" spans="1:52" x14ac:dyDescent="0.2">
      <c r="A100" s="136" t="s">
        <v>133</v>
      </c>
      <c r="B100" s="124">
        <v>1</v>
      </c>
      <c r="C100" s="111">
        <v>97.413094636540833</v>
      </c>
      <c r="D100" s="111">
        <v>0</v>
      </c>
      <c r="E100" s="111">
        <v>0</v>
      </c>
      <c r="F100" s="111">
        <v>0</v>
      </c>
      <c r="G100" s="111">
        <v>0</v>
      </c>
      <c r="H100" s="111">
        <v>0</v>
      </c>
      <c r="I100" s="111">
        <v>108.23677181837871</v>
      </c>
      <c r="J100" s="111">
        <v>97.413094636540833</v>
      </c>
      <c r="K100" s="111">
        <v>97.413094636540833</v>
      </c>
      <c r="L100" s="111">
        <v>97.413094636540833</v>
      </c>
      <c r="M100" s="111">
        <v>97.413094636540833</v>
      </c>
      <c r="N100" s="111">
        <v>108.23677181837871</v>
      </c>
      <c r="O100" s="111">
        <v>108.23677181837871</v>
      </c>
      <c r="P100" s="111">
        <v>108.23677181837871</v>
      </c>
      <c r="Q100" s="111">
        <v>108.23677181837871</v>
      </c>
      <c r="R100" s="111">
        <v>108.23677181837871</v>
      </c>
      <c r="S100" s="111">
        <v>108.23677181837871</v>
      </c>
      <c r="T100" s="111">
        <v>108.23677181837871</v>
      </c>
      <c r="U100" s="111">
        <v>108.23677181837871</v>
      </c>
      <c r="V100" s="111">
        <v>97.413094636540833</v>
      </c>
      <c r="W100" s="111">
        <v>97.413094636540833</v>
      </c>
      <c r="X100" s="111">
        <v>97.413094636540833</v>
      </c>
      <c r="Y100" s="111">
        <v>97.413094636540833</v>
      </c>
      <c r="Z100" s="111">
        <v>119.06044900021661</v>
      </c>
      <c r="AA100" s="111">
        <v>119.06044900021661</v>
      </c>
      <c r="AB100" s="111">
        <v>119.06044900021661</v>
      </c>
      <c r="AC100" s="111">
        <v>119.06044900021661</v>
      </c>
      <c r="AD100" s="111">
        <v>108.23677181837871</v>
      </c>
      <c r="AE100" s="111">
        <v>108.23677181837871</v>
      </c>
      <c r="AF100" s="111">
        <v>108.23677181837871</v>
      </c>
      <c r="AG100" s="111">
        <v>108.23677181837871</v>
      </c>
      <c r="AH100" s="111">
        <v>108.23677181837871</v>
      </c>
      <c r="AI100" s="111">
        <v>108.23677181837871</v>
      </c>
      <c r="AJ100" s="111">
        <v>108.23677181837871</v>
      </c>
      <c r="AK100" s="111">
        <v>0</v>
      </c>
      <c r="AL100" s="111">
        <v>149.72527472527474</v>
      </c>
      <c r="AM100" s="111">
        <v>97.413094636540833</v>
      </c>
      <c r="AN100" s="111">
        <v>97.413094636540833</v>
      </c>
      <c r="AO100" s="111">
        <v>97.413094636540833</v>
      </c>
      <c r="AP100" s="111">
        <v>108.23677181837871</v>
      </c>
      <c r="AQ100" s="111">
        <v>108.23677181837871</v>
      </c>
      <c r="AR100" s="111">
        <v>108.23677181837871</v>
      </c>
      <c r="AS100" s="111">
        <v>108.23677181837871</v>
      </c>
      <c r="AT100" s="111">
        <v>108.23677181837871</v>
      </c>
      <c r="AU100" s="111">
        <v>108.23677181837871</v>
      </c>
      <c r="AV100" s="111">
        <v>108.23677181837871</v>
      </c>
      <c r="AW100" s="111">
        <v>108.23677181837871</v>
      </c>
      <c r="AX100" s="111">
        <v>119.06044900021661</v>
      </c>
      <c r="AY100" s="111">
        <v>119.06044900021661</v>
      </c>
    </row>
    <row r="101" spans="1:52" x14ac:dyDescent="0.2">
      <c r="A101" s="114"/>
      <c r="B101" s="124">
        <v>2</v>
      </c>
      <c r="C101" s="111">
        <v>70.360181910055658</v>
      </c>
      <c r="D101" s="111">
        <v>0</v>
      </c>
      <c r="E101" s="111">
        <v>0</v>
      </c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N101" s="111">
        <v>0</v>
      </c>
      <c r="O101" s="111">
        <v>0</v>
      </c>
      <c r="P101" s="111">
        <v>0</v>
      </c>
      <c r="Q101" s="111">
        <v>0</v>
      </c>
      <c r="R101" s="111">
        <v>0</v>
      </c>
      <c r="S101" s="111">
        <v>0</v>
      </c>
      <c r="T101" s="111">
        <v>0</v>
      </c>
      <c r="U101" s="111">
        <v>0</v>
      </c>
      <c r="V101" s="111">
        <v>0</v>
      </c>
      <c r="W101" s="111">
        <v>0</v>
      </c>
      <c r="X101" s="111">
        <v>0</v>
      </c>
      <c r="Y101" s="111">
        <v>0</v>
      </c>
      <c r="Z101" s="111">
        <v>0</v>
      </c>
      <c r="AA101" s="111">
        <v>0</v>
      </c>
      <c r="AB101" s="111">
        <v>0</v>
      </c>
      <c r="AC101" s="111">
        <v>6.0449000216607374E-2</v>
      </c>
      <c r="AD101" s="111">
        <v>0</v>
      </c>
      <c r="AE101" s="111">
        <v>0</v>
      </c>
      <c r="AF101" s="111">
        <v>0</v>
      </c>
      <c r="AG101" s="111">
        <v>0</v>
      </c>
      <c r="AH101" s="111">
        <v>0</v>
      </c>
      <c r="AI101" s="111">
        <v>0</v>
      </c>
      <c r="AJ101" s="111">
        <v>0</v>
      </c>
      <c r="AK101" s="111">
        <v>0</v>
      </c>
      <c r="AL101" s="111">
        <v>0</v>
      </c>
      <c r="AM101" s="111">
        <v>0</v>
      </c>
      <c r="AN101" s="111">
        <v>0</v>
      </c>
      <c r="AO101" s="111">
        <v>0</v>
      </c>
      <c r="AP101" s="111">
        <v>0</v>
      </c>
      <c r="AQ101" s="111">
        <v>0</v>
      </c>
      <c r="AR101" s="111">
        <v>0</v>
      </c>
      <c r="AS101" s="111">
        <v>0</v>
      </c>
      <c r="AT101" s="111">
        <v>0</v>
      </c>
      <c r="AU101" s="111">
        <v>0</v>
      </c>
      <c r="AV101" s="111">
        <v>0</v>
      </c>
      <c r="AW101" s="111">
        <v>0</v>
      </c>
      <c r="AX101" s="111">
        <v>0</v>
      </c>
      <c r="AY101" s="111">
        <v>0</v>
      </c>
    </row>
    <row r="102" spans="1:52" x14ac:dyDescent="0.2">
      <c r="A102" s="114"/>
      <c r="B102" s="125">
        <v>3</v>
      </c>
      <c r="C102" s="111">
        <v>0</v>
      </c>
      <c r="D102" s="111">
        <v>0</v>
      </c>
      <c r="E102" s="111">
        <v>0</v>
      </c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N102" s="111">
        <v>0</v>
      </c>
      <c r="O102" s="111">
        <v>0</v>
      </c>
      <c r="P102" s="111">
        <v>0</v>
      </c>
      <c r="Q102" s="111">
        <v>0</v>
      </c>
      <c r="R102" s="111">
        <v>0</v>
      </c>
      <c r="S102" s="111">
        <v>0</v>
      </c>
      <c r="T102" s="111">
        <v>0</v>
      </c>
      <c r="U102" s="111">
        <v>0</v>
      </c>
      <c r="V102" s="111">
        <v>0</v>
      </c>
      <c r="W102" s="111">
        <v>0</v>
      </c>
      <c r="X102" s="111">
        <v>0</v>
      </c>
      <c r="Y102" s="111">
        <v>0</v>
      </c>
      <c r="Z102" s="111">
        <v>0</v>
      </c>
      <c r="AA102" s="111">
        <v>0</v>
      </c>
      <c r="AB102" s="111">
        <v>0</v>
      </c>
      <c r="AC102" s="111">
        <v>0</v>
      </c>
      <c r="AD102" s="111">
        <v>0</v>
      </c>
      <c r="AE102" s="111">
        <v>0</v>
      </c>
      <c r="AF102" s="111">
        <v>0</v>
      </c>
      <c r="AG102" s="111">
        <v>0</v>
      </c>
      <c r="AH102" s="111">
        <v>0</v>
      </c>
      <c r="AI102" s="111">
        <v>0</v>
      </c>
      <c r="AJ102" s="111">
        <v>0</v>
      </c>
      <c r="AK102" s="111">
        <v>0</v>
      </c>
      <c r="AL102" s="111">
        <v>0</v>
      </c>
      <c r="AM102" s="111">
        <v>0</v>
      </c>
      <c r="AN102" s="111">
        <v>0</v>
      </c>
      <c r="AO102" s="111">
        <v>0</v>
      </c>
      <c r="AP102" s="111">
        <v>0</v>
      </c>
      <c r="AQ102" s="111">
        <v>0</v>
      </c>
      <c r="AR102" s="111">
        <v>0</v>
      </c>
      <c r="AS102" s="111">
        <v>0</v>
      </c>
      <c r="AT102" s="111">
        <v>0</v>
      </c>
      <c r="AU102" s="111">
        <v>0</v>
      </c>
      <c r="AV102" s="111">
        <v>0</v>
      </c>
      <c r="AW102" s="111">
        <v>0</v>
      </c>
      <c r="AX102" s="111">
        <v>0</v>
      </c>
      <c r="AY102" s="111">
        <v>0</v>
      </c>
    </row>
    <row r="103" spans="1:52" x14ac:dyDescent="0.2">
      <c r="A103" s="114"/>
      <c r="B103" s="125">
        <v>4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1">
        <v>0</v>
      </c>
      <c r="L103" s="111">
        <v>0</v>
      </c>
      <c r="M103" s="111">
        <v>0</v>
      </c>
      <c r="N103" s="111">
        <v>0</v>
      </c>
      <c r="O103" s="111">
        <v>0</v>
      </c>
      <c r="P103" s="111">
        <v>0</v>
      </c>
      <c r="Q103" s="111">
        <v>0</v>
      </c>
      <c r="R103" s="111">
        <v>0</v>
      </c>
      <c r="S103" s="111">
        <v>0</v>
      </c>
      <c r="T103" s="111">
        <v>0</v>
      </c>
      <c r="U103" s="111">
        <v>0</v>
      </c>
      <c r="V103" s="111">
        <v>0</v>
      </c>
      <c r="W103" s="111">
        <v>0</v>
      </c>
      <c r="X103" s="111">
        <v>0</v>
      </c>
      <c r="Y103" s="111">
        <v>0</v>
      </c>
      <c r="Z103" s="111">
        <v>0</v>
      </c>
      <c r="AA103" s="111">
        <v>0</v>
      </c>
      <c r="AB103" s="111">
        <v>0</v>
      </c>
      <c r="AC103" s="111">
        <v>0</v>
      </c>
      <c r="AD103" s="111">
        <v>0</v>
      </c>
      <c r="AE103" s="111">
        <v>0</v>
      </c>
      <c r="AF103" s="111">
        <v>0</v>
      </c>
      <c r="AG103" s="111">
        <v>0</v>
      </c>
      <c r="AH103" s="111">
        <v>0</v>
      </c>
      <c r="AI103" s="111">
        <v>0</v>
      </c>
      <c r="AJ103" s="111">
        <v>0</v>
      </c>
      <c r="AK103" s="111">
        <v>0</v>
      </c>
      <c r="AL103" s="111">
        <v>0</v>
      </c>
      <c r="AM103" s="111">
        <v>0</v>
      </c>
      <c r="AN103" s="111">
        <v>0</v>
      </c>
      <c r="AO103" s="111">
        <v>0</v>
      </c>
      <c r="AP103" s="111">
        <v>0</v>
      </c>
      <c r="AQ103" s="111">
        <v>0</v>
      </c>
      <c r="AR103" s="111">
        <v>0</v>
      </c>
      <c r="AS103" s="111">
        <v>0</v>
      </c>
      <c r="AT103" s="111">
        <v>0</v>
      </c>
      <c r="AU103" s="111">
        <v>0</v>
      </c>
      <c r="AV103" s="111">
        <v>0</v>
      </c>
      <c r="AW103" s="111">
        <v>0</v>
      </c>
      <c r="AX103" s="111">
        <v>0</v>
      </c>
      <c r="AY103" s="111">
        <v>0</v>
      </c>
    </row>
    <row r="104" spans="1:52" x14ac:dyDescent="0.2">
      <c r="A104" s="114"/>
      <c r="B104" s="132">
        <v>5</v>
      </c>
      <c r="C104" s="111">
        <v>0</v>
      </c>
      <c r="D104" s="111">
        <v>0</v>
      </c>
      <c r="E104" s="111">
        <v>0</v>
      </c>
      <c r="F104" s="111">
        <v>0</v>
      </c>
      <c r="G104" s="111">
        <v>0</v>
      </c>
      <c r="H104" s="111">
        <v>0</v>
      </c>
      <c r="I104" s="111">
        <v>0</v>
      </c>
      <c r="J104" s="111">
        <v>0</v>
      </c>
      <c r="K104" s="111">
        <v>0</v>
      </c>
      <c r="L104" s="111">
        <v>0</v>
      </c>
      <c r="M104" s="111">
        <v>0</v>
      </c>
      <c r="N104" s="111">
        <v>0</v>
      </c>
      <c r="O104" s="111">
        <v>0</v>
      </c>
      <c r="P104" s="111">
        <v>0</v>
      </c>
      <c r="Q104" s="111">
        <v>0</v>
      </c>
      <c r="R104" s="111">
        <v>0</v>
      </c>
      <c r="S104" s="111">
        <v>0</v>
      </c>
      <c r="T104" s="111">
        <v>0</v>
      </c>
      <c r="U104" s="111">
        <v>0</v>
      </c>
      <c r="V104" s="111">
        <v>0</v>
      </c>
      <c r="W104" s="111">
        <v>0</v>
      </c>
      <c r="X104" s="111">
        <v>0</v>
      </c>
      <c r="Y104" s="111">
        <v>0</v>
      </c>
      <c r="Z104" s="111">
        <v>0</v>
      </c>
      <c r="AA104" s="111">
        <v>0</v>
      </c>
      <c r="AB104" s="111">
        <v>0</v>
      </c>
      <c r="AC104" s="111">
        <v>0</v>
      </c>
      <c r="AD104" s="111">
        <v>0</v>
      </c>
      <c r="AE104" s="111">
        <v>0</v>
      </c>
      <c r="AF104" s="111">
        <v>0</v>
      </c>
      <c r="AG104" s="111">
        <v>0</v>
      </c>
      <c r="AH104" s="111">
        <v>0</v>
      </c>
      <c r="AI104" s="111">
        <v>0</v>
      </c>
      <c r="AJ104" s="111">
        <v>0</v>
      </c>
      <c r="AK104" s="111">
        <v>0</v>
      </c>
      <c r="AL104" s="111">
        <v>0</v>
      </c>
      <c r="AM104" s="111">
        <v>0</v>
      </c>
      <c r="AN104" s="111">
        <v>0</v>
      </c>
      <c r="AO104" s="111">
        <v>0</v>
      </c>
      <c r="AP104" s="111">
        <v>0</v>
      </c>
      <c r="AQ104" s="111">
        <v>0</v>
      </c>
      <c r="AR104" s="111">
        <v>0</v>
      </c>
      <c r="AS104" s="111">
        <v>0</v>
      </c>
      <c r="AT104" s="111">
        <v>0</v>
      </c>
      <c r="AU104" s="111">
        <v>0</v>
      </c>
      <c r="AV104" s="111">
        <v>0</v>
      </c>
      <c r="AW104" s="111">
        <v>0</v>
      </c>
      <c r="AX104" s="111">
        <v>0</v>
      </c>
      <c r="AY104" s="111">
        <v>0</v>
      </c>
    </row>
    <row r="105" spans="1:52" x14ac:dyDescent="0.2">
      <c r="A105" s="114"/>
      <c r="B105" s="132">
        <v>6</v>
      </c>
      <c r="C105" s="111">
        <v>0</v>
      </c>
      <c r="D105" s="111">
        <v>0</v>
      </c>
      <c r="E105" s="111">
        <v>0</v>
      </c>
      <c r="F105" s="111"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0</v>
      </c>
      <c r="M105" s="111">
        <v>0</v>
      </c>
      <c r="N105" s="111">
        <v>0</v>
      </c>
      <c r="O105" s="111">
        <v>0</v>
      </c>
      <c r="P105" s="111">
        <v>0</v>
      </c>
      <c r="Q105" s="111">
        <v>0</v>
      </c>
      <c r="R105" s="111">
        <v>0</v>
      </c>
      <c r="S105" s="111">
        <v>0</v>
      </c>
      <c r="T105" s="111">
        <v>0</v>
      </c>
      <c r="U105" s="111">
        <v>0</v>
      </c>
      <c r="V105" s="111">
        <v>0</v>
      </c>
      <c r="W105" s="111">
        <v>0</v>
      </c>
      <c r="X105" s="111">
        <v>0</v>
      </c>
      <c r="Y105" s="111">
        <v>0</v>
      </c>
      <c r="Z105" s="111">
        <v>0</v>
      </c>
      <c r="AA105" s="111">
        <v>0</v>
      </c>
      <c r="AB105" s="111">
        <v>0</v>
      </c>
      <c r="AC105" s="111">
        <v>0</v>
      </c>
      <c r="AD105" s="111">
        <v>0</v>
      </c>
      <c r="AE105" s="111">
        <v>0</v>
      </c>
      <c r="AF105" s="111">
        <v>0</v>
      </c>
      <c r="AG105" s="111">
        <v>0</v>
      </c>
      <c r="AH105" s="111">
        <v>0</v>
      </c>
      <c r="AI105" s="111">
        <v>0</v>
      </c>
      <c r="AJ105" s="111">
        <v>0</v>
      </c>
      <c r="AK105" s="111">
        <v>0</v>
      </c>
      <c r="AL105" s="111">
        <v>0</v>
      </c>
      <c r="AM105" s="111">
        <v>0</v>
      </c>
      <c r="AN105" s="111">
        <v>0</v>
      </c>
      <c r="AO105" s="111">
        <v>0</v>
      </c>
      <c r="AP105" s="111">
        <v>0</v>
      </c>
      <c r="AQ105" s="111">
        <v>0</v>
      </c>
      <c r="AR105" s="111">
        <v>0</v>
      </c>
      <c r="AS105" s="111">
        <v>0</v>
      </c>
      <c r="AT105" s="111">
        <v>0</v>
      </c>
      <c r="AU105" s="111">
        <v>0</v>
      </c>
      <c r="AV105" s="111">
        <v>0</v>
      </c>
      <c r="AW105" s="111">
        <v>0</v>
      </c>
      <c r="AX105" s="111">
        <v>0</v>
      </c>
      <c r="AY105" s="111">
        <v>0</v>
      </c>
    </row>
    <row r="106" spans="1:52" x14ac:dyDescent="0.2">
      <c r="A106" s="114"/>
      <c r="B106" s="135">
        <v>7</v>
      </c>
      <c r="C106" s="111">
        <v>0</v>
      </c>
      <c r="D106" s="111">
        <v>0</v>
      </c>
      <c r="E106" s="111">
        <v>0</v>
      </c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0</v>
      </c>
      <c r="M106" s="111">
        <v>0</v>
      </c>
      <c r="N106" s="111">
        <v>0</v>
      </c>
      <c r="O106" s="111">
        <v>0</v>
      </c>
      <c r="P106" s="111">
        <v>0</v>
      </c>
      <c r="Q106" s="111">
        <v>0</v>
      </c>
      <c r="R106" s="111">
        <v>0</v>
      </c>
      <c r="S106" s="111">
        <v>0</v>
      </c>
      <c r="T106" s="111">
        <v>0</v>
      </c>
      <c r="U106" s="111">
        <v>0</v>
      </c>
      <c r="V106" s="111">
        <v>0</v>
      </c>
      <c r="W106" s="111">
        <v>0</v>
      </c>
      <c r="X106" s="111">
        <v>0</v>
      </c>
      <c r="Y106" s="111">
        <v>0</v>
      </c>
      <c r="Z106" s="111">
        <v>0</v>
      </c>
      <c r="AA106" s="111">
        <v>0</v>
      </c>
      <c r="AB106" s="111">
        <v>0</v>
      </c>
      <c r="AC106" s="111">
        <v>0</v>
      </c>
      <c r="AD106" s="111">
        <v>0</v>
      </c>
      <c r="AE106" s="111">
        <v>0</v>
      </c>
      <c r="AF106" s="111">
        <v>0</v>
      </c>
      <c r="AG106" s="111">
        <v>0</v>
      </c>
      <c r="AH106" s="111">
        <v>0</v>
      </c>
      <c r="AI106" s="111">
        <v>0</v>
      </c>
      <c r="AJ106" s="111">
        <v>0</v>
      </c>
      <c r="AK106" s="111">
        <v>0</v>
      </c>
      <c r="AL106" s="111">
        <v>0</v>
      </c>
      <c r="AM106" s="111">
        <v>0</v>
      </c>
      <c r="AN106" s="111">
        <v>0</v>
      </c>
      <c r="AO106" s="111">
        <v>0</v>
      </c>
      <c r="AP106" s="111">
        <v>0</v>
      </c>
      <c r="AQ106" s="111">
        <v>0</v>
      </c>
      <c r="AR106" s="111">
        <v>0</v>
      </c>
      <c r="AS106" s="111">
        <v>0</v>
      </c>
      <c r="AT106" s="111">
        <v>0</v>
      </c>
      <c r="AU106" s="111">
        <v>0</v>
      </c>
      <c r="AV106" s="111">
        <v>0</v>
      </c>
      <c r="AW106" s="111">
        <v>0</v>
      </c>
      <c r="AX106" s="111">
        <v>0</v>
      </c>
      <c r="AY106" s="111">
        <v>0</v>
      </c>
    </row>
    <row r="107" spans="1:52" x14ac:dyDescent="0.2">
      <c r="A107" s="114"/>
      <c r="B107" s="135">
        <v>8</v>
      </c>
      <c r="C107" s="111">
        <v>0</v>
      </c>
      <c r="D107" s="111">
        <v>0</v>
      </c>
      <c r="E107" s="111">
        <v>0</v>
      </c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0</v>
      </c>
      <c r="M107" s="111">
        <v>0</v>
      </c>
      <c r="N107" s="111">
        <v>0</v>
      </c>
      <c r="O107" s="111">
        <v>0</v>
      </c>
      <c r="P107" s="111">
        <v>0</v>
      </c>
      <c r="Q107" s="111">
        <v>0</v>
      </c>
      <c r="R107" s="111">
        <v>0</v>
      </c>
      <c r="S107" s="111">
        <v>0</v>
      </c>
      <c r="T107" s="111">
        <v>0</v>
      </c>
      <c r="U107" s="111">
        <v>0</v>
      </c>
      <c r="V107" s="111">
        <v>0</v>
      </c>
      <c r="W107" s="111">
        <v>0</v>
      </c>
      <c r="X107" s="111">
        <v>0</v>
      </c>
      <c r="Y107" s="111">
        <v>0</v>
      </c>
      <c r="Z107" s="111">
        <v>0</v>
      </c>
      <c r="AA107" s="111">
        <v>0</v>
      </c>
      <c r="AB107" s="111">
        <v>0</v>
      </c>
      <c r="AC107" s="111">
        <v>0</v>
      </c>
      <c r="AD107" s="111">
        <v>0</v>
      </c>
      <c r="AE107" s="111">
        <v>0</v>
      </c>
      <c r="AF107" s="111">
        <v>0</v>
      </c>
      <c r="AG107" s="111">
        <v>0</v>
      </c>
      <c r="AH107" s="111">
        <v>0</v>
      </c>
      <c r="AI107" s="111">
        <v>0</v>
      </c>
      <c r="AJ107" s="111">
        <v>0</v>
      </c>
      <c r="AK107" s="111">
        <v>0</v>
      </c>
      <c r="AL107" s="111">
        <v>0</v>
      </c>
      <c r="AM107" s="111">
        <v>0</v>
      </c>
      <c r="AN107" s="111">
        <v>0</v>
      </c>
      <c r="AO107" s="111">
        <v>0</v>
      </c>
      <c r="AP107" s="111">
        <v>0</v>
      </c>
      <c r="AQ107" s="111">
        <v>0</v>
      </c>
      <c r="AR107" s="111">
        <v>0</v>
      </c>
      <c r="AS107" s="111">
        <v>0</v>
      </c>
      <c r="AT107" s="111">
        <v>0</v>
      </c>
      <c r="AU107" s="111">
        <v>0</v>
      </c>
      <c r="AV107" s="111">
        <v>0</v>
      </c>
      <c r="AW107" s="111">
        <v>0</v>
      </c>
      <c r="AX107" s="111">
        <v>0</v>
      </c>
      <c r="AY107" s="111">
        <v>0</v>
      </c>
    </row>
    <row r="108" spans="1:52" x14ac:dyDescent="0.2">
      <c r="A108" s="133"/>
      <c r="B108" s="137" t="s">
        <v>296</v>
      </c>
      <c r="C108" s="119">
        <v>0</v>
      </c>
      <c r="D108" s="130">
        <v>0</v>
      </c>
      <c r="E108" s="130">
        <v>0</v>
      </c>
      <c r="F108" s="130">
        <v>0</v>
      </c>
      <c r="G108" s="130">
        <v>0</v>
      </c>
      <c r="H108" s="130">
        <v>0</v>
      </c>
      <c r="I108" s="130">
        <v>0</v>
      </c>
      <c r="J108" s="130">
        <v>0</v>
      </c>
      <c r="K108" s="130">
        <v>0</v>
      </c>
      <c r="L108" s="130">
        <v>0</v>
      </c>
      <c r="M108" s="130">
        <v>0</v>
      </c>
      <c r="N108" s="130">
        <v>0</v>
      </c>
      <c r="O108" s="130">
        <v>0</v>
      </c>
      <c r="P108" s="130">
        <v>0</v>
      </c>
      <c r="Q108" s="130">
        <v>0</v>
      </c>
      <c r="R108" s="130">
        <v>0</v>
      </c>
      <c r="S108" s="130">
        <v>0</v>
      </c>
      <c r="T108" s="130">
        <v>0</v>
      </c>
      <c r="U108" s="130">
        <v>0</v>
      </c>
      <c r="V108" s="130">
        <v>0</v>
      </c>
      <c r="W108" s="130">
        <v>0</v>
      </c>
      <c r="X108" s="130">
        <v>0</v>
      </c>
      <c r="Y108" s="130">
        <v>0</v>
      </c>
      <c r="Z108" s="130">
        <v>0</v>
      </c>
      <c r="AA108" s="130">
        <v>0</v>
      </c>
      <c r="AB108" s="130">
        <v>0</v>
      </c>
      <c r="AC108" s="130">
        <v>0</v>
      </c>
      <c r="AD108" s="130">
        <v>0</v>
      </c>
      <c r="AE108" s="130">
        <v>0</v>
      </c>
      <c r="AF108" s="130">
        <v>0</v>
      </c>
      <c r="AG108" s="130">
        <v>0</v>
      </c>
      <c r="AH108" s="130">
        <v>0</v>
      </c>
      <c r="AI108" s="130">
        <v>0</v>
      </c>
      <c r="AJ108" s="130">
        <v>0</v>
      </c>
      <c r="AK108" s="130">
        <v>0</v>
      </c>
      <c r="AL108" s="130">
        <v>0</v>
      </c>
      <c r="AM108" s="130">
        <v>0</v>
      </c>
      <c r="AN108" s="130">
        <v>0</v>
      </c>
      <c r="AO108" s="130">
        <v>0</v>
      </c>
      <c r="AP108" s="130">
        <v>0</v>
      </c>
      <c r="AQ108" s="130">
        <v>0</v>
      </c>
      <c r="AR108" s="130">
        <v>0</v>
      </c>
      <c r="AS108" s="130">
        <v>0</v>
      </c>
      <c r="AT108" s="130">
        <v>0</v>
      </c>
      <c r="AU108" s="130">
        <v>0</v>
      </c>
      <c r="AV108" s="130">
        <v>0</v>
      </c>
      <c r="AW108" s="130">
        <v>0</v>
      </c>
      <c r="AX108" s="130">
        <v>0</v>
      </c>
      <c r="AY108" s="130">
        <v>0</v>
      </c>
      <c r="AZ108" s="112">
        <f>SUM($D108:$AY108)</f>
        <v>0</v>
      </c>
    </row>
    <row r="109" spans="1:52" x14ac:dyDescent="0.2">
      <c r="A109" s="136" t="s">
        <v>134</v>
      </c>
      <c r="B109" s="124">
        <v>1</v>
      </c>
      <c r="C109" s="111">
        <v>220.84139814039816</v>
      </c>
      <c r="D109" s="111">
        <v>0</v>
      </c>
      <c r="E109" s="111">
        <v>0</v>
      </c>
      <c r="F109" s="111">
        <v>0</v>
      </c>
      <c r="G109" s="111">
        <v>0</v>
      </c>
      <c r="H109" s="111">
        <v>0</v>
      </c>
      <c r="I109" s="111">
        <v>140</v>
      </c>
      <c r="J109" s="111">
        <v>108.54599841047349</v>
      </c>
      <c r="K109" s="111">
        <v>80.321109938662289</v>
      </c>
      <c r="L109" s="111">
        <v>80.321109938662289</v>
      </c>
      <c r="M109" s="111">
        <v>80.321109938662289</v>
      </c>
      <c r="N109" s="111">
        <v>80.321109938662289</v>
      </c>
      <c r="O109" s="111">
        <v>81.045998410473459</v>
      </c>
      <c r="P109" s="111">
        <v>87.337154080439674</v>
      </c>
      <c r="Q109" s="111">
        <v>81.045998410473459</v>
      </c>
      <c r="R109" s="111">
        <v>81.045998410473459</v>
      </c>
      <c r="S109" s="111">
        <v>93.708765518644952</v>
      </c>
      <c r="T109" s="111">
        <v>83.242385447757727</v>
      </c>
      <c r="U109" s="111">
        <v>81.045998410473459</v>
      </c>
      <c r="V109" s="111">
        <v>81.045998410473459</v>
      </c>
      <c r="W109" s="111">
        <v>80.321109938662289</v>
      </c>
      <c r="X109" s="111">
        <v>87.791526872473696</v>
      </c>
      <c r="Y109" s="111">
        <v>86.203855334208527</v>
      </c>
      <c r="Z109" s="111">
        <v>80.321109938662289</v>
      </c>
      <c r="AA109" s="111">
        <v>81.770886882284614</v>
      </c>
      <c r="AB109" s="111">
        <v>81.770886882284614</v>
      </c>
      <c r="AC109" s="111">
        <v>81.770886882284614</v>
      </c>
      <c r="AD109" s="111">
        <v>81.770886882284614</v>
      </c>
      <c r="AE109" s="111">
        <v>81.664045100373642</v>
      </c>
      <c r="AF109" s="111">
        <v>81.045998410473459</v>
      </c>
      <c r="AG109" s="111">
        <v>81.045998410473459</v>
      </c>
      <c r="AH109" s="111">
        <v>81.045998410473459</v>
      </c>
      <c r="AI109" s="111">
        <v>90.255743388931563</v>
      </c>
      <c r="AJ109" s="111">
        <v>85.037703357948189</v>
      </c>
      <c r="AK109" s="111">
        <v>81.045998410473459</v>
      </c>
      <c r="AL109" s="111">
        <v>73.797113692361847</v>
      </c>
      <c r="AM109" s="111">
        <v>83.824586219834373</v>
      </c>
      <c r="AN109" s="111">
        <v>95.996390329753922</v>
      </c>
      <c r="AO109" s="111">
        <v>87.520828347673202</v>
      </c>
      <c r="AP109" s="111">
        <v>87.520828347673202</v>
      </c>
      <c r="AQ109" s="111">
        <v>97.151430288704759</v>
      </c>
      <c r="AR109" s="111">
        <v>88.245716819484372</v>
      </c>
      <c r="AS109" s="111">
        <v>99.246870173593905</v>
      </c>
      <c r="AT109" s="111">
        <v>99.331137084241689</v>
      </c>
      <c r="AU109" s="111">
        <v>88.245716819484358</v>
      </c>
      <c r="AV109" s="111">
        <v>88.245716819484358</v>
      </c>
      <c r="AW109" s="111">
        <v>97.914046663082303</v>
      </c>
      <c r="AX109" s="111">
        <v>87.753572722554281</v>
      </c>
      <c r="AY109" s="111">
        <v>81.770886882284614</v>
      </c>
    </row>
    <row r="110" spans="1:52" x14ac:dyDescent="0.2">
      <c r="A110" s="114"/>
      <c r="B110" s="124">
        <v>2</v>
      </c>
      <c r="C110" s="111">
        <v>224.57809800192874</v>
      </c>
      <c r="D110" s="111">
        <v>0</v>
      </c>
      <c r="E110" s="111">
        <v>0</v>
      </c>
      <c r="F110" s="111">
        <v>0</v>
      </c>
      <c r="G110" s="111">
        <v>0</v>
      </c>
      <c r="H110" s="111">
        <v>0</v>
      </c>
      <c r="I110" s="111">
        <v>0</v>
      </c>
      <c r="J110" s="111">
        <v>40</v>
      </c>
      <c r="K110" s="111">
        <v>71.040053369085982</v>
      </c>
      <c r="L110" s="111">
        <v>59.075242888440158</v>
      </c>
      <c r="M110" s="111">
        <v>36.182822163702198</v>
      </c>
      <c r="N110" s="111">
        <v>34.874321943914225</v>
      </c>
      <c r="O110" s="111">
        <v>22.693002887977485</v>
      </c>
      <c r="P110" s="111">
        <v>20.393282815945483</v>
      </c>
      <c r="Q110" s="111">
        <v>5.7193725261038395</v>
      </c>
      <c r="R110" s="111">
        <v>0</v>
      </c>
      <c r="S110" s="111">
        <v>0</v>
      </c>
      <c r="T110" s="111">
        <v>19.375396480019901</v>
      </c>
      <c r="U110" s="111">
        <v>0</v>
      </c>
      <c r="V110" s="111">
        <v>0</v>
      </c>
      <c r="W110" s="111">
        <v>12.860178300626785</v>
      </c>
      <c r="X110" s="111">
        <v>4.8850003424883397</v>
      </c>
      <c r="Y110" s="111">
        <v>9.0786072529326844</v>
      </c>
      <c r="Z110" s="111">
        <v>0</v>
      </c>
      <c r="AA110" s="111">
        <v>0</v>
      </c>
      <c r="AB110" s="111">
        <v>5.5028413085212691</v>
      </c>
      <c r="AC110" s="111">
        <v>0</v>
      </c>
      <c r="AD110" s="111">
        <v>4.0133718407250427</v>
      </c>
      <c r="AE110" s="111">
        <v>12.001044919882759</v>
      </c>
      <c r="AF110" s="111">
        <v>14.879091850624135</v>
      </c>
      <c r="AG110" s="111">
        <v>16.488452427243658</v>
      </c>
      <c r="AH110" s="111">
        <v>0</v>
      </c>
      <c r="AI110" s="111">
        <v>7.6613573848366343</v>
      </c>
      <c r="AJ110" s="111">
        <v>17.126147523277751</v>
      </c>
      <c r="AK110" s="111">
        <v>5.8804614326969471</v>
      </c>
      <c r="AL110" s="111">
        <v>4.9264598431704059</v>
      </c>
      <c r="AM110" s="111">
        <v>2.0551014679390534</v>
      </c>
      <c r="AN110" s="111">
        <v>0</v>
      </c>
      <c r="AO110" s="111">
        <v>0</v>
      </c>
      <c r="AP110" s="111">
        <v>0</v>
      </c>
      <c r="AQ110" s="111">
        <v>0</v>
      </c>
      <c r="AR110" s="111">
        <v>0</v>
      </c>
      <c r="AS110" s="111">
        <v>2.878087904712487</v>
      </c>
      <c r="AT110" s="111">
        <v>0</v>
      </c>
      <c r="AU110" s="111">
        <v>14.381463547181724</v>
      </c>
      <c r="AV110" s="111">
        <v>38.096211517395218</v>
      </c>
      <c r="AW110" s="111">
        <v>27.19125148994712</v>
      </c>
      <c r="AX110" s="111">
        <v>32.907075716383261</v>
      </c>
      <c r="AY110" s="111">
        <v>17.599720017077317</v>
      </c>
    </row>
    <row r="111" spans="1:52" x14ac:dyDescent="0.2">
      <c r="A111" s="114"/>
      <c r="B111" s="124">
        <v>3</v>
      </c>
      <c r="C111" s="111">
        <v>220.59122176828362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0</v>
      </c>
      <c r="M111" s="111">
        <v>0</v>
      </c>
      <c r="N111" s="111">
        <v>0</v>
      </c>
      <c r="O111" s="111">
        <v>0</v>
      </c>
      <c r="P111" s="111">
        <v>0</v>
      </c>
      <c r="Q111" s="111">
        <v>0</v>
      </c>
      <c r="R111" s="111">
        <v>0</v>
      </c>
      <c r="S111" s="111">
        <v>0</v>
      </c>
      <c r="T111" s="111">
        <v>0</v>
      </c>
      <c r="U111" s="111">
        <v>0</v>
      </c>
      <c r="V111" s="111">
        <v>0</v>
      </c>
      <c r="W111" s="111">
        <v>0</v>
      </c>
      <c r="X111" s="111">
        <v>0</v>
      </c>
      <c r="Y111" s="111">
        <v>0</v>
      </c>
      <c r="Z111" s="111">
        <v>0</v>
      </c>
      <c r="AA111" s="111">
        <v>0</v>
      </c>
      <c r="AB111" s="111">
        <v>0</v>
      </c>
      <c r="AC111" s="111">
        <v>0</v>
      </c>
      <c r="AD111" s="111">
        <v>0</v>
      </c>
      <c r="AE111" s="111">
        <v>0</v>
      </c>
      <c r="AF111" s="111">
        <v>0</v>
      </c>
      <c r="AG111" s="111">
        <v>0</v>
      </c>
      <c r="AH111" s="111">
        <v>0</v>
      </c>
      <c r="AI111" s="111">
        <v>0</v>
      </c>
      <c r="AJ111" s="111">
        <v>0</v>
      </c>
      <c r="AK111" s="111">
        <v>0</v>
      </c>
      <c r="AL111" s="111">
        <v>0</v>
      </c>
      <c r="AM111" s="111">
        <v>0</v>
      </c>
      <c r="AN111" s="111">
        <v>0</v>
      </c>
      <c r="AO111" s="111">
        <v>0</v>
      </c>
      <c r="AP111" s="111">
        <v>0</v>
      </c>
      <c r="AQ111" s="111">
        <v>0</v>
      </c>
      <c r="AR111" s="111">
        <v>0</v>
      </c>
      <c r="AS111" s="111">
        <v>0</v>
      </c>
      <c r="AT111" s="111">
        <v>0</v>
      </c>
      <c r="AU111" s="111">
        <v>0</v>
      </c>
      <c r="AV111" s="111">
        <v>0</v>
      </c>
      <c r="AW111" s="111">
        <v>0</v>
      </c>
      <c r="AX111" s="111">
        <v>0</v>
      </c>
      <c r="AY111" s="111">
        <v>0</v>
      </c>
    </row>
    <row r="112" spans="1:52" x14ac:dyDescent="0.2">
      <c r="A112" s="114"/>
      <c r="B112" s="125">
        <v>4</v>
      </c>
      <c r="C112" s="111">
        <v>222.49469261978913</v>
      </c>
      <c r="D112" s="111">
        <v>0</v>
      </c>
      <c r="E112" s="111">
        <v>0</v>
      </c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N112" s="111">
        <v>0</v>
      </c>
      <c r="O112" s="111">
        <v>0</v>
      </c>
      <c r="P112" s="111">
        <v>0</v>
      </c>
      <c r="Q112" s="111">
        <v>0</v>
      </c>
      <c r="R112" s="111">
        <v>0</v>
      </c>
      <c r="S112" s="111">
        <v>0</v>
      </c>
      <c r="T112" s="111">
        <v>0</v>
      </c>
      <c r="U112" s="111">
        <v>0</v>
      </c>
      <c r="V112" s="111">
        <v>0</v>
      </c>
      <c r="W112" s="111">
        <v>0</v>
      </c>
      <c r="X112" s="111">
        <v>0</v>
      </c>
      <c r="Y112" s="111">
        <v>0</v>
      </c>
      <c r="Z112" s="111">
        <v>0</v>
      </c>
      <c r="AA112" s="111">
        <v>0</v>
      </c>
      <c r="AB112" s="111">
        <v>0</v>
      </c>
      <c r="AC112" s="111">
        <v>0</v>
      </c>
      <c r="AD112" s="111">
        <v>0</v>
      </c>
      <c r="AE112" s="111">
        <v>0</v>
      </c>
      <c r="AF112" s="111">
        <v>0</v>
      </c>
      <c r="AG112" s="111">
        <v>0</v>
      </c>
      <c r="AH112" s="111">
        <v>0</v>
      </c>
      <c r="AI112" s="111">
        <v>0</v>
      </c>
      <c r="AJ112" s="111">
        <v>0</v>
      </c>
      <c r="AK112" s="111">
        <v>0</v>
      </c>
      <c r="AL112" s="111">
        <v>0</v>
      </c>
      <c r="AM112" s="111">
        <v>0</v>
      </c>
      <c r="AN112" s="111">
        <v>0</v>
      </c>
      <c r="AO112" s="111">
        <v>0</v>
      </c>
      <c r="AP112" s="111">
        <v>0</v>
      </c>
      <c r="AQ112" s="111">
        <v>0</v>
      </c>
      <c r="AR112" s="111">
        <v>0</v>
      </c>
      <c r="AS112" s="111">
        <v>0</v>
      </c>
      <c r="AT112" s="111">
        <v>0</v>
      </c>
      <c r="AU112" s="111">
        <v>0</v>
      </c>
      <c r="AV112" s="111">
        <v>0</v>
      </c>
      <c r="AW112" s="111">
        <v>0</v>
      </c>
      <c r="AX112" s="111">
        <v>0</v>
      </c>
      <c r="AY112" s="111">
        <v>0</v>
      </c>
    </row>
    <row r="113" spans="1:52" x14ac:dyDescent="0.2">
      <c r="A113" s="114"/>
      <c r="B113" s="125">
        <v>5</v>
      </c>
      <c r="C113" s="111">
        <v>198.1728804398056</v>
      </c>
      <c r="D113" s="111">
        <v>0</v>
      </c>
      <c r="E113" s="111">
        <v>0</v>
      </c>
      <c r="F113" s="111">
        <v>0</v>
      </c>
      <c r="G113" s="111">
        <v>0</v>
      </c>
      <c r="H113" s="111">
        <v>0</v>
      </c>
      <c r="I113" s="111">
        <v>0</v>
      </c>
      <c r="J113" s="111">
        <v>0</v>
      </c>
      <c r="K113" s="111">
        <v>0</v>
      </c>
      <c r="L113" s="111">
        <v>0</v>
      </c>
      <c r="M113" s="111">
        <v>0</v>
      </c>
      <c r="N113" s="111">
        <v>0</v>
      </c>
      <c r="O113" s="111">
        <v>0</v>
      </c>
      <c r="P113" s="111">
        <v>0</v>
      </c>
      <c r="Q113" s="111">
        <v>0</v>
      </c>
      <c r="R113" s="111">
        <v>0</v>
      </c>
      <c r="S113" s="111">
        <v>0</v>
      </c>
      <c r="T113" s="111">
        <v>0</v>
      </c>
      <c r="U113" s="111">
        <v>0</v>
      </c>
      <c r="V113" s="111">
        <v>0</v>
      </c>
      <c r="W113" s="111">
        <v>0</v>
      </c>
      <c r="X113" s="111">
        <v>0</v>
      </c>
      <c r="Y113" s="111">
        <v>0</v>
      </c>
      <c r="Z113" s="111">
        <v>0</v>
      </c>
      <c r="AA113" s="111">
        <v>0</v>
      </c>
      <c r="AB113" s="111">
        <v>0</v>
      </c>
      <c r="AC113" s="111">
        <v>0</v>
      </c>
      <c r="AD113" s="111">
        <v>0</v>
      </c>
      <c r="AE113" s="111">
        <v>0</v>
      </c>
      <c r="AF113" s="111">
        <v>0</v>
      </c>
      <c r="AG113" s="111">
        <v>0</v>
      </c>
      <c r="AH113" s="111">
        <v>0</v>
      </c>
      <c r="AI113" s="111">
        <v>0</v>
      </c>
      <c r="AJ113" s="111">
        <v>0</v>
      </c>
      <c r="AK113" s="111">
        <v>0</v>
      </c>
      <c r="AL113" s="111">
        <v>0</v>
      </c>
      <c r="AM113" s="111">
        <v>0</v>
      </c>
      <c r="AN113" s="111">
        <v>0</v>
      </c>
      <c r="AO113" s="111">
        <v>0</v>
      </c>
      <c r="AP113" s="111">
        <v>0</v>
      </c>
      <c r="AQ113" s="111">
        <v>0</v>
      </c>
      <c r="AR113" s="111">
        <v>0</v>
      </c>
      <c r="AS113" s="111">
        <v>0</v>
      </c>
      <c r="AT113" s="111">
        <v>0</v>
      </c>
      <c r="AU113" s="111">
        <v>0</v>
      </c>
      <c r="AV113" s="111">
        <v>0</v>
      </c>
      <c r="AW113" s="111">
        <v>0</v>
      </c>
      <c r="AX113" s="111">
        <v>0</v>
      </c>
      <c r="AY113" s="111">
        <v>0</v>
      </c>
    </row>
    <row r="114" spans="1:52" x14ac:dyDescent="0.2">
      <c r="A114" s="114"/>
      <c r="B114" s="125">
        <v>6</v>
      </c>
      <c r="C114" s="111">
        <v>188.19560926492537</v>
      </c>
      <c r="D114" s="111">
        <v>0</v>
      </c>
      <c r="E114" s="111">
        <v>0</v>
      </c>
      <c r="F114" s="111">
        <v>0</v>
      </c>
      <c r="G114" s="111">
        <v>0</v>
      </c>
      <c r="H114" s="111">
        <v>0</v>
      </c>
      <c r="I114" s="111">
        <v>0</v>
      </c>
      <c r="J114" s="111">
        <v>0</v>
      </c>
      <c r="K114" s="111">
        <v>0</v>
      </c>
      <c r="L114" s="111">
        <v>0</v>
      </c>
      <c r="M114" s="111">
        <v>0</v>
      </c>
      <c r="N114" s="111">
        <v>0</v>
      </c>
      <c r="O114" s="111">
        <v>0</v>
      </c>
      <c r="P114" s="111">
        <v>0</v>
      </c>
      <c r="Q114" s="111">
        <v>0</v>
      </c>
      <c r="R114" s="111">
        <v>0</v>
      </c>
      <c r="S114" s="111">
        <v>0</v>
      </c>
      <c r="T114" s="111">
        <v>0</v>
      </c>
      <c r="U114" s="111">
        <v>0</v>
      </c>
      <c r="V114" s="111">
        <v>0</v>
      </c>
      <c r="W114" s="111">
        <v>0</v>
      </c>
      <c r="X114" s="111">
        <v>0</v>
      </c>
      <c r="Y114" s="111">
        <v>0</v>
      </c>
      <c r="Z114" s="111">
        <v>0</v>
      </c>
      <c r="AA114" s="111">
        <v>0</v>
      </c>
      <c r="AB114" s="111">
        <v>0</v>
      </c>
      <c r="AC114" s="111">
        <v>0</v>
      </c>
      <c r="AD114" s="111">
        <v>0</v>
      </c>
      <c r="AE114" s="111">
        <v>0</v>
      </c>
      <c r="AF114" s="111">
        <v>0</v>
      </c>
      <c r="AG114" s="111">
        <v>0</v>
      </c>
      <c r="AH114" s="111">
        <v>0</v>
      </c>
      <c r="AI114" s="111">
        <v>0</v>
      </c>
      <c r="AJ114" s="111">
        <v>0</v>
      </c>
      <c r="AK114" s="111">
        <v>0</v>
      </c>
      <c r="AL114" s="111">
        <v>0</v>
      </c>
      <c r="AM114" s="111">
        <v>0</v>
      </c>
      <c r="AN114" s="111">
        <v>0</v>
      </c>
      <c r="AO114" s="111">
        <v>0</v>
      </c>
      <c r="AP114" s="111">
        <v>0</v>
      </c>
      <c r="AQ114" s="111">
        <v>0</v>
      </c>
      <c r="AR114" s="111">
        <v>0</v>
      </c>
      <c r="AS114" s="111">
        <v>0</v>
      </c>
      <c r="AT114" s="111">
        <v>0</v>
      </c>
      <c r="AU114" s="111">
        <v>0</v>
      </c>
      <c r="AV114" s="111">
        <v>0</v>
      </c>
      <c r="AW114" s="111">
        <v>0</v>
      </c>
      <c r="AX114" s="111">
        <v>0</v>
      </c>
      <c r="AY114" s="111">
        <v>0</v>
      </c>
    </row>
    <row r="115" spans="1:52" x14ac:dyDescent="0.2">
      <c r="A115" s="114"/>
      <c r="B115" s="132">
        <v>7</v>
      </c>
      <c r="C115" s="111">
        <v>176.91667108181096</v>
      </c>
      <c r="D115" s="111">
        <v>0</v>
      </c>
      <c r="E115" s="111">
        <v>0</v>
      </c>
      <c r="F115" s="111"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N115" s="111">
        <v>0</v>
      </c>
      <c r="O115" s="111">
        <v>0</v>
      </c>
      <c r="P115" s="111">
        <v>0</v>
      </c>
      <c r="Q115" s="111">
        <v>0</v>
      </c>
      <c r="R115" s="111">
        <v>0</v>
      </c>
      <c r="S115" s="111">
        <v>0</v>
      </c>
      <c r="T115" s="111">
        <v>0</v>
      </c>
      <c r="U115" s="111">
        <v>0</v>
      </c>
      <c r="V115" s="111">
        <v>0</v>
      </c>
      <c r="W115" s="111">
        <v>0</v>
      </c>
      <c r="X115" s="111">
        <v>0</v>
      </c>
      <c r="Y115" s="111">
        <v>0</v>
      </c>
      <c r="Z115" s="111">
        <v>0</v>
      </c>
      <c r="AA115" s="111">
        <v>0</v>
      </c>
      <c r="AB115" s="111">
        <v>0</v>
      </c>
      <c r="AC115" s="111">
        <v>0</v>
      </c>
      <c r="AD115" s="111">
        <v>0</v>
      </c>
      <c r="AE115" s="111">
        <v>0</v>
      </c>
      <c r="AF115" s="111">
        <v>0</v>
      </c>
      <c r="AG115" s="111">
        <v>0</v>
      </c>
      <c r="AH115" s="111">
        <v>0</v>
      </c>
      <c r="AI115" s="111">
        <v>0</v>
      </c>
      <c r="AJ115" s="111">
        <v>0</v>
      </c>
      <c r="AK115" s="111">
        <v>0</v>
      </c>
      <c r="AL115" s="111">
        <v>0</v>
      </c>
      <c r="AM115" s="111">
        <v>0</v>
      </c>
      <c r="AN115" s="111">
        <v>0</v>
      </c>
      <c r="AO115" s="111">
        <v>0</v>
      </c>
      <c r="AP115" s="111">
        <v>0</v>
      </c>
      <c r="AQ115" s="111">
        <v>0</v>
      </c>
      <c r="AR115" s="111">
        <v>0</v>
      </c>
      <c r="AS115" s="111">
        <v>0</v>
      </c>
      <c r="AT115" s="111">
        <v>0</v>
      </c>
      <c r="AU115" s="111">
        <v>0</v>
      </c>
      <c r="AV115" s="111">
        <v>0</v>
      </c>
      <c r="AW115" s="111">
        <v>0</v>
      </c>
      <c r="AX115" s="111">
        <v>0</v>
      </c>
      <c r="AY115" s="111">
        <v>0</v>
      </c>
    </row>
    <row r="116" spans="1:52" x14ac:dyDescent="0.2">
      <c r="A116" s="114"/>
      <c r="B116" s="132">
        <v>8</v>
      </c>
      <c r="C116" s="111">
        <v>154.6524694862552</v>
      </c>
      <c r="D116" s="111">
        <v>0</v>
      </c>
      <c r="E116" s="111">
        <v>0</v>
      </c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</v>
      </c>
      <c r="N116" s="111">
        <v>0</v>
      </c>
      <c r="O116" s="111">
        <v>0</v>
      </c>
      <c r="P116" s="111">
        <v>0</v>
      </c>
      <c r="Q116" s="111">
        <v>0</v>
      </c>
      <c r="R116" s="111">
        <v>0</v>
      </c>
      <c r="S116" s="111">
        <v>0</v>
      </c>
      <c r="T116" s="111">
        <v>0</v>
      </c>
      <c r="U116" s="111">
        <v>0</v>
      </c>
      <c r="V116" s="111">
        <v>0</v>
      </c>
      <c r="W116" s="111">
        <v>0</v>
      </c>
      <c r="X116" s="111">
        <v>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111">
        <v>0</v>
      </c>
      <c r="AF116" s="111">
        <v>0</v>
      </c>
      <c r="AG116" s="111">
        <v>0</v>
      </c>
      <c r="AH116" s="111">
        <v>0</v>
      </c>
      <c r="AI116" s="111">
        <v>0</v>
      </c>
      <c r="AJ116" s="111">
        <v>0</v>
      </c>
      <c r="AK116" s="111">
        <v>0</v>
      </c>
      <c r="AL116" s="111">
        <v>0</v>
      </c>
      <c r="AM116" s="111">
        <v>0</v>
      </c>
      <c r="AN116" s="111">
        <v>0</v>
      </c>
      <c r="AO116" s="111">
        <v>0</v>
      </c>
      <c r="AP116" s="111">
        <v>0</v>
      </c>
      <c r="AQ116" s="111">
        <v>0</v>
      </c>
      <c r="AR116" s="111">
        <v>0</v>
      </c>
      <c r="AS116" s="111">
        <v>0</v>
      </c>
      <c r="AT116" s="111">
        <v>0</v>
      </c>
      <c r="AU116" s="111">
        <v>0</v>
      </c>
      <c r="AV116" s="111">
        <v>0</v>
      </c>
      <c r="AW116" s="111">
        <v>0</v>
      </c>
      <c r="AX116" s="111">
        <v>0</v>
      </c>
      <c r="AY116" s="111">
        <v>0</v>
      </c>
    </row>
    <row r="117" spans="1:52" x14ac:dyDescent="0.2">
      <c r="A117" s="114"/>
      <c r="B117" s="132">
        <v>9</v>
      </c>
      <c r="C117" s="111">
        <v>0</v>
      </c>
      <c r="D117" s="111">
        <v>0</v>
      </c>
      <c r="E117" s="111">
        <v>0</v>
      </c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</v>
      </c>
      <c r="N117" s="111">
        <v>0</v>
      </c>
      <c r="O117" s="111">
        <v>0</v>
      </c>
      <c r="P117" s="111">
        <v>0</v>
      </c>
      <c r="Q117" s="111">
        <v>0</v>
      </c>
      <c r="R117" s="111">
        <v>0</v>
      </c>
      <c r="S117" s="111">
        <v>0</v>
      </c>
      <c r="T117" s="111">
        <v>0</v>
      </c>
      <c r="U117" s="111">
        <v>0</v>
      </c>
      <c r="V117" s="111">
        <v>0</v>
      </c>
      <c r="W117" s="111">
        <v>0</v>
      </c>
      <c r="X117" s="111">
        <v>0</v>
      </c>
      <c r="Y117" s="111">
        <v>0</v>
      </c>
      <c r="Z117" s="111">
        <v>0</v>
      </c>
      <c r="AA117" s="111">
        <v>0</v>
      </c>
      <c r="AB117" s="111">
        <v>0</v>
      </c>
      <c r="AC117" s="111">
        <v>0</v>
      </c>
      <c r="AD117" s="111">
        <v>0</v>
      </c>
      <c r="AE117" s="111">
        <v>0</v>
      </c>
      <c r="AF117" s="111">
        <v>0</v>
      </c>
      <c r="AG117" s="111">
        <v>0</v>
      </c>
      <c r="AH117" s="111">
        <v>0</v>
      </c>
      <c r="AI117" s="111">
        <v>0</v>
      </c>
      <c r="AJ117" s="111">
        <v>0</v>
      </c>
      <c r="AK117" s="111">
        <v>0</v>
      </c>
      <c r="AL117" s="111">
        <v>0</v>
      </c>
      <c r="AM117" s="111">
        <v>0</v>
      </c>
      <c r="AN117" s="111">
        <v>0</v>
      </c>
      <c r="AO117" s="111">
        <v>0</v>
      </c>
      <c r="AP117" s="111">
        <v>0</v>
      </c>
      <c r="AQ117" s="111">
        <v>0</v>
      </c>
      <c r="AR117" s="111">
        <v>0</v>
      </c>
      <c r="AS117" s="111">
        <v>0</v>
      </c>
      <c r="AT117" s="111">
        <v>0</v>
      </c>
      <c r="AU117" s="111">
        <v>0</v>
      </c>
      <c r="AV117" s="111">
        <v>0</v>
      </c>
      <c r="AW117" s="111">
        <v>0</v>
      </c>
      <c r="AX117" s="111">
        <v>0</v>
      </c>
      <c r="AY117" s="111">
        <v>0</v>
      </c>
    </row>
    <row r="118" spans="1:52" x14ac:dyDescent="0.2">
      <c r="A118" s="114"/>
      <c r="B118" s="135">
        <v>10</v>
      </c>
      <c r="C118" s="111">
        <v>0</v>
      </c>
      <c r="D118" s="111">
        <v>0</v>
      </c>
      <c r="E118" s="111">
        <v>0</v>
      </c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0</v>
      </c>
      <c r="N118" s="111">
        <v>0</v>
      </c>
      <c r="O118" s="111">
        <v>0</v>
      </c>
      <c r="P118" s="111">
        <v>0</v>
      </c>
      <c r="Q118" s="111">
        <v>0</v>
      </c>
      <c r="R118" s="111">
        <v>0</v>
      </c>
      <c r="S118" s="111">
        <v>0</v>
      </c>
      <c r="T118" s="111">
        <v>0</v>
      </c>
      <c r="U118" s="111">
        <v>0</v>
      </c>
      <c r="V118" s="111">
        <v>0</v>
      </c>
      <c r="W118" s="111">
        <v>0</v>
      </c>
      <c r="X118" s="111">
        <v>0</v>
      </c>
      <c r="Y118" s="111">
        <v>0</v>
      </c>
      <c r="Z118" s="111">
        <v>0</v>
      </c>
      <c r="AA118" s="111">
        <v>0</v>
      </c>
      <c r="AB118" s="111">
        <v>0</v>
      </c>
      <c r="AC118" s="111">
        <v>0</v>
      </c>
      <c r="AD118" s="111">
        <v>0</v>
      </c>
      <c r="AE118" s="111">
        <v>0</v>
      </c>
      <c r="AF118" s="111">
        <v>0</v>
      </c>
      <c r="AG118" s="111">
        <v>0</v>
      </c>
      <c r="AH118" s="111">
        <v>0</v>
      </c>
      <c r="AI118" s="111">
        <v>0</v>
      </c>
      <c r="AJ118" s="111">
        <v>0</v>
      </c>
      <c r="AK118" s="111">
        <v>0</v>
      </c>
      <c r="AL118" s="111">
        <v>0</v>
      </c>
      <c r="AM118" s="111">
        <v>0</v>
      </c>
      <c r="AN118" s="111">
        <v>0</v>
      </c>
      <c r="AO118" s="111">
        <v>0</v>
      </c>
      <c r="AP118" s="111">
        <v>0</v>
      </c>
      <c r="AQ118" s="111">
        <v>0</v>
      </c>
      <c r="AR118" s="111">
        <v>0</v>
      </c>
      <c r="AS118" s="111">
        <v>0</v>
      </c>
      <c r="AT118" s="111">
        <v>0</v>
      </c>
      <c r="AU118" s="111">
        <v>0</v>
      </c>
      <c r="AV118" s="111">
        <v>0</v>
      </c>
      <c r="AW118" s="111">
        <v>0</v>
      </c>
      <c r="AX118" s="111">
        <v>0</v>
      </c>
      <c r="AY118" s="111">
        <v>0</v>
      </c>
    </row>
    <row r="119" spans="1:52" x14ac:dyDescent="0.2">
      <c r="A119" s="114"/>
      <c r="B119" s="135">
        <v>11</v>
      </c>
      <c r="C119" s="111">
        <v>0</v>
      </c>
      <c r="D119" s="111">
        <v>0</v>
      </c>
      <c r="E119" s="111">
        <v>0</v>
      </c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0</v>
      </c>
      <c r="N119" s="111">
        <v>0</v>
      </c>
      <c r="O119" s="111">
        <v>0</v>
      </c>
      <c r="P119" s="111">
        <v>0</v>
      </c>
      <c r="Q119" s="111">
        <v>0</v>
      </c>
      <c r="R119" s="111">
        <v>0</v>
      </c>
      <c r="S119" s="111">
        <v>0</v>
      </c>
      <c r="T119" s="111">
        <v>0</v>
      </c>
      <c r="U119" s="111">
        <v>0</v>
      </c>
      <c r="V119" s="111">
        <v>0</v>
      </c>
      <c r="W119" s="111">
        <v>0</v>
      </c>
      <c r="X119" s="111">
        <v>0</v>
      </c>
      <c r="Y119" s="111">
        <v>0</v>
      </c>
      <c r="Z119" s="111">
        <v>0</v>
      </c>
      <c r="AA119" s="111">
        <v>0</v>
      </c>
      <c r="AB119" s="111">
        <v>0</v>
      </c>
      <c r="AC119" s="111">
        <v>0</v>
      </c>
      <c r="AD119" s="111">
        <v>0</v>
      </c>
      <c r="AE119" s="111">
        <v>0</v>
      </c>
      <c r="AF119" s="111">
        <v>0</v>
      </c>
      <c r="AG119" s="111">
        <v>0</v>
      </c>
      <c r="AH119" s="111">
        <v>0</v>
      </c>
      <c r="AI119" s="111">
        <v>0</v>
      </c>
      <c r="AJ119" s="111">
        <v>0</v>
      </c>
      <c r="AK119" s="111">
        <v>0</v>
      </c>
      <c r="AL119" s="111">
        <v>0</v>
      </c>
      <c r="AM119" s="111">
        <v>0</v>
      </c>
      <c r="AN119" s="111">
        <v>0</v>
      </c>
      <c r="AO119" s="111">
        <v>0</v>
      </c>
      <c r="AP119" s="111">
        <v>0</v>
      </c>
      <c r="AQ119" s="111">
        <v>0</v>
      </c>
      <c r="AR119" s="111">
        <v>0</v>
      </c>
      <c r="AS119" s="111">
        <v>0</v>
      </c>
      <c r="AT119" s="111">
        <v>0</v>
      </c>
      <c r="AU119" s="111">
        <v>0</v>
      </c>
      <c r="AV119" s="111">
        <v>0</v>
      </c>
      <c r="AW119" s="111">
        <v>0</v>
      </c>
      <c r="AX119" s="111">
        <v>0</v>
      </c>
      <c r="AY119" s="111">
        <v>0</v>
      </c>
    </row>
    <row r="120" spans="1:52" x14ac:dyDescent="0.2">
      <c r="A120" s="114"/>
      <c r="B120" s="135">
        <v>12</v>
      </c>
      <c r="C120" s="111">
        <v>0</v>
      </c>
      <c r="D120" s="111">
        <v>0</v>
      </c>
      <c r="E120" s="111">
        <v>0</v>
      </c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0</v>
      </c>
      <c r="N120" s="111">
        <v>0</v>
      </c>
      <c r="O120" s="111">
        <v>0</v>
      </c>
      <c r="P120" s="111">
        <v>0</v>
      </c>
      <c r="Q120" s="111">
        <v>0</v>
      </c>
      <c r="R120" s="111">
        <v>0</v>
      </c>
      <c r="S120" s="111">
        <v>0</v>
      </c>
      <c r="T120" s="111">
        <v>0</v>
      </c>
      <c r="U120" s="111">
        <v>0</v>
      </c>
      <c r="V120" s="111">
        <v>0</v>
      </c>
      <c r="W120" s="111">
        <v>0</v>
      </c>
      <c r="X120" s="111">
        <v>0</v>
      </c>
      <c r="Y120" s="111">
        <v>0</v>
      </c>
      <c r="Z120" s="111">
        <v>0</v>
      </c>
      <c r="AA120" s="111">
        <v>0</v>
      </c>
      <c r="AB120" s="111">
        <v>0</v>
      </c>
      <c r="AC120" s="111">
        <v>0</v>
      </c>
      <c r="AD120" s="111">
        <v>0</v>
      </c>
      <c r="AE120" s="111">
        <v>0</v>
      </c>
      <c r="AF120" s="111">
        <v>0</v>
      </c>
      <c r="AG120" s="111">
        <v>0</v>
      </c>
      <c r="AH120" s="111">
        <v>0</v>
      </c>
      <c r="AI120" s="111">
        <v>0</v>
      </c>
      <c r="AJ120" s="111">
        <v>0</v>
      </c>
      <c r="AK120" s="111">
        <v>0</v>
      </c>
      <c r="AL120" s="111">
        <v>0</v>
      </c>
      <c r="AM120" s="111">
        <v>0</v>
      </c>
      <c r="AN120" s="111">
        <v>0</v>
      </c>
      <c r="AO120" s="111">
        <v>0</v>
      </c>
      <c r="AP120" s="111">
        <v>0</v>
      </c>
      <c r="AQ120" s="111">
        <v>0</v>
      </c>
      <c r="AR120" s="111">
        <v>0</v>
      </c>
      <c r="AS120" s="111">
        <v>0</v>
      </c>
      <c r="AT120" s="111">
        <v>0</v>
      </c>
      <c r="AU120" s="111">
        <v>0</v>
      </c>
      <c r="AV120" s="111">
        <v>0</v>
      </c>
      <c r="AW120" s="111">
        <v>0</v>
      </c>
      <c r="AX120" s="111">
        <v>0</v>
      </c>
      <c r="AY120" s="111">
        <v>0</v>
      </c>
    </row>
    <row r="121" spans="1:52" x14ac:dyDescent="0.2">
      <c r="A121" s="133"/>
      <c r="B121" s="137" t="s">
        <v>296</v>
      </c>
      <c r="C121" s="119">
        <v>0</v>
      </c>
      <c r="D121" s="130">
        <v>0</v>
      </c>
      <c r="E121" s="130">
        <v>0</v>
      </c>
      <c r="F121" s="130">
        <v>0</v>
      </c>
      <c r="G121" s="130">
        <v>0</v>
      </c>
      <c r="H121" s="130">
        <v>0</v>
      </c>
      <c r="I121" s="130">
        <v>0</v>
      </c>
      <c r="J121" s="130">
        <v>0</v>
      </c>
      <c r="K121" s="130">
        <v>0</v>
      </c>
      <c r="L121" s="130">
        <v>0</v>
      </c>
      <c r="M121" s="130">
        <v>0</v>
      </c>
      <c r="N121" s="130">
        <v>0</v>
      </c>
      <c r="O121" s="130">
        <v>0</v>
      </c>
      <c r="P121" s="130">
        <v>0</v>
      </c>
      <c r="Q121" s="130">
        <v>0</v>
      </c>
      <c r="R121" s="130">
        <v>0</v>
      </c>
      <c r="S121" s="130">
        <v>0</v>
      </c>
      <c r="T121" s="130">
        <v>0</v>
      </c>
      <c r="U121" s="130">
        <v>0</v>
      </c>
      <c r="V121" s="130">
        <v>0</v>
      </c>
      <c r="W121" s="130">
        <v>0</v>
      </c>
      <c r="X121" s="130">
        <v>0</v>
      </c>
      <c r="Y121" s="130">
        <v>0</v>
      </c>
      <c r="Z121" s="130">
        <v>0</v>
      </c>
      <c r="AA121" s="130">
        <v>0</v>
      </c>
      <c r="AB121" s="130">
        <v>0</v>
      </c>
      <c r="AC121" s="130">
        <v>0</v>
      </c>
      <c r="AD121" s="130">
        <v>0</v>
      </c>
      <c r="AE121" s="130">
        <v>0</v>
      </c>
      <c r="AF121" s="130">
        <v>0</v>
      </c>
      <c r="AG121" s="130">
        <v>0</v>
      </c>
      <c r="AH121" s="130">
        <v>0</v>
      </c>
      <c r="AI121" s="130">
        <v>0</v>
      </c>
      <c r="AJ121" s="130">
        <v>0</v>
      </c>
      <c r="AK121" s="130">
        <v>0</v>
      </c>
      <c r="AL121" s="130">
        <v>0</v>
      </c>
      <c r="AM121" s="130">
        <v>0</v>
      </c>
      <c r="AN121" s="130">
        <v>0</v>
      </c>
      <c r="AO121" s="130">
        <v>0</v>
      </c>
      <c r="AP121" s="130">
        <v>0</v>
      </c>
      <c r="AQ121" s="130">
        <v>0</v>
      </c>
      <c r="AR121" s="130">
        <v>0</v>
      </c>
      <c r="AS121" s="130">
        <v>0</v>
      </c>
      <c r="AT121" s="130">
        <v>0</v>
      </c>
      <c r="AU121" s="130">
        <v>0</v>
      </c>
      <c r="AV121" s="130">
        <v>0</v>
      </c>
      <c r="AW121" s="130">
        <v>0</v>
      </c>
      <c r="AX121" s="130">
        <v>0</v>
      </c>
      <c r="AY121" s="130">
        <v>0</v>
      </c>
      <c r="AZ121" s="112">
        <f>SUM($D121:$AY121)</f>
        <v>0</v>
      </c>
    </row>
    <row r="122" spans="1:52" x14ac:dyDescent="0.2">
      <c r="A122" s="136" t="s">
        <v>123</v>
      </c>
      <c r="B122" s="124">
        <v>1</v>
      </c>
      <c r="C122" s="111">
        <v>803.21109938662289</v>
      </c>
      <c r="D122" s="111">
        <v>803.21109938662289</v>
      </c>
      <c r="E122" s="111">
        <v>803.21109938662289</v>
      </c>
      <c r="F122" s="111">
        <v>810.45998410473453</v>
      </c>
      <c r="G122" s="111">
        <v>810.45998410473453</v>
      </c>
      <c r="H122" s="111">
        <v>810.45998410473453</v>
      </c>
      <c r="I122" s="111">
        <v>810.45998410473453</v>
      </c>
      <c r="J122" s="111">
        <v>803.21109938662289</v>
      </c>
      <c r="K122" s="111">
        <v>803.21109938662289</v>
      </c>
      <c r="L122" s="111">
        <v>803.21109938662289</v>
      </c>
      <c r="M122" s="111">
        <v>803.21109938662289</v>
      </c>
      <c r="N122" s="111">
        <v>810.45998410473453</v>
      </c>
      <c r="O122" s="111">
        <v>810.45998410473453</v>
      </c>
      <c r="P122" s="111">
        <v>810.45998410473453</v>
      </c>
      <c r="Q122" s="111">
        <v>810.45998410473453</v>
      </c>
      <c r="R122" s="111">
        <v>810.45998410473453</v>
      </c>
      <c r="S122" s="111">
        <v>810.45998410473453</v>
      </c>
      <c r="T122" s="111">
        <v>810.45998410473453</v>
      </c>
      <c r="U122" s="111">
        <v>810.45998410473453</v>
      </c>
      <c r="V122" s="111">
        <v>803.21109938662289</v>
      </c>
      <c r="W122" s="111">
        <v>803.21109938662289</v>
      </c>
      <c r="X122" s="111">
        <v>803.21109938662289</v>
      </c>
      <c r="Y122" s="111">
        <v>803.21109938662289</v>
      </c>
      <c r="Z122" s="111">
        <v>817.70886882284606</v>
      </c>
      <c r="AA122" s="111">
        <v>817.70886882284606</v>
      </c>
      <c r="AB122" s="111">
        <v>817.70886882284606</v>
      </c>
      <c r="AC122" s="111">
        <v>817.70886882284606</v>
      </c>
      <c r="AD122" s="111">
        <v>810.45998410473453</v>
      </c>
      <c r="AE122" s="111">
        <v>810.45998410473453</v>
      </c>
      <c r="AF122" s="111">
        <v>810.45998410473453</v>
      </c>
      <c r="AG122" s="111">
        <v>810.45998410473453</v>
      </c>
      <c r="AH122" s="111">
        <v>810.45998410473453</v>
      </c>
      <c r="AI122" s="111">
        <v>810.45998410473453</v>
      </c>
      <c r="AJ122" s="111">
        <v>810.45998410473453</v>
      </c>
      <c r="AK122" s="111">
        <v>737.97113692361847</v>
      </c>
      <c r="AL122" s="111">
        <v>838.24586219834373</v>
      </c>
      <c r="AM122" s="111">
        <v>803.21109938662289</v>
      </c>
      <c r="AN122" s="111">
        <v>875.20828347673194</v>
      </c>
      <c r="AO122" s="111">
        <v>875.20828347673194</v>
      </c>
      <c r="AP122" s="111">
        <v>882.45716819484358</v>
      </c>
      <c r="AQ122" s="111">
        <v>882.45716819484358</v>
      </c>
      <c r="AR122" s="111">
        <v>882.45716819484358</v>
      </c>
      <c r="AS122" s="111">
        <v>882.45716819484358</v>
      </c>
      <c r="AT122" s="111">
        <v>882.45716819484358</v>
      </c>
      <c r="AU122" s="111">
        <v>882.45716819484358</v>
      </c>
      <c r="AV122" s="111">
        <v>810.45998410473453</v>
      </c>
      <c r="AW122" s="111">
        <v>810.45998410473453</v>
      </c>
      <c r="AX122" s="111">
        <v>817.70886882284606</v>
      </c>
      <c r="AY122" s="111">
        <v>817.70886882284606</v>
      </c>
    </row>
    <row r="123" spans="1:52" x14ac:dyDescent="0.2">
      <c r="A123" s="114"/>
      <c r="B123" s="124">
        <v>2</v>
      </c>
      <c r="C123" s="111">
        <v>722.8899894479606</v>
      </c>
      <c r="D123" s="111">
        <v>596.78890061337631</v>
      </c>
      <c r="E123" s="111">
        <v>596.78890061337711</v>
      </c>
      <c r="F123" s="111">
        <v>589.54001589526547</v>
      </c>
      <c r="G123" s="111">
        <v>589.54001589526524</v>
      </c>
      <c r="H123" s="111">
        <v>589.54001589526558</v>
      </c>
      <c r="I123" s="111">
        <v>275.00000000000011</v>
      </c>
      <c r="J123" s="111">
        <v>0</v>
      </c>
      <c r="K123" s="111">
        <v>0</v>
      </c>
      <c r="L123" s="111">
        <v>0</v>
      </c>
      <c r="M123" s="111">
        <v>0</v>
      </c>
      <c r="N123" s="111">
        <v>0</v>
      </c>
      <c r="O123" s="111">
        <v>62.911556699662128</v>
      </c>
      <c r="P123" s="111">
        <v>0</v>
      </c>
      <c r="Q123" s="111">
        <v>0</v>
      </c>
      <c r="R123" s="111">
        <v>126.62767108171499</v>
      </c>
      <c r="S123" s="111">
        <v>21.963870372842621</v>
      </c>
      <c r="T123" s="111">
        <v>0</v>
      </c>
      <c r="U123" s="111">
        <v>0</v>
      </c>
      <c r="V123" s="111">
        <v>0</v>
      </c>
      <c r="W123" s="111">
        <v>74.704169338113957</v>
      </c>
      <c r="X123" s="111">
        <v>58.827453955462374</v>
      </c>
      <c r="Y123" s="111">
        <v>0</v>
      </c>
      <c r="Z123" s="111">
        <v>0</v>
      </c>
      <c r="AA123" s="111">
        <v>0</v>
      </c>
      <c r="AB123" s="111">
        <v>0</v>
      </c>
      <c r="AC123" s="111">
        <v>0</v>
      </c>
      <c r="AD123" s="111">
        <v>6.1804668990018854</v>
      </c>
      <c r="AE123" s="111">
        <v>0</v>
      </c>
      <c r="AF123" s="111">
        <v>0</v>
      </c>
      <c r="AG123" s="111">
        <v>0</v>
      </c>
      <c r="AH123" s="111">
        <v>92.097449784581045</v>
      </c>
      <c r="AI123" s="111">
        <v>39.917049474747273</v>
      </c>
      <c r="AJ123" s="111">
        <v>0</v>
      </c>
      <c r="AK123" s="111">
        <v>0</v>
      </c>
      <c r="AL123" s="111">
        <v>0</v>
      </c>
      <c r="AM123" s="111">
        <v>156.75280391091621</v>
      </c>
      <c r="AN123" s="111">
        <v>0</v>
      </c>
      <c r="AO123" s="111">
        <v>0</v>
      </c>
      <c r="AP123" s="111">
        <v>89.057134692203931</v>
      </c>
      <c r="AQ123" s="111">
        <v>1.1368683772161603E-13</v>
      </c>
      <c r="AR123" s="111">
        <v>110.01153354109545</v>
      </c>
      <c r="AS123" s="111">
        <v>110.85420264757329</v>
      </c>
      <c r="AT123" s="111">
        <v>0</v>
      </c>
      <c r="AU123" s="111">
        <v>0</v>
      </c>
      <c r="AV123" s="111">
        <v>168.68048252608844</v>
      </c>
      <c r="AW123" s="111">
        <v>67.075743120808283</v>
      </c>
      <c r="AX123" s="111">
        <v>0</v>
      </c>
      <c r="AY123" s="111">
        <v>110.87705351870125</v>
      </c>
    </row>
    <row r="124" spans="1:52" x14ac:dyDescent="0.2">
      <c r="A124" s="114"/>
      <c r="B124" s="124">
        <v>3</v>
      </c>
      <c r="C124" s="111">
        <v>656.47258712483506</v>
      </c>
      <c r="D124" s="111">
        <v>0</v>
      </c>
      <c r="E124" s="111">
        <v>0</v>
      </c>
      <c r="F124" s="111">
        <v>0</v>
      </c>
      <c r="G124" s="111">
        <v>0</v>
      </c>
      <c r="H124" s="111">
        <v>0</v>
      </c>
      <c r="I124" s="111">
        <v>0</v>
      </c>
      <c r="J124" s="111">
        <v>0</v>
      </c>
      <c r="K124" s="111">
        <v>0</v>
      </c>
      <c r="L124" s="111">
        <v>0</v>
      </c>
      <c r="M124" s="111">
        <v>0</v>
      </c>
      <c r="N124" s="111">
        <v>0</v>
      </c>
      <c r="O124" s="111">
        <v>0</v>
      </c>
      <c r="P124" s="111">
        <v>0</v>
      </c>
      <c r="Q124" s="111">
        <v>0</v>
      </c>
      <c r="R124" s="111">
        <v>0</v>
      </c>
      <c r="S124" s="111">
        <v>0</v>
      </c>
      <c r="T124" s="111">
        <v>0</v>
      </c>
      <c r="U124" s="111">
        <v>0</v>
      </c>
      <c r="V124" s="111">
        <v>0</v>
      </c>
      <c r="W124" s="111">
        <v>0</v>
      </c>
      <c r="X124" s="111">
        <v>0</v>
      </c>
      <c r="Y124" s="111">
        <v>0</v>
      </c>
      <c r="Z124" s="111">
        <v>0</v>
      </c>
      <c r="AA124" s="111">
        <v>0</v>
      </c>
      <c r="AB124" s="111">
        <v>0</v>
      </c>
      <c r="AC124" s="111">
        <v>0</v>
      </c>
      <c r="AD124" s="111">
        <v>0</v>
      </c>
      <c r="AE124" s="111">
        <v>0</v>
      </c>
      <c r="AF124" s="111">
        <v>0</v>
      </c>
      <c r="AG124" s="111">
        <v>0</v>
      </c>
      <c r="AH124" s="111">
        <v>0</v>
      </c>
      <c r="AI124" s="111">
        <v>0</v>
      </c>
      <c r="AJ124" s="111">
        <v>0</v>
      </c>
      <c r="AK124" s="111">
        <v>0</v>
      </c>
      <c r="AL124" s="111">
        <v>0</v>
      </c>
      <c r="AM124" s="111">
        <v>0</v>
      </c>
      <c r="AN124" s="111">
        <v>0</v>
      </c>
      <c r="AO124" s="111">
        <v>0</v>
      </c>
      <c r="AP124" s="111">
        <v>0</v>
      </c>
      <c r="AQ124" s="111">
        <v>0</v>
      </c>
      <c r="AR124" s="111">
        <v>0</v>
      </c>
      <c r="AS124" s="111">
        <v>0</v>
      </c>
      <c r="AT124" s="111">
        <v>0</v>
      </c>
      <c r="AU124" s="111">
        <v>0</v>
      </c>
      <c r="AV124" s="111">
        <v>0</v>
      </c>
      <c r="AW124" s="111">
        <v>0</v>
      </c>
      <c r="AX124" s="111">
        <v>0</v>
      </c>
      <c r="AY124" s="111">
        <v>0</v>
      </c>
    </row>
    <row r="125" spans="1:52" x14ac:dyDescent="0.2">
      <c r="A125" s="114"/>
      <c r="B125" s="124">
        <v>4</v>
      </c>
      <c r="C125" s="111">
        <v>43.210006690787736</v>
      </c>
      <c r="D125" s="111">
        <v>0</v>
      </c>
      <c r="E125" s="111">
        <v>0</v>
      </c>
      <c r="F125" s="111">
        <v>0</v>
      </c>
      <c r="G125" s="111">
        <v>0</v>
      </c>
      <c r="H125" s="111">
        <v>0</v>
      </c>
      <c r="I125" s="111">
        <v>0</v>
      </c>
      <c r="J125" s="111">
        <v>0</v>
      </c>
      <c r="K125" s="111">
        <v>0</v>
      </c>
      <c r="L125" s="111">
        <v>0</v>
      </c>
      <c r="M125" s="111">
        <v>0</v>
      </c>
      <c r="N125" s="111">
        <v>0</v>
      </c>
      <c r="O125" s="111">
        <v>0</v>
      </c>
      <c r="P125" s="111">
        <v>0</v>
      </c>
      <c r="Q125" s="111">
        <v>0</v>
      </c>
      <c r="R125" s="111">
        <v>0</v>
      </c>
      <c r="S125" s="111">
        <v>0</v>
      </c>
      <c r="T125" s="111">
        <v>0</v>
      </c>
      <c r="U125" s="111">
        <v>0</v>
      </c>
      <c r="V125" s="111">
        <v>0</v>
      </c>
      <c r="W125" s="111">
        <v>0</v>
      </c>
      <c r="X125" s="111">
        <v>0</v>
      </c>
      <c r="Y125" s="111">
        <v>0</v>
      </c>
      <c r="Z125" s="111">
        <v>0</v>
      </c>
      <c r="AA125" s="111">
        <v>0</v>
      </c>
      <c r="AB125" s="111">
        <v>0</v>
      </c>
      <c r="AC125" s="111">
        <v>0</v>
      </c>
      <c r="AD125" s="111">
        <v>0</v>
      </c>
      <c r="AE125" s="111">
        <v>0</v>
      </c>
      <c r="AF125" s="111">
        <v>0</v>
      </c>
      <c r="AG125" s="111">
        <v>0</v>
      </c>
      <c r="AH125" s="111">
        <v>0</v>
      </c>
      <c r="AI125" s="111">
        <v>0</v>
      </c>
      <c r="AJ125" s="111">
        <v>0</v>
      </c>
      <c r="AK125" s="111">
        <v>0</v>
      </c>
      <c r="AL125" s="111">
        <v>0</v>
      </c>
      <c r="AM125" s="111">
        <v>0</v>
      </c>
      <c r="AN125" s="111">
        <v>0</v>
      </c>
      <c r="AO125" s="111">
        <v>0</v>
      </c>
      <c r="AP125" s="111">
        <v>0</v>
      </c>
      <c r="AQ125" s="111">
        <v>0</v>
      </c>
      <c r="AR125" s="111">
        <v>0</v>
      </c>
      <c r="AS125" s="111">
        <v>0</v>
      </c>
      <c r="AT125" s="111">
        <v>0</v>
      </c>
      <c r="AU125" s="111">
        <v>0</v>
      </c>
      <c r="AV125" s="111">
        <v>0</v>
      </c>
      <c r="AW125" s="111">
        <v>0</v>
      </c>
      <c r="AX125" s="111">
        <v>0</v>
      </c>
      <c r="AY125" s="111">
        <v>0</v>
      </c>
    </row>
    <row r="126" spans="1:52" x14ac:dyDescent="0.2">
      <c r="A126" s="114"/>
      <c r="B126" s="124">
        <v>5</v>
      </c>
      <c r="C126" s="111">
        <v>0</v>
      </c>
      <c r="D126" s="111">
        <v>0</v>
      </c>
      <c r="E126" s="111">
        <v>0</v>
      </c>
      <c r="F126" s="111">
        <v>0</v>
      </c>
      <c r="G126" s="111">
        <v>0</v>
      </c>
      <c r="H126" s="111">
        <v>0</v>
      </c>
      <c r="I126" s="111">
        <v>0</v>
      </c>
      <c r="J126" s="111">
        <v>0</v>
      </c>
      <c r="K126" s="111">
        <v>0</v>
      </c>
      <c r="L126" s="111">
        <v>0</v>
      </c>
      <c r="M126" s="111">
        <v>0</v>
      </c>
      <c r="N126" s="111">
        <v>0</v>
      </c>
      <c r="O126" s="111">
        <v>0</v>
      </c>
      <c r="P126" s="111">
        <v>0</v>
      </c>
      <c r="Q126" s="111">
        <v>0</v>
      </c>
      <c r="R126" s="111">
        <v>0</v>
      </c>
      <c r="S126" s="111">
        <v>0</v>
      </c>
      <c r="T126" s="111">
        <v>0</v>
      </c>
      <c r="U126" s="111">
        <v>0</v>
      </c>
      <c r="V126" s="111">
        <v>0</v>
      </c>
      <c r="W126" s="111">
        <v>0</v>
      </c>
      <c r="X126" s="111">
        <v>0</v>
      </c>
      <c r="Y126" s="111">
        <v>0</v>
      </c>
      <c r="Z126" s="111">
        <v>0</v>
      </c>
      <c r="AA126" s="111">
        <v>0</v>
      </c>
      <c r="AB126" s="111">
        <v>0</v>
      </c>
      <c r="AC126" s="111">
        <v>0</v>
      </c>
      <c r="AD126" s="111">
        <v>0</v>
      </c>
      <c r="AE126" s="111">
        <v>0</v>
      </c>
      <c r="AF126" s="111">
        <v>0</v>
      </c>
      <c r="AG126" s="111">
        <v>0</v>
      </c>
      <c r="AH126" s="111">
        <v>0</v>
      </c>
      <c r="AI126" s="111">
        <v>0</v>
      </c>
      <c r="AJ126" s="111">
        <v>0</v>
      </c>
      <c r="AK126" s="111">
        <v>0</v>
      </c>
      <c r="AL126" s="111">
        <v>0</v>
      </c>
      <c r="AM126" s="111">
        <v>0</v>
      </c>
      <c r="AN126" s="111">
        <v>0</v>
      </c>
      <c r="AO126" s="111">
        <v>0</v>
      </c>
      <c r="AP126" s="111">
        <v>0</v>
      </c>
      <c r="AQ126" s="111">
        <v>0</v>
      </c>
      <c r="AR126" s="111">
        <v>0</v>
      </c>
      <c r="AS126" s="111">
        <v>0</v>
      </c>
      <c r="AT126" s="111">
        <v>0</v>
      </c>
      <c r="AU126" s="111">
        <v>0</v>
      </c>
      <c r="AV126" s="111">
        <v>0</v>
      </c>
      <c r="AW126" s="111">
        <v>0</v>
      </c>
      <c r="AX126" s="111">
        <v>0</v>
      </c>
      <c r="AY126" s="111">
        <v>0</v>
      </c>
    </row>
    <row r="127" spans="1:52" x14ac:dyDescent="0.2">
      <c r="A127" s="114"/>
      <c r="B127" s="124">
        <v>6</v>
      </c>
      <c r="C127" s="111">
        <v>0</v>
      </c>
      <c r="D127" s="111">
        <v>0</v>
      </c>
      <c r="E127" s="111">
        <v>0</v>
      </c>
      <c r="F127" s="111">
        <v>0</v>
      </c>
      <c r="G127" s="111">
        <v>0</v>
      </c>
      <c r="H127" s="111">
        <v>0</v>
      </c>
      <c r="I127" s="111">
        <v>0</v>
      </c>
      <c r="J127" s="111">
        <v>0</v>
      </c>
      <c r="K127" s="111">
        <v>0</v>
      </c>
      <c r="L127" s="111">
        <v>0</v>
      </c>
      <c r="M127" s="111">
        <v>0</v>
      </c>
      <c r="N127" s="111">
        <v>0</v>
      </c>
      <c r="O127" s="111">
        <v>0</v>
      </c>
      <c r="P127" s="111">
        <v>0</v>
      </c>
      <c r="Q127" s="111">
        <v>0</v>
      </c>
      <c r="R127" s="111">
        <v>0</v>
      </c>
      <c r="S127" s="111">
        <v>0</v>
      </c>
      <c r="T127" s="111">
        <v>0</v>
      </c>
      <c r="U127" s="111">
        <v>0</v>
      </c>
      <c r="V127" s="111">
        <v>0</v>
      </c>
      <c r="W127" s="111">
        <v>0</v>
      </c>
      <c r="X127" s="111">
        <v>0</v>
      </c>
      <c r="Y127" s="111">
        <v>0</v>
      </c>
      <c r="Z127" s="111">
        <v>0</v>
      </c>
      <c r="AA127" s="111">
        <v>0</v>
      </c>
      <c r="AB127" s="111">
        <v>0</v>
      </c>
      <c r="AC127" s="111">
        <v>0</v>
      </c>
      <c r="AD127" s="111">
        <v>0</v>
      </c>
      <c r="AE127" s="111">
        <v>0</v>
      </c>
      <c r="AF127" s="111">
        <v>0</v>
      </c>
      <c r="AG127" s="111">
        <v>0</v>
      </c>
      <c r="AH127" s="111">
        <v>0</v>
      </c>
      <c r="AI127" s="111">
        <v>0</v>
      </c>
      <c r="AJ127" s="111">
        <v>0</v>
      </c>
      <c r="AK127" s="111">
        <v>0</v>
      </c>
      <c r="AL127" s="111">
        <v>0</v>
      </c>
      <c r="AM127" s="111">
        <v>0</v>
      </c>
      <c r="AN127" s="111">
        <v>0</v>
      </c>
      <c r="AO127" s="111">
        <v>0</v>
      </c>
      <c r="AP127" s="111">
        <v>0</v>
      </c>
      <c r="AQ127" s="111">
        <v>0</v>
      </c>
      <c r="AR127" s="111">
        <v>0</v>
      </c>
      <c r="AS127" s="111">
        <v>0</v>
      </c>
      <c r="AT127" s="111">
        <v>0</v>
      </c>
      <c r="AU127" s="111">
        <v>0</v>
      </c>
      <c r="AV127" s="111">
        <v>0</v>
      </c>
      <c r="AW127" s="111">
        <v>0</v>
      </c>
      <c r="AX127" s="111">
        <v>0</v>
      </c>
      <c r="AY127" s="111">
        <v>0</v>
      </c>
    </row>
    <row r="128" spans="1:52" x14ac:dyDescent="0.2">
      <c r="A128" s="114"/>
      <c r="B128" s="124">
        <v>7</v>
      </c>
      <c r="C128" s="111">
        <v>0</v>
      </c>
      <c r="D128" s="111">
        <v>0</v>
      </c>
      <c r="E128" s="111">
        <v>0</v>
      </c>
      <c r="F128" s="111">
        <v>0</v>
      </c>
      <c r="G128" s="111">
        <v>0</v>
      </c>
      <c r="H128" s="111">
        <v>0</v>
      </c>
      <c r="I128" s="111">
        <v>0</v>
      </c>
      <c r="J128" s="111">
        <v>0</v>
      </c>
      <c r="K128" s="111">
        <v>0</v>
      </c>
      <c r="L128" s="111">
        <v>0</v>
      </c>
      <c r="M128" s="111">
        <v>0</v>
      </c>
      <c r="N128" s="111">
        <v>0</v>
      </c>
      <c r="O128" s="111">
        <v>0</v>
      </c>
      <c r="P128" s="111">
        <v>0</v>
      </c>
      <c r="Q128" s="111">
        <v>0</v>
      </c>
      <c r="R128" s="111">
        <v>0</v>
      </c>
      <c r="S128" s="111">
        <v>0</v>
      </c>
      <c r="T128" s="111">
        <v>0</v>
      </c>
      <c r="U128" s="111">
        <v>0</v>
      </c>
      <c r="V128" s="111">
        <v>0</v>
      </c>
      <c r="W128" s="111">
        <v>0</v>
      </c>
      <c r="X128" s="111">
        <v>0</v>
      </c>
      <c r="Y128" s="111">
        <v>0</v>
      </c>
      <c r="Z128" s="111">
        <v>0</v>
      </c>
      <c r="AA128" s="111">
        <v>0</v>
      </c>
      <c r="AB128" s="111">
        <v>0</v>
      </c>
      <c r="AC128" s="111">
        <v>0</v>
      </c>
      <c r="AD128" s="111">
        <v>0</v>
      </c>
      <c r="AE128" s="111">
        <v>0</v>
      </c>
      <c r="AF128" s="111">
        <v>0</v>
      </c>
      <c r="AG128" s="111">
        <v>0</v>
      </c>
      <c r="AH128" s="111">
        <v>0</v>
      </c>
      <c r="AI128" s="111">
        <v>0</v>
      </c>
      <c r="AJ128" s="111">
        <v>0</v>
      </c>
      <c r="AK128" s="111">
        <v>0</v>
      </c>
      <c r="AL128" s="111">
        <v>0</v>
      </c>
      <c r="AM128" s="111">
        <v>0</v>
      </c>
      <c r="AN128" s="111">
        <v>0</v>
      </c>
      <c r="AO128" s="111">
        <v>0</v>
      </c>
      <c r="AP128" s="111">
        <v>0</v>
      </c>
      <c r="AQ128" s="111">
        <v>0</v>
      </c>
      <c r="AR128" s="111">
        <v>0</v>
      </c>
      <c r="AS128" s="111">
        <v>0</v>
      </c>
      <c r="AT128" s="111">
        <v>0</v>
      </c>
      <c r="AU128" s="111">
        <v>0</v>
      </c>
      <c r="AV128" s="111">
        <v>0</v>
      </c>
      <c r="AW128" s="111">
        <v>0</v>
      </c>
      <c r="AX128" s="111">
        <v>0</v>
      </c>
      <c r="AY128" s="111">
        <v>0</v>
      </c>
    </row>
    <row r="129" spans="1:51" x14ac:dyDescent="0.2">
      <c r="A129" s="114"/>
      <c r="B129" s="124">
        <v>8</v>
      </c>
      <c r="C129" s="111">
        <v>0</v>
      </c>
      <c r="D129" s="111">
        <v>0</v>
      </c>
      <c r="E129" s="111">
        <v>0</v>
      </c>
      <c r="F129" s="111">
        <v>0</v>
      </c>
      <c r="G129" s="111">
        <v>0</v>
      </c>
      <c r="H129" s="111">
        <v>0</v>
      </c>
      <c r="I129" s="111">
        <v>0</v>
      </c>
      <c r="J129" s="111">
        <v>0</v>
      </c>
      <c r="K129" s="111">
        <v>0</v>
      </c>
      <c r="L129" s="111">
        <v>0</v>
      </c>
      <c r="M129" s="111">
        <v>0</v>
      </c>
      <c r="N129" s="111">
        <v>0</v>
      </c>
      <c r="O129" s="111">
        <v>0</v>
      </c>
      <c r="P129" s="111">
        <v>0</v>
      </c>
      <c r="Q129" s="111">
        <v>0</v>
      </c>
      <c r="R129" s="111">
        <v>0</v>
      </c>
      <c r="S129" s="111">
        <v>0</v>
      </c>
      <c r="T129" s="111">
        <v>0</v>
      </c>
      <c r="U129" s="111">
        <v>0</v>
      </c>
      <c r="V129" s="111">
        <v>0</v>
      </c>
      <c r="W129" s="111">
        <v>0</v>
      </c>
      <c r="X129" s="111">
        <v>0</v>
      </c>
      <c r="Y129" s="111">
        <v>0</v>
      </c>
      <c r="Z129" s="111">
        <v>0</v>
      </c>
      <c r="AA129" s="111">
        <v>0</v>
      </c>
      <c r="AB129" s="111">
        <v>0</v>
      </c>
      <c r="AC129" s="111">
        <v>0</v>
      </c>
      <c r="AD129" s="111">
        <v>0</v>
      </c>
      <c r="AE129" s="111">
        <v>0</v>
      </c>
      <c r="AF129" s="111">
        <v>0</v>
      </c>
      <c r="AG129" s="111">
        <v>0</v>
      </c>
      <c r="AH129" s="111">
        <v>0</v>
      </c>
      <c r="AI129" s="111">
        <v>0</v>
      </c>
      <c r="AJ129" s="111">
        <v>0</v>
      </c>
      <c r="AK129" s="111">
        <v>0</v>
      </c>
      <c r="AL129" s="111">
        <v>0</v>
      </c>
      <c r="AM129" s="111">
        <v>0</v>
      </c>
      <c r="AN129" s="111">
        <v>0</v>
      </c>
      <c r="AO129" s="111">
        <v>0</v>
      </c>
      <c r="AP129" s="111">
        <v>0</v>
      </c>
      <c r="AQ129" s="111">
        <v>0</v>
      </c>
      <c r="AR129" s="111">
        <v>0</v>
      </c>
      <c r="AS129" s="111">
        <v>0</v>
      </c>
      <c r="AT129" s="111">
        <v>0</v>
      </c>
      <c r="AU129" s="111">
        <v>0</v>
      </c>
      <c r="AV129" s="111">
        <v>0</v>
      </c>
      <c r="AW129" s="111">
        <v>0</v>
      </c>
      <c r="AX129" s="111">
        <v>0</v>
      </c>
      <c r="AY129" s="111">
        <v>0</v>
      </c>
    </row>
    <row r="130" spans="1:51" x14ac:dyDescent="0.2">
      <c r="A130" s="114"/>
      <c r="B130" s="124">
        <v>9</v>
      </c>
      <c r="C130" s="111">
        <v>0</v>
      </c>
      <c r="D130" s="111">
        <v>0</v>
      </c>
      <c r="E130" s="111">
        <v>0</v>
      </c>
      <c r="F130" s="111">
        <v>0</v>
      </c>
      <c r="G130" s="111">
        <v>0</v>
      </c>
      <c r="H130" s="111">
        <v>0</v>
      </c>
      <c r="I130" s="111">
        <v>0</v>
      </c>
      <c r="J130" s="111">
        <v>0</v>
      </c>
      <c r="K130" s="111">
        <v>0</v>
      </c>
      <c r="L130" s="111">
        <v>0</v>
      </c>
      <c r="M130" s="111">
        <v>0</v>
      </c>
      <c r="N130" s="111">
        <v>0</v>
      </c>
      <c r="O130" s="111">
        <v>0</v>
      </c>
      <c r="P130" s="111">
        <v>0</v>
      </c>
      <c r="Q130" s="111">
        <v>0</v>
      </c>
      <c r="R130" s="111">
        <v>0</v>
      </c>
      <c r="S130" s="111">
        <v>0</v>
      </c>
      <c r="T130" s="111">
        <v>0</v>
      </c>
      <c r="U130" s="111">
        <v>0</v>
      </c>
      <c r="V130" s="111">
        <v>0</v>
      </c>
      <c r="W130" s="111">
        <v>0</v>
      </c>
      <c r="X130" s="111">
        <v>0</v>
      </c>
      <c r="Y130" s="111">
        <v>0</v>
      </c>
      <c r="Z130" s="111">
        <v>0</v>
      </c>
      <c r="AA130" s="111">
        <v>0</v>
      </c>
      <c r="AB130" s="111">
        <v>0</v>
      </c>
      <c r="AC130" s="111">
        <v>0</v>
      </c>
      <c r="AD130" s="111">
        <v>0</v>
      </c>
      <c r="AE130" s="111">
        <v>0</v>
      </c>
      <c r="AF130" s="111">
        <v>0</v>
      </c>
      <c r="AG130" s="111">
        <v>0</v>
      </c>
      <c r="AH130" s="111">
        <v>0</v>
      </c>
      <c r="AI130" s="111">
        <v>0</v>
      </c>
      <c r="AJ130" s="111">
        <v>0</v>
      </c>
      <c r="AK130" s="111">
        <v>0</v>
      </c>
      <c r="AL130" s="111">
        <v>0</v>
      </c>
      <c r="AM130" s="111">
        <v>0</v>
      </c>
      <c r="AN130" s="111">
        <v>0</v>
      </c>
      <c r="AO130" s="111">
        <v>0</v>
      </c>
      <c r="AP130" s="111">
        <v>0</v>
      </c>
      <c r="AQ130" s="111">
        <v>0</v>
      </c>
      <c r="AR130" s="111">
        <v>0</v>
      </c>
      <c r="AS130" s="111">
        <v>0</v>
      </c>
      <c r="AT130" s="111">
        <v>0</v>
      </c>
      <c r="AU130" s="111">
        <v>0</v>
      </c>
      <c r="AV130" s="111">
        <v>0</v>
      </c>
      <c r="AW130" s="111">
        <v>0</v>
      </c>
      <c r="AX130" s="111">
        <v>0</v>
      </c>
      <c r="AY130" s="111">
        <v>0</v>
      </c>
    </row>
    <row r="131" spans="1:51" x14ac:dyDescent="0.2">
      <c r="A131" s="114"/>
      <c r="B131" s="124">
        <v>10</v>
      </c>
      <c r="C131" s="111">
        <v>0</v>
      </c>
      <c r="D131" s="111">
        <v>0</v>
      </c>
      <c r="E131" s="111">
        <v>0</v>
      </c>
      <c r="F131" s="111">
        <v>0</v>
      </c>
      <c r="G131" s="111">
        <v>0</v>
      </c>
      <c r="H131" s="111">
        <v>0</v>
      </c>
      <c r="I131" s="111">
        <v>0</v>
      </c>
      <c r="J131" s="111">
        <v>0</v>
      </c>
      <c r="K131" s="111">
        <v>0</v>
      </c>
      <c r="L131" s="111">
        <v>0</v>
      </c>
      <c r="M131" s="111">
        <v>0</v>
      </c>
      <c r="N131" s="111">
        <v>0</v>
      </c>
      <c r="O131" s="111">
        <v>0</v>
      </c>
      <c r="P131" s="111">
        <v>0</v>
      </c>
      <c r="Q131" s="111">
        <v>0</v>
      </c>
      <c r="R131" s="111">
        <v>0</v>
      </c>
      <c r="S131" s="111">
        <v>0</v>
      </c>
      <c r="T131" s="111">
        <v>0</v>
      </c>
      <c r="U131" s="111">
        <v>0</v>
      </c>
      <c r="V131" s="111">
        <v>0</v>
      </c>
      <c r="W131" s="111">
        <v>0</v>
      </c>
      <c r="X131" s="111">
        <v>0</v>
      </c>
      <c r="Y131" s="111">
        <v>0</v>
      </c>
      <c r="Z131" s="111">
        <v>0</v>
      </c>
      <c r="AA131" s="111">
        <v>0</v>
      </c>
      <c r="AB131" s="111">
        <v>0</v>
      </c>
      <c r="AC131" s="111">
        <v>0</v>
      </c>
      <c r="AD131" s="111">
        <v>0</v>
      </c>
      <c r="AE131" s="111">
        <v>0</v>
      </c>
      <c r="AF131" s="111">
        <v>0</v>
      </c>
      <c r="AG131" s="111">
        <v>0</v>
      </c>
      <c r="AH131" s="111">
        <v>0</v>
      </c>
      <c r="AI131" s="111">
        <v>0</v>
      </c>
      <c r="AJ131" s="111">
        <v>0</v>
      </c>
      <c r="AK131" s="111">
        <v>0</v>
      </c>
      <c r="AL131" s="111">
        <v>0</v>
      </c>
      <c r="AM131" s="111">
        <v>0</v>
      </c>
      <c r="AN131" s="111">
        <v>0</v>
      </c>
      <c r="AO131" s="111">
        <v>0</v>
      </c>
      <c r="AP131" s="111">
        <v>0</v>
      </c>
      <c r="AQ131" s="111">
        <v>0</v>
      </c>
      <c r="AR131" s="111">
        <v>0</v>
      </c>
      <c r="AS131" s="111">
        <v>0</v>
      </c>
      <c r="AT131" s="111">
        <v>0</v>
      </c>
      <c r="AU131" s="111">
        <v>0</v>
      </c>
      <c r="AV131" s="111">
        <v>0</v>
      </c>
      <c r="AW131" s="111">
        <v>0</v>
      </c>
      <c r="AX131" s="111">
        <v>0</v>
      </c>
      <c r="AY131" s="111">
        <v>0</v>
      </c>
    </row>
    <row r="132" spans="1:51" x14ac:dyDescent="0.2">
      <c r="A132" s="114"/>
      <c r="B132" s="124">
        <v>11</v>
      </c>
      <c r="C132" s="111">
        <v>0</v>
      </c>
      <c r="D132" s="111">
        <v>0</v>
      </c>
      <c r="E132" s="111">
        <v>0</v>
      </c>
      <c r="F132" s="111">
        <v>0</v>
      </c>
      <c r="G132" s="111">
        <v>0</v>
      </c>
      <c r="H132" s="111">
        <v>0</v>
      </c>
      <c r="I132" s="111">
        <v>0</v>
      </c>
      <c r="J132" s="111">
        <v>0</v>
      </c>
      <c r="K132" s="111">
        <v>0</v>
      </c>
      <c r="L132" s="111">
        <v>0</v>
      </c>
      <c r="M132" s="111">
        <v>0</v>
      </c>
      <c r="N132" s="111">
        <v>0</v>
      </c>
      <c r="O132" s="111">
        <v>0</v>
      </c>
      <c r="P132" s="111">
        <v>0</v>
      </c>
      <c r="Q132" s="111">
        <v>0</v>
      </c>
      <c r="R132" s="111">
        <v>0</v>
      </c>
      <c r="S132" s="111">
        <v>0</v>
      </c>
      <c r="T132" s="111">
        <v>0</v>
      </c>
      <c r="U132" s="111">
        <v>0</v>
      </c>
      <c r="V132" s="111">
        <v>0</v>
      </c>
      <c r="W132" s="111">
        <v>0</v>
      </c>
      <c r="X132" s="111">
        <v>0</v>
      </c>
      <c r="Y132" s="111">
        <v>0</v>
      </c>
      <c r="Z132" s="111">
        <v>0</v>
      </c>
      <c r="AA132" s="111">
        <v>0</v>
      </c>
      <c r="AB132" s="111">
        <v>0</v>
      </c>
      <c r="AC132" s="111">
        <v>0</v>
      </c>
      <c r="AD132" s="111">
        <v>0</v>
      </c>
      <c r="AE132" s="111">
        <v>0</v>
      </c>
      <c r="AF132" s="111">
        <v>0</v>
      </c>
      <c r="AG132" s="111">
        <v>0</v>
      </c>
      <c r="AH132" s="111">
        <v>0</v>
      </c>
      <c r="AI132" s="111">
        <v>0</v>
      </c>
      <c r="AJ132" s="111">
        <v>0</v>
      </c>
      <c r="AK132" s="111">
        <v>0</v>
      </c>
      <c r="AL132" s="111">
        <v>0</v>
      </c>
      <c r="AM132" s="111">
        <v>0</v>
      </c>
      <c r="AN132" s="111">
        <v>0</v>
      </c>
      <c r="AO132" s="111">
        <v>0</v>
      </c>
      <c r="AP132" s="111">
        <v>0</v>
      </c>
      <c r="AQ132" s="111">
        <v>0</v>
      </c>
      <c r="AR132" s="111">
        <v>0</v>
      </c>
      <c r="AS132" s="111">
        <v>0</v>
      </c>
      <c r="AT132" s="111">
        <v>0</v>
      </c>
      <c r="AU132" s="111">
        <v>0</v>
      </c>
      <c r="AV132" s="111">
        <v>0</v>
      </c>
      <c r="AW132" s="111">
        <v>0</v>
      </c>
      <c r="AX132" s="111">
        <v>0</v>
      </c>
      <c r="AY132" s="111">
        <v>0</v>
      </c>
    </row>
    <row r="133" spans="1:51" x14ac:dyDescent="0.2">
      <c r="A133" s="114"/>
      <c r="B133" s="124">
        <v>12</v>
      </c>
      <c r="C133" s="111">
        <v>0</v>
      </c>
      <c r="D133" s="111">
        <v>0</v>
      </c>
      <c r="E133" s="111">
        <v>0</v>
      </c>
      <c r="F133" s="111">
        <v>0</v>
      </c>
      <c r="G133" s="111">
        <v>0</v>
      </c>
      <c r="H133" s="111">
        <v>0</v>
      </c>
      <c r="I133" s="111">
        <v>0</v>
      </c>
      <c r="J133" s="111">
        <v>0</v>
      </c>
      <c r="K133" s="111">
        <v>0</v>
      </c>
      <c r="L133" s="111">
        <v>0</v>
      </c>
      <c r="M133" s="111">
        <v>0</v>
      </c>
      <c r="N133" s="111">
        <v>0</v>
      </c>
      <c r="O133" s="111">
        <v>0</v>
      </c>
      <c r="P133" s="111">
        <v>0</v>
      </c>
      <c r="Q133" s="111">
        <v>0</v>
      </c>
      <c r="R133" s="111">
        <v>0</v>
      </c>
      <c r="S133" s="111">
        <v>0</v>
      </c>
      <c r="T133" s="111">
        <v>0</v>
      </c>
      <c r="U133" s="111">
        <v>0</v>
      </c>
      <c r="V133" s="111">
        <v>0</v>
      </c>
      <c r="W133" s="111">
        <v>0</v>
      </c>
      <c r="X133" s="111">
        <v>0</v>
      </c>
      <c r="Y133" s="111">
        <v>0</v>
      </c>
      <c r="Z133" s="111">
        <v>0</v>
      </c>
      <c r="AA133" s="111">
        <v>0</v>
      </c>
      <c r="AB133" s="111">
        <v>0</v>
      </c>
      <c r="AC133" s="111">
        <v>0</v>
      </c>
      <c r="AD133" s="111">
        <v>0</v>
      </c>
      <c r="AE133" s="111">
        <v>0</v>
      </c>
      <c r="AF133" s="111">
        <v>0</v>
      </c>
      <c r="AG133" s="111">
        <v>0</v>
      </c>
      <c r="AH133" s="111">
        <v>0</v>
      </c>
      <c r="AI133" s="111">
        <v>0</v>
      </c>
      <c r="AJ133" s="111">
        <v>0</v>
      </c>
      <c r="AK133" s="111">
        <v>0</v>
      </c>
      <c r="AL133" s="111">
        <v>0</v>
      </c>
      <c r="AM133" s="111">
        <v>0</v>
      </c>
      <c r="AN133" s="111">
        <v>0</v>
      </c>
      <c r="AO133" s="111">
        <v>0</v>
      </c>
      <c r="AP133" s="111">
        <v>0</v>
      </c>
      <c r="AQ133" s="111">
        <v>0</v>
      </c>
      <c r="AR133" s="111">
        <v>0</v>
      </c>
      <c r="AS133" s="111">
        <v>0</v>
      </c>
      <c r="AT133" s="111">
        <v>0</v>
      </c>
      <c r="AU133" s="111">
        <v>0</v>
      </c>
      <c r="AV133" s="111">
        <v>0</v>
      </c>
      <c r="AW133" s="111">
        <v>0</v>
      </c>
      <c r="AX133" s="111">
        <v>0</v>
      </c>
      <c r="AY133" s="111">
        <v>0</v>
      </c>
    </row>
    <row r="134" spans="1:51" x14ac:dyDescent="0.2">
      <c r="A134" s="114"/>
      <c r="B134" s="125">
        <v>13</v>
      </c>
      <c r="C134" s="111">
        <v>0</v>
      </c>
      <c r="D134" s="111">
        <v>0</v>
      </c>
      <c r="E134" s="111">
        <v>0</v>
      </c>
      <c r="F134" s="111">
        <v>0</v>
      </c>
      <c r="G134" s="111">
        <v>0</v>
      </c>
      <c r="H134" s="111">
        <v>0</v>
      </c>
      <c r="I134" s="111">
        <v>0</v>
      </c>
      <c r="J134" s="111">
        <v>0</v>
      </c>
      <c r="K134" s="111">
        <v>0</v>
      </c>
      <c r="L134" s="111">
        <v>0</v>
      </c>
      <c r="M134" s="111">
        <v>0</v>
      </c>
      <c r="N134" s="111">
        <v>0</v>
      </c>
      <c r="O134" s="111">
        <v>0</v>
      </c>
      <c r="P134" s="111">
        <v>0</v>
      </c>
      <c r="Q134" s="111">
        <v>0</v>
      </c>
      <c r="R134" s="111">
        <v>0</v>
      </c>
      <c r="S134" s="111">
        <v>0</v>
      </c>
      <c r="T134" s="111">
        <v>0</v>
      </c>
      <c r="U134" s="111">
        <v>0</v>
      </c>
      <c r="V134" s="111">
        <v>0</v>
      </c>
      <c r="W134" s="111">
        <v>0</v>
      </c>
      <c r="X134" s="111">
        <v>0</v>
      </c>
      <c r="Y134" s="111">
        <v>0</v>
      </c>
      <c r="Z134" s="111">
        <v>0</v>
      </c>
      <c r="AA134" s="111">
        <v>0</v>
      </c>
      <c r="AB134" s="111">
        <v>0</v>
      </c>
      <c r="AC134" s="111">
        <v>0</v>
      </c>
      <c r="AD134" s="111">
        <v>0</v>
      </c>
      <c r="AE134" s="111">
        <v>0</v>
      </c>
      <c r="AF134" s="111">
        <v>0</v>
      </c>
      <c r="AG134" s="111">
        <v>0</v>
      </c>
      <c r="AH134" s="111">
        <v>0</v>
      </c>
      <c r="AI134" s="111">
        <v>0</v>
      </c>
      <c r="AJ134" s="111">
        <v>0</v>
      </c>
      <c r="AK134" s="111">
        <v>0</v>
      </c>
      <c r="AL134" s="111">
        <v>0</v>
      </c>
      <c r="AM134" s="111">
        <v>0</v>
      </c>
      <c r="AN134" s="111">
        <v>0</v>
      </c>
      <c r="AO134" s="111">
        <v>0</v>
      </c>
      <c r="AP134" s="111">
        <v>0</v>
      </c>
      <c r="AQ134" s="111">
        <v>0</v>
      </c>
      <c r="AR134" s="111">
        <v>0</v>
      </c>
      <c r="AS134" s="111">
        <v>0</v>
      </c>
      <c r="AT134" s="111">
        <v>0</v>
      </c>
      <c r="AU134" s="111">
        <v>0</v>
      </c>
      <c r="AV134" s="111">
        <v>0</v>
      </c>
      <c r="AW134" s="111">
        <v>0</v>
      </c>
      <c r="AX134" s="111">
        <v>0</v>
      </c>
      <c r="AY134" s="111">
        <v>0</v>
      </c>
    </row>
    <row r="135" spans="1:51" x14ac:dyDescent="0.2">
      <c r="A135" s="114"/>
      <c r="B135" s="125">
        <v>14</v>
      </c>
      <c r="C135" s="111">
        <v>0</v>
      </c>
      <c r="D135" s="111">
        <v>0</v>
      </c>
      <c r="E135" s="111">
        <v>0</v>
      </c>
      <c r="F135" s="111">
        <v>0</v>
      </c>
      <c r="G135" s="111">
        <v>0</v>
      </c>
      <c r="H135" s="111">
        <v>0</v>
      </c>
      <c r="I135" s="111">
        <v>0</v>
      </c>
      <c r="J135" s="111">
        <v>0</v>
      </c>
      <c r="K135" s="111">
        <v>0</v>
      </c>
      <c r="L135" s="111">
        <v>0</v>
      </c>
      <c r="M135" s="111">
        <v>0</v>
      </c>
      <c r="N135" s="111">
        <v>0</v>
      </c>
      <c r="O135" s="111">
        <v>0</v>
      </c>
      <c r="P135" s="111">
        <v>0</v>
      </c>
      <c r="Q135" s="111">
        <v>0</v>
      </c>
      <c r="R135" s="111">
        <v>0</v>
      </c>
      <c r="S135" s="111">
        <v>0</v>
      </c>
      <c r="T135" s="111">
        <v>0</v>
      </c>
      <c r="U135" s="111">
        <v>0</v>
      </c>
      <c r="V135" s="111">
        <v>0</v>
      </c>
      <c r="W135" s="111">
        <v>0</v>
      </c>
      <c r="X135" s="111">
        <v>0</v>
      </c>
      <c r="Y135" s="111">
        <v>0</v>
      </c>
      <c r="Z135" s="111">
        <v>0</v>
      </c>
      <c r="AA135" s="111">
        <v>0</v>
      </c>
      <c r="AB135" s="111">
        <v>0</v>
      </c>
      <c r="AC135" s="111">
        <v>0</v>
      </c>
      <c r="AD135" s="111">
        <v>0</v>
      </c>
      <c r="AE135" s="111">
        <v>0</v>
      </c>
      <c r="AF135" s="111">
        <v>0</v>
      </c>
      <c r="AG135" s="111">
        <v>0</v>
      </c>
      <c r="AH135" s="111">
        <v>0</v>
      </c>
      <c r="AI135" s="111">
        <v>0</v>
      </c>
      <c r="AJ135" s="111">
        <v>0</v>
      </c>
      <c r="AK135" s="111">
        <v>0</v>
      </c>
      <c r="AL135" s="111">
        <v>0</v>
      </c>
      <c r="AM135" s="111">
        <v>0</v>
      </c>
      <c r="AN135" s="111">
        <v>0</v>
      </c>
      <c r="AO135" s="111">
        <v>0</v>
      </c>
      <c r="AP135" s="111">
        <v>0</v>
      </c>
      <c r="AQ135" s="111">
        <v>0</v>
      </c>
      <c r="AR135" s="111">
        <v>0</v>
      </c>
      <c r="AS135" s="111">
        <v>0</v>
      </c>
      <c r="AT135" s="111">
        <v>0</v>
      </c>
      <c r="AU135" s="111">
        <v>0</v>
      </c>
      <c r="AV135" s="111">
        <v>0</v>
      </c>
      <c r="AW135" s="111">
        <v>0</v>
      </c>
      <c r="AX135" s="111">
        <v>0</v>
      </c>
      <c r="AY135" s="111">
        <v>0</v>
      </c>
    </row>
    <row r="136" spans="1:51" x14ac:dyDescent="0.2">
      <c r="A136" s="114"/>
      <c r="B136" s="125">
        <v>15</v>
      </c>
      <c r="C136" s="111">
        <v>0</v>
      </c>
      <c r="D136" s="111">
        <v>0</v>
      </c>
      <c r="E136" s="111">
        <v>0</v>
      </c>
      <c r="F136" s="111">
        <v>0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0</v>
      </c>
      <c r="M136" s="111">
        <v>0</v>
      </c>
      <c r="N136" s="111">
        <v>0</v>
      </c>
      <c r="O136" s="111">
        <v>0</v>
      </c>
      <c r="P136" s="111">
        <v>0</v>
      </c>
      <c r="Q136" s="111">
        <v>0</v>
      </c>
      <c r="R136" s="111">
        <v>0</v>
      </c>
      <c r="S136" s="111">
        <v>0</v>
      </c>
      <c r="T136" s="111">
        <v>0</v>
      </c>
      <c r="U136" s="111">
        <v>0</v>
      </c>
      <c r="V136" s="111">
        <v>0</v>
      </c>
      <c r="W136" s="111">
        <v>0</v>
      </c>
      <c r="X136" s="111">
        <v>0</v>
      </c>
      <c r="Y136" s="111">
        <v>0</v>
      </c>
      <c r="Z136" s="111">
        <v>0</v>
      </c>
      <c r="AA136" s="111">
        <v>0</v>
      </c>
      <c r="AB136" s="111">
        <v>0</v>
      </c>
      <c r="AC136" s="111">
        <v>0</v>
      </c>
      <c r="AD136" s="111">
        <v>0</v>
      </c>
      <c r="AE136" s="111">
        <v>0</v>
      </c>
      <c r="AF136" s="111">
        <v>0</v>
      </c>
      <c r="AG136" s="111">
        <v>0</v>
      </c>
      <c r="AH136" s="111">
        <v>0</v>
      </c>
      <c r="AI136" s="111">
        <v>0</v>
      </c>
      <c r="AJ136" s="111">
        <v>0</v>
      </c>
      <c r="AK136" s="111">
        <v>0</v>
      </c>
      <c r="AL136" s="111">
        <v>0</v>
      </c>
      <c r="AM136" s="111">
        <v>0</v>
      </c>
      <c r="AN136" s="111">
        <v>0</v>
      </c>
      <c r="AO136" s="111">
        <v>0</v>
      </c>
      <c r="AP136" s="111">
        <v>0</v>
      </c>
      <c r="AQ136" s="111">
        <v>0</v>
      </c>
      <c r="AR136" s="111">
        <v>0</v>
      </c>
      <c r="AS136" s="111">
        <v>0</v>
      </c>
      <c r="AT136" s="111">
        <v>0</v>
      </c>
      <c r="AU136" s="111">
        <v>0</v>
      </c>
      <c r="AV136" s="111">
        <v>0</v>
      </c>
      <c r="AW136" s="111">
        <v>0</v>
      </c>
      <c r="AX136" s="111">
        <v>0</v>
      </c>
      <c r="AY136" s="111">
        <v>0</v>
      </c>
    </row>
    <row r="137" spans="1:51" x14ac:dyDescent="0.2">
      <c r="A137" s="114"/>
      <c r="B137" s="125">
        <v>16</v>
      </c>
      <c r="C137" s="111">
        <v>0</v>
      </c>
      <c r="D137" s="111">
        <v>0</v>
      </c>
      <c r="E137" s="111">
        <v>0</v>
      </c>
      <c r="F137" s="111">
        <v>0</v>
      </c>
      <c r="G137" s="111">
        <v>0</v>
      </c>
      <c r="H137" s="111">
        <v>0</v>
      </c>
      <c r="I137" s="111">
        <v>0</v>
      </c>
      <c r="J137" s="111">
        <v>0</v>
      </c>
      <c r="K137" s="111">
        <v>0</v>
      </c>
      <c r="L137" s="111">
        <v>0</v>
      </c>
      <c r="M137" s="111">
        <v>0</v>
      </c>
      <c r="N137" s="111">
        <v>0</v>
      </c>
      <c r="O137" s="111">
        <v>0</v>
      </c>
      <c r="P137" s="111">
        <v>0</v>
      </c>
      <c r="Q137" s="111">
        <v>0</v>
      </c>
      <c r="R137" s="111">
        <v>0</v>
      </c>
      <c r="S137" s="111">
        <v>0</v>
      </c>
      <c r="T137" s="111">
        <v>0</v>
      </c>
      <c r="U137" s="111">
        <v>0</v>
      </c>
      <c r="V137" s="111">
        <v>0</v>
      </c>
      <c r="W137" s="111">
        <v>0</v>
      </c>
      <c r="X137" s="111">
        <v>0</v>
      </c>
      <c r="Y137" s="111">
        <v>0</v>
      </c>
      <c r="Z137" s="111">
        <v>0</v>
      </c>
      <c r="AA137" s="111">
        <v>0</v>
      </c>
      <c r="AB137" s="111">
        <v>0</v>
      </c>
      <c r="AC137" s="111">
        <v>0</v>
      </c>
      <c r="AD137" s="111">
        <v>0</v>
      </c>
      <c r="AE137" s="111">
        <v>0</v>
      </c>
      <c r="AF137" s="111">
        <v>0</v>
      </c>
      <c r="AG137" s="111">
        <v>0</v>
      </c>
      <c r="AH137" s="111">
        <v>0</v>
      </c>
      <c r="AI137" s="111">
        <v>0</v>
      </c>
      <c r="AJ137" s="111">
        <v>0</v>
      </c>
      <c r="AK137" s="111">
        <v>0</v>
      </c>
      <c r="AL137" s="111">
        <v>0</v>
      </c>
      <c r="AM137" s="111">
        <v>0</v>
      </c>
      <c r="AN137" s="111">
        <v>0</v>
      </c>
      <c r="AO137" s="111">
        <v>0</v>
      </c>
      <c r="AP137" s="111">
        <v>0</v>
      </c>
      <c r="AQ137" s="111">
        <v>0</v>
      </c>
      <c r="AR137" s="111">
        <v>0</v>
      </c>
      <c r="AS137" s="111">
        <v>0</v>
      </c>
      <c r="AT137" s="111">
        <v>0</v>
      </c>
      <c r="AU137" s="111">
        <v>0</v>
      </c>
      <c r="AV137" s="111">
        <v>0</v>
      </c>
      <c r="AW137" s="111">
        <v>0</v>
      </c>
      <c r="AX137" s="111">
        <v>0</v>
      </c>
      <c r="AY137" s="111">
        <v>0</v>
      </c>
    </row>
    <row r="138" spans="1:51" x14ac:dyDescent="0.2">
      <c r="A138" s="114"/>
      <c r="B138" s="125">
        <v>17</v>
      </c>
      <c r="C138" s="111">
        <v>0</v>
      </c>
      <c r="D138" s="111">
        <v>0</v>
      </c>
      <c r="E138" s="111">
        <v>0</v>
      </c>
      <c r="F138" s="111">
        <v>0</v>
      </c>
      <c r="G138" s="111">
        <v>0</v>
      </c>
      <c r="H138" s="111">
        <v>0</v>
      </c>
      <c r="I138" s="111">
        <v>0</v>
      </c>
      <c r="J138" s="111">
        <v>0</v>
      </c>
      <c r="K138" s="111">
        <v>0</v>
      </c>
      <c r="L138" s="111">
        <v>0</v>
      </c>
      <c r="M138" s="111">
        <v>0</v>
      </c>
      <c r="N138" s="111">
        <v>0</v>
      </c>
      <c r="O138" s="111">
        <v>0</v>
      </c>
      <c r="P138" s="111">
        <v>0</v>
      </c>
      <c r="Q138" s="111">
        <v>0</v>
      </c>
      <c r="R138" s="111">
        <v>0</v>
      </c>
      <c r="S138" s="111">
        <v>0</v>
      </c>
      <c r="T138" s="111">
        <v>0</v>
      </c>
      <c r="U138" s="111">
        <v>0</v>
      </c>
      <c r="V138" s="111">
        <v>0</v>
      </c>
      <c r="W138" s="111">
        <v>0</v>
      </c>
      <c r="X138" s="111">
        <v>0</v>
      </c>
      <c r="Y138" s="111">
        <v>0</v>
      </c>
      <c r="Z138" s="111">
        <v>0</v>
      </c>
      <c r="AA138" s="111">
        <v>0</v>
      </c>
      <c r="AB138" s="111">
        <v>0</v>
      </c>
      <c r="AC138" s="111">
        <v>0</v>
      </c>
      <c r="AD138" s="111">
        <v>0</v>
      </c>
      <c r="AE138" s="111">
        <v>0</v>
      </c>
      <c r="AF138" s="111">
        <v>0</v>
      </c>
      <c r="AG138" s="111">
        <v>0</v>
      </c>
      <c r="AH138" s="111">
        <v>0</v>
      </c>
      <c r="AI138" s="111">
        <v>0</v>
      </c>
      <c r="AJ138" s="111">
        <v>0</v>
      </c>
      <c r="AK138" s="111">
        <v>0</v>
      </c>
      <c r="AL138" s="111">
        <v>0</v>
      </c>
      <c r="AM138" s="111">
        <v>0</v>
      </c>
      <c r="AN138" s="111">
        <v>0</v>
      </c>
      <c r="AO138" s="111">
        <v>0</v>
      </c>
      <c r="AP138" s="111">
        <v>0</v>
      </c>
      <c r="AQ138" s="111">
        <v>0</v>
      </c>
      <c r="AR138" s="111">
        <v>0</v>
      </c>
      <c r="AS138" s="111">
        <v>0</v>
      </c>
      <c r="AT138" s="111">
        <v>0</v>
      </c>
      <c r="AU138" s="111">
        <v>0</v>
      </c>
      <c r="AV138" s="111">
        <v>0</v>
      </c>
      <c r="AW138" s="111">
        <v>0</v>
      </c>
      <c r="AX138" s="111">
        <v>0</v>
      </c>
      <c r="AY138" s="111">
        <v>0</v>
      </c>
    </row>
    <row r="139" spans="1:51" x14ac:dyDescent="0.2">
      <c r="A139" s="114"/>
      <c r="B139" s="125">
        <v>18</v>
      </c>
      <c r="C139" s="111">
        <v>0</v>
      </c>
      <c r="D139" s="111">
        <v>0</v>
      </c>
      <c r="E139" s="111">
        <v>0</v>
      </c>
      <c r="F139" s="111">
        <v>0</v>
      </c>
      <c r="G139" s="111">
        <v>0</v>
      </c>
      <c r="H139" s="111">
        <v>0</v>
      </c>
      <c r="I139" s="111">
        <v>0</v>
      </c>
      <c r="J139" s="111">
        <v>0</v>
      </c>
      <c r="K139" s="111">
        <v>0</v>
      </c>
      <c r="L139" s="111">
        <v>0</v>
      </c>
      <c r="M139" s="111">
        <v>0</v>
      </c>
      <c r="N139" s="111">
        <v>0</v>
      </c>
      <c r="O139" s="111">
        <v>0</v>
      </c>
      <c r="P139" s="111">
        <v>0</v>
      </c>
      <c r="Q139" s="111">
        <v>0</v>
      </c>
      <c r="R139" s="111">
        <v>0</v>
      </c>
      <c r="S139" s="111">
        <v>0</v>
      </c>
      <c r="T139" s="111">
        <v>0</v>
      </c>
      <c r="U139" s="111">
        <v>0</v>
      </c>
      <c r="V139" s="111">
        <v>0</v>
      </c>
      <c r="W139" s="111">
        <v>0</v>
      </c>
      <c r="X139" s="111">
        <v>0</v>
      </c>
      <c r="Y139" s="111">
        <v>0</v>
      </c>
      <c r="Z139" s="111">
        <v>0</v>
      </c>
      <c r="AA139" s="111">
        <v>0</v>
      </c>
      <c r="AB139" s="111">
        <v>0</v>
      </c>
      <c r="AC139" s="111">
        <v>0</v>
      </c>
      <c r="AD139" s="111">
        <v>0</v>
      </c>
      <c r="AE139" s="111">
        <v>0</v>
      </c>
      <c r="AF139" s="111">
        <v>0</v>
      </c>
      <c r="AG139" s="111">
        <v>0</v>
      </c>
      <c r="AH139" s="111">
        <v>0</v>
      </c>
      <c r="AI139" s="111">
        <v>0</v>
      </c>
      <c r="AJ139" s="111">
        <v>0</v>
      </c>
      <c r="AK139" s="111">
        <v>0</v>
      </c>
      <c r="AL139" s="111">
        <v>0</v>
      </c>
      <c r="AM139" s="111">
        <v>0</v>
      </c>
      <c r="AN139" s="111">
        <v>0</v>
      </c>
      <c r="AO139" s="111">
        <v>0</v>
      </c>
      <c r="AP139" s="111">
        <v>0</v>
      </c>
      <c r="AQ139" s="111">
        <v>0</v>
      </c>
      <c r="AR139" s="111">
        <v>0</v>
      </c>
      <c r="AS139" s="111">
        <v>0</v>
      </c>
      <c r="AT139" s="111">
        <v>0</v>
      </c>
      <c r="AU139" s="111">
        <v>0</v>
      </c>
      <c r="AV139" s="111">
        <v>0</v>
      </c>
      <c r="AW139" s="111">
        <v>0</v>
      </c>
      <c r="AX139" s="111">
        <v>0</v>
      </c>
      <c r="AY139" s="111">
        <v>0</v>
      </c>
    </row>
    <row r="140" spans="1:51" x14ac:dyDescent="0.2">
      <c r="A140" s="114"/>
      <c r="B140" s="125">
        <v>19</v>
      </c>
      <c r="C140" s="111">
        <v>0</v>
      </c>
      <c r="D140" s="111">
        <v>0</v>
      </c>
      <c r="E140" s="111">
        <v>0</v>
      </c>
      <c r="F140" s="111">
        <v>0</v>
      </c>
      <c r="G140" s="111">
        <v>0</v>
      </c>
      <c r="H140" s="111">
        <v>0</v>
      </c>
      <c r="I140" s="111">
        <v>0</v>
      </c>
      <c r="J140" s="111">
        <v>0</v>
      </c>
      <c r="K140" s="111">
        <v>0</v>
      </c>
      <c r="L140" s="111">
        <v>0</v>
      </c>
      <c r="M140" s="111">
        <v>0</v>
      </c>
      <c r="N140" s="111">
        <v>0</v>
      </c>
      <c r="O140" s="111">
        <v>0</v>
      </c>
      <c r="P140" s="111">
        <v>0</v>
      </c>
      <c r="Q140" s="111">
        <v>0</v>
      </c>
      <c r="R140" s="111">
        <v>0</v>
      </c>
      <c r="S140" s="111">
        <v>0</v>
      </c>
      <c r="T140" s="111">
        <v>0</v>
      </c>
      <c r="U140" s="111">
        <v>0</v>
      </c>
      <c r="V140" s="111">
        <v>0</v>
      </c>
      <c r="W140" s="111">
        <v>0</v>
      </c>
      <c r="X140" s="111">
        <v>0</v>
      </c>
      <c r="Y140" s="111">
        <v>0</v>
      </c>
      <c r="Z140" s="111">
        <v>0</v>
      </c>
      <c r="AA140" s="111">
        <v>0</v>
      </c>
      <c r="AB140" s="111">
        <v>0</v>
      </c>
      <c r="AC140" s="111">
        <v>0</v>
      </c>
      <c r="AD140" s="111">
        <v>0</v>
      </c>
      <c r="AE140" s="111">
        <v>0</v>
      </c>
      <c r="AF140" s="111">
        <v>0</v>
      </c>
      <c r="AG140" s="111">
        <v>0</v>
      </c>
      <c r="AH140" s="111">
        <v>0</v>
      </c>
      <c r="AI140" s="111">
        <v>0</v>
      </c>
      <c r="AJ140" s="111">
        <v>0</v>
      </c>
      <c r="AK140" s="111">
        <v>0</v>
      </c>
      <c r="AL140" s="111">
        <v>0</v>
      </c>
      <c r="AM140" s="111">
        <v>0</v>
      </c>
      <c r="AN140" s="111">
        <v>0</v>
      </c>
      <c r="AO140" s="111">
        <v>0</v>
      </c>
      <c r="AP140" s="111">
        <v>0</v>
      </c>
      <c r="AQ140" s="111">
        <v>0</v>
      </c>
      <c r="AR140" s="111">
        <v>0</v>
      </c>
      <c r="AS140" s="111">
        <v>0</v>
      </c>
      <c r="AT140" s="111">
        <v>0</v>
      </c>
      <c r="AU140" s="111">
        <v>0</v>
      </c>
      <c r="AV140" s="111">
        <v>0</v>
      </c>
      <c r="AW140" s="111">
        <v>0</v>
      </c>
      <c r="AX140" s="111">
        <v>0</v>
      </c>
      <c r="AY140" s="111">
        <v>0</v>
      </c>
    </row>
    <row r="141" spans="1:51" x14ac:dyDescent="0.2">
      <c r="A141" s="114"/>
      <c r="B141" s="125">
        <v>20</v>
      </c>
      <c r="C141" s="111">
        <v>0</v>
      </c>
      <c r="D141" s="111">
        <v>0</v>
      </c>
      <c r="E141" s="111">
        <v>0</v>
      </c>
      <c r="F141" s="111">
        <v>0</v>
      </c>
      <c r="G141" s="111">
        <v>0</v>
      </c>
      <c r="H141" s="111">
        <v>0</v>
      </c>
      <c r="I141" s="111">
        <v>0</v>
      </c>
      <c r="J141" s="111">
        <v>0</v>
      </c>
      <c r="K141" s="111">
        <v>0</v>
      </c>
      <c r="L141" s="111">
        <v>0</v>
      </c>
      <c r="M141" s="111">
        <v>0</v>
      </c>
      <c r="N141" s="111">
        <v>0</v>
      </c>
      <c r="O141" s="111">
        <v>0</v>
      </c>
      <c r="P141" s="111">
        <v>0</v>
      </c>
      <c r="Q141" s="111">
        <v>0</v>
      </c>
      <c r="R141" s="111">
        <v>0</v>
      </c>
      <c r="S141" s="111">
        <v>0</v>
      </c>
      <c r="T141" s="111">
        <v>0</v>
      </c>
      <c r="U141" s="111">
        <v>0</v>
      </c>
      <c r="V141" s="111">
        <v>0</v>
      </c>
      <c r="W141" s="111">
        <v>0</v>
      </c>
      <c r="X141" s="111">
        <v>0</v>
      </c>
      <c r="Y141" s="111">
        <v>0</v>
      </c>
      <c r="Z141" s="111">
        <v>0</v>
      </c>
      <c r="AA141" s="111">
        <v>0</v>
      </c>
      <c r="AB141" s="111">
        <v>0</v>
      </c>
      <c r="AC141" s="111">
        <v>0</v>
      </c>
      <c r="AD141" s="111">
        <v>0</v>
      </c>
      <c r="AE141" s="111">
        <v>0</v>
      </c>
      <c r="AF141" s="111">
        <v>0</v>
      </c>
      <c r="AG141" s="111">
        <v>0</v>
      </c>
      <c r="AH141" s="111">
        <v>0</v>
      </c>
      <c r="AI141" s="111">
        <v>0</v>
      </c>
      <c r="AJ141" s="111">
        <v>0</v>
      </c>
      <c r="AK141" s="111">
        <v>0</v>
      </c>
      <c r="AL141" s="111">
        <v>0</v>
      </c>
      <c r="AM141" s="111">
        <v>0</v>
      </c>
      <c r="AN141" s="111">
        <v>0</v>
      </c>
      <c r="AO141" s="111">
        <v>0</v>
      </c>
      <c r="AP141" s="111">
        <v>0</v>
      </c>
      <c r="AQ141" s="111">
        <v>0</v>
      </c>
      <c r="AR141" s="111">
        <v>0</v>
      </c>
      <c r="AS141" s="111">
        <v>0</v>
      </c>
      <c r="AT141" s="111">
        <v>0</v>
      </c>
      <c r="AU141" s="111">
        <v>0</v>
      </c>
      <c r="AV141" s="111">
        <v>0</v>
      </c>
      <c r="AW141" s="111">
        <v>0</v>
      </c>
      <c r="AX141" s="111">
        <v>0</v>
      </c>
      <c r="AY141" s="111">
        <v>0</v>
      </c>
    </row>
    <row r="142" spans="1:51" x14ac:dyDescent="0.2">
      <c r="A142" s="114"/>
      <c r="B142" s="125">
        <v>21</v>
      </c>
      <c r="C142" s="111">
        <v>0</v>
      </c>
      <c r="D142" s="111">
        <v>0</v>
      </c>
      <c r="E142" s="111">
        <v>0</v>
      </c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0</v>
      </c>
      <c r="M142" s="111">
        <v>0</v>
      </c>
      <c r="N142" s="111">
        <v>0</v>
      </c>
      <c r="O142" s="111">
        <v>0</v>
      </c>
      <c r="P142" s="111">
        <v>0</v>
      </c>
      <c r="Q142" s="111">
        <v>0</v>
      </c>
      <c r="R142" s="111">
        <v>0</v>
      </c>
      <c r="S142" s="111">
        <v>0</v>
      </c>
      <c r="T142" s="111">
        <v>0</v>
      </c>
      <c r="U142" s="111">
        <v>0</v>
      </c>
      <c r="V142" s="111">
        <v>0</v>
      </c>
      <c r="W142" s="111">
        <v>0</v>
      </c>
      <c r="X142" s="111">
        <v>0</v>
      </c>
      <c r="Y142" s="111">
        <v>0</v>
      </c>
      <c r="Z142" s="111">
        <v>0</v>
      </c>
      <c r="AA142" s="111">
        <v>0</v>
      </c>
      <c r="AB142" s="111">
        <v>0</v>
      </c>
      <c r="AC142" s="111">
        <v>0</v>
      </c>
      <c r="AD142" s="111">
        <v>0</v>
      </c>
      <c r="AE142" s="111">
        <v>0</v>
      </c>
      <c r="AF142" s="111">
        <v>0</v>
      </c>
      <c r="AG142" s="111">
        <v>0</v>
      </c>
      <c r="AH142" s="111">
        <v>0</v>
      </c>
      <c r="AI142" s="111">
        <v>0</v>
      </c>
      <c r="AJ142" s="111">
        <v>0</v>
      </c>
      <c r="AK142" s="111">
        <v>0</v>
      </c>
      <c r="AL142" s="111">
        <v>0</v>
      </c>
      <c r="AM142" s="111">
        <v>0</v>
      </c>
      <c r="AN142" s="111">
        <v>0</v>
      </c>
      <c r="AO142" s="111">
        <v>0</v>
      </c>
      <c r="AP142" s="111">
        <v>0</v>
      </c>
      <c r="AQ142" s="111">
        <v>0</v>
      </c>
      <c r="AR142" s="111">
        <v>0</v>
      </c>
      <c r="AS142" s="111">
        <v>0</v>
      </c>
      <c r="AT142" s="111">
        <v>0</v>
      </c>
      <c r="AU142" s="111">
        <v>0</v>
      </c>
      <c r="AV142" s="111">
        <v>0</v>
      </c>
      <c r="AW142" s="111">
        <v>0</v>
      </c>
      <c r="AX142" s="111">
        <v>0</v>
      </c>
      <c r="AY142" s="111">
        <v>0</v>
      </c>
    </row>
    <row r="143" spans="1:51" x14ac:dyDescent="0.2">
      <c r="A143" s="114"/>
      <c r="B143" s="125">
        <v>22</v>
      </c>
      <c r="C143" s="111">
        <v>0</v>
      </c>
      <c r="D143" s="111">
        <v>0</v>
      </c>
      <c r="E143" s="111">
        <v>0</v>
      </c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0</v>
      </c>
      <c r="N143" s="111">
        <v>0</v>
      </c>
      <c r="O143" s="111">
        <v>0</v>
      </c>
      <c r="P143" s="111">
        <v>0</v>
      </c>
      <c r="Q143" s="111">
        <v>0</v>
      </c>
      <c r="R143" s="111">
        <v>0</v>
      </c>
      <c r="S143" s="111">
        <v>0</v>
      </c>
      <c r="T143" s="111">
        <v>0</v>
      </c>
      <c r="U143" s="111">
        <v>0</v>
      </c>
      <c r="V143" s="111">
        <v>0</v>
      </c>
      <c r="W143" s="111">
        <v>0</v>
      </c>
      <c r="X143" s="111">
        <v>0</v>
      </c>
      <c r="Y143" s="111">
        <v>0</v>
      </c>
      <c r="Z143" s="111">
        <v>0</v>
      </c>
      <c r="AA143" s="111">
        <v>0</v>
      </c>
      <c r="AB143" s="111">
        <v>0</v>
      </c>
      <c r="AC143" s="111">
        <v>0</v>
      </c>
      <c r="AD143" s="111">
        <v>0</v>
      </c>
      <c r="AE143" s="111">
        <v>0</v>
      </c>
      <c r="AF143" s="111">
        <v>0</v>
      </c>
      <c r="AG143" s="111">
        <v>0</v>
      </c>
      <c r="AH143" s="111">
        <v>0</v>
      </c>
      <c r="AI143" s="111">
        <v>0</v>
      </c>
      <c r="AJ143" s="111">
        <v>0</v>
      </c>
      <c r="AK143" s="111">
        <v>0</v>
      </c>
      <c r="AL143" s="111">
        <v>0</v>
      </c>
      <c r="AM143" s="111">
        <v>0</v>
      </c>
      <c r="AN143" s="111">
        <v>0</v>
      </c>
      <c r="AO143" s="111">
        <v>0</v>
      </c>
      <c r="AP143" s="111">
        <v>0</v>
      </c>
      <c r="AQ143" s="111">
        <v>0</v>
      </c>
      <c r="AR143" s="111">
        <v>0</v>
      </c>
      <c r="AS143" s="111">
        <v>0</v>
      </c>
      <c r="AT143" s="111">
        <v>0</v>
      </c>
      <c r="AU143" s="111">
        <v>0</v>
      </c>
      <c r="AV143" s="111">
        <v>0</v>
      </c>
      <c r="AW143" s="111">
        <v>0</v>
      </c>
      <c r="AX143" s="111">
        <v>0</v>
      </c>
      <c r="AY143" s="111">
        <v>0</v>
      </c>
    </row>
    <row r="144" spans="1:51" x14ac:dyDescent="0.2">
      <c r="A144" s="114"/>
      <c r="B144" s="125">
        <v>23</v>
      </c>
      <c r="C144" s="111">
        <v>0</v>
      </c>
      <c r="D144" s="111">
        <v>0</v>
      </c>
      <c r="E144" s="111">
        <v>0</v>
      </c>
      <c r="F144" s="111">
        <v>0</v>
      </c>
      <c r="G144" s="111">
        <v>0</v>
      </c>
      <c r="H144" s="111">
        <v>0</v>
      </c>
      <c r="I144" s="111">
        <v>0</v>
      </c>
      <c r="J144" s="111">
        <v>0</v>
      </c>
      <c r="K144" s="111">
        <v>0</v>
      </c>
      <c r="L144" s="111">
        <v>0</v>
      </c>
      <c r="M144" s="111">
        <v>0</v>
      </c>
      <c r="N144" s="111">
        <v>0</v>
      </c>
      <c r="O144" s="111">
        <v>0</v>
      </c>
      <c r="P144" s="111">
        <v>0</v>
      </c>
      <c r="Q144" s="111">
        <v>0</v>
      </c>
      <c r="R144" s="111">
        <v>0</v>
      </c>
      <c r="S144" s="111">
        <v>0</v>
      </c>
      <c r="T144" s="111">
        <v>0</v>
      </c>
      <c r="U144" s="111">
        <v>0</v>
      </c>
      <c r="V144" s="111">
        <v>0</v>
      </c>
      <c r="W144" s="111">
        <v>0</v>
      </c>
      <c r="X144" s="111">
        <v>0</v>
      </c>
      <c r="Y144" s="111">
        <v>0</v>
      </c>
      <c r="Z144" s="111">
        <v>0</v>
      </c>
      <c r="AA144" s="111">
        <v>0</v>
      </c>
      <c r="AB144" s="111">
        <v>0</v>
      </c>
      <c r="AC144" s="111">
        <v>0</v>
      </c>
      <c r="AD144" s="111">
        <v>0</v>
      </c>
      <c r="AE144" s="111">
        <v>0</v>
      </c>
      <c r="AF144" s="111">
        <v>0</v>
      </c>
      <c r="AG144" s="111">
        <v>0</v>
      </c>
      <c r="AH144" s="111">
        <v>0</v>
      </c>
      <c r="AI144" s="111">
        <v>0</v>
      </c>
      <c r="AJ144" s="111">
        <v>0</v>
      </c>
      <c r="AK144" s="111">
        <v>0</v>
      </c>
      <c r="AL144" s="111">
        <v>0</v>
      </c>
      <c r="AM144" s="111">
        <v>0</v>
      </c>
      <c r="AN144" s="111">
        <v>0</v>
      </c>
      <c r="AO144" s="111">
        <v>0</v>
      </c>
      <c r="AP144" s="111">
        <v>0</v>
      </c>
      <c r="AQ144" s="111">
        <v>0</v>
      </c>
      <c r="AR144" s="111">
        <v>0</v>
      </c>
      <c r="AS144" s="111">
        <v>0</v>
      </c>
      <c r="AT144" s="111">
        <v>0</v>
      </c>
      <c r="AU144" s="111">
        <v>0</v>
      </c>
      <c r="AV144" s="111">
        <v>0</v>
      </c>
      <c r="AW144" s="111">
        <v>0</v>
      </c>
      <c r="AX144" s="111">
        <v>0</v>
      </c>
      <c r="AY144" s="111">
        <v>0</v>
      </c>
    </row>
    <row r="145" spans="1:51" x14ac:dyDescent="0.2">
      <c r="A145" s="114"/>
      <c r="B145" s="125">
        <v>24</v>
      </c>
      <c r="C145" s="111">
        <v>0</v>
      </c>
      <c r="D145" s="111">
        <v>0</v>
      </c>
      <c r="E145" s="111">
        <v>0</v>
      </c>
      <c r="F145" s="111">
        <v>0</v>
      </c>
      <c r="G145" s="111">
        <v>0</v>
      </c>
      <c r="H145" s="111">
        <v>0</v>
      </c>
      <c r="I145" s="111">
        <v>0</v>
      </c>
      <c r="J145" s="111">
        <v>0</v>
      </c>
      <c r="K145" s="111">
        <v>0</v>
      </c>
      <c r="L145" s="111">
        <v>0</v>
      </c>
      <c r="M145" s="111">
        <v>0</v>
      </c>
      <c r="N145" s="111">
        <v>0</v>
      </c>
      <c r="O145" s="111">
        <v>0</v>
      </c>
      <c r="P145" s="111">
        <v>0</v>
      </c>
      <c r="Q145" s="111">
        <v>0</v>
      </c>
      <c r="R145" s="111">
        <v>0</v>
      </c>
      <c r="S145" s="111">
        <v>0</v>
      </c>
      <c r="T145" s="111">
        <v>0</v>
      </c>
      <c r="U145" s="111">
        <v>0</v>
      </c>
      <c r="V145" s="111">
        <v>0</v>
      </c>
      <c r="W145" s="111">
        <v>0</v>
      </c>
      <c r="X145" s="111">
        <v>0</v>
      </c>
      <c r="Y145" s="111">
        <v>0</v>
      </c>
      <c r="Z145" s="111">
        <v>0</v>
      </c>
      <c r="AA145" s="111">
        <v>0</v>
      </c>
      <c r="AB145" s="111">
        <v>0</v>
      </c>
      <c r="AC145" s="111">
        <v>0</v>
      </c>
      <c r="AD145" s="111">
        <v>0</v>
      </c>
      <c r="AE145" s="111">
        <v>0</v>
      </c>
      <c r="AF145" s="111">
        <v>0</v>
      </c>
      <c r="AG145" s="111">
        <v>0</v>
      </c>
      <c r="AH145" s="111">
        <v>0</v>
      </c>
      <c r="AI145" s="111">
        <v>0</v>
      </c>
      <c r="AJ145" s="111">
        <v>0</v>
      </c>
      <c r="AK145" s="111">
        <v>0</v>
      </c>
      <c r="AL145" s="111">
        <v>0</v>
      </c>
      <c r="AM145" s="111">
        <v>0</v>
      </c>
      <c r="AN145" s="111">
        <v>0</v>
      </c>
      <c r="AO145" s="111">
        <v>0</v>
      </c>
      <c r="AP145" s="111">
        <v>0</v>
      </c>
      <c r="AQ145" s="111">
        <v>0</v>
      </c>
      <c r="AR145" s="111">
        <v>0</v>
      </c>
      <c r="AS145" s="111">
        <v>0</v>
      </c>
      <c r="AT145" s="111">
        <v>0</v>
      </c>
      <c r="AU145" s="111">
        <v>0</v>
      </c>
      <c r="AV145" s="111">
        <v>0</v>
      </c>
      <c r="AW145" s="111">
        <v>0</v>
      </c>
      <c r="AX145" s="111">
        <v>0</v>
      </c>
      <c r="AY145" s="111">
        <v>0</v>
      </c>
    </row>
    <row r="146" spans="1:51" x14ac:dyDescent="0.2">
      <c r="A146" s="114"/>
      <c r="B146" s="132">
        <v>25</v>
      </c>
      <c r="C146" s="111">
        <v>0</v>
      </c>
      <c r="D146" s="111">
        <v>0</v>
      </c>
      <c r="E146" s="111">
        <v>0</v>
      </c>
      <c r="F146" s="111">
        <v>0</v>
      </c>
      <c r="G146" s="111">
        <v>0</v>
      </c>
      <c r="H146" s="111">
        <v>0</v>
      </c>
      <c r="I146" s="111">
        <v>0</v>
      </c>
      <c r="J146" s="111">
        <v>0</v>
      </c>
      <c r="K146" s="111">
        <v>0</v>
      </c>
      <c r="L146" s="111">
        <v>0</v>
      </c>
      <c r="M146" s="111">
        <v>0</v>
      </c>
      <c r="N146" s="111">
        <v>0</v>
      </c>
      <c r="O146" s="111">
        <v>0</v>
      </c>
      <c r="P146" s="111">
        <v>0</v>
      </c>
      <c r="Q146" s="111">
        <v>0</v>
      </c>
      <c r="R146" s="111">
        <v>0</v>
      </c>
      <c r="S146" s="111">
        <v>0</v>
      </c>
      <c r="T146" s="111">
        <v>0</v>
      </c>
      <c r="U146" s="111">
        <v>0</v>
      </c>
      <c r="V146" s="111">
        <v>0</v>
      </c>
      <c r="W146" s="111">
        <v>0</v>
      </c>
      <c r="X146" s="111">
        <v>0</v>
      </c>
      <c r="Y146" s="111">
        <v>0</v>
      </c>
      <c r="Z146" s="111">
        <v>0</v>
      </c>
      <c r="AA146" s="111">
        <v>0</v>
      </c>
      <c r="AB146" s="111">
        <v>0</v>
      </c>
      <c r="AC146" s="111">
        <v>0</v>
      </c>
      <c r="AD146" s="111">
        <v>0</v>
      </c>
      <c r="AE146" s="111">
        <v>0</v>
      </c>
      <c r="AF146" s="111">
        <v>0</v>
      </c>
      <c r="AG146" s="111">
        <v>0</v>
      </c>
      <c r="AH146" s="111">
        <v>0</v>
      </c>
      <c r="AI146" s="111">
        <v>0</v>
      </c>
      <c r="AJ146" s="111">
        <v>0</v>
      </c>
      <c r="AK146" s="111">
        <v>0</v>
      </c>
      <c r="AL146" s="111">
        <v>0</v>
      </c>
      <c r="AM146" s="111">
        <v>0</v>
      </c>
      <c r="AN146" s="111">
        <v>0</v>
      </c>
      <c r="AO146" s="111">
        <v>0</v>
      </c>
      <c r="AP146" s="111">
        <v>0</v>
      </c>
      <c r="AQ146" s="111">
        <v>0</v>
      </c>
      <c r="AR146" s="111">
        <v>0</v>
      </c>
      <c r="AS146" s="111">
        <v>0</v>
      </c>
      <c r="AT146" s="111">
        <v>0</v>
      </c>
      <c r="AU146" s="111">
        <v>0</v>
      </c>
      <c r="AV146" s="111">
        <v>0</v>
      </c>
      <c r="AW146" s="111">
        <v>0</v>
      </c>
      <c r="AX146" s="111">
        <v>0</v>
      </c>
      <c r="AY146" s="111">
        <v>0</v>
      </c>
    </row>
    <row r="147" spans="1:51" x14ac:dyDescent="0.2">
      <c r="A147" s="114"/>
      <c r="B147" s="132">
        <v>26</v>
      </c>
      <c r="C147" s="111">
        <v>0</v>
      </c>
      <c r="D147" s="111">
        <v>0</v>
      </c>
      <c r="E147" s="111">
        <v>0</v>
      </c>
      <c r="F147" s="111">
        <v>0</v>
      </c>
      <c r="G147" s="111">
        <v>0</v>
      </c>
      <c r="H147" s="111">
        <v>0</v>
      </c>
      <c r="I147" s="111">
        <v>0</v>
      </c>
      <c r="J147" s="111">
        <v>0</v>
      </c>
      <c r="K147" s="111">
        <v>0</v>
      </c>
      <c r="L147" s="111">
        <v>0</v>
      </c>
      <c r="M147" s="111">
        <v>0</v>
      </c>
      <c r="N147" s="111">
        <v>0</v>
      </c>
      <c r="O147" s="111">
        <v>0</v>
      </c>
      <c r="P147" s="111">
        <v>0</v>
      </c>
      <c r="Q147" s="111">
        <v>0</v>
      </c>
      <c r="R147" s="111">
        <v>0</v>
      </c>
      <c r="S147" s="111">
        <v>0</v>
      </c>
      <c r="T147" s="111">
        <v>0</v>
      </c>
      <c r="U147" s="111">
        <v>0</v>
      </c>
      <c r="V147" s="111">
        <v>0</v>
      </c>
      <c r="W147" s="111">
        <v>0</v>
      </c>
      <c r="X147" s="111">
        <v>0</v>
      </c>
      <c r="Y147" s="111">
        <v>0</v>
      </c>
      <c r="Z147" s="111">
        <v>0</v>
      </c>
      <c r="AA147" s="111">
        <v>0</v>
      </c>
      <c r="AB147" s="111">
        <v>0</v>
      </c>
      <c r="AC147" s="111">
        <v>0</v>
      </c>
      <c r="AD147" s="111">
        <v>0</v>
      </c>
      <c r="AE147" s="111">
        <v>0</v>
      </c>
      <c r="AF147" s="111">
        <v>0</v>
      </c>
      <c r="AG147" s="111">
        <v>0</v>
      </c>
      <c r="AH147" s="111">
        <v>0</v>
      </c>
      <c r="AI147" s="111">
        <v>0</v>
      </c>
      <c r="AJ147" s="111">
        <v>0</v>
      </c>
      <c r="AK147" s="111">
        <v>0</v>
      </c>
      <c r="AL147" s="111">
        <v>0</v>
      </c>
      <c r="AM147" s="111">
        <v>0</v>
      </c>
      <c r="AN147" s="111">
        <v>0</v>
      </c>
      <c r="AO147" s="111">
        <v>0</v>
      </c>
      <c r="AP147" s="111">
        <v>0</v>
      </c>
      <c r="AQ147" s="111">
        <v>0</v>
      </c>
      <c r="AR147" s="111">
        <v>0</v>
      </c>
      <c r="AS147" s="111">
        <v>0</v>
      </c>
      <c r="AT147" s="111">
        <v>0</v>
      </c>
      <c r="AU147" s="111">
        <v>0</v>
      </c>
      <c r="AV147" s="111">
        <v>0</v>
      </c>
      <c r="AW147" s="111">
        <v>0</v>
      </c>
      <c r="AX147" s="111">
        <v>0</v>
      </c>
      <c r="AY147" s="111">
        <v>0</v>
      </c>
    </row>
    <row r="148" spans="1:51" x14ac:dyDescent="0.2">
      <c r="A148" s="114"/>
      <c r="B148" s="132">
        <v>27</v>
      </c>
      <c r="C148" s="111">
        <v>0</v>
      </c>
      <c r="D148" s="111">
        <v>0</v>
      </c>
      <c r="E148" s="111">
        <v>0</v>
      </c>
      <c r="F148" s="111">
        <v>0</v>
      </c>
      <c r="G148" s="111">
        <v>0</v>
      </c>
      <c r="H148" s="111">
        <v>0</v>
      </c>
      <c r="I148" s="111">
        <v>0</v>
      </c>
      <c r="J148" s="111">
        <v>0</v>
      </c>
      <c r="K148" s="111">
        <v>0</v>
      </c>
      <c r="L148" s="111">
        <v>0</v>
      </c>
      <c r="M148" s="111">
        <v>0</v>
      </c>
      <c r="N148" s="111">
        <v>0</v>
      </c>
      <c r="O148" s="111">
        <v>0</v>
      </c>
      <c r="P148" s="111">
        <v>0</v>
      </c>
      <c r="Q148" s="111">
        <v>0</v>
      </c>
      <c r="R148" s="111">
        <v>0</v>
      </c>
      <c r="S148" s="111">
        <v>0</v>
      </c>
      <c r="T148" s="111">
        <v>0</v>
      </c>
      <c r="U148" s="111">
        <v>0</v>
      </c>
      <c r="V148" s="111">
        <v>0</v>
      </c>
      <c r="W148" s="111">
        <v>0</v>
      </c>
      <c r="X148" s="111">
        <v>0</v>
      </c>
      <c r="Y148" s="111">
        <v>0</v>
      </c>
      <c r="Z148" s="111">
        <v>0</v>
      </c>
      <c r="AA148" s="111">
        <v>0</v>
      </c>
      <c r="AB148" s="111">
        <v>0</v>
      </c>
      <c r="AC148" s="111">
        <v>0</v>
      </c>
      <c r="AD148" s="111">
        <v>0</v>
      </c>
      <c r="AE148" s="111">
        <v>0</v>
      </c>
      <c r="AF148" s="111">
        <v>0</v>
      </c>
      <c r="AG148" s="111">
        <v>0</v>
      </c>
      <c r="AH148" s="111">
        <v>0</v>
      </c>
      <c r="AI148" s="111">
        <v>0</v>
      </c>
      <c r="AJ148" s="111">
        <v>0</v>
      </c>
      <c r="AK148" s="111">
        <v>0</v>
      </c>
      <c r="AL148" s="111">
        <v>0</v>
      </c>
      <c r="AM148" s="111">
        <v>0</v>
      </c>
      <c r="AN148" s="111">
        <v>0</v>
      </c>
      <c r="AO148" s="111">
        <v>0</v>
      </c>
      <c r="AP148" s="111">
        <v>0</v>
      </c>
      <c r="AQ148" s="111">
        <v>0</v>
      </c>
      <c r="AR148" s="111">
        <v>0</v>
      </c>
      <c r="AS148" s="111">
        <v>0</v>
      </c>
      <c r="AT148" s="111">
        <v>0</v>
      </c>
      <c r="AU148" s="111">
        <v>0</v>
      </c>
      <c r="AV148" s="111">
        <v>0</v>
      </c>
      <c r="AW148" s="111">
        <v>0</v>
      </c>
      <c r="AX148" s="111">
        <v>0</v>
      </c>
      <c r="AY148" s="111">
        <v>0</v>
      </c>
    </row>
    <row r="149" spans="1:51" x14ac:dyDescent="0.2">
      <c r="A149" s="114"/>
      <c r="B149" s="132">
        <v>28</v>
      </c>
      <c r="C149" s="111">
        <v>0</v>
      </c>
      <c r="D149" s="111">
        <v>0</v>
      </c>
      <c r="E149" s="111">
        <v>0</v>
      </c>
      <c r="F149" s="111">
        <v>0</v>
      </c>
      <c r="G149" s="111">
        <v>0</v>
      </c>
      <c r="H149" s="111">
        <v>0</v>
      </c>
      <c r="I149" s="111">
        <v>0</v>
      </c>
      <c r="J149" s="111">
        <v>0</v>
      </c>
      <c r="K149" s="111">
        <v>0</v>
      </c>
      <c r="L149" s="111">
        <v>0</v>
      </c>
      <c r="M149" s="111">
        <v>0</v>
      </c>
      <c r="N149" s="111">
        <v>0</v>
      </c>
      <c r="O149" s="111">
        <v>0</v>
      </c>
      <c r="P149" s="111">
        <v>0</v>
      </c>
      <c r="Q149" s="111">
        <v>0</v>
      </c>
      <c r="R149" s="111">
        <v>0</v>
      </c>
      <c r="S149" s="111">
        <v>0</v>
      </c>
      <c r="T149" s="111">
        <v>0</v>
      </c>
      <c r="U149" s="111">
        <v>0</v>
      </c>
      <c r="V149" s="111">
        <v>0</v>
      </c>
      <c r="W149" s="111">
        <v>0</v>
      </c>
      <c r="X149" s="111">
        <v>0</v>
      </c>
      <c r="Y149" s="111">
        <v>0</v>
      </c>
      <c r="Z149" s="111">
        <v>0</v>
      </c>
      <c r="AA149" s="111">
        <v>0</v>
      </c>
      <c r="AB149" s="111">
        <v>0</v>
      </c>
      <c r="AC149" s="111">
        <v>0</v>
      </c>
      <c r="AD149" s="111">
        <v>0</v>
      </c>
      <c r="AE149" s="111">
        <v>0</v>
      </c>
      <c r="AF149" s="111">
        <v>0</v>
      </c>
      <c r="AG149" s="111">
        <v>0</v>
      </c>
      <c r="AH149" s="111">
        <v>0</v>
      </c>
      <c r="AI149" s="111">
        <v>0</v>
      </c>
      <c r="AJ149" s="111">
        <v>0</v>
      </c>
      <c r="AK149" s="111">
        <v>0</v>
      </c>
      <c r="AL149" s="111">
        <v>0</v>
      </c>
      <c r="AM149" s="111">
        <v>0</v>
      </c>
      <c r="AN149" s="111">
        <v>0</v>
      </c>
      <c r="AO149" s="111">
        <v>0</v>
      </c>
      <c r="AP149" s="111">
        <v>0</v>
      </c>
      <c r="AQ149" s="111">
        <v>0</v>
      </c>
      <c r="AR149" s="111">
        <v>0</v>
      </c>
      <c r="AS149" s="111">
        <v>0</v>
      </c>
      <c r="AT149" s="111">
        <v>0</v>
      </c>
      <c r="AU149" s="111">
        <v>0</v>
      </c>
      <c r="AV149" s="111">
        <v>0</v>
      </c>
      <c r="AW149" s="111">
        <v>0</v>
      </c>
      <c r="AX149" s="111">
        <v>0</v>
      </c>
      <c r="AY149" s="111">
        <v>0</v>
      </c>
    </row>
    <row r="150" spans="1:51" x14ac:dyDescent="0.2">
      <c r="A150" s="114"/>
      <c r="B150" s="132">
        <v>29</v>
      </c>
      <c r="C150" s="111">
        <v>0</v>
      </c>
      <c r="D150" s="111">
        <v>0</v>
      </c>
      <c r="E150" s="111">
        <v>0</v>
      </c>
      <c r="F150" s="111">
        <v>0</v>
      </c>
      <c r="G150" s="111">
        <v>0</v>
      </c>
      <c r="H150" s="111">
        <v>0</v>
      </c>
      <c r="I150" s="111">
        <v>0</v>
      </c>
      <c r="J150" s="111">
        <v>0</v>
      </c>
      <c r="K150" s="111">
        <v>0</v>
      </c>
      <c r="L150" s="111">
        <v>0</v>
      </c>
      <c r="M150" s="111">
        <v>0</v>
      </c>
      <c r="N150" s="111">
        <v>0</v>
      </c>
      <c r="O150" s="111">
        <v>0</v>
      </c>
      <c r="P150" s="111">
        <v>0</v>
      </c>
      <c r="Q150" s="111">
        <v>0</v>
      </c>
      <c r="R150" s="111">
        <v>0</v>
      </c>
      <c r="S150" s="111">
        <v>0</v>
      </c>
      <c r="T150" s="111">
        <v>0</v>
      </c>
      <c r="U150" s="111">
        <v>0</v>
      </c>
      <c r="V150" s="111">
        <v>0</v>
      </c>
      <c r="W150" s="111">
        <v>0</v>
      </c>
      <c r="X150" s="111">
        <v>0</v>
      </c>
      <c r="Y150" s="111">
        <v>0</v>
      </c>
      <c r="Z150" s="111">
        <v>0</v>
      </c>
      <c r="AA150" s="111">
        <v>0</v>
      </c>
      <c r="AB150" s="111">
        <v>0</v>
      </c>
      <c r="AC150" s="111">
        <v>0</v>
      </c>
      <c r="AD150" s="111">
        <v>0</v>
      </c>
      <c r="AE150" s="111">
        <v>0</v>
      </c>
      <c r="AF150" s="111">
        <v>0</v>
      </c>
      <c r="AG150" s="111">
        <v>0</v>
      </c>
      <c r="AH150" s="111">
        <v>0</v>
      </c>
      <c r="AI150" s="111">
        <v>0</v>
      </c>
      <c r="AJ150" s="111">
        <v>0</v>
      </c>
      <c r="AK150" s="111">
        <v>0</v>
      </c>
      <c r="AL150" s="111">
        <v>0</v>
      </c>
      <c r="AM150" s="111">
        <v>0</v>
      </c>
      <c r="AN150" s="111">
        <v>0</v>
      </c>
      <c r="AO150" s="111">
        <v>0</v>
      </c>
      <c r="AP150" s="111">
        <v>0</v>
      </c>
      <c r="AQ150" s="111">
        <v>0</v>
      </c>
      <c r="AR150" s="111">
        <v>0</v>
      </c>
      <c r="AS150" s="111">
        <v>0</v>
      </c>
      <c r="AT150" s="111">
        <v>0</v>
      </c>
      <c r="AU150" s="111">
        <v>0</v>
      </c>
      <c r="AV150" s="111">
        <v>0</v>
      </c>
      <c r="AW150" s="111">
        <v>0</v>
      </c>
      <c r="AX150" s="111">
        <v>0</v>
      </c>
      <c r="AY150" s="111">
        <v>0</v>
      </c>
    </row>
    <row r="151" spans="1:51" x14ac:dyDescent="0.2">
      <c r="A151" s="114"/>
      <c r="B151" s="132">
        <v>30</v>
      </c>
      <c r="C151" s="111">
        <v>0</v>
      </c>
      <c r="D151" s="111">
        <v>0</v>
      </c>
      <c r="E151" s="111">
        <v>0</v>
      </c>
      <c r="F151" s="111">
        <v>0</v>
      </c>
      <c r="G151" s="111">
        <v>0</v>
      </c>
      <c r="H151" s="111">
        <v>0</v>
      </c>
      <c r="I151" s="111">
        <v>0</v>
      </c>
      <c r="J151" s="111">
        <v>0</v>
      </c>
      <c r="K151" s="111">
        <v>0</v>
      </c>
      <c r="L151" s="111">
        <v>0</v>
      </c>
      <c r="M151" s="111">
        <v>0</v>
      </c>
      <c r="N151" s="111">
        <v>0</v>
      </c>
      <c r="O151" s="111">
        <v>0</v>
      </c>
      <c r="P151" s="111">
        <v>0</v>
      </c>
      <c r="Q151" s="111">
        <v>0</v>
      </c>
      <c r="R151" s="111">
        <v>0</v>
      </c>
      <c r="S151" s="111">
        <v>0</v>
      </c>
      <c r="T151" s="111">
        <v>0</v>
      </c>
      <c r="U151" s="111">
        <v>0</v>
      </c>
      <c r="V151" s="111">
        <v>0</v>
      </c>
      <c r="W151" s="111">
        <v>0</v>
      </c>
      <c r="X151" s="111">
        <v>0</v>
      </c>
      <c r="Y151" s="111">
        <v>0</v>
      </c>
      <c r="Z151" s="111">
        <v>0</v>
      </c>
      <c r="AA151" s="111">
        <v>0</v>
      </c>
      <c r="AB151" s="111">
        <v>0</v>
      </c>
      <c r="AC151" s="111">
        <v>0</v>
      </c>
      <c r="AD151" s="111">
        <v>0</v>
      </c>
      <c r="AE151" s="111">
        <v>0</v>
      </c>
      <c r="AF151" s="111">
        <v>0</v>
      </c>
      <c r="AG151" s="111">
        <v>0</v>
      </c>
      <c r="AH151" s="111">
        <v>0</v>
      </c>
      <c r="AI151" s="111">
        <v>0</v>
      </c>
      <c r="AJ151" s="111">
        <v>0</v>
      </c>
      <c r="AK151" s="111">
        <v>0</v>
      </c>
      <c r="AL151" s="111">
        <v>0</v>
      </c>
      <c r="AM151" s="111">
        <v>0</v>
      </c>
      <c r="AN151" s="111">
        <v>0</v>
      </c>
      <c r="AO151" s="111">
        <v>0</v>
      </c>
      <c r="AP151" s="111">
        <v>0</v>
      </c>
      <c r="AQ151" s="111">
        <v>0</v>
      </c>
      <c r="AR151" s="111">
        <v>0</v>
      </c>
      <c r="AS151" s="111">
        <v>0</v>
      </c>
      <c r="AT151" s="111">
        <v>0</v>
      </c>
      <c r="AU151" s="111">
        <v>0</v>
      </c>
      <c r="AV151" s="111">
        <v>0</v>
      </c>
      <c r="AW151" s="111">
        <v>0</v>
      </c>
      <c r="AX151" s="111">
        <v>0</v>
      </c>
      <c r="AY151" s="111">
        <v>0</v>
      </c>
    </row>
    <row r="152" spans="1:51" x14ac:dyDescent="0.2">
      <c r="A152" s="114"/>
      <c r="B152" s="132">
        <v>31</v>
      </c>
      <c r="C152" s="111">
        <v>0</v>
      </c>
      <c r="D152" s="111">
        <v>0</v>
      </c>
      <c r="E152" s="111">
        <v>0</v>
      </c>
      <c r="F152" s="111">
        <v>0</v>
      </c>
      <c r="G152" s="111">
        <v>0</v>
      </c>
      <c r="H152" s="111">
        <v>0</v>
      </c>
      <c r="I152" s="111">
        <v>0</v>
      </c>
      <c r="J152" s="111">
        <v>0</v>
      </c>
      <c r="K152" s="111">
        <v>0</v>
      </c>
      <c r="L152" s="111">
        <v>0</v>
      </c>
      <c r="M152" s="111">
        <v>0</v>
      </c>
      <c r="N152" s="111">
        <v>0</v>
      </c>
      <c r="O152" s="111">
        <v>0</v>
      </c>
      <c r="P152" s="111">
        <v>0</v>
      </c>
      <c r="Q152" s="111">
        <v>0</v>
      </c>
      <c r="R152" s="111">
        <v>0</v>
      </c>
      <c r="S152" s="111">
        <v>0</v>
      </c>
      <c r="T152" s="111">
        <v>0</v>
      </c>
      <c r="U152" s="111">
        <v>0</v>
      </c>
      <c r="V152" s="111">
        <v>0</v>
      </c>
      <c r="W152" s="111">
        <v>0</v>
      </c>
      <c r="X152" s="111">
        <v>0</v>
      </c>
      <c r="Y152" s="111">
        <v>0</v>
      </c>
      <c r="Z152" s="111">
        <v>0</v>
      </c>
      <c r="AA152" s="111">
        <v>0</v>
      </c>
      <c r="AB152" s="111">
        <v>0</v>
      </c>
      <c r="AC152" s="111">
        <v>0</v>
      </c>
      <c r="AD152" s="111">
        <v>0</v>
      </c>
      <c r="AE152" s="111">
        <v>0</v>
      </c>
      <c r="AF152" s="111">
        <v>0</v>
      </c>
      <c r="AG152" s="111">
        <v>0</v>
      </c>
      <c r="AH152" s="111">
        <v>0</v>
      </c>
      <c r="AI152" s="111">
        <v>0</v>
      </c>
      <c r="AJ152" s="111">
        <v>0</v>
      </c>
      <c r="AK152" s="111">
        <v>0</v>
      </c>
      <c r="AL152" s="111">
        <v>0</v>
      </c>
      <c r="AM152" s="111">
        <v>0</v>
      </c>
      <c r="AN152" s="111">
        <v>0</v>
      </c>
      <c r="AO152" s="111">
        <v>0</v>
      </c>
      <c r="AP152" s="111">
        <v>0</v>
      </c>
      <c r="AQ152" s="111">
        <v>0</v>
      </c>
      <c r="AR152" s="111">
        <v>0</v>
      </c>
      <c r="AS152" s="111">
        <v>0</v>
      </c>
      <c r="AT152" s="111">
        <v>0</v>
      </c>
      <c r="AU152" s="111">
        <v>0</v>
      </c>
      <c r="AV152" s="111">
        <v>0</v>
      </c>
      <c r="AW152" s="111">
        <v>0</v>
      </c>
      <c r="AX152" s="111">
        <v>0</v>
      </c>
      <c r="AY152" s="111">
        <v>0</v>
      </c>
    </row>
    <row r="153" spans="1:51" x14ac:dyDescent="0.2">
      <c r="A153" s="114"/>
      <c r="B153" s="132">
        <v>32</v>
      </c>
      <c r="C153" s="111">
        <v>0</v>
      </c>
      <c r="D153" s="111">
        <v>0</v>
      </c>
      <c r="E153" s="111">
        <v>0</v>
      </c>
      <c r="F153" s="111">
        <v>0</v>
      </c>
      <c r="G153" s="111">
        <v>0</v>
      </c>
      <c r="H153" s="111">
        <v>0</v>
      </c>
      <c r="I153" s="111">
        <v>0</v>
      </c>
      <c r="J153" s="111">
        <v>0</v>
      </c>
      <c r="K153" s="111">
        <v>0</v>
      </c>
      <c r="L153" s="111">
        <v>0</v>
      </c>
      <c r="M153" s="111">
        <v>0</v>
      </c>
      <c r="N153" s="111">
        <v>0</v>
      </c>
      <c r="O153" s="111">
        <v>0</v>
      </c>
      <c r="P153" s="111">
        <v>0</v>
      </c>
      <c r="Q153" s="111">
        <v>0</v>
      </c>
      <c r="R153" s="111">
        <v>0</v>
      </c>
      <c r="S153" s="111">
        <v>0</v>
      </c>
      <c r="T153" s="111">
        <v>0</v>
      </c>
      <c r="U153" s="111">
        <v>0</v>
      </c>
      <c r="V153" s="111">
        <v>0</v>
      </c>
      <c r="W153" s="111">
        <v>0</v>
      </c>
      <c r="X153" s="111">
        <v>0</v>
      </c>
      <c r="Y153" s="111">
        <v>0</v>
      </c>
      <c r="Z153" s="111">
        <v>0</v>
      </c>
      <c r="AA153" s="111">
        <v>0</v>
      </c>
      <c r="AB153" s="111">
        <v>0</v>
      </c>
      <c r="AC153" s="111">
        <v>0</v>
      </c>
      <c r="AD153" s="111">
        <v>0</v>
      </c>
      <c r="AE153" s="111">
        <v>0</v>
      </c>
      <c r="AF153" s="111">
        <v>0</v>
      </c>
      <c r="AG153" s="111">
        <v>0</v>
      </c>
      <c r="AH153" s="111">
        <v>0</v>
      </c>
      <c r="AI153" s="111">
        <v>0</v>
      </c>
      <c r="AJ153" s="111">
        <v>0</v>
      </c>
      <c r="AK153" s="111">
        <v>0</v>
      </c>
      <c r="AL153" s="111">
        <v>0</v>
      </c>
      <c r="AM153" s="111">
        <v>0</v>
      </c>
      <c r="AN153" s="111">
        <v>0</v>
      </c>
      <c r="AO153" s="111">
        <v>0</v>
      </c>
      <c r="AP153" s="111">
        <v>0</v>
      </c>
      <c r="AQ153" s="111">
        <v>0</v>
      </c>
      <c r="AR153" s="111">
        <v>0</v>
      </c>
      <c r="AS153" s="111">
        <v>0</v>
      </c>
      <c r="AT153" s="111">
        <v>0</v>
      </c>
      <c r="AU153" s="111">
        <v>0</v>
      </c>
      <c r="AV153" s="111">
        <v>0</v>
      </c>
      <c r="AW153" s="111">
        <v>0</v>
      </c>
      <c r="AX153" s="111">
        <v>0</v>
      </c>
      <c r="AY153" s="111">
        <v>0</v>
      </c>
    </row>
    <row r="154" spans="1:51" x14ac:dyDescent="0.2">
      <c r="A154" s="114"/>
      <c r="B154" s="132">
        <v>33</v>
      </c>
      <c r="C154" s="111">
        <v>0</v>
      </c>
      <c r="D154" s="111">
        <v>0</v>
      </c>
      <c r="E154" s="111">
        <v>0</v>
      </c>
      <c r="F154" s="111">
        <v>0</v>
      </c>
      <c r="G154" s="111">
        <v>0</v>
      </c>
      <c r="H154" s="111">
        <v>0</v>
      </c>
      <c r="I154" s="111">
        <v>0</v>
      </c>
      <c r="J154" s="111">
        <v>0</v>
      </c>
      <c r="K154" s="111">
        <v>0</v>
      </c>
      <c r="L154" s="111">
        <v>0</v>
      </c>
      <c r="M154" s="111">
        <v>0</v>
      </c>
      <c r="N154" s="111">
        <v>0</v>
      </c>
      <c r="O154" s="111">
        <v>0</v>
      </c>
      <c r="P154" s="111">
        <v>0</v>
      </c>
      <c r="Q154" s="111">
        <v>0</v>
      </c>
      <c r="R154" s="111">
        <v>0</v>
      </c>
      <c r="S154" s="111">
        <v>0</v>
      </c>
      <c r="T154" s="111">
        <v>0</v>
      </c>
      <c r="U154" s="111">
        <v>0</v>
      </c>
      <c r="V154" s="111">
        <v>0</v>
      </c>
      <c r="W154" s="111">
        <v>0</v>
      </c>
      <c r="X154" s="111">
        <v>0</v>
      </c>
      <c r="Y154" s="111">
        <v>0</v>
      </c>
      <c r="Z154" s="111">
        <v>0</v>
      </c>
      <c r="AA154" s="111">
        <v>0</v>
      </c>
      <c r="AB154" s="111">
        <v>0</v>
      </c>
      <c r="AC154" s="111">
        <v>0</v>
      </c>
      <c r="AD154" s="111">
        <v>0</v>
      </c>
      <c r="AE154" s="111">
        <v>0</v>
      </c>
      <c r="AF154" s="111">
        <v>0</v>
      </c>
      <c r="AG154" s="111">
        <v>0</v>
      </c>
      <c r="AH154" s="111">
        <v>0</v>
      </c>
      <c r="AI154" s="111">
        <v>0</v>
      </c>
      <c r="AJ154" s="111">
        <v>0</v>
      </c>
      <c r="AK154" s="111">
        <v>0</v>
      </c>
      <c r="AL154" s="111">
        <v>0</v>
      </c>
      <c r="AM154" s="111">
        <v>0</v>
      </c>
      <c r="AN154" s="111">
        <v>0</v>
      </c>
      <c r="AO154" s="111">
        <v>0</v>
      </c>
      <c r="AP154" s="111">
        <v>0</v>
      </c>
      <c r="AQ154" s="111">
        <v>0</v>
      </c>
      <c r="AR154" s="111">
        <v>0</v>
      </c>
      <c r="AS154" s="111">
        <v>0</v>
      </c>
      <c r="AT154" s="111">
        <v>0</v>
      </c>
      <c r="AU154" s="111">
        <v>0</v>
      </c>
      <c r="AV154" s="111">
        <v>0</v>
      </c>
      <c r="AW154" s="111">
        <v>0</v>
      </c>
      <c r="AX154" s="111">
        <v>0</v>
      </c>
      <c r="AY154" s="111">
        <v>0</v>
      </c>
    </row>
    <row r="155" spans="1:51" x14ac:dyDescent="0.2">
      <c r="A155" s="114"/>
      <c r="B155" s="132">
        <v>34</v>
      </c>
      <c r="C155" s="111">
        <v>0</v>
      </c>
      <c r="D155" s="111">
        <v>0</v>
      </c>
      <c r="E155" s="111">
        <v>0</v>
      </c>
      <c r="F155" s="111">
        <v>0</v>
      </c>
      <c r="G155" s="111">
        <v>0</v>
      </c>
      <c r="H155" s="111">
        <v>0</v>
      </c>
      <c r="I155" s="111">
        <v>0</v>
      </c>
      <c r="J155" s="111">
        <v>0</v>
      </c>
      <c r="K155" s="111">
        <v>0</v>
      </c>
      <c r="L155" s="111">
        <v>0</v>
      </c>
      <c r="M155" s="111">
        <v>0</v>
      </c>
      <c r="N155" s="111">
        <v>0</v>
      </c>
      <c r="O155" s="111">
        <v>0</v>
      </c>
      <c r="P155" s="111">
        <v>0</v>
      </c>
      <c r="Q155" s="111">
        <v>0</v>
      </c>
      <c r="R155" s="111">
        <v>0</v>
      </c>
      <c r="S155" s="111">
        <v>0</v>
      </c>
      <c r="T155" s="111">
        <v>0</v>
      </c>
      <c r="U155" s="111">
        <v>0</v>
      </c>
      <c r="V155" s="111">
        <v>0</v>
      </c>
      <c r="W155" s="111">
        <v>0</v>
      </c>
      <c r="X155" s="111">
        <v>0</v>
      </c>
      <c r="Y155" s="111">
        <v>0</v>
      </c>
      <c r="Z155" s="111">
        <v>0</v>
      </c>
      <c r="AA155" s="111">
        <v>0</v>
      </c>
      <c r="AB155" s="111">
        <v>0</v>
      </c>
      <c r="AC155" s="111">
        <v>0</v>
      </c>
      <c r="AD155" s="111">
        <v>0</v>
      </c>
      <c r="AE155" s="111">
        <v>0</v>
      </c>
      <c r="AF155" s="111">
        <v>0</v>
      </c>
      <c r="AG155" s="111">
        <v>0</v>
      </c>
      <c r="AH155" s="111">
        <v>0</v>
      </c>
      <c r="AI155" s="111">
        <v>0</v>
      </c>
      <c r="AJ155" s="111">
        <v>0</v>
      </c>
      <c r="AK155" s="111">
        <v>0</v>
      </c>
      <c r="AL155" s="111">
        <v>0</v>
      </c>
      <c r="AM155" s="111">
        <v>0</v>
      </c>
      <c r="AN155" s="111">
        <v>0</v>
      </c>
      <c r="AO155" s="111">
        <v>0</v>
      </c>
      <c r="AP155" s="111">
        <v>0</v>
      </c>
      <c r="AQ155" s="111">
        <v>0</v>
      </c>
      <c r="AR155" s="111">
        <v>0</v>
      </c>
      <c r="AS155" s="111">
        <v>0</v>
      </c>
      <c r="AT155" s="111">
        <v>0</v>
      </c>
      <c r="AU155" s="111">
        <v>0</v>
      </c>
      <c r="AV155" s="111">
        <v>0</v>
      </c>
      <c r="AW155" s="111">
        <v>0</v>
      </c>
      <c r="AX155" s="111">
        <v>0</v>
      </c>
      <c r="AY155" s="111">
        <v>0</v>
      </c>
    </row>
    <row r="156" spans="1:51" x14ac:dyDescent="0.2">
      <c r="A156" s="114"/>
      <c r="B156" s="132">
        <v>35</v>
      </c>
      <c r="C156" s="111">
        <v>0</v>
      </c>
      <c r="D156" s="111">
        <v>0</v>
      </c>
      <c r="E156" s="111">
        <v>0</v>
      </c>
      <c r="F156" s="111">
        <v>0</v>
      </c>
      <c r="G156" s="111">
        <v>0</v>
      </c>
      <c r="H156" s="111">
        <v>0</v>
      </c>
      <c r="I156" s="111">
        <v>0</v>
      </c>
      <c r="J156" s="111">
        <v>0</v>
      </c>
      <c r="K156" s="111">
        <v>0</v>
      </c>
      <c r="L156" s="111">
        <v>0</v>
      </c>
      <c r="M156" s="111">
        <v>0</v>
      </c>
      <c r="N156" s="111">
        <v>0</v>
      </c>
      <c r="O156" s="111">
        <v>0</v>
      </c>
      <c r="P156" s="111">
        <v>0</v>
      </c>
      <c r="Q156" s="111">
        <v>0</v>
      </c>
      <c r="R156" s="111">
        <v>0</v>
      </c>
      <c r="S156" s="111">
        <v>0</v>
      </c>
      <c r="T156" s="111">
        <v>0</v>
      </c>
      <c r="U156" s="111">
        <v>0</v>
      </c>
      <c r="V156" s="111">
        <v>0</v>
      </c>
      <c r="W156" s="111">
        <v>0</v>
      </c>
      <c r="X156" s="111">
        <v>0</v>
      </c>
      <c r="Y156" s="111">
        <v>0</v>
      </c>
      <c r="Z156" s="111">
        <v>0</v>
      </c>
      <c r="AA156" s="111">
        <v>0</v>
      </c>
      <c r="AB156" s="111">
        <v>0</v>
      </c>
      <c r="AC156" s="111">
        <v>0</v>
      </c>
      <c r="AD156" s="111">
        <v>0</v>
      </c>
      <c r="AE156" s="111">
        <v>0</v>
      </c>
      <c r="AF156" s="111">
        <v>0</v>
      </c>
      <c r="AG156" s="111">
        <v>0</v>
      </c>
      <c r="AH156" s="111">
        <v>0</v>
      </c>
      <c r="AI156" s="111">
        <v>0</v>
      </c>
      <c r="AJ156" s="111">
        <v>0</v>
      </c>
      <c r="AK156" s="111">
        <v>0</v>
      </c>
      <c r="AL156" s="111">
        <v>0</v>
      </c>
      <c r="AM156" s="111">
        <v>0</v>
      </c>
      <c r="AN156" s="111">
        <v>0</v>
      </c>
      <c r="AO156" s="111">
        <v>0</v>
      </c>
      <c r="AP156" s="111">
        <v>0</v>
      </c>
      <c r="AQ156" s="111">
        <v>0</v>
      </c>
      <c r="AR156" s="111">
        <v>0</v>
      </c>
      <c r="AS156" s="111">
        <v>0</v>
      </c>
      <c r="AT156" s="111">
        <v>0</v>
      </c>
      <c r="AU156" s="111">
        <v>0</v>
      </c>
      <c r="AV156" s="111">
        <v>0</v>
      </c>
      <c r="AW156" s="111">
        <v>0</v>
      </c>
      <c r="AX156" s="111">
        <v>0</v>
      </c>
      <c r="AY156" s="111">
        <v>0</v>
      </c>
    </row>
    <row r="157" spans="1:51" x14ac:dyDescent="0.2">
      <c r="A157" s="114"/>
      <c r="B157" s="132">
        <v>36</v>
      </c>
      <c r="C157" s="111">
        <v>0</v>
      </c>
      <c r="D157" s="111">
        <v>0</v>
      </c>
      <c r="E157" s="111">
        <v>0</v>
      </c>
      <c r="F157" s="111">
        <v>0</v>
      </c>
      <c r="G157" s="111">
        <v>0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  <c r="N157" s="111">
        <v>0</v>
      </c>
      <c r="O157" s="111">
        <v>0</v>
      </c>
      <c r="P157" s="111">
        <v>0</v>
      </c>
      <c r="Q157" s="111">
        <v>0</v>
      </c>
      <c r="R157" s="111">
        <v>0</v>
      </c>
      <c r="S157" s="111">
        <v>0</v>
      </c>
      <c r="T157" s="111">
        <v>0</v>
      </c>
      <c r="U157" s="111">
        <v>0</v>
      </c>
      <c r="V157" s="111">
        <v>0</v>
      </c>
      <c r="W157" s="111">
        <v>0</v>
      </c>
      <c r="X157" s="111">
        <v>0</v>
      </c>
      <c r="Y157" s="111">
        <v>0</v>
      </c>
      <c r="Z157" s="111">
        <v>0</v>
      </c>
      <c r="AA157" s="111">
        <v>0</v>
      </c>
      <c r="AB157" s="111">
        <v>0</v>
      </c>
      <c r="AC157" s="111">
        <v>0</v>
      </c>
      <c r="AD157" s="111">
        <v>0</v>
      </c>
      <c r="AE157" s="111">
        <v>0</v>
      </c>
      <c r="AF157" s="111">
        <v>0</v>
      </c>
      <c r="AG157" s="111">
        <v>0</v>
      </c>
      <c r="AH157" s="111">
        <v>0</v>
      </c>
      <c r="AI157" s="111">
        <v>0</v>
      </c>
      <c r="AJ157" s="111">
        <v>0</v>
      </c>
      <c r="AK157" s="111">
        <v>0</v>
      </c>
      <c r="AL157" s="111">
        <v>0</v>
      </c>
      <c r="AM157" s="111">
        <v>0</v>
      </c>
      <c r="AN157" s="111">
        <v>0</v>
      </c>
      <c r="AO157" s="111">
        <v>0</v>
      </c>
      <c r="AP157" s="111">
        <v>0</v>
      </c>
      <c r="AQ157" s="111">
        <v>0</v>
      </c>
      <c r="AR157" s="111">
        <v>0</v>
      </c>
      <c r="AS157" s="111">
        <v>0</v>
      </c>
      <c r="AT157" s="111">
        <v>0</v>
      </c>
      <c r="AU157" s="111">
        <v>0</v>
      </c>
      <c r="AV157" s="111">
        <v>0</v>
      </c>
      <c r="AW157" s="111">
        <v>0</v>
      </c>
      <c r="AX157" s="111">
        <v>0</v>
      </c>
      <c r="AY157" s="111">
        <v>0</v>
      </c>
    </row>
    <row r="158" spans="1:51" x14ac:dyDescent="0.2">
      <c r="A158" s="114"/>
      <c r="B158" s="135">
        <v>37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0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0</v>
      </c>
      <c r="AC158" s="111">
        <v>0</v>
      </c>
      <c r="AD158" s="111">
        <v>0</v>
      </c>
      <c r="AE158" s="111">
        <v>0</v>
      </c>
      <c r="AF158" s="111">
        <v>0</v>
      </c>
      <c r="AG158" s="111">
        <v>0</v>
      </c>
      <c r="AH158" s="111">
        <v>0</v>
      </c>
      <c r="AI158" s="111">
        <v>0</v>
      </c>
      <c r="AJ158" s="111">
        <v>0</v>
      </c>
      <c r="AK158" s="111">
        <v>0</v>
      </c>
      <c r="AL158" s="111">
        <v>0</v>
      </c>
      <c r="AM158" s="111">
        <v>0</v>
      </c>
      <c r="AN158" s="111">
        <v>0</v>
      </c>
      <c r="AO158" s="111">
        <v>0</v>
      </c>
      <c r="AP158" s="111">
        <v>0</v>
      </c>
      <c r="AQ158" s="111">
        <v>0</v>
      </c>
      <c r="AR158" s="111">
        <v>0</v>
      </c>
      <c r="AS158" s="111">
        <v>0</v>
      </c>
      <c r="AT158" s="111">
        <v>0</v>
      </c>
      <c r="AU158" s="111">
        <v>0</v>
      </c>
      <c r="AV158" s="111">
        <v>0</v>
      </c>
      <c r="AW158" s="111">
        <v>0</v>
      </c>
      <c r="AX158" s="111">
        <v>0</v>
      </c>
      <c r="AY158" s="111">
        <v>0</v>
      </c>
    </row>
    <row r="159" spans="1:51" x14ac:dyDescent="0.2">
      <c r="A159" s="114"/>
      <c r="B159" s="135">
        <v>38</v>
      </c>
      <c r="C159" s="111">
        <v>0</v>
      </c>
      <c r="D159" s="111">
        <v>0</v>
      </c>
      <c r="E159" s="111">
        <v>0</v>
      </c>
      <c r="F159" s="111">
        <v>0</v>
      </c>
      <c r="G159" s="111">
        <v>0</v>
      </c>
      <c r="H159" s="111">
        <v>0</v>
      </c>
      <c r="I159" s="111">
        <v>0</v>
      </c>
      <c r="J159" s="111">
        <v>0</v>
      </c>
      <c r="K159" s="111">
        <v>0</v>
      </c>
      <c r="L159" s="111">
        <v>0</v>
      </c>
      <c r="M159" s="111">
        <v>0</v>
      </c>
      <c r="N159" s="111">
        <v>0</v>
      </c>
      <c r="O159" s="111">
        <v>0</v>
      </c>
      <c r="P159" s="111">
        <v>0</v>
      </c>
      <c r="Q159" s="111">
        <v>0</v>
      </c>
      <c r="R159" s="111">
        <v>0</v>
      </c>
      <c r="S159" s="111">
        <v>0</v>
      </c>
      <c r="T159" s="111">
        <v>0</v>
      </c>
      <c r="U159" s="111">
        <v>0</v>
      </c>
      <c r="V159" s="111">
        <v>0</v>
      </c>
      <c r="W159" s="111">
        <v>0</v>
      </c>
      <c r="X159" s="111">
        <v>0</v>
      </c>
      <c r="Y159" s="111">
        <v>0</v>
      </c>
      <c r="Z159" s="111">
        <v>0</v>
      </c>
      <c r="AA159" s="111">
        <v>0</v>
      </c>
      <c r="AB159" s="111">
        <v>0</v>
      </c>
      <c r="AC159" s="111">
        <v>0</v>
      </c>
      <c r="AD159" s="111">
        <v>0</v>
      </c>
      <c r="AE159" s="111">
        <v>0</v>
      </c>
      <c r="AF159" s="111">
        <v>0</v>
      </c>
      <c r="AG159" s="111">
        <v>0</v>
      </c>
      <c r="AH159" s="111">
        <v>0</v>
      </c>
      <c r="AI159" s="111">
        <v>0</v>
      </c>
      <c r="AJ159" s="111">
        <v>0</v>
      </c>
      <c r="AK159" s="111">
        <v>0</v>
      </c>
      <c r="AL159" s="111">
        <v>0</v>
      </c>
      <c r="AM159" s="111">
        <v>0</v>
      </c>
      <c r="AN159" s="111">
        <v>0</v>
      </c>
      <c r="AO159" s="111">
        <v>0</v>
      </c>
      <c r="AP159" s="111">
        <v>0</v>
      </c>
      <c r="AQ159" s="111">
        <v>0</v>
      </c>
      <c r="AR159" s="111">
        <v>0</v>
      </c>
      <c r="AS159" s="111">
        <v>0</v>
      </c>
      <c r="AT159" s="111">
        <v>0</v>
      </c>
      <c r="AU159" s="111">
        <v>0</v>
      </c>
      <c r="AV159" s="111">
        <v>0</v>
      </c>
      <c r="AW159" s="111">
        <v>0</v>
      </c>
      <c r="AX159" s="111">
        <v>0</v>
      </c>
      <c r="AY159" s="111">
        <v>0</v>
      </c>
    </row>
    <row r="160" spans="1:51" x14ac:dyDescent="0.2">
      <c r="A160" s="114"/>
      <c r="B160" s="135">
        <v>39</v>
      </c>
      <c r="C160" s="111">
        <v>0</v>
      </c>
      <c r="D160" s="111">
        <v>0</v>
      </c>
      <c r="E160" s="111">
        <v>0</v>
      </c>
      <c r="F160" s="111">
        <v>0</v>
      </c>
      <c r="G160" s="111">
        <v>0</v>
      </c>
      <c r="H160" s="111">
        <v>0</v>
      </c>
      <c r="I160" s="111">
        <v>0</v>
      </c>
      <c r="J160" s="111">
        <v>0</v>
      </c>
      <c r="K160" s="111">
        <v>0</v>
      </c>
      <c r="L160" s="111">
        <v>0</v>
      </c>
      <c r="M160" s="111">
        <v>0</v>
      </c>
      <c r="N160" s="111">
        <v>0</v>
      </c>
      <c r="O160" s="111">
        <v>0</v>
      </c>
      <c r="P160" s="111">
        <v>0</v>
      </c>
      <c r="Q160" s="111">
        <v>0</v>
      </c>
      <c r="R160" s="111">
        <v>0</v>
      </c>
      <c r="S160" s="111">
        <v>0</v>
      </c>
      <c r="T160" s="111">
        <v>0</v>
      </c>
      <c r="U160" s="111">
        <v>0</v>
      </c>
      <c r="V160" s="111">
        <v>0</v>
      </c>
      <c r="W160" s="111">
        <v>0</v>
      </c>
      <c r="X160" s="111">
        <v>0</v>
      </c>
      <c r="Y160" s="111">
        <v>0</v>
      </c>
      <c r="Z160" s="111">
        <v>0</v>
      </c>
      <c r="AA160" s="111">
        <v>0</v>
      </c>
      <c r="AB160" s="111">
        <v>0</v>
      </c>
      <c r="AC160" s="111">
        <v>0</v>
      </c>
      <c r="AD160" s="111">
        <v>0</v>
      </c>
      <c r="AE160" s="111">
        <v>0</v>
      </c>
      <c r="AF160" s="111">
        <v>0</v>
      </c>
      <c r="AG160" s="111">
        <v>0</v>
      </c>
      <c r="AH160" s="111">
        <v>0</v>
      </c>
      <c r="AI160" s="111">
        <v>0</v>
      </c>
      <c r="AJ160" s="111">
        <v>0</v>
      </c>
      <c r="AK160" s="111">
        <v>0</v>
      </c>
      <c r="AL160" s="111">
        <v>0</v>
      </c>
      <c r="AM160" s="111">
        <v>0</v>
      </c>
      <c r="AN160" s="111">
        <v>0</v>
      </c>
      <c r="AO160" s="111">
        <v>0</v>
      </c>
      <c r="AP160" s="111">
        <v>0</v>
      </c>
      <c r="AQ160" s="111">
        <v>0</v>
      </c>
      <c r="AR160" s="111">
        <v>0</v>
      </c>
      <c r="AS160" s="111">
        <v>0</v>
      </c>
      <c r="AT160" s="111">
        <v>0</v>
      </c>
      <c r="AU160" s="111">
        <v>0</v>
      </c>
      <c r="AV160" s="111">
        <v>0</v>
      </c>
      <c r="AW160" s="111">
        <v>0</v>
      </c>
      <c r="AX160" s="111">
        <v>0</v>
      </c>
      <c r="AY160" s="111">
        <v>0</v>
      </c>
    </row>
    <row r="161" spans="1:52" x14ac:dyDescent="0.2">
      <c r="A161" s="114"/>
      <c r="B161" s="135">
        <v>40</v>
      </c>
      <c r="C161" s="111">
        <v>0</v>
      </c>
      <c r="D161" s="111">
        <v>0</v>
      </c>
      <c r="E161" s="111">
        <v>0</v>
      </c>
      <c r="F161" s="111">
        <v>0</v>
      </c>
      <c r="G161" s="111">
        <v>0</v>
      </c>
      <c r="H161" s="111">
        <v>0</v>
      </c>
      <c r="I161" s="111">
        <v>0</v>
      </c>
      <c r="J161" s="111">
        <v>0</v>
      </c>
      <c r="K161" s="111">
        <v>0</v>
      </c>
      <c r="L161" s="111">
        <v>0</v>
      </c>
      <c r="M161" s="111">
        <v>0</v>
      </c>
      <c r="N161" s="111">
        <v>0</v>
      </c>
      <c r="O161" s="111">
        <v>0</v>
      </c>
      <c r="P161" s="111">
        <v>0</v>
      </c>
      <c r="Q161" s="111">
        <v>0</v>
      </c>
      <c r="R161" s="111">
        <v>0</v>
      </c>
      <c r="S161" s="111">
        <v>0</v>
      </c>
      <c r="T161" s="111">
        <v>0</v>
      </c>
      <c r="U161" s="111">
        <v>0</v>
      </c>
      <c r="V161" s="111">
        <v>0</v>
      </c>
      <c r="W161" s="111">
        <v>0</v>
      </c>
      <c r="X161" s="111">
        <v>0</v>
      </c>
      <c r="Y161" s="111">
        <v>0</v>
      </c>
      <c r="Z161" s="111">
        <v>0</v>
      </c>
      <c r="AA161" s="111">
        <v>0</v>
      </c>
      <c r="AB161" s="111">
        <v>0</v>
      </c>
      <c r="AC161" s="111">
        <v>0</v>
      </c>
      <c r="AD161" s="111">
        <v>0</v>
      </c>
      <c r="AE161" s="111">
        <v>0</v>
      </c>
      <c r="AF161" s="111">
        <v>0</v>
      </c>
      <c r="AG161" s="111">
        <v>0</v>
      </c>
      <c r="AH161" s="111">
        <v>0</v>
      </c>
      <c r="AI161" s="111">
        <v>0</v>
      </c>
      <c r="AJ161" s="111">
        <v>0</v>
      </c>
      <c r="AK161" s="111">
        <v>0</v>
      </c>
      <c r="AL161" s="111">
        <v>0</v>
      </c>
      <c r="AM161" s="111">
        <v>0</v>
      </c>
      <c r="AN161" s="111">
        <v>0</v>
      </c>
      <c r="AO161" s="111">
        <v>0</v>
      </c>
      <c r="AP161" s="111">
        <v>0</v>
      </c>
      <c r="AQ161" s="111">
        <v>0</v>
      </c>
      <c r="AR161" s="111">
        <v>0</v>
      </c>
      <c r="AS161" s="111">
        <v>0</v>
      </c>
      <c r="AT161" s="111">
        <v>0</v>
      </c>
      <c r="AU161" s="111">
        <v>0</v>
      </c>
      <c r="AV161" s="111">
        <v>0</v>
      </c>
      <c r="AW161" s="111">
        <v>0</v>
      </c>
      <c r="AX161" s="111">
        <v>0</v>
      </c>
      <c r="AY161" s="111">
        <v>0</v>
      </c>
    </row>
    <row r="162" spans="1:52" x14ac:dyDescent="0.2">
      <c r="A162" s="114"/>
      <c r="B162" s="135">
        <v>41</v>
      </c>
      <c r="C162" s="111">
        <v>0</v>
      </c>
      <c r="D162" s="111">
        <v>0</v>
      </c>
      <c r="E162" s="111">
        <v>0</v>
      </c>
      <c r="F162" s="111">
        <v>0</v>
      </c>
      <c r="G162" s="111">
        <v>0</v>
      </c>
      <c r="H162" s="111">
        <v>0</v>
      </c>
      <c r="I162" s="111">
        <v>0</v>
      </c>
      <c r="J162" s="111">
        <v>0</v>
      </c>
      <c r="K162" s="111">
        <v>0</v>
      </c>
      <c r="L162" s="111">
        <v>0</v>
      </c>
      <c r="M162" s="111">
        <v>0</v>
      </c>
      <c r="N162" s="111">
        <v>0</v>
      </c>
      <c r="O162" s="111">
        <v>0</v>
      </c>
      <c r="P162" s="111">
        <v>0</v>
      </c>
      <c r="Q162" s="111">
        <v>0</v>
      </c>
      <c r="R162" s="111">
        <v>0</v>
      </c>
      <c r="S162" s="111">
        <v>0</v>
      </c>
      <c r="T162" s="111">
        <v>0</v>
      </c>
      <c r="U162" s="111">
        <v>0</v>
      </c>
      <c r="V162" s="111">
        <v>0</v>
      </c>
      <c r="W162" s="111">
        <v>0</v>
      </c>
      <c r="X162" s="111">
        <v>0</v>
      </c>
      <c r="Y162" s="111">
        <v>0</v>
      </c>
      <c r="Z162" s="111">
        <v>0</v>
      </c>
      <c r="AA162" s="111">
        <v>0</v>
      </c>
      <c r="AB162" s="111">
        <v>0</v>
      </c>
      <c r="AC162" s="111">
        <v>0</v>
      </c>
      <c r="AD162" s="111">
        <v>0</v>
      </c>
      <c r="AE162" s="111">
        <v>0</v>
      </c>
      <c r="AF162" s="111">
        <v>0</v>
      </c>
      <c r="AG162" s="111">
        <v>0</v>
      </c>
      <c r="AH162" s="111">
        <v>0</v>
      </c>
      <c r="AI162" s="111">
        <v>0</v>
      </c>
      <c r="AJ162" s="111">
        <v>0</v>
      </c>
      <c r="AK162" s="111">
        <v>0</v>
      </c>
      <c r="AL162" s="111">
        <v>0</v>
      </c>
      <c r="AM162" s="111">
        <v>0</v>
      </c>
      <c r="AN162" s="111">
        <v>0</v>
      </c>
      <c r="AO162" s="111">
        <v>0</v>
      </c>
      <c r="AP162" s="111">
        <v>0</v>
      </c>
      <c r="AQ162" s="111">
        <v>0</v>
      </c>
      <c r="AR162" s="111">
        <v>0</v>
      </c>
      <c r="AS162" s="111">
        <v>0</v>
      </c>
      <c r="AT162" s="111">
        <v>0</v>
      </c>
      <c r="AU162" s="111">
        <v>0</v>
      </c>
      <c r="AV162" s="111">
        <v>0</v>
      </c>
      <c r="AW162" s="111">
        <v>0</v>
      </c>
      <c r="AX162" s="111">
        <v>0</v>
      </c>
      <c r="AY162" s="111">
        <v>0</v>
      </c>
    </row>
    <row r="163" spans="1:52" x14ac:dyDescent="0.2">
      <c r="A163" s="114"/>
      <c r="B163" s="135">
        <v>42</v>
      </c>
      <c r="C163" s="111">
        <v>0</v>
      </c>
      <c r="D163" s="111">
        <v>0</v>
      </c>
      <c r="E163" s="111">
        <v>0</v>
      </c>
      <c r="F163" s="111">
        <v>0</v>
      </c>
      <c r="G163" s="111">
        <v>0</v>
      </c>
      <c r="H163" s="111">
        <v>0</v>
      </c>
      <c r="I163" s="111">
        <v>0</v>
      </c>
      <c r="J163" s="111">
        <v>0</v>
      </c>
      <c r="K163" s="111">
        <v>0</v>
      </c>
      <c r="L163" s="111">
        <v>0</v>
      </c>
      <c r="M163" s="111">
        <v>0</v>
      </c>
      <c r="N163" s="111">
        <v>0</v>
      </c>
      <c r="O163" s="111">
        <v>0</v>
      </c>
      <c r="P163" s="111">
        <v>0</v>
      </c>
      <c r="Q163" s="111">
        <v>0</v>
      </c>
      <c r="R163" s="111">
        <v>0</v>
      </c>
      <c r="S163" s="111">
        <v>0</v>
      </c>
      <c r="T163" s="111">
        <v>0</v>
      </c>
      <c r="U163" s="111">
        <v>0</v>
      </c>
      <c r="V163" s="111">
        <v>0</v>
      </c>
      <c r="W163" s="111">
        <v>0</v>
      </c>
      <c r="X163" s="111">
        <v>0</v>
      </c>
      <c r="Y163" s="111">
        <v>0</v>
      </c>
      <c r="Z163" s="111">
        <v>0</v>
      </c>
      <c r="AA163" s="111">
        <v>0</v>
      </c>
      <c r="AB163" s="111">
        <v>0</v>
      </c>
      <c r="AC163" s="111">
        <v>0</v>
      </c>
      <c r="AD163" s="111">
        <v>0</v>
      </c>
      <c r="AE163" s="111">
        <v>0</v>
      </c>
      <c r="AF163" s="111">
        <v>0</v>
      </c>
      <c r="AG163" s="111">
        <v>0</v>
      </c>
      <c r="AH163" s="111">
        <v>0</v>
      </c>
      <c r="AI163" s="111">
        <v>0</v>
      </c>
      <c r="AJ163" s="111">
        <v>0</v>
      </c>
      <c r="AK163" s="111">
        <v>0</v>
      </c>
      <c r="AL163" s="111">
        <v>0</v>
      </c>
      <c r="AM163" s="111">
        <v>0</v>
      </c>
      <c r="AN163" s="111">
        <v>0</v>
      </c>
      <c r="AO163" s="111">
        <v>0</v>
      </c>
      <c r="AP163" s="111">
        <v>0</v>
      </c>
      <c r="AQ163" s="111">
        <v>0</v>
      </c>
      <c r="AR163" s="111">
        <v>0</v>
      </c>
      <c r="AS163" s="111">
        <v>0</v>
      </c>
      <c r="AT163" s="111">
        <v>0</v>
      </c>
      <c r="AU163" s="111">
        <v>0</v>
      </c>
      <c r="AV163" s="111">
        <v>0</v>
      </c>
      <c r="AW163" s="111">
        <v>0</v>
      </c>
      <c r="AX163" s="111">
        <v>0</v>
      </c>
      <c r="AY163" s="111">
        <v>0</v>
      </c>
    </row>
    <row r="164" spans="1:52" x14ac:dyDescent="0.2">
      <c r="A164" s="114"/>
      <c r="B164" s="135">
        <v>43</v>
      </c>
      <c r="C164" s="111">
        <v>0</v>
      </c>
      <c r="D164" s="111">
        <v>0</v>
      </c>
      <c r="E164" s="111">
        <v>0</v>
      </c>
      <c r="F164" s="111">
        <v>0</v>
      </c>
      <c r="G164" s="111">
        <v>0</v>
      </c>
      <c r="H164" s="111">
        <v>0</v>
      </c>
      <c r="I164" s="111">
        <v>0</v>
      </c>
      <c r="J164" s="111">
        <v>0</v>
      </c>
      <c r="K164" s="111">
        <v>0</v>
      </c>
      <c r="L164" s="111">
        <v>0</v>
      </c>
      <c r="M164" s="111">
        <v>0</v>
      </c>
      <c r="N164" s="111">
        <v>0</v>
      </c>
      <c r="O164" s="111">
        <v>0</v>
      </c>
      <c r="P164" s="111">
        <v>0</v>
      </c>
      <c r="Q164" s="111">
        <v>0</v>
      </c>
      <c r="R164" s="111">
        <v>0</v>
      </c>
      <c r="S164" s="111">
        <v>0</v>
      </c>
      <c r="T164" s="111">
        <v>0</v>
      </c>
      <c r="U164" s="111">
        <v>0</v>
      </c>
      <c r="V164" s="111">
        <v>0</v>
      </c>
      <c r="W164" s="111">
        <v>0</v>
      </c>
      <c r="X164" s="111">
        <v>0</v>
      </c>
      <c r="Y164" s="111">
        <v>0</v>
      </c>
      <c r="Z164" s="111">
        <v>0</v>
      </c>
      <c r="AA164" s="111">
        <v>0</v>
      </c>
      <c r="AB164" s="111">
        <v>0</v>
      </c>
      <c r="AC164" s="111">
        <v>0</v>
      </c>
      <c r="AD164" s="111">
        <v>0</v>
      </c>
      <c r="AE164" s="111">
        <v>0</v>
      </c>
      <c r="AF164" s="111">
        <v>0</v>
      </c>
      <c r="AG164" s="111">
        <v>0</v>
      </c>
      <c r="AH164" s="111">
        <v>0</v>
      </c>
      <c r="AI164" s="111">
        <v>0</v>
      </c>
      <c r="AJ164" s="111">
        <v>0</v>
      </c>
      <c r="AK164" s="111">
        <v>0</v>
      </c>
      <c r="AL164" s="111">
        <v>0</v>
      </c>
      <c r="AM164" s="111">
        <v>0</v>
      </c>
      <c r="AN164" s="111">
        <v>0</v>
      </c>
      <c r="AO164" s="111">
        <v>0</v>
      </c>
      <c r="AP164" s="111">
        <v>0</v>
      </c>
      <c r="AQ164" s="111">
        <v>0</v>
      </c>
      <c r="AR164" s="111">
        <v>0</v>
      </c>
      <c r="AS164" s="111">
        <v>0</v>
      </c>
      <c r="AT164" s="111">
        <v>0</v>
      </c>
      <c r="AU164" s="111">
        <v>0</v>
      </c>
      <c r="AV164" s="111">
        <v>0</v>
      </c>
      <c r="AW164" s="111">
        <v>0</v>
      </c>
      <c r="AX164" s="111">
        <v>0</v>
      </c>
      <c r="AY164" s="111">
        <v>0</v>
      </c>
    </row>
    <row r="165" spans="1:52" x14ac:dyDescent="0.2">
      <c r="A165" s="114"/>
      <c r="B165" s="135">
        <v>44</v>
      </c>
      <c r="C165" s="111">
        <v>0</v>
      </c>
      <c r="D165" s="111">
        <v>0</v>
      </c>
      <c r="E165" s="111">
        <v>0</v>
      </c>
      <c r="F165" s="111">
        <v>0</v>
      </c>
      <c r="G165" s="111">
        <v>0</v>
      </c>
      <c r="H165" s="111">
        <v>0</v>
      </c>
      <c r="I165" s="111">
        <v>0</v>
      </c>
      <c r="J165" s="111">
        <v>0</v>
      </c>
      <c r="K165" s="111">
        <v>0</v>
      </c>
      <c r="L165" s="111">
        <v>0</v>
      </c>
      <c r="M165" s="111">
        <v>0</v>
      </c>
      <c r="N165" s="111">
        <v>0</v>
      </c>
      <c r="O165" s="111">
        <v>0</v>
      </c>
      <c r="P165" s="111">
        <v>0</v>
      </c>
      <c r="Q165" s="111">
        <v>0</v>
      </c>
      <c r="R165" s="111">
        <v>0</v>
      </c>
      <c r="S165" s="111">
        <v>0</v>
      </c>
      <c r="T165" s="111">
        <v>0</v>
      </c>
      <c r="U165" s="111">
        <v>0</v>
      </c>
      <c r="V165" s="111">
        <v>0</v>
      </c>
      <c r="W165" s="111">
        <v>0</v>
      </c>
      <c r="X165" s="111">
        <v>0</v>
      </c>
      <c r="Y165" s="111">
        <v>0</v>
      </c>
      <c r="Z165" s="111">
        <v>0</v>
      </c>
      <c r="AA165" s="111">
        <v>0</v>
      </c>
      <c r="AB165" s="111">
        <v>0</v>
      </c>
      <c r="AC165" s="111">
        <v>0</v>
      </c>
      <c r="AD165" s="111">
        <v>0</v>
      </c>
      <c r="AE165" s="111">
        <v>0</v>
      </c>
      <c r="AF165" s="111">
        <v>0</v>
      </c>
      <c r="AG165" s="111">
        <v>0</v>
      </c>
      <c r="AH165" s="111">
        <v>0</v>
      </c>
      <c r="AI165" s="111">
        <v>0</v>
      </c>
      <c r="AJ165" s="111">
        <v>0</v>
      </c>
      <c r="AK165" s="111">
        <v>0</v>
      </c>
      <c r="AL165" s="111">
        <v>0</v>
      </c>
      <c r="AM165" s="111">
        <v>0</v>
      </c>
      <c r="AN165" s="111">
        <v>0</v>
      </c>
      <c r="AO165" s="111">
        <v>0</v>
      </c>
      <c r="AP165" s="111">
        <v>0</v>
      </c>
      <c r="AQ165" s="111">
        <v>0</v>
      </c>
      <c r="AR165" s="111">
        <v>0</v>
      </c>
      <c r="AS165" s="111">
        <v>0</v>
      </c>
      <c r="AT165" s="111">
        <v>0</v>
      </c>
      <c r="AU165" s="111">
        <v>0</v>
      </c>
      <c r="AV165" s="111">
        <v>0</v>
      </c>
      <c r="AW165" s="111">
        <v>0</v>
      </c>
      <c r="AX165" s="111">
        <v>0</v>
      </c>
      <c r="AY165" s="111">
        <v>0</v>
      </c>
    </row>
    <row r="166" spans="1:52" x14ac:dyDescent="0.2">
      <c r="A166" s="114"/>
      <c r="B166" s="135">
        <v>45</v>
      </c>
      <c r="C166" s="111">
        <v>0</v>
      </c>
      <c r="D166" s="111">
        <v>0</v>
      </c>
      <c r="E166" s="111">
        <v>0</v>
      </c>
      <c r="F166" s="111">
        <v>0</v>
      </c>
      <c r="G166" s="111">
        <v>0</v>
      </c>
      <c r="H166" s="111">
        <v>0</v>
      </c>
      <c r="I166" s="111">
        <v>0</v>
      </c>
      <c r="J166" s="111">
        <v>0</v>
      </c>
      <c r="K166" s="111">
        <v>0</v>
      </c>
      <c r="L166" s="111">
        <v>0</v>
      </c>
      <c r="M166" s="111">
        <v>0</v>
      </c>
      <c r="N166" s="111">
        <v>0</v>
      </c>
      <c r="O166" s="111">
        <v>0</v>
      </c>
      <c r="P166" s="111">
        <v>0</v>
      </c>
      <c r="Q166" s="111">
        <v>0</v>
      </c>
      <c r="R166" s="111">
        <v>0</v>
      </c>
      <c r="S166" s="111">
        <v>0</v>
      </c>
      <c r="T166" s="111">
        <v>0</v>
      </c>
      <c r="U166" s="111">
        <v>0</v>
      </c>
      <c r="V166" s="111">
        <v>0</v>
      </c>
      <c r="W166" s="111">
        <v>0</v>
      </c>
      <c r="X166" s="111">
        <v>0</v>
      </c>
      <c r="Y166" s="111">
        <v>0</v>
      </c>
      <c r="Z166" s="111">
        <v>0</v>
      </c>
      <c r="AA166" s="111">
        <v>0</v>
      </c>
      <c r="AB166" s="111">
        <v>0</v>
      </c>
      <c r="AC166" s="111">
        <v>0</v>
      </c>
      <c r="AD166" s="111">
        <v>0</v>
      </c>
      <c r="AE166" s="111">
        <v>0</v>
      </c>
      <c r="AF166" s="111">
        <v>0</v>
      </c>
      <c r="AG166" s="111">
        <v>0</v>
      </c>
      <c r="AH166" s="111">
        <v>0</v>
      </c>
      <c r="AI166" s="111">
        <v>0</v>
      </c>
      <c r="AJ166" s="111">
        <v>0</v>
      </c>
      <c r="AK166" s="111">
        <v>0</v>
      </c>
      <c r="AL166" s="111">
        <v>0</v>
      </c>
      <c r="AM166" s="111">
        <v>0</v>
      </c>
      <c r="AN166" s="111">
        <v>0</v>
      </c>
      <c r="AO166" s="111">
        <v>0</v>
      </c>
      <c r="AP166" s="111">
        <v>0</v>
      </c>
      <c r="AQ166" s="111">
        <v>0</v>
      </c>
      <c r="AR166" s="111">
        <v>0</v>
      </c>
      <c r="AS166" s="111">
        <v>0</v>
      </c>
      <c r="AT166" s="111">
        <v>0</v>
      </c>
      <c r="AU166" s="111">
        <v>0</v>
      </c>
      <c r="AV166" s="111">
        <v>0</v>
      </c>
      <c r="AW166" s="111">
        <v>0</v>
      </c>
      <c r="AX166" s="111">
        <v>0</v>
      </c>
      <c r="AY166" s="111">
        <v>0</v>
      </c>
    </row>
    <row r="167" spans="1:52" x14ac:dyDescent="0.2">
      <c r="A167" s="114"/>
      <c r="B167" s="135">
        <v>46</v>
      </c>
      <c r="C167" s="111">
        <v>0</v>
      </c>
      <c r="D167" s="111">
        <v>0</v>
      </c>
      <c r="E167" s="111">
        <v>0</v>
      </c>
      <c r="F167" s="111">
        <v>0</v>
      </c>
      <c r="G167" s="111">
        <v>0</v>
      </c>
      <c r="H167" s="111">
        <v>0</v>
      </c>
      <c r="I167" s="111">
        <v>0</v>
      </c>
      <c r="J167" s="111">
        <v>0</v>
      </c>
      <c r="K167" s="111">
        <v>0</v>
      </c>
      <c r="L167" s="111">
        <v>0</v>
      </c>
      <c r="M167" s="111">
        <v>0</v>
      </c>
      <c r="N167" s="111">
        <v>0</v>
      </c>
      <c r="O167" s="111">
        <v>0</v>
      </c>
      <c r="P167" s="111">
        <v>0</v>
      </c>
      <c r="Q167" s="111">
        <v>0</v>
      </c>
      <c r="R167" s="111">
        <v>0</v>
      </c>
      <c r="S167" s="111">
        <v>0</v>
      </c>
      <c r="T167" s="111">
        <v>0</v>
      </c>
      <c r="U167" s="111">
        <v>0</v>
      </c>
      <c r="V167" s="111">
        <v>0</v>
      </c>
      <c r="W167" s="111">
        <v>0</v>
      </c>
      <c r="X167" s="111">
        <v>0</v>
      </c>
      <c r="Y167" s="111">
        <v>0</v>
      </c>
      <c r="Z167" s="111">
        <v>0</v>
      </c>
      <c r="AA167" s="111">
        <v>0</v>
      </c>
      <c r="AB167" s="111">
        <v>0</v>
      </c>
      <c r="AC167" s="111">
        <v>0</v>
      </c>
      <c r="AD167" s="111">
        <v>0</v>
      </c>
      <c r="AE167" s="111">
        <v>0</v>
      </c>
      <c r="AF167" s="111">
        <v>0</v>
      </c>
      <c r="AG167" s="111">
        <v>0</v>
      </c>
      <c r="AH167" s="111">
        <v>0</v>
      </c>
      <c r="AI167" s="111">
        <v>0</v>
      </c>
      <c r="AJ167" s="111">
        <v>0</v>
      </c>
      <c r="AK167" s="111">
        <v>0</v>
      </c>
      <c r="AL167" s="111">
        <v>0</v>
      </c>
      <c r="AM167" s="111">
        <v>0</v>
      </c>
      <c r="AN167" s="111">
        <v>0</v>
      </c>
      <c r="AO167" s="111">
        <v>0</v>
      </c>
      <c r="AP167" s="111">
        <v>0</v>
      </c>
      <c r="AQ167" s="111">
        <v>0</v>
      </c>
      <c r="AR167" s="111">
        <v>0</v>
      </c>
      <c r="AS167" s="111">
        <v>0</v>
      </c>
      <c r="AT167" s="111">
        <v>0</v>
      </c>
      <c r="AU167" s="111">
        <v>0</v>
      </c>
      <c r="AV167" s="111">
        <v>0</v>
      </c>
      <c r="AW167" s="111">
        <v>0</v>
      </c>
      <c r="AX167" s="111">
        <v>0</v>
      </c>
      <c r="AY167" s="111">
        <v>0</v>
      </c>
    </row>
    <row r="168" spans="1:52" x14ac:dyDescent="0.2">
      <c r="A168" s="114"/>
      <c r="B168" s="135">
        <v>47</v>
      </c>
      <c r="C168" s="111">
        <v>0</v>
      </c>
      <c r="D168" s="111">
        <v>0</v>
      </c>
      <c r="E168" s="111">
        <v>0</v>
      </c>
      <c r="F168" s="111">
        <v>0</v>
      </c>
      <c r="G168" s="111">
        <v>0</v>
      </c>
      <c r="H168" s="111">
        <v>0</v>
      </c>
      <c r="I168" s="111">
        <v>0</v>
      </c>
      <c r="J168" s="111">
        <v>0</v>
      </c>
      <c r="K168" s="111">
        <v>0</v>
      </c>
      <c r="L168" s="111">
        <v>0</v>
      </c>
      <c r="M168" s="111">
        <v>0</v>
      </c>
      <c r="N168" s="111">
        <v>0</v>
      </c>
      <c r="O168" s="111">
        <v>0</v>
      </c>
      <c r="P168" s="111">
        <v>0</v>
      </c>
      <c r="Q168" s="111">
        <v>0</v>
      </c>
      <c r="R168" s="111">
        <v>0</v>
      </c>
      <c r="S168" s="111">
        <v>0</v>
      </c>
      <c r="T168" s="111">
        <v>0</v>
      </c>
      <c r="U168" s="111">
        <v>0</v>
      </c>
      <c r="V168" s="111">
        <v>0</v>
      </c>
      <c r="W168" s="111">
        <v>0</v>
      </c>
      <c r="X168" s="111">
        <v>0</v>
      </c>
      <c r="Y168" s="111">
        <v>0</v>
      </c>
      <c r="Z168" s="111">
        <v>0</v>
      </c>
      <c r="AA168" s="111">
        <v>0</v>
      </c>
      <c r="AB168" s="111">
        <v>0</v>
      </c>
      <c r="AC168" s="111">
        <v>0</v>
      </c>
      <c r="AD168" s="111">
        <v>0</v>
      </c>
      <c r="AE168" s="111">
        <v>0</v>
      </c>
      <c r="AF168" s="111">
        <v>0</v>
      </c>
      <c r="AG168" s="111">
        <v>0</v>
      </c>
      <c r="AH168" s="111">
        <v>0</v>
      </c>
      <c r="AI168" s="111">
        <v>0</v>
      </c>
      <c r="AJ168" s="111">
        <v>0</v>
      </c>
      <c r="AK168" s="111">
        <v>0</v>
      </c>
      <c r="AL168" s="111">
        <v>0</v>
      </c>
      <c r="AM168" s="111">
        <v>0</v>
      </c>
      <c r="AN168" s="111">
        <v>0</v>
      </c>
      <c r="AO168" s="111">
        <v>0</v>
      </c>
      <c r="AP168" s="111">
        <v>0</v>
      </c>
      <c r="AQ168" s="111">
        <v>0</v>
      </c>
      <c r="AR168" s="111">
        <v>0</v>
      </c>
      <c r="AS168" s="111">
        <v>0</v>
      </c>
      <c r="AT168" s="111">
        <v>0</v>
      </c>
      <c r="AU168" s="111">
        <v>0</v>
      </c>
      <c r="AV168" s="111">
        <v>0</v>
      </c>
      <c r="AW168" s="111">
        <v>0</v>
      </c>
      <c r="AX168" s="111">
        <v>0</v>
      </c>
      <c r="AY168" s="111">
        <v>0</v>
      </c>
    </row>
    <row r="169" spans="1:52" x14ac:dyDescent="0.2">
      <c r="A169" s="114"/>
      <c r="B169" s="135">
        <v>48</v>
      </c>
      <c r="C169" s="111">
        <v>0</v>
      </c>
      <c r="D169" s="111">
        <v>0</v>
      </c>
      <c r="E169" s="111">
        <v>0</v>
      </c>
      <c r="F169" s="111">
        <v>0</v>
      </c>
      <c r="G169" s="111">
        <v>0</v>
      </c>
      <c r="H169" s="111">
        <v>0</v>
      </c>
      <c r="I169" s="111">
        <v>0</v>
      </c>
      <c r="J169" s="111">
        <v>0</v>
      </c>
      <c r="K169" s="111">
        <v>0</v>
      </c>
      <c r="L169" s="111">
        <v>0</v>
      </c>
      <c r="M169" s="111">
        <v>0</v>
      </c>
      <c r="N169" s="111">
        <v>0</v>
      </c>
      <c r="O169" s="111">
        <v>0</v>
      </c>
      <c r="P169" s="111">
        <v>0</v>
      </c>
      <c r="Q169" s="111">
        <v>0</v>
      </c>
      <c r="R169" s="111">
        <v>0</v>
      </c>
      <c r="S169" s="111">
        <v>0</v>
      </c>
      <c r="T169" s="111">
        <v>0</v>
      </c>
      <c r="U169" s="111">
        <v>0</v>
      </c>
      <c r="V169" s="111">
        <v>0</v>
      </c>
      <c r="W169" s="111">
        <v>0</v>
      </c>
      <c r="X169" s="111">
        <v>0</v>
      </c>
      <c r="Y169" s="111">
        <v>0</v>
      </c>
      <c r="Z169" s="111">
        <v>0</v>
      </c>
      <c r="AA169" s="111">
        <v>0</v>
      </c>
      <c r="AB169" s="111">
        <v>0</v>
      </c>
      <c r="AC169" s="111">
        <v>0</v>
      </c>
      <c r="AD169" s="111">
        <v>0</v>
      </c>
      <c r="AE169" s="111">
        <v>0</v>
      </c>
      <c r="AF169" s="111">
        <v>0</v>
      </c>
      <c r="AG169" s="111">
        <v>0</v>
      </c>
      <c r="AH169" s="111">
        <v>0</v>
      </c>
      <c r="AI169" s="111">
        <v>0</v>
      </c>
      <c r="AJ169" s="111">
        <v>0</v>
      </c>
      <c r="AK169" s="111">
        <v>0</v>
      </c>
      <c r="AL169" s="111">
        <v>0</v>
      </c>
      <c r="AM169" s="111">
        <v>0</v>
      </c>
      <c r="AN169" s="111">
        <v>0</v>
      </c>
      <c r="AO169" s="111">
        <v>0</v>
      </c>
      <c r="AP169" s="111">
        <v>0</v>
      </c>
      <c r="AQ169" s="111">
        <v>0</v>
      </c>
      <c r="AR169" s="111">
        <v>0</v>
      </c>
      <c r="AS169" s="111">
        <v>0</v>
      </c>
      <c r="AT169" s="111">
        <v>0</v>
      </c>
      <c r="AU169" s="111">
        <v>0</v>
      </c>
      <c r="AV169" s="111">
        <v>0</v>
      </c>
      <c r="AW169" s="111">
        <v>0</v>
      </c>
      <c r="AX169" s="111">
        <v>0</v>
      </c>
      <c r="AY169" s="111">
        <v>0</v>
      </c>
    </row>
    <row r="170" spans="1:52" x14ac:dyDescent="0.2">
      <c r="A170" s="133"/>
      <c r="B170" s="137" t="s">
        <v>296</v>
      </c>
      <c r="C170" s="119">
        <v>0</v>
      </c>
      <c r="D170" s="130">
        <v>0</v>
      </c>
      <c r="E170" s="130">
        <v>0</v>
      </c>
      <c r="F170" s="130">
        <v>0</v>
      </c>
      <c r="G170" s="130">
        <v>0</v>
      </c>
      <c r="H170" s="130">
        <v>0</v>
      </c>
      <c r="I170" s="130">
        <v>0</v>
      </c>
      <c r="J170" s="130">
        <v>0</v>
      </c>
      <c r="K170" s="130">
        <v>0</v>
      </c>
      <c r="L170" s="130">
        <v>0</v>
      </c>
      <c r="M170" s="130">
        <v>0</v>
      </c>
      <c r="N170" s="130">
        <v>0</v>
      </c>
      <c r="O170" s="130">
        <v>0</v>
      </c>
      <c r="P170" s="130">
        <v>0</v>
      </c>
      <c r="Q170" s="130">
        <v>0</v>
      </c>
      <c r="R170" s="130">
        <v>0</v>
      </c>
      <c r="S170" s="130">
        <v>0</v>
      </c>
      <c r="T170" s="130">
        <v>0</v>
      </c>
      <c r="U170" s="130">
        <v>0</v>
      </c>
      <c r="V170" s="130">
        <v>0</v>
      </c>
      <c r="W170" s="130">
        <v>0</v>
      </c>
      <c r="X170" s="130">
        <v>0</v>
      </c>
      <c r="Y170" s="130">
        <v>0</v>
      </c>
      <c r="Z170" s="130">
        <v>0</v>
      </c>
      <c r="AA170" s="130">
        <v>0</v>
      </c>
      <c r="AB170" s="130">
        <v>0</v>
      </c>
      <c r="AC170" s="130">
        <v>0</v>
      </c>
      <c r="AD170" s="130">
        <v>0</v>
      </c>
      <c r="AE170" s="130">
        <v>0</v>
      </c>
      <c r="AF170" s="130">
        <v>0</v>
      </c>
      <c r="AG170" s="130">
        <v>0</v>
      </c>
      <c r="AH170" s="130">
        <v>0</v>
      </c>
      <c r="AI170" s="130">
        <v>0</v>
      </c>
      <c r="AJ170" s="130">
        <v>0</v>
      </c>
      <c r="AK170" s="130">
        <v>0</v>
      </c>
      <c r="AL170" s="130">
        <v>0</v>
      </c>
      <c r="AM170" s="130">
        <v>0</v>
      </c>
      <c r="AN170" s="130">
        <v>0</v>
      </c>
      <c r="AO170" s="130">
        <v>0</v>
      </c>
      <c r="AP170" s="130">
        <v>0</v>
      </c>
      <c r="AQ170" s="130">
        <v>0</v>
      </c>
      <c r="AR170" s="130">
        <v>0</v>
      </c>
      <c r="AS170" s="130">
        <v>0</v>
      </c>
      <c r="AT170" s="130">
        <v>0</v>
      </c>
      <c r="AU170" s="130">
        <v>0</v>
      </c>
      <c r="AV170" s="130">
        <v>0</v>
      </c>
      <c r="AW170" s="130">
        <v>0</v>
      </c>
      <c r="AX170" s="130">
        <v>0</v>
      </c>
      <c r="AY170" s="130">
        <v>0</v>
      </c>
      <c r="AZ170" s="112">
        <f>SUM($D170:$AY170)</f>
        <v>0</v>
      </c>
    </row>
    <row r="172" spans="1:52" x14ac:dyDescent="0.2">
      <c r="A172" s="107" t="s">
        <v>124</v>
      </c>
      <c r="B172" s="138" t="s">
        <v>297</v>
      </c>
      <c r="C172" s="139">
        <v>0.1</v>
      </c>
      <c r="D172" s="139">
        <v>0.1</v>
      </c>
      <c r="E172" s="139">
        <v>0.1</v>
      </c>
      <c r="F172" s="139">
        <v>0.1</v>
      </c>
      <c r="G172" s="139">
        <v>0.1</v>
      </c>
      <c r="H172" s="139">
        <v>0.1</v>
      </c>
      <c r="I172" s="139">
        <v>0.1</v>
      </c>
      <c r="J172" s="139">
        <v>0.1</v>
      </c>
      <c r="K172" s="139">
        <v>0.1</v>
      </c>
      <c r="L172" s="139">
        <v>0.1</v>
      </c>
      <c r="M172" s="139">
        <v>0.1</v>
      </c>
      <c r="N172" s="139">
        <v>0.1</v>
      </c>
      <c r="O172" s="139">
        <v>0.1</v>
      </c>
      <c r="P172" s="139">
        <v>0.1</v>
      </c>
      <c r="Q172" s="139">
        <v>0.1</v>
      </c>
      <c r="R172" s="139">
        <v>0.1</v>
      </c>
      <c r="S172" s="139">
        <v>0.1</v>
      </c>
      <c r="T172" s="139">
        <v>0.1</v>
      </c>
      <c r="U172" s="139">
        <v>0.1</v>
      </c>
      <c r="V172" s="139">
        <v>0.1</v>
      </c>
      <c r="W172" s="139">
        <v>0.1</v>
      </c>
      <c r="X172" s="139">
        <v>0.1</v>
      </c>
      <c r="Y172" s="139">
        <v>0.1</v>
      </c>
      <c r="Z172" s="139">
        <v>0.1</v>
      </c>
      <c r="AA172" s="139">
        <v>0.1</v>
      </c>
      <c r="AB172" s="139">
        <v>0.1</v>
      </c>
      <c r="AC172" s="139">
        <v>0.1</v>
      </c>
      <c r="AD172" s="139">
        <v>0.1</v>
      </c>
      <c r="AE172" s="139">
        <v>0.1</v>
      </c>
      <c r="AF172" s="139">
        <v>0.1</v>
      </c>
      <c r="AG172" s="139">
        <v>0.1</v>
      </c>
      <c r="AH172" s="139">
        <v>0.1</v>
      </c>
      <c r="AI172" s="139">
        <v>0.1</v>
      </c>
      <c r="AJ172" s="139">
        <v>0.1</v>
      </c>
      <c r="AK172" s="139">
        <v>0.1</v>
      </c>
      <c r="AL172" s="139">
        <v>0.1</v>
      </c>
      <c r="AM172" s="139">
        <v>0.1</v>
      </c>
      <c r="AN172" s="139">
        <v>0.1</v>
      </c>
      <c r="AO172" s="139">
        <v>0.1</v>
      </c>
      <c r="AP172" s="139">
        <v>0.1</v>
      </c>
      <c r="AQ172" s="139">
        <v>0.1</v>
      </c>
      <c r="AR172" s="139">
        <v>0.1</v>
      </c>
      <c r="AS172" s="139">
        <v>0.1</v>
      </c>
      <c r="AT172" s="139">
        <v>0.1</v>
      </c>
      <c r="AU172" s="139">
        <v>0.1</v>
      </c>
      <c r="AV172" s="139">
        <v>0.1</v>
      </c>
      <c r="AW172" s="139">
        <v>0.1</v>
      </c>
      <c r="AX172" s="139">
        <v>0.1</v>
      </c>
      <c r="AY172" s="139">
        <v>0.1</v>
      </c>
    </row>
    <row r="174" spans="1:52" x14ac:dyDescent="0.2">
      <c r="A174" s="107" t="s">
        <v>272</v>
      </c>
    </row>
    <row r="175" spans="1:52" x14ac:dyDescent="0.2">
      <c r="A175" s="140" t="s">
        <v>125</v>
      </c>
      <c r="B175" s="140" t="s">
        <v>298</v>
      </c>
      <c r="C175" s="129" t="s">
        <v>293</v>
      </c>
      <c r="D175" s="129">
        <f t="shared" ref="D175:AY175" si="1">SUM(D95:D98)</f>
        <v>0</v>
      </c>
      <c r="E175" s="129">
        <f t="shared" si="1"/>
        <v>0</v>
      </c>
      <c r="F175" s="129">
        <f t="shared" si="1"/>
        <v>0</v>
      </c>
      <c r="G175" s="129">
        <f t="shared" si="1"/>
        <v>0</v>
      </c>
      <c r="H175" s="129">
        <f t="shared" si="1"/>
        <v>0</v>
      </c>
      <c r="I175" s="129">
        <f t="shared" si="1"/>
        <v>66.303244076886529</v>
      </c>
      <c r="J175" s="129">
        <f t="shared" si="1"/>
        <v>270.48933804951997</v>
      </c>
      <c r="K175" s="129">
        <f t="shared" si="1"/>
        <v>270.48933804951997</v>
      </c>
      <c r="L175" s="129">
        <f t="shared" si="1"/>
        <v>300.54370894391104</v>
      </c>
      <c r="M175" s="129">
        <f t="shared" si="1"/>
        <v>300.54370894391104</v>
      </c>
      <c r="N175" s="129">
        <f t="shared" si="1"/>
        <v>365.08741788782208</v>
      </c>
      <c r="O175" s="129">
        <f t="shared" si="1"/>
        <v>314.65268607877374</v>
      </c>
      <c r="P175" s="129">
        <f t="shared" si="1"/>
        <v>300.54370894391104</v>
      </c>
      <c r="Q175" s="129">
        <f t="shared" si="1"/>
        <v>300.54370894391104</v>
      </c>
      <c r="R175" s="129">
        <f t="shared" si="1"/>
        <v>273.62957458469828</v>
      </c>
      <c r="S175" s="129">
        <f t="shared" si="1"/>
        <v>321.17328352860932</v>
      </c>
      <c r="T175" s="129">
        <f t="shared" si="1"/>
        <v>343.66262157812929</v>
      </c>
      <c r="U175" s="129">
        <f t="shared" si="1"/>
        <v>308.15195962764926</v>
      </c>
      <c r="V175" s="129">
        <f t="shared" si="1"/>
        <v>270.48933804951997</v>
      </c>
      <c r="W175" s="129">
        <f t="shared" si="1"/>
        <v>270.48933804951997</v>
      </c>
      <c r="X175" s="129">
        <f t="shared" si="1"/>
        <v>330.59807983830223</v>
      </c>
      <c r="Y175" s="129">
        <f t="shared" si="1"/>
        <v>404.09334338969518</v>
      </c>
      <c r="Z175" s="129">
        <f t="shared" si="1"/>
        <v>353.6914232279974</v>
      </c>
      <c r="AA175" s="129">
        <f t="shared" si="1"/>
        <v>333.28950306629963</v>
      </c>
      <c r="AB175" s="129">
        <f t="shared" si="1"/>
        <v>300.54370894391104</v>
      </c>
      <c r="AC175" s="129">
        <f t="shared" si="1"/>
        <v>300.54370894391104</v>
      </c>
      <c r="AD175" s="129">
        <f t="shared" si="1"/>
        <v>300.54370894391104</v>
      </c>
      <c r="AE175" s="129">
        <f t="shared" si="1"/>
        <v>328.08741788782208</v>
      </c>
      <c r="AF175" s="129">
        <f t="shared" si="1"/>
        <v>307.63112683173313</v>
      </c>
      <c r="AG175" s="129">
        <f t="shared" si="1"/>
        <v>347.17483577564417</v>
      </c>
      <c r="AH175" s="129">
        <f t="shared" si="1"/>
        <v>308.15979588183222</v>
      </c>
      <c r="AI175" s="129">
        <f t="shared" si="1"/>
        <v>304.70350482574327</v>
      </c>
      <c r="AJ175" s="129">
        <f t="shared" si="1"/>
        <v>309.19284287526324</v>
      </c>
      <c r="AK175" s="129">
        <f t="shared" si="1"/>
        <v>311.68218092478321</v>
      </c>
      <c r="AL175" s="129">
        <f t="shared" si="1"/>
        <v>288.17151897430318</v>
      </c>
      <c r="AM175" s="129">
        <f t="shared" si="1"/>
        <v>256.74331437814658</v>
      </c>
      <c r="AN175" s="129">
        <f t="shared" si="1"/>
        <v>300.54370894391104</v>
      </c>
      <c r="AO175" s="129">
        <f t="shared" si="1"/>
        <v>336.08741788782208</v>
      </c>
      <c r="AP175" s="129">
        <f t="shared" si="1"/>
        <v>232.72809694690068</v>
      </c>
      <c r="AQ175" s="129">
        <f t="shared" si="1"/>
        <v>300.54370894391104</v>
      </c>
      <c r="AR175" s="129">
        <f t="shared" si="1"/>
        <v>211.04880962619791</v>
      </c>
      <c r="AS175" s="129">
        <f t="shared" si="1"/>
        <v>196.32689926089802</v>
      </c>
      <c r="AT175" s="129">
        <f t="shared" si="1"/>
        <v>300.54370894391104</v>
      </c>
      <c r="AU175" s="129">
        <f t="shared" si="1"/>
        <v>306.67887962011173</v>
      </c>
      <c r="AV175" s="129">
        <f t="shared" si="1"/>
        <v>186.28083321391881</v>
      </c>
      <c r="AW175" s="129">
        <f t="shared" si="1"/>
        <v>289.12220280304899</v>
      </c>
      <c r="AX175" s="129">
        <f t="shared" si="1"/>
        <v>330.59807983830223</v>
      </c>
      <c r="AY175" s="129">
        <f t="shared" si="1"/>
        <v>252.98302175887409</v>
      </c>
    </row>
    <row r="176" spans="1:52" x14ac:dyDescent="0.2">
      <c r="A176" s="130"/>
      <c r="B176" s="141" t="s">
        <v>299</v>
      </c>
      <c r="C176" s="130" t="s">
        <v>293</v>
      </c>
      <c r="D176" s="130">
        <v>0</v>
      </c>
      <c r="E176" s="130">
        <v>0</v>
      </c>
      <c r="F176" s="130">
        <v>0</v>
      </c>
      <c r="G176" s="130">
        <v>0</v>
      </c>
      <c r="H176" s="130">
        <v>0</v>
      </c>
      <c r="I176" s="130">
        <v>66.303244076886529</v>
      </c>
      <c r="J176" s="130">
        <v>270.48933804951997</v>
      </c>
      <c r="K176" s="130">
        <v>270.48933804951997</v>
      </c>
      <c r="L176" s="130">
        <v>300.54370894391104</v>
      </c>
      <c r="M176" s="130">
        <v>236</v>
      </c>
      <c r="N176" s="130">
        <v>321</v>
      </c>
      <c r="O176" s="130">
        <v>314.65268607877374</v>
      </c>
      <c r="P176" s="130">
        <v>300.54370894391104</v>
      </c>
      <c r="Q176" s="130">
        <v>300.54370894391104</v>
      </c>
      <c r="R176" s="130">
        <v>253</v>
      </c>
      <c r="S176" s="130">
        <v>248</v>
      </c>
      <c r="T176" s="130">
        <v>306</v>
      </c>
      <c r="U176" s="130">
        <v>308.15195962764926</v>
      </c>
      <c r="V176" s="130">
        <v>270.48933804951997</v>
      </c>
      <c r="W176" s="130">
        <v>270.48933804951997</v>
      </c>
      <c r="X176" s="130">
        <v>255</v>
      </c>
      <c r="Y176" s="130">
        <v>381</v>
      </c>
      <c r="Z176" s="130">
        <v>351</v>
      </c>
      <c r="AA176" s="130">
        <v>333.28950306629963</v>
      </c>
      <c r="AB176" s="130">
        <v>300.54370894391104</v>
      </c>
      <c r="AC176" s="130">
        <v>300.54370894391104</v>
      </c>
      <c r="AD176" s="130">
        <v>273</v>
      </c>
      <c r="AE176" s="130">
        <v>321</v>
      </c>
      <c r="AF176" s="130">
        <v>261</v>
      </c>
      <c r="AG176" s="130">
        <v>242</v>
      </c>
      <c r="AH176" s="130">
        <v>304</v>
      </c>
      <c r="AI176" s="130">
        <v>266</v>
      </c>
      <c r="AJ176" s="130">
        <v>268</v>
      </c>
      <c r="AK176" s="130">
        <v>294</v>
      </c>
      <c r="AL176" s="130">
        <v>287</v>
      </c>
      <c r="AM176" s="130">
        <v>256.74331437814658</v>
      </c>
      <c r="AN176" s="130">
        <v>265</v>
      </c>
      <c r="AO176" s="130">
        <v>336.08741788782208</v>
      </c>
      <c r="AP176" s="130">
        <v>232.72809694690068</v>
      </c>
      <c r="AQ176" s="130">
        <v>300.54370894391104</v>
      </c>
      <c r="AR176" s="130">
        <v>211.04880962619791</v>
      </c>
      <c r="AS176" s="130">
        <v>196.32689926089802</v>
      </c>
      <c r="AT176" s="130">
        <v>240</v>
      </c>
      <c r="AU176" s="130">
        <v>306.67887962011173</v>
      </c>
      <c r="AV176" s="130">
        <v>186.28083321391881</v>
      </c>
      <c r="AW176" s="130">
        <v>289.12220280304899</v>
      </c>
      <c r="AX176" s="130">
        <v>263</v>
      </c>
      <c r="AY176" s="130">
        <v>252.98302175887409</v>
      </c>
    </row>
    <row r="177" spans="1:51" x14ac:dyDescent="0.2">
      <c r="A177" s="140" t="s">
        <v>133</v>
      </c>
      <c r="B177" s="140" t="s">
        <v>298</v>
      </c>
      <c r="C177" s="129" t="s">
        <v>293</v>
      </c>
      <c r="D177" s="129">
        <f t="shared" ref="D177:AY177" si="2">SUM(D100:D107)</f>
        <v>0</v>
      </c>
      <c r="E177" s="129">
        <f t="shared" si="2"/>
        <v>0</v>
      </c>
      <c r="F177" s="129">
        <f t="shared" si="2"/>
        <v>0</v>
      </c>
      <c r="G177" s="129">
        <f t="shared" si="2"/>
        <v>0</v>
      </c>
      <c r="H177" s="129">
        <f t="shared" si="2"/>
        <v>0</v>
      </c>
      <c r="I177" s="129">
        <f t="shared" si="2"/>
        <v>108.23677181837871</v>
      </c>
      <c r="J177" s="129">
        <f t="shared" si="2"/>
        <v>97.413094636540833</v>
      </c>
      <c r="K177" s="129">
        <f t="shared" si="2"/>
        <v>97.413094636540833</v>
      </c>
      <c r="L177" s="129">
        <f t="shared" si="2"/>
        <v>97.413094636540833</v>
      </c>
      <c r="M177" s="129">
        <f t="shared" si="2"/>
        <v>97.413094636540833</v>
      </c>
      <c r="N177" s="129">
        <f t="shared" si="2"/>
        <v>108.23677181837871</v>
      </c>
      <c r="O177" s="129">
        <f t="shared" si="2"/>
        <v>108.23677181837871</v>
      </c>
      <c r="P177" s="129">
        <f t="shared" si="2"/>
        <v>108.23677181837871</v>
      </c>
      <c r="Q177" s="129">
        <f t="shared" si="2"/>
        <v>108.23677181837871</v>
      </c>
      <c r="R177" s="129">
        <f t="shared" si="2"/>
        <v>108.23677181837871</v>
      </c>
      <c r="S177" s="129">
        <f t="shared" si="2"/>
        <v>108.23677181837871</v>
      </c>
      <c r="T177" s="129">
        <f t="shared" si="2"/>
        <v>108.23677181837871</v>
      </c>
      <c r="U177" s="129">
        <f t="shared" si="2"/>
        <v>108.23677181837871</v>
      </c>
      <c r="V177" s="129">
        <f t="shared" si="2"/>
        <v>97.413094636540833</v>
      </c>
      <c r="W177" s="129">
        <f t="shared" si="2"/>
        <v>97.413094636540833</v>
      </c>
      <c r="X177" s="129">
        <f t="shared" si="2"/>
        <v>97.413094636540833</v>
      </c>
      <c r="Y177" s="129">
        <f t="shared" si="2"/>
        <v>97.413094636540833</v>
      </c>
      <c r="Z177" s="129">
        <f t="shared" si="2"/>
        <v>119.06044900021661</v>
      </c>
      <c r="AA177" s="129">
        <f t="shared" si="2"/>
        <v>119.06044900021661</v>
      </c>
      <c r="AB177" s="129">
        <f t="shared" si="2"/>
        <v>119.06044900021661</v>
      </c>
      <c r="AC177" s="129">
        <f t="shared" si="2"/>
        <v>119.12089800043321</v>
      </c>
      <c r="AD177" s="129">
        <f t="shared" si="2"/>
        <v>108.23677181837871</v>
      </c>
      <c r="AE177" s="129">
        <f t="shared" si="2"/>
        <v>108.23677181837871</v>
      </c>
      <c r="AF177" s="129">
        <f t="shared" si="2"/>
        <v>108.23677181837871</v>
      </c>
      <c r="AG177" s="129">
        <f t="shared" si="2"/>
        <v>108.23677181837871</v>
      </c>
      <c r="AH177" s="129">
        <f t="shared" si="2"/>
        <v>108.23677181837871</v>
      </c>
      <c r="AI177" s="129">
        <f t="shared" si="2"/>
        <v>108.23677181837871</v>
      </c>
      <c r="AJ177" s="129">
        <f t="shared" si="2"/>
        <v>108.23677181837871</v>
      </c>
      <c r="AK177" s="129">
        <f t="shared" si="2"/>
        <v>0</v>
      </c>
      <c r="AL177" s="129">
        <f t="shared" si="2"/>
        <v>149.72527472527474</v>
      </c>
      <c r="AM177" s="129">
        <f t="shared" si="2"/>
        <v>97.413094636540833</v>
      </c>
      <c r="AN177" s="129">
        <f t="shared" si="2"/>
        <v>97.413094636540833</v>
      </c>
      <c r="AO177" s="129">
        <f t="shared" si="2"/>
        <v>97.413094636540833</v>
      </c>
      <c r="AP177" s="129">
        <f t="shared" si="2"/>
        <v>108.23677181837871</v>
      </c>
      <c r="AQ177" s="129">
        <f t="shared" si="2"/>
        <v>108.23677181837871</v>
      </c>
      <c r="AR177" s="129">
        <f t="shared" si="2"/>
        <v>108.23677181837871</v>
      </c>
      <c r="AS177" s="129">
        <f t="shared" si="2"/>
        <v>108.23677181837871</v>
      </c>
      <c r="AT177" s="129">
        <f t="shared" si="2"/>
        <v>108.23677181837871</v>
      </c>
      <c r="AU177" s="129">
        <f t="shared" si="2"/>
        <v>108.23677181837871</v>
      </c>
      <c r="AV177" s="129">
        <f t="shared" si="2"/>
        <v>108.23677181837871</v>
      </c>
      <c r="AW177" s="129">
        <f t="shared" si="2"/>
        <v>108.23677181837871</v>
      </c>
      <c r="AX177" s="129">
        <f t="shared" si="2"/>
        <v>119.06044900021661</v>
      </c>
      <c r="AY177" s="129">
        <f t="shared" si="2"/>
        <v>119.06044900021661</v>
      </c>
    </row>
    <row r="178" spans="1:51" x14ac:dyDescent="0.2">
      <c r="A178" s="130"/>
      <c r="B178" s="141" t="s">
        <v>299</v>
      </c>
      <c r="C178" s="130" t="s">
        <v>293</v>
      </c>
      <c r="D178" s="130">
        <v>0</v>
      </c>
      <c r="E178" s="130">
        <v>0</v>
      </c>
      <c r="F178" s="130">
        <v>0</v>
      </c>
      <c r="G178" s="130">
        <v>0</v>
      </c>
      <c r="H178" s="130">
        <v>0</v>
      </c>
      <c r="I178" s="130">
        <v>108.23677181837871</v>
      </c>
      <c r="J178" s="130">
        <v>97.413094636540833</v>
      </c>
      <c r="K178" s="130">
        <v>97.413094636540833</v>
      </c>
      <c r="L178" s="130">
        <v>97.413094636540833</v>
      </c>
      <c r="M178" s="130">
        <v>97.413094636540833</v>
      </c>
      <c r="N178" s="130">
        <v>108.23677181837871</v>
      </c>
      <c r="O178" s="130">
        <v>108.23677181837871</v>
      </c>
      <c r="P178" s="130">
        <v>108.23677181837871</v>
      </c>
      <c r="Q178" s="130">
        <v>108.23677181837871</v>
      </c>
      <c r="R178" s="130">
        <v>108.23677181837871</v>
      </c>
      <c r="S178" s="130">
        <v>108.23677181837871</v>
      </c>
      <c r="T178" s="130">
        <v>108.23677181837871</v>
      </c>
      <c r="U178" s="130">
        <v>108.23677181837871</v>
      </c>
      <c r="V178" s="130">
        <v>97.413094636540833</v>
      </c>
      <c r="W178" s="130">
        <v>97.413094636540833</v>
      </c>
      <c r="X178" s="130">
        <v>97.413094636540833</v>
      </c>
      <c r="Y178" s="130">
        <v>97.413094636540833</v>
      </c>
      <c r="Z178" s="130">
        <v>119.06044900021661</v>
      </c>
      <c r="AA178" s="130">
        <v>119.06044900021661</v>
      </c>
      <c r="AB178" s="130">
        <v>119</v>
      </c>
      <c r="AC178" s="130">
        <v>119.12089800043321</v>
      </c>
      <c r="AD178" s="130">
        <v>108.23677181837871</v>
      </c>
      <c r="AE178" s="130">
        <v>108.23677181837871</v>
      </c>
      <c r="AF178" s="130">
        <v>108.23677181837871</v>
      </c>
      <c r="AG178" s="130">
        <v>108.23677181837871</v>
      </c>
      <c r="AH178" s="130">
        <v>108.23677181837871</v>
      </c>
      <c r="AI178" s="130">
        <v>108.23677181837871</v>
      </c>
      <c r="AJ178" s="130">
        <v>108.23677181837871</v>
      </c>
      <c r="AK178" s="130">
        <v>0</v>
      </c>
      <c r="AL178" s="130">
        <v>149.72527472527474</v>
      </c>
      <c r="AM178" s="130">
        <v>97.413094636540833</v>
      </c>
      <c r="AN178" s="130">
        <v>97.413094636540833</v>
      </c>
      <c r="AO178" s="130">
        <v>97.413094636540833</v>
      </c>
      <c r="AP178" s="130">
        <v>108.23677181837871</v>
      </c>
      <c r="AQ178" s="130">
        <v>108.23677181837871</v>
      </c>
      <c r="AR178" s="130">
        <v>108.23677181837871</v>
      </c>
      <c r="AS178" s="130">
        <v>108.23677181837871</v>
      </c>
      <c r="AT178" s="130">
        <v>108.23677181837871</v>
      </c>
      <c r="AU178" s="130">
        <v>108.23677181837871</v>
      </c>
      <c r="AV178" s="130">
        <v>108.23677181837871</v>
      </c>
      <c r="AW178" s="130">
        <v>108.23677181837871</v>
      </c>
      <c r="AX178" s="130">
        <v>119.06044900021661</v>
      </c>
      <c r="AY178" s="130">
        <v>119.06044900021661</v>
      </c>
    </row>
    <row r="179" spans="1:51" x14ac:dyDescent="0.2">
      <c r="A179" s="140" t="s">
        <v>134</v>
      </c>
      <c r="B179" s="140" t="s">
        <v>298</v>
      </c>
      <c r="C179" s="129" t="s">
        <v>293</v>
      </c>
      <c r="D179" s="129">
        <f t="shared" ref="D179:AY179" si="3">SUM(D109:D120)</f>
        <v>0</v>
      </c>
      <c r="E179" s="129">
        <f t="shared" si="3"/>
        <v>0</v>
      </c>
      <c r="F179" s="129">
        <f t="shared" si="3"/>
        <v>0</v>
      </c>
      <c r="G179" s="129">
        <f t="shared" si="3"/>
        <v>0</v>
      </c>
      <c r="H179" s="129">
        <f t="shared" si="3"/>
        <v>0</v>
      </c>
      <c r="I179" s="129">
        <f t="shared" si="3"/>
        <v>140</v>
      </c>
      <c r="J179" s="129">
        <f t="shared" si="3"/>
        <v>148.54599841047349</v>
      </c>
      <c r="K179" s="129">
        <f t="shared" si="3"/>
        <v>151.36116330774826</v>
      </c>
      <c r="L179" s="129">
        <f t="shared" si="3"/>
        <v>139.39635282710245</v>
      </c>
      <c r="M179" s="129">
        <f t="shared" si="3"/>
        <v>116.50393210236449</v>
      </c>
      <c r="N179" s="129">
        <f t="shared" si="3"/>
        <v>115.19543188257651</v>
      </c>
      <c r="O179" s="129">
        <f t="shared" si="3"/>
        <v>103.73900129845094</v>
      </c>
      <c r="P179" s="129">
        <f t="shared" si="3"/>
        <v>107.73043689638516</v>
      </c>
      <c r="Q179" s="129">
        <f t="shared" si="3"/>
        <v>86.765370936577298</v>
      </c>
      <c r="R179" s="129">
        <f t="shared" si="3"/>
        <v>81.045998410473459</v>
      </c>
      <c r="S179" s="129">
        <f t="shared" si="3"/>
        <v>93.708765518644952</v>
      </c>
      <c r="T179" s="129">
        <f t="shared" si="3"/>
        <v>102.61778192777763</v>
      </c>
      <c r="U179" s="129">
        <f t="shared" si="3"/>
        <v>81.045998410473459</v>
      </c>
      <c r="V179" s="129">
        <f t="shared" si="3"/>
        <v>81.045998410473459</v>
      </c>
      <c r="W179" s="129">
        <f t="shared" si="3"/>
        <v>93.181288239289074</v>
      </c>
      <c r="X179" s="129">
        <f t="shared" si="3"/>
        <v>92.676527214962036</v>
      </c>
      <c r="Y179" s="129">
        <f t="shared" si="3"/>
        <v>95.282462587141211</v>
      </c>
      <c r="Z179" s="129">
        <f t="shared" si="3"/>
        <v>80.321109938662289</v>
      </c>
      <c r="AA179" s="129">
        <f t="shared" si="3"/>
        <v>81.770886882284614</v>
      </c>
      <c r="AB179" s="129">
        <f t="shared" si="3"/>
        <v>87.273728190805883</v>
      </c>
      <c r="AC179" s="129">
        <f t="shared" si="3"/>
        <v>81.770886882284614</v>
      </c>
      <c r="AD179" s="129">
        <f t="shared" si="3"/>
        <v>85.784258723009657</v>
      </c>
      <c r="AE179" s="129">
        <f t="shared" si="3"/>
        <v>93.6650900202564</v>
      </c>
      <c r="AF179" s="129">
        <f t="shared" si="3"/>
        <v>95.925090261097594</v>
      </c>
      <c r="AG179" s="129">
        <f t="shared" si="3"/>
        <v>97.534450837717117</v>
      </c>
      <c r="AH179" s="129">
        <f t="shared" si="3"/>
        <v>81.045998410473459</v>
      </c>
      <c r="AI179" s="129">
        <f t="shared" si="3"/>
        <v>97.917100773768198</v>
      </c>
      <c r="AJ179" s="129">
        <f t="shared" si="3"/>
        <v>102.16385088122594</v>
      </c>
      <c r="AK179" s="129">
        <f t="shared" si="3"/>
        <v>86.926459843170406</v>
      </c>
      <c r="AL179" s="129">
        <f t="shared" si="3"/>
        <v>78.723573535532253</v>
      </c>
      <c r="AM179" s="129">
        <f t="shared" si="3"/>
        <v>85.879687687773426</v>
      </c>
      <c r="AN179" s="129">
        <f t="shared" si="3"/>
        <v>95.996390329753922</v>
      </c>
      <c r="AO179" s="129">
        <f t="shared" si="3"/>
        <v>87.520828347673202</v>
      </c>
      <c r="AP179" s="129">
        <f t="shared" si="3"/>
        <v>87.520828347673202</v>
      </c>
      <c r="AQ179" s="129">
        <f t="shared" si="3"/>
        <v>97.151430288704759</v>
      </c>
      <c r="AR179" s="129">
        <f t="shared" si="3"/>
        <v>88.245716819484372</v>
      </c>
      <c r="AS179" s="129">
        <f t="shared" si="3"/>
        <v>102.12495807830639</v>
      </c>
      <c r="AT179" s="129">
        <f t="shared" si="3"/>
        <v>99.331137084241689</v>
      </c>
      <c r="AU179" s="129">
        <f t="shared" si="3"/>
        <v>102.62718036666608</v>
      </c>
      <c r="AV179" s="129">
        <f t="shared" si="3"/>
        <v>126.34192833687958</v>
      </c>
      <c r="AW179" s="129">
        <f t="shared" si="3"/>
        <v>125.10529815302942</v>
      </c>
      <c r="AX179" s="129">
        <f t="shared" si="3"/>
        <v>120.66064843893754</v>
      </c>
      <c r="AY179" s="129">
        <f t="shared" si="3"/>
        <v>99.370606899361931</v>
      </c>
    </row>
    <row r="180" spans="1:51" x14ac:dyDescent="0.2">
      <c r="A180" s="130"/>
      <c r="B180" s="141" t="s">
        <v>299</v>
      </c>
      <c r="C180" s="130" t="s">
        <v>293</v>
      </c>
      <c r="D180" s="130">
        <v>0</v>
      </c>
      <c r="E180" s="130">
        <v>0</v>
      </c>
      <c r="F180" s="130">
        <v>0</v>
      </c>
      <c r="G180" s="130">
        <v>0</v>
      </c>
      <c r="H180" s="130">
        <v>0</v>
      </c>
      <c r="I180" s="130">
        <v>100</v>
      </c>
      <c r="J180" s="130">
        <v>77.505945041387506</v>
      </c>
      <c r="K180" s="130">
        <v>92.285920419308113</v>
      </c>
      <c r="L180" s="130">
        <v>103.21353066340025</v>
      </c>
      <c r="M180" s="130">
        <v>81.629610158450262</v>
      </c>
      <c r="N180" s="130">
        <v>92.502428994599029</v>
      </c>
      <c r="O180" s="130">
        <v>83.345718482505461</v>
      </c>
      <c r="P180" s="130">
        <v>102.01106437028132</v>
      </c>
      <c r="Q180" s="130">
        <v>86.765370936577298</v>
      </c>
      <c r="R180" s="130">
        <v>81.045998410473459</v>
      </c>
      <c r="S180" s="130">
        <v>74.333369038625051</v>
      </c>
      <c r="T180" s="130">
        <v>102.61778192777763</v>
      </c>
      <c r="U180" s="130">
        <v>81.045998410473459</v>
      </c>
      <c r="V180" s="130">
        <v>68.185820109846674</v>
      </c>
      <c r="W180" s="130">
        <v>88.296287896800735</v>
      </c>
      <c r="X180" s="130">
        <v>83.597919962029351</v>
      </c>
      <c r="Y180" s="130">
        <v>95.282462587141211</v>
      </c>
      <c r="Z180" s="130">
        <v>80.321109938662289</v>
      </c>
      <c r="AA180" s="130">
        <v>76.268045573763345</v>
      </c>
      <c r="AB180" s="130">
        <v>87.273728190805883</v>
      </c>
      <c r="AC180" s="130">
        <v>77.757515041559572</v>
      </c>
      <c r="AD180" s="130">
        <v>73.783213803126898</v>
      </c>
      <c r="AE180" s="130">
        <v>78.785998169632265</v>
      </c>
      <c r="AF180" s="130">
        <v>79.436637833853936</v>
      </c>
      <c r="AG180" s="130">
        <v>97.534450837717117</v>
      </c>
      <c r="AH180" s="130">
        <v>73.384641025636824</v>
      </c>
      <c r="AI180" s="130">
        <v>80.790953250490446</v>
      </c>
      <c r="AJ180" s="130">
        <v>96.283389448528993</v>
      </c>
      <c r="AK180" s="130">
        <v>82</v>
      </c>
      <c r="AL180" s="130">
        <v>76.6684720675932</v>
      </c>
      <c r="AM180" s="130">
        <v>85.879687687773426</v>
      </c>
      <c r="AN180" s="130">
        <v>95.996390329753922</v>
      </c>
      <c r="AO180" s="130">
        <v>87.520828347673202</v>
      </c>
      <c r="AP180" s="130">
        <v>87.520828347673202</v>
      </c>
      <c r="AQ180" s="130">
        <v>97.151430288704759</v>
      </c>
      <c r="AR180" s="130">
        <v>85.367628914771885</v>
      </c>
      <c r="AS180" s="130">
        <v>102.12495807830639</v>
      </c>
      <c r="AT180" s="130">
        <v>84.949673537059965</v>
      </c>
      <c r="AU180" s="130">
        <v>64.530968849270863</v>
      </c>
      <c r="AV180" s="130">
        <v>99.150676846932456</v>
      </c>
      <c r="AW180" s="130">
        <v>92.198222436646162</v>
      </c>
      <c r="AX180" s="130">
        <v>103.06092842186023</v>
      </c>
      <c r="AY180" s="130">
        <v>99.370606899361931</v>
      </c>
    </row>
    <row r="181" spans="1:51" x14ac:dyDescent="0.2">
      <c r="A181" s="140" t="s">
        <v>123</v>
      </c>
      <c r="B181" s="140" t="s">
        <v>298</v>
      </c>
      <c r="C181" s="129" t="s">
        <v>293</v>
      </c>
      <c r="D181" s="129">
        <f t="shared" ref="D181:AY181" si="4">(1-D172)*SUM(D122:D169)</f>
        <v>1259.9999999999993</v>
      </c>
      <c r="E181" s="129">
        <f t="shared" si="4"/>
        <v>1260</v>
      </c>
      <c r="F181" s="129">
        <f t="shared" si="4"/>
        <v>1260</v>
      </c>
      <c r="G181" s="129">
        <f t="shared" si="4"/>
        <v>1259.9999999999998</v>
      </c>
      <c r="H181" s="129">
        <f t="shared" si="4"/>
        <v>1260</v>
      </c>
      <c r="I181" s="129">
        <f t="shared" si="4"/>
        <v>976.91398569426133</v>
      </c>
      <c r="J181" s="129">
        <f t="shared" si="4"/>
        <v>722.8899894479606</v>
      </c>
      <c r="K181" s="129">
        <f t="shared" si="4"/>
        <v>722.8899894479606</v>
      </c>
      <c r="L181" s="129">
        <f t="shared" si="4"/>
        <v>722.8899894479606</v>
      </c>
      <c r="M181" s="129">
        <f t="shared" si="4"/>
        <v>722.8899894479606</v>
      </c>
      <c r="N181" s="129">
        <f t="shared" si="4"/>
        <v>729.4139856942611</v>
      </c>
      <c r="O181" s="129">
        <f t="shared" si="4"/>
        <v>786.03438672395703</v>
      </c>
      <c r="P181" s="129">
        <f t="shared" si="4"/>
        <v>729.4139856942611</v>
      </c>
      <c r="Q181" s="129">
        <f t="shared" si="4"/>
        <v>729.4139856942611</v>
      </c>
      <c r="R181" s="129">
        <f t="shared" si="4"/>
        <v>843.37888966780463</v>
      </c>
      <c r="S181" s="129">
        <f t="shared" si="4"/>
        <v>749.18146902981948</v>
      </c>
      <c r="T181" s="129">
        <f t="shared" si="4"/>
        <v>729.4139856942611</v>
      </c>
      <c r="U181" s="129">
        <f t="shared" si="4"/>
        <v>729.4139856942611</v>
      </c>
      <c r="V181" s="129">
        <f t="shared" si="4"/>
        <v>722.8899894479606</v>
      </c>
      <c r="W181" s="129">
        <f t="shared" si="4"/>
        <v>790.12374185226315</v>
      </c>
      <c r="X181" s="129">
        <f t="shared" si="4"/>
        <v>775.8346980078768</v>
      </c>
      <c r="Y181" s="129">
        <f t="shared" si="4"/>
        <v>722.8899894479606</v>
      </c>
      <c r="Z181" s="129">
        <f t="shared" si="4"/>
        <v>735.93798194056149</v>
      </c>
      <c r="AA181" s="129">
        <f t="shared" si="4"/>
        <v>735.93798194056149</v>
      </c>
      <c r="AB181" s="129">
        <f t="shared" si="4"/>
        <v>735.93798194056149</v>
      </c>
      <c r="AC181" s="129">
        <f t="shared" si="4"/>
        <v>735.93798194056149</v>
      </c>
      <c r="AD181" s="129">
        <f t="shared" si="4"/>
        <v>734.97640590336277</v>
      </c>
      <c r="AE181" s="129">
        <f t="shared" si="4"/>
        <v>729.4139856942611</v>
      </c>
      <c r="AF181" s="129">
        <f t="shared" si="4"/>
        <v>729.4139856942611</v>
      </c>
      <c r="AG181" s="129">
        <f t="shared" si="4"/>
        <v>729.4139856942611</v>
      </c>
      <c r="AH181" s="129">
        <f t="shared" si="4"/>
        <v>812.30169050038398</v>
      </c>
      <c r="AI181" s="129">
        <f t="shared" si="4"/>
        <v>765.3393302215336</v>
      </c>
      <c r="AJ181" s="129">
        <f t="shared" si="4"/>
        <v>729.4139856942611</v>
      </c>
      <c r="AK181" s="129">
        <f t="shared" si="4"/>
        <v>664.17402323125668</v>
      </c>
      <c r="AL181" s="129">
        <f t="shared" si="4"/>
        <v>754.42127597850936</v>
      </c>
      <c r="AM181" s="129">
        <f t="shared" si="4"/>
        <v>863.96751296778518</v>
      </c>
      <c r="AN181" s="129">
        <f t="shared" si="4"/>
        <v>787.68745512905878</v>
      </c>
      <c r="AO181" s="129">
        <f t="shared" si="4"/>
        <v>787.68745512905878</v>
      </c>
      <c r="AP181" s="129">
        <f t="shared" si="4"/>
        <v>874.36287259834273</v>
      </c>
      <c r="AQ181" s="129">
        <f t="shared" si="4"/>
        <v>794.21145137535939</v>
      </c>
      <c r="AR181" s="129">
        <f t="shared" si="4"/>
        <v>893.22183156234519</v>
      </c>
      <c r="AS181" s="129">
        <f t="shared" si="4"/>
        <v>893.98023375817525</v>
      </c>
      <c r="AT181" s="129">
        <f t="shared" si="4"/>
        <v>794.21145137535927</v>
      </c>
      <c r="AU181" s="129">
        <f t="shared" si="4"/>
        <v>794.21145137535927</v>
      </c>
      <c r="AV181" s="129">
        <f t="shared" si="4"/>
        <v>881.22641996774064</v>
      </c>
      <c r="AW181" s="129">
        <f t="shared" si="4"/>
        <v>789.78215450298853</v>
      </c>
      <c r="AX181" s="129">
        <f t="shared" si="4"/>
        <v>735.93798194056149</v>
      </c>
      <c r="AY181" s="129">
        <f t="shared" si="4"/>
        <v>835.72733010739262</v>
      </c>
    </row>
    <row r="182" spans="1:51" x14ac:dyDescent="0.2">
      <c r="A182" s="130"/>
      <c r="B182" s="141" t="s">
        <v>299</v>
      </c>
      <c r="C182" s="130" t="s">
        <v>293</v>
      </c>
      <c r="D182" s="130">
        <v>613</v>
      </c>
      <c r="E182" s="130">
        <v>653</v>
      </c>
      <c r="F182" s="130">
        <v>543</v>
      </c>
      <c r="G182" s="130">
        <v>551</v>
      </c>
      <c r="H182" s="130">
        <v>985</v>
      </c>
      <c r="I182" s="130">
        <v>976.91398569426133</v>
      </c>
      <c r="J182" s="130">
        <v>722.8899894479606</v>
      </c>
      <c r="K182" s="130">
        <v>722.8899894479606</v>
      </c>
      <c r="L182" s="130">
        <v>722.8899894479606</v>
      </c>
      <c r="M182" s="130">
        <v>722.8899894479606</v>
      </c>
      <c r="N182" s="130">
        <v>666.50242899459897</v>
      </c>
      <c r="O182" s="130">
        <v>786.03438672395703</v>
      </c>
      <c r="P182" s="130">
        <v>729.4139856942611</v>
      </c>
      <c r="Q182" s="130">
        <v>602.78631461254611</v>
      </c>
      <c r="R182" s="130">
        <v>821.41501929496201</v>
      </c>
      <c r="S182" s="130">
        <v>749.18146902981948</v>
      </c>
      <c r="T182" s="130">
        <v>729.4139856942611</v>
      </c>
      <c r="U182" s="130">
        <v>729.4139856942611</v>
      </c>
      <c r="V182" s="130">
        <v>648.18582010984665</v>
      </c>
      <c r="W182" s="130">
        <v>731.29628789680078</v>
      </c>
      <c r="X182" s="130">
        <v>775.8346980078768</v>
      </c>
      <c r="Y182" s="130">
        <v>722.8899894479606</v>
      </c>
      <c r="Z182" s="130">
        <v>735.93798194056149</v>
      </c>
      <c r="AA182" s="130">
        <v>735.93798194056149</v>
      </c>
      <c r="AB182" s="130">
        <v>735.93798194056149</v>
      </c>
      <c r="AC182" s="130">
        <v>729.7575150415596</v>
      </c>
      <c r="AD182" s="130">
        <v>734.97640590336277</v>
      </c>
      <c r="AE182" s="130">
        <v>729.4139856942611</v>
      </c>
      <c r="AF182" s="130">
        <v>729.4139856942611</v>
      </c>
      <c r="AG182" s="130">
        <v>637.31653590968006</v>
      </c>
      <c r="AH182" s="130">
        <v>772.38464102563682</v>
      </c>
      <c r="AI182" s="130">
        <v>765.3393302215336</v>
      </c>
      <c r="AJ182" s="130">
        <v>729.4139856942611</v>
      </c>
      <c r="AK182" s="130">
        <v>664.17402323125668</v>
      </c>
      <c r="AL182" s="130">
        <v>597.66847206759314</v>
      </c>
      <c r="AM182" s="130">
        <v>863.96751296778518</v>
      </c>
      <c r="AN182" s="130">
        <v>787.68745512905878</v>
      </c>
      <c r="AO182" s="130">
        <v>698.63032043685484</v>
      </c>
      <c r="AP182" s="130">
        <v>874.36287259834273</v>
      </c>
      <c r="AQ182" s="130">
        <v>684.19991783426394</v>
      </c>
      <c r="AR182" s="130">
        <v>782.3676289147719</v>
      </c>
      <c r="AS182" s="130">
        <v>893.98023375817525</v>
      </c>
      <c r="AT182" s="130">
        <v>794.21145137535927</v>
      </c>
      <c r="AU182" s="130">
        <v>625.53096884927083</v>
      </c>
      <c r="AV182" s="130">
        <v>814.15067684693247</v>
      </c>
      <c r="AW182" s="130">
        <v>789.78215450298853</v>
      </c>
      <c r="AX182" s="130">
        <v>625.06092842186024</v>
      </c>
      <c r="AY182" s="130">
        <v>795.69521961326336</v>
      </c>
    </row>
    <row r="184" spans="1:51" x14ac:dyDescent="0.2">
      <c r="A184" s="107" t="s">
        <v>300</v>
      </c>
    </row>
    <row r="185" spans="1:51" x14ac:dyDescent="0.2">
      <c r="A185" s="131" t="s">
        <v>125</v>
      </c>
      <c r="B185" s="128">
        <v>1</v>
      </c>
      <c r="C185" s="129">
        <v>0</v>
      </c>
      <c r="D185" s="129">
        <v>0</v>
      </c>
      <c r="E185" s="129">
        <v>0</v>
      </c>
      <c r="F185" s="129">
        <v>0</v>
      </c>
      <c r="G185" s="129">
        <v>0</v>
      </c>
      <c r="H185" s="129">
        <v>0</v>
      </c>
      <c r="I185" s="129">
        <v>66.303244076886529</v>
      </c>
      <c r="J185" s="129">
        <v>270.48933804951997</v>
      </c>
      <c r="K185" s="129">
        <v>270.48933804951997</v>
      </c>
      <c r="L185" s="129">
        <v>300.54370894391104</v>
      </c>
      <c r="M185" s="129">
        <v>236</v>
      </c>
      <c r="N185" s="129">
        <v>256.45629105608896</v>
      </c>
      <c r="O185" s="129">
        <v>300.54370894391104</v>
      </c>
      <c r="P185" s="129">
        <v>300.54370894391104</v>
      </c>
      <c r="Q185" s="129">
        <v>300.54370894391104</v>
      </c>
      <c r="R185" s="129">
        <v>253</v>
      </c>
      <c r="S185" s="129">
        <v>227.37042541530172</v>
      </c>
      <c r="T185" s="129">
        <v>232.82671647139068</v>
      </c>
      <c r="U185" s="129">
        <v>270.48933804951997</v>
      </c>
      <c r="V185" s="129">
        <v>270.48933804951997</v>
      </c>
      <c r="W185" s="129">
        <v>270.48933804951997</v>
      </c>
      <c r="X185" s="129">
        <v>255</v>
      </c>
      <c r="Y185" s="129">
        <v>307.50473644860705</v>
      </c>
      <c r="Z185" s="129">
        <v>327.90665661030482</v>
      </c>
      <c r="AA185" s="129">
        <v>330.59807983830223</v>
      </c>
      <c r="AB185" s="129">
        <v>300.54370894391104</v>
      </c>
      <c r="AC185" s="129">
        <v>300.54370894391104</v>
      </c>
      <c r="AD185" s="129">
        <v>273</v>
      </c>
      <c r="AE185" s="129">
        <v>293.45629105608896</v>
      </c>
      <c r="AF185" s="129">
        <v>253.91258211217792</v>
      </c>
      <c r="AG185" s="129">
        <v>195.36887316826687</v>
      </c>
      <c r="AH185" s="129">
        <v>296.38391306207882</v>
      </c>
      <c r="AI185" s="129">
        <v>261.84020411816778</v>
      </c>
      <c r="AJ185" s="129">
        <v>229.29649517425673</v>
      </c>
      <c r="AK185" s="129">
        <v>252.80715712473676</v>
      </c>
      <c r="AL185" s="129">
        <v>269.31781907521679</v>
      </c>
      <c r="AM185" s="129">
        <v>256.74331437814658</v>
      </c>
      <c r="AN185" s="129">
        <v>265</v>
      </c>
      <c r="AO185" s="129">
        <v>300.54370894391104</v>
      </c>
      <c r="AP185" s="129">
        <v>232.72809694690068</v>
      </c>
      <c r="AQ185" s="129">
        <v>300.54370894391104</v>
      </c>
      <c r="AR185" s="129">
        <v>211.04880962619791</v>
      </c>
      <c r="AS185" s="129">
        <v>196.32689926089802</v>
      </c>
      <c r="AT185" s="129">
        <v>240</v>
      </c>
      <c r="AU185" s="129">
        <v>300.54370894391104</v>
      </c>
      <c r="AV185" s="129">
        <v>186.28083321391881</v>
      </c>
      <c r="AW185" s="129">
        <v>289.12220280304899</v>
      </c>
      <c r="AX185" s="129">
        <v>263</v>
      </c>
      <c r="AY185" s="129">
        <v>252.98302175887409</v>
      </c>
    </row>
    <row r="186" spans="1:51" x14ac:dyDescent="0.2">
      <c r="A186" s="114"/>
      <c r="B186" s="125">
        <v>2</v>
      </c>
      <c r="C186" s="111">
        <v>0</v>
      </c>
      <c r="D186" s="111">
        <v>0</v>
      </c>
      <c r="E186" s="111">
        <v>0</v>
      </c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11">
        <v>0</v>
      </c>
      <c r="M186" s="111">
        <v>0</v>
      </c>
      <c r="N186" s="111">
        <v>64.543708943911042</v>
      </c>
      <c r="O186" s="111">
        <v>14.108977134862698</v>
      </c>
      <c r="P186" s="111">
        <v>0</v>
      </c>
      <c r="Q186" s="111">
        <v>0</v>
      </c>
      <c r="R186" s="111">
        <v>0</v>
      </c>
      <c r="S186" s="111">
        <v>20.629574584698275</v>
      </c>
      <c r="T186" s="111">
        <v>73.173283528609318</v>
      </c>
      <c r="U186" s="111">
        <v>37.66262157812929</v>
      </c>
      <c r="V186" s="111">
        <v>0</v>
      </c>
      <c r="W186" s="111">
        <v>0</v>
      </c>
      <c r="X186" s="111">
        <v>0</v>
      </c>
      <c r="Y186" s="111">
        <v>73.495263551392952</v>
      </c>
      <c r="Z186" s="111">
        <v>23.093343389695178</v>
      </c>
      <c r="AA186" s="111">
        <v>2.6914232279974044</v>
      </c>
      <c r="AB186" s="111">
        <v>0</v>
      </c>
      <c r="AC186" s="111">
        <v>0</v>
      </c>
      <c r="AD186" s="111">
        <v>0</v>
      </c>
      <c r="AE186" s="111">
        <v>27.543708943911042</v>
      </c>
      <c r="AF186" s="111">
        <v>7.0874178878220846</v>
      </c>
      <c r="AG186" s="111">
        <v>46.631126831733127</v>
      </c>
      <c r="AH186" s="111">
        <v>7.6160869379211817</v>
      </c>
      <c r="AI186" s="111">
        <v>4.159795881832224</v>
      </c>
      <c r="AJ186" s="111">
        <v>38.703504825743266</v>
      </c>
      <c r="AK186" s="111">
        <v>41.192842875263239</v>
      </c>
      <c r="AL186" s="111">
        <v>17.682180924783211</v>
      </c>
      <c r="AM186" s="111">
        <v>0</v>
      </c>
      <c r="AN186" s="111">
        <v>0</v>
      </c>
      <c r="AO186" s="111">
        <v>35.543708943911042</v>
      </c>
      <c r="AP186" s="111">
        <v>0</v>
      </c>
      <c r="AQ186" s="111">
        <v>0</v>
      </c>
      <c r="AR186" s="111">
        <v>0</v>
      </c>
      <c r="AS186" s="111">
        <v>0</v>
      </c>
      <c r="AT186" s="111">
        <v>0</v>
      </c>
      <c r="AU186" s="111">
        <v>6.135170676200687</v>
      </c>
      <c r="AV186" s="111">
        <v>0</v>
      </c>
      <c r="AW186" s="111">
        <v>0</v>
      </c>
      <c r="AX186" s="111">
        <v>0</v>
      </c>
      <c r="AY186" s="111">
        <v>0</v>
      </c>
    </row>
    <row r="187" spans="1:51" x14ac:dyDescent="0.2">
      <c r="A187" s="114"/>
      <c r="B187" s="132">
        <v>3</v>
      </c>
      <c r="C187" s="111">
        <v>0</v>
      </c>
      <c r="D187" s="111">
        <v>0</v>
      </c>
      <c r="E187" s="111">
        <v>0</v>
      </c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11">
        <v>0</v>
      </c>
      <c r="N187" s="111">
        <v>0</v>
      </c>
      <c r="O187" s="111">
        <v>0</v>
      </c>
      <c r="P187" s="111">
        <v>0</v>
      </c>
      <c r="Q187" s="111">
        <v>0</v>
      </c>
      <c r="R187" s="111">
        <v>0</v>
      </c>
      <c r="S187" s="111">
        <v>0</v>
      </c>
      <c r="T187" s="111">
        <v>0</v>
      </c>
      <c r="U187" s="111">
        <v>0</v>
      </c>
      <c r="V187" s="111">
        <v>0</v>
      </c>
      <c r="W187" s="111">
        <v>0</v>
      </c>
      <c r="X187" s="111">
        <v>0</v>
      </c>
      <c r="Y187" s="111">
        <v>0</v>
      </c>
      <c r="Z187" s="111">
        <v>0</v>
      </c>
      <c r="AA187" s="111">
        <v>0</v>
      </c>
      <c r="AB187" s="111">
        <v>0</v>
      </c>
      <c r="AC187" s="111">
        <v>0</v>
      </c>
      <c r="AD187" s="111">
        <v>0</v>
      </c>
      <c r="AE187" s="111">
        <v>0</v>
      </c>
      <c r="AF187" s="111">
        <v>0</v>
      </c>
      <c r="AG187" s="111">
        <v>0</v>
      </c>
      <c r="AH187" s="111">
        <v>0</v>
      </c>
      <c r="AI187" s="111">
        <v>0</v>
      </c>
      <c r="AJ187" s="111">
        <v>0</v>
      </c>
      <c r="AK187" s="111">
        <v>0</v>
      </c>
      <c r="AL187" s="111">
        <v>0</v>
      </c>
      <c r="AM187" s="111">
        <v>0</v>
      </c>
      <c r="AN187" s="111">
        <v>0</v>
      </c>
      <c r="AO187" s="111">
        <v>0</v>
      </c>
      <c r="AP187" s="111">
        <v>0</v>
      </c>
      <c r="AQ187" s="111">
        <v>0</v>
      </c>
      <c r="AR187" s="111">
        <v>0</v>
      </c>
      <c r="AS187" s="111">
        <v>0</v>
      </c>
      <c r="AT187" s="111">
        <v>0</v>
      </c>
      <c r="AU187" s="111">
        <v>0</v>
      </c>
      <c r="AV187" s="111">
        <v>0</v>
      </c>
      <c r="AW187" s="111">
        <v>0</v>
      </c>
      <c r="AX187" s="111">
        <v>0</v>
      </c>
      <c r="AY187" s="111">
        <v>0</v>
      </c>
    </row>
    <row r="188" spans="1:51" x14ac:dyDescent="0.2">
      <c r="A188" s="133"/>
      <c r="B188" s="134">
        <v>4</v>
      </c>
      <c r="C188" s="111">
        <v>0</v>
      </c>
      <c r="D188" s="111">
        <v>0</v>
      </c>
      <c r="E188" s="111">
        <v>0</v>
      </c>
      <c r="F188" s="111">
        <v>0</v>
      </c>
      <c r="G188" s="111">
        <v>0</v>
      </c>
      <c r="H188" s="111">
        <v>0</v>
      </c>
      <c r="I188" s="111">
        <v>0</v>
      </c>
      <c r="J188" s="111">
        <v>0</v>
      </c>
      <c r="K188" s="111">
        <v>0</v>
      </c>
      <c r="L188" s="111">
        <v>0</v>
      </c>
      <c r="M188" s="111">
        <v>0</v>
      </c>
      <c r="N188" s="111">
        <v>0</v>
      </c>
      <c r="O188" s="111">
        <v>0</v>
      </c>
      <c r="P188" s="111">
        <v>0</v>
      </c>
      <c r="Q188" s="111">
        <v>0</v>
      </c>
      <c r="R188" s="111">
        <v>0</v>
      </c>
      <c r="S188" s="111">
        <v>0</v>
      </c>
      <c r="T188" s="111">
        <v>0</v>
      </c>
      <c r="U188" s="111">
        <v>0</v>
      </c>
      <c r="V188" s="111">
        <v>0</v>
      </c>
      <c r="W188" s="111">
        <v>0</v>
      </c>
      <c r="X188" s="111">
        <v>0</v>
      </c>
      <c r="Y188" s="111">
        <v>0</v>
      </c>
      <c r="Z188" s="111">
        <v>0</v>
      </c>
      <c r="AA188" s="111">
        <v>0</v>
      </c>
      <c r="AB188" s="111">
        <v>0</v>
      </c>
      <c r="AC188" s="111">
        <v>0</v>
      </c>
      <c r="AD188" s="111">
        <v>0</v>
      </c>
      <c r="AE188" s="111">
        <v>0</v>
      </c>
      <c r="AF188" s="111">
        <v>0</v>
      </c>
      <c r="AG188" s="111">
        <v>0</v>
      </c>
      <c r="AH188" s="111">
        <v>0</v>
      </c>
      <c r="AI188" s="111">
        <v>0</v>
      </c>
      <c r="AJ188" s="111">
        <v>0</v>
      </c>
      <c r="AK188" s="111">
        <v>0</v>
      </c>
      <c r="AL188" s="111">
        <v>0</v>
      </c>
      <c r="AM188" s="111">
        <v>0</v>
      </c>
      <c r="AN188" s="111">
        <v>0</v>
      </c>
      <c r="AO188" s="111">
        <v>0</v>
      </c>
      <c r="AP188" s="111">
        <v>0</v>
      </c>
      <c r="AQ188" s="111">
        <v>0</v>
      </c>
      <c r="AR188" s="111">
        <v>0</v>
      </c>
      <c r="AS188" s="111">
        <v>0</v>
      </c>
      <c r="AT188" s="111">
        <v>0</v>
      </c>
      <c r="AU188" s="111">
        <v>0</v>
      </c>
      <c r="AV188" s="111">
        <v>0</v>
      </c>
      <c r="AW188" s="111">
        <v>0</v>
      </c>
      <c r="AX188" s="111">
        <v>0</v>
      </c>
      <c r="AY188" s="111">
        <v>0</v>
      </c>
    </row>
    <row r="189" spans="1:51" x14ac:dyDescent="0.2">
      <c r="A189" s="131" t="s">
        <v>133</v>
      </c>
      <c r="B189" s="128">
        <v>1</v>
      </c>
      <c r="C189" s="129">
        <v>34.639818089944342</v>
      </c>
      <c r="D189" s="129">
        <v>0</v>
      </c>
      <c r="E189" s="129">
        <v>0</v>
      </c>
      <c r="F189" s="129">
        <v>0</v>
      </c>
      <c r="G189" s="129">
        <v>0</v>
      </c>
      <c r="H189" s="129">
        <v>0</v>
      </c>
      <c r="I189" s="129">
        <v>108.23677181837871</v>
      </c>
      <c r="J189" s="129">
        <v>97.413094636540833</v>
      </c>
      <c r="K189" s="129">
        <v>97.413094636540833</v>
      </c>
      <c r="L189" s="129">
        <v>97.413094636540833</v>
      </c>
      <c r="M189" s="129">
        <v>97.413094636540833</v>
      </c>
      <c r="N189" s="129">
        <v>108.23677181837871</v>
      </c>
      <c r="O189" s="129">
        <v>108.23677181837871</v>
      </c>
      <c r="P189" s="129">
        <v>108.23677181837871</v>
      </c>
      <c r="Q189" s="129">
        <v>108.23677181837871</v>
      </c>
      <c r="R189" s="129">
        <v>108.23677181837871</v>
      </c>
      <c r="S189" s="129">
        <v>108.23677181837871</v>
      </c>
      <c r="T189" s="129">
        <v>108.23677181837871</v>
      </c>
      <c r="U189" s="129">
        <v>108.23677181837871</v>
      </c>
      <c r="V189" s="129">
        <v>97.413094636540833</v>
      </c>
      <c r="W189" s="129">
        <v>97.413094636540833</v>
      </c>
      <c r="X189" s="129">
        <v>97.413094636540833</v>
      </c>
      <c r="Y189" s="129">
        <v>97.413094636540833</v>
      </c>
      <c r="Z189" s="129">
        <v>119.06044900021661</v>
      </c>
      <c r="AA189" s="129">
        <v>119.06044900021661</v>
      </c>
      <c r="AB189" s="129">
        <v>119</v>
      </c>
      <c r="AC189" s="129">
        <v>119.06044900021661</v>
      </c>
      <c r="AD189" s="129">
        <v>108.23677181837871</v>
      </c>
      <c r="AE189" s="129">
        <v>108.23677181837871</v>
      </c>
      <c r="AF189" s="129">
        <v>108.23677181837871</v>
      </c>
      <c r="AG189" s="129">
        <v>108.23677181837871</v>
      </c>
      <c r="AH189" s="129">
        <v>108.23677181837871</v>
      </c>
      <c r="AI189" s="129">
        <v>108.23677181837871</v>
      </c>
      <c r="AJ189" s="129">
        <v>108.23677181837871</v>
      </c>
      <c r="AK189" s="129">
        <v>0</v>
      </c>
      <c r="AL189" s="129">
        <v>149.72527472527474</v>
      </c>
      <c r="AM189" s="129">
        <v>97.413094636540833</v>
      </c>
      <c r="AN189" s="129">
        <v>97.413094636540833</v>
      </c>
      <c r="AO189" s="129">
        <v>97.413094636540833</v>
      </c>
      <c r="AP189" s="129">
        <v>108.23677181837871</v>
      </c>
      <c r="AQ189" s="129">
        <v>108.23677181837871</v>
      </c>
      <c r="AR189" s="129">
        <v>108.23677181837871</v>
      </c>
      <c r="AS189" s="129">
        <v>108.23677181837871</v>
      </c>
      <c r="AT189" s="129">
        <v>108.23677181837871</v>
      </c>
      <c r="AU189" s="129">
        <v>108.23677181837871</v>
      </c>
      <c r="AV189" s="129">
        <v>108.23677181837871</v>
      </c>
      <c r="AW189" s="129">
        <v>108.23677181837871</v>
      </c>
      <c r="AX189" s="129">
        <v>119.06044900021661</v>
      </c>
      <c r="AY189" s="129">
        <v>119.06044900021661</v>
      </c>
    </row>
    <row r="190" spans="1:51" x14ac:dyDescent="0.2">
      <c r="A190" s="114"/>
      <c r="B190" s="124">
        <v>2</v>
      </c>
      <c r="C190" s="111">
        <v>70.360181910055658</v>
      </c>
      <c r="D190" s="111">
        <v>0</v>
      </c>
      <c r="E190" s="111">
        <v>0</v>
      </c>
      <c r="F190" s="111">
        <v>0</v>
      </c>
      <c r="G190" s="111">
        <v>0</v>
      </c>
      <c r="H190" s="111">
        <v>0</v>
      </c>
      <c r="I190" s="111">
        <v>0</v>
      </c>
      <c r="J190" s="111">
        <v>0</v>
      </c>
      <c r="K190" s="111">
        <v>0</v>
      </c>
      <c r="L190" s="111">
        <v>0</v>
      </c>
      <c r="M190" s="111">
        <v>0</v>
      </c>
      <c r="N190" s="111">
        <v>0</v>
      </c>
      <c r="O190" s="111">
        <v>0</v>
      </c>
      <c r="P190" s="111">
        <v>0</v>
      </c>
      <c r="Q190" s="111">
        <v>0</v>
      </c>
      <c r="R190" s="111">
        <v>0</v>
      </c>
      <c r="S190" s="111">
        <v>0</v>
      </c>
      <c r="T190" s="111">
        <v>0</v>
      </c>
      <c r="U190" s="111">
        <v>0</v>
      </c>
      <c r="V190" s="111">
        <v>0</v>
      </c>
      <c r="W190" s="111">
        <v>0</v>
      </c>
      <c r="X190" s="111">
        <v>0</v>
      </c>
      <c r="Y190" s="111">
        <v>0</v>
      </c>
      <c r="Z190" s="111">
        <v>0</v>
      </c>
      <c r="AA190" s="111">
        <v>0</v>
      </c>
      <c r="AB190" s="111">
        <v>0</v>
      </c>
      <c r="AC190" s="111">
        <v>6.0449000216607374E-2</v>
      </c>
      <c r="AD190" s="111">
        <v>0</v>
      </c>
      <c r="AE190" s="111">
        <v>0</v>
      </c>
      <c r="AF190" s="111">
        <v>0</v>
      </c>
      <c r="AG190" s="111">
        <v>0</v>
      </c>
      <c r="AH190" s="111">
        <v>0</v>
      </c>
      <c r="AI190" s="111">
        <v>0</v>
      </c>
      <c r="AJ190" s="111">
        <v>0</v>
      </c>
      <c r="AK190" s="111">
        <v>0</v>
      </c>
      <c r="AL190" s="111">
        <v>0</v>
      </c>
      <c r="AM190" s="111">
        <v>0</v>
      </c>
      <c r="AN190" s="111">
        <v>0</v>
      </c>
      <c r="AO190" s="111">
        <v>0</v>
      </c>
      <c r="AP190" s="111">
        <v>0</v>
      </c>
      <c r="AQ190" s="111">
        <v>0</v>
      </c>
      <c r="AR190" s="111">
        <v>0</v>
      </c>
      <c r="AS190" s="111">
        <v>0</v>
      </c>
      <c r="AT190" s="111">
        <v>0</v>
      </c>
      <c r="AU190" s="111">
        <v>0</v>
      </c>
      <c r="AV190" s="111">
        <v>0</v>
      </c>
      <c r="AW190" s="111">
        <v>0</v>
      </c>
      <c r="AX190" s="111">
        <v>0</v>
      </c>
      <c r="AY190" s="111">
        <v>0</v>
      </c>
    </row>
    <row r="191" spans="1:51" x14ac:dyDescent="0.2">
      <c r="A191" s="114"/>
      <c r="B191" s="125">
        <v>3</v>
      </c>
      <c r="C191" s="111">
        <v>0</v>
      </c>
      <c r="D191" s="111">
        <v>0</v>
      </c>
      <c r="E191" s="111">
        <v>0</v>
      </c>
      <c r="F191" s="111">
        <v>0</v>
      </c>
      <c r="G191" s="111">
        <v>0</v>
      </c>
      <c r="H191" s="111">
        <v>0</v>
      </c>
      <c r="I191" s="111">
        <v>0</v>
      </c>
      <c r="J191" s="111">
        <v>0</v>
      </c>
      <c r="K191" s="111">
        <v>0</v>
      </c>
      <c r="L191" s="111">
        <v>0</v>
      </c>
      <c r="M191" s="111">
        <v>0</v>
      </c>
      <c r="N191" s="111">
        <v>0</v>
      </c>
      <c r="O191" s="111">
        <v>0</v>
      </c>
      <c r="P191" s="111">
        <v>0</v>
      </c>
      <c r="Q191" s="111">
        <v>0</v>
      </c>
      <c r="R191" s="111">
        <v>0</v>
      </c>
      <c r="S191" s="111">
        <v>0</v>
      </c>
      <c r="T191" s="111">
        <v>0</v>
      </c>
      <c r="U191" s="111">
        <v>0</v>
      </c>
      <c r="V191" s="111">
        <v>0</v>
      </c>
      <c r="W191" s="111">
        <v>0</v>
      </c>
      <c r="X191" s="111">
        <v>0</v>
      </c>
      <c r="Y191" s="111">
        <v>0</v>
      </c>
      <c r="Z191" s="111">
        <v>0</v>
      </c>
      <c r="AA191" s="111">
        <v>0</v>
      </c>
      <c r="AB191" s="111">
        <v>0</v>
      </c>
      <c r="AC191" s="111">
        <v>0</v>
      </c>
      <c r="AD191" s="111">
        <v>0</v>
      </c>
      <c r="AE191" s="111">
        <v>0</v>
      </c>
      <c r="AF191" s="111">
        <v>0</v>
      </c>
      <c r="AG191" s="111">
        <v>0</v>
      </c>
      <c r="AH191" s="111">
        <v>0</v>
      </c>
      <c r="AI191" s="111">
        <v>0</v>
      </c>
      <c r="AJ191" s="111">
        <v>0</v>
      </c>
      <c r="AK191" s="111">
        <v>0</v>
      </c>
      <c r="AL191" s="111">
        <v>0</v>
      </c>
      <c r="AM191" s="111">
        <v>0</v>
      </c>
      <c r="AN191" s="111">
        <v>0</v>
      </c>
      <c r="AO191" s="111">
        <v>0</v>
      </c>
      <c r="AP191" s="111">
        <v>0</v>
      </c>
      <c r="AQ191" s="111">
        <v>0</v>
      </c>
      <c r="AR191" s="111">
        <v>0</v>
      </c>
      <c r="AS191" s="111">
        <v>0</v>
      </c>
      <c r="AT191" s="111">
        <v>0</v>
      </c>
      <c r="AU191" s="111">
        <v>0</v>
      </c>
      <c r="AV191" s="111">
        <v>0</v>
      </c>
      <c r="AW191" s="111">
        <v>0</v>
      </c>
      <c r="AX191" s="111">
        <v>0</v>
      </c>
      <c r="AY191" s="111">
        <v>0</v>
      </c>
    </row>
    <row r="192" spans="1:51" x14ac:dyDescent="0.2">
      <c r="A192" s="114"/>
      <c r="B192" s="125">
        <v>4</v>
      </c>
      <c r="C192" s="111">
        <v>0</v>
      </c>
      <c r="D192" s="111">
        <v>0</v>
      </c>
      <c r="E192" s="111">
        <v>0</v>
      </c>
      <c r="F192" s="111">
        <v>0</v>
      </c>
      <c r="G192" s="111">
        <v>0</v>
      </c>
      <c r="H192" s="111">
        <v>0</v>
      </c>
      <c r="I192" s="111">
        <v>0</v>
      </c>
      <c r="J192" s="111">
        <v>0</v>
      </c>
      <c r="K192" s="111">
        <v>0</v>
      </c>
      <c r="L192" s="111">
        <v>0</v>
      </c>
      <c r="M192" s="111">
        <v>0</v>
      </c>
      <c r="N192" s="111">
        <v>0</v>
      </c>
      <c r="O192" s="111">
        <v>0</v>
      </c>
      <c r="P192" s="111">
        <v>0</v>
      </c>
      <c r="Q192" s="111">
        <v>0</v>
      </c>
      <c r="R192" s="111">
        <v>0</v>
      </c>
      <c r="S192" s="111">
        <v>0</v>
      </c>
      <c r="T192" s="111">
        <v>0</v>
      </c>
      <c r="U192" s="111">
        <v>0</v>
      </c>
      <c r="V192" s="111">
        <v>0</v>
      </c>
      <c r="W192" s="111">
        <v>0</v>
      </c>
      <c r="X192" s="111">
        <v>0</v>
      </c>
      <c r="Y192" s="111">
        <v>0</v>
      </c>
      <c r="Z192" s="111">
        <v>0</v>
      </c>
      <c r="AA192" s="111">
        <v>0</v>
      </c>
      <c r="AB192" s="111">
        <v>0</v>
      </c>
      <c r="AC192" s="111">
        <v>0</v>
      </c>
      <c r="AD192" s="111">
        <v>0</v>
      </c>
      <c r="AE192" s="111">
        <v>0</v>
      </c>
      <c r="AF192" s="111">
        <v>0</v>
      </c>
      <c r="AG192" s="111">
        <v>0</v>
      </c>
      <c r="AH192" s="111">
        <v>0</v>
      </c>
      <c r="AI192" s="111">
        <v>0</v>
      </c>
      <c r="AJ192" s="111">
        <v>0</v>
      </c>
      <c r="AK192" s="111">
        <v>0</v>
      </c>
      <c r="AL192" s="111">
        <v>0</v>
      </c>
      <c r="AM192" s="111">
        <v>0</v>
      </c>
      <c r="AN192" s="111">
        <v>0</v>
      </c>
      <c r="AO192" s="111">
        <v>0</v>
      </c>
      <c r="AP192" s="111">
        <v>0</v>
      </c>
      <c r="AQ192" s="111">
        <v>0</v>
      </c>
      <c r="AR192" s="111">
        <v>0</v>
      </c>
      <c r="AS192" s="111">
        <v>0</v>
      </c>
      <c r="AT192" s="111">
        <v>0</v>
      </c>
      <c r="AU192" s="111">
        <v>0</v>
      </c>
      <c r="AV192" s="111">
        <v>0</v>
      </c>
      <c r="AW192" s="111">
        <v>0</v>
      </c>
      <c r="AX192" s="111">
        <v>0</v>
      </c>
      <c r="AY192" s="111">
        <v>0</v>
      </c>
    </row>
    <row r="193" spans="1:51" x14ac:dyDescent="0.2">
      <c r="A193" s="114"/>
      <c r="B193" s="132">
        <v>5</v>
      </c>
      <c r="C193" s="111">
        <v>0</v>
      </c>
      <c r="D193" s="111">
        <v>0</v>
      </c>
      <c r="E193" s="111">
        <v>0</v>
      </c>
      <c r="F193" s="111">
        <v>0</v>
      </c>
      <c r="G193" s="111">
        <v>0</v>
      </c>
      <c r="H193" s="111">
        <v>0</v>
      </c>
      <c r="I193" s="111">
        <v>0</v>
      </c>
      <c r="J193" s="111">
        <v>0</v>
      </c>
      <c r="K193" s="111">
        <v>0</v>
      </c>
      <c r="L193" s="111">
        <v>0</v>
      </c>
      <c r="M193" s="111">
        <v>0</v>
      </c>
      <c r="N193" s="111">
        <v>0</v>
      </c>
      <c r="O193" s="111">
        <v>0</v>
      </c>
      <c r="P193" s="111">
        <v>0</v>
      </c>
      <c r="Q193" s="111">
        <v>0</v>
      </c>
      <c r="R193" s="111">
        <v>0</v>
      </c>
      <c r="S193" s="111">
        <v>0</v>
      </c>
      <c r="T193" s="111">
        <v>0</v>
      </c>
      <c r="U193" s="111">
        <v>0</v>
      </c>
      <c r="V193" s="111">
        <v>0</v>
      </c>
      <c r="W193" s="111">
        <v>0</v>
      </c>
      <c r="X193" s="111">
        <v>0</v>
      </c>
      <c r="Y193" s="111">
        <v>0</v>
      </c>
      <c r="Z193" s="111">
        <v>0</v>
      </c>
      <c r="AA193" s="111">
        <v>0</v>
      </c>
      <c r="AB193" s="111">
        <v>0</v>
      </c>
      <c r="AC193" s="111">
        <v>0</v>
      </c>
      <c r="AD193" s="111">
        <v>0</v>
      </c>
      <c r="AE193" s="111">
        <v>0</v>
      </c>
      <c r="AF193" s="111">
        <v>0</v>
      </c>
      <c r="AG193" s="111">
        <v>0</v>
      </c>
      <c r="AH193" s="111">
        <v>0</v>
      </c>
      <c r="AI193" s="111">
        <v>0</v>
      </c>
      <c r="AJ193" s="111">
        <v>0</v>
      </c>
      <c r="AK193" s="111">
        <v>0</v>
      </c>
      <c r="AL193" s="111">
        <v>0</v>
      </c>
      <c r="AM193" s="111">
        <v>0</v>
      </c>
      <c r="AN193" s="111">
        <v>0</v>
      </c>
      <c r="AO193" s="111">
        <v>0</v>
      </c>
      <c r="AP193" s="111">
        <v>0</v>
      </c>
      <c r="AQ193" s="111">
        <v>0</v>
      </c>
      <c r="AR193" s="111">
        <v>0</v>
      </c>
      <c r="AS193" s="111">
        <v>0</v>
      </c>
      <c r="AT193" s="111">
        <v>0</v>
      </c>
      <c r="AU193" s="111">
        <v>0</v>
      </c>
      <c r="AV193" s="111">
        <v>0</v>
      </c>
      <c r="AW193" s="111">
        <v>0</v>
      </c>
      <c r="AX193" s="111">
        <v>0</v>
      </c>
      <c r="AY193" s="111">
        <v>0</v>
      </c>
    </row>
    <row r="194" spans="1:51" x14ac:dyDescent="0.2">
      <c r="A194" s="114"/>
      <c r="B194" s="132">
        <v>6</v>
      </c>
      <c r="C194" s="111">
        <v>0</v>
      </c>
      <c r="D194" s="111">
        <v>0</v>
      </c>
      <c r="E194" s="111">
        <v>0</v>
      </c>
      <c r="F194" s="111">
        <v>0</v>
      </c>
      <c r="G194" s="111">
        <v>0</v>
      </c>
      <c r="H194" s="111">
        <v>0</v>
      </c>
      <c r="I194" s="111">
        <v>0</v>
      </c>
      <c r="J194" s="111">
        <v>0</v>
      </c>
      <c r="K194" s="111">
        <v>0</v>
      </c>
      <c r="L194" s="111">
        <v>0</v>
      </c>
      <c r="M194" s="111">
        <v>0</v>
      </c>
      <c r="N194" s="111">
        <v>0</v>
      </c>
      <c r="O194" s="111">
        <v>0</v>
      </c>
      <c r="P194" s="111">
        <v>0</v>
      </c>
      <c r="Q194" s="111">
        <v>0</v>
      </c>
      <c r="R194" s="111">
        <v>0</v>
      </c>
      <c r="S194" s="111">
        <v>0</v>
      </c>
      <c r="T194" s="111">
        <v>0</v>
      </c>
      <c r="U194" s="111">
        <v>0</v>
      </c>
      <c r="V194" s="111">
        <v>0</v>
      </c>
      <c r="W194" s="111">
        <v>0</v>
      </c>
      <c r="X194" s="111">
        <v>0</v>
      </c>
      <c r="Y194" s="111">
        <v>0</v>
      </c>
      <c r="Z194" s="111">
        <v>0</v>
      </c>
      <c r="AA194" s="111">
        <v>0</v>
      </c>
      <c r="AB194" s="111">
        <v>0</v>
      </c>
      <c r="AC194" s="111">
        <v>0</v>
      </c>
      <c r="AD194" s="111">
        <v>0</v>
      </c>
      <c r="AE194" s="111">
        <v>0</v>
      </c>
      <c r="AF194" s="111">
        <v>0</v>
      </c>
      <c r="AG194" s="111">
        <v>0</v>
      </c>
      <c r="AH194" s="111">
        <v>0</v>
      </c>
      <c r="AI194" s="111">
        <v>0</v>
      </c>
      <c r="AJ194" s="111">
        <v>0</v>
      </c>
      <c r="AK194" s="111">
        <v>0</v>
      </c>
      <c r="AL194" s="111">
        <v>0</v>
      </c>
      <c r="AM194" s="111">
        <v>0</v>
      </c>
      <c r="AN194" s="111">
        <v>0</v>
      </c>
      <c r="AO194" s="111">
        <v>0</v>
      </c>
      <c r="AP194" s="111">
        <v>0</v>
      </c>
      <c r="AQ194" s="111">
        <v>0</v>
      </c>
      <c r="AR194" s="111">
        <v>0</v>
      </c>
      <c r="AS194" s="111">
        <v>0</v>
      </c>
      <c r="AT194" s="111">
        <v>0</v>
      </c>
      <c r="AU194" s="111">
        <v>0</v>
      </c>
      <c r="AV194" s="111">
        <v>0</v>
      </c>
      <c r="AW194" s="111">
        <v>0</v>
      </c>
      <c r="AX194" s="111">
        <v>0</v>
      </c>
      <c r="AY194" s="111">
        <v>0</v>
      </c>
    </row>
    <row r="195" spans="1:51" x14ac:dyDescent="0.2">
      <c r="A195" s="114"/>
      <c r="B195" s="135">
        <v>7</v>
      </c>
      <c r="C195" s="111">
        <v>0</v>
      </c>
      <c r="D195" s="111">
        <v>0</v>
      </c>
      <c r="E195" s="111">
        <v>0</v>
      </c>
      <c r="F195" s="111">
        <v>0</v>
      </c>
      <c r="G195" s="111">
        <v>0</v>
      </c>
      <c r="H195" s="111">
        <v>0</v>
      </c>
      <c r="I195" s="111">
        <v>0</v>
      </c>
      <c r="J195" s="111">
        <v>0</v>
      </c>
      <c r="K195" s="111">
        <v>0</v>
      </c>
      <c r="L195" s="111">
        <v>0</v>
      </c>
      <c r="M195" s="111">
        <v>0</v>
      </c>
      <c r="N195" s="111">
        <v>0</v>
      </c>
      <c r="O195" s="111">
        <v>0</v>
      </c>
      <c r="P195" s="111">
        <v>0</v>
      </c>
      <c r="Q195" s="111">
        <v>0</v>
      </c>
      <c r="R195" s="111">
        <v>0</v>
      </c>
      <c r="S195" s="111">
        <v>0</v>
      </c>
      <c r="T195" s="111">
        <v>0</v>
      </c>
      <c r="U195" s="111">
        <v>0</v>
      </c>
      <c r="V195" s="111">
        <v>0</v>
      </c>
      <c r="W195" s="111">
        <v>0</v>
      </c>
      <c r="X195" s="111">
        <v>0</v>
      </c>
      <c r="Y195" s="111">
        <v>0</v>
      </c>
      <c r="Z195" s="111">
        <v>0</v>
      </c>
      <c r="AA195" s="111">
        <v>0</v>
      </c>
      <c r="AB195" s="111">
        <v>0</v>
      </c>
      <c r="AC195" s="111">
        <v>0</v>
      </c>
      <c r="AD195" s="111">
        <v>0</v>
      </c>
      <c r="AE195" s="111">
        <v>0</v>
      </c>
      <c r="AF195" s="111">
        <v>0</v>
      </c>
      <c r="AG195" s="111">
        <v>0</v>
      </c>
      <c r="AH195" s="111">
        <v>0</v>
      </c>
      <c r="AI195" s="111">
        <v>0</v>
      </c>
      <c r="AJ195" s="111">
        <v>0</v>
      </c>
      <c r="AK195" s="111">
        <v>0</v>
      </c>
      <c r="AL195" s="111">
        <v>0</v>
      </c>
      <c r="AM195" s="111">
        <v>0</v>
      </c>
      <c r="AN195" s="111">
        <v>0</v>
      </c>
      <c r="AO195" s="111">
        <v>0</v>
      </c>
      <c r="AP195" s="111">
        <v>0</v>
      </c>
      <c r="AQ195" s="111">
        <v>0</v>
      </c>
      <c r="AR195" s="111">
        <v>0</v>
      </c>
      <c r="AS195" s="111">
        <v>0</v>
      </c>
      <c r="AT195" s="111">
        <v>0</v>
      </c>
      <c r="AU195" s="111">
        <v>0</v>
      </c>
      <c r="AV195" s="111">
        <v>0</v>
      </c>
      <c r="AW195" s="111">
        <v>0</v>
      </c>
      <c r="AX195" s="111">
        <v>0</v>
      </c>
      <c r="AY195" s="111">
        <v>0</v>
      </c>
    </row>
    <row r="196" spans="1:51" x14ac:dyDescent="0.2">
      <c r="A196" s="133"/>
      <c r="B196" s="134">
        <v>8</v>
      </c>
      <c r="C196" s="119">
        <v>0</v>
      </c>
      <c r="D196" s="119">
        <v>0</v>
      </c>
      <c r="E196" s="119">
        <v>0</v>
      </c>
      <c r="F196" s="119">
        <v>0</v>
      </c>
      <c r="G196" s="119">
        <v>0</v>
      </c>
      <c r="H196" s="119">
        <v>0</v>
      </c>
      <c r="I196" s="119">
        <v>0</v>
      </c>
      <c r="J196" s="119">
        <v>0</v>
      </c>
      <c r="K196" s="119">
        <v>0</v>
      </c>
      <c r="L196" s="119">
        <v>0</v>
      </c>
      <c r="M196" s="119">
        <v>0</v>
      </c>
      <c r="N196" s="119">
        <v>0</v>
      </c>
      <c r="O196" s="119">
        <v>0</v>
      </c>
      <c r="P196" s="119">
        <v>0</v>
      </c>
      <c r="Q196" s="119">
        <v>0</v>
      </c>
      <c r="R196" s="119">
        <v>0</v>
      </c>
      <c r="S196" s="119">
        <v>0</v>
      </c>
      <c r="T196" s="119">
        <v>0</v>
      </c>
      <c r="U196" s="119">
        <v>0</v>
      </c>
      <c r="V196" s="119">
        <v>0</v>
      </c>
      <c r="W196" s="119">
        <v>0</v>
      </c>
      <c r="X196" s="119">
        <v>0</v>
      </c>
      <c r="Y196" s="119">
        <v>0</v>
      </c>
      <c r="Z196" s="119">
        <v>0</v>
      </c>
      <c r="AA196" s="119">
        <v>0</v>
      </c>
      <c r="AB196" s="119">
        <v>0</v>
      </c>
      <c r="AC196" s="119">
        <v>0</v>
      </c>
      <c r="AD196" s="119">
        <v>0</v>
      </c>
      <c r="AE196" s="119">
        <v>0</v>
      </c>
      <c r="AF196" s="119">
        <v>0</v>
      </c>
      <c r="AG196" s="119">
        <v>0</v>
      </c>
      <c r="AH196" s="119">
        <v>0</v>
      </c>
      <c r="AI196" s="119">
        <v>0</v>
      </c>
      <c r="AJ196" s="119">
        <v>0</v>
      </c>
      <c r="AK196" s="119">
        <v>0</v>
      </c>
      <c r="AL196" s="119">
        <v>0</v>
      </c>
      <c r="AM196" s="119">
        <v>0</v>
      </c>
      <c r="AN196" s="119">
        <v>0</v>
      </c>
      <c r="AO196" s="119">
        <v>0</v>
      </c>
      <c r="AP196" s="119">
        <v>0</v>
      </c>
      <c r="AQ196" s="119">
        <v>0</v>
      </c>
      <c r="AR196" s="119">
        <v>0</v>
      </c>
      <c r="AS196" s="119">
        <v>0</v>
      </c>
      <c r="AT196" s="119">
        <v>0</v>
      </c>
      <c r="AU196" s="119">
        <v>0</v>
      </c>
      <c r="AV196" s="119">
        <v>0</v>
      </c>
      <c r="AW196" s="119">
        <v>0</v>
      </c>
      <c r="AX196" s="119">
        <v>0</v>
      </c>
      <c r="AY196" s="119">
        <v>0</v>
      </c>
    </row>
    <row r="197" spans="1:51" x14ac:dyDescent="0.2">
      <c r="A197" s="136" t="s">
        <v>134</v>
      </c>
      <c r="B197" s="124">
        <v>1</v>
      </c>
      <c r="C197" s="111">
        <v>0</v>
      </c>
      <c r="D197" s="111">
        <v>0</v>
      </c>
      <c r="E197" s="111">
        <v>0</v>
      </c>
      <c r="F197" s="111">
        <v>0</v>
      </c>
      <c r="G197" s="111">
        <v>0</v>
      </c>
      <c r="H197" s="111">
        <v>0</v>
      </c>
      <c r="I197" s="111">
        <v>100</v>
      </c>
      <c r="J197" s="111">
        <v>37.505945041387506</v>
      </c>
      <c r="K197" s="111">
        <v>21.245867050222131</v>
      </c>
      <c r="L197" s="111">
        <v>44.138287774960091</v>
      </c>
      <c r="M197" s="111">
        <v>45.446787994748064</v>
      </c>
      <c r="N197" s="111">
        <v>57.628107050684804</v>
      </c>
      <c r="O197" s="111">
        <v>60.652715594527976</v>
      </c>
      <c r="P197" s="111">
        <v>81.617781554335835</v>
      </c>
      <c r="Q197" s="111">
        <v>81.045998410473459</v>
      </c>
      <c r="R197" s="111">
        <v>81.045998410473459</v>
      </c>
      <c r="S197" s="111">
        <v>74.333369038625051</v>
      </c>
      <c r="T197" s="111">
        <v>83.242385447757727</v>
      </c>
      <c r="U197" s="111">
        <v>81.045998410473459</v>
      </c>
      <c r="V197" s="111">
        <v>68.185820109846674</v>
      </c>
      <c r="W197" s="111">
        <v>75.436109596173949</v>
      </c>
      <c r="X197" s="111">
        <v>78.712919619541012</v>
      </c>
      <c r="Y197" s="111">
        <v>86.203855334208527</v>
      </c>
      <c r="Z197" s="111">
        <v>80.321109938662289</v>
      </c>
      <c r="AA197" s="111">
        <v>76.268045573763345</v>
      </c>
      <c r="AB197" s="111">
        <v>81.770886882284614</v>
      </c>
      <c r="AC197" s="111">
        <v>77.757515041559572</v>
      </c>
      <c r="AD197" s="111">
        <v>69.769841962401856</v>
      </c>
      <c r="AE197" s="111">
        <v>66.784953249749506</v>
      </c>
      <c r="AF197" s="111">
        <v>64.557545983229801</v>
      </c>
      <c r="AG197" s="111">
        <v>81.045998410473459</v>
      </c>
      <c r="AH197" s="111">
        <v>73.384641025636824</v>
      </c>
      <c r="AI197" s="111">
        <v>73.129595865653812</v>
      </c>
      <c r="AJ197" s="111">
        <v>79.157241925251242</v>
      </c>
      <c r="AK197" s="111">
        <v>76.119538567303053</v>
      </c>
      <c r="AL197" s="111">
        <v>71.742012224422794</v>
      </c>
      <c r="AM197" s="111">
        <v>83.824586219834373</v>
      </c>
      <c r="AN197" s="111">
        <v>95.996390329753922</v>
      </c>
      <c r="AO197" s="111">
        <v>87.520828347673202</v>
      </c>
      <c r="AP197" s="111">
        <v>87.520828347673202</v>
      </c>
      <c r="AQ197" s="111">
        <v>97.151430288704759</v>
      </c>
      <c r="AR197" s="111">
        <v>85.367628914771885</v>
      </c>
      <c r="AS197" s="111">
        <v>99.246870173593905</v>
      </c>
      <c r="AT197" s="111">
        <v>84.949673537059965</v>
      </c>
      <c r="AU197" s="111">
        <v>50.149505302089139</v>
      </c>
      <c r="AV197" s="111">
        <v>61.054465329537237</v>
      </c>
      <c r="AW197" s="111">
        <v>65.006970946699042</v>
      </c>
      <c r="AX197" s="111">
        <v>70.153852705476965</v>
      </c>
      <c r="AY197" s="111">
        <v>81.770886882284614</v>
      </c>
    </row>
    <row r="198" spans="1:51" x14ac:dyDescent="0.2">
      <c r="A198" s="114"/>
      <c r="B198" s="124">
        <v>2</v>
      </c>
      <c r="C198" s="111">
        <v>0</v>
      </c>
      <c r="D198" s="111">
        <v>0</v>
      </c>
      <c r="E198" s="111">
        <v>0</v>
      </c>
      <c r="F198" s="111">
        <v>0</v>
      </c>
      <c r="G198" s="111">
        <v>0</v>
      </c>
      <c r="H198" s="111">
        <v>0</v>
      </c>
      <c r="I198" s="111">
        <v>0</v>
      </c>
      <c r="J198" s="111">
        <v>40</v>
      </c>
      <c r="K198" s="111">
        <v>71.040053369085982</v>
      </c>
      <c r="L198" s="111">
        <v>59.075242888440158</v>
      </c>
      <c r="M198" s="111">
        <v>36.182822163702198</v>
      </c>
      <c r="N198" s="111">
        <v>34.874321943914225</v>
      </c>
      <c r="O198" s="111">
        <v>22.693002887977485</v>
      </c>
      <c r="P198" s="111">
        <v>20.393282815945483</v>
      </c>
      <c r="Q198" s="111">
        <v>5.7193725261038395</v>
      </c>
      <c r="R198" s="111">
        <v>0</v>
      </c>
      <c r="S198" s="111">
        <v>0</v>
      </c>
      <c r="T198" s="111">
        <v>19.375396480019901</v>
      </c>
      <c r="U198" s="111">
        <v>0</v>
      </c>
      <c r="V198" s="111">
        <v>0</v>
      </c>
      <c r="W198" s="111">
        <v>12.860178300626785</v>
      </c>
      <c r="X198" s="111">
        <v>4.8850003424883397</v>
      </c>
      <c r="Y198" s="111">
        <v>9.0786072529326844</v>
      </c>
      <c r="Z198" s="111">
        <v>0</v>
      </c>
      <c r="AA198" s="111">
        <v>0</v>
      </c>
      <c r="AB198" s="111">
        <v>5.5028413085212691</v>
      </c>
      <c r="AC198" s="111">
        <v>0</v>
      </c>
      <c r="AD198" s="111">
        <v>4.0133718407250427</v>
      </c>
      <c r="AE198" s="111">
        <v>12.001044919882759</v>
      </c>
      <c r="AF198" s="111">
        <v>14.879091850624135</v>
      </c>
      <c r="AG198" s="111">
        <v>16.488452427243658</v>
      </c>
      <c r="AH198" s="111">
        <v>0</v>
      </c>
      <c r="AI198" s="111">
        <v>7.6613573848366343</v>
      </c>
      <c r="AJ198" s="111">
        <v>17.126147523277751</v>
      </c>
      <c r="AK198" s="111">
        <v>5.8804614326969471</v>
      </c>
      <c r="AL198" s="111">
        <v>4.9264598431704059</v>
      </c>
      <c r="AM198" s="111">
        <v>2.0551014679390534</v>
      </c>
      <c r="AN198" s="111">
        <v>0</v>
      </c>
      <c r="AO198" s="111">
        <v>0</v>
      </c>
      <c r="AP198" s="111">
        <v>0</v>
      </c>
      <c r="AQ198" s="111">
        <v>0</v>
      </c>
      <c r="AR198" s="111">
        <v>0</v>
      </c>
      <c r="AS198" s="111">
        <v>2.878087904712487</v>
      </c>
      <c r="AT198" s="111">
        <v>0</v>
      </c>
      <c r="AU198" s="111">
        <v>14.381463547181724</v>
      </c>
      <c r="AV198" s="111">
        <v>38.096211517395218</v>
      </c>
      <c r="AW198" s="111">
        <v>27.19125148994712</v>
      </c>
      <c r="AX198" s="111">
        <v>32.907075716383261</v>
      </c>
      <c r="AY198" s="111">
        <v>17.599720017077317</v>
      </c>
    </row>
    <row r="199" spans="1:51" x14ac:dyDescent="0.2">
      <c r="A199" s="114"/>
      <c r="B199" s="124">
        <v>3</v>
      </c>
      <c r="C199" s="111">
        <v>0</v>
      </c>
      <c r="D199" s="111">
        <v>0</v>
      </c>
      <c r="E199" s="111">
        <v>0</v>
      </c>
      <c r="F199" s="111">
        <v>0</v>
      </c>
      <c r="G199" s="111">
        <v>0</v>
      </c>
      <c r="H199" s="111">
        <v>0</v>
      </c>
      <c r="I199" s="111">
        <v>0</v>
      </c>
      <c r="J199" s="111">
        <v>0</v>
      </c>
      <c r="K199" s="111">
        <v>0</v>
      </c>
      <c r="L199" s="111">
        <v>0</v>
      </c>
      <c r="M199" s="111">
        <v>0</v>
      </c>
      <c r="N199" s="111">
        <v>0</v>
      </c>
      <c r="O199" s="111">
        <v>0</v>
      </c>
      <c r="P199" s="111">
        <v>0</v>
      </c>
      <c r="Q199" s="111">
        <v>0</v>
      </c>
      <c r="R199" s="111">
        <v>0</v>
      </c>
      <c r="S199" s="111">
        <v>0</v>
      </c>
      <c r="T199" s="111">
        <v>0</v>
      </c>
      <c r="U199" s="111">
        <v>0</v>
      </c>
      <c r="V199" s="111">
        <v>0</v>
      </c>
      <c r="W199" s="111">
        <v>0</v>
      </c>
      <c r="X199" s="111">
        <v>0</v>
      </c>
      <c r="Y199" s="111">
        <v>0</v>
      </c>
      <c r="Z199" s="111">
        <v>0</v>
      </c>
      <c r="AA199" s="111">
        <v>0</v>
      </c>
      <c r="AB199" s="111">
        <v>0</v>
      </c>
      <c r="AC199" s="111">
        <v>0</v>
      </c>
      <c r="AD199" s="111">
        <v>0</v>
      </c>
      <c r="AE199" s="111">
        <v>0</v>
      </c>
      <c r="AF199" s="111">
        <v>0</v>
      </c>
      <c r="AG199" s="111">
        <v>0</v>
      </c>
      <c r="AH199" s="111">
        <v>0</v>
      </c>
      <c r="AI199" s="111">
        <v>0</v>
      </c>
      <c r="AJ199" s="111">
        <v>0</v>
      </c>
      <c r="AK199" s="111">
        <v>0</v>
      </c>
      <c r="AL199" s="111">
        <v>0</v>
      </c>
      <c r="AM199" s="111">
        <v>0</v>
      </c>
      <c r="AN199" s="111">
        <v>0</v>
      </c>
      <c r="AO199" s="111">
        <v>0</v>
      </c>
      <c r="AP199" s="111">
        <v>0</v>
      </c>
      <c r="AQ199" s="111">
        <v>0</v>
      </c>
      <c r="AR199" s="111">
        <v>0</v>
      </c>
      <c r="AS199" s="111">
        <v>0</v>
      </c>
      <c r="AT199" s="111">
        <v>0</v>
      </c>
      <c r="AU199" s="111">
        <v>0</v>
      </c>
      <c r="AV199" s="111">
        <v>0</v>
      </c>
      <c r="AW199" s="111">
        <v>0</v>
      </c>
      <c r="AX199" s="111">
        <v>0</v>
      </c>
      <c r="AY199" s="111">
        <v>0</v>
      </c>
    </row>
    <row r="200" spans="1:51" x14ac:dyDescent="0.2">
      <c r="A200" s="114"/>
      <c r="B200" s="125">
        <v>4</v>
      </c>
      <c r="C200" s="111">
        <v>0</v>
      </c>
      <c r="D200" s="111">
        <v>0</v>
      </c>
      <c r="E200" s="111">
        <v>0</v>
      </c>
      <c r="F200" s="111">
        <v>0</v>
      </c>
      <c r="G200" s="111">
        <v>0</v>
      </c>
      <c r="H200" s="111">
        <v>0</v>
      </c>
      <c r="I200" s="111">
        <v>0</v>
      </c>
      <c r="J200" s="111">
        <v>0</v>
      </c>
      <c r="K200" s="111">
        <v>0</v>
      </c>
      <c r="L200" s="111">
        <v>0</v>
      </c>
      <c r="M200" s="111">
        <v>0</v>
      </c>
      <c r="N200" s="111">
        <v>0</v>
      </c>
      <c r="O200" s="111">
        <v>0</v>
      </c>
      <c r="P200" s="111">
        <v>0</v>
      </c>
      <c r="Q200" s="111">
        <v>0</v>
      </c>
      <c r="R200" s="111">
        <v>0</v>
      </c>
      <c r="S200" s="111">
        <v>0</v>
      </c>
      <c r="T200" s="111">
        <v>0</v>
      </c>
      <c r="U200" s="111">
        <v>0</v>
      </c>
      <c r="V200" s="111">
        <v>0</v>
      </c>
      <c r="W200" s="111">
        <v>0</v>
      </c>
      <c r="X200" s="111">
        <v>0</v>
      </c>
      <c r="Y200" s="111">
        <v>0</v>
      </c>
      <c r="Z200" s="111">
        <v>0</v>
      </c>
      <c r="AA200" s="111">
        <v>0</v>
      </c>
      <c r="AB200" s="111">
        <v>0</v>
      </c>
      <c r="AC200" s="111">
        <v>0</v>
      </c>
      <c r="AD200" s="111">
        <v>0</v>
      </c>
      <c r="AE200" s="111">
        <v>0</v>
      </c>
      <c r="AF200" s="111">
        <v>0</v>
      </c>
      <c r="AG200" s="111">
        <v>0</v>
      </c>
      <c r="AH200" s="111">
        <v>0</v>
      </c>
      <c r="AI200" s="111">
        <v>0</v>
      </c>
      <c r="AJ200" s="111">
        <v>0</v>
      </c>
      <c r="AK200" s="111">
        <v>0</v>
      </c>
      <c r="AL200" s="111">
        <v>0</v>
      </c>
      <c r="AM200" s="111">
        <v>0</v>
      </c>
      <c r="AN200" s="111">
        <v>0</v>
      </c>
      <c r="AO200" s="111">
        <v>0</v>
      </c>
      <c r="AP200" s="111">
        <v>0</v>
      </c>
      <c r="AQ200" s="111">
        <v>0</v>
      </c>
      <c r="AR200" s="111">
        <v>0</v>
      </c>
      <c r="AS200" s="111">
        <v>0</v>
      </c>
      <c r="AT200" s="111">
        <v>0</v>
      </c>
      <c r="AU200" s="111">
        <v>0</v>
      </c>
      <c r="AV200" s="111">
        <v>0</v>
      </c>
      <c r="AW200" s="111">
        <v>0</v>
      </c>
      <c r="AX200" s="111">
        <v>0</v>
      </c>
      <c r="AY200" s="111">
        <v>0</v>
      </c>
    </row>
    <row r="201" spans="1:51" x14ac:dyDescent="0.2">
      <c r="A201" s="114"/>
      <c r="B201" s="125">
        <v>5</v>
      </c>
      <c r="C201" s="111">
        <v>0</v>
      </c>
      <c r="D201" s="111">
        <v>0</v>
      </c>
      <c r="E201" s="111">
        <v>0</v>
      </c>
      <c r="F201" s="111">
        <v>0</v>
      </c>
      <c r="G201" s="111">
        <v>0</v>
      </c>
      <c r="H201" s="111">
        <v>0</v>
      </c>
      <c r="I201" s="111">
        <v>0</v>
      </c>
      <c r="J201" s="111">
        <v>0</v>
      </c>
      <c r="K201" s="111">
        <v>0</v>
      </c>
      <c r="L201" s="111">
        <v>0</v>
      </c>
      <c r="M201" s="111">
        <v>0</v>
      </c>
      <c r="N201" s="111">
        <v>0</v>
      </c>
      <c r="O201" s="111">
        <v>0</v>
      </c>
      <c r="P201" s="111">
        <v>0</v>
      </c>
      <c r="Q201" s="111">
        <v>0</v>
      </c>
      <c r="R201" s="111">
        <v>0</v>
      </c>
      <c r="S201" s="111">
        <v>0</v>
      </c>
      <c r="T201" s="111">
        <v>0</v>
      </c>
      <c r="U201" s="111">
        <v>0</v>
      </c>
      <c r="V201" s="111">
        <v>0</v>
      </c>
      <c r="W201" s="111">
        <v>0</v>
      </c>
      <c r="X201" s="111">
        <v>0</v>
      </c>
      <c r="Y201" s="111">
        <v>0</v>
      </c>
      <c r="Z201" s="111">
        <v>0</v>
      </c>
      <c r="AA201" s="111">
        <v>0</v>
      </c>
      <c r="AB201" s="111">
        <v>0</v>
      </c>
      <c r="AC201" s="111">
        <v>0</v>
      </c>
      <c r="AD201" s="111">
        <v>0</v>
      </c>
      <c r="AE201" s="111">
        <v>0</v>
      </c>
      <c r="AF201" s="111">
        <v>0</v>
      </c>
      <c r="AG201" s="111">
        <v>0</v>
      </c>
      <c r="AH201" s="111">
        <v>0</v>
      </c>
      <c r="AI201" s="111">
        <v>0</v>
      </c>
      <c r="AJ201" s="111">
        <v>0</v>
      </c>
      <c r="AK201" s="111">
        <v>0</v>
      </c>
      <c r="AL201" s="111">
        <v>0</v>
      </c>
      <c r="AM201" s="111">
        <v>0</v>
      </c>
      <c r="AN201" s="111">
        <v>0</v>
      </c>
      <c r="AO201" s="111">
        <v>0</v>
      </c>
      <c r="AP201" s="111">
        <v>0</v>
      </c>
      <c r="AQ201" s="111">
        <v>0</v>
      </c>
      <c r="AR201" s="111">
        <v>0</v>
      </c>
      <c r="AS201" s="111">
        <v>0</v>
      </c>
      <c r="AT201" s="111">
        <v>0</v>
      </c>
      <c r="AU201" s="111">
        <v>0</v>
      </c>
      <c r="AV201" s="111">
        <v>0</v>
      </c>
      <c r="AW201" s="111">
        <v>0</v>
      </c>
      <c r="AX201" s="111">
        <v>0</v>
      </c>
      <c r="AY201" s="111">
        <v>0</v>
      </c>
    </row>
    <row r="202" spans="1:51" x14ac:dyDescent="0.2">
      <c r="A202" s="114"/>
      <c r="B202" s="125">
        <v>6</v>
      </c>
      <c r="C202" s="111">
        <v>0</v>
      </c>
      <c r="D202" s="111">
        <v>0</v>
      </c>
      <c r="E202" s="111">
        <v>0</v>
      </c>
      <c r="F202" s="111">
        <v>0</v>
      </c>
      <c r="G202" s="111">
        <v>0</v>
      </c>
      <c r="H202" s="111">
        <v>0</v>
      </c>
      <c r="I202" s="111">
        <v>0</v>
      </c>
      <c r="J202" s="111">
        <v>0</v>
      </c>
      <c r="K202" s="111">
        <v>0</v>
      </c>
      <c r="L202" s="111">
        <v>0</v>
      </c>
      <c r="M202" s="111">
        <v>0</v>
      </c>
      <c r="N202" s="111">
        <v>0</v>
      </c>
      <c r="O202" s="111">
        <v>0</v>
      </c>
      <c r="P202" s="111">
        <v>0</v>
      </c>
      <c r="Q202" s="111">
        <v>0</v>
      </c>
      <c r="R202" s="111">
        <v>0</v>
      </c>
      <c r="S202" s="111">
        <v>0</v>
      </c>
      <c r="T202" s="111">
        <v>0</v>
      </c>
      <c r="U202" s="111">
        <v>0</v>
      </c>
      <c r="V202" s="111">
        <v>0</v>
      </c>
      <c r="W202" s="111">
        <v>0</v>
      </c>
      <c r="X202" s="111">
        <v>0</v>
      </c>
      <c r="Y202" s="111">
        <v>0</v>
      </c>
      <c r="Z202" s="111">
        <v>0</v>
      </c>
      <c r="AA202" s="111">
        <v>0</v>
      </c>
      <c r="AB202" s="111">
        <v>0</v>
      </c>
      <c r="AC202" s="111">
        <v>0</v>
      </c>
      <c r="AD202" s="111">
        <v>0</v>
      </c>
      <c r="AE202" s="111">
        <v>0</v>
      </c>
      <c r="AF202" s="111">
        <v>0</v>
      </c>
      <c r="AG202" s="111">
        <v>0</v>
      </c>
      <c r="AH202" s="111">
        <v>0</v>
      </c>
      <c r="AI202" s="111">
        <v>0</v>
      </c>
      <c r="AJ202" s="111">
        <v>0</v>
      </c>
      <c r="AK202" s="111">
        <v>0</v>
      </c>
      <c r="AL202" s="111">
        <v>0</v>
      </c>
      <c r="AM202" s="111">
        <v>0</v>
      </c>
      <c r="AN202" s="111">
        <v>0</v>
      </c>
      <c r="AO202" s="111">
        <v>0</v>
      </c>
      <c r="AP202" s="111">
        <v>0</v>
      </c>
      <c r="AQ202" s="111">
        <v>0</v>
      </c>
      <c r="AR202" s="111">
        <v>0</v>
      </c>
      <c r="AS202" s="111">
        <v>0</v>
      </c>
      <c r="AT202" s="111">
        <v>0</v>
      </c>
      <c r="AU202" s="111">
        <v>0</v>
      </c>
      <c r="AV202" s="111">
        <v>0</v>
      </c>
      <c r="AW202" s="111">
        <v>0</v>
      </c>
      <c r="AX202" s="111">
        <v>0</v>
      </c>
      <c r="AY202" s="111">
        <v>0</v>
      </c>
    </row>
    <row r="203" spans="1:51" x14ac:dyDescent="0.2">
      <c r="A203" s="114"/>
      <c r="B203" s="132">
        <v>7</v>
      </c>
      <c r="C203" s="111">
        <v>0</v>
      </c>
      <c r="D203" s="111">
        <v>0</v>
      </c>
      <c r="E203" s="111">
        <v>0</v>
      </c>
      <c r="F203" s="111">
        <v>0</v>
      </c>
      <c r="G203" s="111">
        <v>0</v>
      </c>
      <c r="H203" s="111">
        <v>0</v>
      </c>
      <c r="I203" s="111">
        <v>0</v>
      </c>
      <c r="J203" s="111">
        <v>0</v>
      </c>
      <c r="K203" s="111">
        <v>0</v>
      </c>
      <c r="L203" s="111">
        <v>0</v>
      </c>
      <c r="M203" s="111">
        <v>0</v>
      </c>
      <c r="N203" s="111">
        <v>0</v>
      </c>
      <c r="O203" s="111">
        <v>0</v>
      </c>
      <c r="P203" s="111">
        <v>0</v>
      </c>
      <c r="Q203" s="111">
        <v>0</v>
      </c>
      <c r="R203" s="111">
        <v>0</v>
      </c>
      <c r="S203" s="111">
        <v>0</v>
      </c>
      <c r="T203" s="111">
        <v>0</v>
      </c>
      <c r="U203" s="111">
        <v>0</v>
      </c>
      <c r="V203" s="111">
        <v>0</v>
      </c>
      <c r="W203" s="111">
        <v>0</v>
      </c>
      <c r="X203" s="111">
        <v>0</v>
      </c>
      <c r="Y203" s="111">
        <v>0</v>
      </c>
      <c r="Z203" s="111">
        <v>0</v>
      </c>
      <c r="AA203" s="111">
        <v>0</v>
      </c>
      <c r="AB203" s="111">
        <v>0</v>
      </c>
      <c r="AC203" s="111">
        <v>0</v>
      </c>
      <c r="AD203" s="111">
        <v>0</v>
      </c>
      <c r="AE203" s="111">
        <v>0</v>
      </c>
      <c r="AF203" s="111">
        <v>0</v>
      </c>
      <c r="AG203" s="111">
        <v>0</v>
      </c>
      <c r="AH203" s="111">
        <v>0</v>
      </c>
      <c r="AI203" s="111">
        <v>0</v>
      </c>
      <c r="AJ203" s="111">
        <v>0</v>
      </c>
      <c r="AK203" s="111">
        <v>0</v>
      </c>
      <c r="AL203" s="111">
        <v>0</v>
      </c>
      <c r="AM203" s="111">
        <v>0</v>
      </c>
      <c r="AN203" s="111">
        <v>0</v>
      </c>
      <c r="AO203" s="111">
        <v>0</v>
      </c>
      <c r="AP203" s="111">
        <v>0</v>
      </c>
      <c r="AQ203" s="111">
        <v>0</v>
      </c>
      <c r="AR203" s="111">
        <v>0</v>
      </c>
      <c r="AS203" s="111">
        <v>0</v>
      </c>
      <c r="AT203" s="111">
        <v>0</v>
      </c>
      <c r="AU203" s="111">
        <v>0</v>
      </c>
      <c r="AV203" s="111">
        <v>0</v>
      </c>
      <c r="AW203" s="111">
        <v>0</v>
      </c>
      <c r="AX203" s="111">
        <v>0</v>
      </c>
      <c r="AY203" s="111">
        <v>0</v>
      </c>
    </row>
    <row r="204" spans="1:51" x14ac:dyDescent="0.2">
      <c r="A204" s="114"/>
      <c r="B204" s="132">
        <v>8</v>
      </c>
      <c r="C204" s="111">
        <v>84</v>
      </c>
      <c r="D204" s="111">
        <v>0</v>
      </c>
      <c r="E204" s="111">
        <v>0</v>
      </c>
      <c r="F204" s="111">
        <v>0</v>
      </c>
      <c r="G204" s="111">
        <v>0</v>
      </c>
      <c r="H204" s="111">
        <v>0</v>
      </c>
      <c r="I204" s="111">
        <v>0</v>
      </c>
      <c r="J204" s="111">
        <v>0</v>
      </c>
      <c r="K204" s="111">
        <v>0</v>
      </c>
      <c r="L204" s="111">
        <v>0</v>
      </c>
      <c r="M204" s="111">
        <v>0</v>
      </c>
      <c r="N204" s="111">
        <v>0</v>
      </c>
      <c r="O204" s="111">
        <v>0</v>
      </c>
      <c r="P204" s="111">
        <v>0</v>
      </c>
      <c r="Q204" s="111">
        <v>0</v>
      </c>
      <c r="R204" s="111">
        <v>0</v>
      </c>
      <c r="S204" s="111">
        <v>0</v>
      </c>
      <c r="T204" s="111">
        <v>0</v>
      </c>
      <c r="U204" s="111">
        <v>0</v>
      </c>
      <c r="V204" s="111">
        <v>0</v>
      </c>
      <c r="W204" s="111">
        <v>0</v>
      </c>
      <c r="X204" s="111">
        <v>0</v>
      </c>
      <c r="Y204" s="111">
        <v>0</v>
      </c>
      <c r="Z204" s="111">
        <v>0</v>
      </c>
      <c r="AA204" s="111">
        <v>0</v>
      </c>
      <c r="AB204" s="111">
        <v>0</v>
      </c>
      <c r="AC204" s="111">
        <v>0</v>
      </c>
      <c r="AD204" s="111">
        <v>0</v>
      </c>
      <c r="AE204" s="111">
        <v>0</v>
      </c>
      <c r="AF204" s="111">
        <v>0</v>
      </c>
      <c r="AG204" s="111">
        <v>0</v>
      </c>
      <c r="AH204" s="111">
        <v>0</v>
      </c>
      <c r="AI204" s="111">
        <v>0</v>
      </c>
      <c r="AJ204" s="111">
        <v>0</v>
      </c>
      <c r="AK204" s="111">
        <v>0</v>
      </c>
      <c r="AL204" s="111">
        <v>0</v>
      </c>
      <c r="AM204" s="111">
        <v>0</v>
      </c>
      <c r="AN204" s="111">
        <v>0</v>
      </c>
      <c r="AO204" s="111">
        <v>0</v>
      </c>
      <c r="AP204" s="111">
        <v>0</v>
      </c>
      <c r="AQ204" s="111">
        <v>0</v>
      </c>
      <c r="AR204" s="111">
        <v>0</v>
      </c>
      <c r="AS204" s="111">
        <v>0</v>
      </c>
      <c r="AT204" s="111">
        <v>0</v>
      </c>
      <c r="AU204" s="111">
        <v>0</v>
      </c>
      <c r="AV204" s="111">
        <v>0</v>
      </c>
      <c r="AW204" s="111">
        <v>0</v>
      </c>
      <c r="AX204" s="111">
        <v>0</v>
      </c>
      <c r="AY204" s="111">
        <v>0</v>
      </c>
    </row>
    <row r="205" spans="1:51" x14ac:dyDescent="0.2">
      <c r="A205" s="114"/>
      <c r="B205" s="132">
        <v>9</v>
      </c>
      <c r="C205" s="111">
        <v>0</v>
      </c>
      <c r="D205" s="111">
        <v>0</v>
      </c>
      <c r="E205" s="111">
        <v>0</v>
      </c>
      <c r="F205" s="111">
        <v>0</v>
      </c>
      <c r="G205" s="111">
        <v>0</v>
      </c>
      <c r="H205" s="111">
        <v>0</v>
      </c>
      <c r="I205" s="111">
        <v>0</v>
      </c>
      <c r="J205" s="111">
        <v>0</v>
      </c>
      <c r="K205" s="111">
        <v>0</v>
      </c>
      <c r="L205" s="111">
        <v>0</v>
      </c>
      <c r="M205" s="111">
        <v>0</v>
      </c>
      <c r="N205" s="111">
        <v>0</v>
      </c>
      <c r="O205" s="111">
        <v>0</v>
      </c>
      <c r="P205" s="111">
        <v>0</v>
      </c>
      <c r="Q205" s="111">
        <v>0</v>
      </c>
      <c r="R205" s="111">
        <v>0</v>
      </c>
      <c r="S205" s="111">
        <v>0</v>
      </c>
      <c r="T205" s="111">
        <v>0</v>
      </c>
      <c r="U205" s="111">
        <v>0</v>
      </c>
      <c r="V205" s="111">
        <v>0</v>
      </c>
      <c r="W205" s="111">
        <v>0</v>
      </c>
      <c r="X205" s="111">
        <v>0</v>
      </c>
      <c r="Y205" s="111">
        <v>0</v>
      </c>
      <c r="Z205" s="111">
        <v>0</v>
      </c>
      <c r="AA205" s="111">
        <v>0</v>
      </c>
      <c r="AB205" s="111">
        <v>0</v>
      </c>
      <c r="AC205" s="111">
        <v>0</v>
      </c>
      <c r="AD205" s="111">
        <v>0</v>
      </c>
      <c r="AE205" s="111">
        <v>0</v>
      </c>
      <c r="AF205" s="111">
        <v>0</v>
      </c>
      <c r="AG205" s="111">
        <v>0</v>
      </c>
      <c r="AH205" s="111">
        <v>0</v>
      </c>
      <c r="AI205" s="111">
        <v>0</v>
      </c>
      <c r="AJ205" s="111">
        <v>0</v>
      </c>
      <c r="AK205" s="111">
        <v>0</v>
      </c>
      <c r="AL205" s="111">
        <v>0</v>
      </c>
      <c r="AM205" s="111">
        <v>0</v>
      </c>
      <c r="AN205" s="111">
        <v>0</v>
      </c>
      <c r="AO205" s="111">
        <v>0</v>
      </c>
      <c r="AP205" s="111">
        <v>0</v>
      </c>
      <c r="AQ205" s="111">
        <v>0</v>
      </c>
      <c r="AR205" s="111">
        <v>0</v>
      </c>
      <c r="AS205" s="111">
        <v>0</v>
      </c>
      <c r="AT205" s="111">
        <v>0</v>
      </c>
      <c r="AU205" s="111">
        <v>0</v>
      </c>
      <c r="AV205" s="111">
        <v>0</v>
      </c>
      <c r="AW205" s="111">
        <v>0</v>
      </c>
      <c r="AX205" s="111">
        <v>0</v>
      </c>
      <c r="AY205" s="111">
        <v>0</v>
      </c>
    </row>
    <row r="206" spans="1:51" x14ac:dyDescent="0.2">
      <c r="A206" s="114"/>
      <c r="B206" s="135">
        <v>10</v>
      </c>
      <c r="C206" s="111">
        <v>0</v>
      </c>
      <c r="D206" s="111">
        <v>0</v>
      </c>
      <c r="E206" s="111">
        <v>0</v>
      </c>
      <c r="F206" s="111">
        <v>0</v>
      </c>
      <c r="G206" s="111">
        <v>0</v>
      </c>
      <c r="H206" s="111">
        <v>0</v>
      </c>
      <c r="I206" s="111">
        <v>0</v>
      </c>
      <c r="J206" s="111">
        <v>0</v>
      </c>
      <c r="K206" s="111">
        <v>0</v>
      </c>
      <c r="L206" s="111">
        <v>0</v>
      </c>
      <c r="M206" s="111">
        <v>0</v>
      </c>
      <c r="N206" s="111">
        <v>0</v>
      </c>
      <c r="O206" s="111">
        <v>0</v>
      </c>
      <c r="P206" s="111">
        <v>0</v>
      </c>
      <c r="Q206" s="111">
        <v>0</v>
      </c>
      <c r="R206" s="111">
        <v>0</v>
      </c>
      <c r="S206" s="111">
        <v>0</v>
      </c>
      <c r="T206" s="111">
        <v>0</v>
      </c>
      <c r="U206" s="111">
        <v>0</v>
      </c>
      <c r="V206" s="111">
        <v>0</v>
      </c>
      <c r="W206" s="111">
        <v>0</v>
      </c>
      <c r="X206" s="111">
        <v>0</v>
      </c>
      <c r="Y206" s="111">
        <v>0</v>
      </c>
      <c r="Z206" s="111">
        <v>0</v>
      </c>
      <c r="AA206" s="111">
        <v>0</v>
      </c>
      <c r="AB206" s="111">
        <v>0</v>
      </c>
      <c r="AC206" s="111">
        <v>0</v>
      </c>
      <c r="AD206" s="111">
        <v>0</v>
      </c>
      <c r="AE206" s="111">
        <v>0</v>
      </c>
      <c r="AF206" s="111">
        <v>0</v>
      </c>
      <c r="AG206" s="111">
        <v>0</v>
      </c>
      <c r="AH206" s="111">
        <v>0</v>
      </c>
      <c r="AI206" s="111">
        <v>0</v>
      </c>
      <c r="AJ206" s="111">
        <v>0</v>
      </c>
      <c r="AK206" s="111">
        <v>0</v>
      </c>
      <c r="AL206" s="111">
        <v>0</v>
      </c>
      <c r="AM206" s="111">
        <v>0</v>
      </c>
      <c r="AN206" s="111">
        <v>0</v>
      </c>
      <c r="AO206" s="111">
        <v>0</v>
      </c>
      <c r="AP206" s="111">
        <v>0</v>
      </c>
      <c r="AQ206" s="111">
        <v>0</v>
      </c>
      <c r="AR206" s="111">
        <v>0</v>
      </c>
      <c r="AS206" s="111">
        <v>0</v>
      </c>
      <c r="AT206" s="111">
        <v>0</v>
      </c>
      <c r="AU206" s="111">
        <v>0</v>
      </c>
      <c r="AV206" s="111">
        <v>0</v>
      </c>
      <c r="AW206" s="111">
        <v>0</v>
      </c>
      <c r="AX206" s="111">
        <v>0</v>
      </c>
      <c r="AY206" s="111">
        <v>0</v>
      </c>
    </row>
    <row r="207" spans="1:51" x14ac:dyDescent="0.2">
      <c r="A207" s="114"/>
      <c r="B207" s="135">
        <v>11</v>
      </c>
      <c r="C207" s="111">
        <v>0</v>
      </c>
      <c r="D207" s="111">
        <v>0</v>
      </c>
      <c r="E207" s="111">
        <v>0</v>
      </c>
      <c r="F207" s="111">
        <v>0</v>
      </c>
      <c r="G207" s="111">
        <v>0</v>
      </c>
      <c r="H207" s="111">
        <v>0</v>
      </c>
      <c r="I207" s="111">
        <v>0</v>
      </c>
      <c r="J207" s="111">
        <v>0</v>
      </c>
      <c r="K207" s="111">
        <v>0</v>
      </c>
      <c r="L207" s="111">
        <v>0</v>
      </c>
      <c r="M207" s="111">
        <v>0</v>
      </c>
      <c r="N207" s="111">
        <v>0</v>
      </c>
      <c r="O207" s="111">
        <v>0</v>
      </c>
      <c r="P207" s="111">
        <v>0</v>
      </c>
      <c r="Q207" s="111">
        <v>0</v>
      </c>
      <c r="R207" s="111">
        <v>0</v>
      </c>
      <c r="S207" s="111">
        <v>0</v>
      </c>
      <c r="T207" s="111">
        <v>0</v>
      </c>
      <c r="U207" s="111">
        <v>0</v>
      </c>
      <c r="V207" s="111">
        <v>0</v>
      </c>
      <c r="W207" s="111">
        <v>0</v>
      </c>
      <c r="X207" s="111">
        <v>0</v>
      </c>
      <c r="Y207" s="111">
        <v>0</v>
      </c>
      <c r="Z207" s="111">
        <v>0</v>
      </c>
      <c r="AA207" s="111">
        <v>0</v>
      </c>
      <c r="AB207" s="111">
        <v>0</v>
      </c>
      <c r="AC207" s="111">
        <v>0</v>
      </c>
      <c r="AD207" s="111">
        <v>0</v>
      </c>
      <c r="AE207" s="111">
        <v>0</v>
      </c>
      <c r="AF207" s="111">
        <v>0</v>
      </c>
      <c r="AG207" s="111">
        <v>0</v>
      </c>
      <c r="AH207" s="111">
        <v>0</v>
      </c>
      <c r="AI207" s="111">
        <v>0</v>
      </c>
      <c r="AJ207" s="111">
        <v>0</v>
      </c>
      <c r="AK207" s="111">
        <v>0</v>
      </c>
      <c r="AL207" s="111">
        <v>0</v>
      </c>
      <c r="AM207" s="111">
        <v>0</v>
      </c>
      <c r="AN207" s="111">
        <v>0</v>
      </c>
      <c r="AO207" s="111">
        <v>0</v>
      </c>
      <c r="AP207" s="111">
        <v>0</v>
      </c>
      <c r="AQ207" s="111">
        <v>0</v>
      </c>
      <c r="AR207" s="111">
        <v>0</v>
      </c>
      <c r="AS207" s="111">
        <v>0</v>
      </c>
      <c r="AT207" s="111">
        <v>0</v>
      </c>
      <c r="AU207" s="111">
        <v>0</v>
      </c>
      <c r="AV207" s="111">
        <v>0</v>
      </c>
      <c r="AW207" s="111">
        <v>0</v>
      </c>
      <c r="AX207" s="111">
        <v>0</v>
      </c>
      <c r="AY207" s="111">
        <v>0</v>
      </c>
    </row>
    <row r="208" spans="1:51" x14ac:dyDescent="0.2">
      <c r="A208" s="114"/>
      <c r="B208" s="135">
        <v>12</v>
      </c>
      <c r="C208" s="111">
        <v>0</v>
      </c>
      <c r="D208" s="111">
        <v>0</v>
      </c>
      <c r="E208" s="111">
        <v>0</v>
      </c>
      <c r="F208" s="111">
        <v>0</v>
      </c>
      <c r="G208" s="111">
        <v>0</v>
      </c>
      <c r="H208" s="111">
        <v>0</v>
      </c>
      <c r="I208" s="111">
        <v>0</v>
      </c>
      <c r="J208" s="111">
        <v>0</v>
      </c>
      <c r="K208" s="111">
        <v>0</v>
      </c>
      <c r="L208" s="111">
        <v>0</v>
      </c>
      <c r="M208" s="111">
        <v>0</v>
      </c>
      <c r="N208" s="111">
        <v>0</v>
      </c>
      <c r="O208" s="111">
        <v>0</v>
      </c>
      <c r="P208" s="111">
        <v>0</v>
      </c>
      <c r="Q208" s="111">
        <v>0</v>
      </c>
      <c r="R208" s="111">
        <v>0</v>
      </c>
      <c r="S208" s="111">
        <v>0</v>
      </c>
      <c r="T208" s="111">
        <v>0</v>
      </c>
      <c r="U208" s="111">
        <v>0</v>
      </c>
      <c r="V208" s="111">
        <v>0</v>
      </c>
      <c r="W208" s="111">
        <v>0</v>
      </c>
      <c r="X208" s="111">
        <v>0</v>
      </c>
      <c r="Y208" s="111">
        <v>0</v>
      </c>
      <c r="Z208" s="111">
        <v>0</v>
      </c>
      <c r="AA208" s="111">
        <v>0</v>
      </c>
      <c r="AB208" s="111">
        <v>0</v>
      </c>
      <c r="AC208" s="111">
        <v>0</v>
      </c>
      <c r="AD208" s="111">
        <v>0</v>
      </c>
      <c r="AE208" s="111">
        <v>0</v>
      </c>
      <c r="AF208" s="111">
        <v>0</v>
      </c>
      <c r="AG208" s="111">
        <v>0</v>
      </c>
      <c r="AH208" s="111">
        <v>0</v>
      </c>
      <c r="AI208" s="111">
        <v>0</v>
      </c>
      <c r="AJ208" s="111">
        <v>0</v>
      </c>
      <c r="AK208" s="111">
        <v>0</v>
      </c>
      <c r="AL208" s="111">
        <v>0</v>
      </c>
      <c r="AM208" s="111">
        <v>0</v>
      </c>
      <c r="AN208" s="111">
        <v>0</v>
      </c>
      <c r="AO208" s="111">
        <v>0</v>
      </c>
      <c r="AP208" s="111">
        <v>0</v>
      </c>
      <c r="AQ208" s="111">
        <v>0</v>
      </c>
      <c r="AR208" s="111">
        <v>0</v>
      </c>
      <c r="AS208" s="111">
        <v>0</v>
      </c>
      <c r="AT208" s="111">
        <v>0</v>
      </c>
      <c r="AU208" s="111">
        <v>0</v>
      </c>
      <c r="AV208" s="111">
        <v>0</v>
      </c>
      <c r="AW208" s="111">
        <v>0</v>
      </c>
      <c r="AX208" s="111">
        <v>0</v>
      </c>
      <c r="AY208" s="111">
        <v>0</v>
      </c>
    </row>
    <row r="209" spans="1:51" x14ac:dyDescent="0.2">
      <c r="A209" s="131" t="s">
        <v>123</v>
      </c>
      <c r="B209" s="128">
        <v>1</v>
      </c>
      <c r="C209" s="129">
        <v>0</v>
      </c>
      <c r="D209" s="129">
        <v>75.889989447961284</v>
      </c>
      <c r="E209" s="129">
        <v>115.8899894479606</v>
      </c>
      <c r="F209" s="129">
        <v>12.4139856942611</v>
      </c>
      <c r="G209" s="129">
        <v>20.413985694261214</v>
      </c>
      <c r="H209" s="129">
        <v>454.41398569426099</v>
      </c>
      <c r="I209" s="129">
        <v>729.4139856942611</v>
      </c>
      <c r="J209" s="129">
        <v>722.8899894479606</v>
      </c>
      <c r="K209" s="129">
        <v>722.8899894479606</v>
      </c>
      <c r="L209" s="129">
        <v>722.8899894479606</v>
      </c>
      <c r="M209" s="129">
        <v>722.8899894479606</v>
      </c>
      <c r="N209" s="129">
        <v>666.50242899459897</v>
      </c>
      <c r="O209" s="129">
        <v>729.4139856942611</v>
      </c>
      <c r="P209" s="129">
        <v>729.4139856942611</v>
      </c>
      <c r="Q209" s="129">
        <v>602.78631461254611</v>
      </c>
      <c r="R209" s="129">
        <v>707.45011532141848</v>
      </c>
      <c r="S209" s="129">
        <v>729.4139856942611</v>
      </c>
      <c r="T209" s="129">
        <v>729.4139856942611</v>
      </c>
      <c r="U209" s="129">
        <v>729.4139856942611</v>
      </c>
      <c r="V209" s="129">
        <v>648.18582010984665</v>
      </c>
      <c r="W209" s="129">
        <v>664.06253549249823</v>
      </c>
      <c r="X209" s="129">
        <v>722.8899894479606</v>
      </c>
      <c r="Y209" s="129">
        <v>722.8899894479606</v>
      </c>
      <c r="Z209" s="129">
        <v>735.93798194056149</v>
      </c>
      <c r="AA209" s="129">
        <v>735.93798194056149</v>
      </c>
      <c r="AB209" s="129">
        <v>735.93798194056149</v>
      </c>
      <c r="AC209" s="129">
        <v>729.7575150415596</v>
      </c>
      <c r="AD209" s="129">
        <v>729.4139856942611</v>
      </c>
      <c r="AE209" s="129">
        <v>729.4139856942611</v>
      </c>
      <c r="AF209" s="129">
        <v>729.4139856942611</v>
      </c>
      <c r="AG209" s="129">
        <v>637.31653590968006</v>
      </c>
      <c r="AH209" s="129">
        <v>689.49693621951383</v>
      </c>
      <c r="AI209" s="129">
        <v>729.4139856942611</v>
      </c>
      <c r="AJ209" s="129">
        <v>729.4139856942611</v>
      </c>
      <c r="AK209" s="129">
        <v>664.17402323125668</v>
      </c>
      <c r="AL209" s="129">
        <v>597.66847206759314</v>
      </c>
      <c r="AM209" s="129">
        <v>722.8899894479606</v>
      </c>
      <c r="AN209" s="129">
        <v>787.68745512905878</v>
      </c>
      <c r="AO209" s="129">
        <v>698.63032043685484</v>
      </c>
      <c r="AP209" s="129">
        <v>794.21145137535916</v>
      </c>
      <c r="AQ209" s="129">
        <v>684.19991783426383</v>
      </c>
      <c r="AR209" s="129">
        <v>683.35724872778599</v>
      </c>
      <c r="AS209" s="129">
        <v>794.21145137535927</v>
      </c>
      <c r="AT209" s="129">
        <v>794.21145137535927</v>
      </c>
      <c r="AU209" s="129">
        <v>625.53096884927083</v>
      </c>
      <c r="AV209" s="129">
        <v>662.33824257345282</v>
      </c>
      <c r="AW209" s="129">
        <v>729.4139856942611</v>
      </c>
      <c r="AX209" s="129">
        <v>625.06092842186024</v>
      </c>
      <c r="AY209" s="129">
        <v>695.90587144643223</v>
      </c>
    </row>
    <row r="210" spans="1:51" x14ac:dyDescent="0.2">
      <c r="A210" s="114"/>
      <c r="B210" s="124">
        <v>2</v>
      </c>
      <c r="C210" s="111">
        <v>174.28566556593944</v>
      </c>
      <c r="D210" s="115">
        <v>537.11001055203872</v>
      </c>
      <c r="E210" s="115">
        <v>537.1100105520394</v>
      </c>
      <c r="F210" s="115">
        <v>530.5860143057389</v>
      </c>
      <c r="G210" s="115">
        <v>530.58601430573879</v>
      </c>
      <c r="H210" s="115">
        <v>530.58601430573901</v>
      </c>
      <c r="I210" s="115">
        <v>247.50000000000011</v>
      </c>
      <c r="J210" s="115">
        <v>0</v>
      </c>
      <c r="K210" s="115">
        <v>0</v>
      </c>
      <c r="L210" s="115">
        <v>0</v>
      </c>
      <c r="M210" s="115">
        <v>0</v>
      </c>
      <c r="N210" s="115">
        <v>0</v>
      </c>
      <c r="O210" s="115">
        <v>56.62040102969592</v>
      </c>
      <c r="P210" s="115">
        <v>0</v>
      </c>
      <c r="Q210" s="115">
        <v>0</v>
      </c>
      <c r="R210" s="115">
        <v>113.9649039735435</v>
      </c>
      <c r="S210" s="115">
        <v>19.76748333555836</v>
      </c>
      <c r="T210" s="115">
        <v>0</v>
      </c>
      <c r="U210" s="115">
        <v>0</v>
      </c>
      <c r="V210" s="115">
        <v>0</v>
      </c>
      <c r="W210" s="115">
        <v>67.233752404302564</v>
      </c>
      <c r="X210" s="115">
        <v>52.944708559916137</v>
      </c>
      <c r="Y210" s="115">
        <v>0</v>
      </c>
      <c r="Z210" s="115">
        <v>0</v>
      </c>
      <c r="AA210" s="115">
        <v>0</v>
      </c>
      <c r="AB210" s="115">
        <v>0</v>
      </c>
      <c r="AC210" s="115">
        <v>0</v>
      </c>
      <c r="AD210" s="115">
        <v>5.5624202091016972</v>
      </c>
      <c r="AE210" s="115">
        <v>0</v>
      </c>
      <c r="AF210" s="115">
        <v>0</v>
      </c>
      <c r="AG210" s="115">
        <v>0</v>
      </c>
      <c r="AH210" s="115">
        <v>82.88770480612294</v>
      </c>
      <c r="AI210" s="115">
        <v>35.92534452727255</v>
      </c>
      <c r="AJ210" s="115">
        <v>0</v>
      </c>
      <c r="AK210" s="115">
        <v>0</v>
      </c>
      <c r="AL210" s="115">
        <v>0</v>
      </c>
      <c r="AM210" s="115">
        <v>141.07752351982461</v>
      </c>
      <c r="AN210" s="115">
        <v>0</v>
      </c>
      <c r="AO210" s="115">
        <v>0</v>
      </c>
      <c r="AP210" s="115">
        <v>80.151421222983544</v>
      </c>
      <c r="AQ210" s="115">
        <v>1.0231815394945443E-13</v>
      </c>
      <c r="AR210" s="115">
        <v>99.010380186985898</v>
      </c>
      <c r="AS210" s="115">
        <v>99.768782382815957</v>
      </c>
      <c r="AT210" s="115">
        <v>0</v>
      </c>
      <c r="AU210" s="115">
        <v>0</v>
      </c>
      <c r="AV210" s="115">
        <v>151.8124342734796</v>
      </c>
      <c r="AW210" s="115">
        <v>60.368168808727454</v>
      </c>
      <c r="AX210" s="115">
        <v>0</v>
      </c>
      <c r="AY210" s="115">
        <v>99.789348166831118</v>
      </c>
    </row>
    <row r="211" spans="1:51" x14ac:dyDescent="0.2">
      <c r="A211" s="114"/>
      <c r="B211" s="124">
        <v>3</v>
      </c>
      <c r="C211" s="111">
        <v>590.82532841235161</v>
      </c>
      <c r="D211" s="115">
        <v>0</v>
      </c>
      <c r="E211" s="115">
        <v>0</v>
      </c>
      <c r="F211" s="115">
        <v>0</v>
      </c>
      <c r="G211" s="115">
        <v>0</v>
      </c>
      <c r="H211" s="115">
        <v>0</v>
      </c>
      <c r="I211" s="115">
        <v>0</v>
      </c>
      <c r="J211" s="115">
        <v>0</v>
      </c>
      <c r="K211" s="115">
        <v>0</v>
      </c>
      <c r="L211" s="115">
        <v>0</v>
      </c>
      <c r="M211" s="115">
        <v>0</v>
      </c>
      <c r="N211" s="115">
        <v>0</v>
      </c>
      <c r="O211" s="115">
        <v>0</v>
      </c>
      <c r="P211" s="115">
        <v>0</v>
      </c>
      <c r="Q211" s="115">
        <v>0</v>
      </c>
      <c r="R211" s="115">
        <v>0</v>
      </c>
      <c r="S211" s="115">
        <v>0</v>
      </c>
      <c r="T211" s="115">
        <v>0</v>
      </c>
      <c r="U211" s="115">
        <v>0</v>
      </c>
      <c r="V211" s="115">
        <v>0</v>
      </c>
      <c r="W211" s="115">
        <v>0</v>
      </c>
      <c r="X211" s="115">
        <v>0</v>
      </c>
      <c r="Y211" s="115">
        <v>0</v>
      </c>
      <c r="Z211" s="115">
        <v>0</v>
      </c>
      <c r="AA211" s="115">
        <v>0</v>
      </c>
      <c r="AB211" s="115">
        <v>0</v>
      </c>
      <c r="AC211" s="115">
        <v>0</v>
      </c>
      <c r="AD211" s="115">
        <v>0</v>
      </c>
      <c r="AE211" s="115">
        <v>0</v>
      </c>
      <c r="AF211" s="115">
        <v>0</v>
      </c>
      <c r="AG211" s="115">
        <v>0</v>
      </c>
      <c r="AH211" s="115">
        <v>0</v>
      </c>
      <c r="AI211" s="115">
        <v>0</v>
      </c>
      <c r="AJ211" s="115">
        <v>0</v>
      </c>
      <c r="AK211" s="115">
        <v>0</v>
      </c>
      <c r="AL211" s="115">
        <v>0</v>
      </c>
      <c r="AM211" s="115">
        <v>0</v>
      </c>
      <c r="AN211" s="115">
        <v>0</v>
      </c>
      <c r="AO211" s="115">
        <v>0</v>
      </c>
      <c r="AP211" s="115">
        <v>0</v>
      </c>
      <c r="AQ211" s="115">
        <v>0</v>
      </c>
      <c r="AR211" s="115">
        <v>0</v>
      </c>
      <c r="AS211" s="115">
        <v>0</v>
      </c>
      <c r="AT211" s="115">
        <v>0</v>
      </c>
      <c r="AU211" s="115">
        <v>0</v>
      </c>
      <c r="AV211" s="115">
        <v>0</v>
      </c>
      <c r="AW211" s="115">
        <v>0</v>
      </c>
      <c r="AX211" s="115">
        <v>0</v>
      </c>
      <c r="AY211" s="115">
        <v>0</v>
      </c>
    </row>
    <row r="212" spans="1:51" x14ac:dyDescent="0.2">
      <c r="A212" s="114"/>
      <c r="B212" s="124">
        <v>4</v>
      </c>
      <c r="C212" s="111">
        <v>38.889006021708965</v>
      </c>
      <c r="D212" s="115">
        <v>0</v>
      </c>
      <c r="E212" s="115">
        <v>0</v>
      </c>
      <c r="F212" s="115">
        <v>0</v>
      </c>
      <c r="G212" s="115">
        <v>0</v>
      </c>
      <c r="H212" s="115">
        <v>0</v>
      </c>
      <c r="I212" s="115">
        <v>0</v>
      </c>
      <c r="J212" s="115">
        <v>0</v>
      </c>
      <c r="K212" s="115">
        <v>0</v>
      </c>
      <c r="L212" s="115">
        <v>0</v>
      </c>
      <c r="M212" s="115">
        <v>0</v>
      </c>
      <c r="N212" s="115">
        <v>0</v>
      </c>
      <c r="O212" s="115">
        <v>0</v>
      </c>
      <c r="P212" s="115">
        <v>0</v>
      </c>
      <c r="Q212" s="115">
        <v>0</v>
      </c>
      <c r="R212" s="115">
        <v>0</v>
      </c>
      <c r="S212" s="115">
        <v>0</v>
      </c>
      <c r="T212" s="115">
        <v>0</v>
      </c>
      <c r="U212" s="115">
        <v>0</v>
      </c>
      <c r="V212" s="115">
        <v>0</v>
      </c>
      <c r="W212" s="115">
        <v>0</v>
      </c>
      <c r="X212" s="115">
        <v>0</v>
      </c>
      <c r="Y212" s="115">
        <v>0</v>
      </c>
      <c r="Z212" s="115">
        <v>0</v>
      </c>
      <c r="AA212" s="115">
        <v>0</v>
      </c>
      <c r="AB212" s="115">
        <v>0</v>
      </c>
      <c r="AC212" s="115">
        <v>0</v>
      </c>
      <c r="AD212" s="115">
        <v>0</v>
      </c>
      <c r="AE212" s="115">
        <v>0</v>
      </c>
      <c r="AF212" s="115">
        <v>0</v>
      </c>
      <c r="AG212" s="115">
        <v>0</v>
      </c>
      <c r="AH212" s="115">
        <v>0</v>
      </c>
      <c r="AI212" s="115">
        <v>0</v>
      </c>
      <c r="AJ212" s="115">
        <v>0</v>
      </c>
      <c r="AK212" s="115">
        <v>0</v>
      </c>
      <c r="AL212" s="115">
        <v>0</v>
      </c>
      <c r="AM212" s="115">
        <v>0</v>
      </c>
      <c r="AN212" s="115">
        <v>0</v>
      </c>
      <c r="AO212" s="115">
        <v>0</v>
      </c>
      <c r="AP212" s="115">
        <v>0</v>
      </c>
      <c r="AQ212" s="115">
        <v>0</v>
      </c>
      <c r="AR212" s="115">
        <v>0</v>
      </c>
      <c r="AS212" s="115">
        <v>0</v>
      </c>
      <c r="AT212" s="115">
        <v>0</v>
      </c>
      <c r="AU212" s="115">
        <v>0</v>
      </c>
      <c r="AV212" s="115">
        <v>0</v>
      </c>
      <c r="AW212" s="115">
        <v>0</v>
      </c>
      <c r="AX212" s="115">
        <v>0</v>
      </c>
      <c r="AY212" s="115">
        <v>0</v>
      </c>
    </row>
    <row r="213" spans="1:51" x14ac:dyDescent="0.2">
      <c r="A213" s="114"/>
      <c r="B213" s="124">
        <v>5</v>
      </c>
      <c r="C213" s="111">
        <v>0</v>
      </c>
      <c r="D213" s="115">
        <v>0</v>
      </c>
      <c r="E213" s="115">
        <v>0</v>
      </c>
      <c r="F213" s="115">
        <v>0</v>
      </c>
      <c r="G213" s="115">
        <v>0</v>
      </c>
      <c r="H213" s="115">
        <v>0</v>
      </c>
      <c r="I213" s="115">
        <v>0</v>
      </c>
      <c r="J213" s="115">
        <v>0</v>
      </c>
      <c r="K213" s="115">
        <v>0</v>
      </c>
      <c r="L213" s="115">
        <v>0</v>
      </c>
      <c r="M213" s="115">
        <v>0</v>
      </c>
      <c r="N213" s="115">
        <v>0</v>
      </c>
      <c r="O213" s="115">
        <v>0</v>
      </c>
      <c r="P213" s="115">
        <v>0</v>
      </c>
      <c r="Q213" s="115">
        <v>0</v>
      </c>
      <c r="R213" s="115">
        <v>0</v>
      </c>
      <c r="S213" s="115">
        <v>0</v>
      </c>
      <c r="T213" s="115">
        <v>0</v>
      </c>
      <c r="U213" s="115">
        <v>0</v>
      </c>
      <c r="V213" s="115">
        <v>0</v>
      </c>
      <c r="W213" s="115">
        <v>0</v>
      </c>
      <c r="X213" s="115">
        <v>0</v>
      </c>
      <c r="Y213" s="115">
        <v>0</v>
      </c>
      <c r="Z213" s="115">
        <v>0</v>
      </c>
      <c r="AA213" s="115">
        <v>0</v>
      </c>
      <c r="AB213" s="115">
        <v>0</v>
      </c>
      <c r="AC213" s="115">
        <v>0</v>
      </c>
      <c r="AD213" s="115">
        <v>0</v>
      </c>
      <c r="AE213" s="115">
        <v>0</v>
      </c>
      <c r="AF213" s="115">
        <v>0</v>
      </c>
      <c r="AG213" s="115">
        <v>0</v>
      </c>
      <c r="AH213" s="115">
        <v>0</v>
      </c>
      <c r="AI213" s="115">
        <v>0</v>
      </c>
      <c r="AJ213" s="115">
        <v>0</v>
      </c>
      <c r="AK213" s="115">
        <v>0</v>
      </c>
      <c r="AL213" s="115">
        <v>0</v>
      </c>
      <c r="AM213" s="115">
        <v>0</v>
      </c>
      <c r="AN213" s="115">
        <v>0</v>
      </c>
      <c r="AO213" s="115">
        <v>0</v>
      </c>
      <c r="AP213" s="115">
        <v>0</v>
      </c>
      <c r="AQ213" s="115">
        <v>0</v>
      </c>
      <c r="AR213" s="115">
        <v>0</v>
      </c>
      <c r="AS213" s="115">
        <v>0</v>
      </c>
      <c r="AT213" s="115">
        <v>0</v>
      </c>
      <c r="AU213" s="115">
        <v>0</v>
      </c>
      <c r="AV213" s="115">
        <v>0</v>
      </c>
      <c r="AW213" s="115">
        <v>0</v>
      </c>
      <c r="AX213" s="115">
        <v>0</v>
      </c>
      <c r="AY213" s="115">
        <v>0</v>
      </c>
    </row>
    <row r="214" spans="1:51" x14ac:dyDescent="0.2">
      <c r="A214" s="114"/>
      <c r="B214" s="124">
        <v>6</v>
      </c>
      <c r="C214" s="111">
        <v>0</v>
      </c>
      <c r="D214" s="115">
        <v>0</v>
      </c>
      <c r="E214" s="115">
        <v>0</v>
      </c>
      <c r="F214" s="115">
        <v>0</v>
      </c>
      <c r="G214" s="115">
        <v>0</v>
      </c>
      <c r="H214" s="115">
        <v>0</v>
      </c>
      <c r="I214" s="115">
        <v>0</v>
      </c>
      <c r="J214" s="115">
        <v>0</v>
      </c>
      <c r="K214" s="115">
        <v>0</v>
      </c>
      <c r="L214" s="115">
        <v>0</v>
      </c>
      <c r="M214" s="115">
        <v>0</v>
      </c>
      <c r="N214" s="115">
        <v>0</v>
      </c>
      <c r="O214" s="115">
        <v>0</v>
      </c>
      <c r="P214" s="115">
        <v>0</v>
      </c>
      <c r="Q214" s="115">
        <v>0</v>
      </c>
      <c r="R214" s="115">
        <v>0</v>
      </c>
      <c r="S214" s="115">
        <v>0</v>
      </c>
      <c r="T214" s="115">
        <v>0</v>
      </c>
      <c r="U214" s="115">
        <v>0</v>
      </c>
      <c r="V214" s="115">
        <v>0</v>
      </c>
      <c r="W214" s="115">
        <v>0</v>
      </c>
      <c r="X214" s="115">
        <v>0</v>
      </c>
      <c r="Y214" s="115">
        <v>0</v>
      </c>
      <c r="Z214" s="115">
        <v>0</v>
      </c>
      <c r="AA214" s="115">
        <v>0</v>
      </c>
      <c r="AB214" s="115">
        <v>0</v>
      </c>
      <c r="AC214" s="115">
        <v>0</v>
      </c>
      <c r="AD214" s="115">
        <v>0</v>
      </c>
      <c r="AE214" s="115">
        <v>0</v>
      </c>
      <c r="AF214" s="115">
        <v>0</v>
      </c>
      <c r="AG214" s="115">
        <v>0</v>
      </c>
      <c r="AH214" s="115">
        <v>0</v>
      </c>
      <c r="AI214" s="115">
        <v>0</v>
      </c>
      <c r="AJ214" s="115">
        <v>0</v>
      </c>
      <c r="AK214" s="115">
        <v>0</v>
      </c>
      <c r="AL214" s="115">
        <v>0</v>
      </c>
      <c r="AM214" s="115">
        <v>0</v>
      </c>
      <c r="AN214" s="115">
        <v>0</v>
      </c>
      <c r="AO214" s="115">
        <v>0</v>
      </c>
      <c r="AP214" s="115">
        <v>0</v>
      </c>
      <c r="AQ214" s="115">
        <v>0</v>
      </c>
      <c r="AR214" s="115">
        <v>0</v>
      </c>
      <c r="AS214" s="115">
        <v>0</v>
      </c>
      <c r="AT214" s="115">
        <v>0</v>
      </c>
      <c r="AU214" s="115">
        <v>0</v>
      </c>
      <c r="AV214" s="115">
        <v>0</v>
      </c>
      <c r="AW214" s="115">
        <v>0</v>
      </c>
      <c r="AX214" s="115">
        <v>0</v>
      </c>
      <c r="AY214" s="115">
        <v>0</v>
      </c>
    </row>
    <row r="215" spans="1:51" x14ac:dyDescent="0.2">
      <c r="A215" s="114"/>
      <c r="B215" s="124">
        <v>7</v>
      </c>
      <c r="C215" s="111">
        <v>0</v>
      </c>
      <c r="D215" s="115">
        <v>0</v>
      </c>
      <c r="E215" s="115">
        <v>0</v>
      </c>
      <c r="F215" s="115">
        <v>0</v>
      </c>
      <c r="G215" s="115">
        <v>0</v>
      </c>
      <c r="H215" s="115">
        <v>0</v>
      </c>
      <c r="I215" s="115">
        <v>0</v>
      </c>
      <c r="J215" s="115">
        <v>0</v>
      </c>
      <c r="K215" s="115">
        <v>0</v>
      </c>
      <c r="L215" s="115">
        <v>0</v>
      </c>
      <c r="M215" s="115">
        <v>0</v>
      </c>
      <c r="N215" s="115">
        <v>0</v>
      </c>
      <c r="O215" s="115">
        <v>0</v>
      </c>
      <c r="P215" s="115">
        <v>0</v>
      </c>
      <c r="Q215" s="115">
        <v>0</v>
      </c>
      <c r="R215" s="115">
        <v>0</v>
      </c>
      <c r="S215" s="115">
        <v>0</v>
      </c>
      <c r="T215" s="115">
        <v>0</v>
      </c>
      <c r="U215" s="115">
        <v>0</v>
      </c>
      <c r="V215" s="115">
        <v>0</v>
      </c>
      <c r="W215" s="115">
        <v>0</v>
      </c>
      <c r="X215" s="115">
        <v>0</v>
      </c>
      <c r="Y215" s="115">
        <v>0</v>
      </c>
      <c r="Z215" s="115">
        <v>0</v>
      </c>
      <c r="AA215" s="115">
        <v>0</v>
      </c>
      <c r="AB215" s="115">
        <v>0</v>
      </c>
      <c r="AC215" s="115">
        <v>0</v>
      </c>
      <c r="AD215" s="115">
        <v>0</v>
      </c>
      <c r="AE215" s="115">
        <v>0</v>
      </c>
      <c r="AF215" s="115">
        <v>0</v>
      </c>
      <c r="AG215" s="115">
        <v>0</v>
      </c>
      <c r="AH215" s="115">
        <v>0</v>
      </c>
      <c r="AI215" s="115">
        <v>0</v>
      </c>
      <c r="AJ215" s="115">
        <v>0</v>
      </c>
      <c r="AK215" s="115">
        <v>0</v>
      </c>
      <c r="AL215" s="115">
        <v>0</v>
      </c>
      <c r="AM215" s="115">
        <v>0</v>
      </c>
      <c r="AN215" s="115">
        <v>0</v>
      </c>
      <c r="AO215" s="115">
        <v>0</v>
      </c>
      <c r="AP215" s="115">
        <v>0</v>
      </c>
      <c r="AQ215" s="115">
        <v>0</v>
      </c>
      <c r="AR215" s="115">
        <v>0</v>
      </c>
      <c r="AS215" s="115">
        <v>0</v>
      </c>
      <c r="AT215" s="115">
        <v>0</v>
      </c>
      <c r="AU215" s="115">
        <v>0</v>
      </c>
      <c r="AV215" s="115">
        <v>0</v>
      </c>
      <c r="AW215" s="115">
        <v>0</v>
      </c>
      <c r="AX215" s="115">
        <v>0</v>
      </c>
      <c r="AY215" s="115">
        <v>0</v>
      </c>
    </row>
    <row r="216" spans="1:51" x14ac:dyDescent="0.2">
      <c r="A216" s="114"/>
      <c r="B216" s="124">
        <v>8</v>
      </c>
      <c r="C216" s="111">
        <v>0</v>
      </c>
      <c r="D216" s="115">
        <v>0</v>
      </c>
      <c r="E216" s="115">
        <v>0</v>
      </c>
      <c r="F216" s="115">
        <v>0</v>
      </c>
      <c r="G216" s="115">
        <v>0</v>
      </c>
      <c r="H216" s="115">
        <v>0</v>
      </c>
      <c r="I216" s="115">
        <v>0</v>
      </c>
      <c r="J216" s="115">
        <v>0</v>
      </c>
      <c r="K216" s="115">
        <v>0</v>
      </c>
      <c r="L216" s="115">
        <v>0</v>
      </c>
      <c r="M216" s="115">
        <v>0</v>
      </c>
      <c r="N216" s="115">
        <v>0</v>
      </c>
      <c r="O216" s="115">
        <v>0</v>
      </c>
      <c r="P216" s="115">
        <v>0</v>
      </c>
      <c r="Q216" s="115">
        <v>0</v>
      </c>
      <c r="R216" s="115">
        <v>0</v>
      </c>
      <c r="S216" s="115">
        <v>0</v>
      </c>
      <c r="T216" s="115">
        <v>0</v>
      </c>
      <c r="U216" s="115">
        <v>0</v>
      </c>
      <c r="V216" s="115">
        <v>0</v>
      </c>
      <c r="W216" s="115">
        <v>0</v>
      </c>
      <c r="X216" s="115">
        <v>0</v>
      </c>
      <c r="Y216" s="115">
        <v>0</v>
      </c>
      <c r="Z216" s="115">
        <v>0</v>
      </c>
      <c r="AA216" s="115">
        <v>0</v>
      </c>
      <c r="AB216" s="115">
        <v>0</v>
      </c>
      <c r="AC216" s="115">
        <v>0</v>
      </c>
      <c r="AD216" s="115">
        <v>0</v>
      </c>
      <c r="AE216" s="115">
        <v>0</v>
      </c>
      <c r="AF216" s="115">
        <v>0</v>
      </c>
      <c r="AG216" s="115">
        <v>0</v>
      </c>
      <c r="AH216" s="115">
        <v>0</v>
      </c>
      <c r="AI216" s="115">
        <v>0</v>
      </c>
      <c r="AJ216" s="115">
        <v>0</v>
      </c>
      <c r="AK216" s="115">
        <v>0</v>
      </c>
      <c r="AL216" s="115">
        <v>0</v>
      </c>
      <c r="AM216" s="115">
        <v>0</v>
      </c>
      <c r="AN216" s="115">
        <v>0</v>
      </c>
      <c r="AO216" s="115">
        <v>0</v>
      </c>
      <c r="AP216" s="115">
        <v>0</v>
      </c>
      <c r="AQ216" s="115">
        <v>0</v>
      </c>
      <c r="AR216" s="115">
        <v>0</v>
      </c>
      <c r="AS216" s="115">
        <v>0</v>
      </c>
      <c r="AT216" s="115">
        <v>0</v>
      </c>
      <c r="AU216" s="115">
        <v>0</v>
      </c>
      <c r="AV216" s="115">
        <v>0</v>
      </c>
      <c r="AW216" s="115">
        <v>0</v>
      </c>
      <c r="AX216" s="115">
        <v>0</v>
      </c>
      <c r="AY216" s="115">
        <v>0</v>
      </c>
    </row>
    <row r="217" spans="1:51" x14ac:dyDescent="0.2">
      <c r="A217" s="114"/>
      <c r="B217" s="124">
        <v>9</v>
      </c>
      <c r="C217" s="111">
        <v>0</v>
      </c>
      <c r="D217" s="115">
        <v>0</v>
      </c>
      <c r="E217" s="115">
        <v>0</v>
      </c>
      <c r="F217" s="115">
        <v>0</v>
      </c>
      <c r="G217" s="115">
        <v>0</v>
      </c>
      <c r="H217" s="115">
        <v>0</v>
      </c>
      <c r="I217" s="115">
        <v>0</v>
      </c>
      <c r="J217" s="115">
        <v>0</v>
      </c>
      <c r="K217" s="115">
        <v>0</v>
      </c>
      <c r="L217" s="115">
        <v>0</v>
      </c>
      <c r="M217" s="115">
        <v>0</v>
      </c>
      <c r="N217" s="115">
        <v>0</v>
      </c>
      <c r="O217" s="115">
        <v>0</v>
      </c>
      <c r="P217" s="115">
        <v>0</v>
      </c>
      <c r="Q217" s="115">
        <v>0</v>
      </c>
      <c r="R217" s="115">
        <v>0</v>
      </c>
      <c r="S217" s="115">
        <v>0</v>
      </c>
      <c r="T217" s="115">
        <v>0</v>
      </c>
      <c r="U217" s="115">
        <v>0</v>
      </c>
      <c r="V217" s="115">
        <v>0</v>
      </c>
      <c r="W217" s="115">
        <v>0</v>
      </c>
      <c r="X217" s="115">
        <v>0</v>
      </c>
      <c r="Y217" s="115">
        <v>0</v>
      </c>
      <c r="Z217" s="115">
        <v>0</v>
      </c>
      <c r="AA217" s="115">
        <v>0</v>
      </c>
      <c r="AB217" s="115">
        <v>0</v>
      </c>
      <c r="AC217" s="115">
        <v>0</v>
      </c>
      <c r="AD217" s="115">
        <v>0</v>
      </c>
      <c r="AE217" s="115">
        <v>0</v>
      </c>
      <c r="AF217" s="115">
        <v>0</v>
      </c>
      <c r="AG217" s="115">
        <v>0</v>
      </c>
      <c r="AH217" s="115">
        <v>0</v>
      </c>
      <c r="AI217" s="115">
        <v>0</v>
      </c>
      <c r="AJ217" s="115">
        <v>0</v>
      </c>
      <c r="AK217" s="115">
        <v>0</v>
      </c>
      <c r="AL217" s="115">
        <v>0</v>
      </c>
      <c r="AM217" s="115">
        <v>0</v>
      </c>
      <c r="AN217" s="115">
        <v>0</v>
      </c>
      <c r="AO217" s="115">
        <v>0</v>
      </c>
      <c r="AP217" s="115">
        <v>0</v>
      </c>
      <c r="AQ217" s="115">
        <v>0</v>
      </c>
      <c r="AR217" s="115">
        <v>0</v>
      </c>
      <c r="AS217" s="115">
        <v>0</v>
      </c>
      <c r="AT217" s="115">
        <v>0</v>
      </c>
      <c r="AU217" s="115">
        <v>0</v>
      </c>
      <c r="AV217" s="115">
        <v>0</v>
      </c>
      <c r="AW217" s="115">
        <v>0</v>
      </c>
      <c r="AX217" s="115">
        <v>0</v>
      </c>
      <c r="AY217" s="115">
        <v>0</v>
      </c>
    </row>
    <row r="218" spans="1:51" x14ac:dyDescent="0.2">
      <c r="A218" s="114"/>
      <c r="B218" s="124">
        <v>10</v>
      </c>
      <c r="C218" s="111">
        <v>0</v>
      </c>
      <c r="D218" s="115">
        <v>0</v>
      </c>
      <c r="E218" s="115">
        <v>0</v>
      </c>
      <c r="F218" s="115">
        <v>0</v>
      </c>
      <c r="G218" s="115">
        <v>0</v>
      </c>
      <c r="H218" s="115">
        <v>0</v>
      </c>
      <c r="I218" s="115">
        <v>0</v>
      </c>
      <c r="J218" s="115">
        <v>0</v>
      </c>
      <c r="K218" s="115">
        <v>0</v>
      </c>
      <c r="L218" s="115">
        <v>0</v>
      </c>
      <c r="M218" s="115">
        <v>0</v>
      </c>
      <c r="N218" s="115">
        <v>0</v>
      </c>
      <c r="O218" s="115">
        <v>0</v>
      </c>
      <c r="P218" s="115">
        <v>0</v>
      </c>
      <c r="Q218" s="115">
        <v>0</v>
      </c>
      <c r="R218" s="115">
        <v>0</v>
      </c>
      <c r="S218" s="115">
        <v>0</v>
      </c>
      <c r="T218" s="115">
        <v>0</v>
      </c>
      <c r="U218" s="115">
        <v>0</v>
      </c>
      <c r="V218" s="115">
        <v>0</v>
      </c>
      <c r="W218" s="115">
        <v>0</v>
      </c>
      <c r="X218" s="115">
        <v>0</v>
      </c>
      <c r="Y218" s="115">
        <v>0</v>
      </c>
      <c r="Z218" s="115">
        <v>0</v>
      </c>
      <c r="AA218" s="115">
        <v>0</v>
      </c>
      <c r="AB218" s="115">
        <v>0</v>
      </c>
      <c r="AC218" s="115">
        <v>0</v>
      </c>
      <c r="AD218" s="115">
        <v>0</v>
      </c>
      <c r="AE218" s="115">
        <v>0</v>
      </c>
      <c r="AF218" s="115">
        <v>0</v>
      </c>
      <c r="AG218" s="115">
        <v>0</v>
      </c>
      <c r="AH218" s="115">
        <v>0</v>
      </c>
      <c r="AI218" s="115">
        <v>0</v>
      </c>
      <c r="AJ218" s="115">
        <v>0</v>
      </c>
      <c r="AK218" s="115">
        <v>0</v>
      </c>
      <c r="AL218" s="115">
        <v>0</v>
      </c>
      <c r="AM218" s="115">
        <v>0</v>
      </c>
      <c r="AN218" s="115">
        <v>0</v>
      </c>
      <c r="AO218" s="115">
        <v>0</v>
      </c>
      <c r="AP218" s="115">
        <v>0</v>
      </c>
      <c r="AQ218" s="115">
        <v>0</v>
      </c>
      <c r="AR218" s="115">
        <v>0</v>
      </c>
      <c r="AS218" s="115">
        <v>0</v>
      </c>
      <c r="AT218" s="115">
        <v>0</v>
      </c>
      <c r="AU218" s="115">
        <v>0</v>
      </c>
      <c r="AV218" s="115">
        <v>0</v>
      </c>
      <c r="AW218" s="115">
        <v>0</v>
      </c>
      <c r="AX218" s="115">
        <v>0</v>
      </c>
      <c r="AY218" s="115">
        <v>0</v>
      </c>
    </row>
    <row r="219" spans="1:51" x14ac:dyDescent="0.2">
      <c r="A219" s="114"/>
      <c r="B219" s="124">
        <v>11</v>
      </c>
      <c r="C219" s="111">
        <v>0</v>
      </c>
      <c r="D219" s="115">
        <v>0</v>
      </c>
      <c r="E219" s="115">
        <v>0</v>
      </c>
      <c r="F219" s="115">
        <v>0</v>
      </c>
      <c r="G219" s="115">
        <v>0</v>
      </c>
      <c r="H219" s="115">
        <v>0</v>
      </c>
      <c r="I219" s="115">
        <v>0</v>
      </c>
      <c r="J219" s="115">
        <v>0</v>
      </c>
      <c r="K219" s="115">
        <v>0</v>
      </c>
      <c r="L219" s="115">
        <v>0</v>
      </c>
      <c r="M219" s="115">
        <v>0</v>
      </c>
      <c r="N219" s="115">
        <v>0</v>
      </c>
      <c r="O219" s="115">
        <v>0</v>
      </c>
      <c r="P219" s="115">
        <v>0</v>
      </c>
      <c r="Q219" s="115">
        <v>0</v>
      </c>
      <c r="R219" s="115">
        <v>0</v>
      </c>
      <c r="S219" s="115">
        <v>0</v>
      </c>
      <c r="T219" s="115">
        <v>0</v>
      </c>
      <c r="U219" s="115">
        <v>0</v>
      </c>
      <c r="V219" s="115">
        <v>0</v>
      </c>
      <c r="W219" s="115">
        <v>0</v>
      </c>
      <c r="X219" s="115">
        <v>0</v>
      </c>
      <c r="Y219" s="115">
        <v>0</v>
      </c>
      <c r="Z219" s="115">
        <v>0</v>
      </c>
      <c r="AA219" s="115">
        <v>0</v>
      </c>
      <c r="AB219" s="115">
        <v>0</v>
      </c>
      <c r="AC219" s="115">
        <v>0</v>
      </c>
      <c r="AD219" s="115">
        <v>0</v>
      </c>
      <c r="AE219" s="115">
        <v>0</v>
      </c>
      <c r="AF219" s="115">
        <v>0</v>
      </c>
      <c r="AG219" s="115">
        <v>0</v>
      </c>
      <c r="AH219" s="115">
        <v>0</v>
      </c>
      <c r="AI219" s="115">
        <v>0</v>
      </c>
      <c r="AJ219" s="115">
        <v>0</v>
      </c>
      <c r="AK219" s="115">
        <v>0</v>
      </c>
      <c r="AL219" s="115">
        <v>0</v>
      </c>
      <c r="AM219" s="115">
        <v>0</v>
      </c>
      <c r="AN219" s="115">
        <v>0</v>
      </c>
      <c r="AO219" s="115">
        <v>0</v>
      </c>
      <c r="AP219" s="115">
        <v>0</v>
      </c>
      <c r="AQ219" s="115">
        <v>0</v>
      </c>
      <c r="AR219" s="115">
        <v>0</v>
      </c>
      <c r="AS219" s="115">
        <v>0</v>
      </c>
      <c r="AT219" s="115">
        <v>0</v>
      </c>
      <c r="AU219" s="115">
        <v>0</v>
      </c>
      <c r="AV219" s="115">
        <v>0</v>
      </c>
      <c r="AW219" s="115">
        <v>0</v>
      </c>
      <c r="AX219" s="115">
        <v>0</v>
      </c>
      <c r="AY219" s="115">
        <v>0</v>
      </c>
    </row>
    <row r="220" spans="1:51" x14ac:dyDescent="0.2">
      <c r="A220" s="114"/>
      <c r="B220" s="124">
        <v>12</v>
      </c>
      <c r="C220" s="111">
        <v>0</v>
      </c>
      <c r="D220" s="115">
        <v>0</v>
      </c>
      <c r="E220" s="115">
        <v>0</v>
      </c>
      <c r="F220" s="115">
        <v>0</v>
      </c>
      <c r="G220" s="115">
        <v>0</v>
      </c>
      <c r="H220" s="115">
        <v>0</v>
      </c>
      <c r="I220" s="115">
        <v>0</v>
      </c>
      <c r="J220" s="115">
        <v>0</v>
      </c>
      <c r="K220" s="115">
        <v>0</v>
      </c>
      <c r="L220" s="115">
        <v>0</v>
      </c>
      <c r="M220" s="115">
        <v>0</v>
      </c>
      <c r="N220" s="115">
        <v>0</v>
      </c>
      <c r="O220" s="115">
        <v>0</v>
      </c>
      <c r="P220" s="115">
        <v>0</v>
      </c>
      <c r="Q220" s="115">
        <v>0</v>
      </c>
      <c r="R220" s="115">
        <v>0</v>
      </c>
      <c r="S220" s="115">
        <v>0</v>
      </c>
      <c r="T220" s="115">
        <v>0</v>
      </c>
      <c r="U220" s="115">
        <v>0</v>
      </c>
      <c r="V220" s="115">
        <v>0</v>
      </c>
      <c r="W220" s="115">
        <v>0</v>
      </c>
      <c r="X220" s="115">
        <v>0</v>
      </c>
      <c r="Y220" s="115">
        <v>0</v>
      </c>
      <c r="Z220" s="115">
        <v>0</v>
      </c>
      <c r="AA220" s="115">
        <v>0</v>
      </c>
      <c r="AB220" s="115">
        <v>0</v>
      </c>
      <c r="AC220" s="115">
        <v>0</v>
      </c>
      <c r="AD220" s="115">
        <v>0</v>
      </c>
      <c r="AE220" s="115">
        <v>0</v>
      </c>
      <c r="AF220" s="115">
        <v>0</v>
      </c>
      <c r="AG220" s="115">
        <v>0</v>
      </c>
      <c r="AH220" s="115">
        <v>0</v>
      </c>
      <c r="AI220" s="115">
        <v>0</v>
      </c>
      <c r="AJ220" s="115">
        <v>0</v>
      </c>
      <c r="AK220" s="115">
        <v>0</v>
      </c>
      <c r="AL220" s="115">
        <v>0</v>
      </c>
      <c r="AM220" s="115">
        <v>0</v>
      </c>
      <c r="AN220" s="115">
        <v>0</v>
      </c>
      <c r="AO220" s="115">
        <v>0</v>
      </c>
      <c r="AP220" s="115">
        <v>0</v>
      </c>
      <c r="AQ220" s="115">
        <v>0</v>
      </c>
      <c r="AR220" s="115">
        <v>0</v>
      </c>
      <c r="AS220" s="115">
        <v>0</v>
      </c>
      <c r="AT220" s="115">
        <v>0</v>
      </c>
      <c r="AU220" s="115">
        <v>0</v>
      </c>
      <c r="AV220" s="115">
        <v>0</v>
      </c>
      <c r="AW220" s="115">
        <v>0</v>
      </c>
      <c r="AX220" s="115">
        <v>0</v>
      </c>
      <c r="AY220" s="115">
        <v>0</v>
      </c>
    </row>
    <row r="221" spans="1:51" x14ac:dyDescent="0.2">
      <c r="A221" s="114"/>
      <c r="B221" s="125">
        <v>13</v>
      </c>
      <c r="C221" s="111">
        <v>0</v>
      </c>
      <c r="D221" s="115">
        <v>0</v>
      </c>
      <c r="E221" s="115">
        <v>0</v>
      </c>
      <c r="F221" s="115">
        <v>0</v>
      </c>
      <c r="G221" s="115">
        <v>0</v>
      </c>
      <c r="H221" s="115">
        <v>0</v>
      </c>
      <c r="I221" s="115">
        <v>0</v>
      </c>
      <c r="J221" s="115">
        <v>0</v>
      </c>
      <c r="K221" s="115">
        <v>0</v>
      </c>
      <c r="L221" s="115">
        <v>0</v>
      </c>
      <c r="M221" s="115">
        <v>0</v>
      </c>
      <c r="N221" s="115">
        <v>0</v>
      </c>
      <c r="O221" s="115">
        <v>0</v>
      </c>
      <c r="P221" s="115">
        <v>0</v>
      </c>
      <c r="Q221" s="115">
        <v>0</v>
      </c>
      <c r="R221" s="115">
        <v>0</v>
      </c>
      <c r="S221" s="115">
        <v>0</v>
      </c>
      <c r="T221" s="115">
        <v>0</v>
      </c>
      <c r="U221" s="115">
        <v>0</v>
      </c>
      <c r="V221" s="115">
        <v>0</v>
      </c>
      <c r="W221" s="115">
        <v>0</v>
      </c>
      <c r="X221" s="115">
        <v>0</v>
      </c>
      <c r="Y221" s="115">
        <v>0</v>
      </c>
      <c r="Z221" s="115">
        <v>0</v>
      </c>
      <c r="AA221" s="115">
        <v>0</v>
      </c>
      <c r="AB221" s="115">
        <v>0</v>
      </c>
      <c r="AC221" s="115">
        <v>0</v>
      </c>
      <c r="AD221" s="115">
        <v>0</v>
      </c>
      <c r="AE221" s="115">
        <v>0</v>
      </c>
      <c r="AF221" s="115">
        <v>0</v>
      </c>
      <c r="AG221" s="115">
        <v>0</v>
      </c>
      <c r="AH221" s="115">
        <v>0</v>
      </c>
      <c r="AI221" s="115">
        <v>0</v>
      </c>
      <c r="AJ221" s="115">
        <v>0</v>
      </c>
      <c r="AK221" s="115">
        <v>0</v>
      </c>
      <c r="AL221" s="115">
        <v>0</v>
      </c>
      <c r="AM221" s="115">
        <v>0</v>
      </c>
      <c r="AN221" s="115">
        <v>0</v>
      </c>
      <c r="AO221" s="115">
        <v>0</v>
      </c>
      <c r="AP221" s="115">
        <v>0</v>
      </c>
      <c r="AQ221" s="115">
        <v>0</v>
      </c>
      <c r="AR221" s="115">
        <v>0</v>
      </c>
      <c r="AS221" s="115">
        <v>0</v>
      </c>
      <c r="AT221" s="115">
        <v>0</v>
      </c>
      <c r="AU221" s="115">
        <v>0</v>
      </c>
      <c r="AV221" s="115">
        <v>0</v>
      </c>
      <c r="AW221" s="115">
        <v>0</v>
      </c>
      <c r="AX221" s="115">
        <v>0</v>
      </c>
      <c r="AY221" s="115">
        <v>0</v>
      </c>
    </row>
    <row r="222" spans="1:51" x14ac:dyDescent="0.2">
      <c r="A222" s="114"/>
      <c r="B222" s="125">
        <v>14</v>
      </c>
      <c r="C222" s="111">
        <v>0</v>
      </c>
      <c r="D222" s="115">
        <v>0</v>
      </c>
      <c r="E222" s="115">
        <v>0</v>
      </c>
      <c r="F222" s="115">
        <v>0</v>
      </c>
      <c r="G222" s="115">
        <v>0</v>
      </c>
      <c r="H222" s="115">
        <v>0</v>
      </c>
      <c r="I222" s="115">
        <v>0</v>
      </c>
      <c r="J222" s="115">
        <v>0</v>
      </c>
      <c r="K222" s="115">
        <v>0</v>
      </c>
      <c r="L222" s="115">
        <v>0</v>
      </c>
      <c r="M222" s="115">
        <v>0</v>
      </c>
      <c r="N222" s="115">
        <v>0</v>
      </c>
      <c r="O222" s="115">
        <v>0</v>
      </c>
      <c r="P222" s="115">
        <v>0</v>
      </c>
      <c r="Q222" s="115">
        <v>0</v>
      </c>
      <c r="R222" s="115">
        <v>0</v>
      </c>
      <c r="S222" s="115">
        <v>0</v>
      </c>
      <c r="T222" s="115">
        <v>0</v>
      </c>
      <c r="U222" s="115">
        <v>0</v>
      </c>
      <c r="V222" s="115">
        <v>0</v>
      </c>
      <c r="W222" s="115">
        <v>0</v>
      </c>
      <c r="X222" s="115">
        <v>0</v>
      </c>
      <c r="Y222" s="115">
        <v>0</v>
      </c>
      <c r="Z222" s="115">
        <v>0</v>
      </c>
      <c r="AA222" s="115">
        <v>0</v>
      </c>
      <c r="AB222" s="115">
        <v>0</v>
      </c>
      <c r="AC222" s="115">
        <v>0</v>
      </c>
      <c r="AD222" s="115">
        <v>0</v>
      </c>
      <c r="AE222" s="115">
        <v>0</v>
      </c>
      <c r="AF222" s="115">
        <v>0</v>
      </c>
      <c r="AG222" s="115">
        <v>0</v>
      </c>
      <c r="AH222" s="115">
        <v>0</v>
      </c>
      <c r="AI222" s="115">
        <v>0</v>
      </c>
      <c r="AJ222" s="115">
        <v>0</v>
      </c>
      <c r="AK222" s="115">
        <v>0</v>
      </c>
      <c r="AL222" s="115">
        <v>0</v>
      </c>
      <c r="AM222" s="115">
        <v>0</v>
      </c>
      <c r="AN222" s="115">
        <v>0</v>
      </c>
      <c r="AO222" s="115">
        <v>0</v>
      </c>
      <c r="AP222" s="115">
        <v>0</v>
      </c>
      <c r="AQ222" s="115">
        <v>0</v>
      </c>
      <c r="AR222" s="115">
        <v>0</v>
      </c>
      <c r="AS222" s="115">
        <v>0</v>
      </c>
      <c r="AT222" s="115">
        <v>0</v>
      </c>
      <c r="AU222" s="115">
        <v>0</v>
      </c>
      <c r="AV222" s="115">
        <v>0</v>
      </c>
      <c r="AW222" s="115">
        <v>0</v>
      </c>
      <c r="AX222" s="115">
        <v>0</v>
      </c>
      <c r="AY222" s="115">
        <v>0</v>
      </c>
    </row>
    <row r="223" spans="1:51" x14ac:dyDescent="0.2">
      <c r="A223" s="114"/>
      <c r="B223" s="125">
        <v>15</v>
      </c>
      <c r="C223" s="111">
        <v>0</v>
      </c>
      <c r="D223" s="115">
        <v>0</v>
      </c>
      <c r="E223" s="115">
        <v>0</v>
      </c>
      <c r="F223" s="115">
        <v>0</v>
      </c>
      <c r="G223" s="115">
        <v>0</v>
      </c>
      <c r="H223" s="115">
        <v>0</v>
      </c>
      <c r="I223" s="115">
        <v>0</v>
      </c>
      <c r="J223" s="115">
        <v>0</v>
      </c>
      <c r="K223" s="115">
        <v>0</v>
      </c>
      <c r="L223" s="115">
        <v>0</v>
      </c>
      <c r="M223" s="115">
        <v>0</v>
      </c>
      <c r="N223" s="115">
        <v>0</v>
      </c>
      <c r="O223" s="115">
        <v>0</v>
      </c>
      <c r="P223" s="115">
        <v>0</v>
      </c>
      <c r="Q223" s="115">
        <v>0</v>
      </c>
      <c r="R223" s="115">
        <v>0</v>
      </c>
      <c r="S223" s="115">
        <v>0</v>
      </c>
      <c r="T223" s="115">
        <v>0</v>
      </c>
      <c r="U223" s="115">
        <v>0</v>
      </c>
      <c r="V223" s="115">
        <v>0</v>
      </c>
      <c r="W223" s="115">
        <v>0</v>
      </c>
      <c r="X223" s="115">
        <v>0</v>
      </c>
      <c r="Y223" s="115">
        <v>0</v>
      </c>
      <c r="Z223" s="115">
        <v>0</v>
      </c>
      <c r="AA223" s="115">
        <v>0</v>
      </c>
      <c r="AB223" s="115">
        <v>0</v>
      </c>
      <c r="AC223" s="115">
        <v>0</v>
      </c>
      <c r="AD223" s="115">
        <v>0</v>
      </c>
      <c r="AE223" s="115">
        <v>0</v>
      </c>
      <c r="AF223" s="115">
        <v>0</v>
      </c>
      <c r="AG223" s="115">
        <v>0</v>
      </c>
      <c r="AH223" s="115">
        <v>0</v>
      </c>
      <c r="AI223" s="115">
        <v>0</v>
      </c>
      <c r="AJ223" s="115">
        <v>0</v>
      </c>
      <c r="AK223" s="115">
        <v>0</v>
      </c>
      <c r="AL223" s="115">
        <v>0</v>
      </c>
      <c r="AM223" s="115">
        <v>0</v>
      </c>
      <c r="AN223" s="115">
        <v>0</v>
      </c>
      <c r="AO223" s="115">
        <v>0</v>
      </c>
      <c r="AP223" s="115">
        <v>0</v>
      </c>
      <c r="AQ223" s="115">
        <v>0</v>
      </c>
      <c r="AR223" s="115">
        <v>0</v>
      </c>
      <c r="AS223" s="115">
        <v>0</v>
      </c>
      <c r="AT223" s="115">
        <v>0</v>
      </c>
      <c r="AU223" s="115">
        <v>0</v>
      </c>
      <c r="AV223" s="115">
        <v>0</v>
      </c>
      <c r="AW223" s="115">
        <v>0</v>
      </c>
      <c r="AX223" s="115">
        <v>0</v>
      </c>
      <c r="AY223" s="115">
        <v>0</v>
      </c>
    </row>
    <row r="224" spans="1:51" x14ac:dyDescent="0.2">
      <c r="A224" s="114"/>
      <c r="B224" s="125">
        <v>16</v>
      </c>
      <c r="C224" s="111">
        <v>0</v>
      </c>
      <c r="D224" s="115">
        <v>0</v>
      </c>
      <c r="E224" s="115">
        <v>0</v>
      </c>
      <c r="F224" s="115">
        <v>0</v>
      </c>
      <c r="G224" s="115">
        <v>0</v>
      </c>
      <c r="H224" s="115">
        <v>0</v>
      </c>
      <c r="I224" s="115">
        <v>0</v>
      </c>
      <c r="J224" s="115">
        <v>0</v>
      </c>
      <c r="K224" s="115">
        <v>0</v>
      </c>
      <c r="L224" s="115">
        <v>0</v>
      </c>
      <c r="M224" s="115">
        <v>0</v>
      </c>
      <c r="N224" s="115">
        <v>0</v>
      </c>
      <c r="O224" s="115">
        <v>0</v>
      </c>
      <c r="P224" s="115">
        <v>0</v>
      </c>
      <c r="Q224" s="115">
        <v>0</v>
      </c>
      <c r="R224" s="115">
        <v>0</v>
      </c>
      <c r="S224" s="115">
        <v>0</v>
      </c>
      <c r="T224" s="115">
        <v>0</v>
      </c>
      <c r="U224" s="115">
        <v>0</v>
      </c>
      <c r="V224" s="115">
        <v>0</v>
      </c>
      <c r="W224" s="115">
        <v>0</v>
      </c>
      <c r="X224" s="115">
        <v>0</v>
      </c>
      <c r="Y224" s="115">
        <v>0</v>
      </c>
      <c r="Z224" s="115">
        <v>0</v>
      </c>
      <c r="AA224" s="115">
        <v>0</v>
      </c>
      <c r="AB224" s="115">
        <v>0</v>
      </c>
      <c r="AC224" s="115">
        <v>0</v>
      </c>
      <c r="AD224" s="115">
        <v>0</v>
      </c>
      <c r="AE224" s="115">
        <v>0</v>
      </c>
      <c r="AF224" s="115">
        <v>0</v>
      </c>
      <c r="AG224" s="115">
        <v>0</v>
      </c>
      <c r="AH224" s="115">
        <v>0</v>
      </c>
      <c r="AI224" s="115">
        <v>0</v>
      </c>
      <c r="AJ224" s="115">
        <v>0</v>
      </c>
      <c r="AK224" s="115">
        <v>0</v>
      </c>
      <c r="AL224" s="115">
        <v>0</v>
      </c>
      <c r="AM224" s="115">
        <v>0</v>
      </c>
      <c r="AN224" s="115">
        <v>0</v>
      </c>
      <c r="AO224" s="115">
        <v>0</v>
      </c>
      <c r="AP224" s="115">
        <v>0</v>
      </c>
      <c r="AQ224" s="115">
        <v>0</v>
      </c>
      <c r="AR224" s="115">
        <v>0</v>
      </c>
      <c r="AS224" s="115">
        <v>0</v>
      </c>
      <c r="AT224" s="115">
        <v>0</v>
      </c>
      <c r="AU224" s="115">
        <v>0</v>
      </c>
      <c r="AV224" s="115">
        <v>0</v>
      </c>
      <c r="AW224" s="115">
        <v>0</v>
      </c>
      <c r="AX224" s="115">
        <v>0</v>
      </c>
      <c r="AY224" s="115">
        <v>0</v>
      </c>
    </row>
    <row r="225" spans="1:51" x14ac:dyDescent="0.2">
      <c r="A225" s="114"/>
      <c r="B225" s="125">
        <v>17</v>
      </c>
      <c r="C225" s="111">
        <v>0</v>
      </c>
      <c r="D225" s="115">
        <v>0</v>
      </c>
      <c r="E225" s="115">
        <v>0</v>
      </c>
      <c r="F225" s="115">
        <v>0</v>
      </c>
      <c r="G225" s="115">
        <v>0</v>
      </c>
      <c r="H225" s="115">
        <v>0</v>
      </c>
      <c r="I225" s="115">
        <v>0</v>
      </c>
      <c r="J225" s="115">
        <v>0</v>
      </c>
      <c r="K225" s="115">
        <v>0</v>
      </c>
      <c r="L225" s="115">
        <v>0</v>
      </c>
      <c r="M225" s="115">
        <v>0</v>
      </c>
      <c r="N225" s="115">
        <v>0</v>
      </c>
      <c r="O225" s="115">
        <v>0</v>
      </c>
      <c r="P225" s="115">
        <v>0</v>
      </c>
      <c r="Q225" s="115">
        <v>0</v>
      </c>
      <c r="R225" s="115">
        <v>0</v>
      </c>
      <c r="S225" s="115">
        <v>0</v>
      </c>
      <c r="T225" s="115">
        <v>0</v>
      </c>
      <c r="U225" s="115">
        <v>0</v>
      </c>
      <c r="V225" s="115">
        <v>0</v>
      </c>
      <c r="W225" s="115">
        <v>0</v>
      </c>
      <c r="X225" s="115">
        <v>0</v>
      </c>
      <c r="Y225" s="115">
        <v>0</v>
      </c>
      <c r="Z225" s="115">
        <v>0</v>
      </c>
      <c r="AA225" s="115">
        <v>0</v>
      </c>
      <c r="AB225" s="115">
        <v>0</v>
      </c>
      <c r="AC225" s="115">
        <v>0</v>
      </c>
      <c r="AD225" s="115">
        <v>0</v>
      </c>
      <c r="AE225" s="115">
        <v>0</v>
      </c>
      <c r="AF225" s="115">
        <v>0</v>
      </c>
      <c r="AG225" s="115">
        <v>0</v>
      </c>
      <c r="AH225" s="115">
        <v>0</v>
      </c>
      <c r="AI225" s="115">
        <v>0</v>
      </c>
      <c r="AJ225" s="115">
        <v>0</v>
      </c>
      <c r="AK225" s="115">
        <v>0</v>
      </c>
      <c r="AL225" s="115">
        <v>0</v>
      </c>
      <c r="AM225" s="115">
        <v>0</v>
      </c>
      <c r="AN225" s="115">
        <v>0</v>
      </c>
      <c r="AO225" s="115">
        <v>0</v>
      </c>
      <c r="AP225" s="115">
        <v>0</v>
      </c>
      <c r="AQ225" s="115">
        <v>0</v>
      </c>
      <c r="AR225" s="115">
        <v>0</v>
      </c>
      <c r="AS225" s="115">
        <v>0</v>
      </c>
      <c r="AT225" s="115">
        <v>0</v>
      </c>
      <c r="AU225" s="115">
        <v>0</v>
      </c>
      <c r="AV225" s="115">
        <v>0</v>
      </c>
      <c r="AW225" s="115">
        <v>0</v>
      </c>
      <c r="AX225" s="115">
        <v>0</v>
      </c>
      <c r="AY225" s="115">
        <v>0</v>
      </c>
    </row>
    <row r="226" spans="1:51" x14ac:dyDescent="0.2">
      <c r="A226" s="114"/>
      <c r="B226" s="125">
        <v>18</v>
      </c>
      <c r="C226" s="111">
        <v>0</v>
      </c>
      <c r="D226" s="115">
        <v>0</v>
      </c>
      <c r="E226" s="115">
        <v>0</v>
      </c>
      <c r="F226" s="115">
        <v>0</v>
      </c>
      <c r="G226" s="115">
        <v>0</v>
      </c>
      <c r="H226" s="115">
        <v>0</v>
      </c>
      <c r="I226" s="115">
        <v>0</v>
      </c>
      <c r="J226" s="115">
        <v>0</v>
      </c>
      <c r="K226" s="115">
        <v>0</v>
      </c>
      <c r="L226" s="115">
        <v>0</v>
      </c>
      <c r="M226" s="115">
        <v>0</v>
      </c>
      <c r="N226" s="115">
        <v>0</v>
      </c>
      <c r="O226" s="115">
        <v>0</v>
      </c>
      <c r="P226" s="115">
        <v>0</v>
      </c>
      <c r="Q226" s="115">
        <v>0</v>
      </c>
      <c r="R226" s="115">
        <v>0</v>
      </c>
      <c r="S226" s="115">
        <v>0</v>
      </c>
      <c r="T226" s="115">
        <v>0</v>
      </c>
      <c r="U226" s="115">
        <v>0</v>
      </c>
      <c r="V226" s="115">
        <v>0</v>
      </c>
      <c r="W226" s="115">
        <v>0</v>
      </c>
      <c r="X226" s="115">
        <v>0</v>
      </c>
      <c r="Y226" s="115">
        <v>0</v>
      </c>
      <c r="Z226" s="115">
        <v>0</v>
      </c>
      <c r="AA226" s="115">
        <v>0</v>
      </c>
      <c r="AB226" s="115">
        <v>0</v>
      </c>
      <c r="AC226" s="115">
        <v>0</v>
      </c>
      <c r="AD226" s="115">
        <v>0</v>
      </c>
      <c r="AE226" s="115">
        <v>0</v>
      </c>
      <c r="AF226" s="115">
        <v>0</v>
      </c>
      <c r="AG226" s="115">
        <v>0</v>
      </c>
      <c r="AH226" s="115">
        <v>0</v>
      </c>
      <c r="AI226" s="115">
        <v>0</v>
      </c>
      <c r="AJ226" s="115">
        <v>0</v>
      </c>
      <c r="AK226" s="115">
        <v>0</v>
      </c>
      <c r="AL226" s="115">
        <v>0</v>
      </c>
      <c r="AM226" s="115">
        <v>0</v>
      </c>
      <c r="AN226" s="115">
        <v>0</v>
      </c>
      <c r="AO226" s="115">
        <v>0</v>
      </c>
      <c r="AP226" s="115">
        <v>0</v>
      </c>
      <c r="AQ226" s="115">
        <v>0</v>
      </c>
      <c r="AR226" s="115">
        <v>0</v>
      </c>
      <c r="AS226" s="115">
        <v>0</v>
      </c>
      <c r="AT226" s="115">
        <v>0</v>
      </c>
      <c r="AU226" s="115">
        <v>0</v>
      </c>
      <c r="AV226" s="115">
        <v>0</v>
      </c>
      <c r="AW226" s="115">
        <v>0</v>
      </c>
      <c r="AX226" s="115">
        <v>0</v>
      </c>
      <c r="AY226" s="115">
        <v>0</v>
      </c>
    </row>
    <row r="227" spans="1:51" x14ac:dyDescent="0.2">
      <c r="A227" s="114"/>
      <c r="B227" s="125">
        <v>19</v>
      </c>
      <c r="C227" s="111">
        <v>0</v>
      </c>
      <c r="D227" s="115">
        <v>0</v>
      </c>
      <c r="E227" s="115">
        <v>0</v>
      </c>
      <c r="F227" s="115">
        <v>0</v>
      </c>
      <c r="G227" s="115">
        <v>0</v>
      </c>
      <c r="H227" s="115">
        <v>0</v>
      </c>
      <c r="I227" s="115">
        <v>0</v>
      </c>
      <c r="J227" s="115">
        <v>0</v>
      </c>
      <c r="K227" s="115">
        <v>0</v>
      </c>
      <c r="L227" s="115">
        <v>0</v>
      </c>
      <c r="M227" s="115">
        <v>0</v>
      </c>
      <c r="N227" s="115">
        <v>0</v>
      </c>
      <c r="O227" s="115">
        <v>0</v>
      </c>
      <c r="P227" s="115">
        <v>0</v>
      </c>
      <c r="Q227" s="115">
        <v>0</v>
      </c>
      <c r="R227" s="115">
        <v>0</v>
      </c>
      <c r="S227" s="115">
        <v>0</v>
      </c>
      <c r="T227" s="115">
        <v>0</v>
      </c>
      <c r="U227" s="115">
        <v>0</v>
      </c>
      <c r="V227" s="115">
        <v>0</v>
      </c>
      <c r="W227" s="115">
        <v>0</v>
      </c>
      <c r="X227" s="115">
        <v>0</v>
      </c>
      <c r="Y227" s="115">
        <v>0</v>
      </c>
      <c r="Z227" s="115">
        <v>0</v>
      </c>
      <c r="AA227" s="115">
        <v>0</v>
      </c>
      <c r="AB227" s="115">
        <v>0</v>
      </c>
      <c r="AC227" s="115">
        <v>0</v>
      </c>
      <c r="AD227" s="115">
        <v>0</v>
      </c>
      <c r="AE227" s="115">
        <v>0</v>
      </c>
      <c r="AF227" s="115">
        <v>0</v>
      </c>
      <c r="AG227" s="115">
        <v>0</v>
      </c>
      <c r="AH227" s="115">
        <v>0</v>
      </c>
      <c r="AI227" s="115">
        <v>0</v>
      </c>
      <c r="AJ227" s="115">
        <v>0</v>
      </c>
      <c r="AK227" s="115">
        <v>0</v>
      </c>
      <c r="AL227" s="115">
        <v>0</v>
      </c>
      <c r="AM227" s="115">
        <v>0</v>
      </c>
      <c r="AN227" s="115">
        <v>0</v>
      </c>
      <c r="AO227" s="115">
        <v>0</v>
      </c>
      <c r="AP227" s="115">
        <v>0</v>
      </c>
      <c r="AQ227" s="115">
        <v>0</v>
      </c>
      <c r="AR227" s="115">
        <v>0</v>
      </c>
      <c r="AS227" s="115">
        <v>0</v>
      </c>
      <c r="AT227" s="115">
        <v>0</v>
      </c>
      <c r="AU227" s="115">
        <v>0</v>
      </c>
      <c r="AV227" s="115">
        <v>0</v>
      </c>
      <c r="AW227" s="115">
        <v>0</v>
      </c>
      <c r="AX227" s="115">
        <v>0</v>
      </c>
      <c r="AY227" s="115">
        <v>0</v>
      </c>
    </row>
    <row r="228" spans="1:51" x14ac:dyDescent="0.2">
      <c r="A228" s="114"/>
      <c r="B228" s="125">
        <v>20</v>
      </c>
      <c r="C228" s="111">
        <v>0</v>
      </c>
      <c r="D228" s="115">
        <v>0</v>
      </c>
      <c r="E228" s="115">
        <v>0</v>
      </c>
      <c r="F228" s="115">
        <v>0</v>
      </c>
      <c r="G228" s="115">
        <v>0</v>
      </c>
      <c r="H228" s="115">
        <v>0</v>
      </c>
      <c r="I228" s="115">
        <v>0</v>
      </c>
      <c r="J228" s="115">
        <v>0</v>
      </c>
      <c r="K228" s="115">
        <v>0</v>
      </c>
      <c r="L228" s="115">
        <v>0</v>
      </c>
      <c r="M228" s="115">
        <v>0</v>
      </c>
      <c r="N228" s="115">
        <v>0</v>
      </c>
      <c r="O228" s="115">
        <v>0</v>
      </c>
      <c r="P228" s="115">
        <v>0</v>
      </c>
      <c r="Q228" s="115">
        <v>0</v>
      </c>
      <c r="R228" s="115">
        <v>0</v>
      </c>
      <c r="S228" s="115">
        <v>0</v>
      </c>
      <c r="T228" s="115">
        <v>0</v>
      </c>
      <c r="U228" s="115">
        <v>0</v>
      </c>
      <c r="V228" s="115">
        <v>0</v>
      </c>
      <c r="W228" s="115">
        <v>0</v>
      </c>
      <c r="X228" s="115">
        <v>0</v>
      </c>
      <c r="Y228" s="115">
        <v>0</v>
      </c>
      <c r="Z228" s="115">
        <v>0</v>
      </c>
      <c r="AA228" s="115">
        <v>0</v>
      </c>
      <c r="AB228" s="115">
        <v>0</v>
      </c>
      <c r="AC228" s="115">
        <v>0</v>
      </c>
      <c r="AD228" s="115">
        <v>0</v>
      </c>
      <c r="AE228" s="115">
        <v>0</v>
      </c>
      <c r="AF228" s="115">
        <v>0</v>
      </c>
      <c r="AG228" s="115">
        <v>0</v>
      </c>
      <c r="AH228" s="115">
        <v>0</v>
      </c>
      <c r="AI228" s="115">
        <v>0</v>
      </c>
      <c r="AJ228" s="115">
        <v>0</v>
      </c>
      <c r="AK228" s="115">
        <v>0</v>
      </c>
      <c r="AL228" s="115">
        <v>0</v>
      </c>
      <c r="AM228" s="115">
        <v>0</v>
      </c>
      <c r="AN228" s="115">
        <v>0</v>
      </c>
      <c r="AO228" s="115">
        <v>0</v>
      </c>
      <c r="AP228" s="115">
        <v>0</v>
      </c>
      <c r="AQ228" s="115">
        <v>0</v>
      </c>
      <c r="AR228" s="115">
        <v>0</v>
      </c>
      <c r="AS228" s="115">
        <v>0</v>
      </c>
      <c r="AT228" s="115">
        <v>0</v>
      </c>
      <c r="AU228" s="115">
        <v>0</v>
      </c>
      <c r="AV228" s="115">
        <v>0</v>
      </c>
      <c r="AW228" s="115">
        <v>0</v>
      </c>
      <c r="AX228" s="115">
        <v>0</v>
      </c>
      <c r="AY228" s="115">
        <v>0</v>
      </c>
    </row>
    <row r="229" spans="1:51" x14ac:dyDescent="0.2">
      <c r="A229" s="114"/>
      <c r="B229" s="125">
        <v>21</v>
      </c>
      <c r="C229" s="111">
        <v>0</v>
      </c>
      <c r="D229" s="115">
        <v>0</v>
      </c>
      <c r="E229" s="115">
        <v>0</v>
      </c>
      <c r="F229" s="115">
        <v>0</v>
      </c>
      <c r="G229" s="115">
        <v>0</v>
      </c>
      <c r="H229" s="115">
        <v>0</v>
      </c>
      <c r="I229" s="115">
        <v>0</v>
      </c>
      <c r="J229" s="115">
        <v>0</v>
      </c>
      <c r="K229" s="115">
        <v>0</v>
      </c>
      <c r="L229" s="115">
        <v>0</v>
      </c>
      <c r="M229" s="115">
        <v>0</v>
      </c>
      <c r="N229" s="115">
        <v>0</v>
      </c>
      <c r="O229" s="115">
        <v>0</v>
      </c>
      <c r="P229" s="115">
        <v>0</v>
      </c>
      <c r="Q229" s="115">
        <v>0</v>
      </c>
      <c r="R229" s="115">
        <v>0</v>
      </c>
      <c r="S229" s="115">
        <v>0</v>
      </c>
      <c r="T229" s="115">
        <v>0</v>
      </c>
      <c r="U229" s="115">
        <v>0</v>
      </c>
      <c r="V229" s="115">
        <v>0</v>
      </c>
      <c r="W229" s="115">
        <v>0</v>
      </c>
      <c r="X229" s="115">
        <v>0</v>
      </c>
      <c r="Y229" s="115">
        <v>0</v>
      </c>
      <c r="Z229" s="115">
        <v>0</v>
      </c>
      <c r="AA229" s="115">
        <v>0</v>
      </c>
      <c r="AB229" s="115">
        <v>0</v>
      </c>
      <c r="AC229" s="115">
        <v>0</v>
      </c>
      <c r="AD229" s="115">
        <v>0</v>
      </c>
      <c r="AE229" s="115">
        <v>0</v>
      </c>
      <c r="AF229" s="115">
        <v>0</v>
      </c>
      <c r="AG229" s="115">
        <v>0</v>
      </c>
      <c r="AH229" s="115">
        <v>0</v>
      </c>
      <c r="AI229" s="115">
        <v>0</v>
      </c>
      <c r="AJ229" s="115">
        <v>0</v>
      </c>
      <c r="AK229" s="115">
        <v>0</v>
      </c>
      <c r="AL229" s="115">
        <v>0</v>
      </c>
      <c r="AM229" s="115">
        <v>0</v>
      </c>
      <c r="AN229" s="115">
        <v>0</v>
      </c>
      <c r="AO229" s="115">
        <v>0</v>
      </c>
      <c r="AP229" s="115">
        <v>0</v>
      </c>
      <c r="AQ229" s="115">
        <v>0</v>
      </c>
      <c r="AR229" s="115">
        <v>0</v>
      </c>
      <c r="AS229" s="115">
        <v>0</v>
      </c>
      <c r="AT229" s="115">
        <v>0</v>
      </c>
      <c r="AU229" s="115">
        <v>0</v>
      </c>
      <c r="AV229" s="115">
        <v>0</v>
      </c>
      <c r="AW229" s="115">
        <v>0</v>
      </c>
      <c r="AX229" s="115">
        <v>0</v>
      </c>
      <c r="AY229" s="115">
        <v>0</v>
      </c>
    </row>
    <row r="230" spans="1:51" x14ac:dyDescent="0.2">
      <c r="A230" s="114"/>
      <c r="B230" s="125">
        <v>22</v>
      </c>
      <c r="C230" s="111">
        <v>0</v>
      </c>
      <c r="D230" s="115">
        <v>0</v>
      </c>
      <c r="E230" s="115">
        <v>0</v>
      </c>
      <c r="F230" s="115">
        <v>0</v>
      </c>
      <c r="G230" s="115">
        <v>0</v>
      </c>
      <c r="H230" s="115">
        <v>0</v>
      </c>
      <c r="I230" s="115">
        <v>0</v>
      </c>
      <c r="J230" s="115">
        <v>0</v>
      </c>
      <c r="K230" s="115">
        <v>0</v>
      </c>
      <c r="L230" s="115">
        <v>0</v>
      </c>
      <c r="M230" s="115">
        <v>0</v>
      </c>
      <c r="N230" s="115">
        <v>0</v>
      </c>
      <c r="O230" s="115">
        <v>0</v>
      </c>
      <c r="P230" s="115">
        <v>0</v>
      </c>
      <c r="Q230" s="115">
        <v>0</v>
      </c>
      <c r="R230" s="115">
        <v>0</v>
      </c>
      <c r="S230" s="115">
        <v>0</v>
      </c>
      <c r="T230" s="115">
        <v>0</v>
      </c>
      <c r="U230" s="115">
        <v>0</v>
      </c>
      <c r="V230" s="115">
        <v>0</v>
      </c>
      <c r="W230" s="115">
        <v>0</v>
      </c>
      <c r="X230" s="115">
        <v>0</v>
      </c>
      <c r="Y230" s="115">
        <v>0</v>
      </c>
      <c r="Z230" s="115">
        <v>0</v>
      </c>
      <c r="AA230" s="115">
        <v>0</v>
      </c>
      <c r="AB230" s="115">
        <v>0</v>
      </c>
      <c r="AC230" s="115">
        <v>0</v>
      </c>
      <c r="AD230" s="115">
        <v>0</v>
      </c>
      <c r="AE230" s="115">
        <v>0</v>
      </c>
      <c r="AF230" s="115">
        <v>0</v>
      </c>
      <c r="AG230" s="115">
        <v>0</v>
      </c>
      <c r="AH230" s="115">
        <v>0</v>
      </c>
      <c r="AI230" s="115">
        <v>0</v>
      </c>
      <c r="AJ230" s="115">
        <v>0</v>
      </c>
      <c r="AK230" s="115">
        <v>0</v>
      </c>
      <c r="AL230" s="115">
        <v>0</v>
      </c>
      <c r="AM230" s="115">
        <v>0</v>
      </c>
      <c r="AN230" s="115">
        <v>0</v>
      </c>
      <c r="AO230" s="115">
        <v>0</v>
      </c>
      <c r="AP230" s="115">
        <v>0</v>
      </c>
      <c r="AQ230" s="115">
        <v>0</v>
      </c>
      <c r="AR230" s="115">
        <v>0</v>
      </c>
      <c r="AS230" s="115">
        <v>0</v>
      </c>
      <c r="AT230" s="115">
        <v>0</v>
      </c>
      <c r="AU230" s="115">
        <v>0</v>
      </c>
      <c r="AV230" s="115">
        <v>0</v>
      </c>
      <c r="AW230" s="115">
        <v>0</v>
      </c>
      <c r="AX230" s="115">
        <v>0</v>
      </c>
      <c r="AY230" s="115">
        <v>0</v>
      </c>
    </row>
    <row r="231" spans="1:51" x14ac:dyDescent="0.2">
      <c r="A231" s="114"/>
      <c r="B231" s="125">
        <v>23</v>
      </c>
      <c r="C231" s="111">
        <v>0</v>
      </c>
      <c r="D231" s="115">
        <v>0</v>
      </c>
      <c r="E231" s="115">
        <v>0</v>
      </c>
      <c r="F231" s="115">
        <v>0</v>
      </c>
      <c r="G231" s="115">
        <v>0</v>
      </c>
      <c r="H231" s="115">
        <v>0</v>
      </c>
      <c r="I231" s="115">
        <v>0</v>
      </c>
      <c r="J231" s="115">
        <v>0</v>
      </c>
      <c r="K231" s="115">
        <v>0</v>
      </c>
      <c r="L231" s="115">
        <v>0</v>
      </c>
      <c r="M231" s="115">
        <v>0</v>
      </c>
      <c r="N231" s="115">
        <v>0</v>
      </c>
      <c r="O231" s="115">
        <v>0</v>
      </c>
      <c r="P231" s="115">
        <v>0</v>
      </c>
      <c r="Q231" s="115">
        <v>0</v>
      </c>
      <c r="R231" s="115">
        <v>0</v>
      </c>
      <c r="S231" s="115">
        <v>0</v>
      </c>
      <c r="T231" s="115">
        <v>0</v>
      </c>
      <c r="U231" s="115">
        <v>0</v>
      </c>
      <c r="V231" s="115">
        <v>0</v>
      </c>
      <c r="W231" s="115">
        <v>0</v>
      </c>
      <c r="X231" s="115">
        <v>0</v>
      </c>
      <c r="Y231" s="115">
        <v>0</v>
      </c>
      <c r="Z231" s="115">
        <v>0</v>
      </c>
      <c r="AA231" s="115">
        <v>0</v>
      </c>
      <c r="AB231" s="115">
        <v>0</v>
      </c>
      <c r="AC231" s="115">
        <v>0</v>
      </c>
      <c r="AD231" s="115">
        <v>0</v>
      </c>
      <c r="AE231" s="115">
        <v>0</v>
      </c>
      <c r="AF231" s="115">
        <v>0</v>
      </c>
      <c r="AG231" s="115">
        <v>0</v>
      </c>
      <c r="AH231" s="115">
        <v>0</v>
      </c>
      <c r="AI231" s="115">
        <v>0</v>
      </c>
      <c r="AJ231" s="115">
        <v>0</v>
      </c>
      <c r="AK231" s="115">
        <v>0</v>
      </c>
      <c r="AL231" s="115">
        <v>0</v>
      </c>
      <c r="AM231" s="115">
        <v>0</v>
      </c>
      <c r="AN231" s="115">
        <v>0</v>
      </c>
      <c r="AO231" s="115">
        <v>0</v>
      </c>
      <c r="AP231" s="115">
        <v>0</v>
      </c>
      <c r="AQ231" s="115">
        <v>0</v>
      </c>
      <c r="AR231" s="115">
        <v>0</v>
      </c>
      <c r="AS231" s="115">
        <v>0</v>
      </c>
      <c r="AT231" s="115">
        <v>0</v>
      </c>
      <c r="AU231" s="115">
        <v>0</v>
      </c>
      <c r="AV231" s="115">
        <v>0</v>
      </c>
      <c r="AW231" s="115">
        <v>0</v>
      </c>
      <c r="AX231" s="115">
        <v>0</v>
      </c>
      <c r="AY231" s="115">
        <v>0</v>
      </c>
    </row>
    <row r="232" spans="1:51" x14ac:dyDescent="0.2">
      <c r="A232" s="114"/>
      <c r="B232" s="125">
        <v>24</v>
      </c>
      <c r="C232" s="111">
        <v>0</v>
      </c>
      <c r="D232" s="115">
        <v>0</v>
      </c>
      <c r="E232" s="115">
        <v>0</v>
      </c>
      <c r="F232" s="115">
        <v>0</v>
      </c>
      <c r="G232" s="115">
        <v>0</v>
      </c>
      <c r="H232" s="115">
        <v>0</v>
      </c>
      <c r="I232" s="115">
        <v>0</v>
      </c>
      <c r="J232" s="115">
        <v>0</v>
      </c>
      <c r="K232" s="115">
        <v>0</v>
      </c>
      <c r="L232" s="115">
        <v>0</v>
      </c>
      <c r="M232" s="115">
        <v>0</v>
      </c>
      <c r="N232" s="115">
        <v>0</v>
      </c>
      <c r="O232" s="115">
        <v>0</v>
      </c>
      <c r="P232" s="115">
        <v>0</v>
      </c>
      <c r="Q232" s="115">
        <v>0</v>
      </c>
      <c r="R232" s="115">
        <v>0</v>
      </c>
      <c r="S232" s="115">
        <v>0</v>
      </c>
      <c r="T232" s="115">
        <v>0</v>
      </c>
      <c r="U232" s="115">
        <v>0</v>
      </c>
      <c r="V232" s="115">
        <v>0</v>
      </c>
      <c r="W232" s="115">
        <v>0</v>
      </c>
      <c r="X232" s="115">
        <v>0</v>
      </c>
      <c r="Y232" s="115">
        <v>0</v>
      </c>
      <c r="Z232" s="115">
        <v>0</v>
      </c>
      <c r="AA232" s="115">
        <v>0</v>
      </c>
      <c r="AB232" s="115">
        <v>0</v>
      </c>
      <c r="AC232" s="115">
        <v>0</v>
      </c>
      <c r="AD232" s="115">
        <v>0</v>
      </c>
      <c r="AE232" s="115">
        <v>0</v>
      </c>
      <c r="AF232" s="115">
        <v>0</v>
      </c>
      <c r="AG232" s="115">
        <v>0</v>
      </c>
      <c r="AH232" s="115">
        <v>0</v>
      </c>
      <c r="AI232" s="115">
        <v>0</v>
      </c>
      <c r="AJ232" s="115">
        <v>0</v>
      </c>
      <c r="AK232" s="115">
        <v>0</v>
      </c>
      <c r="AL232" s="115">
        <v>0</v>
      </c>
      <c r="AM232" s="115">
        <v>0</v>
      </c>
      <c r="AN232" s="115">
        <v>0</v>
      </c>
      <c r="AO232" s="115">
        <v>0</v>
      </c>
      <c r="AP232" s="115">
        <v>0</v>
      </c>
      <c r="AQ232" s="115">
        <v>0</v>
      </c>
      <c r="AR232" s="115">
        <v>0</v>
      </c>
      <c r="AS232" s="115">
        <v>0</v>
      </c>
      <c r="AT232" s="115">
        <v>0</v>
      </c>
      <c r="AU232" s="115">
        <v>0</v>
      </c>
      <c r="AV232" s="115">
        <v>0</v>
      </c>
      <c r="AW232" s="115">
        <v>0</v>
      </c>
      <c r="AX232" s="115">
        <v>0</v>
      </c>
      <c r="AY232" s="115">
        <v>0</v>
      </c>
    </row>
    <row r="233" spans="1:51" x14ac:dyDescent="0.2">
      <c r="A233" s="114"/>
      <c r="B233" s="132">
        <v>25</v>
      </c>
      <c r="C233" s="111">
        <v>0</v>
      </c>
      <c r="D233" s="115">
        <v>0</v>
      </c>
      <c r="E233" s="115">
        <v>0</v>
      </c>
      <c r="F233" s="115">
        <v>0</v>
      </c>
      <c r="G233" s="115">
        <v>0</v>
      </c>
      <c r="H233" s="115">
        <v>0</v>
      </c>
      <c r="I233" s="115">
        <v>0</v>
      </c>
      <c r="J233" s="115">
        <v>0</v>
      </c>
      <c r="K233" s="115">
        <v>0</v>
      </c>
      <c r="L233" s="115">
        <v>0</v>
      </c>
      <c r="M233" s="115">
        <v>0</v>
      </c>
      <c r="N233" s="115">
        <v>0</v>
      </c>
      <c r="O233" s="115">
        <v>0</v>
      </c>
      <c r="P233" s="115">
        <v>0</v>
      </c>
      <c r="Q233" s="115">
        <v>0</v>
      </c>
      <c r="R233" s="115">
        <v>0</v>
      </c>
      <c r="S233" s="115">
        <v>0</v>
      </c>
      <c r="T233" s="115">
        <v>0</v>
      </c>
      <c r="U233" s="115">
        <v>0</v>
      </c>
      <c r="V233" s="115">
        <v>0</v>
      </c>
      <c r="W233" s="115">
        <v>0</v>
      </c>
      <c r="X233" s="115">
        <v>0</v>
      </c>
      <c r="Y233" s="115">
        <v>0</v>
      </c>
      <c r="Z233" s="115">
        <v>0</v>
      </c>
      <c r="AA233" s="115">
        <v>0</v>
      </c>
      <c r="AB233" s="115">
        <v>0</v>
      </c>
      <c r="AC233" s="115">
        <v>0</v>
      </c>
      <c r="AD233" s="115">
        <v>0</v>
      </c>
      <c r="AE233" s="115">
        <v>0</v>
      </c>
      <c r="AF233" s="115">
        <v>0</v>
      </c>
      <c r="AG233" s="115">
        <v>0</v>
      </c>
      <c r="AH233" s="115">
        <v>0</v>
      </c>
      <c r="AI233" s="115">
        <v>0</v>
      </c>
      <c r="AJ233" s="115">
        <v>0</v>
      </c>
      <c r="AK233" s="115">
        <v>0</v>
      </c>
      <c r="AL233" s="115">
        <v>0</v>
      </c>
      <c r="AM233" s="115">
        <v>0</v>
      </c>
      <c r="AN233" s="115">
        <v>0</v>
      </c>
      <c r="AO233" s="115">
        <v>0</v>
      </c>
      <c r="AP233" s="115">
        <v>0</v>
      </c>
      <c r="AQ233" s="115">
        <v>0</v>
      </c>
      <c r="AR233" s="115">
        <v>0</v>
      </c>
      <c r="AS233" s="115">
        <v>0</v>
      </c>
      <c r="AT233" s="115">
        <v>0</v>
      </c>
      <c r="AU233" s="115">
        <v>0</v>
      </c>
      <c r="AV233" s="115">
        <v>0</v>
      </c>
      <c r="AW233" s="115">
        <v>0</v>
      </c>
      <c r="AX233" s="115">
        <v>0</v>
      </c>
      <c r="AY233" s="115">
        <v>0</v>
      </c>
    </row>
    <row r="234" spans="1:51" x14ac:dyDescent="0.2">
      <c r="A234" s="114"/>
      <c r="B234" s="132">
        <v>26</v>
      </c>
      <c r="C234" s="111">
        <v>0</v>
      </c>
      <c r="D234" s="115">
        <v>0</v>
      </c>
      <c r="E234" s="115">
        <v>0</v>
      </c>
      <c r="F234" s="115">
        <v>0</v>
      </c>
      <c r="G234" s="115">
        <v>0</v>
      </c>
      <c r="H234" s="115">
        <v>0</v>
      </c>
      <c r="I234" s="115">
        <v>0</v>
      </c>
      <c r="J234" s="115">
        <v>0</v>
      </c>
      <c r="K234" s="115">
        <v>0</v>
      </c>
      <c r="L234" s="115">
        <v>0</v>
      </c>
      <c r="M234" s="115">
        <v>0</v>
      </c>
      <c r="N234" s="115">
        <v>0</v>
      </c>
      <c r="O234" s="115">
        <v>0</v>
      </c>
      <c r="P234" s="115">
        <v>0</v>
      </c>
      <c r="Q234" s="115">
        <v>0</v>
      </c>
      <c r="R234" s="115">
        <v>0</v>
      </c>
      <c r="S234" s="115">
        <v>0</v>
      </c>
      <c r="T234" s="115">
        <v>0</v>
      </c>
      <c r="U234" s="115">
        <v>0</v>
      </c>
      <c r="V234" s="115">
        <v>0</v>
      </c>
      <c r="W234" s="115">
        <v>0</v>
      </c>
      <c r="X234" s="115">
        <v>0</v>
      </c>
      <c r="Y234" s="115">
        <v>0</v>
      </c>
      <c r="Z234" s="115">
        <v>0</v>
      </c>
      <c r="AA234" s="115">
        <v>0</v>
      </c>
      <c r="AB234" s="115">
        <v>0</v>
      </c>
      <c r="AC234" s="115">
        <v>0</v>
      </c>
      <c r="AD234" s="115">
        <v>0</v>
      </c>
      <c r="AE234" s="115">
        <v>0</v>
      </c>
      <c r="AF234" s="115">
        <v>0</v>
      </c>
      <c r="AG234" s="115">
        <v>0</v>
      </c>
      <c r="AH234" s="115">
        <v>0</v>
      </c>
      <c r="AI234" s="115">
        <v>0</v>
      </c>
      <c r="AJ234" s="115">
        <v>0</v>
      </c>
      <c r="AK234" s="115">
        <v>0</v>
      </c>
      <c r="AL234" s="115">
        <v>0</v>
      </c>
      <c r="AM234" s="115">
        <v>0</v>
      </c>
      <c r="AN234" s="115">
        <v>0</v>
      </c>
      <c r="AO234" s="115">
        <v>0</v>
      </c>
      <c r="AP234" s="115">
        <v>0</v>
      </c>
      <c r="AQ234" s="115">
        <v>0</v>
      </c>
      <c r="AR234" s="115">
        <v>0</v>
      </c>
      <c r="AS234" s="115">
        <v>0</v>
      </c>
      <c r="AT234" s="115">
        <v>0</v>
      </c>
      <c r="AU234" s="115">
        <v>0</v>
      </c>
      <c r="AV234" s="115">
        <v>0</v>
      </c>
      <c r="AW234" s="115">
        <v>0</v>
      </c>
      <c r="AX234" s="115">
        <v>0</v>
      </c>
      <c r="AY234" s="115">
        <v>0</v>
      </c>
    </row>
    <row r="235" spans="1:51" x14ac:dyDescent="0.2">
      <c r="A235" s="114"/>
      <c r="B235" s="132">
        <v>27</v>
      </c>
      <c r="C235" s="111">
        <v>0</v>
      </c>
      <c r="D235" s="115">
        <v>0</v>
      </c>
      <c r="E235" s="115">
        <v>0</v>
      </c>
      <c r="F235" s="115">
        <v>0</v>
      </c>
      <c r="G235" s="115">
        <v>0</v>
      </c>
      <c r="H235" s="115">
        <v>0</v>
      </c>
      <c r="I235" s="115">
        <v>0</v>
      </c>
      <c r="J235" s="115">
        <v>0</v>
      </c>
      <c r="K235" s="115">
        <v>0</v>
      </c>
      <c r="L235" s="115">
        <v>0</v>
      </c>
      <c r="M235" s="115">
        <v>0</v>
      </c>
      <c r="N235" s="115">
        <v>0</v>
      </c>
      <c r="O235" s="115">
        <v>0</v>
      </c>
      <c r="P235" s="115">
        <v>0</v>
      </c>
      <c r="Q235" s="115">
        <v>0</v>
      </c>
      <c r="R235" s="115">
        <v>0</v>
      </c>
      <c r="S235" s="115">
        <v>0</v>
      </c>
      <c r="T235" s="115">
        <v>0</v>
      </c>
      <c r="U235" s="115">
        <v>0</v>
      </c>
      <c r="V235" s="115">
        <v>0</v>
      </c>
      <c r="W235" s="115">
        <v>0</v>
      </c>
      <c r="X235" s="115">
        <v>0</v>
      </c>
      <c r="Y235" s="115">
        <v>0</v>
      </c>
      <c r="Z235" s="115">
        <v>0</v>
      </c>
      <c r="AA235" s="115">
        <v>0</v>
      </c>
      <c r="AB235" s="115">
        <v>0</v>
      </c>
      <c r="AC235" s="115">
        <v>0</v>
      </c>
      <c r="AD235" s="115">
        <v>0</v>
      </c>
      <c r="AE235" s="115">
        <v>0</v>
      </c>
      <c r="AF235" s="115">
        <v>0</v>
      </c>
      <c r="AG235" s="115">
        <v>0</v>
      </c>
      <c r="AH235" s="115">
        <v>0</v>
      </c>
      <c r="AI235" s="115">
        <v>0</v>
      </c>
      <c r="AJ235" s="115">
        <v>0</v>
      </c>
      <c r="AK235" s="115">
        <v>0</v>
      </c>
      <c r="AL235" s="115">
        <v>0</v>
      </c>
      <c r="AM235" s="115">
        <v>0</v>
      </c>
      <c r="AN235" s="115">
        <v>0</v>
      </c>
      <c r="AO235" s="115">
        <v>0</v>
      </c>
      <c r="AP235" s="115">
        <v>0</v>
      </c>
      <c r="AQ235" s="115">
        <v>0</v>
      </c>
      <c r="AR235" s="115">
        <v>0</v>
      </c>
      <c r="AS235" s="115">
        <v>0</v>
      </c>
      <c r="AT235" s="115">
        <v>0</v>
      </c>
      <c r="AU235" s="115">
        <v>0</v>
      </c>
      <c r="AV235" s="115">
        <v>0</v>
      </c>
      <c r="AW235" s="115">
        <v>0</v>
      </c>
      <c r="AX235" s="115">
        <v>0</v>
      </c>
      <c r="AY235" s="115">
        <v>0</v>
      </c>
    </row>
    <row r="236" spans="1:51" x14ac:dyDescent="0.2">
      <c r="A236" s="114"/>
      <c r="B236" s="132">
        <v>28</v>
      </c>
      <c r="C236" s="111">
        <v>0</v>
      </c>
      <c r="D236" s="115">
        <v>0</v>
      </c>
      <c r="E236" s="115">
        <v>0</v>
      </c>
      <c r="F236" s="115">
        <v>0</v>
      </c>
      <c r="G236" s="115">
        <v>0</v>
      </c>
      <c r="H236" s="115">
        <v>0</v>
      </c>
      <c r="I236" s="115">
        <v>0</v>
      </c>
      <c r="J236" s="115">
        <v>0</v>
      </c>
      <c r="K236" s="115">
        <v>0</v>
      </c>
      <c r="L236" s="115">
        <v>0</v>
      </c>
      <c r="M236" s="115">
        <v>0</v>
      </c>
      <c r="N236" s="115">
        <v>0</v>
      </c>
      <c r="O236" s="115">
        <v>0</v>
      </c>
      <c r="P236" s="115">
        <v>0</v>
      </c>
      <c r="Q236" s="115">
        <v>0</v>
      </c>
      <c r="R236" s="115">
        <v>0</v>
      </c>
      <c r="S236" s="115">
        <v>0</v>
      </c>
      <c r="T236" s="115">
        <v>0</v>
      </c>
      <c r="U236" s="115">
        <v>0</v>
      </c>
      <c r="V236" s="115">
        <v>0</v>
      </c>
      <c r="W236" s="115">
        <v>0</v>
      </c>
      <c r="X236" s="115">
        <v>0</v>
      </c>
      <c r="Y236" s="115">
        <v>0</v>
      </c>
      <c r="Z236" s="115">
        <v>0</v>
      </c>
      <c r="AA236" s="115">
        <v>0</v>
      </c>
      <c r="AB236" s="115">
        <v>0</v>
      </c>
      <c r="AC236" s="115">
        <v>0</v>
      </c>
      <c r="AD236" s="115">
        <v>0</v>
      </c>
      <c r="AE236" s="115">
        <v>0</v>
      </c>
      <c r="AF236" s="115">
        <v>0</v>
      </c>
      <c r="AG236" s="115">
        <v>0</v>
      </c>
      <c r="AH236" s="115">
        <v>0</v>
      </c>
      <c r="AI236" s="115">
        <v>0</v>
      </c>
      <c r="AJ236" s="115">
        <v>0</v>
      </c>
      <c r="AK236" s="115">
        <v>0</v>
      </c>
      <c r="AL236" s="115">
        <v>0</v>
      </c>
      <c r="AM236" s="115">
        <v>0</v>
      </c>
      <c r="AN236" s="115">
        <v>0</v>
      </c>
      <c r="AO236" s="115">
        <v>0</v>
      </c>
      <c r="AP236" s="115">
        <v>0</v>
      </c>
      <c r="AQ236" s="115">
        <v>0</v>
      </c>
      <c r="AR236" s="115">
        <v>0</v>
      </c>
      <c r="AS236" s="115">
        <v>0</v>
      </c>
      <c r="AT236" s="115">
        <v>0</v>
      </c>
      <c r="AU236" s="115">
        <v>0</v>
      </c>
      <c r="AV236" s="115">
        <v>0</v>
      </c>
      <c r="AW236" s="115">
        <v>0</v>
      </c>
      <c r="AX236" s="115">
        <v>0</v>
      </c>
      <c r="AY236" s="115">
        <v>0</v>
      </c>
    </row>
    <row r="237" spans="1:51" x14ac:dyDescent="0.2">
      <c r="A237" s="114"/>
      <c r="B237" s="132">
        <v>29</v>
      </c>
      <c r="C237" s="111">
        <v>0</v>
      </c>
      <c r="D237" s="115">
        <v>0</v>
      </c>
      <c r="E237" s="115">
        <v>0</v>
      </c>
      <c r="F237" s="115">
        <v>0</v>
      </c>
      <c r="G237" s="115">
        <v>0</v>
      </c>
      <c r="H237" s="115">
        <v>0</v>
      </c>
      <c r="I237" s="115">
        <v>0</v>
      </c>
      <c r="J237" s="115">
        <v>0</v>
      </c>
      <c r="K237" s="115">
        <v>0</v>
      </c>
      <c r="L237" s="115">
        <v>0</v>
      </c>
      <c r="M237" s="115">
        <v>0</v>
      </c>
      <c r="N237" s="115">
        <v>0</v>
      </c>
      <c r="O237" s="115">
        <v>0</v>
      </c>
      <c r="P237" s="115">
        <v>0</v>
      </c>
      <c r="Q237" s="115">
        <v>0</v>
      </c>
      <c r="R237" s="115">
        <v>0</v>
      </c>
      <c r="S237" s="115">
        <v>0</v>
      </c>
      <c r="T237" s="115">
        <v>0</v>
      </c>
      <c r="U237" s="115">
        <v>0</v>
      </c>
      <c r="V237" s="115">
        <v>0</v>
      </c>
      <c r="W237" s="115">
        <v>0</v>
      </c>
      <c r="X237" s="115">
        <v>0</v>
      </c>
      <c r="Y237" s="115">
        <v>0</v>
      </c>
      <c r="Z237" s="115">
        <v>0</v>
      </c>
      <c r="AA237" s="115">
        <v>0</v>
      </c>
      <c r="AB237" s="115">
        <v>0</v>
      </c>
      <c r="AC237" s="115">
        <v>0</v>
      </c>
      <c r="AD237" s="115">
        <v>0</v>
      </c>
      <c r="AE237" s="115">
        <v>0</v>
      </c>
      <c r="AF237" s="115">
        <v>0</v>
      </c>
      <c r="AG237" s="115">
        <v>0</v>
      </c>
      <c r="AH237" s="115">
        <v>0</v>
      </c>
      <c r="AI237" s="115">
        <v>0</v>
      </c>
      <c r="AJ237" s="115">
        <v>0</v>
      </c>
      <c r="AK237" s="115">
        <v>0</v>
      </c>
      <c r="AL237" s="115">
        <v>0</v>
      </c>
      <c r="AM237" s="115">
        <v>0</v>
      </c>
      <c r="AN237" s="115">
        <v>0</v>
      </c>
      <c r="AO237" s="115">
        <v>0</v>
      </c>
      <c r="AP237" s="115">
        <v>0</v>
      </c>
      <c r="AQ237" s="115">
        <v>0</v>
      </c>
      <c r="AR237" s="115">
        <v>0</v>
      </c>
      <c r="AS237" s="115">
        <v>0</v>
      </c>
      <c r="AT237" s="115">
        <v>0</v>
      </c>
      <c r="AU237" s="115">
        <v>0</v>
      </c>
      <c r="AV237" s="115">
        <v>0</v>
      </c>
      <c r="AW237" s="115">
        <v>0</v>
      </c>
      <c r="AX237" s="115">
        <v>0</v>
      </c>
      <c r="AY237" s="115">
        <v>0</v>
      </c>
    </row>
    <row r="238" spans="1:51" x14ac:dyDescent="0.2">
      <c r="A238" s="114"/>
      <c r="B238" s="132">
        <v>30</v>
      </c>
      <c r="C238" s="111">
        <v>0</v>
      </c>
      <c r="D238" s="115">
        <v>0</v>
      </c>
      <c r="E238" s="115">
        <v>0</v>
      </c>
      <c r="F238" s="115">
        <v>0</v>
      </c>
      <c r="G238" s="115">
        <v>0</v>
      </c>
      <c r="H238" s="115">
        <v>0</v>
      </c>
      <c r="I238" s="115">
        <v>0</v>
      </c>
      <c r="J238" s="115">
        <v>0</v>
      </c>
      <c r="K238" s="115">
        <v>0</v>
      </c>
      <c r="L238" s="115">
        <v>0</v>
      </c>
      <c r="M238" s="115">
        <v>0</v>
      </c>
      <c r="N238" s="115">
        <v>0</v>
      </c>
      <c r="O238" s="115">
        <v>0</v>
      </c>
      <c r="P238" s="115">
        <v>0</v>
      </c>
      <c r="Q238" s="115">
        <v>0</v>
      </c>
      <c r="R238" s="115">
        <v>0</v>
      </c>
      <c r="S238" s="115">
        <v>0</v>
      </c>
      <c r="T238" s="115">
        <v>0</v>
      </c>
      <c r="U238" s="115">
        <v>0</v>
      </c>
      <c r="V238" s="115">
        <v>0</v>
      </c>
      <c r="W238" s="115">
        <v>0</v>
      </c>
      <c r="X238" s="115">
        <v>0</v>
      </c>
      <c r="Y238" s="115">
        <v>0</v>
      </c>
      <c r="Z238" s="115">
        <v>0</v>
      </c>
      <c r="AA238" s="115">
        <v>0</v>
      </c>
      <c r="AB238" s="115">
        <v>0</v>
      </c>
      <c r="AC238" s="115">
        <v>0</v>
      </c>
      <c r="AD238" s="115">
        <v>0</v>
      </c>
      <c r="AE238" s="115">
        <v>0</v>
      </c>
      <c r="AF238" s="115">
        <v>0</v>
      </c>
      <c r="AG238" s="115">
        <v>0</v>
      </c>
      <c r="AH238" s="115">
        <v>0</v>
      </c>
      <c r="AI238" s="115">
        <v>0</v>
      </c>
      <c r="AJ238" s="115">
        <v>0</v>
      </c>
      <c r="AK238" s="115">
        <v>0</v>
      </c>
      <c r="AL238" s="115">
        <v>0</v>
      </c>
      <c r="AM238" s="115">
        <v>0</v>
      </c>
      <c r="AN238" s="115">
        <v>0</v>
      </c>
      <c r="AO238" s="115">
        <v>0</v>
      </c>
      <c r="AP238" s="115">
        <v>0</v>
      </c>
      <c r="AQ238" s="115">
        <v>0</v>
      </c>
      <c r="AR238" s="115">
        <v>0</v>
      </c>
      <c r="AS238" s="115">
        <v>0</v>
      </c>
      <c r="AT238" s="115">
        <v>0</v>
      </c>
      <c r="AU238" s="115">
        <v>0</v>
      </c>
      <c r="AV238" s="115">
        <v>0</v>
      </c>
      <c r="AW238" s="115">
        <v>0</v>
      </c>
      <c r="AX238" s="115">
        <v>0</v>
      </c>
      <c r="AY238" s="115">
        <v>0</v>
      </c>
    </row>
    <row r="239" spans="1:51" x14ac:dyDescent="0.2">
      <c r="A239" s="114"/>
      <c r="B239" s="132">
        <v>31</v>
      </c>
      <c r="C239" s="111">
        <v>0</v>
      </c>
      <c r="D239" s="115">
        <v>0</v>
      </c>
      <c r="E239" s="115">
        <v>0</v>
      </c>
      <c r="F239" s="115">
        <v>0</v>
      </c>
      <c r="G239" s="115">
        <v>0</v>
      </c>
      <c r="H239" s="115">
        <v>0</v>
      </c>
      <c r="I239" s="115">
        <v>0</v>
      </c>
      <c r="J239" s="115">
        <v>0</v>
      </c>
      <c r="K239" s="115">
        <v>0</v>
      </c>
      <c r="L239" s="115">
        <v>0</v>
      </c>
      <c r="M239" s="115">
        <v>0</v>
      </c>
      <c r="N239" s="115">
        <v>0</v>
      </c>
      <c r="O239" s="115">
        <v>0</v>
      </c>
      <c r="P239" s="115">
        <v>0</v>
      </c>
      <c r="Q239" s="115">
        <v>0</v>
      </c>
      <c r="R239" s="115">
        <v>0</v>
      </c>
      <c r="S239" s="115">
        <v>0</v>
      </c>
      <c r="T239" s="115">
        <v>0</v>
      </c>
      <c r="U239" s="115">
        <v>0</v>
      </c>
      <c r="V239" s="115">
        <v>0</v>
      </c>
      <c r="W239" s="115">
        <v>0</v>
      </c>
      <c r="X239" s="115">
        <v>0</v>
      </c>
      <c r="Y239" s="115">
        <v>0</v>
      </c>
      <c r="Z239" s="115">
        <v>0</v>
      </c>
      <c r="AA239" s="115">
        <v>0</v>
      </c>
      <c r="AB239" s="115">
        <v>0</v>
      </c>
      <c r="AC239" s="115">
        <v>0</v>
      </c>
      <c r="AD239" s="115">
        <v>0</v>
      </c>
      <c r="AE239" s="115">
        <v>0</v>
      </c>
      <c r="AF239" s="115">
        <v>0</v>
      </c>
      <c r="AG239" s="115">
        <v>0</v>
      </c>
      <c r="AH239" s="115">
        <v>0</v>
      </c>
      <c r="AI239" s="115">
        <v>0</v>
      </c>
      <c r="AJ239" s="115">
        <v>0</v>
      </c>
      <c r="AK239" s="115">
        <v>0</v>
      </c>
      <c r="AL239" s="115">
        <v>0</v>
      </c>
      <c r="AM239" s="115">
        <v>0</v>
      </c>
      <c r="AN239" s="115">
        <v>0</v>
      </c>
      <c r="AO239" s="115">
        <v>0</v>
      </c>
      <c r="AP239" s="115">
        <v>0</v>
      </c>
      <c r="AQ239" s="115">
        <v>0</v>
      </c>
      <c r="AR239" s="115">
        <v>0</v>
      </c>
      <c r="AS239" s="115">
        <v>0</v>
      </c>
      <c r="AT239" s="115">
        <v>0</v>
      </c>
      <c r="AU239" s="115">
        <v>0</v>
      </c>
      <c r="AV239" s="115">
        <v>0</v>
      </c>
      <c r="AW239" s="115">
        <v>0</v>
      </c>
      <c r="AX239" s="115">
        <v>0</v>
      </c>
      <c r="AY239" s="115">
        <v>0</v>
      </c>
    </row>
    <row r="240" spans="1:51" x14ac:dyDescent="0.2">
      <c r="A240" s="114"/>
      <c r="B240" s="132">
        <v>32</v>
      </c>
      <c r="C240" s="111">
        <v>0</v>
      </c>
      <c r="D240" s="115">
        <v>0</v>
      </c>
      <c r="E240" s="115">
        <v>0</v>
      </c>
      <c r="F240" s="115">
        <v>0</v>
      </c>
      <c r="G240" s="115">
        <v>0</v>
      </c>
      <c r="H240" s="115">
        <v>0</v>
      </c>
      <c r="I240" s="115">
        <v>0</v>
      </c>
      <c r="J240" s="115">
        <v>0</v>
      </c>
      <c r="K240" s="115">
        <v>0</v>
      </c>
      <c r="L240" s="115">
        <v>0</v>
      </c>
      <c r="M240" s="115">
        <v>0</v>
      </c>
      <c r="N240" s="115">
        <v>0</v>
      </c>
      <c r="O240" s="115">
        <v>0</v>
      </c>
      <c r="P240" s="115">
        <v>0</v>
      </c>
      <c r="Q240" s="115">
        <v>0</v>
      </c>
      <c r="R240" s="115">
        <v>0</v>
      </c>
      <c r="S240" s="115">
        <v>0</v>
      </c>
      <c r="T240" s="115">
        <v>0</v>
      </c>
      <c r="U240" s="115">
        <v>0</v>
      </c>
      <c r="V240" s="115">
        <v>0</v>
      </c>
      <c r="W240" s="115">
        <v>0</v>
      </c>
      <c r="X240" s="115">
        <v>0</v>
      </c>
      <c r="Y240" s="115">
        <v>0</v>
      </c>
      <c r="Z240" s="115">
        <v>0</v>
      </c>
      <c r="AA240" s="115">
        <v>0</v>
      </c>
      <c r="AB240" s="115">
        <v>0</v>
      </c>
      <c r="AC240" s="115">
        <v>0</v>
      </c>
      <c r="AD240" s="115">
        <v>0</v>
      </c>
      <c r="AE240" s="115">
        <v>0</v>
      </c>
      <c r="AF240" s="115">
        <v>0</v>
      </c>
      <c r="AG240" s="115">
        <v>0</v>
      </c>
      <c r="AH240" s="115">
        <v>0</v>
      </c>
      <c r="AI240" s="115">
        <v>0</v>
      </c>
      <c r="AJ240" s="115">
        <v>0</v>
      </c>
      <c r="AK240" s="115">
        <v>0</v>
      </c>
      <c r="AL240" s="115">
        <v>0</v>
      </c>
      <c r="AM240" s="115">
        <v>0</v>
      </c>
      <c r="AN240" s="115">
        <v>0</v>
      </c>
      <c r="AO240" s="115">
        <v>0</v>
      </c>
      <c r="AP240" s="115">
        <v>0</v>
      </c>
      <c r="AQ240" s="115">
        <v>0</v>
      </c>
      <c r="AR240" s="115">
        <v>0</v>
      </c>
      <c r="AS240" s="115">
        <v>0</v>
      </c>
      <c r="AT240" s="115">
        <v>0</v>
      </c>
      <c r="AU240" s="115">
        <v>0</v>
      </c>
      <c r="AV240" s="115">
        <v>0</v>
      </c>
      <c r="AW240" s="115">
        <v>0</v>
      </c>
      <c r="AX240" s="115">
        <v>0</v>
      </c>
      <c r="AY240" s="115">
        <v>0</v>
      </c>
    </row>
    <row r="241" spans="1:51" x14ac:dyDescent="0.2">
      <c r="A241" s="114"/>
      <c r="B241" s="132">
        <v>33</v>
      </c>
      <c r="C241" s="111">
        <v>0</v>
      </c>
      <c r="D241" s="115">
        <v>0</v>
      </c>
      <c r="E241" s="115">
        <v>0</v>
      </c>
      <c r="F241" s="115">
        <v>0</v>
      </c>
      <c r="G241" s="115">
        <v>0</v>
      </c>
      <c r="H241" s="115">
        <v>0</v>
      </c>
      <c r="I241" s="115">
        <v>0</v>
      </c>
      <c r="J241" s="115">
        <v>0</v>
      </c>
      <c r="K241" s="115">
        <v>0</v>
      </c>
      <c r="L241" s="115">
        <v>0</v>
      </c>
      <c r="M241" s="115">
        <v>0</v>
      </c>
      <c r="N241" s="115">
        <v>0</v>
      </c>
      <c r="O241" s="115">
        <v>0</v>
      </c>
      <c r="P241" s="115">
        <v>0</v>
      </c>
      <c r="Q241" s="115">
        <v>0</v>
      </c>
      <c r="R241" s="115">
        <v>0</v>
      </c>
      <c r="S241" s="115">
        <v>0</v>
      </c>
      <c r="T241" s="115">
        <v>0</v>
      </c>
      <c r="U241" s="115">
        <v>0</v>
      </c>
      <c r="V241" s="115">
        <v>0</v>
      </c>
      <c r="W241" s="115">
        <v>0</v>
      </c>
      <c r="X241" s="115">
        <v>0</v>
      </c>
      <c r="Y241" s="115">
        <v>0</v>
      </c>
      <c r="Z241" s="115">
        <v>0</v>
      </c>
      <c r="AA241" s="115">
        <v>0</v>
      </c>
      <c r="AB241" s="115">
        <v>0</v>
      </c>
      <c r="AC241" s="115">
        <v>0</v>
      </c>
      <c r="AD241" s="115">
        <v>0</v>
      </c>
      <c r="AE241" s="115">
        <v>0</v>
      </c>
      <c r="AF241" s="115">
        <v>0</v>
      </c>
      <c r="AG241" s="115">
        <v>0</v>
      </c>
      <c r="AH241" s="115">
        <v>0</v>
      </c>
      <c r="AI241" s="115">
        <v>0</v>
      </c>
      <c r="AJ241" s="115">
        <v>0</v>
      </c>
      <c r="AK241" s="115">
        <v>0</v>
      </c>
      <c r="AL241" s="115">
        <v>0</v>
      </c>
      <c r="AM241" s="115">
        <v>0</v>
      </c>
      <c r="AN241" s="115">
        <v>0</v>
      </c>
      <c r="AO241" s="115">
        <v>0</v>
      </c>
      <c r="AP241" s="115">
        <v>0</v>
      </c>
      <c r="AQ241" s="115">
        <v>0</v>
      </c>
      <c r="AR241" s="115">
        <v>0</v>
      </c>
      <c r="AS241" s="115">
        <v>0</v>
      </c>
      <c r="AT241" s="115">
        <v>0</v>
      </c>
      <c r="AU241" s="115">
        <v>0</v>
      </c>
      <c r="AV241" s="115">
        <v>0</v>
      </c>
      <c r="AW241" s="115">
        <v>0</v>
      </c>
      <c r="AX241" s="115">
        <v>0</v>
      </c>
      <c r="AY241" s="115">
        <v>0</v>
      </c>
    </row>
    <row r="242" spans="1:51" x14ac:dyDescent="0.2">
      <c r="A242" s="114"/>
      <c r="B242" s="132">
        <v>34</v>
      </c>
      <c r="C242" s="111">
        <v>0</v>
      </c>
      <c r="D242" s="115">
        <v>0</v>
      </c>
      <c r="E242" s="115">
        <v>0</v>
      </c>
      <c r="F242" s="115">
        <v>0</v>
      </c>
      <c r="G242" s="115">
        <v>0</v>
      </c>
      <c r="H242" s="115">
        <v>0</v>
      </c>
      <c r="I242" s="115">
        <v>0</v>
      </c>
      <c r="J242" s="115">
        <v>0</v>
      </c>
      <c r="K242" s="115">
        <v>0</v>
      </c>
      <c r="L242" s="115">
        <v>0</v>
      </c>
      <c r="M242" s="115">
        <v>0</v>
      </c>
      <c r="N242" s="115">
        <v>0</v>
      </c>
      <c r="O242" s="115">
        <v>0</v>
      </c>
      <c r="P242" s="115">
        <v>0</v>
      </c>
      <c r="Q242" s="115">
        <v>0</v>
      </c>
      <c r="R242" s="115">
        <v>0</v>
      </c>
      <c r="S242" s="115">
        <v>0</v>
      </c>
      <c r="T242" s="115">
        <v>0</v>
      </c>
      <c r="U242" s="115">
        <v>0</v>
      </c>
      <c r="V242" s="115">
        <v>0</v>
      </c>
      <c r="W242" s="115">
        <v>0</v>
      </c>
      <c r="X242" s="115">
        <v>0</v>
      </c>
      <c r="Y242" s="115">
        <v>0</v>
      </c>
      <c r="Z242" s="115">
        <v>0</v>
      </c>
      <c r="AA242" s="115">
        <v>0</v>
      </c>
      <c r="AB242" s="115">
        <v>0</v>
      </c>
      <c r="AC242" s="115">
        <v>0</v>
      </c>
      <c r="AD242" s="115">
        <v>0</v>
      </c>
      <c r="AE242" s="115">
        <v>0</v>
      </c>
      <c r="AF242" s="115">
        <v>0</v>
      </c>
      <c r="AG242" s="115">
        <v>0</v>
      </c>
      <c r="AH242" s="115">
        <v>0</v>
      </c>
      <c r="AI242" s="115">
        <v>0</v>
      </c>
      <c r="AJ242" s="115">
        <v>0</v>
      </c>
      <c r="AK242" s="115">
        <v>0</v>
      </c>
      <c r="AL242" s="115">
        <v>0</v>
      </c>
      <c r="AM242" s="115">
        <v>0</v>
      </c>
      <c r="AN242" s="115">
        <v>0</v>
      </c>
      <c r="AO242" s="115">
        <v>0</v>
      </c>
      <c r="AP242" s="115">
        <v>0</v>
      </c>
      <c r="AQ242" s="115">
        <v>0</v>
      </c>
      <c r="AR242" s="115">
        <v>0</v>
      </c>
      <c r="AS242" s="115">
        <v>0</v>
      </c>
      <c r="AT242" s="115">
        <v>0</v>
      </c>
      <c r="AU242" s="115">
        <v>0</v>
      </c>
      <c r="AV242" s="115">
        <v>0</v>
      </c>
      <c r="AW242" s="115">
        <v>0</v>
      </c>
      <c r="AX242" s="115">
        <v>0</v>
      </c>
      <c r="AY242" s="115">
        <v>0</v>
      </c>
    </row>
    <row r="243" spans="1:51" x14ac:dyDescent="0.2">
      <c r="A243" s="114"/>
      <c r="B243" s="132">
        <v>35</v>
      </c>
      <c r="C243" s="111">
        <v>0</v>
      </c>
      <c r="D243" s="115">
        <v>0</v>
      </c>
      <c r="E243" s="115">
        <v>0</v>
      </c>
      <c r="F243" s="115">
        <v>0</v>
      </c>
      <c r="G243" s="115">
        <v>0</v>
      </c>
      <c r="H243" s="115">
        <v>0</v>
      </c>
      <c r="I243" s="115">
        <v>0</v>
      </c>
      <c r="J243" s="115">
        <v>0</v>
      </c>
      <c r="K243" s="115">
        <v>0</v>
      </c>
      <c r="L243" s="115">
        <v>0</v>
      </c>
      <c r="M243" s="115">
        <v>0</v>
      </c>
      <c r="N243" s="115">
        <v>0</v>
      </c>
      <c r="O243" s="115">
        <v>0</v>
      </c>
      <c r="P243" s="115">
        <v>0</v>
      </c>
      <c r="Q243" s="115">
        <v>0</v>
      </c>
      <c r="R243" s="115">
        <v>0</v>
      </c>
      <c r="S243" s="115">
        <v>0</v>
      </c>
      <c r="T243" s="115">
        <v>0</v>
      </c>
      <c r="U243" s="115">
        <v>0</v>
      </c>
      <c r="V243" s="115">
        <v>0</v>
      </c>
      <c r="W243" s="115">
        <v>0</v>
      </c>
      <c r="X243" s="115">
        <v>0</v>
      </c>
      <c r="Y243" s="115">
        <v>0</v>
      </c>
      <c r="Z243" s="115">
        <v>0</v>
      </c>
      <c r="AA243" s="115">
        <v>0</v>
      </c>
      <c r="AB243" s="115">
        <v>0</v>
      </c>
      <c r="AC243" s="115">
        <v>0</v>
      </c>
      <c r="AD243" s="115">
        <v>0</v>
      </c>
      <c r="AE243" s="115">
        <v>0</v>
      </c>
      <c r="AF243" s="115">
        <v>0</v>
      </c>
      <c r="AG243" s="115">
        <v>0</v>
      </c>
      <c r="AH243" s="115">
        <v>0</v>
      </c>
      <c r="AI243" s="115">
        <v>0</v>
      </c>
      <c r="AJ243" s="115">
        <v>0</v>
      </c>
      <c r="AK243" s="115">
        <v>0</v>
      </c>
      <c r="AL243" s="115">
        <v>0</v>
      </c>
      <c r="AM243" s="115">
        <v>0</v>
      </c>
      <c r="AN243" s="115">
        <v>0</v>
      </c>
      <c r="AO243" s="115">
        <v>0</v>
      </c>
      <c r="AP243" s="115">
        <v>0</v>
      </c>
      <c r="AQ243" s="115">
        <v>0</v>
      </c>
      <c r="AR243" s="115">
        <v>0</v>
      </c>
      <c r="AS243" s="115">
        <v>0</v>
      </c>
      <c r="AT243" s="115">
        <v>0</v>
      </c>
      <c r="AU243" s="115">
        <v>0</v>
      </c>
      <c r="AV243" s="115">
        <v>0</v>
      </c>
      <c r="AW243" s="115">
        <v>0</v>
      </c>
      <c r="AX243" s="115">
        <v>0</v>
      </c>
      <c r="AY243" s="115">
        <v>0</v>
      </c>
    </row>
    <row r="244" spans="1:51" x14ac:dyDescent="0.2">
      <c r="A244" s="114"/>
      <c r="B244" s="132">
        <v>36</v>
      </c>
      <c r="C244" s="111">
        <v>0</v>
      </c>
      <c r="D244" s="115">
        <v>0</v>
      </c>
      <c r="E244" s="115">
        <v>0</v>
      </c>
      <c r="F244" s="115">
        <v>0</v>
      </c>
      <c r="G244" s="115">
        <v>0</v>
      </c>
      <c r="H244" s="115">
        <v>0</v>
      </c>
      <c r="I244" s="115">
        <v>0</v>
      </c>
      <c r="J244" s="115">
        <v>0</v>
      </c>
      <c r="K244" s="115">
        <v>0</v>
      </c>
      <c r="L244" s="115">
        <v>0</v>
      </c>
      <c r="M244" s="115">
        <v>0</v>
      </c>
      <c r="N244" s="115">
        <v>0</v>
      </c>
      <c r="O244" s="115">
        <v>0</v>
      </c>
      <c r="P244" s="115">
        <v>0</v>
      </c>
      <c r="Q244" s="115">
        <v>0</v>
      </c>
      <c r="R244" s="115">
        <v>0</v>
      </c>
      <c r="S244" s="115">
        <v>0</v>
      </c>
      <c r="T244" s="115">
        <v>0</v>
      </c>
      <c r="U244" s="115">
        <v>0</v>
      </c>
      <c r="V244" s="115">
        <v>0</v>
      </c>
      <c r="W244" s="115">
        <v>0</v>
      </c>
      <c r="X244" s="115">
        <v>0</v>
      </c>
      <c r="Y244" s="115">
        <v>0</v>
      </c>
      <c r="Z244" s="115">
        <v>0</v>
      </c>
      <c r="AA244" s="115">
        <v>0</v>
      </c>
      <c r="AB244" s="115">
        <v>0</v>
      </c>
      <c r="AC244" s="115">
        <v>0</v>
      </c>
      <c r="AD244" s="115">
        <v>0</v>
      </c>
      <c r="AE244" s="115">
        <v>0</v>
      </c>
      <c r="AF244" s="115">
        <v>0</v>
      </c>
      <c r="AG244" s="115">
        <v>0</v>
      </c>
      <c r="AH244" s="115">
        <v>0</v>
      </c>
      <c r="AI244" s="115">
        <v>0</v>
      </c>
      <c r="AJ244" s="115">
        <v>0</v>
      </c>
      <c r="AK244" s="115">
        <v>0</v>
      </c>
      <c r="AL244" s="115">
        <v>0</v>
      </c>
      <c r="AM244" s="115">
        <v>0</v>
      </c>
      <c r="AN244" s="115">
        <v>0</v>
      </c>
      <c r="AO244" s="115">
        <v>0</v>
      </c>
      <c r="AP244" s="115">
        <v>0</v>
      </c>
      <c r="AQ244" s="115">
        <v>0</v>
      </c>
      <c r="AR244" s="115">
        <v>0</v>
      </c>
      <c r="AS244" s="115">
        <v>0</v>
      </c>
      <c r="AT244" s="115">
        <v>0</v>
      </c>
      <c r="AU244" s="115">
        <v>0</v>
      </c>
      <c r="AV244" s="115">
        <v>0</v>
      </c>
      <c r="AW244" s="115">
        <v>0</v>
      </c>
      <c r="AX244" s="115">
        <v>0</v>
      </c>
      <c r="AY244" s="115">
        <v>0</v>
      </c>
    </row>
    <row r="245" spans="1:51" x14ac:dyDescent="0.2">
      <c r="A245" s="114"/>
      <c r="B245" s="135">
        <v>37</v>
      </c>
      <c r="C245" s="111">
        <v>0</v>
      </c>
      <c r="D245" s="115">
        <v>0</v>
      </c>
      <c r="E245" s="115">
        <v>0</v>
      </c>
      <c r="F245" s="115">
        <v>0</v>
      </c>
      <c r="G245" s="115">
        <v>0</v>
      </c>
      <c r="H245" s="115">
        <v>0</v>
      </c>
      <c r="I245" s="115">
        <v>0</v>
      </c>
      <c r="J245" s="115">
        <v>0</v>
      </c>
      <c r="K245" s="115">
        <v>0</v>
      </c>
      <c r="L245" s="115">
        <v>0</v>
      </c>
      <c r="M245" s="115">
        <v>0</v>
      </c>
      <c r="N245" s="115">
        <v>0</v>
      </c>
      <c r="O245" s="115">
        <v>0</v>
      </c>
      <c r="P245" s="115">
        <v>0</v>
      </c>
      <c r="Q245" s="115">
        <v>0</v>
      </c>
      <c r="R245" s="115">
        <v>0</v>
      </c>
      <c r="S245" s="115">
        <v>0</v>
      </c>
      <c r="T245" s="115">
        <v>0</v>
      </c>
      <c r="U245" s="115">
        <v>0</v>
      </c>
      <c r="V245" s="115">
        <v>0</v>
      </c>
      <c r="W245" s="115">
        <v>0</v>
      </c>
      <c r="X245" s="115">
        <v>0</v>
      </c>
      <c r="Y245" s="115">
        <v>0</v>
      </c>
      <c r="Z245" s="115">
        <v>0</v>
      </c>
      <c r="AA245" s="115">
        <v>0</v>
      </c>
      <c r="AB245" s="115">
        <v>0</v>
      </c>
      <c r="AC245" s="115">
        <v>0</v>
      </c>
      <c r="AD245" s="115">
        <v>0</v>
      </c>
      <c r="AE245" s="115">
        <v>0</v>
      </c>
      <c r="AF245" s="115">
        <v>0</v>
      </c>
      <c r="AG245" s="115">
        <v>0</v>
      </c>
      <c r="AH245" s="115">
        <v>0</v>
      </c>
      <c r="AI245" s="115">
        <v>0</v>
      </c>
      <c r="AJ245" s="115">
        <v>0</v>
      </c>
      <c r="AK245" s="115">
        <v>0</v>
      </c>
      <c r="AL245" s="115">
        <v>0</v>
      </c>
      <c r="AM245" s="115">
        <v>0</v>
      </c>
      <c r="AN245" s="115">
        <v>0</v>
      </c>
      <c r="AO245" s="115">
        <v>0</v>
      </c>
      <c r="AP245" s="115">
        <v>0</v>
      </c>
      <c r="AQ245" s="115">
        <v>0</v>
      </c>
      <c r="AR245" s="115">
        <v>0</v>
      </c>
      <c r="AS245" s="115">
        <v>0</v>
      </c>
      <c r="AT245" s="115">
        <v>0</v>
      </c>
      <c r="AU245" s="115">
        <v>0</v>
      </c>
      <c r="AV245" s="115">
        <v>0</v>
      </c>
      <c r="AW245" s="115">
        <v>0</v>
      </c>
      <c r="AX245" s="115">
        <v>0</v>
      </c>
      <c r="AY245" s="115">
        <v>0</v>
      </c>
    </row>
    <row r="246" spans="1:51" x14ac:dyDescent="0.2">
      <c r="A246" s="114"/>
      <c r="B246" s="135">
        <v>38</v>
      </c>
      <c r="C246" s="111">
        <v>0</v>
      </c>
      <c r="D246" s="115">
        <v>0</v>
      </c>
      <c r="E246" s="115">
        <v>0</v>
      </c>
      <c r="F246" s="115">
        <v>0</v>
      </c>
      <c r="G246" s="115">
        <v>0</v>
      </c>
      <c r="H246" s="115">
        <v>0</v>
      </c>
      <c r="I246" s="115">
        <v>0</v>
      </c>
      <c r="J246" s="115">
        <v>0</v>
      </c>
      <c r="K246" s="115">
        <v>0</v>
      </c>
      <c r="L246" s="115">
        <v>0</v>
      </c>
      <c r="M246" s="115">
        <v>0</v>
      </c>
      <c r="N246" s="115">
        <v>0</v>
      </c>
      <c r="O246" s="115">
        <v>0</v>
      </c>
      <c r="P246" s="115">
        <v>0</v>
      </c>
      <c r="Q246" s="115">
        <v>0</v>
      </c>
      <c r="R246" s="115">
        <v>0</v>
      </c>
      <c r="S246" s="115">
        <v>0</v>
      </c>
      <c r="T246" s="115">
        <v>0</v>
      </c>
      <c r="U246" s="115">
        <v>0</v>
      </c>
      <c r="V246" s="115">
        <v>0</v>
      </c>
      <c r="W246" s="115">
        <v>0</v>
      </c>
      <c r="X246" s="115">
        <v>0</v>
      </c>
      <c r="Y246" s="115">
        <v>0</v>
      </c>
      <c r="Z246" s="115">
        <v>0</v>
      </c>
      <c r="AA246" s="115">
        <v>0</v>
      </c>
      <c r="AB246" s="115">
        <v>0</v>
      </c>
      <c r="AC246" s="115">
        <v>0</v>
      </c>
      <c r="AD246" s="115">
        <v>0</v>
      </c>
      <c r="AE246" s="115">
        <v>0</v>
      </c>
      <c r="AF246" s="115">
        <v>0</v>
      </c>
      <c r="AG246" s="115">
        <v>0</v>
      </c>
      <c r="AH246" s="115">
        <v>0</v>
      </c>
      <c r="AI246" s="115">
        <v>0</v>
      </c>
      <c r="AJ246" s="115">
        <v>0</v>
      </c>
      <c r="AK246" s="115">
        <v>0</v>
      </c>
      <c r="AL246" s="115">
        <v>0</v>
      </c>
      <c r="AM246" s="115">
        <v>0</v>
      </c>
      <c r="AN246" s="115">
        <v>0</v>
      </c>
      <c r="AO246" s="115">
        <v>0</v>
      </c>
      <c r="AP246" s="115">
        <v>0</v>
      </c>
      <c r="AQ246" s="115">
        <v>0</v>
      </c>
      <c r="AR246" s="115">
        <v>0</v>
      </c>
      <c r="AS246" s="115">
        <v>0</v>
      </c>
      <c r="AT246" s="115">
        <v>0</v>
      </c>
      <c r="AU246" s="115">
        <v>0</v>
      </c>
      <c r="AV246" s="115">
        <v>0</v>
      </c>
      <c r="AW246" s="115">
        <v>0</v>
      </c>
      <c r="AX246" s="115">
        <v>0</v>
      </c>
      <c r="AY246" s="115">
        <v>0</v>
      </c>
    </row>
    <row r="247" spans="1:51" x14ac:dyDescent="0.2">
      <c r="A247" s="114"/>
      <c r="B247" s="135">
        <v>39</v>
      </c>
      <c r="C247" s="111">
        <v>0</v>
      </c>
      <c r="D247" s="115">
        <v>0</v>
      </c>
      <c r="E247" s="115">
        <v>0</v>
      </c>
      <c r="F247" s="115">
        <v>0</v>
      </c>
      <c r="G247" s="115">
        <v>0</v>
      </c>
      <c r="H247" s="115">
        <v>0</v>
      </c>
      <c r="I247" s="115">
        <v>0</v>
      </c>
      <c r="J247" s="115">
        <v>0</v>
      </c>
      <c r="K247" s="115">
        <v>0</v>
      </c>
      <c r="L247" s="115">
        <v>0</v>
      </c>
      <c r="M247" s="115">
        <v>0</v>
      </c>
      <c r="N247" s="115">
        <v>0</v>
      </c>
      <c r="O247" s="115">
        <v>0</v>
      </c>
      <c r="P247" s="115">
        <v>0</v>
      </c>
      <c r="Q247" s="115">
        <v>0</v>
      </c>
      <c r="R247" s="115">
        <v>0</v>
      </c>
      <c r="S247" s="115">
        <v>0</v>
      </c>
      <c r="T247" s="115">
        <v>0</v>
      </c>
      <c r="U247" s="115">
        <v>0</v>
      </c>
      <c r="V247" s="115">
        <v>0</v>
      </c>
      <c r="W247" s="115">
        <v>0</v>
      </c>
      <c r="X247" s="115">
        <v>0</v>
      </c>
      <c r="Y247" s="115">
        <v>0</v>
      </c>
      <c r="Z247" s="115">
        <v>0</v>
      </c>
      <c r="AA247" s="115">
        <v>0</v>
      </c>
      <c r="AB247" s="115">
        <v>0</v>
      </c>
      <c r="AC247" s="115">
        <v>0</v>
      </c>
      <c r="AD247" s="115">
        <v>0</v>
      </c>
      <c r="AE247" s="115">
        <v>0</v>
      </c>
      <c r="AF247" s="115">
        <v>0</v>
      </c>
      <c r="AG247" s="115">
        <v>0</v>
      </c>
      <c r="AH247" s="115">
        <v>0</v>
      </c>
      <c r="AI247" s="115">
        <v>0</v>
      </c>
      <c r="AJ247" s="115">
        <v>0</v>
      </c>
      <c r="AK247" s="115">
        <v>0</v>
      </c>
      <c r="AL247" s="115">
        <v>0</v>
      </c>
      <c r="AM247" s="115">
        <v>0</v>
      </c>
      <c r="AN247" s="115">
        <v>0</v>
      </c>
      <c r="AO247" s="115">
        <v>0</v>
      </c>
      <c r="AP247" s="115">
        <v>0</v>
      </c>
      <c r="AQ247" s="115">
        <v>0</v>
      </c>
      <c r="AR247" s="115">
        <v>0</v>
      </c>
      <c r="AS247" s="115">
        <v>0</v>
      </c>
      <c r="AT247" s="115">
        <v>0</v>
      </c>
      <c r="AU247" s="115">
        <v>0</v>
      </c>
      <c r="AV247" s="115">
        <v>0</v>
      </c>
      <c r="AW247" s="115">
        <v>0</v>
      </c>
      <c r="AX247" s="115">
        <v>0</v>
      </c>
      <c r="AY247" s="115">
        <v>0</v>
      </c>
    </row>
    <row r="248" spans="1:51" x14ac:dyDescent="0.2">
      <c r="A248" s="114"/>
      <c r="B248" s="135">
        <v>40</v>
      </c>
      <c r="C248" s="111">
        <v>0</v>
      </c>
      <c r="D248" s="115">
        <v>0</v>
      </c>
      <c r="E248" s="115">
        <v>0</v>
      </c>
      <c r="F248" s="115">
        <v>0</v>
      </c>
      <c r="G248" s="115">
        <v>0</v>
      </c>
      <c r="H248" s="115">
        <v>0</v>
      </c>
      <c r="I248" s="115">
        <v>0</v>
      </c>
      <c r="J248" s="115">
        <v>0</v>
      </c>
      <c r="K248" s="115">
        <v>0</v>
      </c>
      <c r="L248" s="115">
        <v>0</v>
      </c>
      <c r="M248" s="115">
        <v>0</v>
      </c>
      <c r="N248" s="115">
        <v>0</v>
      </c>
      <c r="O248" s="115">
        <v>0</v>
      </c>
      <c r="P248" s="115">
        <v>0</v>
      </c>
      <c r="Q248" s="115">
        <v>0</v>
      </c>
      <c r="R248" s="115">
        <v>0</v>
      </c>
      <c r="S248" s="115">
        <v>0</v>
      </c>
      <c r="T248" s="115">
        <v>0</v>
      </c>
      <c r="U248" s="115">
        <v>0</v>
      </c>
      <c r="V248" s="115">
        <v>0</v>
      </c>
      <c r="W248" s="115">
        <v>0</v>
      </c>
      <c r="X248" s="115">
        <v>0</v>
      </c>
      <c r="Y248" s="115">
        <v>0</v>
      </c>
      <c r="Z248" s="115">
        <v>0</v>
      </c>
      <c r="AA248" s="115">
        <v>0</v>
      </c>
      <c r="AB248" s="115">
        <v>0</v>
      </c>
      <c r="AC248" s="115">
        <v>0</v>
      </c>
      <c r="AD248" s="115">
        <v>0</v>
      </c>
      <c r="AE248" s="115">
        <v>0</v>
      </c>
      <c r="AF248" s="115">
        <v>0</v>
      </c>
      <c r="AG248" s="115">
        <v>0</v>
      </c>
      <c r="AH248" s="115">
        <v>0</v>
      </c>
      <c r="AI248" s="115">
        <v>0</v>
      </c>
      <c r="AJ248" s="115">
        <v>0</v>
      </c>
      <c r="AK248" s="115">
        <v>0</v>
      </c>
      <c r="AL248" s="115">
        <v>0</v>
      </c>
      <c r="AM248" s="115">
        <v>0</v>
      </c>
      <c r="AN248" s="115">
        <v>0</v>
      </c>
      <c r="AO248" s="115">
        <v>0</v>
      </c>
      <c r="AP248" s="115">
        <v>0</v>
      </c>
      <c r="AQ248" s="115">
        <v>0</v>
      </c>
      <c r="AR248" s="115">
        <v>0</v>
      </c>
      <c r="AS248" s="115">
        <v>0</v>
      </c>
      <c r="AT248" s="115">
        <v>0</v>
      </c>
      <c r="AU248" s="115">
        <v>0</v>
      </c>
      <c r="AV248" s="115">
        <v>0</v>
      </c>
      <c r="AW248" s="115">
        <v>0</v>
      </c>
      <c r="AX248" s="115">
        <v>0</v>
      </c>
      <c r="AY248" s="115">
        <v>0</v>
      </c>
    </row>
    <row r="249" spans="1:51" x14ac:dyDescent="0.2">
      <c r="A249" s="114"/>
      <c r="B249" s="135">
        <v>41</v>
      </c>
      <c r="C249" s="111">
        <v>0</v>
      </c>
      <c r="D249" s="115">
        <v>0</v>
      </c>
      <c r="E249" s="115">
        <v>0</v>
      </c>
      <c r="F249" s="115">
        <v>0</v>
      </c>
      <c r="G249" s="115">
        <v>0</v>
      </c>
      <c r="H249" s="115">
        <v>0</v>
      </c>
      <c r="I249" s="115">
        <v>0</v>
      </c>
      <c r="J249" s="115">
        <v>0</v>
      </c>
      <c r="K249" s="115">
        <v>0</v>
      </c>
      <c r="L249" s="115">
        <v>0</v>
      </c>
      <c r="M249" s="115">
        <v>0</v>
      </c>
      <c r="N249" s="115">
        <v>0</v>
      </c>
      <c r="O249" s="115">
        <v>0</v>
      </c>
      <c r="P249" s="115">
        <v>0</v>
      </c>
      <c r="Q249" s="115">
        <v>0</v>
      </c>
      <c r="R249" s="115">
        <v>0</v>
      </c>
      <c r="S249" s="115">
        <v>0</v>
      </c>
      <c r="T249" s="115">
        <v>0</v>
      </c>
      <c r="U249" s="115">
        <v>0</v>
      </c>
      <c r="V249" s="115">
        <v>0</v>
      </c>
      <c r="W249" s="115">
        <v>0</v>
      </c>
      <c r="X249" s="115">
        <v>0</v>
      </c>
      <c r="Y249" s="115">
        <v>0</v>
      </c>
      <c r="Z249" s="115">
        <v>0</v>
      </c>
      <c r="AA249" s="115">
        <v>0</v>
      </c>
      <c r="AB249" s="115">
        <v>0</v>
      </c>
      <c r="AC249" s="115">
        <v>0</v>
      </c>
      <c r="AD249" s="115">
        <v>0</v>
      </c>
      <c r="AE249" s="115">
        <v>0</v>
      </c>
      <c r="AF249" s="115">
        <v>0</v>
      </c>
      <c r="AG249" s="115">
        <v>0</v>
      </c>
      <c r="AH249" s="115">
        <v>0</v>
      </c>
      <c r="AI249" s="115">
        <v>0</v>
      </c>
      <c r="AJ249" s="115">
        <v>0</v>
      </c>
      <c r="AK249" s="115">
        <v>0</v>
      </c>
      <c r="AL249" s="115">
        <v>0</v>
      </c>
      <c r="AM249" s="115">
        <v>0</v>
      </c>
      <c r="AN249" s="115">
        <v>0</v>
      </c>
      <c r="AO249" s="115">
        <v>0</v>
      </c>
      <c r="AP249" s="115">
        <v>0</v>
      </c>
      <c r="AQ249" s="115">
        <v>0</v>
      </c>
      <c r="AR249" s="115">
        <v>0</v>
      </c>
      <c r="AS249" s="115">
        <v>0</v>
      </c>
      <c r="AT249" s="115">
        <v>0</v>
      </c>
      <c r="AU249" s="115">
        <v>0</v>
      </c>
      <c r="AV249" s="115">
        <v>0</v>
      </c>
      <c r="AW249" s="115">
        <v>0</v>
      </c>
      <c r="AX249" s="115">
        <v>0</v>
      </c>
      <c r="AY249" s="115">
        <v>0</v>
      </c>
    </row>
    <row r="250" spans="1:51" x14ac:dyDescent="0.2">
      <c r="A250" s="114"/>
      <c r="B250" s="135">
        <v>42</v>
      </c>
      <c r="C250" s="111">
        <v>0</v>
      </c>
      <c r="D250" s="115">
        <v>0</v>
      </c>
      <c r="E250" s="115">
        <v>0</v>
      </c>
      <c r="F250" s="115">
        <v>0</v>
      </c>
      <c r="G250" s="115">
        <v>0</v>
      </c>
      <c r="H250" s="115">
        <v>0</v>
      </c>
      <c r="I250" s="115">
        <v>0</v>
      </c>
      <c r="J250" s="115">
        <v>0</v>
      </c>
      <c r="K250" s="115">
        <v>0</v>
      </c>
      <c r="L250" s="115">
        <v>0</v>
      </c>
      <c r="M250" s="115">
        <v>0</v>
      </c>
      <c r="N250" s="115">
        <v>0</v>
      </c>
      <c r="O250" s="115">
        <v>0</v>
      </c>
      <c r="P250" s="115">
        <v>0</v>
      </c>
      <c r="Q250" s="115">
        <v>0</v>
      </c>
      <c r="R250" s="115">
        <v>0</v>
      </c>
      <c r="S250" s="115">
        <v>0</v>
      </c>
      <c r="T250" s="115">
        <v>0</v>
      </c>
      <c r="U250" s="115">
        <v>0</v>
      </c>
      <c r="V250" s="115">
        <v>0</v>
      </c>
      <c r="W250" s="115">
        <v>0</v>
      </c>
      <c r="X250" s="115">
        <v>0</v>
      </c>
      <c r="Y250" s="115">
        <v>0</v>
      </c>
      <c r="Z250" s="115">
        <v>0</v>
      </c>
      <c r="AA250" s="115">
        <v>0</v>
      </c>
      <c r="AB250" s="115">
        <v>0</v>
      </c>
      <c r="AC250" s="115">
        <v>0</v>
      </c>
      <c r="AD250" s="115">
        <v>0</v>
      </c>
      <c r="AE250" s="115">
        <v>0</v>
      </c>
      <c r="AF250" s="115">
        <v>0</v>
      </c>
      <c r="AG250" s="115">
        <v>0</v>
      </c>
      <c r="AH250" s="115">
        <v>0</v>
      </c>
      <c r="AI250" s="115">
        <v>0</v>
      </c>
      <c r="AJ250" s="115">
        <v>0</v>
      </c>
      <c r="AK250" s="115">
        <v>0</v>
      </c>
      <c r="AL250" s="115">
        <v>0</v>
      </c>
      <c r="AM250" s="115">
        <v>0</v>
      </c>
      <c r="AN250" s="115">
        <v>0</v>
      </c>
      <c r="AO250" s="115">
        <v>0</v>
      </c>
      <c r="AP250" s="115">
        <v>0</v>
      </c>
      <c r="AQ250" s="115">
        <v>0</v>
      </c>
      <c r="AR250" s="115">
        <v>0</v>
      </c>
      <c r="AS250" s="115">
        <v>0</v>
      </c>
      <c r="AT250" s="115">
        <v>0</v>
      </c>
      <c r="AU250" s="115">
        <v>0</v>
      </c>
      <c r="AV250" s="115">
        <v>0</v>
      </c>
      <c r="AW250" s="115">
        <v>0</v>
      </c>
      <c r="AX250" s="115">
        <v>0</v>
      </c>
      <c r="AY250" s="115">
        <v>0</v>
      </c>
    </row>
    <row r="251" spans="1:51" x14ac:dyDescent="0.2">
      <c r="A251" s="114"/>
      <c r="B251" s="135">
        <v>43</v>
      </c>
      <c r="C251" s="111">
        <v>0</v>
      </c>
      <c r="D251" s="115">
        <v>0</v>
      </c>
      <c r="E251" s="115">
        <v>0</v>
      </c>
      <c r="F251" s="115">
        <v>0</v>
      </c>
      <c r="G251" s="115">
        <v>0</v>
      </c>
      <c r="H251" s="115">
        <v>0</v>
      </c>
      <c r="I251" s="115">
        <v>0</v>
      </c>
      <c r="J251" s="115">
        <v>0</v>
      </c>
      <c r="K251" s="115">
        <v>0</v>
      </c>
      <c r="L251" s="115">
        <v>0</v>
      </c>
      <c r="M251" s="115">
        <v>0</v>
      </c>
      <c r="N251" s="115">
        <v>0</v>
      </c>
      <c r="O251" s="115">
        <v>0</v>
      </c>
      <c r="P251" s="115">
        <v>0</v>
      </c>
      <c r="Q251" s="115">
        <v>0</v>
      </c>
      <c r="R251" s="115">
        <v>0</v>
      </c>
      <c r="S251" s="115">
        <v>0</v>
      </c>
      <c r="T251" s="115">
        <v>0</v>
      </c>
      <c r="U251" s="115">
        <v>0</v>
      </c>
      <c r="V251" s="115">
        <v>0</v>
      </c>
      <c r="W251" s="115">
        <v>0</v>
      </c>
      <c r="X251" s="115">
        <v>0</v>
      </c>
      <c r="Y251" s="115">
        <v>0</v>
      </c>
      <c r="Z251" s="115">
        <v>0</v>
      </c>
      <c r="AA251" s="115">
        <v>0</v>
      </c>
      <c r="AB251" s="115">
        <v>0</v>
      </c>
      <c r="AC251" s="115">
        <v>0</v>
      </c>
      <c r="AD251" s="115">
        <v>0</v>
      </c>
      <c r="AE251" s="115">
        <v>0</v>
      </c>
      <c r="AF251" s="115">
        <v>0</v>
      </c>
      <c r="AG251" s="115">
        <v>0</v>
      </c>
      <c r="AH251" s="115">
        <v>0</v>
      </c>
      <c r="AI251" s="115">
        <v>0</v>
      </c>
      <c r="AJ251" s="115">
        <v>0</v>
      </c>
      <c r="AK251" s="115">
        <v>0</v>
      </c>
      <c r="AL251" s="115">
        <v>0</v>
      </c>
      <c r="AM251" s="115">
        <v>0</v>
      </c>
      <c r="AN251" s="115">
        <v>0</v>
      </c>
      <c r="AO251" s="115">
        <v>0</v>
      </c>
      <c r="AP251" s="115">
        <v>0</v>
      </c>
      <c r="AQ251" s="115">
        <v>0</v>
      </c>
      <c r="AR251" s="115">
        <v>0</v>
      </c>
      <c r="AS251" s="115">
        <v>0</v>
      </c>
      <c r="AT251" s="115">
        <v>0</v>
      </c>
      <c r="AU251" s="115">
        <v>0</v>
      </c>
      <c r="AV251" s="115">
        <v>0</v>
      </c>
      <c r="AW251" s="115">
        <v>0</v>
      </c>
      <c r="AX251" s="115">
        <v>0</v>
      </c>
      <c r="AY251" s="115">
        <v>0</v>
      </c>
    </row>
    <row r="252" spans="1:51" x14ac:dyDescent="0.2">
      <c r="A252" s="114"/>
      <c r="B252" s="135">
        <v>44</v>
      </c>
      <c r="C252" s="111">
        <v>0</v>
      </c>
      <c r="D252" s="115">
        <v>0</v>
      </c>
      <c r="E252" s="115">
        <v>0</v>
      </c>
      <c r="F252" s="115">
        <v>0</v>
      </c>
      <c r="G252" s="115">
        <v>0</v>
      </c>
      <c r="H252" s="115">
        <v>0</v>
      </c>
      <c r="I252" s="115">
        <v>0</v>
      </c>
      <c r="J252" s="115">
        <v>0</v>
      </c>
      <c r="K252" s="115">
        <v>0</v>
      </c>
      <c r="L252" s="115">
        <v>0</v>
      </c>
      <c r="M252" s="115">
        <v>0</v>
      </c>
      <c r="N252" s="115">
        <v>0</v>
      </c>
      <c r="O252" s="115">
        <v>0</v>
      </c>
      <c r="P252" s="115">
        <v>0</v>
      </c>
      <c r="Q252" s="115">
        <v>0</v>
      </c>
      <c r="R252" s="115">
        <v>0</v>
      </c>
      <c r="S252" s="115">
        <v>0</v>
      </c>
      <c r="T252" s="115">
        <v>0</v>
      </c>
      <c r="U252" s="115">
        <v>0</v>
      </c>
      <c r="V252" s="115">
        <v>0</v>
      </c>
      <c r="W252" s="115">
        <v>0</v>
      </c>
      <c r="X252" s="115">
        <v>0</v>
      </c>
      <c r="Y252" s="115">
        <v>0</v>
      </c>
      <c r="Z252" s="115">
        <v>0</v>
      </c>
      <c r="AA252" s="115">
        <v>0</v>
      </c>
      <c r="AB252" s="115">
        <v>0</v>
      </c>
      <c r="AC252" s="115">
        <v>0</v>
      </c>
      <c r="AD252" s="115">
        <v>0</v>
      </c>
      <c r="AE252" s="115">
        <v>0</v>
      </c>
      <c r="AF252" s="115">
        <v>0</v>
      </c>
      <c r="AG252" s="115">
        <v>0</v>
      </c>
      <c r="AH252" s="115">
        <v>0</v>
      </c>
      <c r="AI252" s="115">
        <v>0</v>
      </c>
      <c r="AJ252" s="115">
        <v>0</v>
      </c>
      <c r="AK252" s="115">
        <v>0</v>
      </c>
      <c r="AL252" s="115">
        <v>0</v>
      </c>
      <c r="AM252" s="115">
        <v>0</v>
      </c>
      <c r="AN252" s="115">
        <v>0</v>
      </c>
      <c r="AO252" s="115">
        <v>0</v>
      </c>
      <c r="AP252" s="115">
        <v>0</v>
      </c>
      <c r="AQ252" s="115">
        <v>0</v>
      </c>
      <c r="AR252" s="115">
        <v>0</v>
      </c>
      <c r="AS252" s="115">
        <v>0</v>
      </c>
      <c r="AT252" s="115">
        <v>0</v>
      </c>
      <c r="AU252" s="115">
        <v>0</v>
      </c>
      <c r="AV252" s="115">
        <v>0</v>
      </c>
      <c r="AW252" s="115">
        <v>0</v>
      </c>
      <c r="AX252" s="115">
        <v>0</v>
      </c>
      <c r="AY252" s="115">
        <v>0</v>
      </c>
    </row>
    <row r="253" spans="1:51" x14ac:dyDescent="0.2">
      <c r="A253" s="114"/>
      <c r="B253" s="135">
        <v>45</v>
      </c>
      <c r="C253" s="111">
        <v>0</v>
      </c>
      <c r="D253" s="115">
        <v>0</v>
      </c>
      <c r="E253" s="115">
        <v>0</v>
      </c>
      <c r="F253" s="115">
        <v>0</v>
      </c>
      <c r="G253" s="115">
        <v>0</v>
      </c>
      <c r="H253" s="115">
        <v>0</v>
      </c>
      <c r="I253" s="115">
        <v>0</v>
      </c>
      <c r="J253" s="115">
        <v>0</v>
      </c>
      <c r="K253" s="115">
        <v>0</v>
      </c>
      <c r="L253" s="115">
        <v>0</v>
      </c>
      <c r="M253" s="115">
        <v>0</v>
      </c>
      <c r="N253" s="115">
        <v>0</v>
      </c>
      <c r="O253" s="115">
        <v>0</v>
      </c>
      <c r="P253" s="115">
        <v>0</v>
      </c>
      <c r="Q253" s="115">
        <v>0</v>
      </c>
      <c r="R253" s="115">
        <v>0</v>
      </c>
      <c r="S253" s="115">
        <v>0</v>
      </c>
      <c r="T253" s="115">
        <v>0</v>
      </c>
      <c r="U253" s="115">
        <v>0</v>
      </c>
      <c r="V253" s="115">
        <v>0</v>
      </c>
      <c r="W253" s="115">
        <v>0</v>
      </c>
      <c r="X253" s="115">
        <v>0</v>
      </c>
      <c r="Y253" s="115">
        <v>0</v>
      </c>
      <c r="Z253" s="115">
        <v>0</v>
      </c>
      <c r="AA253" s="115">
        <v>0</v>
      </c>
      <c r="AB253" s="115">
        <v>0</v>
      </c>
      <c r="AC253" s="115">
        <v>0</v>
      </c>
      <c r="AD253" s="115">
        <v>0</v>
      </c>
      <c r="AE253" s="115">
        <v>0</v>
      </c>
      <c r="AF253" s="115">
        <v>0</v>
      </c>
      <c r="AG253" s="115">
        <v>0</v>
      </c>
      <c r="AH253" s="115">
        <v>0</v>
      </c>
      <c r="AI253" s="115">
        <v>0</v>
      </c>
      <c r="AJ253" s="115">
        <v>0</v>
      </c>
      <c r="AK253" s="115">
        <v>0</v>
      </c>
      <c r="AL253" s="115">
        <v>0</v>
      </c>
      <c r="AM253" s="115">
        <v>0</v>
      </c>
      <c r="AN253" s="115">
        <v>0</v>
      </c>
      <c r="AO253" s="115">
        <v>0</v>
      </c>
      <c r="AP253" s="115">
        <v>0</v>
      </c>
      <c r="AQ253" s="115">
        <v>0</v>
      </c>
      <c r="AR253" s="115">
        <v>0</v>
      </c>
      <c r="AS253" s="115">
        <v>0</v>
      </c>
      <c r="AT253" s="115">
        <v>0</v>
      </c>
      <c r="AU253" s="115">
        <v>0</v>
      </c>
      <c r="AV253" s="115">
        <v>0</v>
      </c>
      <c r="AW253" s="115">
        <v>0</v>
      </c>
      <c r="AX253" s="115">
        <v>0</v>
      </c>
      <c r="AY253" s="115">
        <v>0</v>
      </c>
    </row>
    <row r="254" spans="1:51" x14ac:dyDescent="0.2">
      <c r="A254" s="114"/>
      <c r="B254" s="135">
        <v>46</v>
      </c>
      <c r="C254" s="111">
        <v>0</v>
      </c>
      <c r="D254" s="115">
        <v>0</v>
      </c>
      <c r="E254" s="115">
        <v>0</v>
      </c>
      <c r="F254" s="115">
        <v>0</v>
      </c>
      <c r="G254" s="115">
        <v>0</v>
      </c>
      <c r="H254" s="115">
        <v>0</v>
      </c>
      <c r="I254" s="115">
        <v>0</v>
      </c>
      <c r="J254" s="115">
        <v>0</v>
      </c>
      <c r="K254" s="115">
        <v>0</v>
      </c>
      <c r="L254" s="115">
        <v>0</v>
      </c>
      <c r="M254" s="115">
        <v>0</v>
      </c>
      <c r="N254" s="115">
        <v>0</v>
      </c>
      <c r="O254" s="115">
        <v>0</v>
      </c>
      <c r="P254" s="115">
        <v>0</v>
      </c>
      <c r="Q254" s="115">
        <v>0</v>
      </c>
      <c r="R254" s="115">
        <v>0</v>
      </c>
      <c r="S254" s="115">
        <v>0</v>
      </c>
      <c r="T254" s="115">
        <v>0</v>
      </c>
      <c r="U254" s="115">
        <v>0</v>
      </c>
      <c r="V254" s="115">
        <v>0</v>
      </c>
      <c r="W254" s="115">
        <v>0</v>
      </c>
      <c r="X254" s="115">
        <v>0</v>
      </c>
      <c r="Y254" s="115">
        <v>0</v>
      </c>
      <c r="Z254" s="115">
        <v>0</v>
      </c>
      <c r="AA254" s="115">
        <v>0</v>
      </c>
      <c r="AB254" s="115">
        <v>0</v>
      </c>
      <c r="AC254" s="115">
        <v>0</v>
      </c>
      <c r="AD254" s="115">
        <v>0</v>
      </c>
      <c r="AE254" s="115">
        <v>0</v>
      </c>
      <c r="AF254" s="115">
        <v>0</v>
      </c>
      <c r="AG254" s="115">
        <v>0</v>
      </c>
      <c r="AH254" s="115">
        <v>0</v>
      </c>
      <c r="AI254" s="115">
        <v>0</v>
      </c>
      <c r="AJ254" s="115">
        <v>0</v>
      </c>
      <c r="AK254" s="115">
        <v>0</v>
      </c>
      <c r="AL254" s="115">
        <v>0</v>
      </c>
      <c r="AM254" s="115">
        <v>0</v>
      </c>
      <c r="AN254" s="115">
        <v>0</v>
      </c>
      <c r="AO254" s="115">
        <v>0</v>
      </c>
      <c r="AP254" s="115">
        <v>0</v>
      </c>
      <c r="AQ254" s="115">
        <v>0</v>
      </c>
      <c r="AR254" s="115">
        <v>0</v>
      </c>
      <c r="AS254" s="115">
        <v>0</v>
      </c>
      <c r="AT254" s="115">
        <v>0</v>
      </c>
      <c r="AU254" s="115">
        <v>0</v>
      </c>
      <c r="AV254" s="115">
        <v>0</v>
      </c>
      <c r="AW254" s="115">
        <v>0</v>
      </c>
      <c r="AX254" s="115">
        <v>0</v>
      </c>
      <c r="AY254" s="115">
        <v>0</v>
      </c>
    </row>
    <row r="255" spans="1:51" x14ac:dyDescent="0.2">
      <c r="A255" s="114"/>
      <c r="B255" s="135">
        <v>47</v>
      </c>
      <c r="C255" s="111">
        <v>0</v>
      </c>
      <c r="D255" s="115">
        <v>0</v>
      </c>
      <c r="E255" s="115">
        <v>0</v>
      </c>
      <c r="F255" s="115">
        <v>0</v>
      </c>
      <c r="G255" s="115">
        <v>0</v>
      </c>
      <c r="H255" s="115">
        <v>0</v>
      </c>
      <c r="I255" s="115">
        <v>0</v>
      </c>
      <c r="J255" s="115">
        <v>0</v>
      </c>
      <c r="K255" s="115">
        <v>0</v>
      </c>
      <c r="L255" s="115">
        <v>0</v>
      </c>
      <c r="M255" s="115">
        <v>0</v>
      </c>
      <c r="N255" s="115">
        <v>0</v>
      </c>
      <c r="O255" s="115">
        <v>0</v>
      </c>
      <c r="P255" s="115">
        <v>0</v>
      </c>
      <c r="Q255" s="115">
        <v>0</v>
      </c>
      <c r="R255" s="115">
        <v>0</v>
      </c>
      <c r="S255" s="115">
        <v>0</v>
      </c>
      <c r="T255" s="115">
        <v>0</v>
      </c>
      <c r="U255" s="115">
        <v>0</v>
      </c>
      <c r="V255" s="115">
        <v>0</v>
      </c>
      <c r="W255" s="115">
        <v>0</v>
      </c>
      <c r="X255" s="115">
        <v>0</v>
      </c>
      <c r="Y255" s="115">
        <v>0</v>
      </c>
      <c r="Z255" s="115">
        <v>0</v>
      </c>
      <c r="AA255" s="115">
        <v>0</v>
      </c>
      <c r="AB255" s="115">
        <v>0</v>
      </c>
      <c r="AC255" s="115">
        <v>0</v>
      </c>
      <c r="AD255" s="115">
        <v>0</v>
      </c>
      <c r="AE255" s="115">
        <v>0</v>
      </c>
      <c r="AF255" s="115">
        <v>0</v>
      </c>
      <c r="AG255" s="115">
        <v>0</v>
      </c>
      <c r="AH255" s="115">
        <v>0</v>
      </c>
      <c r="AI255" s="115">
        <v>0</v>
      </c>
      <c r="AJ255" s="115">
        <v>0</v>
      </c>
      <c r="AK255" s="115">
        <v>0</v>
      </c>
      <c r="AL255" s="115">
        <v>0</v>
      </c>
      <c r="AM255" s="115">
        <v>0</v>
      </c>
      <c r="AN255" s="115">
        <v>0</v>
      </c>
      <c r="AO255" s="115">
        <v>0</v>
      </c>
      <c r="AP255" s="115">
        <v>0</v>
      </c>
      <c r="AQ255" s="115">
        <v>0</v>
      </c>
      <c r="AR255" s="115">
        <v>0</v>
      </c>
      <c r="AS255" s="115">
        <v>0</v>
      </c>
      <c r="AT255" s="115">
        <v>0</v>
      </c>
      <c r="AU255" s="115">
        <v>0</v>
      </c>
      <c r="AV255" s="115">
        <v>0</v>
      </c>
      <c r="AW255" s="115">
        <v>0</v>
      </c>
      <c r="AX255" s="115">
        <v>0</v>
      </c>
      <c r="AY255" s="115">
        <v>0</v>
      </c>
    </row>
    <row r="256" spans="1:51" x14ac:dyDescent="0.2">
      <c r="A256" s="133"/>
      <c r="B256" s="134">
        <v>48</v>
      </c>
      <c r="C256" s="119">
        <v>0</v>
      </c>
      <c r="D256" s="130">
        <v>0</v>
      </c>
      <c r="E256" s="130">
        <v>0</v>
      </c>
      <c r="F256" s="130">
        <v>0</v>
      </c>
      <c r="G256" s="130">
        <v>0</v>
      </c>
      <c r="H256" s="130">
        <v>0</v>
      </c>
      <c r="I256" s="130">
        <v>0</v>
      </c>
      <c r="J256" s="130">
        <v>0</v>
      </c>
      <c r="K256" s="130">
        <v>0</v>
      </c>
      <c r="L256" s="130">
        <v>0</v>
      </c>
      <c r="M256" s="130">
        <v>0</v>
      </c>
      <c r="N256" s="130">
        <v>0</v>
      </c>
      <c r="O256" s="130">
        <v>0</v>
      </c>
      <c r="P256" s="130">
        <v>0</v>
      </c>
      <c r="Q256" s="130">
        <v>0</v>
      </c>
      <c r="R256" s="130">
        <v>0</v>
      </c>
      <c r="S256" s="130">
        <v>0</v>
      </c>
      <c r="T256" s="130">
        <v>0</v>
      </c>
      <c r="U256" s="130">
        <v>0</v>
      </c>
      <c r="V256" s="130">
        <v>0</v>
      </c>
      <c r="W256" s="130">
        <v>0</v>
      </c>
      <c r="X256" s="130">
        <v>0</v>
      </c>
      <c r="Y256" s="130">
        <v>0</v>
      </c>
      <c r="Z256" s="130">
        <v>0</v>
      </c>
      <c r="AA256" s="130">
        <v>0</v>
      </c>
      <c r="AB256" s="130">
        <v>0</v>
      </c>
      <c r="AC256" s="130">
        <v>0</v>
      </c>
      <c r="AD256" s="130">
        <v>0</v>
      </c>
      <c r="AE256" s="130">
        <v>0</v>
      </c>
      <c r="AF256" s="130">
        <v>0</v>
      </c>
      <c r="AG256" s="130">
        <v>0</v>
      </c>
      <c r="AH256" s="130">
        <v>0</v>
      </c>
      <c r="AI256" s="130">
        <v>0</v>
      </c>
      <c r="AJ256" s="130">
        <v>0</v>
      </c>
      <c r="AK256" s="130">
        <v>0</v>
      </c>
      <c r="AL256" s="130">
        <v>0</v>
      </c>
      <c r="AM256" s="130">
        <v>0</v>
      </c>
      <c r="AN256" s="130">
        <v>0</v>
      </c>
      <c r="AO256" s="130">
        <v>0</v>
      </c>
      <c r="AP256" s="130">
        <v>0</v>
      </c>
      <c r="AQ256" s="130">
        <v>0</v>
      </c>
      <c r="AR256" s="130">
        <v>0</v>
      </c>
      <c r="AS256" s="130">
        <v>0</v>
      </c>
      <c r="AT256" s="130">
        <v>0</v>
      </c>
      <c r="AU256" s="130">
        <v>0</v>
      </c>
      <c r="AV256" s="130">
        <v>0</v>
      </c>
      <c r="AW256" s="130">
        <v>0</v>
      </c>
      <c r="AX256" s="130">
        <v>0</v>
      </c>
      <c r="AY256" s="130">
        <v>0</v>
      </c>
    </row>
    <row r="258" spans="1:52" x14ac:dyDescent="0.2">
      <c r="A258" s="107" t="s">
        <v>301</v>
      </c>
    </row>
    <row r="259" spans="1:52" x14ac:dyDescent="0.2">
      <c r="A259" s="142" t="s">
        <v>124</v>
      </c>
      <c r="B259" s="143">
        <v>650</v>
      </c>
      <c r="C259" s="129" t="s">
        <v>293</v>
      </c>
      <c r="D259" s="129">
        <f>E$14*$B$259</f>
        <v>90999.999999999942</v>
      </c>
      <c r="E259" s="129">
        <f t="shared" ref="E259:AX259" si="5">F$14*$B$259</f>
        <v>91000</v>
      </c>
      <c r="F259" s="129">
        <f t="shared" si="5"/>
        <v>91000</v>
      </c>
      <c r="G259" s="129">
        <f t="shared" si="5"/>
        <v>90999.999999999985</v>
      </c>
      <c r="H259" s="129">
        <f t="shared" si="5"/>
        <v>91000</v>
      </c>
      <c r="I259" s="129">
        <f t="shared" si="5"/>
        <v>70554.89896680777</v>
      </c>
      <c r="J259" s="129">
        <f t="shared" si="5"/>
        <v>52208.721460130488</v>
      </c>
      <c r="K259" s="129">
        <f t="shared" si="5"/>
        <v>52208.721460130488</v>
      </c>
      <c r="L259" s="129">
        <f t="shared" si="5"/>
        <v>52208.721460130488</v>
      </c>
      <c r="M259" s="129">
        <f t="shared" si="5"/>
        <v>52208.721460130488</v>
      </c>
      <c r="N259" s="129">
        <f t="shared" si="5"/>
        <v>52679.898966807748</v>
      </c>
      <c r="O259" s="129">
        <f t="shared" si="5"/>
        <v>56769.150152285787</v>
      </c>
      <c r="P259" s="129">
        <f t="shared" si="5"/>
        <v>52679.898966807748</v>
      </c>
      <c r="Q259" s="129">
        <f t="shared" si="5"/>
        <v>52679.898966807748</v>
      </c>
      <c r="R259" s="129">
        <f t="shared" si="5"/>
        <v>60910.697587119219</v>
      </c>
      <c r="S259" s="129">
        <f t="shared" si="5"/>
        <v>54107.550541042525</v>
      </c>
      <c r="T259" s="129">
        <f t="shared" si="5"/>
        <v>52679.898966807748</v>
      </c>
      <c r="U259" s="129">
        <f t="shared" si="5"/>
        <v>52679.898966807748</v>
      </c>
      <c r="V259" s="129">
        <f t="shared" si="5"/>
        <v>52208.721460130488</v>
      </c>
      <c r="W259" s="129">
        <f t="shared" si="5"/>
        <v>57064.492467107906</v>
      </c>
      <c r="X259" s="129">
        <f t="shared" si="5"/>
        <v>56032.505967235542</v>
      </c>
      <c r="Y259" s="129">
        <f t="shared" si="5"/>
        <v>52208.721460130488</v>
      </c>
      <c r="Z259" s="129">
        <f t="shared" si="5"/>
        <v>53151.076473485002</v>
      </c>
      <c r="AA259" s="129">
        <f t="shared" si="5"/>
        <v>53151.076473485002</v>
      </c>
      <c r="AB259" s="129">
        <f t="shared" si="5"/>
        <v>53151.076473485002</v>
      </c>
      <c r="AC259" s="129">
        <f t="shared" si="5"/>
        <v>53151.076473485002</v>
      </c>
      <c r="AD259" s="129">
        <f t="shared" si="5"/>
        <v>53081.62931524287</v>
      </c>
      <c r="AE259" s="129">
        <f t="shared" si="5"/>
        <v>52679.898966807748</v>
      </c>
      <c r="AF259" s="129">
        <f t="shared" si="5"/>
        <v>52679.898966807748</v>
      </c>
      <c r="AG259" s="129">
        <f t="shared" si="5"/>
        <v>52679.898966807748</v>
      </c>
      <c r="AH259" s="129">
        <f t="shared" si="5"/>
        <v>58666.233202805517</v>
      </c>
      <c r="AI259" s="129">
        <f t="shared" si="5"/>
        <v>55274.507182666326</v>
      </c>
      <c r="AJ259" s="129">
        <f t="shared" si="5"/>
        <v>52679.898966807748</v>
      </c>
      <c r="AK259" s="129">
        <f t="shared" si="5"/>
        <v>47968.1239000352</v>
      </c>
      <c r="AL259" s="129">
        <f t="shared" si="5"/>
        <v>54485.981042892345</v>
      </c>
      <c r="AM259" s="129">
        <f t="shared" si="5"/>
        <v>62397.653714340049</v>
      </c>
      <c r="AN259" s="129">
        <f t="shared" si="5"/>
        <v>56888.538425987579</v>
      </c>
      <c r="AO259" s="129">
        <f t="shared" si="5"/>
        <v>56888.538425987579</v>
      </c>
      <c r="AP259" s="129">
        <f t="shared" si="5"/>
        <v>63148.429687658092</v>
      </c>
      <c r="AQ259" s="129">
        <f t="shared" si="5"/>
        <v>57359.71593266484</v>
      </c>
      <c r="AR259" s="129">
        <f t="shared" si="5"/>
        <v>64510.465612836037</v>
      </c>
      <c r="AS259" s="129">
        <f t="shared" si="5"/>
        <v>64565.2391047571</v>
      </c>
      <c r="AT259" s="129">
        <f t="shared" si="5"/>
        <v>57359.715932664833</v>
      </c>
      <c r="AU259" s="129">
        <f t="shared" si="5"/>
        <v>57359.715932664833</v>
      </c>
      <c r="AV259" s="129">
        <f t="shared" si="5"/>
        <v>63644.1303310035</v>
      </c>
      <c r="AW259" s="129">
        <f t="shared" si="5"/>
        <v>57039.822269660282</v>
      </c>
      <c r="AX259" s="129">
        <f t="shared" si="5"/>
        <v>53151.076473485002</v>
      </c>
      <c r="AY259" s="129">
        <f>AZ$14*$B$259</f>
        <v>60358.084952200581</v>
      </c>
      <c r="AZ259" s="144">
        <f>SUM($D259:$AY259)</f>
        <v>2854562.6224771445</v>
      </c>
    </row>
    <row r="260" spans="1:52" x14ac:dyDescent="0.2">
      <c r="A260" s="145" t="s">
        <v>302</v>
      </c>
      <c r="B260" s="119">
        <v>60</v>
      </c>
      <c r="C260" s="130" t="s">
        <v>293</v>
      </c>
      <c r="D260" s="130">
        <f>(D$175-D$176+D$177-D$178+D$179-D$180+D$181-D$182)*$B$260</f>
        <v>38819.999999999956</v>
      </c>
      <c r="E260" s="130">
        <f t="shared" ref="E260:AY260" si="6">(E$175-E$176+E$177-E$178+E$179-E$180+E$181-E$182)*$B$260</f>
        <v>36420</v>
      </c>
      <c r="F260" s="130">
        <f t="shared" si="6"/>
        <v>43020</v>
      </c>
      <c r="G260" s="130">
        <f t="shared" si="6"/>
        <v>42539.999999999985</v>
      </c>
      <c r="H260" s="130">
        <f t="shared" si="6"/>
        <v>16500</v>
      </c>
      <c r="I260" s="130">
        <f t="shared" si="6"/>
        <v>2400</v>
      </c>
      <c r="J260" s="130">
        <f t="shared" si="6"/>
        <v>4262.4032021451585</v>
      </c>
      <c r="K260" s="130">
        <f t="shared" si="6"/>
        <v>3544.5145733064078</v>
      </c>
      <c r="L260" s="130">
        <f t="shared" si="6"/>
        <v>2170.9693298221327</v>
      </c>
      <c r="M260" s="130">
        <f t="shared" si="6"/>
        <v>5965.0818532695139</v>
      </c>
      <c r="N260" s="130">
        <f t="shared" si="6"/>
        <v>7781.5186485277036</v>
      </c>
      <c r="O260" s="130">
        <f t="shared" si="6"/>
        <v>1223.5969689567264</v>
      </c>
      <c r="P260" s="130">
        <f t="shared" si="6"/>
        <v>343.16235156622952</v>
      </c>
      <c r="Q260" s="130">
        <f t="shared" si="6"/>
        <v>7597.6602649028991</v>
      </c>
      <c r="R260" s="130">
        <f t="shared" si="6"/>
        <v>2555.6066974524538</v>
      </c>
      <c r="S260" s="130">
        <f t="shared" si="6"/>
        <v>5552.9208005177497</v>
      </c>
      <c r="T260" s="130">
        <f t="shared" si="6"/>
        <v>2259.7572946877608</v>
      </c>
      <c r="U260" s="130">
        <f t="shared" si="6"/>
        <v>0</v>
      </c>
      <c r="V260" s="130">
        <f t="shared" si="6"/>
        <v>5253.8608583244441</v>
      </c>
      <c r="W260" s="130">
        <f t="shared" si="6"/>
        <v>3822.7472578770403</v>
      </c>
      <c r="X260" s="130">
        <f t="shared" si="6"/>
        <v>5080.6012254740972</v>
      </c>
      <c r="Y260" s="130">
        <f t="shared" si="6"/>
        <v>1385.6006033817107</v>
      </c>
      <c r="Z260" s="130">
        <f t="shared" si="6"/>
        <v>161.48539367984085</v>
      </c>
      <c r="AA260" s="130">
        <f t="shared" si="6"/>
        <v>330.170478511277</v>
      </c>
      <c r="AB260" s="130">
        <f t="shared" si="6"/>
        <v>3.6269400129981477</v>
      </c>
      <c r="AC260" s="130">
        <f t="shared" si="6"/>
        <v>611.63032438361824</v>
      </c>
      <c r="AD260" s="130">
        <f t="shared" si="6"/>
        <v>2372.6852318276315</v>
      </c>
      <c r="AE260" s="130">
        <f t="shared" si="6"/>
        <v>1317.9905843067741</v>
      </c>
      <c r="AF260" s="130">
        <f t="shared" si="6"/>
        <v>3787.1747555386037</v>
      </c>
      <c r="AG260" s="130">
        <f t="shared" si="6"/>
        <v>11836.337133613513</v>
      </c>
      <c r="AH260" s="130">
        <f t="shared" si="6"/>
        <v>3104.2921644849594</v>
      </c>
      <c r="AI260" s="130">
        <f t="shared" si="6"/>
        <v>3349.7791409412594</v>
      </c>
      <c r="AJ260" s="130">
        <f t="shared" si="6"/>
        <v>2824.3982584776086</v>
      </c>
      <c r="AK260" s="130">
        <f t="shared" si="6"/>
        <v>1356.5184460772161</v>
      </c>
      <c r="AL260" s="130">
        <f t="shared" si="6"/>
        <v>9598.7654611895086</v>
      </c>
      <c r="AM260" s="130">
        <f t="shared" si="6"/>
        <v>0</v>
      </c>
      <c r="AN260" s="130">
        <f t="shared" si="6"/>
        <v>2132.6225366346625</v>
      </c>
      <c r="AO260" s="130">
        <f t="shared" si="6"/>
        <v>5343.4280815322363</v>
      </c>
      <c r="AP260" s="130">
        <f t="shared" si="6"/>
        <v>0</v>
      </c>
      <c r="AQ260" s="130">
        <f t="shared" si="6"/>
        <v>6600.6920124657263</v>
      </c>
      <c r="AR260" s="130">
        <f t="shared" si="6"/>
        <v>6823.9374331371482</v>
      </c>
      <c r="AS260" s="130">
        <f t="shared" si="6"/>
        <v>0</v>
      </c>
      <c r="AT260" s="130">
        <f t="shared" si="6"/>
        <v>4495.5103494655668</v>
      </c>
      <c r="AU260" s="130">
        <f t="shared" si="6"/>
        <v>12406.601642609019</v>
      </c>
      <c r="AV260" s="130">
        <f t="shared" si="6"/>
        <v>5656.0196766453191</v>
      </c>
      <c r="AW260" s="130">
        <f t="shared" si="6"/>
        <v>1974.4245429829948</v>
      </c>
      <c r="AX260" s="130">
        <f t="shared" si="6"/>
        <v>11764.491202444849</v>
      </c>
      <c r="AY260" s="130">
        <f t="shared" si="6"/>
        <v>2401.9266296477554</v>
      </c>
      <c r="AZ260" s="146">
        <f>SUM($D260:$AY260)</f>
        <v>338754.51035082212</v>
      </c>
    </row>
  </sheetData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283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9.4170016846718525</v>
      </c>
      <c r="AC6" s="105">
        <v>6429.9287502939405</v>
      </c>
      <c r="AD6" s="105">
        <v>0</v>
      </c>
      <c r="AE6" s="105">
        <v>0</v>
      </c>
      <c r="AF6" s="105">
        <v>0</v>
      </c>
      <c r="AG6" s="105">
        <v>0</v>
      </c>
      <c r="AH6" s="105">
        <v>7.9879916338513297</v>
      </c>
      <c r="AI6" s="105">
        <v>5454.2006875936877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4.8521921321288835</v>
      </c>
      <c r="AS6" s="105">
        <v>3313.0767878176016</v>
      </c>
      <c r="AT6" s="105">
        <v>0</v>
      </c>
      <c r="AU6" s="105">
        <v>0</v>
      </c>
      <c r="AV6" s="105">
        <v>0</v>
      </c>
      <c r="AW6" s="105">
        <v>0</v>
      </c>
      <c r="AX6" s="105">
        <v>0</v>
      </c>
      <c r="AY6" s="105">
        <v>0</v>
      </c>
      <c r="AZ6" s="105">
        <v>0</v>
      </c>
      <c r="BA6" s="105">
        <v>0</v>
      </c>
      <c r="BB6" s="105">
        <v>0</v>
      </c>
      <c r="BC6" s="105">
        <v>0</v>
      </c>
      <c r="BD6" s="105">
        <v>0</v>
      </c>
      <c r="BE6" s="105">
        <v>0</v>
      </c>
      <c r="BF6" s="105">
        <v>0</v>
      </c>
      <c r="BG6" s="105">
        <v>0</v>
      </c>
      <c r="BH6" s="105">
        <v>0</v>
      </c>
      <c r="BI6" s="105">
        <v>0</v>
      </c>
      <c r="BJ6" s="105">
        <v>0</v>
      </c>
      <c r="BK6" s="105">
        <v>0</v>
      </c>
      <c r="BL6" s="105">
        <v>0</v>
      </c>
      <c r="BM6" s="105">
        <v>0</v>
      </c>
      <c r="BN6" s="105">
        <v>0</v>
      </c>
      <c r="BO6" s="105">
        <v>0</v>
      </c>
      <c r="BP6" s="105">
        <v>0</v>
      </c>
      <c r="BQ6" s="105">
        <v>0</v>
      </c>
      <c r="BR6" s="105">
        <v>0</v>
      </c>
      <c r="BS6" s="105">
        <v>0</v>
      </c>
      <c r="BT6" s="105">
        <v>0</v>
      </c>
      <c r="BU6" s="105">
        <v>0</v>
      </c>
      <c r="BV6" s="105">
        <v>8.6532819320361318E-2</v>
      </c>
      <c r="BW6" s="105">
        <v>59.084609031942705</v>
      </c>
      <c r="BX6" s="105">
        <v>0</v>
      </c>
      <c r="BY6" s="105">
        <v>0</v>
      </c>
      <c r="BZ6" s="105">
        <v>0</v>
      </c>
      <c r="CA6" s="105">
        <v>0</v>
      </c>
      <c r="CB6" s="105">
        <v>0</v>
      </c>
      <c r="CC6" s="105">
        <v>0</v>
      </c>
      <c r="CD6" s="105">
        <v>0</v>
      </c>
      <c r="CE6" s="105">
        <v>0</v>
      </c>
      <c r="CF6" s="105">
        <v>0</v>
      </c>
      <c r="CG6" s="105">
        <v>0</v>
      </c>
      <c r="CH6" s="105">
        <v>0</v>
      </c>
      <c r="CI6" s="105">
        <v>0</v>
      </c>
      <c r="CJ6" s="105">
        <v>0</v>
      </c>
      <c r="CK6" s="105">
        <v>0</v>
      </c>
      <c r="CL6" s="105">
        <v>0</v>
      </c>
      <c r="CM6" s="105">
        <v>0</v>
      </c>
      <c r="CN6" s="105">
        <v>0</v>
      </c>
      <c r="CO6" s="105">
        <v>0</v>
      </c>
      <c r="CP6" s="105">
        <v>0</v>
      </c>
      <c r="CQ6" s="105">
        <v>0</v>
      </c>
      <c r="CR6" s="105">
        <v>0</v>
      </c>
      <c r="CS6" s="105">
        <v>0</v>
      </c>
      <c r="CT6" s="105">
        <v>0</v>
      </c>
      <c r="CU6" s="105">
        <v>0</v>
      </c>
    </row>
    <row r="7" spans="1:99" x14ac:dyDescent="0.2">
      <c r="C7" s="104" t="s">
        <v>173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8.6926169396970945</v>
      </c>
      <c r="AC7" s="105">
        <v>7499.9898955706531</v>
      </c>
      <c r="AD7" s="105">
        <v>0</v>
      </c>
      <c r="AE7" s="105">
        <v>0</v>
      </c>
      <c r="AF7" s="105">
        <v>0</v>
      </c>
      <c r="AG7" s="105">
        <v>0</v>
      </c>
      <c r="AH7" s="105">
        <v>9.0530571850315074</v>
      </c>
      <c r="AI7" s="105">
        <v>7810.9777392451842</v>
      </c>
      <c r="AJ7" s="105">
        <v>0</v>
      </c>
      <c r="AK7" s="105">
        <v>0</v>
      </c>
      <c r="AL7" s="105">
        <v>0</v>
      </c>
      <c r="AM7" s="105">
        <v>0</v>
      </c>
      <c r="AN7" s="105">
        <v>0</v>
      </c>
      <c r="AO7" s="105">
        <v>0</v>
      </c>
      <c r="AP7" s="105">
        <v>0</v>
      </c>
      <c r="AQ7" s="105">
        <v>0</v>
      </c>
      <c r="AR7" s="105">
        <v>5.2565414764729574</v>
      </c>
      <c r="AS7" s="105">
        <v>4535.3439859008677</v>
      </c>
      <c r="AT7" s="105">
        <v>0</v>
      </c>
      <c r="AU7" s="105">
        <v>0</v>
      </c>
      <c r="AV7" s="105">
        <v>0</v>
      </c>
      <c r="AW7" s="105">
        <v>0</v>
      </c>
      <c r="AX7" s="105">
        <v>0</v>
      </c>
      <c r="AY7" s="105">
        <v>0</v>
      </c>
      <c r="AZ7" s="105">
        <v>0</v>
      </c>
      <c r="BA7" s="105">
        <v>0</v>
      </c>
      <c r="BB7" s="105">
        <v>0</v>
      </c>
      <c r="BC7" s="105">
        <v>0</v>
      </c>
      <c r="BD7" s="105">
        <v>0</v>
      </c>
      <c r="BE7" s="105">
        <v>0</v>
      </c>
      <c r="BF7" s="105">
        <v>0</v>
      </c>
      <c r="BG7" s="105">
        <v>0</v>
      </c>
      <c r="BH7" s="105">
        <v>0</v>
      </c>
      <c r="BI7" s="105">
        <v>0</v>
      </c>
      <c r="BJ7" s="105">
        <v>0</v>
      </c>
      <c r="BK7" s="105">
        <v>0</v>
      </c>
      <c r="BL7" s="105">
        <v>0</v>
      </c>
      <c r="BM7" s="105">
        <v>0</v>
      </c>
      <c r="BN7" s="105">
        <v>0</v>
      </c>
      <c r="BO7" s="105">
        <v>0</v>
      </c>
      <c r="BP7" s="105">
        <v>0</v>
      </c>
      <c r="BQ7" s="105">
        <v>0</v>
      </c>
      <c r="BR7" s="105">
        <v>0</v>
      </c>
      <c r="BS7" s="105">
        <v>0</v>
      </c>
      <c r="BT7" s="105">
        <v>0</v>
      </c>
      <c r="BU7" s="105">
        <v>0</v>
      </c>
      <c r="BV7" s="105">
        <v>7.787953738832519E-2</v>
      </c>
      <c r="BW7" s="105">
        <v>67.194464858646967</v>
      </c>
      <c r="BX7" s="105">
        <v>0</v>
      </c>
      <c r="BY7" s="105">
        <v>0</v>
      </c>
      <c r="BZ7" s="105">
        <v>0</v>
      </c>
      <c r="CA7" s="105">
        <v>0</v>
      </c>
      <c r="CB7" s="105">
        <v>0</v>
      </c>
      <c r="CC7" s="105">
        <v>0</v>
      </c>
      <c r="CD7" s="105">
        <v>0</v>
      </c>
      <c r="CE7" s="105">
        <v>0</v>
      </c>
      <c r="CF7" s="105">
        <v>0</v>
      </c>
      <c r="CG7" s="105">
        <v>0</v>
      </c>
      <c r="CH7" s="105">
        <v>0</v>
      </c>
      <c r="CI7" s="105">
        <v>0</v>
      </c>
      <c r="CJ7" s="105">
        <v>0</v>
      </c>
      <c r="CK7" s="105">
        <v>0</v>
      </c>
      <c r="CL7" s="105">
        <v>0</v>
      </c>
      <c r="CM7" s="105">
        <v>0</v>
      </c>
      <c r="CN7" s="105">
        <v>0</v>
      </c>
      <c r="CO7" s="105">
        <v>0</v>
      </c>
      <c r="CP7" s="105">
        <v>0</v>
      </c>
      <c r="CQ7" s="105">
        <v>0</v>
      </c>
      <c r="CR7" s="105">
        <v>0</v>
      </c>
      <c r="CS7" s="105">
        <v>0</v>
      </c>
      <c r="CT7" s="105">
        <v>0</v>
      </c>
      <c r="CU7" s="105">
        <v>0</v>
      </c>
    </row>
    <row r="8" spans="1:99" x14ac:dyDescent="0.2">
      <c r="C8" s="104" t="s">
        <v>174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</v>
      </c>
      <c r="J8" s="105">
        <v>0</v>
      </c>
      <c r="K8" s="105">
        <v>0</v>
      </c>
      <c r="L8" s="105">
        <v>0</v>
      </c>
      <c r="M8" s="105">
        <v>0</v>
      </c>
      <c r="N8" s="105">
        <v>0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8.6926169396970945</v>
      </c>
      <c r="AC8" s="105">
        <v>2847.701309444768</v>
      </c>
      <c r="AD8" s="105">
        <v>0</v>
      </c>
      <c r="AE8" s="105">
        <v>0</v>
      </c>
      <c r="AF8" s="105">
        <v>0</v>
      </c>
      <c r="AG8" s="105">
        <v>0</v>
      </c>
      <c r="AH8" s="105">
        <v>8.5205244094414176</v>
      </c>
      <c r="AI8" s="105">
        <v>2791.3237965330081</v>
      </c>
      <c r="AJ8" s="105">
        <v>0</v>
      </c>
      <c r="AK8" s="105">
        <v>0</v>
      </c>
      <c r="AL8" s="105">
        <v>0</v>
      </c>
      <c r="AM8" s="105">
        <v>0</v>
      </c>
      <c r="AN8" s="105">
        <v>0</v>
      </c>
      <c r="AO8" s="105">
        <v>0</v>
      </c>
      <c r="AP8" s="105">
        <v>0</v>
      </c>
      <c r="AQ8" s="105">
        <v>0</v>
      </c>
      <c r="AR8" s="105">
        <v>4.8521921321288835</v>
      </c>
      <c r="AS8" s="105">
        <v>1589.5781424854219</v>
      </c>
      <c r="AT8" s="105">
        <v>0</v>
      </c>
      <c r="AU8" s="105">
        <v>0</v>
      </c>
      <c r="AV8" s="105">
        <v>0</v>
      </c>
      <c r="AW8" s="105">
        <v>0</v>
      </c>
      <c r="AX8" s="105">
        <v>0</v>
      </c>
      <c r="AY8" s="105">
        <v>0</v>
      </c>
      <c r="AZ8" s="105">
        <v>0</v>
      </c>
      <c r="BA8" s="105">
        <v>0</v>
      </c>
      <c r="BB8" s="105">
        <v>0</v>
      </c>
      <c r="BC8" s="105">
        <v>0</v>
      </c>
      <c r="BD8" s="105">
        <v>0</v>
      </c>
      <c r="BE8" s="105">
        <v>0</v>
      </c>
      <c r="BF8" s="105">
        <v>0</v>
      </c>
      <c r="BG8" s="105">
        <v>0</v>
      </c>
      <c r="BH8" s="105">
        <v>0</v>
      </c>
      <c r="BI8" s="105">
        <v>0</v>
      </c>
      <c r="BJ8" s="105">
        <v>0</v>
      </c>
      <c r="BK8" s="105">
        <v>0</v>
      </c>
      <c r="BL8" s="105">
        <v>0</v>
      </c>
      <c r="BM8" s="105">
        <v>0</v>
      </c>
      <c r="BN8" s="105">
        <v>0</v>
      </c>
      <c r="BO8" s="105">
        <v>0</v>
      </c>
      <c r="BP8" s="105">
        <v>0</v>
      </c>
      <c r="BQ8" s="105">
        <v>0</v>
      </c>
      <c r="BR8" s="105">
        <v>0</v>
      </c>
      <c r="BS8" s="105">
        <v>0</v>
      </c>
      <c r="BT8" s="105">
        <v>0</v>
      </c>
      <c r="BU8" s="105">
        <v>0</v>
      </c>
      <c r="BV8" s="105">
        <v>7.787953738832519E-2</v>
      </c>
      <c r="BW8" s="105">
        <v>25.51333644841533</v>
      </c>
      <c r="BX8" s="105">
        <v>0</v>
      </c>
      <c r="BY8" s="105">
        <v>0</v>
      </c>
      <c r="BZ8" s="105">
        <v>0</v>
      </c>
      <c r="CA8" s="105">
        <v>0</v>
      </c>
      <c r="CB8" s="105">
        <v>0</v>
      </c>
      <c r="CC8" s="105">
        <v>0</v>
      </c>
      <c r="CD8" s="105">
        <v>0</v>
      </c>
      <c r="CE8" s="105">
        <v>0</v>
      </c>
      <c r="CF8" s="105">
        <v>0</v>
      </c>
      <c r="CG8" s="105">
        <v>0</v>
      </c>
      <c r="CH8" s="105">
        <v>0</v>
      </c>
      <c r="CI8" s="105">
        <v>0</v>
      </c>
      <c r="CJ8" s="105">
        <v>0</v>
      </c>
      <c r="CK8" s="105">
        <v>0</v>
      </c>
      <c r="CL8" s="105">
        <v>0</v>
      </c>
      <c r="CM8" s="105">
        <v>0</v>
      </c>
      <c r="CN8" s="105">
        <v>0</v>
      </c>
      <c r="CO8" s="105">
        <v>0</v>
      </c>
      <c r="CP8" s="105">
        <v>0</v>
      </c>
      <c r="CQ8" s="105">
        <v>0</v>
      </c>
      <c r="CR8" s="105">
        <v>0</v>
      </c>
      <c r="CS8" s="105">
        <v>0</v>
      </c>
      <c r="CT8" s="105">
        <v>0</v>
      </c>
      <c r="CU8" s="105">
        <v>0</v>
      </c>
    </row>
    <row r="9" spans="1:99" x14ac:dyDescent="0.2">
      <c r="C9" s="104" t="s">
        <v>175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0</v>
      </c>
      <c r="Q9" s="105">
        <v>0</v>
      </c>
      <c r="R9" s="105">
        <v>0</v>
      </c>
      <c r="S9" s="105">
        <v>0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7.9682321947223373</v>
      </c>
      <c r="AC9" s="105">
        <v>6396.896805923092</v>
      </c>
      <c r="AD9" s="105">
        <v>0</v>
      </c>
      <c r="AE9" s="105">
        <v>0</v>
      </c>
      <c r="AF9" s="105">
        <v>0</v>
      </c>
      <c r="AG9" s="105">
        <v>0</v>
      </c>
      <c r="AH9" s="105">
        <v>9.0530571850315074</v>
      </c>
      <c r="AI9" s="105">
        <v>7267.7943081432941</v>
      </c>
      <c r="AJ9" s="105">
        <v>0</v>
      </c>
      <c r="AK9" s="105">
        <v>0</v>
      </c>
      <c r="AL9" s="105">
        <v>0</v>
      </c>
      <c r="AM9" s="105">
        <v>0</v>
      </c>
      <c r="AN9" s="105">
        <v>0</v>
      </c>
      <c r="AO9" s="105">
        <v>0</v>
      </c>
      <c r="AP9" s="105">
        <v>0</v>
      </c>
      <c r="AQ9" s="105">
        <v>0</v>
      </c>
      <c r="AR9" s="105">
        <v>5.6608908208170314</v>
      </c>
      <c r="AS9" s="105">
        <v>4544.5631509519126</v>
      </c>
      <c r="AT9" s="105">
        <v>0</v>
      </c>
      <c r="AU9" s="105">
        <v>0</v>
      </c>
      <c r="AV9" s="105">
        <v>0</v>
      </c>
      <c r="AW9" s="105">
        <v>0</v>
      </c>
      <c r="AX9" s="105">
        <v>0</v>
      </c>
      <c r="AY9" s="105">
        <v>0</v>
      </c>
      <c r="AZ9" s="105">
        <v>0</v>
      </c>
      <c r="BA9" s="105">
        <v>0</v>
      </c>
      <c r="BB9" s="105">
        <v>0</v>
      </c>
      <c r="BC9" s="105">
        <v>0</v>
      </c>
      <c r="BD9" s="105">
        <v>0</v>
      </c>
      <c r="BE9" s="105">
        <v>0</v>
      </c>
      <c r="BF9" s="105">
        <v>0</v>
      </c>
      <c r="BG9" s="105">
        <v>0</v>
      </c>
      <c r="BH9" s="105">
        <v>0</v>
      </c>
      <c r="BI9" s="105">
        <v>0</v>
      </c>
      <c r="BJ9" s="105">
        <v>0</v>
      </c>
      <c r="BK9" s="105">
        <v>0</v>
      </c>
      <c r="BL9" s="105">
        <v>0</v>
      </c>
      <c r="BM9" s="105">
        <v>0</v>
      </c>
      <c r="BN9" s="105">
        <v>0</v>
      </c>
      <c r="BO9" s="105">
        <v>0</v>
      </c>
      <c r="BP9" s="105">
        <v>0</v>
      </c>
      <c r="BQ9" s="105">
        <v>0</v>
      </c>
      <c r="BR9" s="105">
        <v>0</v>
      </c>
      <c r="BS9" s="105">
        <v>0</v>
      </c>
      <c r="BT9" s="105">
        <v>0</v>
      </c>
      <c r="BU9" s="105">
        <v>0</v>
      </c>
      <c r="BV9" s="105">
        <v>8.6532819320361318E-2</v>
      </c>
      <c r="BW9" s="105">
        <v>69.468547350386061</v>
      </c>
      <c r="BX9" s="105">
        <v>0</v>
      </c>
      <c r="BY9" s="105">
        <v>0</v>
      </c>
      <c r="BZ9" s="105">
        <v>0</v>
      </c>
      <c r="CA9" s="105">
        <v>0</v>
      </c>
      <c r="CB9" s="105">
        <v>0</v>
      </c>
      <c r="CC9" s="105">
        <v>0</v>
      </c>
      <c r="CD9" s="105">
        <v>0</v>
      </c>
      <c r="CE9" s="105">
        <v>0</v>
      </c>
      <c r="CF9" s="105">
        <v>0</v>
      </c>
      <c r="CG9" s="105">
        <v>0</v>
      </c>
      <c r="CH9" s="105">
        <v>0</v>
      </c>
      <c r="CI9" s="105">
        <v>0</v>
      </c>
      <c r="CJ9" s="105">
        <v>0</v>
      </c>
      <c r="CK9" s="105">
        <v>0</v>
      </c>
      <c r="CL9" s="105">
        <v>0</v>
      </c>
      <c r="CM9" s="105">
        <v>0</v>
      </c>
      <c r="CN9" s="105">
        <v>0</v>
      </c>
      <c r="CO9" s="105">
        <v>0</v>
      </c>
      <c r="CP9" s="105">
        <v>0</v>
      </c>
      <c r="CQ9" s="105">
        <v>0</v>
      </c>
      <c r="CR9" s="105">
        <v>0</v>
      </c>
      <c r="CS9" s="105">
        <v>0</v>
      </c>
      <c r="CT9" s="105">
        <v>0</v>
      </c>
      <c r="CU9" s="105">
        <v>0</v>
      </c>
    </row>
    <row r="10" spans="1:99" x14ac:dyDescent="0.2">
      <c r="C10" s="104" t="s">
        <v>176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0</v>
      </c>
      <c r="Q10" s="105">
        <v>0</v>
      </c>
      <c r="R10" s="105">
        <v>0</v>
      </c>
      <c r="S10" s="105">
        <v>0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9.4170016846718525</v>
      </c>
      <c r="AC10" s="105">
        <v>5243.3865380252873</v>
      </c>
      <c r="AD10" s="105">
        <v>0</v>
      </c>
      <c r="AE10" s="105">
        <v>0</v>
      </c>
      <c r="AF10" s="105">
        <v>0</v>
      </c>
      <c r="AG10" s="105">
        <v>0</v>
      </c>
      <c r="AH10" s="105">
        <v>9.0530571850315074</v>
      </c>
      <c r="AI10" s="105">
        <v>5040.7422406255428</v>
      </c>
      <c r="AJ10" s="105">
        <v>0</v>
      </c>
      <c r="AK10" s="105">
        <v>0</v>
      </c>
      <c r="AL10" s="105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0</v>
      </c>
      <c r="AR10" s="105">
        <v>5.6608908208170314</v>
      </c>
      <c r="AS10" s="105">
        <v>3151.9840090309231</v>
      </c>
      <c r="AT10" s="105">
        <v>0</v>
      </c>
      <c r="AU10" s="105">
        <v>0</v>
      </c>
      <c r="AV10" s="105">
        <v>0</v>
      </c>
      <c r="AW10" s="105">
        <v>0</v>
      </c>
      <c r="AX10" s="105">
        <v>0</v>
      </c>
      <c r="AY10" s="105">
        <v>0</v>
      </c>
      <c r="AZ10" s="105">
        <v>0</v>
      </c>
      <c r="BA10" s="105">
        <v>0</v>
      </c>
      <c r="BB10" s="105">
        <v>0</v>
      </c>
      <c r="BC10" s="105">
        <v>0</v>
      </c>
      <c r="BD10" s="105">
        <v>0</v>
      </c>
      <c r="BE10" s="105">
        <v>0</v>
      </c>
      <c r="BF10" s="105">
        <v>0</v>
      </c>
      <c r="BG10" s="105">
        <v>0</v>
      </c>
      <c r="BH10" s="105">
        <v>0</v>
      </c>
      <c r="BI10" s="105">
        <v>0</v>
      </c>
      <c r="BJ10" s="105">
        <v>0</v>
      </c>
      <c r="BK10" s="105">
        <v>0</v>
      </c>
      <c r="BL10" s="105">
        <v>0</v>
      </c>
      <c r="BM10" s="105">
        <v>0</v>
      </c>
      <c r="BN10" s="105">
        <v>0</v>
      </c>
      <c r="BO10" s="105">
        <v>0</v>
      </c>
      <c r="BP10" s="105">
        <v>0</v>
      </c>
      <c r="BQ10" s="105">
        <v>0</v>
      </c>
      <c r="BR10" s="105">
        <v>0</v>
      </c>
      <c r="BS10" s="105">
        <v>0</v>
      </c>
      <c r="BT10" s="105">
        <v>0</v>
      </c>
      <c r="BU10" s="105">
        <v>0</v>
      </c>
      <c r="BV10" s="105">
        <v>8.6532819320361318E-2</v>
      </c>
      <c r="BW10" s="105">
        <v>48.181473797577176</v>
      </c>
      <c r="BX10" s="105">
        <v>0</v>
      </c>
      <c r="BY10" s="105">
        <v>0</v>
      </c>
      <c r="BZ10" s="105">
        <v>0</v>
      </c>
      <c r="CA10" s="105">
        <v>0</v>
      </c>
      <c r="CB10" s="105">
        <v>0</v>
      </c>
      <c r="CC10" s="105">
        <v>0</v>
      </c>
      <c r="CD10" s="105">
        <v>0</v>
      </c>
      <c r="CE10" s="105">
        <v>0</v>
      </c>
      <c r="CF10" s="105">
        <v>0</v>
      </c>
      <c r="CG10" s="105">
        <v>0</v>
      </c>
      <c r="CH10" s="105">
        <v>0</v>
      </c>
      <c r="CI10" s="105">
        <v>0</v>
      </c>
      <c r="CJ10" s="105">
        <v>0</v>
      </c>
      <c r="CK10" s="105">
        <v>0</v>
      </c>
      <c r="CL10" s="105">
        <v>0</v>
      </c>
      <c r="CM10" s="105">
        <v>0</v>
      </c>
      <c r="CN10" s="105">
        <v>0</v>
      </c>
      <c r="CO10" s="105">
        <v>0</v>
      </c>
      <c r="CP10" s="105">
        <v>0</v>
      </c>
      <c r="CQ10" s="105">
        <v>0</v>
      </c>
      <c r="CR10" s="105">
        <v>0</v>
      </c>
      <c r="CS10" s="105">
        <v>0</v>
      </c>
      <c r="CT10" s="105">
        <v>0</v>
      </c>
      <c r="CU10" s="105">
        <v>0</v>
      </c>
    </row>
    <row r="11" spans="1:99" x14ac:dyDescent="0.2">
      <c r="C11" s="104" t="s">
        <v>177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7.9682321947223373</v>
      </c>
      <c r="AC11" s="105">
        <v>4771.3774381997355</v>
      </c>
      <c r="AD11" s="105">
        <v>0</v>
      </c>
      <c r="AE11" s="105">
        <v>0</v>
      </c>
      <c r="AF11" s="105">
        <v>0</v>
      </c>
      <c r="AG11" s="105">
        <v>0</v>
      </c>
      <c r="AH11" s="105">
        <v>9.0530571850315074</v>
      </c>
      <c r="AI11" s="105">
        <v>5420.9706423968664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  <c r="AR11" s="105">
        <v>4.8521921321288835</v>
      </c>
      <c r="AS11" s="105">
        <v>2905.4926487187754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  <c r="AY11" s="105">
        <v>0</v>
      </c>
      <c r="AZ11" s="105">
        <v>0</v>
      </c>
      <c r="BA11" s="105">
        <v>0</v>
      </c>
      <c r="BB11" s="105">
        <v>0</v>
      </c>
      <c r="BC11" s="105">
        <v>0</v>
      </c>
      <c r="BD11" s="105">
        <v>0</v>
      </c>
      <c r="BE11" s="105">
        <v>0</v>
      </c>
      <c r="BF11" s="105">
        <v>0</v>
      </c>
      <c r="BG11" s="105">
        <v>0</v>
      </c>
      <c r="BH11" s="105">
        <v>0</v>
      </c>
      <c r="BI11" s="105">
        <v>0</v>
      </c>
      <c r="BJ11" s="105">
        <v>0</v>
      </c>
      <c r="BK11" s="105">
        <v>0</v>
      </c>
      <c r="BL11" s="105">
        <v>0</v>
      </c>
      <c r="BM11" s="105">
        <v>0</v>
      </c>
      <c r="BN11" s="105">
        <v>0</v>
      </c>
      <c r="BO11" s="105">
        <v>0</v>
      </c>
      <c r="BP11" s="105">
        <v>0</v>
      </c>
      <c r="BQ11" s="105">
        <v>0</v>
      </c>
      <c r="BR11" s="105">
        <v>0</v>
      </c>
      <c r="BS11" s="105">
        <v>0</v>
      </c>
      <c r="BT11" s="105">
        <v>0</v>
      </c>
      <c r="BU11" s="105">
        <v>0</v>
      </c>
      <c r="BV11" s="105">
        <v>7.3552896422307126E-2</v>
      </c>
      <c r="BW11" s="105">
        <v>44.043474377677505</v>
      </c>
      <c r="BX11" s="105">
        <v>0</v>
      </c>
      <c r="BY11" s="105">
        <v>0</v>
      </c>
      <c r="BZ11" s="105">
        <v>0</v>
      </c>
      <c r="CA11" s="105">
        <v>0</v>
      </c>
      <c r="CB11" s="105">
        <v>0</v>
      </c>
      <c r="CC11" s="105">
        <v>0</v>
      </c>
      <c r="CD11" s="105">
        <v>0</v>
      </c>
      <c r="CE11" s="105">
        <v>0</v>
      </c>
      <c r="CF11" s="105">
        <v>0</v>
      </c>
      <c r="CG11" s="105">
        <v>0</v>
      </c>
      <c r="CH11" s="105">
        <v>0</v>
      </c>
      <c r="CI11" s="105">
        <v>0</v>
      </c>
      <c r="CJ11" s="105">
        <v>0</v>
      </c>
      <c r="CK11" s="105">
        <v>0</v>
      </c>
      <c r="CL11" s="105">
        <v>0</v>
      </c>
      <c r="CM11" s="105">
        <v>0</v>
      </c>
      <c r="CN11" s="105">
        <v>0</v>
      </c>
      <c r="CO11" s="105">
        <v>0</v>
      </c>
      <c r="CP11" s="105">
        <v>0</v>
      </c>
      <c r="CQ11" s="105">
        <v>0</v>
      </c>
      <c r="CR11" s="105">
        <v>0</v>
      </c>
      <c r="CS11" s="105">
        <v>0</v>
      </c>
      <c r="CT11" s="105">
        <v>0</v>
      </c>
      <c r="CU11" s="105">
        <v>0</v>
      </c>
    </row>
    <row r="12" spans="1:99" x14ac:dyDescent="0.2">
      <c r="C12" s="104" t="s">
        <v>178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7.9682321947223373</v>
      </c>
      <c r="AC12" s="105">
        <v>4819.1868313680689</v>
      </c>
      <c r="AD12" s="105">
        <v>0</v>
      </c>
      <c r="AE12" s="105">
        <v>0</v>
      </c>
      <c r="AF12" s="105">
        <v>0</v>
      </c>
      <c r="AG12" s="105">
        <v>0</v>
      </c>
      <c r="AH12" s="105">
        <v>8.5205244094414176</v>
      </c>
      <c r="AI12" s="105">
        <v>5153.2131628301686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0</v>
      </c>
      <c r="AP12" s="105">
        <v>0</v>
      </c>
      <c r="AQ12" s="105">
        <v>0</v>
      </c>
      <c r="AR12" s="105">
        <v>5.6608908208170314</v>
      </c>
      <c r="AS12" s="105">
        <v>3423.7067684301405</v>
      </c>
      <c r="AT12" s="105">
        <v>0</v>
      </c>
      <c r="AU12" s="105">
        <v>0</v>
      </c>
      <c r="AV12" s="105">
        <v>0</v>
      </c>
      <c r="AW12" s="105">
        <v>0</v>
      </c>
      <c r="AX12" s="105">
        <v>0</v>
      </c>
      <c r="AY12" s="105">
        <v>0</v>
      </c>
      <c r="AZ12" s="105">
        <v>0</v>
      </c>
      <c r="BA12" s="105">
        <v>0</v>
      </c>
      <c r="BB12" s="105">
        <v>0</v>
      </c>
      <c r="BC12" s="105">
        <v>0</v>
      </c>
      <c r="BD12" s="105">
        <v>0</v>
      </c>
      <c r="BE12" s="105">
        <v>0</v>
      </c>
      <c r="BF12" s="105">
        <v>0</v>
      </c>
      <c r="BG12" s="105">
        <v>0</v>
      </c>
      <c r="BH12" s="105">
        <v>0</v>
      </c>
      <c r="BI12" s="105">
        <v>0</v>
      </c>
      <c r="BJ12" s="105">
        <v>0</v>
      </c>
      <c r="BK12" s="105">
        <v>0</v>
      </c>
      <c r="BL12" s="105">
        <v>0</v>
      </c>
      <c r="BM12" s="105">
        <v>0</v>
      </c>
      <c r="BN12" s="105">
        <v>0</v>
      </c>
      <c r="BO12" s="105">
        <v>0</v>
      </c>
      <c r="BP12" s="105">
        <v>0</v>
      </c>
      <c r="BQ12" s="105">
        <v>0</v>
      </c>
      <c r="BR12" s="105">
        <v>0</v>
      </c>
      <c r="BS12" s="105">
        <v>0</v>
      </c>
      <c r="BT12" s="105">
        <v>0</v>
      </c>
      <c r="BU12" s="105">
        <v>0</v>
      </c>
      <c r="BV12" s="105">
        <v>9.0859460286379395E-2</v>
      </c>
      <c r="BW12" s="105">
        <v>54.951801581202254</v>
      </c>
      <c r="BX12" s="105">
        <v>0</v>
      </c>
      <c r="BY12" s="105">
        <v>0</v>
      </c>
      <c r="BZ12" s="105">
        <v>0</v>
      </c>
      <c r="CA12" s="105">
        <v>0</v>
      </c>
      <c r="CB12" s="105">
        <v>0</v>
      </c>
      <c r="CC12" s="105">
        <v>0</v>
      </c>
      <c r="CD12" s="105">
        <v>0</v>
      </c>
      <c r="CE12" s="105">
        <v>0</v>
      </c>
      <c r="CF12" s="105">
        <v>0</v>
      </c>
      <c r="CG12" s="105">
        <v>0</v>
      </c>
      <c r="CH12" s="105">
        <v>0</v>
      </c>
      <c r="CI12" s="105">
        <v>0</v>
      </c>
      <c r="CJ12" s="105">
        <v>0</v>
      </c>
      <c r="CK12" s="105">
        <v>0</v>
      </c>
      <c r="CL12" s="105">
        <v>0</v>
      </c>
      <c r="CM12" s="105">
        <v>0</v>
      </c>
      <c r="CN12" s="105">
        <v>0</v>
      </c>
      <c r="CO12" s="105">
        <v>0</v>
      </c>
      <c r="CP12" s="105">
        <v>0</v>
      </c>
      <c r="CQ12" s="105">
        <v>0</v>
      </c>
      <c r="CR12" s="105">
        <v>0</v>
      </c>
      <c r="CS12" s="105">
        <v>0</v>
      </c>
      <c r="CT12" s="105">
        <v>0</v>
      </c>
      <c r="CU12" s="105">
        <v>0</v>
      </c>
    </row>
    <row r="13" spans="1:99" x14ac:dyDescent="0.2">
      <c r="C13" s="104" t="s">
        <v>179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8.6926169396970945</v>
      </c>
      <c r="AC13" s="105">
        <v>1449.9285055414753</v>
      </c>
      <c r="AD13" s="105">
        <v>0</v>
      </c>
      <c r="AE13" s="105">
        <v>0</v>
      </c>
      <c r="AF13" s="105">
        <v>0</v>
      </c>
      <c r="AG13" s="105">
        <v>0</v>
      </c>
      <c r="AH13" s="105">
        <v>9.0530571850315074</v>
      </c>
      <c r="AI13" s="105">
        <v>1510.0499384632553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  <c r="AR13" s="105">
        <v>5.2565414764729574</v>
      </c>
      <c r="AS13" s="105">
        <v>876.7911182756892</v>
      </c>
      <c r="AT13" s="105">
        <v>0</v>
      </c>
      <c r="AU13" s="105">
        <v>0</v>
      </c>
      <c r="AV13" s="105">
        <v>0</v>
      </c>
      <c r="AW13" s="105">
        <v>0</v>
      </c>
      <c r="AX13" s="105">
        <v>0</v>
      </c>
      <c r="AY13" s="105">
        <v>0</v>
      </c>
      <c r="AZ13" s="105">
        <v>0</v>
      </c>
      <c r="BA13" s="105">
        <v>0</v>
      </c>
      <c r="BB13" s="105">
        <v>0</v>
      </c>
      <c r="BC13" s="105">
        <v>0</v>
      </c>
      <c r="BD13" s="105">
        <v>0</v>
      </c>
      <c r="BE13" s="105">
        <v>0</v>
      </c>
      <c r="BF13" s="105">
        <v>0</v>
      </c>
      <c r="BG13" s="105">
        <v>0</v>
      </c>
      <c r="BH13" s="105">
        <v>0</v>
      </c>
      <c r="BI13" s="105">
        <v>0</v>
      </c>
      <c r="BJ13" s="105">
        <v>0</v>
      </c>
      <c r="BK13" s="105">
        <v>0</v>
      </c>
      <c r="BL13" s="105">
        <v>0</v>
      </c>
      <c r="BM13" s="105">
        <v>0</v>
      </c>
      <c r="BN13" s="105">
        <v>0</v>
      </c>
      <c r="BO13" s="105">
        <v>0</v>
      </c>
      <c r="BP13" s="105">
        <v>0</v>
      </c>
      <c r="BQ13" s="105">
        <v>0</v>
      </c>
      <c r="BR13" s="105">
        <v>0</v>
      </c>
      <c r="BS13" s="105">
        <v>0</v>
      </c>
      <c r="BT13" s="105">
        <v>0</v>
      </c>
      <c r="BU13" s="105">
        <v>0</v>
      </c>
      <c r="BV13" s="105">
        <v>9.5186101252397445E-2</v>
      </c>
      <c r="BW13" s="105">
        <v>15.877041688899892</v>
      </c>
      <c r="BX13" s="105">
        <v>0</v>
      </c>
      <c r="BY13" s="105">
        <v>0</v>
      </c>
      <c r="BZ13" s="105">
        <v>0</v>
      </c>
      <c r="CA13" s="105">
        <v>0</v>
      </c>
      <c r="CB13" s="105">
        <v>0</v>
      </c>
      <c r="CC13" s="105">
        <v>0</v>
      </c>
      <c r="CD13" s="105">
        <v>0</v>
      </c>
      <c r="CE13" s="105">
        <v>0</v>
      </c>
      <c r="CF13" s="105">
        <v>0</v>
      </c>
      <c r="CG13" s="105">
        <v>0</v>
      </c>
      <c r="CH13" s="105">
        <v>0</v>
      </c>
      <c r="CI13" s="105">
        <v>0</v>
      </c>
      <c r="CJ13" s="105">
        <v>0</v>
      </c>
      <c r="CK13" s="105">
        <v>0</v>
      </c>
      <c r="CL13" s="105">
        <v>0</v>
      </c>
      <c r="CM13" s="105">
        <v>0</v>
      </c>
      <c r="CN13" s="105">
        <v>0</v>
      </c>
      <c r="CO13" s="105">
        <v>0</v>
      </c>
      <c r="CP13" s="105">
        <v>0</v>
      </c>
      <c r="CQ13" s="105">
        <v>0</v>
      </c>
      <c r="CR13" s="105">
        <v>0</v>
      </c>
      <c r="CS13" s="105">
        <v>0</v>
      </c>
      <c r="CT13" s="105">
        <v>0</v>
      </c>
      <c r="CU13" s="105">
        <v>0</v>
      </c>
    </row>
    <row r="14" spans="1:99" x14ac:dyDescent="0.2">
      <c r="C14" s="104" t="s">
        <v>180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7.9682321947223373</v>
      </c>
      <c r="AC14" s="105">
        <v>3977.7415116053908</v>
      </c>
      <c r="AD14" s="105">
        <v>0</v>
      </c>
      <c r="AE14" s="105">
        <v>0</v>
      </c>
      <c r="AF14" s="105">
        <v>0</v>
      </c>
      <c r="AG14" s="105">
        <v>0</v>
      </c>
      <c r="AH14" s="105">
        <v>8.5205244094414176</v>
      </c>
      <c r="AI14" s="105">
        <v>4253.4457851931556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  <c r="AR14" s="105">
        <v>5.6608908208170314</v>
      </c>
      <c r="AS14" s="105">
        <v>2825.9166977518621</v>
      </c>
      <c r="AT14" s="105">
        <v>0</v>
      </c>
      <c r="AU14" s="105">
        <v>0</v>
      </c>
      <c r="AV14" s="105">
        <v>0</v>
      </c>
      <c r="AW14" s="105">
        <v>0</v>
      </c>
      <c r="AX14" s="105">
        <v>0</v>
      </c>
      <c r="AY14" s="105">
        <v>0</v>
      </c>
      <c r="AZ14" s="105">
        <v>0</v>
      </c>
      <c r="BA14" s="105">
        <v>0</v>
      </c>
      <c r="BB14" s="105">
        <v>0</v>
      </c>
      <c r="BC14" s="105">
        <v>0</v>
      </c>
      <c r="BD14" s="105">
        <v>0</v>
      </c>
      <c r="BE14" s="105">
        <v>0</v>
      </c>
      <c r="BF14" s="105">
        <v>0</v>
      </c>
      <c r="BG14" s="105">
        <v>0</v>
      </c>
      <c r="BH14" s="105">
        <v>0</v>
      </c>
      <c r="BI14" s="105">
        <v>0</v>
      </c>
      <c r="BJ14" s="105">
        <v>0</v>
      </c>
      <c r="BK14" s="105">
        <v>0</v>
      </c>
      <c r="BL14" s="105">
        <v>0</v>
      </c>
      <c r="BM14" s="105">
        <v>0</v>
      </c>
      <c r="BN14" s="105">
        <v>0</v>
      </c>
      <c r="BO14" s="105">
        <v>0</v>
      </c>
      <c r="BP14" s="105">
        <v>0</v>
      </c>
      <c r="BQ14" s="105">
        <v>0</v>
      </c>
      <c r="BR14" s="105">
        <v>0</v>
      </c>
      <c r="BS14" s="105">
        <v>0</v>
      </c>
      <c r="BT14" s="105">
        <v>0</v>
      </c>
      <c r="BU14" s="105">
        <v>0</v>
      </c>
      <c r="BV14" s="105">
        <v>7.787953738832519E-2</v>
      </c>
      <c r="BW14" s="105">
        <v>38.877465064251936</v>
      </c>
      <c r="BX14" s="105">
        <v>0</v>
      </c>
      <c r="BY14" s="105">
        <v>0</v>
      </c>
      <c r="BZ14" s="105">
        <v>0</v>
      </c>
      <c r="CA14" s="105">
        <v>0</v>
      </c>
      <c r="CB14" s="105">
        <v>0</v>
      </c>
      <c r="CC14" s="105">
        <v>0</v>
      </c>
      <c r="CD14" s="105">
        <v>0</v>
      </c>
      <c r="CE14" s="105">
        <v>0</v>
      </c>
      <c r="CF14" s="105">
        <v>0</v>
      </c>
      <c r="CG14" s="105">
        <v>0</v>
      </c>
      <c r="CH14" s="105">
        <v>0</v>
      </c>
      <c r="CI14" s="105">
        <v>0</v>
      </c>
      <c r="CJ14" s="105">
        <v>0</v>
      </c>
      <c r="CK14" s="105">
        <v>0</v>
      </c>
      <c r="CL14" s="105">
        <v>0</v>
      </c>
      <c r="CM14" s="105">
        <v>0</v>
      </c>
      <c r="CN14" s="105">
        <v>0</v>
      </c>
      <c r="CO14" s="105">
        <v>0</v>
      </c>
      <c r="CP14" s="105">
        <v>0</v>
      </c>
      <c r="CQ14" s="105">
        <v>0</v>
      </c>
      <c r="CR14" s="105">
        <v>0</v>
      </c>
      <c r="CS14" s="105">
        <v>0</v>
      </c>
      <c r="CT14" s="105">
        <v>0</v>
      </c>
      <c r="CU14" s="105">
        <v>0</v>
      </c>
    </row>
    <row r="15" spans="1:99" x14ac:dyDescent="0.2">
      <c r="C15" s="104" t="s">
        <v>181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0</v>
      </c>
      <c r="N15" s="105">
        <v>0</v>
      </c>
      <c r="O15" s="105">
        <v>0</v>
      </c>
      <c r="P15" s="105">
        <v>0</v>
      </c>
      <c r="Q15" s="105">
        <v>0</v>
      </c>
      <c r="R15" s="105">
        <v>0</v>
      </c>
      <c r="S15" s="105">
        <v>0</v>
      </c>
      <c r="T15" s="105">
        <v>0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7.9682321947223373</v>
      </c>
      <c r="AC15" s="105">
        <v>6569.0106213290946</v>
      </c>
      <c r="AD15" s="105">
        <v>0</v>
      </c>
      <c r="AE15" s="105">
        <v>0</v>
      </c>
      <c r="AF15" s="105">
        <v>0</v>
      </c>
      <c r="AG15" s="105">
        <v>0</v>
      </c>
      <c r="AH15" s="105">
        <v>7.9879916338513297</v>
      </c>
      <c r="AI15" s="105">
        <v>6585.3003029470365</v>
      </c>
      <c r="AJ15" s="105">
        <v>0</v>
      </c>
      <c r="AK15" s="105">
        <v>0</v>
      </c>
      <c r="AL15" s="105">
        <v>0</v>
      </c>
      <c r="AM15" s="105">
        <v>0</v>
      </c>
      <c r="AN15" s="105">
        <v>0</v>
      </c>
      <c r="AO15" s="105">
        <v>0</v>
      </c>
      <c r="AP15" s="105">
        <v>0</v>
      </c>
      <c r="AQ15" s="105">
        <v>0</v>
      </c>
      <c r="AR15" s="105">
        <v>4.8521921321288835</v>
      </c>
      <c r="AS15" s="105">
        <v>4000.1471937270512</v>
      </c>
      <c r="AT15" s="105">
        <v>0</v>
      </c>
      <c r="AU15" s="105">
        <v>0</v>
      </c>
      <c r="AV15" s="105">
        <v>0</v>
      </c>
      <c r="AW15" s="105">
        <v>0</v>
      </c>
      <c r="AX15" s="105">
        <v>0</v>
      </c>
      <c r="AY15" s="105">
        <v>0</v>
      </c>
      <c r="AZ15" s="105">
        <v>0</v>
      </c>
      <c r="BA15" s="105">
        <v>0</v>
      </c>
      <c r="BB15" s="105">
        <v>0</v>
      </c>
      <c r="BC15" s="105">
        <v>0</v>
      </c>
      <c r="BD15" s="105">
        <v>0</v>
      </c>
      <c r="BE15" s="105">
        <v>0</v>
      </c>
      <c r="BF15" s="105">
        <v>0</v>
      </c>
      <c r="BG15" s="105">
        <v>0</v>
      </c>
      <c r="BH15" s="105">
        <v>0</v>
      </c>
      <c r="BI15" s="105">
        <v>0</v>
      </c>
      <c r="BJ15" s="105">
        <v>0</v>
      </c>
      <c r="BK15" s="105">
        <v>0</v>
      </c>
      <c r="BL15" s="105">
        <v>0</v>
      </c>
      <c r="BM15" s="105">
        <v>0</v>
      </c>
      <c r="BN15" s="105">
        <v>0</v>
      </c>
      <c r="BO15" s="105">
        <v>0</v>
      </c>
      <c r="BP15" s="105">
        <v>0</v>
      </c>
      <c r="BQ15" s="105">
        <v>0</v>
      </c>
      <c r="BR15" s="105">
        <v>0</v>
      </c>
      <c r="BS15" s="105">
        <v>0</v>
      </c>
      <c r="BT15" s="105">
        <v>0</v>
      </c>
      <c r="BU15" s="105">
        <v>0</v>
      </c>
      <c r="BV15" s="105">
        <v>7.787953738832519E-2</v>
      </c>
      <c r="BW15" s="105">
        <v>64.20389062293529</v>
      </c>
      <c r="BX15" s="105">
        <v>0</v>
      </c>
      <c r="BY15" s="105">
        <v>0</v>
      </c>
      <c r="BZ15" s="105">
        <v>0</v>
      </c>
      <c r="CA15" s="105">
        <v>0</v>
      </c>
      <c r="CB15" s="105">
        <v>0</v>
      </c>
      <c r="CC15" s="105">
        <v>0</v>
      </c>
      <c r="CD15" s="105">
        <v>0</v>
      </c>
      <c r="CE15" s="105">
        <v>0</v>
      </c>
      <c r="CF15" s="105">
        <v>0</v>
      </c>
      <c r="CG15" s="105">
        <v>0</v>
      </c>
      <c r="CH15" s="105">
        <v>0</v>
      </c>
      <c r="CI15" s="105">
        <v>0</v>
      </c>
      <c r="CJ15" s="105">
        <v>0</v>
      </c>
      <c r="CK15" s="105">
        <v>0</v>
      </c>
      <c r="CL15" s="105">
        <v>0</v>
      </c>
      <c r="CM15" s="105">
        <v>0</v>
      </c>
      <c r="CN15" s="105">
        <v>0</v>
      </c>
      <c r="CO15" s="105">
        <v>0</v>
      </c>
      <c r="CP15" s="105">
        <v>0</v>
      </c>
      <c r="CQ15" s="105">
        <v>0</v>
      </c>
      <c r="CR15" s="105">
        <v>0</v>
      </c>
      <c r="CS15" s="105">
        <v>0</v>
      </c>
      <c r="CT15" s="105">
        <v>0</v>
      </c>
      <c r="CU15" s="105">
        <v>0</v>
      </c>
    </row>
    <row r="16" spans="1:99" x14ac:dyDescent="0.2">
      <c r="C16" s="104" t="s">
        <v>182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0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7.9682321947223373</v>
      </c>
      <c r="AC16" s="105">
        <v>4054.2365406747244</v>
      </c>
      <c r="AD16" s="105">
        <v>0</v>
      </c>
      <c r="AE16" s="105">
        <v>0</v>
      </c>
      <c r="AF16" s="105">
        <v>0</v>
      </c>
      <c r="AG16" s="105">
        <v>0</v>
      </c>
      <c r="AH16" s="105">
        <v>9.5855899606215971</v>
      </c>
      <c r="AI16" s="105">
        <v>4877.1481719642679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4.8521921321288835</v>
      </c>
      <c r="AS16" s="105">
        <v>2468.7953568271755</v>
      </c>
      <c r="AT16" s="105">
        <v>0</v>
      </c>
      <c r="AU16" s="105">
        <v>0</v>
      </c>
      <c r="AV16" s="105">
        <v>0</v>
      </c>
      <c r="AW16" s="105">
        <v>0</v>
      </c>
      <c r="AX16" s="105">
        <v>0</v>
      </c>
      <c r="AY16" s="105">
        <v>0</v>
      </c>
      <c r="AZ16" s="105">
        <v>0</v>
      </c>
      <c r="BA16" s="105">
        <v>0</v>
      </c>
      <c r="BB16" s="105">
        <v>0</v>
      </c>
      <c r="BC16" s="105">
        <v>0</v>
      </c>
      <c r="BD16" s="105">
        <v>0</v>
      </c>
      <c r="BE16" s="105">
        <v>0</v>
      </c>
      <c r="BF16" s="105">
        <v>0</v>
      </c>
      <c r="BG16" s="105">
        <v>0</v>
      </c>
      <c r="BH16" s="105">
        <v>0</v>
      </c>
      <c r="BI16" s="105">
        <v>0</v>
      </c>
      <c r="BJ16" s="105">
        <v>0</v>
      </c>
      <c r="BK16" s="105">
        <v>0</v>
      </c>
      <c r="BL16" s="105">
        <v>0</v>
      </c>
      <c r="BM16" s="105">
        <v>0</v>
      </c>
      <c r="BN16" s="105">
        <v>0</v>
      </c>
      <c r="BO16" s="105">
        <v>0</v>
      </c>
      <c r="BP16" s="105">
        <v>0</v>
      </c>
      <c r="BQ16" s="105">
        <v>0</v>
      </c>
      <c r="BR16" s="105">
        <v>0</v>
      </c>
      <c r="BS16" s="105">
        <v>0</v>
      </c>
      <c r="BT16" s="105">
        <v>0</v>
      </c>
      <c r="BU16" s="105">
        <v>0</v>
      </c>
      <c r="BV16" s="105">
        <v>9.0859460286379395E-2</v>
      </c>
      <c r="BW16" s="105">
        <v>46.229293393709824</v>
      </c>
      <c r="BX16" s="105">
        <v>0</v>
      </c>
      <c r="BY16" s="105">
        <v>0</v>
      </c>
      <c r="BZ16" s="105">
        <v>0</v>
      </c>
      <c r="CA16" s="105">
        <v>0</v>
      </c>
      <c r="CB16" s="105">
        <v>0</v>
      </c>
      <c r="CC16" s="105">
        <v>0</v>
      </c>
      <c r="CD16" s="105">
        <v>0</v>
      </c>
      <c r="CE16" s="105">
        <v>0</v>
      </c>
      <c r="CF16" s="105">
        <v>0</v>
      </c>
      <c r="CG16" s="105">
        <v>0</v>
      </c>
      <c r="CH16" s="105">
        <v>0</v>
      </c>
      <c r="CI16" s="105">
        <v>0</v>
      </c>
      <c r="CJ16" s="105">
        <v>0</v>
      </c>
      <c r="CK16" s="105">
        <v>0</v>
      </c>
      <c r="CL16" s="105">
        <v>0</v>
      </c>
      <c r="CM16" s="105">
        <v>0</v>
      </c>
      <c r="CN16" s="105">
        <v>0</v>
      </c>
      <c r="CO16" s="105">
        <v>0</v>
      </c>
      <c r="CP16" s="105">
        <v>0</v>
      </c>
      <c r="CQ16" s="105">
        <v>0</v>
      </c>
      <c r="CR16" s="105">
        <v>0</v>
      </c>
      <c r="CS16" s="105">
        <v>0</v>
      </c>
      <c r="CT16" s="105">
        <v>0</v>
      </c>
      <c r="CU16" s="105">
        <v>0</v>
      </c>
    </row>
    <row r="17" spans="2:99" x14ac:dyDescent="0.2">
      <c r="C17" s="104" t="s">
        <v>183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8.6926169396970945</v>
      </c>
      <c r="AC17" s="105">
        <v>4318.4920956415162</v>
      </c>
      <c r="AD17" s="105">
        <v>0</v>
      </c>
      <c r="AE17" s="105">
        <v>0</v>
      </c>
      <c r="AF17" s="105">
        <v>0</v>
      </c>
      <c r="AG17" s="105">
        <v>0</v>
      </c>
      <c r="AH17" s="105">
        <v>9.0530571850315074</v>
      </c>
      <c r="AI17" s="105">
        <v>4497.5588095236526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5.2565414764729574</v>
      </c>
      <c r="AS17" s="105">
        <v>2611.4498055117651</v>
      </c>
      <c r="AT17" s="105">
        <v>0</v>
      </c>
      <c r="AU17" s="105">
        <v>0</v>
      </c>
      <c r="AV17" s="105">
        <v>0</v>
      </c>
      <c r="AW17" s="105">
        <v>0</v>
      </c>
      <c r="AX17" s="105">
        <v>0</v>
      </c>
      <c r="AY17" s="105">
        <v>0</v>
      </c>
      <c r="AZ17" s="105">
        <v>0</v>
      </c>
      <c r="BA17" s="105">
        <v>0</v>
      </c>
      <c r="BB17" s="105">
        <v>0</v>
      </c>
      <c r="BC17" s="105">
        <v>0</v>
      </c>
      <c r="BD17" s="105">
        <v>0</v>
      </c>
      <c r="BE17" s="105">
        <v>0</v>
      </c>
      <c r="BF17" s="105">
        <v>0</v>
      </c>
      <c r="BG17" s="105">
        <v>0</v>
      </c>
      <c r="BH17" s="105">
        <v>0</v>
      </c>
      <c r="BI17" s="105">
        <v>0</v>
      </c>
      <c r="BJ17" s="105">
        <v>0</v>
      </c>
      <c r="BK17" s="105">
        <v>0</v>
      </c>
      <c r="BL17" s="105">
        <v>0</v>
      </c>
      <c r="BM17" s="105">
        <v>0</v>
      </c>
      <c r="BN17" s="105">
        <v>0</v>
      </c>
      <c r="BO17" s="105">
        <v>0</v>
      </c>
      <c r="BP17" s="105">
        <v>0</v>
      </c>
      <c r="BQ17" s="105">
        <v>0</v>
      </c>
      <c r="BR17" s="105">
        <v>0</v>
      </c>
      <c r="BS17" s="105">
        <v>0</v>
      </c>
      <c r="BT17" s="105">
        <v>0</v>
      </c>
      <c r="BU17" s="105">
        <v>0</v>
      </c>
      <c r="BV17" s="105">
        <v>9.0859460286379395E-2</v>
      </c>
      <c r="BW17" s="105">
        <v>45.138979870273282</v>
      </c>
      <c r="BX17" s="105">
        <v>0</v>
      </c>
      <c r="BY17" s="105">
        <v>0</v>
      </c>
      <c r="BZ17" s="105">
        <v>0</v>
      </c>
      <c r="CA17" s="105">
        <v>0</v>
      </c>
      <c r="CB17" s="105">
        <v>0</v>
      </c>
      <c r="CC17" s="105">
        <v>0</v>
      </c>
      <c r="CD17" s="105">
        <v>0</v>
      </c>
      <c r="CE17" s="105">
        <v>0</v>
      </c>
      <c r="CF17" s="105">
        <v>0</v>
      </c>
      <c r="CG17" s="105">
        <v>0</v>
      </c>
      <c r="CH17" s="105">
        <v>0</v>
      </c>
      <c r="CI17" s="105">
        <v>0</v>
      </c>
      <c r="CJ17" s="105">
        <v>0</v>
      </c>
      <c r="CK17" s="105">
        <v>0</v>
      </c>
      <c r="CL17" s="105">
        <v>0</v>
      </c>
      <c r="CM17" s="105">
        <v>0</v>
      </c>
      <c r="CN17" s="105">
        <v>0</v>
      </c>
      <c r="CO17" s="105">
        <v>0</v>
      </c>
      <c r="CP17" s="105">
        <v>0</v>
      </c>
      <c r="CQ17" s="105">
        <v>0</v>
      </c>
      <c r="CR17" s="105">
        <v>0</v>
      </c>
      <c r="CS17" s="105">
        <v>0</v>
      </c>
      <c r="CT17" s="105">
        <v>0</v>
      </c>
      <c r="CU17" s="105">
        <v>0</v>
      </c>
    </row>
    <row r="18" spans="2:99" x14ac:dyDescent="0.2">
      <c r="C18" s="104" t="s">
        <v>184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0</v>
      </c>
      <c r="R18" s="105">
        <v>0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8.6926169396970945</v>
      </c>
      <c r="AC18" s="105">
        <v>6352.5644595306367</v>
      </c>
      <c r="AD18" s="105">
        <v>0</v>
      </c>
      <c r="AE18" s="105">
        <v>0</v>
      </c>
      <c r="AF18" s="105">
        <v>0</v>
      </c>
      <c r="AG18" s="105">
        <v>0</v>
      </c>
      <c r="AH18" s="105">
        <v>9.0530571850315074</v>
      </c>
      <c r="AI18" s="105">
        <v>6615.9741908210253</v>
      </c>
      <c r="AJ18" s="105">
        <v>0</v>
      </c>
      <c r="AK18" s="105">
        <v>0</v>
      </c>
      <c r="AL18" s="105">
        <v>0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4.8521921321288835</v>
      </c>
      <c r="AS18" s="105">
        <v>3545.9820101597879</v>
      </c>
      <c r="AT18" s="105">
        <v>0</v>
      </c>
      <c r="AU18" s="105">
        <v>0</v>
      </c>
      <c r="AV18" s="105">
        <v>0</v>
      </c>
      <c r="AW18" s="105">
        <v>0</v>
      </c>
      <c r="AX18" s="105">
        <v>0</v>
      </c>
      <c r="AY18" s="105">
        <v>0</v>
      </c>
      <c r="AZ18" s="105">
        <v>0</v>
      </c>
      <c r="BA18" s="105">
        <v>0</v>
      </c>
      <c r="BB18" s="105">
        <v>0</v>
      </c>
      <c r="BC18" s="105">
        <v>0</v>
      </c>
      <c r="BD18" s="105">
        <v>0</v>
      </c>
      <c r="BE18" s="105">
        <v>0</v>
      </c>
      <c r="BF18" s="105">
        <v>0</v>
      </c>
      <c r="BG18" s="105">
        <v>0</v>
      </c>
      <c r="BH18" s="105">
        <v>0</v>
      </c>
      <c r="BI18" s="105">
        <v>0</v>
      </c>
      <c r="BJ18" s="105">
        <v>0</v>
      </c>
      <c r="BK18" s="105">
        <v>0</v>
      </c>
      <c r="BL18" s="105">
        <v>0</v>
      </c>
      <c r="BM18" s="105">
        <v>0</v>
      </c>
      <c r="BN18" s="105">
        <v>0</v>
      </c>
      <c r="BO18" s="105">
        <v>0</v>
      </c>
      <c r="BP18" s="105">
        <v>0</v>
      </c>
      <c r="BQ18" s="105">
        <v>0</v>
      </c>
      <c r="BR18" s="105">
        <v>0</v>
      </c>
      <c r="BS18" s="105">
        <v>0</v>
      </c>
      <c r="BT18" s="105">
        <v>0</v>
      </c>
      <c r="BU18" s="105">
        <v>0</v>
      </c>
      <c r="BV18" s="105">
        <v>7.787953738832519E-2</v>
      </c>
      <c r="BW18" s="105">
        <v>56.914365923388047</v>
      </c>
      <c r="BX18" s="105">
        <v>0</v>
      </c>
      <c r="BY18" s="105">
        <v>0</v>
      </c>
      <c r="BZ18" s="105">
        <v>0</v>
      </c>
      <c r="CA18" s="105">
        <v>0</v>
      </c>
      <c r="CB18" s="105">
        <v>0</v>
      </c>
      <c r="CC18" s="105">
        <v>0</v>
      </c>
      <c r="CD18" s="105">
        <v>0</v>
      </c>
      <c r="CE18" s="105">
        <v>0</v>
      </c>
      <c r="CF18" s="105">
        <v>0</v>
      </c>
      <c r="CG18" s="105">
        <v>0</v>
      </c>
      <c r="CH18" s="105">
        <v>0</v>
      </c>
      <c r="CI18" s="105">
        <v>0</v>
      </c>
      <c r="CJ18" s="105">
        <v>0</v>
      </c>
      <c r="CK18" s="105">
        <v>0</v>
      </c>
      <c r="CL18" s="105">
        <v>0</v>
      </c>
      <c r="CM18" s="105">
        <v>0</v>
      </c>
      <c r="CN18" s="105">
        <v>0</v>
      </c>
      <c r="CO18" s="105">
        <v>0</v>
      </c>
      <c r="CP18" s="105">
        <v>0</v>
      </c>
      <c r="CQ18" s="105">
        <v>0</v>
      </c>
      <c r="CR18" s="105">
        <v>0</v>
      </c>
      <c r="CS18" s="105">
        <v>0</v>
      </c>
      <c r="CT18" s="105">
        <v>0</v>
      </c>
      <c r="CU18" s="105">
        <v>0</v>
      </c>
    </row>
    <row r="19" spans="2:99" x14ac:dyDescent="0.2">
      <c r="C19" s="104" t="s">
        <v>185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0</v>
      </c>
      <c r="Q19" s="105">
        <v>0</v>
      </c>
      <c r="R19" s="105">
        <v>0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8.6926169396970945</v>
      </c>
      <c r="AC19" s="105">
        <v>3358.8271854989571</v>
      </c>
      <c r="AD19" s="105">
        <v>0</v>
      </c>
      <c r="AE19" s="105">
        <v>0</v>
      </c>
      <c r="AF19" s="105">
        <v>0</v>
      </c>
      <c r="AG19" s="105">
        <v>0</v>
      </c>
      <c r="AH19" s="105">
        <v>9.5855899606215971</v>
      </c>
      <c r="AI19" s="105">
        <v>3703.8719607841849</v>
      </c>
      <c r="AJ19" s="105">
        <v>0</v>
      </c>
      <c r="AK19" s="105">
        <v>0</v>
      </c>
      <c r="AL19" s="105">
        <v>0</v>
      </c>
      <c r="AM19" s="105">
        <v>0</v>
      </c>
      <c r="AN19" s="105">
        <v>0</v>
      </c>
      <c r="AO19" s="105">
        <v>0</v>
      </c>
      <c r="AP19" s="105">
        <v>0</v>
      </c>
      <c r="AQ19" s="105">
        <v>0</v>
      </c>
      <c r="AR19" s="105">
        <v>4.8521921321288835</v>
      </c>
      <c r="AS19" s="105">
        <v>1874.8870398546005</v>
      </c>
      <c r="AT19" s="105">
        <v>0</v>
      </c>
      <c r="AU19" s="105">
        <v>0</v>
      </c>
      <c r="AV19" s="105">
        <v>0</v>
      </c>
      <c r="AW19" s="105">
        <v>0</v>
      </c>
      <c r="AX19" s="105">
        <v>0</v>
      </c>
      <c r="AY19" s="105">
        <v>0</v>
      </c>
      <c r="AZ19" s="105">
        <v>0</v>
      </c>
      <c r="BA19" s="105">
        <v>0</v>
      </c>
      <c r="BB19" s="105">
        <v>0</v>
      </c>
      <c r="BC19" s="105">
        <v>0</v>
      </c>
      <c r="BD19" s="105">
        <v>0</v>
      </c>
      <c r="BE19" s="105">
        <v>0</v>
      </c>
      <c r="BF19" s="105">
        <v>0</v>
      </c>
      <c r="BG19" s="105">
        <v>0</v>
      </c>
      <c r="BH19" s="105">
        <v>0</v>
      </c>
      <c r="BI19" s="105">
        <v>0</v>
      </c>
      <c r="BJ19" s="105">
        <v>0</v>
      </c>
      <c r="BK19" s="105">
        <v>0</v>
      </c>
      <c r="BL19" s="105">
        <v>0</v>
      </c>
      <c r="BM19" s="105">
        <v>0</v>
      </c>
      <c r="BN19" s="105">
        <v>0</v>
      </c>
      <c r="BO19" s="105">
        <v>0</v>
      </c>
      <c r="BP19" s="105">
        <v>0</v>
      </c>
      <c r="BQ19" s="105">
        <v>0</v>
      </c>
      <c r="BR19" s="105">
        <v>0</v>
      </c>
      <c r="BS19" s="105">
        <v>0</v>
      </c>
      <c r="BT19" s="105">
        <v>0</v>
      </c>
      <c r="BU19" s="105">
        <v>0</v>
      </c>
      <c r="BV19" s="105">
        <v>7.787953738832519E-2</v>
      </c>
      <c r="BW19" s="105">
        <v>30.092653246848851</v>
      </c>
      <c r="BX19" s="105">
        <v>0</v>
      </c>
      <c r="BY19" s="105">
        <v>0</v>
      </c>
      <c r="BZ19" s="105">
        <v>0</v>
      </c>
      <c r="CA19" s="105">
        <v>0</v>
      </c>
      <c r="CB19" s="105">
        <v>0</v>
      </c>
      <c r="CC19" s="105">
        <v>0</v>
      </c>
      <c r="CD19" s="105">
        <v>0</v>
      </c>
      <c r="CE19" s="105">
        <v>0</v>
      </c>
      <c r="CF19" s="105">
        <v>0</v>
      </c>
      <c r="CG19" s="105">
        <v>0</v>
      </c>
      <c r="CH19" s="105">
        <v>0</v>
      </c>
      <c r="CI19" s="105">
        <v>0</v>
      </c>
      <c r="CJ19" s="105">
        <v>0</v>
      </c>
      <c r="CK19" s="105">
        <v>0</v>
      </c>
      <c r="CL19" s="105">
        <v>0</v>
      </c>
      <c r="CM19" s="105">
        <v>0</v>
      </c>
      <c r="CN19" s="105">
        <v>0</v>
      </c>
      <c r="CO19" s="105">
        <v>0</v>
      </c>
      <c r="CP19" s="105">
        <v>0</v>
      </c>
      <c r="CQ19" s="105">
        <v>0</v>
      </c>
      <c r="CR19" s="105">
        <v>0</v>
      </c>
      <c r="CS19" s="105">
        <v>0</v>
      </c>
      <c r="CT19" s="105">
        <v>0</v>
      </c>
      <c r="CU19" s="105">
        <v>0</v>
      </c>
    </row>
    <row r="20" spans="2:99" x14ac:dyDescent="0.2">
      <c r="B20" s="104" t="s">
        <v>127</v>
      </c>
      <c r="C20" s="104" t="s">
        <v>186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0</v>
      </c>
      <c r="R20" s="105">
        <v>0</v>
      </c>
      <c r="S20" s="105">
        <v>0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13.038925409545643</v>
      </c>
      <c r="AC20" s="105">
        <v>1251.7368393163817</v>
      </c>
      <c r="AD20" s="105">
        <v>0</v>
      </c>
      <c r="AE20" s="105">
        <v>0</v>
      </c>
      <c r="AF20" s="105">
        <v>0</v>
      </c>
      <c r="AG20" s="105">
        <v>0</v>
      </c>
      <c r="AH20" s="105">
        <v>15.975983267702659</v>
      </c>
      <c r="AI20" s="105">
        <v>1533.6943936994553</v>
      </c>
      <c r="AJ20" s="105">
        <v>0</v>
      </c>
      <c r="AK20" s="105">
        <v>0</v>
      </c>
      <c r="AL20" s="105">
        <v>0</v>
      </c>
      <c r="AM20" s="105">
        <v>0</v>
      </c>
      <c r="AN20" s="105">
        <v>0</v>
      </c>
      <c r="AO20" s="105">
        <v>0</v>
      </c>
      <c r="AP20" s="105">
        <v>0</v>
      </c>
      <c r="AQ20" s="105">
        <v>0</v>
      </c>
      <c r="AR20" s="105">
        <v>8.8956855755696207</v>
      </c>
      <c r="AS20" s="105">
        <v>853.98581525468353</v>
      </c>
      <c r="AT20" s="105">
        <v>0</v>
      </c>
      <c r="AU20" s="105">
        <v>0</v>
      </c>
      <c r="AV20" s="105">
        <v>0</v>
      </c>
      <c r="AW20" s="105">
        <v>0</v>
      </c>
      <c r="AX20" s="105">
        <v>0</v>
      </c>
      <c r="AY20" s="105">
        <v>0</v>
      </c>
      <c r="AZ20" s="105">
        <v>0</v>
      </c>
      <c r="BA20" s="105">
        <v>0</v>
      </c>
      <c r="BB20" s="105">
        <v>0</v>
      </c>
      <c r="BC20" s="105">
        <v>0</v>
      </c>
      <c r="BD20" s="105">
        <v>0</v>
      </c>
      <c r="BE20" s="105">
        <v>0</v>
      </c>
      <c r="BF20" s="105">
        <v>0</v>
      </c>
      <c r="BG20" s="105">
        <v>0</v>
      </c>
      <c r="BH20" s="105">
        <v>0</v>
      </c>
      <c r="BI20" s="105">
        <v>0</v>
      </c>
      <c r="BJ20" s="105">
        <v>0</v>
      </c>
      <c r="BK20" s="105">
        <v>0</v>
      </c>
      <c r="BL20" s="105">
        <v>0</v>
      </c>
      <c r="BM20" s="105">
        <v>0</v>
      </c>
      <c r="BN20" s="105">
        <v>0</v>
      </c>
      <c r="BO20" s="105">
        <v>0</v>
      </c>
      <c r="BP20" s="105">
        <v>0</v>
      </c>
      <c r="BQ20" s="105">
        <v>0</v>
      </c>
      <c r="BR20" s="105">
        <v>0</v>
      </c>
      <c r="BS20" s="105">
        <v>0</v>
      </c>
      <c r="BT20" s="105">
        <v>0</v>
      </c>
      <c r="BU20" s="105">
        <v>0</v>
      </c>
      <c r="BV20" s="105">
        <v>0.14710579284461425</v>
      </c>
      <c r="BW20" s="105">
        <v>14.122156113082969</v>
      </c>
      <c r="BX20" s="105">
        <v>0</v>
      </c>
      <c r="BY20" s="105">
        <v>0</v>
      </c>
      <c r="BZ20" s="105">
        <v>0</v>
      </c>
      <c r="CA20" s="105">
        <v>0</v>
      </c>
      <c r="CB20" s="105">
        <v>0</v>
      </c>
      <c r="CC20" s="105">
        <v>0</v>
      </c>
      <c r="CD20" s="105">
        <v>0</v>
      </c>
      <c r="CE20" s="105">
        <v>0</v>
      </c>
      <c r="CF20" s="105">
        <v>0</v>
      </c>
      <c r="CG20" s="105">
        <v>0</v>
      </c>
      <c r="CH20" s="105">
        <v>0</v>
      </c>
      <c r="CI20" s="105">
        <v>0</v>
      </c>
      <c r="CJ20" s="105">
        <v>0</v>
      </c>
      <c r="CK20" s="105">
        <v>0</v>
      </c>
      <c r="CL20" s="105">
        <v>0</v>
      </c>
      <c r="CM20" s="105">
        <v>0</v>
      </c>
      <c r="CN20" s="105">
        <v>0</v>
      </c>
      <c r="CO20" s="105">
        <v>0</v>
      </c>
      <c r="CP20" s="105">
        <v>0</v>
      </c>
      <c r="CQ20" s="105">
        <v>0</v>
      </c>
      <c r="CR20" s="105">
        <v>0</v>
      </c>
      <c r="CS20" s="105">
        <v>0</v>
      </c>
      <c r="CT20" s="105">
        <v>0</v>
      </c>
      <c r="CU20" s="105">
        <v>0</v>
      </c>
    </row>
    <row r="21" spans="2:99" x14ac:dyDescent="0.2">
      <c r="C21" s="104" t="s">
        <v>187</v>
      </c>
      <c r="D21" s="105">
        <v>0</v>
      </c>
      <c r="E21" s="105">
        <v>0</v>
      </c>
      <c r="F21" s="105">
        <v>0</v>
      </c>
      <c r="G21" s="105">
        <v>0</v>
      </c>
      <c r="H21" s="105">
        <v>0</v>
      </c>
      <c r="I21" s="105">
        <v>0</v>
      </c>
      <c r="J21" s="105">
        <v>0</v>
      </c>
      <c r="K21" s="105">
        <v>0</v>
      </c>
      <c r="L21" s="105">
        <v>0</v>
      </c>
      <c r="M21" s="105">
        <v>0</v>
      </c>
      <c r="N21" s="105">
        <v>0</v>
      </c>
      <c r="O21" s="105">
        <v>0</v>
      </c>
      <c r="P21" s="105">
        <v>0</v>
      </c>
      <c r="Q21" s="105">
        <v>0</v>
      </c>
      <c r="R21" s="105">
        <v>0</v>
      </c>
      <c r="S21" s="105">
        <v>0</v>
      </c>
      <c r="T21" s="105">
        <v>0</v>
      </c>
      <c r="U21" s="105">
        <v>0</v>
      </c>
      <c r="V21" s="105">
        <v>0</v>
      </c>
      <c r="W21" s="105">
        <v>0</v>
      </c>
      <c r="X21" s="105">
        <v>0</v>
      </c>
      <c r="Y21" s="105">
        <v>0</v>
      </c>
      <c r="Z21" s="105">
        <v>0</v>
      </c>
      <c r="AA21" s="105">
        <v>0</v>
      </c>
      <c r="AB21" s="105">
        <v>10.865771174621369</v>
      </c>
      <c r="AC21" s="105">
        <v>2633.8629327282197</v>
      </c>
      <c r="AD21" s="105">
        <v>0</v>
      </c>
      <c r="AE21" s="105">
        <v>0</v>
      </c>
      <c r="AF21" s="105">
        <v>0</v>
      </c>
      <c r="AG21" s="105">
        <v>0</v>
      </c>
      <c r="AH21" s="105">
        <v>14.378384940932394</v>
      </c>
      <c r="AI21" s="105">
        <v>3485.320509682012</v>
      </c>
      <c r="AJ21" s="105">
        <v>0</v>
      </c>
      <c r="AK21" s="105">
        <v>0</v>
      </c>
      <c r="AL21" s="105">
        <v>0</v>
      </c>
      <c r="AM21" s="105">
        <v>0</v>
      </c>
      <c r="AN21" s="105">
        <v>0</v>
      </c>
      <c r="AO21" s="105">
        <v>0</v>
      </c>
      <c r="AP21" s="105">
        <v>0</v>
      </c>
      <c r="AQ21" s="105">
        <v>0</v>
      </c>
      <c r="AR21" s="105">
        <v>9.3000349199136938</v>
      </c>
      <c r="AS21" s="105">
        <v>2254.328464587079</v>
      </c>
      <c r="AT21" s="105">
        <v>0</v>
      </c>
      <c r="AU21" s="105">
        <v>0</v>
      </c>
      <c r="AV21" s="105">
        <v>0</v>
      </c>
      <c r="AW21" s="105">
        <v>0</v>
      </c>
      <c r="AX21" s="105">
        <v>0</v>
      </c>
      <c r="AY21" s="105">
        <v>0</v>
      </c>
      <c r="AZ21" s="105">
        <v>0</v>
      </c>
      <c r="BA21" s="105">
        <v>0</v>
      </c>
      <c r="BB21" s="105">
        <v>0</v>
      </c>
      <c r="BC21" s="105">
        <v>0</v>
      </c>
      <c r="BD21" s="105">
        <v>0</v>
      </c>
      <c r="BE21" s="105">
        <v>0</v>
      </c>
      <c r="BF21" s="105">
        <v>0</v>
      </c>
      <c r="BG21" s="105">
        <v>0</v>
      </c>
      <c r="BH21" s="105">
        <v>0</v>
      </c>
      <c r="BI21" s="105">
        <v>0</v>
      </c>
      <c r="BJ21" s="105">
        <v>0</v>
      </c>
      <c r="BK21" s="105">
        <v>0</v>
      </c>
      <c r="BL21" s="105">
        <v>0</v>
      </c>
      <c r="BM21" s="105">
        <v>0</v>
      </c>
      <c r="BN21" s="105">
        <v>0</v>
      </c>
      <c r="BO21" s="105">
        <v>0</v>
      </c>
      <c r="BP21" s="105">
        <v>0</v>
      </c>
      <c r="BQ21" s="105">
        <v>0</v>
      </c>
      <c r="BR21" s="105">
        <v>0</v>
      </c>
      <c r="BS21" s="105">
        <v>0</v>
      </c>
      <c r="BT21" s="105">
        <v>0</v>
      </c>
      <c r="BU21" s="105">
        <v>0</v>
      </c>
      <c r="BV21" s="105">
        <v>0.12547258801452393</v>
      </c>
      <c r="BW21" s="105">
        <v>30.4145553347206</v>
      </c>
      <c r="BX21" s="105">
        <v>0</v>
      </c>
      <c r="BY21" s="105">
        <v>0</v>
      </c>
      <c r="BZ21" s="105">
        <v>0</v>
      </c>
      <c r="CA21" s="105">
        <v>0</v>
      </c>
      <c r="CB21" s="105">
        <v>0</v>
      </c>
      <c r="CC21" s="105">
        <v>0</v>
      </c>
      <c r="CD21" s="105">
        <v>0</v>
      </c>
      <c r="CE21" s="105">
        <v>0</v>
      </c>
      <c r="CF21" s="105">
        <v>0</v>
      </c>
      <c r="CG21" s="105">
        <v>0</v>
      </c>
      <c r="CH21" s="105">
        <v>0</v>
      </c>
      <c r="CI21" s="105">
        <v>0</v>
      </c>
      <c r="CJ21" s="105">
        <v>0</v>
      </c>
      <c r="CK21" s="105">
        <v>0</v>
      </c>
      <c r="CL21" s="105">
        <v>0</v>
      </c>
      <c r="CM21" s="105">
        <v>0</v>
      </c>
      <c r="CN21" s="105">
        <v>0</v>
      </c>
      <c r="CO21" s="105">
        <v>0</v>
      </c>
      <c r="CP21" s="105">
        <v>0</v>
      </c>
      <c r="CQ21" s="105">
        <v>0</v>
      </c>
      <c r="CR21" s="105">
        <v>0</v>
      </c>
      <c r="CS21" s="105">
        <v>0</v>
      </c>
      <c r="CT21" s="105">
        <v>0</v>
      </c>
      <c r="CU21" s="105">
        <v>0</v>
      </c>
    </row>
    <row r="22" spans="2:99" x14ac:dyDescent="0.2">
      <c r="C22" s="104" t="s">
        <v>188</v>
      </c>
      <c r="D22" s="105">
        <v>0</v>
      </c>
      <c r="E22" s="105">
        <v>0</v>
      </c>
      <c r="F22" s="105">
        <v>0</v>
      </c>
      <c r="G22" s="105">
        <v>0</v>
      </c>
      <c r="H22" s="105">
        <v>0</v>
      </c>
      <c r="I22" s="105">
        <v>0</v>
      </c>
      <c r="J22" s="105">
        <v>0</v>
      </c>
      <c r="K22" s="105">
        <v>0</v>
      </c>
      <c r="L22" s="105">
        <v>0</v>
      </c>
      <c r="M22" s="105">
        <v>0</v>
      </c>
      <c r="N22" s="105">
        <v>0</v>
      </c>
      <c r="O22" s="105">
        <v>0</v>
      </c>
      <c r="P22" s="105">
        <v>0</v>
      </c>
      <c r="Q22" s="105">
        <v>0</v>
      </c>
      <c r="R22" s="105">
        <v>0</v>
      </c>
      <c r="S22" s="105">
        <v>0</v>
      </c>
      <c r="T22" s="105">
        <v>0</v>
      </c>
      <c r="U22" s="105">
        <v>0</v>
      </c>
      <c r="V22" s="105">
        <v>0</v>
      </c>
      <c r="W22" s="105">
        <v>0</v>
      </c>
      <c r="X22" s="105">
        <v>0</v>
      </c>
      <c r="Y22" s="105">
        <v>0</v>
      </c>
      <c r="Z22" s="105">
        <v>0</v>
      </c>
      <c r="AA22" s="105">
        <v>0</v>
      </c>
      <c r="AB22" s="105">
        <v>13.038925409545643</v>
      </c>
      <c r="AC22" s="105">
        <v>813.6289455556481</v>
      </c>
      <c r="AD22" s="105">
        <v>0</v>
      </c>
      <c r="AE22" s="105">
        <v>0</v>
      </c>
      <c r="AF22" s="105">
        <v>0</v>
      </c>
      <c r="AG22" s="105">
        <v>0</v>
      </c>
      <c r="AH22" s="105">
        <v>13.313319389752218</v>
      </c>
      <c r="AI22" s="105">
        <v>830.75112992053835</v>
      </c>
      <c r="AJ22" s="105">
        <v>0</v>
      </c>
      <c r="AK22" s="105">
        <v>0</v>
      </c>
      <c r="AL22" s="105">
        <v>0</v>
      </c>
      <c r="AM22" s="105">
        <v>0</v>
      </c>
      <c r="AN22" s="105">
        <v>0</v>
      </c>
      <c r="AO22" s="105">
        <v>0</v>
      </c>
      <c r="AP22" s="105">
        <v>0</v>
      </c>
      <c r="AQ22" s="105">
        <v>0</v>
      </c>
      <c r="AR22" s="105">
        <v>9.7043842642577669</v>
      </c>
      <c r="AS22" s="105">
        <v>605.55357808968461</v>
      </c>
      <c r="AT22" s="105">
        <v>0</v>
      </c>
      <c r="AU22" s="105">
        <v>0</v>
      </c>
      <c r="AV22" s="105">
        <v>0</v>
      </c>
      <c r="AW22" s="105">
        <v>0</v>
      </c>
      <c r="AX22" s="105">
        <v>0</v>
      </c>
      <c r="AY22" s="105">
        <v>0</v>
      </c>
      <c r="AZ22" s="105">
        <v>0</v>
      </c>
      <c r="BA22" s="105">
        <v>0</v>
      </c>
      <c r="BB22" s="105">
        <v>0</v>
      </c>
      <c r="BC22" s="105">
        <v>0</v>
      </c>
      <c r="BD22" s="105">
        <v>0</v>
      </c>
      <c r="BE22" s="105">
        <v>0</v>
      </c>
      <c r="BF22" s="105">
        <v>0</v>
      </c>
      <c r="BG22" s="105">
        <v>0</v>
      </c>
      <c r="BH22" s="105">
        <v>0</v>
      </c>
      <c r="BI22" s="105">
        <v>0</v>
      </c>
      <c r="BJ22" s="105">
        <v>0</v>
      </c>
      <c r="BK22" s="105">
        <v>0</v>
      </c>
      <c r="BL22" s="105">
        <v>0</v>
      </c>
      <c r="BM22" s="105">
        <v>0</v>
      </c>
      <c r="BN22" s="105">
        <v>0</v>
      </c>
      <c r="BO22" s="105">
        <v>0</v>
      </c>
      <c r="BP22" s="105">
        <v>0</v>
      </c>
      <c r="BQ22" s="105">
        <v>0</v>
      </c>
      <c r="BR22" s="105">
        <v>0</v>
      </c>
      <c r="BS22" s="105">
        <v>0</v>
      </c>
      <c r="BT22" s="105">
        <v>0</v>
      </c>
      <c r="BU22" s="105">
        <v>0</v>
      </c>
      <c r="BV22" s="105">
        <v>0.13412586994656006</v>
      </c>
      <c r="BW22" s="105">
        <v>8.3694542846653484</v>
      </c>
      <c r="BX22" s="105">
        <v>0</v>
      </c>
      <c r="BY22" s="105">
        <v>0</v>
      </c>
      <c r="BZ22" s="105">
        <v>0</v>
      </c>
      <c r="CA22" s="105">
        <v>0</v>
      </c>
      <c r="CB22" s="105">
        <v>0</v>
      </c>
      <c r="CC22" s="105">
        <v>0</v>
      </c>
      <c r="CD22" s="105">
        <v>0</v>
      </c>
      <c r="CE22" s="105">
        <v>0</v>
      </c>
      <c r="CF22" s="105">
        <v>0</v>
      </c>
      <c r="CG22" s="105">
        <v>0</v>
      </c>
      <c r="CH22" s="105">
        <v>0</v>
      </c>
      <c r="CI22" s="105">
        <v>0</v>
      </c>
      <c r="CJ22" s="105">
        <v>0</v>
      </c>
      <c r="CK22" s="105">
        <v>0</v>
      </c>
      <c r="CL22" s="105">
        <v>0</v>
      </c>
      <c r="CM22" s="105">
        <v>0</v>
      </c>
      <c r="CN22" s="105">
        <v>0</v>
      </c>
      <c r="CO22" s="105">
        <v>0</v>
      </c>
      <c r="CP22" s="105">
        <v>0</v>
      </c>
      <c r="CQ22" s="105">
        <v>0</v>
      </c>
      <c r="CR22" s="105">
        <v>0</v>
      </c>
      <c r="CS22" s="105">
        <v>0</v>
      </c>
      <c r="CT22" s="105">
        <v>0</v>
      </c>
      <c r="CU22" s="105">
        <v>0</v>
      </c>
    </row>
    <row r="23" spans="2:99" x14ac:dyDescent="0.2">
      <c r="C23" s="104" t="s">
        <v>189</v>
      </c>
      <c r="D23" s="105">
        <v>0</v>
      </c>
      <c r="E23" s="105">
        <v>0</v>
      </c>
      <c r="F23" s="105">
        <v>0</v>
      </c>
      <c r="G23" s="105">
        <v>0</v>
      </c>
      <c r="H23" s="105">
        <v>0</v>
      </c>
      <c r="I23" s="105">
        <v>0</v>
      </c>
      <c r="J23" s="105">
        <v>0</v>
      </c>
      <c r="K23" s="105">
        <v>0</v>
      </c>
      <c r="L23" s="105">
        <v>0</v>
      </c>
      <c r="M23" s="105">
        <v>0</v>
      </c>
      <c r="N23" s="105">
        <v>0</v>
      </c>
      <c r="O23" s="105">
        <v>0</v>
      </c>
      <c r="P23" s="105">
        <v>0</v>
      </c>
      <c r="Q23" s="105">
        <v>0</v>
      </c>
      <c r="R23" s="105">
        <v>0</v>
      </c>
      <c r="S23" s="105">
        <v>0</v>
      </c>
      <c r="T23" s="105">
        <v>0</v>
      </c>
      <c r="U23" s="105">
        <v>0</v>
      </c>
      <c r="V23" s="105">
        <v>0</v>
      </c>
      <c r="W23" s="105">
        <v>0</v>
      </c>
      <c r="X23" s="105">
        <v>0</v>
      </c>
      <c r="Y23" s="105">
        <v>0</v>
      </c>
      <c r="Z23" s="105">
        <v>0</v>
      </c>
      <c r="AA23" s="105">
        <v>0</v>
      </c>
      <c r="AB23" s="105">
        <v>12.314540664570883</v>
      </c>
      <c r="AC23" s="105">
        <v>3443.1455698140185</v>
      </c>
      <c r="AD23" s="105">
        <v>0</v>
      </c>
      <c r="AE23" s="105">
        <v>0</v>
      </c>
      <c r="AF23" s="105">
        <v>0</v>
      </c>
      <c r="AG23" s="105">
        <v>0</v>
      </c>
      <c r="AH23" s="105">
        <v>13.845852165342304</v>
      </c>
      <c r="AI23" s="105">
        <v>3871.3002654297079</v>
      </c>
      <c r="AJ23" s="105">
        <v>0</v>
      </c>
      <c r="AK23" s="105">
        <v>0</v>
      </c>
      <c r="AL23" s="105">
        <v>0</v>
      </c>
      <c r="AM23" s="105">
        <v>0</v>
      </c>
      <c r="AN23" s="105">
        <v>0</v>
      </c>
      <c r="AO23" s="105">
        <v>0</v>
      </c>
      <c r="AP23" s="105">
        <v>0</v>
      </c>
      <c r="AQ23" s="105">
        <v>0</v>
      </c>
      <c r="AR23" s="105">
        <v>9.7043842642577669</v>
      </c>
      <c r="AS23" s="105">
        <v>2713.3458402864712</v>
      </c>
      <c r="AT23" s="105">
        <v>0</v>
      </c>
      <c r="AU23" s="105">
        <v>0</v>
      </c>
      <c r="AV23" s="105">
        <v>0</v>
      </c>
      <c r="AW23" s="105">
        <v>0</v>
      </c>
      <c r="AX23" s="105">
        <v>0</v>
      </c>
      <c r="AY23" s="105">
        <v>0</v>
      </c>
      <c r="AZ23" s="105">
        <v>0</v>
      </c>
      <c r="BA23" s="105">
        <v>0</v>
      </c>
      <c r="BB23" s="105">
        <v>0</v>
      </c>
      <c r="BC23" s="105">
        <v>0</v>
      </c>
      <c r="BD23" s="105">
        <v>0</v>
      </c>
      <c r="BE23" s="105">
        <v>0</v>
      </c>
      <c r="BF23" s="105">
        <v>0</v>
      </c>
      <c r="BG23" s="105">
        <v>0</v>
      </c>
      <c r="BH23" s="105">
        <v>0</v>
      </c>
      <c r="BI23" s="105">
        <v>0</v>
      </c>
      <c r="BJ23" s="105">
        <v>0</v>
      </c>
      <c r="BK23" s="105">
        <v>0</v>
      </c>
      <c r="BL23" s="105">
        <v>0</v>
      </c>
      <c r="BM23" s="105">
        <v>0</v>
      </c>
      <c r="BN23" s="105">
        <v>0</v>
      </c>
      <c r="BO23" s="105">
        <v>0</v>
      </c>
      <c r="BP23" s="105">
        <v>0</v>
      </c>
      <c r="BQ23" s="105">
        <v>0</v>
      </c>
      <c r="BR23" s="105">
        <v>0</v>
      </c>
      <c r="BS23" s="105">
        <v>0</v>
      </c>
      <c r="BT23" s="105">
        <v>0</v>
      </c>
      <c r="BU23" s="105">
        <v>0</v>
      </c>
      <c r="BV23" s="105">
        <v>0.13412586994656006</v>
      </c>
      <c r="BW23" s="105">
        <v>37.501593237058188</v>
      </c>
      <c r="BX23" s="105">
        <v>0</v>
      </c>
      <c r="BY23" s="105">
        <v>0</v>
      </c>
      <c r="BZ23" s="105">
        <v>0</v>
      </c>
      <c r="CA23" s="105">
        <v>0</v>
      </c>
      <c r="CB23" s="105">
        <v>0</v>
      </c>
      <c r="CC23" s="105">
        <v>0</v>
      </c>
      <c r="CD23" s="105">
        <v>0</v>
      </c>
      <c r="CE23" s="105">
        <v>0</v>
      </c>
      <c r="CF23" s="105">
        <v>0</v>
      </c>
      <c r="CG23" s="105">
        <v>0</v>
      </c>
      <c r="CH23" s="105">
        <v>0</v>
      </c>
      <c r="CI23" s="105">
        <v>0</v>
      </c>
      <c r="CJ23" s="105">
        <v>0</v>
      </c>
      <c r="CK23" s="105">
        <v>0</v>
      </c>
      <c r="CL23" s="105">
        <v>0</v>
      </c>
      <c r="CM23" s="105">
        <v>0</v>
      </c>
      <c r="CN23" s="105">
        <v>0</v>
      </c>
      <c r="CO23" s="105">
        <v>0</v>
      </c>
      <c r="CP23" s="105">
        <v>0</v>
      </c>
      <c r="CQ23" s="105">
        <v>0</v>
      </c>
      <c r="CR23" s="105">
        <v>0</v>
      </c>
      <c r="CS23" s="105">
        <v>0</v>
      </c>
      <c r="CT23" s="105">
        <v>0</v>
      </c>
      <c r="CU23" s="105">
        <v>0</v>
      </c>
    </row>
    <row r="24" spans="2:99" x14ac:dyDescent="0.2">
      <c r="C24" s="104" t="s">
        <v>190</v>
      </c>
      <c r="D24" s="105">
        <v>0</v>
      </c>
      <c r="E24" s="105">
        <v>0</v>
      </c>
      <c r="F24" s="105">
        <v>0</v>
      </c>
      <c r="G24" s="105">
        <v>0</v>
      </c>
      <c r="H24" s="105">
        <v>0</v>
      </c>
      <c r="I24" s="105">
        <v>0</v>
      </c>
      <c r="J24" s="105">
        <v>0</v>
      </c>
      <c r="K24" s="105">
        <v>0</v>
      </c>
      <c r="L24" s="105">
        <v>0</v>
      </c>
      <c r="M24" s="105">
        <v>0</v>
      </c>
      <c r="N24" s="105">
        <v>0</v>
      </c>
      <c r="O24" s="105">
        <v>0</v>
      </c>
      <c r="P24" s="105">
        <v>0</v>
      </c>
      <c r="Q24" s="105">
        <v>0</v>
      </c>
      <c r="R24" s="105">
        <v>0</v>
      </c>
      <c r="S24" s="105">
        <v>0</v>
      </c>
      <c r="T24" s="105">
        <v>0</v>
      </c>
      <c r="U24" s="105">
        <v>0</v>
      </c>
      <c r="V24" s="105">
        <v>0</v>
      </c>
      <c r="W24" s="105">
        <v>0</v>
      </c>
      <c r="X24" s="105">
        <v>0</v>
      </c>
      <c r="Y24" s="105">
        <v>0</v>
      </c>
      <c r="Z24" s="105">
        <v>0</v>
      </c>
      <c r="AA24" s="105">
        <v>0</v>
      </c>
      <c r="AB24" s="105">
        <v>11.590155919596127</v>
      </c>
      <c r="AC24" s="105">
        <v>3532.6795242928997</v>
      </c>
      <c r="AD24" s="105">
        <v>0</v>
      </c>
      <c r="AE24" s="105">
        <v>0</v>
      </c>
      <c r="AF24" s="105">
        <v>0</v>
      </c>
      <c r="AG24" s="105">
        <v>0</v>
      </c>
      <c r="AH24" s="105">
        <v>13.845852165342304</v>
      </c>
      <c r="AI24" s="105">
        <v>4220.2157399963344</v>
      </c>
      <c r="AJ24" s="105">
        <v>0</v>
      </c>
      <c r="AK24" s="105">
        <v>0</v>
      </c>
      <c r="AL24" s="105">
        <v>0</v>
      </c>
      <c r="AM24" s="105">
        <v>0</v>
      </c>
      <c r="AN24" s="105">
        <v>0</v>
      </c>
      <c r="AO24" s="105">
        <v>0</v>
      </c>
      <c r="AP24" s="105">
        <v>0</v>
      </c>
      <c r="AQ24" s="105">
        <v>0</v>
      </c>
      <c r="AR24" s="105">
        <v>10.108733608601842</v>
      </c>
      <c r="AS24" s="105">
        <v>3081.1420039018417</v>
      </c>
      <c r="AT24" s="105">
        <v>0</v>
      </c>
      <c r="AU24" s="105">
        <v>0</v>
      </c>
      <c r="AV24" s="105">
        <v>0</v>
      </c>
      <c r="AW24" s="105">
        <v>0</v>
      </c>
      <c r="AX24" s="105">
        <v>0</v>
      </c>
      <c r="AY24" s="105">
        <v>0</v>
      </c>
      <c r="AZ24" s="105">
        <v>0</v>
      </c>
      <c r="BA24" s="105">
        <v>0</v>
      </c>
      <c r="BB24" s="105">
        <v>0</v>
      </c>
      <c r="BC24" s="105">
        <v>0</v>
      </c>
      <c r="BD24" s="105">
        <v>0</v>
      </c>
      <c r="BE24" s="105">
        <v>0</v>
      </c>
      <c r="BF24" s="105">
        <v>0</v>
      </c>
      <c r="BG24" s="105">
        <v>0</v>
      </c>
      <c r="BH24" s="105">
        <v>0</v>
      </c>
      <c r="BI24" s="105">
        <v>0</v>
      </c>
      <c r="BJ24" s="105">
        <v>0</v>
      </c>
      <c r="BK24" s="105">
        <v>0</v>
      </c>
      <c r="BL24" s="105">
        <v>0</v>
      </c>
      <c r="BM24" s="105">
        <v>0</v>
      </c>
      <c r="BN24" s="105">
        <v>0</v>
      </c>
      <c r="BO24" s="105">
        <v>0</v>
      </c>
      <c r="BP24" s="105">
        <v>0</v>
      </c>
      <c r="BQ24" s="105">
        <v>0</v>
      </c>
      <c r="BR24" s="105">
        <v>0</v>
      </c>
      <c r="BS24" s="105">
        <v>0</v>
      </c>
      <c r="BT24" s="105">
        <v>0</v>
      </c>
      <c r="BU24" s="105">
        <v>0</v>
      </c>
      <c r="BV24" s="105">
        <v>0.13412586994656006</v>
      </c>
      <c r="BW24" s="105">
        <v>40.881565159711506</v>
      </c>
      <c r="BX24" s="105">
        <v>0</v>
      </c>
      <c r="BY24" s="105">
        <v>0</v>
      </c>
      <c r="BZ24" s="105">
        <v>0</v>
      </c>
      <c r="CA24" s="105">
        <v>0</v>
      </c>
      <c r="CB24" s="105">
        <v>0</v>
      </c>
      <c r="CC24" s="105">
        <v>0</v>
      </c>
      <c r="CD24" s="105">
        <v>0</v>
      </c>
      <c r="CE24" s="105">
        <v>0</v>
      </c>
      <c r="CF24" s="105">
        <v>0</v>
      </c>
      <c r="CG24" s="105">
        <v>0</v>
      </c>
      <c r="CH24" s="105">
        <v>0</v>
      </c>
      <c r="CI24" s="105">
        <v>0</v>
      </c>
      <c r="CJ24" s="105">
        <v>0</v>
      </c>
      <c r="CK24" s="105">
        <v>0</v>
      </c>
      <c r="CL24" s="105">
        <v>0</v>
      </c>
      <c r="CM24" s="105">
        <v>0</v>
      </c>
      <c r="CN24" s="105">
        <v>0</v>
      </c>
      <c r="CO24" s="105">
        <v>0</v>
      </c>
      <c r="CP24" s="105">
        <v>0</v>
      </c>
      <c r="CQ24" s="105">
        <v>0</v>
      </c>
      <c r="CR24" s="105">
        <v>0</v>
      </c>
      <c r="CS24" s="105">
        <v>0</v>
      </c>
      <c r="CT24" s="105">
        <v>0</v>
      </c>
      <c r="CU24" s="105">
        <v>0</v>
      </c>
    </row>
    <row r="25" spans="2:99" x14ac:dyDescent="0.2">
      <c r="C25" s="104" t="s">
        <v>191</v>
      </c>
      <c r="D25" s="105">
        <v>0</v>
      </c>
      <c r="E25" s="105">
        <v>0</v>
      </c>
      <c r="F25" s="105">
        <v>0</v>
      </c>
      <c r="G25" s="105">
        <v>0</v>
      </c>
      <c r="H25" s="105">
        <v>0</v>
      </c>
      <c r="I25" s="105">
        <v>0</v>
      </c>
      <c r="J25" s="105">
        <v>0</v>
      </c>
      <c r="K25" s="105">
        <v>0</v>
      </c>
      <c r="L25" s="105">
        <v>0</v>
      </c>
      <c r="M25" s="105">
        <v>0</v>
      </c>
      <c r="N25" s="105">
        <v>0</v>
      </c>
      <c r="O25" s="105">
        <v>0</v>
      </c>
      <c r="P25" s="105">
        <v>0</v>
      </c>
      <c r="Q25" s="105">
        <v>0</v>
      </c>
      <c r="R25" s="105">
        <v>0</v>
      </c>
      <c r="S25" s="105">
        <v>0</v>
      </c>
      <c r="T25" s="105">
        <v>0</v>
      </c>
      <c r="U25" s="105">
        <v>0</v>
      </c>
      <c r="V25" s="105">
        <v>0</v>
      </c>
      <c r="W25" s="105">
        <v>0</v>
      </c>
      <c r="X25" s="105">
        <v>0</v>
      </c>
      <c r="Y25" s="105">
        <v>0</v>
      </c>
      <c r="Z25" s="105">
        <v>0</v>
      </c>
      <c r="AA25" s="105">
        <v>0</v>
      </c>
      <c r="AB25" s="105">
        <v>11.590155919596127</v>
      </c>
      <c r="AC25" s="105">
        <v>3769.1187050526601</v>
      </c>
      <c r="AD25" s="105">
        <v>0</v>
      </c>
      <c r="AE25" s="105">
        <v>0</v>
      </c>
      <c r="AF25" s="105">
        <v>0</v>
      </c>
      <c r="AG25" s="105">
        <v>0</v>
      </c>
      <c r="AH25" s="105">
        <v>13.313319389752218</v>
      </c>
      <c r="AI25" s="105">
        <v>4329.4914655474213</v>
      </c>
      <c r="AJ25" s="105">
        <v>0</v>
      </c>
      <c r="AK25" s="105">
        <v>0</v>
      </c>
      <c r="AL25" s="105">
        <v>0</v>
      </c>
      <c r="AM25" s="105">
        <v>0</v>
      </c>
      <c r="AN25" s="105">
        <v>0</v>
      </c>
      <c r="AO25" s="105">
        <v>0</v>
      </c>
      <c r="AP25" s="105">
        <v>0</v>
      </c>
      <c r="AQ25" s="105">
        <v>0</v>
      </c>
      <c r="AR25" s="105">
        <v>8.4913362312255458</v>
      </c>
      <c r="AS25" s="105">
        <v>2761.3825423945473</v>
      </c>
      <c r="AT25" s="105">
        <v>0</v>
      </c>
      <c r="AU25" s="105">
        <v>0</v>
      </c>
      <c r="AV25" s="105">
        <v>0</v>
      </c>
      <c r="AW25" s="105">
        <v>0</v>
      </c>
      <c r="AX25" s="105">
        <v>0</v>
      </c>
      <c r="AY25" s="105">
        <v>0</v>
      </c>
      <c r="AZ25" s="105">
        <v>0</v>
      </c>
      <c r="BA25" s="105">
        <v>0</v>
      </c>
      <c r="BB25" s="105">
        <v>0</v>
      </c>
      <c r="BC25" s="105">
        <v>0</v>
      </c>
      <c r="BD25" s="105">
        <v>0</v>
      </c>
      <c r="BE25" s="105">
        <v>0</v>
      </c>
      <c r="BF25" s="105">
        <v>0</v>
      </c>
      <c r="BG25" s="105">
        <v>0</v>
      </c>
      <c r="BH25" s="105">
        <v>0</v>
      </c>
      <c r="BI25" s="105">
        <v>0</v>
      </c>
      <c r="BJ25" s="105">
        <v>0</v>
      </c>
      <c r="BK25" s="105">
        <v>0</v>
      </c>
      <c r="BL25" s="105">
        <v>0</v>
      </c>
      <c r="BM25" s="105">
        <v>0</v>
      </c>
      <c r="BN25" s="105">
        <v>0</v>
      </c>
      <c r="BO25" s="105">
        <v>0</v>
      </c>
      <c r="BP25" s="105">
        <v>0</v>
      </c>
      <c r="BQ25" s="105">
        <v>0</v>
      </c>
      <c r="BR25" s="105">
        <v>0</v>
      </c>
      <c r="BS25" s="105">
        <v>0</v>
      </c>
      <c r="BT25" s="105">
        <v>0</v>
      </c>
      <c r="BU25" s="105">
        <v>0</v>
      </c>
      <c r="BV25" s="105">
        <v>0.14277915187859616</v>
      </c>
      <c r="BW25" s="105">
        <v>46.431780190919469</v>
      </c>
      <c r="BX25" s="105">
        <v>0</v>
      </c>
      <c r="BY25" s="105">
        <v>0</v>
      </c>
      <c r="BZ25" s="105">
        <v>0</v>
      </c>
      <c r="CA25" s="105">
        <v>0</v>
      </c>
      <c r="CB25" s="105">
        <v>0</v>
      </c>
      <c r="CC25" s="105">
        <v>0</v>
      </c>
      <c r="CD25" s="105">
        <v>0</v>
      </c>
      <c r="CE25" s="105">
        <v>0</v>
      </c>
      <c r="CF25" s="105">
        <v>0</v>
      </c>
      <c r="CG25" s="105">
        <v>0</v>
      </c>
      <c r="CH25" s="105">
        <v>0</v>
      </c>
      <c r="CI25" s="105">
        <v>0</v>
      </c>
      <c r="CJ25" s="105">
        <v>0</v>
      </c>
      <c r="CK25" s="105">
        <v>0</v>
      </c>
      <c r="CL25" s="105">
        <v>0</v>
      </c>
      <c r="CM25" s="105">
        <v>0</v>
      </c>
      <c r="CN25" s="105">
        <v>0</v>
      </c>
      <c r="CO25" s="105">
        <v>0</v>
      </c>
      <c r="CP25" s="105">
        <v>0</v>
      </c>
      <c r="CQ25" s="105">
        <v>0</v>
      </c>
      <c r="CR25" s="105">
        <v>0</v>
      </c>
      <c r="CS25" s="105">
        <v>0</v>
      </c>
      <c r="CT25" s="105">
        <v>0</v>
      </c>
      <c r="CU25" s="105">
        <v>0</v>
      </c>
    </row>
    <row r="26" spans="2:99" x14ac:dyDescent="0.2">
      <c r="C26" s="104" t="s">
        <v>192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</v>
      </c>
      <c r="S26" s="105">
        <v>0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13.038925409545643</v>
      </c>
      <c r="AC26" s="105">
        <v>3739.5638074576905</v>
      </c>
      <c r="AD26" s="105">
        <v>0</v>
      </c>
      <c r="AE26" s="105">
        <v>0</v>
      </c>
      <c r="AF26" s="105">
        <v>0</v>
      </c>
      <c r="AG26" s="105">
        <v>0</v>
      </c>
      <c r="AH26" s="105">
        <v>13.845852165342304</v>
      </c>
      <c r="AI26" s="105">
        <v>3970.9904010201731</v>
      </c>
      <c r="AJ26" s="105">
        <v>0</v>
      </c>
      <c r="AK26" s="105">
        <v>0</v>
      </c>
      <c r="AL26" s="105">
        <v>0</v>
      </c>
      <c r="AM26" s="105">
        <v>0</v>
      </c>
      <c r="AN26" s="105">
        <v>0</v>
      </c>
      <c r="AO26" s="105">
        <v>0</v>
      </c>
      <c r="AP26" s="105">
        <v>0</v>
      </c>
      <c r="AQ26" s="105">
        <v>0</v>
      </c>
      <c r="AR26" s="105">
        <v>9.7043842642577669</v>
      </c>
      <c r="AS26" s="105">
        <v>2783.2174069891275</v>
      </c>
      <c r="AT26" s="105">
        <v>0</v>
      </c>
      <c r="AU26" s="105">
        <v>0</v>
      </c>
      <c r="AV26" s="105">
        <v>0</v>
      </c>
      <c r="AW26" s="105">
        <v>0</v>
      </c>
      <c r="AX26" s="105">
        <v>0</v>
      </c>
      <c r="AY26" s="105">
        <v>0</v>
      </c>
      <c r="AZ26" s="105">
        <v>0</v>
      </c>
      <c r="BA26" s="105">
        <v>0</v>
      </c>
      <c r="BB26" s="105">
        <v>0</v>
      </c>
      <c r="BC26" s="105">
        <v>0</v>
      </c>
      <c r="BD26" s="105">
        <v>0</v>
      </c>
      <c r="BE26" s="105">
        <v>0</v>
      </c>
      <c r="BF26" s="105">
        <v>0</v>
      </c>
      <c r="BG26" s="105">
        <v>0</v>
      </c>
      <c r="BH26" s="105">
        <v>0</v>
      </c>
      <c r="BI26" s="105">
        <v>0</v>
      </c>
      <c r="BJ26" s="105">
        <v>0</v>
      </c>
      <c r="BK26" s="105">
        <v>0</v>
      </c>
      <c r="BL26" s="105">
        <v>0</v>
      </c>
      <c r="BM26" s="105">
        <v>0</v>
      </c>
      <c r="BN26" s="105">
        <v>0</v>
      </c>
      <c r="BO26" s="105">
        <v>0</v>
      </c>
      <c r="BP26" s="105">
        <v>0</v>
      </c>
      <c r="BQ26" s="105">
        <v>0</v>
      </c>
      <c r="BR26" s="105">
        <v>0</v>
      </c>
      <c r="BS26" s="105">
        <v>0</v>
      </c>
      <c r="BT26" s="105">
        <v>0</v>
      </c>
      <c r="BU26" s="105">
        <v>0</v>
      </c>
      <c r="BV26" s="105">
        <v>0.14710579284461425</v>
      </c>
      <c r="BW26" s="105">
        <v>42.189941387835368</v>
      </c>
      <c r="BX26" s="105">
        <v>0</v>
      </c>
      <c r="BY26" s="105">
        <v>0</v>
      </c>
      <c r="BZ26" s="105">
        <v>0</v>
      </c>
      <c r="CA26" s="105">
        <v>0</v>
      </c>
      <c r="CB26" s="105">
        <v>0</v>
      </c>
      <c r="CC26" s="105">
        <v>0</v>
      </c>
      <c r="CD26" s="105">
        <v>0</v>
      </c>
      <c r="CE26" s="105">
        <v>0</v>
      </c>
      <c r="CF26" s="105">
        <v>0</v>
      </c>
      <c r="CG26" s="105">
        <v>0</v>
      </c>
      <c r="CH26" s="105">
        <v>0</v>
      </c>
      <c r="CI26" s="105">
        <v>0</v>
      </c>
      <c r="CJ26" s="105">
        <v>0</v>
      </c>
      <c r="CK26" s="105">
        <v>0</v>
      </c>
      <c r="CL26" s="105">
        <v>0</v>
      </c>
      <c r="CM26" s="105">
        <v>0</v>
      </c>
      <c r="CN26" s="105">
        <v>0</v>
      </c>
      <c r="CO26" s="105">
        <v>0</v>
      </c>
      <c r="CP26" s="105">
        <v>0</v>
      </c>
      <c r="CQ26" s="105">
        <v>0</v>
      </c>
      <c r="CR26" s="105">
        <v>0</v>
      </c>
      <c r="CS26" s="105">
        <v>0</v>
      </c>
      <c r="CT26" s="105">
        <v>0</v>
      </c>
      <c r="CU26" s="105">
        <v>0</v>
      </c>
    </row>
    <row r="27" spans="2:99" x14ac:dyDescent="0.2">
      <c r="C27" s="104" t="s">
        <v>193</v>
      </c>
      <c r="D27" s="105">
        <v>0</v>
      </c>
      <c r="E27" s="105">
        <v>0</v>
      </c>
      <c r="F27" s="105">
        <v>0</v>
      </c>
      <c r="G27" s="105">
        <v>0</v>
      </c>
      <c r="H27" s="105">
        <v>0</v>
      </c>
      <c r="I27" s="105">
        <v>0</v>
      </c>
      <c r="J27" s="105">
        <v>0</v>
      </c>
      <c r="K27" s="105">
        <v>0</v>
      </c>
      <c r="L27" s="105">
        <v>0</v>
      </c>
      <c r="M27" s="105">
        <v>0</v>
      </c>
      <c r="N27" s="105">
        <v>0</v>
      </c>
      <c r="O27" s="105">
        <v>0</v>
      </c>
      <c r="P27" s="105">
        <v>0</v>
      </c>
      <c r="Q27" s="105">
        <v>0</v>
      </c>
      <c r="R27" s="105">
        <v>0</v>
      </c>
      <c r="S27" s="105">
        <v>0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12.314540664570883</v>
      </c>
      <c r="AC27" s="105">
        <v>3886.46903373857</v>
      </c>
      <c r="AD27" s="105">
        <v>0</v>
      </c>
      <c r="AE27" s="105">
        <v>0</v>
      </c>
      <c r="AF27" s="105">
        <v>0</v>
      </c>
      <c r="AG27" s="105">
        <v>0</v>
      </c>
      <c r="AH27" s="105">
        <v>15.44345049211257</v>
      </c>
      <c r="AI27" s="105">
        <v>4873.9529753107263</v>
      </c>
      <c r="AJ27" s="105">
        <v>0</v>
      </c>
      <c r="AK27" s="105">
        <v>0</v>
      </c>
      <c r="AL27" s="105">
        <v>0</v>
      </c>
      <c r="AM27" s="105">
        <v>0</v>
      </c>
      <c r="AN27" s="105">
        <v>0</v>
      </c>
      <c r="AO27" s="105">
        <v>0</v>
      </c>
      <c r="AP27" s="105">
        <v>0</v>
      </c>
      <c r="AQ27" s="105">
        <v>0</v>
      </c>
      <c r="AR27" s="105">
        <v>9.3000349199136938</v>
      </c>
      <c r="AS27" s="105">
        <v>2935.0910207247616</v>
      </c>
      <c r="AT27" s="105">
        <v>0</v>
      </c>
      <c r="AU27" s="105">
        <v>0</v>
      </c>
      <c r="AV27" s="105">
        <v>0</v>
      </c>
      <c r="AW27" s="105">
        <v>0</v>
      </c>
      <c r="AX27" s="105">
        <v>0</v>
      </c>
      <c r="AY27" s="105">
        <v>0</v>
      </c>
      <c r="AZ27" s="105">
        <v>0</v>
      </c>
      <c r="BA27" s="105">
        <v>0</v>
      </c>
      <c r="BB27" s="105">
        <v>0</v>
      </c>
      <c r="BC27" s="105">
        <v>0</v>
      </c>
      <c r="BD27" s="105">
        <v>0</v>
      </c>
      <c r="BE27" s="105">
        <v>0</v>
      </c>
      <c r="BF27" s="105">
        <v>0</v>
      </c>
      <c r="BG27" s="105">
        <v>0</v>
      </c>
      <c r="BH27" s="105">
        <v>0</v>
      </c>
      <c r="BI27" s="105">
        <v>0</v>
      </c>
      <c r="BJ27" s="105">
        <v>0</v>
      </c>
      <c r="BK27" s="105">
        <v>0</v>
      </c>
      <c r="BL27" s="105">
        <v>0</v>
      </c>
      <c r="BM27" s="105">
        <v>0</v>
      </c>
      <c r="BN27" s="105">
        <v>0</v>
      </c>
      <c r="BO27" s="105">
        <v>0</v>
      </c>
      <c r="BP27" s="105">
        <v>0</v>
      </c>
      <c r="BQ27" s="105">
        <v>0</v>
      </c>
      <c r="BR27" s="105">
        <v>0</v>
      </c>
      <c r="BS27" s="105">
        <v>0</v>
      </c>
      <c r="BT27" s="105">
        <v>0</v>
      </c>
      <c r="BU27" s="105">
        <v>0</v>
      </c>
      <c r="BV27" s="105">
        <v>0.14277915187859616</v>
      </c>
      <c r="BW27" s="105">
        <v>45.061100332884941</v>
      </c>
      <c r="BX27" s="105">
        <v>0</v>
      </c>
      <c r="BY27" s="105">
        <v>0</v>
      </c>
      <c r="BZ27" s="105">
        <v>0</v>
      </c>
      <c r="CA27" s="105">
        <v>0</v>
      </c>
      <c r="CB27" s="105">
        <v>0</v>
      </c>
      <c r="CC27" s="105">
        <v>0</v>
      </c>
      <c r="CD27" s="105">
        <v>0</v>
      </c>
      <c r="CE27" s="105">
        <v>0</v>
      </c>
      <c r="CF27" s="105">
        <v>0</v>
      </c>
      <c r="CG27" s="105">
        <v>0</v>
      </c>
      <c r="CH27" s="105">
        <v>0</v>
      </c>
      <c r="CI27" s="105">
        <v>0</v>
      </c>
      <c r="CJ27" s="105">
        <v>0</v>
      </c>
      <c r="CK27" s="105">
        <v>0</v>
      </c>
      <c r="CL27" s="105">
        <v>0</v>
      </c>
      <c r="CM27" s="105">
        <v>0</v>
      </c>
      <c r="CN27" s="105">
        <v>0</v>
      </c>
      <c r="CO27" s="105">
        <v>0</v>
      </c>
      <c r="CP27" s="105">
        <v>0</v>
      </c>
      <c r="CQ27" s="105">
        <v>0</v>
      </c>
      <c r="CR27" s="105">
        <v>0</v>
      </c>
      <c r="CS27" s="105">
        <v>0</v>
      </c>
      <c r="CT27" s="105">
        <v>0</v>
      </c>
      <c r="CU27" s="105">
        <v>0</v>
      </c>
    </row>
    <row r="28" spans="2:99" x14ac:dyDescent="0.2">
      <c r="C28" s="104" t="s">
        <v>194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7.3379084353866517</v>
      </c>
      <c r="O28" s="105">
        <v>4209.0242785377832</v>
      </c>
      <c r="P28" s="105">
        <v>16.434795223261972</v>
      </c>
      <c r="Q28" s="105">
        <v>9426.9985400630667</v>
      </c>
      <c r="R28" s="105">
        <v>19.125508750976159</v>
      </c>
      <c r="S28" s="105">
        <v>10970.391819559925</v>
      </c>
      <c r="T28" s="105">
        <v>12.522654539329626</v>
      </c>
      <c r="U28" s="105">
        <v>7182.9946437594735</v>
      </c>
      <c r="V28" s="105">
        <v>22</v>
      </c>
      <c r="W28" s="105">
        <v>12619.2</v>
      </c>
      <c r="X28" s="105">
        <v>19</v>
      </c>
      <c r="Y28" s="105">
        <v>10898.4</v>
      </c>
      <c r="Z28" s="105">
        <v>20.137771909041518</v>
      </c>
      <c r="AA28" s="105">
        <v>11551.025967026215</v>
      </c>
      <c r="AB28" s="105">
        <v>15.966384537645274</v>
      </c>
      <c r="AC28" s="105">
        <v>9158.318170793329</v>
      </c>
      <c r="AD28" s="105">
        <v>22.5213632025153</v>
      </c>
      <c r="AE28" s="105">
        <v>12918.253932962776</v>
      </c>
      <c r="AF28" s="105">
        <v>18</v>
      </c>
      <c r="AG28" s="105">
        <v>10324.800000000001</v>
      </c>
      <c r="AH28" s="105">
        <v>25</v>
      </c>
      <c r="AI28" s="105">
        <v>14340</v>
      </c>
      <c r="AJ28" s="105">
        <v>23</v>
      </c>
      <c r="AK28" s="105">
        <v>13192.800000000001</v>
      </c>
      <c r="AL28" s="105">
        <v>20.130530025926838</v>
      </c>
      <c r="AM28" s="105">
        <v>11546.872022871634</v>
      </c>
      <c r="AN28" s="105">
        <v>17.204268851206216</v>
      </c>
      <c r="AO28" s="105">
        <v>9868.3686130518854</v>
      </c>
      <c r="AP28" s="105">
        <v>17.326719163314447</v>
      </c>
      <c r="AQ28" s="105">
        <v>9938.6061120771665</v>
      </c>
      <c r="AR28" s="105">
        <v>23</v>
      </c>
      <c r="AS28" s="105">
        <v>13192.800000000001</v>
      </c>
      <c r="AT28" s="105">
        <v>21</v>
      </c>
      <c r="AU28" s="105">
        <v>12045.6</v>
      </c>
      <c r="AV28" s="105">
        <v>27</v>
      </c>
      <c r="AW28" s="105">
        <v>15487.2</v>
      </c>
      <c r="AX28" s="105">
        <v>19.071061483357745</v>
      </c>
      <c r="AY28" s="105">
        <v>10939.160866854003</v>
      </c>
      <c r="AZ28" s="105">
        <v>21.204004005245256</v>
      </c>
      <c r="BA28" s="105">
        <v>12162.616697408679</v>
      </c>
      <c r="BB28" s="105">
        <v>17.26360730226121</v>
      </c>
      <c r="BC28" s="105">
        <v>9902.4051485770306</v>
      </c>
      <c r="BD28" s="105">
        <v>33</v>
      </c>
      <c r="BE28" s="105">
        <v>18928.8</v>
      </c>
      <c r="BF28" s="105">
        <v>22</v>
      </c>
      <c r="BG28" s="105">
        <v>12619.2</v>
      </c>
      <c r="BH28" s="105">
        <v>28</v>
      </c>
      <c r="BI28" s="105">
        <v>16060.800000000001</v>
      </c>
      <c r="BJ28" s="105">
        <v>21</v>
      </c>
      <c r="BK28" s="105">
        <v>12045.6</v>
      </c>
      <c r="BL28" s="105">
        <v>16</v>
      </c>
      <c r="BM28" s="105">
        <v>9177.6</v>
      </c>
      <c r="BN28" s="105">
        <v>32</v>
      </c>
      <c r="BO28" s="105">
        <v>18355.2</v>
      </c>
      <c r="BP28" s="105">
        <v>25</v>
      </c>
      <c r="BQ28" s="105">
        <v>14340</v>
      </c>
      <c r="BR28" s="105">
        <v>18</v>
      </c>
      <c r="BS28" s="105">
        <v>10324.800000000001</v>
      </c>
      <c r="BT28" s="105">
        <v>18</v>
      </c>
      <c r="BU28" s="105">
        <v>10324.800000000001</v>
      </c>
      <c r="BV28" s="105">
        <v>24.451744226490149</v>
      </c>
      <c r="BW28" s="105">
        <v>14025.520488314751</v>
      </c>
      <c r="BX28" s="105">
        <v>28</v>
      </c>
      <c r="BY28" s="105">
        <v>16060.800000000001</v>
      </c>
      <c r="BZ28" s="105">
        <v>21.655117131947296</v>
      </c>
      <c r="CA28" s="105">
        <v>12421.37518688497</v>
      </c>
      <c r="CB28" s="105">
        <v>18.618247755752055</v>
      </c>
      <c r="CC28" s="105">
        <v>10679.426912699379</v>
      </c>
      <c r="CD28" s="105">
        <v>27.681657402728646</v>
      </c>
      <c r="CE28" s="105">
        <v>15878.198686205153</v>
      </c>
      <c r="CF28" s="105">
        <v>12.488095244153723</v>
      </c>
      <c r="CG28" s="105">
        <v>7163.1714320465753</v>
      </c>
      <c r="CH28" s="105">
        <v>16.186526268850635</v>
      </c>
      <c r="CI28" s="105">
        <v>9284.5914678127247</v>
      </c>
      <c r="CJ28" s="105">
        <v>21</v>
      </c>
      <c r="CK28" s="105">
        <v>12045.6</v>
      </c>
      <c r="CL28" s="105">
        <v>21.703428403884828</v>
      </c>
      <c r="CM28" s="105">
        <v>12449.086532468338</v>
      </c>
      <c r="CN28" s="105">
        <v>11.55756994392927</v>
      </c>
      <c r="CO28" s="105">
        <v>6629.4221198378291</v>
      </c>
      <c r="CP28" s="105">
        <v>29.519984670581579</v>
      </c>
      <c r="CQ28" s="105">
        <v>16932.663207045593</v>
      </c>
      <c r="CR28" s="105">
        <v>24</v>
      </c>
      <c r="CS28" s="105">
        <v>13766.400000000001</v>
      </c>
      <c r="CT28" s="105">
        <v>23.550971995570862</v>
      </c>
      <c r="CU28" s="105">
        <v>13508.837536659446</v>
      </c>
    </row>
    <row r="29" spans="2:99" x14ac:dyDescent="0.2">
      <c r="C29" s="104" t="s">
        <v>195</v>
      </c>
      <c r="D29" s="105">
        <v>0</v>
      </c>
      <c r="E29" s="105">
        <v>0</v>
      </c>
      <c r="F29" s="105">
        <v>0</v>
      </c>
      <c r="G29" s="105">
        <v>0</v>
      </c>
      <c r="H29" s="105">
        <v>0</v>
      </c>
      <c r="I29" s="105">
        <v>0</v>
      </c>
      <c r="J29" s="105">
        <v>0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0</v>
      </c>
      <c r="Q29" s="105">
        <v>0</v>
      </c>
      <c r="R29" s="105">
        <v>0</v>
      </c>
      <c r="S29" s="105">
        <v>0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12.314540664570883</v>
      </c>
      <c r="AC29" s="105">
        <v>2896.3799643070715</v>
      </c>
      <c r="AD29" s="105">
        <v>0</v>
      </c>
      <c r="AE29" s="105">
        <v>0</v>
      </c>
      <c r="AF29" s="105">
        <v>0</v>
      </c>
      <c r="AG29" s="105">
        <v>0</v>
      </c>
      <c r="AH29" s="105">
        <v>12.780786614162128</v>
      </c>
      <c r="AI29" s="105">
        <v>3006.0410116509324</v>
      </c>
      <c r="AJ29" s="105">
        <v>0</v>
      </c>
      <c r="AK29" s="105">
        <v>0</v>
      </c>
      <c r="AL29" s="105">
        <v>0</v>
      </c>
      <c r="AM29" s="105">
        <v>0</v>
      </c>
      <c r="AN29" s="105">
        <v>0</v>
      </c>
      <c r="AO29" s="105">
        <v>0</v>
      </c>
      <c r="AP29" s="105">
        <v>0</v>
      </c>
      <c r="AQ29" s="105">
        <v>0</v>
      </c>
      <c r="AR29" s="105">
        <v>10.108733608601842</v>
      </c>
      <c r="AS29" s="105">
        <v>2377.5741447431533</v>
      </c>
      <c r="AT29" s="105">
        <v>0</v>
      </c>
      <c r="AU29" s="105">
        <v>0</v>
      </c>
      <c r="AV29" s="105">
        <v>0</v>
      </c>
      <c r="AW29" s="105">
        <v>0</v>
      </c>
      <c r="AX29" s="105">
        <v>0</v>
      </c>
      <c r="AY29" s="105">
        <v>0</v>
      </c>
      <c r="AZ29" s="105">
        <v>0</v>
      </c>
      <c r="BA29" s="105">
        <v>0</v>
      </c>
      <c r="BB29" s="105">
        <v>0</v>
      </c>
      <c r="BC29" s="105">
        <v>0</v>
      </c>
      <c r="BD29" s="105">
        <v>0</v>
      </c>
      <c r="BE29" s="105">
        <v>0</v>
      </c>
      <c r="BF29" s="105">
        <v>0</v>
      </c>
      <c r="BG29" s="105">
        <v>0</v>
      </c>
      <c r="BH29" s="105">
        <v>0</v>
      </c>
      <c r="BI29" s="105">
        <v>0</v>
      </c>
      <c r="BJ29" s="105">
        <v>0</v>
      </c>
      <c r="BK29" s="105">
        <v>0</v>
      </c>
      <c r="BL29" s="105">
        <v>0</v>
      </c>
      <c r="BM29" s="105">
        <v>0</v>
      </c>
      <c r="BN29" s="105">
        <v>0</v>
      </c>
      <c r="BO29" s="105">
        <v>0</v>
      </c>
      <c r="BP29" s="105">
        <v>0</v>
      </c>
      <c r="BQ29" s="105">
        <v>0</v>
      </c>
      <c r="BR29" s="105">
        <v>0</v>
      </c>
      <c r="BS29" s="105">
        <v>0</v>
      </c>
      <c r="BT29" s="105">
        <v>0</v>
      </c>
      <c r="BU29" s="105">
        <v>0</v>
      </c>
      <c r="BV29" s="105">
        <v>0.14710579284461425</v>
      </c>
      <c r="BW29" s="105">
        <v>34.599282477053272</v>
      </c>
      <c r="BX29" s="105">
        <v>0</v>
      </c>
      <c r="BY29" s="105">
        <v>0</v>
      </c>
      <c r="BZ29" s="105">
        <v>0</v>
      </c>
      <c r="CA29" s="105">
        <v>0</v>
      </c>
      <c r="CB29" s="105">
        <v>0</v>
      </c>
      <c r="CC29" s="105">
        <v>0</v>
      </c>
      <c r="CD29" s="105">
        <v>0</v>
      </c>
      <c r="CE29" s="105">
        <v>0</v>
      </c>
      <c r="CF29" s="105">
        <v>0</v>
      </c>
      <c r="CG29" s="105">
        <v>0</v>
      </c>
      <c r="CH29" s="105">
        <v>0</v>
      </c>
      <c r="CI29" s="105">
        <v>0</v>
      </c>
      <c r="CJ29" s="105">
        <v>0</v>
      </c>
      <c r="CK29" s="105">
        <v>0</v>
      </c>
      <c r="CL29" s="105">
        <v>0</v>
      </c>
      <c r="CM29" s="105">
        <v>0</v>
      </c>
      <c r="CN29" s="105">
        <v>0</v>
      </c>
      <c r="CO29" s="105">
        <v>0</v>
      </c>
      <c r="CP29" s="105">
        <v>0</v>
      </c>
      <c r="CQ29" s="105">
        <v>0</v>
      </c>
      <c r="CR29" s="105">
        <v>0</v>
      </c>
      <c r="CS29" s="105">
        <v>0</v>
      </c>
      <c r="CT29" s="105">
        <v>0</v>
      </c>
      <c r="CU29" s="105">
        <v>0</v>
      </c>
    </row>
    <row r="30" spans="2:99" x14ac:dyDescent="0.2">
      <c r="C30" s="104" t="s">
        <v>196</v>
      </c>
      <c r="D30" s="105">
        <v>0</v>
      </c>
      <c r="E30" s="105">
        <v>0</v>
      </c>
      <c r="F30" s="105">
        <v>0</v>
      </c>
      <c r="G30" s="105">
        <v>0</v>
      </c>
      <c r="H30" s="105">
        <v>0</v>
      </c>
      <c r="I30" s="105">
        <v>0</v>
      </c>
      <c r="J30" s="105">
        <v>0</v>
      </c>
      <c r="K30" s="105">
        <v>0</v>
      </c>
      <c r="L30" s="105">
        <v>0</v>
      </c>
      <c r="M30" s="105">
        <v>0</v>
      </c>
      <c r="N30" s="105">
        <v>0</v>
      </c>
      <c r="O30" s="105">
        <v>0</v>
      </c>
      <c r="P30" s="105">
        <v>0</v>
      </c>
      <c r="Q30" s="105">
        <v>0</v>
      </c>
      <c r="R30" s="105">
        <v>0</v>
      </c>
      <c r="S30" s="105">
        <v>0</v>
      </c>
      <c r="T30" s="105">
        <v>0</v>
      </c>
      <c r="U30" s="105">
        <v>0</v>
      </c>
      <c r="V30" s="105">
        <v>0</v>
      </c>
      <c r="W30" s="105">
        <v>0</v>
      </c>
      <c r="X30" s="105">
        <v>0</v>
      </c>
      <c r="Y30" s="105">
        <v>0</v>
      </c>
      <c r="Z30" s="105">
        <v>0</v>
      </c>
      <c r="AA30" s="105">
        <v>0</v>
      </c>
      <c r="AB30" s="105">
        <v>13.038925409545643</v>
      </c>
      <c r="AC30" s="105">
        <v>3019.8151248507706</v>
      </c>
      <c r="AD30" s="105">
        <v>0</v>
      </c>
      <c r="AE30" s="105">
        <v>0</v>
      </c>
      <c r="AF30" s="105">
        <v>0</v>
      </c>
      <c r="AG30" s="105">
        <v>0</v>
      </c>
      <c r="AH30" s="105">
        <v>14.910917716522484</v>
      </c>
      <c r="AI30" s="105">
        <v>3453.368543146607</v>
      </c>
      <c r="AJ30" s="105">
        <v>0</v>
      </c>
      <c r="AK30" s="105">
        <v>0</v>
      </c>
      <c r="AL30" s="105">
        <v>0</v>
      </c>
      <c r="AM30" s="105">
        <v>0</v>
      </c>
      <c r="AN30" s="105">
        <v>0</v>
      </c>
      <c r="AO30" s="105">
        <v>0</v>
      </c>
      <c r="AP30" s="105">
        <v>0</v>
      </c>
      <c r="AQ30" s="105">
        <v>0</v>
      </c>
      <c r="AR30" s="105">
        <v>8.4913362312255458</v>
      </c>
      <c r="AS30" s="105">
        <v>1966.5934711518364</v>
      </c>
      <c r="AT30" s="105">
        <v>0</v>
      </c>
      <c r="AU30" s="105">
        <v>0</v>
      </c>
      <c r="AV30" s="105">
        <v>0</v>
      </c>
      <c r="AW30" s="105">
        <v>0</v>
      </c>
      <c r="AX30" s="105">
        <v>0</v>
      </c>
      <c r="AY30" s="105">
        <v>0</v>
      </c>
      <c r="AZ30" s="105">
        <v>0</v>
      </c>
      <c r="BA30" s="105">
        <v>0</v>
      </c>
      <c r="BB30" s="105">
        <v>0</v>
      </c>
      <c r="BC30" s="105">
        <v>0</v>
      </c>
      <c r="BD30" s="105">
        <v>0</v>
      </c>
      <c r="BE30" s="105">
        <v>0</v>
      </c>
      <c r="BF30" s="105">
        <v>0</v>
      </c>
      <c r="BG30" s="105">
        <v>0</v>
      </c>
      <c r="BH30" s="105">
        <v>0</v>
      </c>
      <c r="BI30" s="105">
        <v>0</v>
      </c>
      <c r="BJ30" s="105">
        <v>0</v>
      </c>
      <c r="BK30" s="105">
        <v>0</v>
      </c>
      <c r="BL30" s="105">
        <v>0</v>
      </c>
      <c r="BM30" s="105">
        <v>0</v>
      </c>
      <c r="BN30" s="105">
        <v>0</v>
      </c>
      <c r="BO30" s="105">
        <v>0</v>
      </c>
      <c r="BP30" s="105">
        <v>0</v>
      </c>
      <c r="BQ30" s="105">
        <v>0</v>
      </c>
      <c r="BR30" s="105">
        <v>0</v>
      </c>
      <c r="BS30" s="105">
        <v>0</v>
      </c>
      <c r="BT30" s="105">
        <v>0</v>
      </c>
      <c r="BU30" s="105">
        <v>0</v>
      </c>
      <c r="BV30" s="105">
        <v>0.1384525109125781</v>
      </c>
      <c r="BW30" s="105">
        <v>32.065601527353088</v>
      </c>
      <c r="BX30" s="105">
        <v>0</v>
      </c>
      <c r="BY30" s="105">
        <v>0</v>
      </c>
      <c r="BZ30" s="105">
        <v>0</v>
      </c>
      <c r="CA30" s="105">
        <v>0</v>
      </c>
      <c r="CB30" s="105">
        <v>0</v>
      </c>
      <c r="CC30" s="105">
        <v>0</v>
      </c>
      <c r="CD30" s="105">
        <v>0</v>
      </c>
      <c r="CE30" s="105">
        <v>0</v>
      </c>
      <c r="CF30" s="105">
        <v>0</v>
      </c>
      <c r="CG30" s="105">
        <v>0</v>
      </c>
      <c r="CH30" s="105">
        <v>0</v>
      </c>
      <c r="CI30" s="105">
        <v>0</v>
      </c>
      <c r="CJ30" s="105">
        <v>0</v>
      </c>
      <c r="CK30" s="105">
        <v>0</v>
      </c>
      <c r="CL30" s="105">
        <v>0</v>
      </c>
      <c r="CM30" s="105">
        <v>0</v>
      </c>
      <c r="CN30" s="105">
        <v>0</v>
      </c>
      <c r="CO30" s="105">
        <v>0</v>
      </c>
      <c r="CP30" s="105">
        <v>0</v>
      </c>
      <c r="CQ30" s="105">
        <v>0</v>
      </c>
      <c r="CR30" s="105">
        <v>0</v>
      </c>
      <c r="CS30" s="105">
        <v>0</v>
      </c>
      <c r="CT30" s="105">
        <v>0</v>
      </c>
      <c r="CU30" s="105">
        <v>0</v>
      </c>
    </row>
    <row r="31" spans="2:99" x14ac:dyDescent="0.2">
      <c r="C31" s="104" t="s">
        <v>197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0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13.038925409545643</v>
      </c>
      <c r="AC31" s="105">
        <v>2315.7131527353063</v>
      </c>
      <c r="AD31" s="105">
        <v>0</v>
      </c>
      <c r="AE31" s="105">
        <v>0</v>
      </c>
      <c r="AF31" s="105">
        <v>0</v>
      </c>
      <c r="AG31" s="105">
        <v>0</v>
      </c>
      <c r="AH31" s="105">
        <v>13.313319389752218</v>
      </c>
      <c r="AI31" s="105">
        <v>2364.4455236199938</v>
      </c>
      <c r="AJ31" s="105">
        <v>0</v>
      </c>
      <c r="AK31" s="105">
        <v>0</v>
      </c>
      <c r="AL31" s="105">
        <v>0</v>
      </c>
      <c r="AM31" s="105">
        <v>0</v>
      </c>
      <c r="AN31" s="105">
        <v>0</v>
      </c>
      <c r="AO31" s="105">
        <v>0</v>
      </c>
      <c r="AP31" s="105">
        <v>0</v>
      </c>
      <c r="AQ31" s="105">
        <v>0</v>
      </c>
      <c r="AR31" s="105">
        <v>8.8956855755696207</v>
      </c>
      <c r="AS31" s="105">
        <v>1579.8737582211645</v>
      </c>
      <c r="AT31" s="105">
        <v>0</v>
      </c>
      <c r="AU31" s="105">
        <v>0</v>
      </c>
      <c r="AV31" s="105">
        <v>0</v>
      </c>
      <c r="AW31" s="105">
        <v>0</v>
      </c>
      <c r="AX31" s="105">
        <v>0</v>
      </c>
      <c r="AY31" s="105">
        <v>0</v>
      </c>
      <c r="AZ31" s="105">
        <v>0</v>
      </c>
      <c r="BA31" s="105">
        <v>0</v>
      </c>
      <c r="BB31" s="105">
        <v>0</v>
      </c>
      <c r="BC31" s="105">
        <v>0</v>
      </c>
      <c r="BD31" s="105">
        <v>0</v>
      </c>
      <c r="BE31" s="105">
        <v>0</v>
      </c>
      <c r="BF31" s="105">
        <v>0</v>
      </c>
      <c r="BG31" s="105">
        <v>0</v>
      </c>
      <c r="BH31" s="105">
        <v>0</v>
      </c>
      <c r="BI31" s="105">
        <v>0</v>
      </c>
      <c r="BJ31" s="105">
        <v>0</v>
      </c>
      <c r="BK31" s="105">
        <v>0</v>
      </c>
      <c r="BL31" s="105">
        <v>0</v>
      </c>
      <c r="BM31" s="105">
        <v>0</v>
      </c>
      <c r="BN31" s="105">
        <v>0</v>
      </c>
      <c r="BO31" s="105">
        <v>0</v>
      </c>
      <c r="BP31" s="105">
        <v>0</v>
      </c>
      <c r="BQ31" s="105">
        <v>0</v>
      </c>
      <c r="BR31" s="105">
        <v>0</v>
      </c>
      <c r="BS31" s="105">
        <v>0</v>
      </c>
      <c r="BT31" s="105">
        <v>0</v>
      </c>
      <c r="BU31" s="105">
        <v>0</v>
      </c>
      <c r="BV31" s="105">
        <v>0.1384525109125781</v>
      </c>
      <c r="BW31" s="105">
        <v>24.589165938073869</v>
      </c>
      <c r="BX31" s="105">
        <v>0</v>
      </c>
      <c r="BY31" s="105">
        <v>0</v>
      </c>
      <c r="BZ31" s="105">
        <v>0</v>
      </c>
      <c r="CA31" s="105">
        <v>0</v>
      </c>
      <c r="CB31" s="105">
        <v>0</v>
      </c>
      <c r="CC31" s="105">
        <v>0</v>
      </c>
      <c r="CD31" s="105">
        <v>0</v>
      </c>
      <c r="CE31" s="105">
        <v>0</v>
      </c>
      <c r="CF31" s="105">
        <v>0</v>
      </c>
      <c r="CG31" s="105">
        <v>0</v>
      </c>
      <c r="CH31" s="105">
        <v>0</v>
      </c>
      <c r="CI31" s="105">
        <v>0</v>
      </c>
      <c r="CJ31" s="105">
        <v>0</v>
      </c>
      <c r="CK31" s="105">
        <v>0</v>
      </c>
      <c r="CL31" s="105">
        <v>0</v>
      </c>
      <c r="CM31" s="105">
        <v>0</v>
      </c>
      <c r="CN31" s="105">
        <v>0</v>
      </c>
      <c r="CO31" s="105">
        <v>0</v>
      </c>
      <c r="CP31" s="105">
        <v>0</v>
      </c>
      <c r="CQ31" s="105">
        <v>0</v>
      </c>
      <c r="CR31" s="105">
        <v>0</v>
      </c>
      <c r="CS31" s="105">
        <v>0</v>
      </c>
      <c r="CT31" s="105">
        <v>0</v>
      </c>
      <c r="CU31" s="105">
        <v>0</v>
      </c>
    </row>
    <row r="32" spans="2:99" x14ac:dyDescent="0.2">
      <c r="C32" s="104" t="s">
        <v>198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0</v>
      </c>
      <c r="K32" s="105">
        <v>0</v>
      </c>
      <c r="L32" s="105">
        <v>0</v>
      </c>
      <c r="M32" s="105">
        <v>0</v>
      </c>
      <c r="N32" s="105">
        <v>6.289635801759986</v>
      </c>
      <c r="O32" s="105">
        <v>4173.8023180479267</v>
      </c>
      <c r="P32" s="105">
        <v>17.804361491867137</v>
      </c>
      <c r="Q32" s="105">
        <v>11814.974286003033</v>
      </c>
      <c r="R32" s="105">
        <v>19.808562634939594</v>
      </c>
      <c r="S32" s="105">
        <v>13144.962164545916</v>
      </c>
      <c r="T32" s="105">
        <v>15.206080512043119</v>
      </c>
      <c r="U32" s="105">
        <v>10090.755027791814</v>
      </c>
      <c r="V32" s="105">
        <v>20</v>
      </c>
      <c r="W32" s="105">
        <v>13272</v>
      </c>
      <c r="X32" s="105">
        <v>19</v>
      </c>
      <c r="Y32" s="105">
        <v>12608.4</v>
      </c>
      <c r="Z32" s="105">
        <v>21.815919568128312</v>
      </c>
      <c r="AA32" s="105">
        <v>14477.044225409949</v>
      </c>
      <c r="AB32" s="105">
        <v>15.027185447195553</v>
      </c>
      <c r="AC32" s="105">
        <v>9972.0402627589683</v>
      </c>
      <c r="AD32" s="105">
        <v>21.744764471394078</v>
      </c>
      <c r="AE32" s="105">
        <v>14429.82570321711</v>
      </c>
      <c r="AF32" s="105">
        <v>19</v>
      </c>
      <c r="AG32" s="105">
        <v>12608.4</v>
      </c>
      <c r="AH32" s="105">
        <v>26</v>
      </c>
      <c r="AI32" s="105">
        <v>17253.600000000002</v>
      </c>
      <c r="AJ32" s="105">
        <v>23</v>
      </c>
      <c r="AK32" s="105">
        <v>15262.800000000001</v>
      </c>
      <c r="AL32" s="105">
        <v>21.679032335613517</v>
      </c>
      <c r="AM32" s="105">
        <v>14386.20585791313</v>
      </c>
      <c r="AN32" s="105">
        <v>17.204268851206216</v>
      </c>
      <c r="AO32" s="105">
        <v>11416.752809660446</v>
      </c>
      <c r="AP32" s="105">
        <v>16.364123654241421</v>
      </c>
      <c r="AQ32" s="105">
        <v>10859.232456954607</v>
      </c>
      <c r="AR32" s="105">
        <v>22</v>
      </c>
      <c r="AS32" s="105">
        <v>14599.2</v>
      </c>
      <c r="AT32" s="105">
        <v>23</v>
      </c>
      <c r="AU32" s="105">
        <v>15262.800000000001</v>
      </c>
      <c r="AV32" s="105">
        <v>24</v>
      </c>
      <c r="AW32" s="105">
        <v>15926.400000000001</v>
      </c>
      <c r="AX32" s="105">
        <v>19.071061483357745</v>
      </c>
      <c r="AY32" s="105">
        <v>12655.556400356199</v>
      </c>
      <c r="AZ32" s="105">
        <v>20.282090787625897</v>
      </c>
      <c r="BA32" s="105">
        <v>13459.195446668546</v>
      </c>
      <c r="BB32" s="105">
        <v>14.909479033771044</v>
      </c>
      <c r="BC32" s="105">
        <v>9893.9302868104642</v>
      </c>
      <c r="BD32" s="105">
        <v>31</v>
      </c>
      <c r="BE32" s="105">
        <v>20571.600000000002</v>
      </c>
      <c r="BF32" s="105">
        <v>20</v>
      </c>
      <c r="BG32" s="105">
        <v>13272</v>
      </c>
      <c r="BH32" s="105">
        <v>27</v>
      </c>
      <c r="BI32" s="105">
        <v>17917.2</v>
      </c>
      <c r="BJ32" s="105">
        <v>20</v>
      </c>
      <c r="BK32" s="105">
        <v>13272</v>
      </c>
      <c r="BL32" s="105">
        <v>16</v>
      </c>
      <c r="BM32" s="105">
        <v>10617.6</v>
      </c>
      <c r="BN32" s="105">
        <v>29</v>
      </c>
      <c r="BO32" s="105">
        <v>19244.400000000001</v>
      </c>
      <c r="BP32" s="105">
        <v>25</v>
      </c>
      <c r="BQ32" s="105">
        <v>16590</v>
      </c>
      <c r="BR32" s="105">
        <v>18</v>
      </c>
      <c r="BS32" s="105">
        <v>11944.800000000001</v>
      </c>
      <c r="BT32" s="105">
        <v>17</v>
      </c>
      <c r="BU32" s="105">
        <v>11281.2</v>
      </c>
      <c r="BV32" s="105">
        <v>22.923510212334516</v>
      </c>
      <c r="BW32" s="105">
        <v>15212.041376905187</v>
      </c>
      <c r="BX32" s="105">
        <v>27</v>
      </c>
      <c r="BY32" s="105">
        <v>17917.2</v>
      </c>
      <c r="BZ32" s="105">
        <v>22.521321817225189</v>
      </c>
      <c r="CA32" s="105">
        <v>14945.149157910637</v>
      </c>
      <c r="CB32" s="105">
        <v>19.549160143539659</v>
      </c>
      <c r="CC32" s="105">
        <v>12972.822671252918</v>
      </c>
      <c r="CD32" s="105">
        <v>27.681657402728646</v>
      </c>
      <c r="CE32" s="105">
        <v>18369.547852450731</v>
      </c>
      <c r="CF32" s="105">
        <v>11.863690481946037</v>
      </c>
      <c r="CG32" s="105">
        <v>7872.7450038193901</v>
      </c>
      <c r="CH32" s="105">
        <v>17.230818286195838</v>
      </c>
      <c r="CI32" s="105">
        <v>11434.371014719558</v>
      </c>
      <c r="CJ32" s="105">
        <v>21</v>
      </c>
      <c r="CK32" s="105">
        <v>13935.6</v>
      </c>
      <c r="CL32" s="105">
        <v>19.816173760068757</v>
      </c>
      <c r="CM32" s="105">
        <v>13150.012907181628</v>
      </c>
      <c r="CN32" s="105">
        <v>12.23742699945452</v>
      </c>
      <c r="CO32" s="105">
        <v>8120.7565568380196</v>
      </c>
      <c r="CP32" s="105">
        <v>25.178810454319581</v>
      </c>
      <c r="CQ32" s="105">
        <v>16708.658617486475</v>
      </c>
      <c r="CR32" s="105">
        <v>24</v>
      </c>
      <c r="CS32" s="105">
        <v>15926.400000000001</v>
      </c>
      <c r="CT32" s="105">
        <v>21.271845673418845</v>
      </c>
      <c r="CU32" s="105">
        <v>14115.996788880746</v>
      </c>
    </row>
    <row r="33" spans="2:99" x14ac:dyDescent="0.2">
      <c r="C33" s="104" t="s">
        <v>199</v>
      </c>
      <c r="D33" s="105">
        <v>0</v>
      </c>
      <c r="E33" s="105">
        <v>0</v>
      </c>
      <c r="F33" s="105">
        <v>0</v>
      </c>
      <c r="G33" s="105">
        <v>0</v>
      </c>
      <c r="H33" s="105">
        <v>0</v>
      </c>
      <c r="I33" s="105">
        <v>0</v>
      </c>
      <c r="J33" s="105">
        <v>0</v>
      </c>
      <c r="K33" s="105">
        <v>0</v>
      </c>
      <c r="L33" s="105">
        <v>0</v>
      </c>
      <c r="M33" s="105">
        <v>0</v>
      </c>
      <c r="N33" s="105">
        <v>0</v>
      </c>
      <c r="O33" s="105">
        <v>0</v>
      </c>
      <c r="P33" s="105">
        <v>0</v>
      </c>
      <c r="Q33" s="105">
        <v>0</v>
      </c>
      <c r="R33" s="105">
        <v>0</v>
      </c>
      <c r="S33" s="105">
        <v>0</v>
      </c>
      <c r="T33" s="105">
        <v>0</v>
      </c>
      <c r="U33" s="105">
        <v>0</v>
      </c>
      <c r="V33" s="105">
        <v>0</v>
      </c>
      <c r="W33" s="105">
        <v>0</v>
      </c>
      <c r="X33" s="105">
        <v>0</v>
      </c>
      <c r="Y33" s="105">
        <v>0</v>
      </c>
      <c r="Z33" s="105">
        <v>0</v>
      </c>
      <c r="AA33" s="105">
        <v>0</v>
      </c>
      <c r="AB33" s="105">
        <v>12.314540664570883</v>
      </c>
      <c r="AC33" s="105">
        <v>4122.9082144983313</v>
      </c>
      <c r="AD33" s="105">
        <v>0</v>
      </c>
      <c r="AE33" s="105">
        <v>0</v>
      </c>
      <c r="AF33" s="105">
        <v>0</v>
      </c>
      <c r="AG33" s="105">
        <v>0</v>
      </c>
      <c r="AH33" s="105">
        <v>13.313319389752218</v>
      </c>
      <c r="AI33" s="105">
        <v>4457.2993316890424</v>
      </c>
      <c r="AJ33" s="105">
        <v>0</v>
      </c>
      <c r="AK33" s="105">
        <v>0</v>
      </c>
      <c r="AL33" s="105">
        <v>0</v>
      </c>
      <c r="AM33" s="105">
        <v>0</v>
      </c>
      <c r="AN33" s="105">
        <v>0</v>
      </c>
      <c r="AO33" s="105">
        <v>0</v>
      </c>
      <c r="AP33" s="105">
        <v>0</v>
      </c>
      <c r="AQ33" s="105">
        <v>0</v>
      </c>
      <c r="AR33" s="105">
        <v>9.7043842642577669</v>
      </c>
      <c r="AS33" s="105">
        <v>3249.0278516735007</v>
      </c>
      <c r="AT33" s="105">
        <v>0</v>
      </c>
      <c r="AU33" s="105">
        <v>0</v>
      </c>
      <c r="AV33" s="105">
        <v>0</v>
      </c>
      <c r="AW33" s="105">
        <v>0</v>
      </c>
      <c r="AX33" s="105">
        <v>0</v>
      </c>
      <c r="AY33" s="105">
        <v>0</v>
      </c>
      <c r="AZ33" s="105">
        <v>0</v>
      </c>
      <c r="BA33" s="105">
        <v>0</v>
      </c>
      <c r="BB33" s="105">
        <v>0</v>
      </c>
      <c r="BC33" s="105">
        <v>0</v>
      </c>
      <c r="BD33" s="105">
        <v>0</v>
      </c>
      <c r="BE33" s="105">
        <v>0</v>
      </c>
      <c r="BF33" s="105">
        <v>0</v>
      </c>
      <c r="BG33" s="105">
        <v>0</v>
      </c>
      <c r="BH33" s="105">
        <v>0</v>
      </c>
      <c r="BI33" s="105">
        <v>0</v>
      </c>
      <c r="BJ33" s="105">
        <v>0</v>
      </c>
      <c r="BK33" s="105">
        <v>0</v>
      </c>
      <c r="BL33" s="105">
        <v>0</v>
      </c>
      <c r="BM33" s="105">
        <v>0</v>
      </c>
      <c r="BN33" s="105">
        <v>0</v>
      </c>
      <c r="BO33" s="105">
        <v>0</v>
      </c>
      <c r="BP33" s="105">
        <v>0</v>
      </c>
      <c r="BQ33" s="105">
        <v>0</v>
      </c>
      <c r="BR33" s="105">
        <v>0</v>
      </c>
      <c r="BS33" s="105">
        <v>0</v>
      </c>
      <c r="BT33" s="105">
        <v>0</v>
      </c>
      <c r="BU33" s="105">
        <v>0</v>
      </c>
      <c r="BV33" s="105">
        <v>0.1384525109125781</v>
      </c>
      <c r="BW33" s="105">
        <v>46.353900653531149</v>
      </c>
      <c r="BX33" s="105">
        <v>0</v>
      </c>
      <c r="BY33" s="105">
        <v>0</v>
      </c>
      <c r="BZ33" s="105">
        <v>0</v>
      </c>
      <c r="CA33" s="105">
        <v>0</v>
      </c>
      <c r="CB33" s="105">
        <v>0</v>
      </c>
      <c r="CC33" s="105">
        <v>0</v>
      </c>
      <c r="CD33" s="105">
        <v>0</v>
      </c>
      <c r="CE33" s="105">
        <v>0</v>
      </c>
      <c r="CF33" s="105">
        <v>0</v>
      </c>
      <c r="CG33" s="105">
        <v>0</v>
      </c>
      <c r="CH33" s="105">
        <v>0</v>
      </c>
      <c r="CI33" s="105">
        <v>0</v>
      </c>
      <c r="CJ33" s="105">
        <v>0</v>
      </c>
      <c r="CK33" s="105">
        <v>0</v>
      </c>
      <c r="CL33" s="105">
        <v>0</v>
      </c>
      <c r="CM33" s="105">
        <v>0</v>
      </c>
      <c r="CN33" s="105">
        <v>0</v>
      </c>
      <c r="CO33" s="105">
        <v>0</v>
      </c>
      <c r="CP33" s="105">
        <v>0</v>
      </c>
      <c r="CQ33" s="105">
        <v>0</v>
      </c>
      <c r="CR33" s="105">
        <v>0</v>
      </c>
      <c r="CS33" s="105">
        <v>0</v>
      </c>
      <c r="CT33" s="105">
        <v>0</v>
      </c>
      <c r="CU33" s="105">
        <v>0</v>
      </c>
    </row>
    <row r="34" spans="2:99" x14ac:dyDescent="0.2">
      <c r="C34" s="104" t="s">
        <v>200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10.865771174621369</v>
      </c>
      <c r="AC34" s="105">
        <v>4133.3393548259683</v>
      </c>
      <c r="AD34" s="105">
        <v>0</v>
      </c>
      <c r="AE34" s="105">
        <v>0</v>
      </c>
      <c r="AF34" s="105">
        <v>0</v>
      </c>
      <c r="AG34" s="105">
        <v>0</v>
      </c>
      <c r="AH34" s="105">
        <v>14.910917716522484</v>
      </c>
      <c r="AI34" s="105">
        <v>5672.1130993651523</v>
      </c>
      <c r="AJ34" s="105">
        <v>0</v>
      </c>
      <c r="AK34" s="105">
        <v>0</v>
      </c>
      <c r="AL34" s="105">
        <v>0</v>
      </c>
      <c r="AM34" s="105">
        <v>0</v>
      </c>
      <c r="AN34" s="105">
        <v>0</v>
      </c>
      <c r="AO34" s="105">
        <v>0</v>
      </c>
      <c r="AP34" s="105">
        <v>0</v>
      </c>
      <c r="AQ34" s="105">
        <v>0</v>
      </c>
      <c r="AR34" s="105">
        <v>10.108733608601842</v>
      </c>
      <c r="AS34" s="105">
        <v>3845.3622647121406</v>
      </c>
      <c r="AT34" s="105">
        <v>0</v>
      </c>
      <c r="AU34" s="105">
        <v>0</v>
      </c>
      <c r="AV34" s="105">
        <v>0</v>
      </c>
      <c r="AW34" s="105">
        <v>0</v>
      </c>
      <c r="AX34" s="105">
        <v>0</v>
      </c>
      <c r="AY34" s="105">
        <v>0</v>
      </c>
      <c r="AZ34" s="105">
        <v>0</v>
      </c>
      <c r="BA34" s="105">
        <v>0</v>
      </c>
      <c r="BB34" s="105">
        <v>0</v>
      </c>
      <c r="BC34" s="105">
        <v>0</v>
      </c>
      <c r="BD34" s="105">
        <v>0</v>
      </c>
      <c r="BE34" s="105">
        <v>0</v>
      </c>
      <c r="BF34" s="105">
        <v>0</v>
      </c>
      <c r="BG34" s="105">
        <v>0</v>
      </c>
      <c r="BH34" s="105">
        <v>0</v>
      </c>
      <c r="BI34" s="105">
        <v>0</v>
      </c>
      <c r="BJ34" s="105">
        <v>0</v>
      </c>
      <c r="BK34" s="105">
        <v>0</v>
      </c>
      <c r="BL34" s="105">
        <v>0</v>
      </c>
      <c r="BM34" s="105">
        <v>0</v>
      </c>
      <c r="BN34" s="105">
        <v>0</v>
      </c>
      <c r="BO34" s="105">
        <v>0</v>
      </c>
      <c r="BP34" s="105">
        <v>0</v>
      </c>
      <c r="BQ34" s="105">
        <v>0</v>
      </c>
      <c r="BR34" s="105">
        <v>0</v>
      </c>
      <c r="BS34" s="105">
        <v>0</v>
      </c>
      <c r="BT34" s="105">
        <v>0</v>
      </c>
      <c r="BU34" s="105">
        <v>0</v>
      </c>
      <c r="BV34" s="105">
        <v>0.13412586994656006</v>
      </c>
      <c r="BW34" s="105">
        <v>51.021480927671448</v>
      </c>
      <c r="BX34" s="105">
        <v>0</v>
      </c>
      <c r="BY34" s="105">
        <v>0</v>
      </c>
      <c r="BZ34" s="105">
        <v>0</v>
      </c>
      <c r="CA34" s="105">
        <v>0</v>
      </c>
      <c r="CB34" s="105">
        <v>0</v>
      </c>
      <c r="CC34" s="105">
        <v>0</v>
      </c>
      <c r="CD34" s="105">
        <v>0</v>
      </c>
      <c r="CE34" s="105">
        <v>0</v>
      </c>
      <c r="CF34" s="105">
        <v>0</v>
      </c>
      <c r="CG34" s="105">
        <v>0</v>
      </c>
      <c r="CH34" s="105">
        <v>0</v>
      </c>
      <c r="CI34" s="105">
        <v>0</v>
      </c>
      <c r="CJ34" s="105">
        <v>0</v>
      </c>
      <c r="CK34" s="105">
        <v>0</v>
      </c>
      <c r="CL34" s="105">
        <v>0</v>
      </c>
      <c r="CM34" s="105">
        <v>0</v>
      </c>
      <c r="CN34" s="105">
        <v>0</v>
      </c>
      <c r="CO34" s="105">
        <v>0</v>
      </c>
      <c r="CP34" s="105">
        <v>0</v>
      </c>
      <c r="CQ34" s="105">
        <v>0</v>
      </c>
      <c r="CR34" s="105">
        <v>0</v>
      </c>
      <c r="CS34" s="105">
        <v>0</v>
      </c>
      <c r="CT34" s="105">
        <v>0</v>
      </c>
      <c r="CU34" s="105">
        <v>0</v>
      </c>
    </row>
    <row r="35" spans="2:99" x14ac:dyDescent="0.2">
      <c r="C35" s="104" t="s">
        <v>201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11.590155919596127</v>
      </c>
      <c r="AC35" s="105">
        <v>4756.5999894022498</v>
      </c>
      <c r="AD35" s="105">
        <v>0</v>
      </c>
      <c r="AE35" s="105">
        <v>0</v>
      </c>
      <c r="AF35" s="105">
        <v>0</v>
      </c>
      <c r="AG35" s="105">
        <v>0</v>
      </c>
      <c r="AH35" s="105">
        <v>12.780786614162128</v>
      </c>
      <c r="AI35" s="105">
        <v>5245.234826452137</v>
      </c>
      <c r="AJ35" s="105">
        <v>0</v>
      </c>
      <c r="AK35" s="105">
        <v>0</v>
      </c>
      <c r="AL35" s="105">
        <v>0</v>
      </c>
      <c r="AM35" s="105">
        <v>0</v>
      </c>
      <c r="AN35" s="105">
        <v>0</v>
      </c>
      <c r="AO35" s="105">
        <v>0</v>
      </c>
      <c r="AP35" s="105">
        <v>0</v>
      </c>
      <c r="AQ35" s="105">
        <v>0</v>
      </c>
      <c r="AR35" s="105">
        <v>9.7043842642577669</v>
      </c>
      <c r="AS35" s="105">
        <v>3982.6793020513874</v>
      </c>
      <c r="AT35" s="105">
        <v>0</v>
      </c>
      <c r="AU35" s="105">
        <v>0</v>
      </c>
      <c r="AV35" s="105">
        <v>0</v>
      </c>
      <c r="AW35" s="105">
        <v>0</v>
      </c>
      <c r="AX35" s="105">
        <v>0</v>
      </c>
      <c r="AY35" s="105">
        <v>0</v>
      </c>
      <c r="AZ35" s="105">
        <v>0</v>
      </c>
      <c r="BA35" s="105">
        <v>0</v>
      </c>
      <c r="BB35" s="105">
        <v>0</v>
      </c>
      <c r="BC35" s="105">
        <v>0</v>
      </c>
      <c r="BD35" s="105">
        <v>0</v>
      </c>
      <c r="BE35" s="105">
        <v>0</v>
      </c>
      <c r="BF35" s="105">
        <v>0</v>
      </c>
      <c r="BG35" s="105">
        <v>0</v>
      </c>
      <c r="BH35" s="105">
        <v>0</v>
      </c>
      <c r="BI35" s="105">
        <v>0</v>
      </c>
      <c r="BJ35" s="105">
        <v>0</v>
      </c>
      <c r="BK35" s="105">
        <v>0</v>
      </c>
      <c r="BL35" s="105">
        <v>0</v>
      </c>
      <c r="BM35" s="105">
        <v>0</v>
      </c>
      <c r="BN35" s="105">
        <v>0</v>
      </c>
      <c r="BO35" s="105">
        <v>0</v>
      </c>
      <c r="BP35" s="105">
        <v>0</v>
      </c>
      <c r="BQ35" s="105">
        <v>0</v>
      </c>
      <c r="BR35" s="105">
        <v>0</v>
      </c>
      <c r="BS35" s="105">
        <v>0</v>
      </c>
      <c r="BT35" s="105">
        <v>0</v>
      </c>
      <c r="BU35" s="105">
        <v>0</v>
      </c>
      <c r="BV35" s="105">
        <v>0.1384525109125781</v>
      </c>
      <c r="BW35" s="105">
        <v>56.820910478522045</v>
      </c>
      <c r="BX35" s="105">
        <v>0</v>
      </c>
      <c r="BY35" s="105">
        <v>0</v>
      </c>
      <c r="BZ35" s="105">
        <v>0</v>
      </c>
      <c r="CA35" s="105">
        <v>0</v>
      </c>
      <c r="CB35" s="105">
        <v>0</v>
      </c>
      <c r="CC35" s="105">
        <v>0</v>
      </c>
      <c r="CD35" s="105">
        <v>0</v>
      </c>
      <c r="CE35" s="105">
        <v>0</v>
      </c>
      <c r="CF35" s="105">
        <v>0</v>
      </c>
      <c r="CG35" s="105">
        <v>0</v>
      </c>
      <c r="CH35" s="105">
        <v>0</v>
      </c>
      <c r="CI35" s="105">
        <v>0</v>
      </c>
      <c r="CJ35" s="105">
        <v>0</v>
      </c>
      <c r="CK35" s="105">
        <v>0</v>
      </c>
      <c r="CL35" s="105">
        <v>0</v>
      </c>
      <c r="CM35" s="105">
        <v>0</v>
      </c>
      <c r="CN35" s="105">
        <v>0</v>
      </c>
      <c r="CO35" s="105">
        <v>0</v>
      </c>
      <c r="CP35" s="105">
        <v>0</v>
      </c>
      <c r="CQ35" s="105">
        <v>0</v>
      </c>
      <c r="CR35" s="105">
        <v>0</v>
      </c>
      <c r="CS35" s="105">
        <v>0</v>
      </c>
      <c r="CT35" s="105">
        <v>0</v>
      </c>
      <c r="CU35" s="105">
        <v>0</v>
      </c>
    </row>
    <row r="36" spans="2:99" x14ac:dyDescent="0.2">
      <c r="C36" s="104" t="s">
        <v>202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7.3379084353866517</v>
      </c>
      <c r="O36" s="105">
        <v>3363.6972267812412</v>
      </c>
      <c r="P36" s="105">
        <v>19.858710894774884</v>
      </c>
      <c r="Q36" s="105">
        <v>9103.2330741648057</v>
      </c>
      <c r="R36" s="105">
        <v>18.442454867012724</v>
      </c>
      <c r="S36" s="105">
        <v>8454.0213110386321</v>
      </c>
      <c r="T36" s="105">
        <v>14.311605187805286</v>
      </c>
      <c r="U36" s="105">
        <v>6560.4398180899425</v>
      </c>
      <c r="V36" s="105">
        <v>20</v>
      </c>
      <c r="W36" s="105">
        <v>9168</v>
      </c>
      <c r="X36" s="105">
        <v>20</v>
      </c>
      <c r="Y36" s="105">
        <v>9168</v>
      </c>
      <c r="Z36" s="105">
        <v>21.815919568128312</v>
      </c>
      <c r="AA36" s="105">
        <v>10000.417530030018</v>
      </c>
      <c r="AB36" s="105">
        <v>15.027185447195553</v>
      </c>
      <c r="AC36" s="105">
        <v>6888.4618089944415</v>
      </c>
      <c r="AD36" s="105">
        <v>22.5213632025153</v>
      </c>
      <c r="AE36" s="105">
        <v>10323.792892033012</v>
      </c>
      <c r="AF36" s="105">
        <v>17</v>
      </c>
      <c r="AG36" s="105">
        <v>7792.7999999999993</v>
      </c>
      <c r="AH36" s="105">
        <v>25</v>
      </c>
      <c r="AI36" s="105">
        <v>11460</v>
      </c>
      <c r="AJ36" s="105">
        <v>23</v>
      </c>
      <c r="AK36" s="105">
        <v>10543.199999999999</v>
      </c>
      <c r="AL36" s="105">
        <v>19.356278871083493</v>
      </c>
      <c r="AM36" s="105">
        <v>8872.918234504672</v>
      </c>
      <c r="AN36" s="105">
        <v>16.248476137250314</v>
      </c>
      <c r="AO36" s="105">
        <v>7448.3014613155437</v>
      </c>
      <c r="AP36" s="105">
        <v>16.364123654241421</v>
      </c>
      <c r="AQ36" s="105">
        <v>7501.3142831042669</v>
      </c>
      <c r="AR36" s="105">
        <v>22</v>
      </c>
      <c r="AS36" s="105">
        <v>10084.799999999999</v>
      </c>
      <c r="AT36" s="105">
        <v>22</v>
      </c>
      <c r="AU36" s="105">
        <v>10084.799999999999</v>
      </c>
      <c r="AV36" s="105">
        <v>27</v>
      </c>
      <c r="AW36" s="105">
        <v>12376.8</v>
      </c>
      <c r="AX36" s="105">
        <v>20.887353053201338</v>
      </c>
      <c r="AY36" s="105">
        <v>9574.7626395874922</v>
      </c>
      <c r="AZ36" s="105">
        <v>20.282090787625897</v>
      </c>
      <c r="BA36" s="105">
        <v>9297.3104170477109</v>
      </c>
      <c r="BB36" s="105">
        <v>18.048316725091265</v>
      </c>
      <c r="BC36" s="105">
        <v>8273.3483867818359</v>
      </c>
      <c r="BD36" s="105">
        <v>32</v>
      </c>
      <c r="BE36" s="105">
        <v>14668.8</v>
      </c>
      <c r="BF36" s="105">
        <v>22</v>
      </c>
      <c r="BG36" s="105">
        <v>10084.799999999999</v>
      </c>
      <c r="BH36" s="105">
        <v>29</v>
      </c>
      <c r="BI36" s="105">
        <v>13293.599999999999</v>
      </c>
      <c r="BJ36" s="105">
        <v>19</v>
      </c>
      <c r="BK36" s="105">
        <v>8709.6</v>
      </c>
      <c r="BL36" s="105">
        <v>15</v>
      </c>
      <c r="BM36" s="105">
        <v>6876</v>
      </c>
      <c r="BN36" s="105">
        <v>31</v>
      </c>
      <c r="BO36" s="105">
        <v>14210.4</v>
      </c>
      <c r="BP36" s="105">
        <v>26</v>
      </c>
      <c r="BQ36" s="105">
        <v>11918.4</v>
      </c>
      <c r="BR36" s="105">
        <v>16</v>
      </c>
      <c r="BS36" s="105">
        <v>7334.4</v>
      </c>
      <c r="BT36" s="105">
        <v>18</v>
      </c>
      <c r="BU36" s="105">
        <v>8251.1999999999989</v>
      </c>
      <c r="BV36" s="105">
        <v>22.159393205256698</v>
      </c>
      <c r="BW36" s="105">
        <v>10157.865845289671</v>
      </c>
      <c r="BX36" s="105">
        <v>24</v>
      </c>
      <c r="BY36" s="105">
        <v>11001.599999999999</v>
      </c>
      <c r="BZ36" s="105">
        <v>23.387526502503086</v>
      </c>
      <c r="CA36" s="105">
        <v>10720.842148747413</v>
      </c>
      <c r="CB36" s="105">
        <v>19.549160143539659</v>
      </c>
      <c r="CC36" s="105">
        <v>8961.3350097985785</v>
      </c>
      <c r="CD36" s="105">
        <v>27.681657402728646</v>
      </c>
      <c r="CE36" s="105">
        <v>12689.271753410811</v>
      </c>
      <c r="CF36" s="105">
        <v>13.736904768569094</v>
      </c>
      <c r="CG36" s="105">
        <v>6296.9971459120725</v>
      </c>
      <c r="CH36" s="105">
        <v>18.275110303541037</v>
      </c>
      <c r="CI36" s="105">
        <v>8377.3105631432118</v>
      </c>
      <c r="CJ36" s="105">
        <v>21</v>
      </c>
      <c r="CK36" s="105">
        <v>9626.4</v>
      </c>
      <c r="CL36" s="105">
        <v>21.703428403884828</v>
      </c>
      <c r="CM36" s="105">
        <v>9948.8515803408045</v>
      </c>
      <c r="CN36" s="105">
        <v>13.597141110505021</v>
      </c>
      <c r="CO36" s="105">
        <v>6232.9294850555016</v>
      </c>
      <c r="CP36" s="105">
        <v>28.65174982732918</v>
      </c>
      <c r="CQ36" s="105">
        <v>13133.962120847695</v>
      </c>
      <c r="CR36" s="105">
        <v>22</v>
      </c>
      <c r="CS36" s="105">
        <v>10084.799999999999</v>
      </c>
      <c r="CT36" s="105">
        <v>22.031554447469514</v>
      </c>
      <c r="CU36" s="105">
        <v>10099.264558720024</v>
      </c>
    </row>
    <row r="37" spans="2:99" x14ac:dyDescent="0.2">
      <c r="B37" s="104" t="s">
        <v>128</v>
      </c>
      <c r="C37" s="104" t="s">
        <v>203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14.487694899495157</v>
      </c>
      <c r="AC37" s="105">
        <v>9440.1819965110444</v>
      </c>
      <c r="AD37" s="105">
        <v>0</v>
      </c>
      <c r="AE37" s="105">
        <v>0</v>
      </c>
      <c r="AF37" s="105">
        <v>0</v>
      </c>
      <c r="AG37" s="105">
        <v>0</v>
      </c>
      <c r="AH37" s="105">
        <v>8.5205244094414176</v>
      </c>
      <c r="AI37" s="105">
        <v>5551.9737051920283</v>
      </c>
      <c r="AJ37" s="105">
        <v>0</v>
      </c>
      <c r="AK37" s="105">
        <v>0</v>
      </c>
      <c r="AL37" s="105">
        <v>0</v>
      </c>
      <c r="AM37" s="105">
        <v>0</v>
      </c>
      <c r="AN37" s="105">
        <v>0</v>
      </c>
      <c r="AO37" s="105">
        <v>0</v>
      </c>
      <c r="AP37" s="105">
        <v>0</v>
      </c>
      <c r="AQ37" s="105">
        <v>0</v>
      </c>
      <c r="AR37" s="105">
        <v>8.0869868868814727</v>
      </c>
      <c r="AS37" s="105">
        <v>5269.4806554919678</v>
      </c>
      <c r="AT37" s="105">
        <v>0</v>
      </c>
      <c r="AU37" s="105">
        <v>0</v>
      </c>
      <c r="AV37" s="105">
        <v>0</v>
      </c>
      <c r="AW37" s="105">
        <v>0</v>
      </c>
      <c r="AX37" s="105">
        <v>0</v>
      </c>
      <c r="AY37" s="105">
        <v>0</v>
      </c>
      <c r="AZ37" s="105">
        <v>0</v>
      </c>
      <c r="BA37" s="105">
        <v>0</v>
      </c>
      <c r="BB37" s="105">
        <v>0</v>
      </c>
      <c r="BC37" s="105">
        <v>0</v>
      </c>
      <c r="BD37" s="105">
        <v>0</v>
      </c>
      <c r="BE37" s="105">
        <v>0</v>
      </c>
      <c r="BF37" s="105">
        <v>0</v>
      </c>
      <c r="BG37" s="105">
        <v>0</v>
      </c>
      <c r="BH37" s="105">
        <v>0</v>
      </c>
      <c r="BI37" s="105">
        <v>0</v>
      </c>
      <c r="BJ37" s="105">
        <v>0</v>
      </c>
      <c r="BK37" s="105">
        <v>0</v>
      </c>
      <c r="BL37" s="105">
        <v>0</v>
      </c>
      <c r="BM37" s="105">
        <v>0</v>
      </c>
      <c r="BN37" s="105">
        <v>0</v>
      </c>
      <c r="BO37" s="105">
        <v>0</v>
      </c>
      <c r="BP37" s="105">
        <v>0</v>
      </c>
      <c r="BQ37" s="105">
        <v>0</v>
      </c>
      <c r="BR37" s="105">
        <v>0</v>
      </c>
      <c r="BS37" s="105">
        <v>0</v>
      </c>
      <c r="BT37" s="105">
        <v>0</v>
      </c>
      <c r="BU37" s="105">
        <v>0</v>
      </c>
      <c r="BV37" s="105">
        <v>8.2206178354343254E-2</v>
      </c>
      <c r="BW37" s="105">
        <v>53.565545815690065</v>
      </c>
      <c r="BX37" s="105">
        <v>0</v>
      </c>
      <c r="BY37" s="105">
        <v>0</v>
      </c>
      <c r="BZ37" s="105">
        <v>0</v>
      </c>
      <c r="CA37" s="105">
        <v>0</v>
      </c>
      <c r="CB37" s="105">
        <v>0</v>
      </c>
      <c r="CC37" s="105">
        <v>0</v>
      </c>
      <c r="CD37" s="105">
        <v>0</v>
      </c>
      <c r="CE37" s="105">
        <v>0</v>
      </c>
      <c r="CF37" s="105">
        <v>0</v>
      </c>
      <c r="CG37" s="105">
        <v>0</v>
      </c>
      <c r="CH37" s="105">
        <v>0</v>
      </c>
      <c r="CI37" s="105">
        <v>0</v>
      </c>
      <c r="CJ37" s="105">
        <v>0</v>
      </c>
      <c r="CK37" s="105">
        <v>0</v>
      </c>
      <c r="CL37" s="105">
        <v>0</v>
      </c>
      <c r="CM37" s="105">
        <v>0</v>
      </c>
      <c r="CN37" s="105">
        <v>0</v>
      </c>
      <c r="CO37" s="105">
        <v>0</v>
      </c>
      <c r="CP37" s="105">
        <v>0</v>
      </c>
      <c r="CQ37" s="105">
        <v>0</v>
      </c>
      <c r="CR37" s="105">
        <v>0</v>
      </c>
      <c r="CS37" s="105">
        <v>0</v>
      </c>
      <c r="CT37" s="105">
        <v>0</v>
      </c>
      <c r="CU37" s="105">
        <v>0</v>
      </c>
    </row>
    <row r="38" spans="2:99" x14ac:dyDescent="0.2">
      <c r="C38" s="104" t="s">
        <v>204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13.763310154520399</v>
      </c>
      <c r="AC38" s="105">
        <v>14203.736079465052</v>
      </c>
      <c r="AD38" s="105">
        <v>0</v>
      </c>
      <c r="AE38" s="105">
        <v>0</v>
      </c>
      <c r="AF38" s="105">
        <v>0</v>
      </c>
      <c r="AG38" s="105">
        <v>0</v>
      </c>
      <c r="AH38" s="105">
        <v>7.9879916338513297</v>
      </c>
      <c r="AI38" s="105">
        <v>8243.6073661345727</v>
      </c>
      <c r="AJ38" s="105">
        <v>0</v>
      </c>
      <c r="AK38" s="105">
        <v>0</v>
      </c>
      <c r="AL38" s="105">
        <v>0</v>
      </c>
      <c r="AM38" s="105">
        <v>0</v>
      </c>
      <c r="AN38" s="105">
        <v>0</v>
      </c>
      <c r="AO38" s="105">
        <v>0</v>
      </c>
      <c r="AP38" s="105">
        <v>0</v>
      </c>
      <c r="AQ38" s="105">
        <v>0</v>
      </c>
      <c r="AR38" s="105">
        <v>7.2782881981933265</v>
      </c>
      <c r="AS38" s="105">
        <v>7511.1934205355128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  <c r="AY38" s="105">
        <v>0</v>
      </c>
      <c r="AZ38" s="105">
        <v>0</v>
      </c>
      <c r="BA38" s="105">
        <v>0</v>
      </c>
      <c r="BB38" s="105">
        <v>0</v>
      </c>
      <c r="BC38" s="105">
        <v>0</v>
      </c>
      <c r="BD38" s="105">
        <v>0</v>
      </c>
      <c r="BE38" s="105">
        <v>0</v>
      </c>
      <c r="BF38" s="105">
        <v>0</v>
      </c>
      <c r="BG38" s="105">
        <v>0</v>
      </c>
      <c r="BH38" s="105">
        <v>0</v>
      </c>
      <c r="BI38" s="105">
        <v>0</v>
      </c>
      <c r="BJ38" s="105">
        <v>0</v>
      </c>
      <c r="BK38" s="105">
        <v>0</v>
      </c>
      <c r="BL38" s="105">
        <v>0</v>
      </c>
      <c r="BM38" s="105">
        <v>0</v>
      </c>
      <c r="BN38" s="105">
        <v>0</v>
      </c>
      <c r="BO38" s="105">
        <v>0</v>
      </c>
      <c r="BP38" s="105">
        <v>0</v>
      </c>
      <c r="BQ38" s="105">
        <v>0</v>
      </c>
      <c r="BR38" s="105">
        <v>0</v>
      </c>
      <c r="BS38" s="105">
        <v>0</v>
      </c>
      <c r="BT38" s="105">
        <v>0</v>
      </c>
      <c r="BU38" s="105">
        <v>0</v>
      </c>
      <c r="BV38" s="105">
        <v>9.0859460286379395E-2</v>
      </c>
      <c r="BW38" s="105">
        <v>93.766963015543539</v>
      </c>
      <c r="BX38" s="105">
        <v>0</v>
      </c>
      <c r="BY38" s="105">
        <v>0</v>
      </c>
      <c r="BZ38" s="105">
        <v>0</v>
      </c>
      <c r="CA38" s="105">
        <v>0</v>
      </c>
      <c r="CB38" s="105">
        <v>0</v>
      </c>
      <c r="CC38" s="105">
        <v>0</v>
      </c>
      <c r="CD38" s="105">
        <v>0</v>
      </c>
      <c r="CE38" s="105">
        <v>0</v>
      </c>
      <c r="CF38" s="105">
        <v>0</v>
      </c>
      <c r="CG38" s="105">
        <v>0</v>
      </c>
      <c r="CH38" s="105">
        <v>0</v>
      </c>
      <c r="CI38" s="105">
        <v>0</v>
      </c>
      <c r="CJ38" s="105">
        <v>0</v>
      </c>
      <c r="CK38" s="105">
        <v>0</v>
      </c>
      <c r="CL38" s="105">
        <v>0</v>
      </c>
      <c r="CM38" s="105">
        <v>0</v>
      </c>
      <c r="CN38" s="105">
        <v>0</v>
      </c>
      <c r="CO38" s="105">
        <v>0</v>
      </c>
      <c r="CP38" s="105">
        <v>0</v>
      </c>
      <c r="CQ38" s="105">
        <v>0</v>
      </c>
      <c r="CR38" s="105">
        <v>0</v>
      </c>
      <c r="CS38" s="105">
        <v>0</v>
      </c>
      <c r="CT38" s="105">
        <v>0</v>
      </c>
      <c r="CU38" s="105">
        <v>0</v>
      </c>
    </row>
    <row r="39" spans="2:99" x14ac:dyDescent="0.2">
      <c r="C39" s="104" t="s">
        <v>205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0</v>
      </c>
      <c r="Q39" s="105">
        <v>0</v>
      </c>
      <c r="R39" s="105">
        <v>0</v>
      </c>
      <c r="S39" s="105">
        <v>0</v>
      </c>
      <c r="T39" s="105">
        <v>0</v>
      </c>
      <c r="U39" s="105">
        <v>0</v>
      </c>
      <c r="V39" s="105">
        <v>0</v>
      </c>
      <c r="W39" s="105">
        <v>0</v>
      </c>
      <c r="X39" s="105">
        <v>0</v>
      </c>
      <c r="Y39" s="105">
        <v>0</v>
      </c>
      <c r="Z39" s="105">
        <v>0</v>
      </c>
      <c r="AA39" s="105">
        <v>0</v>
      </c>
      <c r="AB39" s="105">
        <v>13.038925409545643</v>
      </c>
      <c r="AC39" s="105">
        <v>15803.177596369318</v>
      </c>
      <c r="AD39" s="105">
        <v>0</v>
      </c>
      <c r="AE39" s="105">
        <v>0</v>
      </c>
      <c r="AF39" s="105">
        <v>0</v>
      </c>
      <c r="AG39" s="105">
        <v>0</v>
      </c>
      <c r="AH39" s="105">
        <v>7.4554588582612418</v>
      </c>
      <c r="AI39" s="105">
        <v>9036.0161362126255</v>
      </c>
      <c r="AJ39" s="105">
        <v>0</v>
      </c>
      <c r="AK39" s="105">
        <v>0</v>
      </c>
      <c r="AL39" s="105">
        <v>0</v>
      </c>
      <c r="AM39" s="105">
        <v>0</v>
      </c>
      <c r="AN39" s="105">
        <v>0</v>
      </c>
      <c r="AO39" s="105">
        <v>0</v>
      </c>
      <c r="AP39" s="105">
        <v>0</v>
      </c>
      <c r="AQ39" s="105">
        <v>0</v>
      </c>
      <c r="AR39" s="105">
        <v>6.4695895095051785</v>
      </c>
      <c r="AS39" s="105">
        <v>7841.1424855202768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  <c r="AY39" s="105">
        <v>0</v>
      </c>
      <c r="AZ39" s="105">
        <v>0</v>
      </c>
      <c r="BA39" s="105">
        <v>0</v>
      </c>
      <c r="BB39" s="105">
        <v>0</v>
      </c>
      <c r="BC39" s="105">
        <v>0</v>
      </c>
      <c r="BD39" s="105">
        <v>0</v>
      </c>
      <c r="BE39" s="105">
        <v>0</v>
      </c>
      <c r="BF39" s="105">
        <v>0</v>
      </c>
      <c r="BG39" s="105">
        <v>0</v>
      </c>
      <c r="BH39" s="105">
        <v>0</v>
      </c>
      <c r="BI39" s="105">
        <v>0</v>
      </c>
      <c r="BJ39" s="105">
        <v>0</v>
      </c>
      <c r="BK39" s="105">
        <v>0</v>
      </c>
      <c r="BL39" s="105">
        <v>0</v>
      </c>
      <c r="BM39" s="105">
        <v>0</v>
      </c>
      <c r="BN39" s="105">
        <v>0</v>
      </c>
      <c r="BO39" s="105">
        <v>0</v>
      </c>
      <c r="BP39" s="105">
        <v>0</v>
      </c>
      <c r="BQ39" s="105">
        <v>0</v>
      </c>
      <c r="BR39" s="105">
        <v>0</v>
      </c>
      <c r="BS39" s="105">
        <v>0</v>
      </c>
      <c r="BT39" s="105">
        <v>0</v>
      </c>
      <c r="BU39" s="105">
        <v>0</v>
      </c>
      <c r="BV39" s="105">
        <v>7.787953738832519E-2</v>
      </c>
      <c r="BW39" s="105">
        <v>94.389999314650126</v>
      </c>
      <c r="BX39" s="105">
        <v>0</v>
      </c>
      <c r="BY39" s="105">
        <v>0</v>
      </c>
      <c r="BZ39" s="105">
        <v>0</v>
      </c>
      <c r="CA39" s="105">
        <v>0</v>
      </c>
      <c r="CB39" s="105">
        <v>0</v>
      </c>
      <c r="CC39" s="105">
        <v>0</v>
      </c>
      <c r="CD39" s="105">
        <v>0</v>
      </c>
      <c r="CE39" s="105">
        <v>0</v>
      </c>
      <c r="CF39" s="105">
        <v>0</v>
      </c>
      <c r="CG39" s="105">
        <v>0</v>
      </c>
      <c r="CH39" s="105">
        <v>0</v>
      </c>
      <c r="CI39" s="105">
        <v>0</v>
      </c>
      <c r="CJ39" s="105">
        <v>0</v>
      </c>
      <c r="CK39" s="105">
        <v>0</v>
      </c>
      <c r="CL39" s="105">
        <v>0</v>
      </c>
      <c r="CM39" s="105">
        <v>0</v>
      </c>
      <c r="CN39" s="105">
        <v>0</v>
      </c>
      <c r="CO39" s="105">
        <v>0</v>
      </c>
      <c r="CP39" s="105">
        <v>0</v>
      </c>
      <c r="CQ39" s="105">
        <v>0</v>
      </c>
      <c r="CR39" s="105">
        <v>0</v>
      </c>
      <c r="CS39" s="105">
        <v>0</v>
      </c>
      <c r="CT39" s="105">
        <v>0</v>
      </c>
      <c r="CU39" s="105">
        <v>0</v>
      </c>
    </row>
    <row r="40" spans="2:99" x14ac:dyDescent="0.2">
      <c r="C40" s="104" t="s">
        <v>206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0</v>
      </c>
      <c r="O40" s="105">
        <v>0</v>
      </c>
      <c r="P40" s="105">
        <v>0</v>
      </c>
      <c r="Q40" s="105">
        <v>0</v>
      </c>
      <c r="R40" s="105">
        <v>0</v>
      </c>
      <c r="S40" s="105">
        <v>0</v>
      </c>
      <c r="T40" s="105">
        <v>0</v>
      </c>
      <c r="U40" s="105">
        <v>0</v>
      </c>
      <c r="V40" s="105">
        <v>0</v>
      </c>
      <c r="W40" s="105">
        <v>0</v>
      </c>
      <c r="X40" s="105">
        <v>0</v>
      </c>
      <c r="Y40" s="105">
        <v>0</v>
      </c>
      <c r="Z40" s="105">
        <v>0</v>
      </c>
      <c r="AA40" s="105">
        <v>0</v>
      </c>
      <c r="AB40" s="105">
        <v>13.038925409545643</v>
      </c>
      <c r="AC40" s="105">
        <v>6743.7322218170057</v>
      </c>
      <c r="AD40" s="105">
        <v>0</v>
      </c>
      <c r="AE40" s="105">
        <v>0</v>
      </c>
      <c r="AF40" s="105">
        <v>0</v>
      </c>
      <c r="AG40" s="105">
        <v>0</v>
      </c>
      <c r="AH40" s="105">
        <v>9.5855899606215971</v>
      </c>
      <c r="AI40" s="105">
        <v>4957.6671276334891</v>
      </c>
      <c r="AJ40" s="105">
        <v>0</v>
      </c>
      <c r="AK40" s="105">
        <v>0</v>
      </c>
      <c r="AL40" s="105">
        <v>0</v>
      </c>
      <c r="AM40" s="105">
        <v>0</v>
      </c>
      <c r="AN40" s="105">
        <v>0</v>
      </c>
      <c r="AO40" s="105">
        <v>0</v>
      </c>
      <c r="AP40" s="105">
        <v>0</v>
      </c>
      <c r="AQ40" s="105">
        <v>0</v>
      </c>
      <c r="AR40" s="105">
        <v>7.2782881981933265</v>
      </c>
      <c r="AS40" s="105">
        <v>3764.3306561055879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  <c r="AY40" s="105">
        <v>0</v>
      </c>
      <c r="AZ40" s="105">
        <v>0</v>
      </c>
      <c r="BA40" s="105">
        <v>0</v>
      </c>
      <c r="BB40" s="105">
        <v>0</v>
      </c>
      <c r="BC40" s="105">
        <v>0</v>
      </c>
      <c r="BD40" s="105">
        <v>0</v>
      </c>
      <c r="BE40" s="105">
        <v>0</v>
      </c>
      <c r="BF40" s="105">
        <v>0</v>
      </c>
      <c r="BG40" s="105">
        <v>0</v>
      </c>
      <c r="BH40" s="105">
        <v>0</v>
      </c>
      <c r="BI40" s="105">
        <v>0</v>
      </c>
      <c r="BJ40" s="105">
        <v>0</v>
      </c>
      <c r="BK40" s="105">
        <v>0</v>
      </c>
      <c r="BL40" s="105">
        <v>0</v>
      </c>
      <c r="BM40" s="105">
        <v>0</v>
      </c>
      <c r="BN40" s="105">
        <v>0</v>
      </c>
      <c r="BO40" s="105">
        <v>0</v>
      </c>
      <c r="BP40" s="105">
        <v>0</v>
      </c>
      <c r="BQ40" s="105">
        <v>0</v>
      </c>
      <c r="BR40" s="105">
        <v>0</v>
      </c>
      <c r="BS40" s="105">
        <v>0</v>
      </c>
      <c r="BT40" s="105">
        <v>0</v>
      </c>
      <c r="BU40" s="105">
        <v>0</v>
      </c>
      <c r="BV40" s="105">
        <v>8.2206178354343254E-2</v>
      </c>
      <c r="BW40" s="105">
        <v>42.517035444866323</v>
      </c>
      <c r="BX40" s="105">
        <v>0</v>
      </c>
      <c r="BY40" s="105">
        <v>0</v>
      </c>
      <c r="BZ40" s="105">
        <v>0</v>
      </c>
      <c r="CA40" s="105">
        <v>0</v>
      </c>
      <c r="CB40" s="105">
        <v>0</v>
      </c>
      <c r="CC40" s="105">
        <v>0</v>
      </c>
      <c r="CD40" s="105">
        <v>0</v>
      </c>
      <c r="CE40" s="105">
        <v>0</v>
      </c>
      <c r="CF40" s="105">
        <v>0</v>
      </c>
      <c r="CG40" s="105">
        <v>0</v>
      </c>
      <c r="CH40" s="105">
        <v>0</v>
      </c>
      <c r="CI40" s="105">
        <v>0</v>
      </c>
      <c r="CJ40" s="105">
        <v>0</v>
      </c>
      <c r="CK40" s="105">
        <v>0</v>
      </c>
      <c r="CL40" s="105">
        <v>0</v>
      </c>
      <c r="CM40" s="105">
        <v>0</v>
      </c>
      <c r="CN40" s="105">
        <v>0</v>
      </c>
      <c r="CO40" s="105">
        <v>0</v>
      </c>
      <c r="CP40" s="105">
        <v>0</v>
      </c>
      <c r="CQ40" s="105">
        <v>0</v>
      </c>
      <c r="CR40" s="105">
        <v>0</v>
      </c>
      <c r="CS40" s="105">
        <v>0</v>
      </c>
      <c r="CT40" s="105">
        <v>0</v>
      </c>
      <c r="CU40" s="105">
        <v>0</v>
      </c>
    </row>
    <row r="41" spans="2:99" x14ac:dyDescent="0.2">
      <c r="C41" s="104" t="s">
        <v>207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12.314540664570883</v>
      </c>
      <c r="AC41" s="105">
        <v>5600.653094246838</v>
      </c>
      <c r="AD41" s="105">
        <v>0</v>
      </c>
      <c r="AE41" s="105">
        <v>0</v>
      </c>
      <c r="AF41" s="105">
        <v>0</v>
      </c>
      <c r="AG41" s="105">
        <v>0</v>
      </c>
      <c r="AH41" s="105">
        <v>9.0530571850315074</v>
      </c>
      <c r="AI41" s="105">
        <v>4117.3304077523298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6.8739388538492516</v>
      </c>
      <c r="AS41" s="105">
        <v>3126.2673907306398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  <c r="AY41" s="105">
        <v>0</v>
      </c>
      <c r="AZ41" s="105">
        <v>0</v>
      </c>
      <c r="BA41" s="105">
        <v>0</v>
      </c>
      <c r="BB41" s="105">
        <v>0</v>
      </c>
      <c r="BC41" s="105">
        <v>0</v>
      </c>
      <c r="BD41" s="105">
        <v>0</v>
      </c>
      <c r="BE41" s="105">
        <v>0</v>
      </c>
      <c r="BF41" s="105">
        <v>0</v>
      </c>
      <c r="BG41" s="105">
        <v>0</v>
      </c>
      <c r="BH41" s="105">
        <v>0</v>
      </c>
      <c r="BI41" s="105">
        <v>0</v>
      </c>
      <c r="BJ41" s="105">
        <v>0</v>
      </c>
      <c r="BK41" s="105">
        <v>0</v>
      </c>
      <c r="BL41" s="105">
        <v>0</v>
      </c>
      <c r="BM41" s="105">
        <v>0</v>
      </c>
      <c r="BN41" s="105">
        <v>0</v>
      </c>
      <c r="BO41" s="105">
        <v>0</v>
      </c>
      <c r="BP41" s="105">
        <v>0</v>
      </c>
      <c r="BQ41" s="105">
        <v>0</v>
      </c>
      <c r="BR41" s="105">
        <v>0</v>
      </c>
      <c r="BS41" s="105">
        <v>0</v>
      </c>
      <c r="BT41" s="105">
        <v>0</v>
      </c>
      <c r="BU41" s="105">
        <v>0</v>
      </c>
      <c r="BV41" s="105">
        <v>8.6532819320361318E-2</v>
      </c>
      <c r="BW41" s="105">
        <v>39.355126226900332</v>
      </c>
      <c r="BX41" s="105">
        <v>0</v>
      </c>
      <c r="BY41" s="105">
        <v>0</v>
      </c>
      <c r="BZ41" s="105">
        <v>0</v>
      </c>
      <c r="CA41" s="105">
        <v>0</v>
      </c>
      <c r="CB41" s="105">
        <v>0</v>
      </c>
      <c r="CC41" s="105">
        <v>0</v>
      </c>
      <c r="CD41" s="105">
        <v>0</v>
      </c>
      <c r="CE41" s="105">
        <v>0</v>
      </c>
      <c r="CF41" s="105">
        <v>0</v>
      </c>
      <c r="CG41" s="105">
        <v>0</v>
      </c>
      <c r="CH41" s="105">
        <v>0</v>
      </c>
      <c r="CI41" s="105">
        <v>0</v>
      </c>
      <c r="CJ41" s="105">
        <v>0</v>
      </c>
      <c r="CK41" s="105">
        <v>0</v>
      </c>
      <c r="CL41" s="105">
        <v>0</v>
      </c>
      <c r="CM41" s="105">
        <v>0</v>
      </c>
      <c r="CN41" s="105">
        <v>0</v>
      </c>
      <c r="CO41" s="105">
        <v>0</v>
      </c>
      <c r="CP41" s="105">
        <v>0</v>
      </c>
      <c r="CQ41" s="105">
        <v>0</v>
      </c>
      <c r="CR41" s="105">
        <v>0</v>
      </c>
      <c r="CS41" s="105">
        <v>0</v>
      </c>
      <c r="CT41" s="105">
        <v>0</v>
      </c>
      <c r="CU41" s="105">
        <v>0</v>
      </c>
    </row>
    <row r="42" spans="2:99" x14ac:dyDescent="0.2">
      <c r="C42" s="104" t="s">
        <v>208</v>
      </c>
      <c r="D42" s="105">
        <v>0</v>
      </c>
      <c r="E42" s="105">
        <v>0</v>
      </c>
      <c r="F42" s="105">
        <v>0</v>
      </c>
      <c r="G42" s="105">
        <v>0</v>
      </c>
      <c r="H42" s="105">
        <v>0</v>
      </c>
      <c r="I42" s="105">
        <v>0</v>
      </c>
      <c r="J42" s="105">
        <v>0</v>
      </c>
      <c r="K42" s="105">
        <v>0</v>
      </c>
      <c r="L42" s="105">
        <v>0</v>
      </c>
      <c r="M42" s="105">
        <v>0</v>
      </c>
      <c r="N42" s="105">
        <v>0</v>
      </c>
      <c r="O42" s="105">
        <v>0</v>
      </c>
      <c r="P42" s="105">
        <v>0</v>
      </c>
      <c r="Q42" s="105">
        <v>0</v>
      </c>
      <c r="R42" s="105">
        <v>0</v>
      </c>
      <c r="S42" s="105">
        <v>0</v>
      </c>
      <c r="T42" s="105">
        <v>0</v>
      </c>
      <c r="U42" s="105">
        <v>0</v>
      </c>
      <c r="V42" s="105">
        <v>0</v>
      </c>
      <c r="W42" s="105">
        <v>0</v>
      </c>
      <c r="X42" s="105">
        <v>0</v>
      </c>
      <c r="Y42" s="105">
        <v>0</v>
      </c>
      <c r="Z42" s="105">
        <v>0</v>
      </c>
      <c r="AA42" s="105">
        <v>0</v>
      </c>
      <c r="AB42" s="105">
        <v>13.038925409545643</v>
      </c>
      <c r="AC42" s="105">
        <v>9075.0920850437669</v>
      </c>
      <c r="AD42" s="105">
        <v>0</v>
      </c>
      <c r="AE42" s="105">
        <v>0</v>
      </c>
      <c r="AF42" s="105">
        <v>0</v>
      </c>
      <c r="AG42" s="105">
        <v>0</v>
      </c>
      <c r="AH42" s="105">
        <v>7.9879916338513297</v>
      </c>
      <c r="AI42" s="105">
        <v>5559.6421771605255</v>
      </c>
      <c r="AJ42" s="105">
        <v>0</v>
      </c>
      <c r="AK42" s="105">
        <v>0</v>
      </c>
      <c r="AL42" s="105">
        <v>0</v>
      </c>
      <c r="AM42" s="105">
        <v>0</v>
      </c>
      <c r="AN42" s="105">
        <v>0</v>
      </c>
      <c r="AO42" s="105">
        <v>0</v>
      </c>
      <c r="AP42" s="105">
        <v>0</v>
      </c>
      <c r="AQ42" s="105">
        <v>0</v>
      </c>
      <c r="AR42" s="105">
        <v>7.2782881981933265</v>
      </c>
      <c r="AS42" s="105">
        <v>5065.6885859425556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  <c r="AY42" s="105">
        <v>0</v>
      </c>
      <c r="AZ42" s="105">
        <v>0</v>
      </c>
      <c r="BA42" s="105">
        <v>0</v>
      </c>
      <c r="BB42" s="105">
        <v>0</v>
      </c>
      <c r="BC42" s="105">
        <v>0</v>
      </c>
      <c r="BD42" s="105">
        <v>0</v>
      </c>
      <c r="BE42" s="105">
        <v>0</v>
      </c>
      <c r="BF42" s="105">
        <v>0</v>
      </c>
      <c r="BG42" s="105">
        <v>0</v>
      </c>
      <c r="BH42" s="105">
        <v>0</v>
      </c>
      <c r="BI42" s="105">
        <v>0</v>
      </c>
      <c r="BJ42" s="105">
        <v>0</v>
      </c>
      <c r="BK42" s="105">
        <v>0</v>
      </c>
      <c r="BL42" s="105">
        <v>0</v>
      </c>
      <c r="BM42" s="105">
        <v>0</v>
      </c>
      <c r="BN42" s="105">
        <v>0</v>
      </c>
      <c r="BO42" s="105">
        <v>0</v>
      </c>
      <c r="BP42" s="105">
        <v>0</v>
      </c>
      <c r="BQ42" s="105">
        <v>0</v>
      </c>
      <c r="BR42" s="105">
        <v>0</v>
      </c>
      <c r="BS42" s="105">
        <v>0</v>
      </c>
      <c r="BT42" s="105">
        <v>0</v>
      </c>
      <c r="BU42" s="105">
        <v>0</v>
      </c>
      <c r="BV42" s="105">
        <v>8.2206178354343254E-2</v>
      </c>
      <c r="BW42" s="105">
        <v>57.215500134622907</v>
      </c>
      <c r="BX42" s="105">
        <v>0</v>
      </c>
      <c r="BY42" s="105">
        <v>0</v>
      </c>
      <c r="BZ42" s="105">
        <v>0</v>
      </c>
      <c r="CA42" s="105">
        <v>0</v>
      </c>
      <c r="CB42" s="105">
        <v>0</v>
      </c>
      <c r="CC42" s="105">
        <v>0</v>
      </c>
      <c r="CD42" s="105">
        <v>0</v>
      </c>
      <c r="CE42" s="105">
        <v>0</v>
      </c>
      <c r="CF42" s="105">
        <v>0</v>
      </c>
      <c r="CG42" s="105">
        <v>0</v>
      </c>
      <c r="CH42" s="105">
        <v>0</v>
      </c>
      <c r="CI42" s="105">
        <v>0</v>
      </c>
      <c r="CJ42" s="105">
        <v>0</v>
      </c>
      <c r="CK42" s="105">
        <v>0</v>
      </c>
      <c r="CL42" s="105">
        <v>0</v>
      </c>
      <c r="CM42" s="105">
        <v>0</v>
      </c>
      <c r="CN42" s="105">
        <v>0</v>
      </c>
      <c r="CO42" s="105">
        <v>0</v>
      </c>
      <c r="CP42" s="105">
        <v>0</v>
      </c>
      <c r="CQ42" s="105">
        <v>0</v>
      </c>
      <c r="CR42" s="105">
        <v>0</v>
      </c>
      <c r="CS42" s="105">
        <v>0</v>
      </c>
      <c r="CT42" s="105">
        <v>0</v>
      </c>
      <c r="CU42" s="105">
        <v>0</v>
      </c>
    </row>
    <row r="43" spans="2:99" x14ac:dyDescent="0.2">
      <c r="C43" s="104" t="s">
        <v>209</v>
      </c>
      <c r="D43" s="105">
        <v>0</v>
      </c>
      <c r="E43" s="105">
        <v>0</v>
      </c>
      <c r="F43" s="105">
        <v>0</v>
      </c>
      <c r="G43" s="105">
        <v>0</v>
      </c>
      <c r="H43" s="105">
        <v>0</v>
      </c>
      <c r="I43" s="105">
        <v>0</v>
      </c>
      <c r="J43" s="105">
        <v>0</v>
      </c>
      <c r="K43" s="105">
        <v>0</v>
      </c>
      <c r="L43" s="105">
        <v>0</v>
      </c>
      <c r="M43" s="105">
        <v>0</v>
      </c>
      <c r="N43" s="105">
        <v>0</v>
      </c>
      <c r="O43" s="105">
        <v>0</v>
      </c>
      <c r="P43" s="105">
        <v>0</v>
      </c>
      <c r="Q43" s="105">
        <v>0</v>
      </c>
      <c r="R43" s="105">
        <v>0</v>
      </c>
      <c r="S43" s="105">
        <v>0</v>
      </c>
      <c r="T43" s="105">
        <v>0</v>
      </c>
      <c r="U43" s="105">
        <v>0</v>
      </c>
      <c r="V43" s="105">
        <v>0</v>
      </c>
      <c r="W43" s="105">
        <v>0</v>
      </c>
      <c r="X43" s="105">
        <v>0</v>
      </c>
      <c r="Y43" s="105">
        <v>0</v>
      </c>
      <c r="Z43" s="105">
        <v>0</v>
      </c>
      <c r="AA43" s="105">
        <v>0</v>
      </c>
      <c r="AB43" s="105">
        <v>13.038925409545643</v>
      </c>
      <c r="AC43" s="105">
        <v>10624.116423697789</v>
      </c>
      <c r="AD43" s="105">
        <v>0</v>
      </c>
      <c r="AE43" s="105">
        <v>0</v>
      </c>
      <c r="AF43" s="105">
        <v>0</v>
      </c>
      <c r="AG43" s="105">
        <v>0</v>
      </c>
      <c r="AH43" s="105">
        <v>7.9879916338513297</v>
      </c>
      <c r="AI43" s="105">
        <v>6508.6155832620634</v>
      </c>
      <c r="AJ43" s="105">
        <v>0</v>
      </c>
      <c r="AK43" s="105">
        <v>0</v>
      </c>
      <c r="AL43" s="105">
        <v>0</v>
      </c>
      <c r="AM43" s="105">
        <v>0</v>
      </c>
      <c r="AN43" s="105">
        <v>0</v>
      </c>
      <c r="AO43" s="105">
        <v>0</v>
      </c>
      <c r="AP43" s="105">
        <v>0</v>
      </c>
      <c r="AQ43" s="105">
        <v>0</v>
      </c>
      <c r="AR43" s="105">
        <v>7.6826375425373996</v>
      </c>
      <c r="AS43" s="105">
        <v>6259.8130696594726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  <c r="AY43" s="105">
        <v>0</v>
      </c>
      <c r="AZ43" s="105">
        <v>0</v>
      </c>
      <c r="BA43" s="105">
        <v>0</v>
      </c>
      <c r="BB43" s="105">
        <v>0</v>
      </c>
      <c r="BC43" s="105">
        <v>0</v>
      </c>
      <c r="BD43" s="105">
        <v>0</v>
      </c>
      <c r="BE43" s="105">
        <v>0</v>
      </c>
      <c r="BF43" s="105">
        <v>0</v>
      </c>
      <c r="BG43" s="105">
        <v>0</v>
      </c>
      <c r="BH43" s="105">
        <v>0</v>
      </c>
      <c r="BI43" s="105">
        <v>0</v>
      </c>
      <c r="BJ43" s="105">
        <v>0</v>
      </c>
      <c r="BK43" s="105">
        <v>0</v>
      </c>
      <c r="BL43" s="105">
        <v>0</v>
      </c>
      <c r="BM43" s="105">
        <v>0</v>
      </c>
      <c r="BN43" s="105">
        <v>0</v>
      </c>
      <c r="BO43" s="105">
        <v>0</v>
      </c>
      <c r="BP43" s="105">
        <v>0</v>
      </c>
      <c r="BQ43" s="105">
        <v>0</v>
      </c>
      <c r="BR43" s="105">
        <v>0</v>
      </c>
      <c r="BS43" s="105">
        <v>0</v>
      </c>
      <c r="BT43" s="105">
        <v>0</v>
      </c>
      <c r="BU43" s="105">
        <v>0</v>
      </c>
      <c r="BV43" s="105">
        <v>8.2206178354343254E-2</v>
      </c>
      <c r="BW43" s="105">
        <v>66.981594123118882</v>
      </c>
      <c r="BX43" s="105">
        <v>0</v>
      </c>
      <c r="BY43" s="105">
        <v>0</v>
      </c>
      <c r="BZ43" s="105">
        <v>0</v>
      </c>
      <c r="CA43" s="105">
        <v>0</v>
      </c>
      <c r="CB43" s="105">
        <v>0</v>
      </c>
      <c r="CC43" s="105">
        <v>0</v>
      </c>
      <c r="CD43" s="105">
        <v>0</v>
      </c>
      <c r="CE43" s="105">
        <v>0</v>
      </c>
      <c r="CF43" s="105">
        <v>0</v>
      </c>
      <c r="CG43" s="105">
        <v>0</v>
      </c>
      <c r="CH43" s="105">
        <v>0</v>
      </c>
      <c r="CI43" s="105">
        <v>0</v>
      </c>
      <c r="CJ43" s="105">
        <v>0</v>
      </c>
      <c r="CK43" s="105">
        <v>0</v>
      </c>
      <c r="CL43" s="105">
        <v>0</v>
      </c>
      <c r="CM43" s="105">
        <v>0</v>
      </c>
      <c r="CN43" s="105">
        <v>0</v>
      </c>
      <c r="CO43" s="105">
        <v>0</v>
      </c>
      <c r="CP43" s="105">
        <v>0</v>
      </c>
      <c r="CQ43" s="105">
        <v>0</v>
      </c>
      <c r="CR43" s="105">
        <v>0</v>
      </c>
      <c r="CS43" s="105">
        <v>0</v>
      </c>
      <c r="CT43" s="105">
        <v>0</v>
      </c>
      <c r="CU43" s="105">
        <v>0</v>
      </c>
    </row>
    <row r="44" spans="2:99" x14ac:dyDescent="0.2">
      <c r="C44" s="104" t="s">
        <v>210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13.038925409545643</v>
      </c>
      <c r="AC44" s="105">
        <v>10999.637475492704</v>
      </c>
      <c r="AD44" s="105">
        <v>0</v>
      </c>
      <c r="AE44" s="105">
        <v>0</v>
      </c>
      <c r="AF44" s="105">
        <v>0</v>
      </c>
      <c r="AG44" s="105">
        <v>0</v>
      </c>
      <c r="AH44" s="105">
        <v>9.0530571850315074</v>
      </c>
      <c r="AI44" s="105">
        <v>7637.1590412925798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6.8739388538492516</v>
      </c>
      <c r="AS44" s="105">
        <v>5798.8548171072289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  <c r="AZ44" s="105">
        <v>0</v>
      </c>
      <c r="BA44" s="105">
        <v>0</v>
      </c>
      <c r="BB44" s="105">
        <v>0</v>
      </c>
      <c r="BC44" s="105">
        <v>0</v>
      </c>
      <c r="BD44" s="105">
        <v>0</v>
      </c>
      <c r="BE44" s="105">
        <v>0</v>
      </c>
      <c r="BF44" s="105">
        <v>0</v>
      </c>
      <c r="BG44" s="105">
        <v>0</v>
      </c>
      <c r="BH44" s="105">
        <v>0</v>
      </c>
      <c r="BI44" s="105">
        <v>0</v>
      </c>
      <c r="BJ44" s="105">
        <v>0</v>
      </c>
      <c r="BK44" s="105">
        <v>0</v>
      </c>
      <c r="BL44" s="105">
        <v>0</v>
      </c>
      <c r="BM44" s="105">
        <v>0</v>
      </c>
      <c r="BN44" s="105">
        <v>0</v>
      </c>
      <c r="BO44" s="105">
        <v>0</v>
      </c>
      <c r="BP44" s="105">
        <v>0</v>
      </c>
      <c r="BQ44" s="105">
        <v>0</v>
      </c>
      <c r="BR44" s="105">
        <v>0</v>
      </c>
      <c r="BS44" s="105">
        <v>0</v>
      </c>
      <c r="BT44" s="105">
        <v>0</v>
      </c>
      <c r="BU44" s="105">
        <v>0</v>
      </c>
      <c r="BV44" s="105">
        <v>9.5186101252397445E-2</v>
      </c>
      <c r="BW44" s="105">
        <v>80.298995016522483</v>
      </c>
      <c r="BX44" s="105">
        <v>0</v>
      </c>
      <c r="BY44" s="105">
        <v>0</v>
      </c>
      <c r="BZ44" s="105">
        <v>0</v>
      </c>
      <c r="CA44" s="105">
        <v>0</v>
      </c>
      <c r="CB44" s="105">
        <v>0</v>
      </c>
      <c r="CC44" s="105">
        <v>0</v>
      </c>
      <c r="CD44" s="105">
        <v>0</v>
      </c>
      <c r="CE44" s="105">
        <v>0</v>
      </c>
      <c r="CF44" s="105">
        <v>0</v>
      </c>
      <c r="CG44" s="105">
        <v>0</v>
      </c>
      <c r="CH44" s="105">
        <v>0</v>
      </c>
      <c r="CI44" s="105">
        <v>0</v>
      </c>
      <c r="CJ44" s="105">
        <v>0</v>
      </c>
      <c r="CK44" s="105">
        <v>0</v>
      </c>
      <c r="CL44" s="105">
        <v>0</v>
      </c>
      <c r="CM44" s="105">
        <v>0</v>
      </c>
      <c r="CN44" s="105">
        <v>0</v>
      </c>
      <c r="CO44" s="105">
        <v>0</v>
      </c>
      <c r="CP44" s="105">
        <v>0</v>
      </c>
      <c r="CQ44" s="105">
        <v>0</v>
      </c>
      <c r="CR44" s="105">
        <v>0</v>
      </c>
      <c r="CS44" s="105">
        <v>0</v>
      </c>
      <c r="CT44" s="105">
        <v>0</v>
      </c>
      <c r="CU44" s="105">
        <v>0</v>
      </c>
    </row>
    <row r="45" spans="2:99" x14ac:dyDescent="0.2">
      <c r="C45" s="104" t="s">
        <v>211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0</v>
      </c>
      <c r="K45" s="105">
        <v>0</v>
      </c>
      <c r="L45" s="105">
        <v>0</v>
      </c>
      <c r="M45" s="105">
        <v>0</v>
      </c>
      <c r="N45" s="105">
        <v>0</v>
      </c>
      <c r="O45" s="105">
        <v>0</v>
      </c>
      <c r="P45" s="105">
        <v>0</v>
      </c>
      <c r="Q45" s="105">
        <v>0</v>
      </c>
      <c r="R45" s="105">
        <v>0</v>
      </c>
      <c r="S45" s="105">
        <v>0</v>
      </c>
      <c r="T45" s="105">
        <v>0</v>
      </c>
      <c r="U45" s="105">
        <v>0</v>
      </c>
      <c r="V45" s="105">
        <v>0</v>
      </c>
      <c r="W45" s="105">
        <v>0</v>
      </c>
      <c r="X45" s="105">
        <v>0</v>
      </c>
      <c r="Y45" s="105">
        <v>0</v>
      </c>
      <c r="Z45" s="105">
        <v>0</v>
      </c>
      <c r="AA45" s="105">
        <v>0</v>
      </c>
      <c r="AB45" s="105">
        <v>11.590155919596127</v>
      </c>
      <c r="AC45" s="105">
        <v>12058.398218747809</v>
      </c>
      <c r="AD45" s="105">
        <v>0</v>
      </c>
      <c r="AE45" s="105">
        <v>0</v>
      </c>
      <c r="AF45" s="105">
        <v>0</v>
      </c>
      <c r="AG45" s="105">
        <v>0</v>
      </c>
      <c r="AH45" s="105">
        <v>8.5205244094414176</v>
      </c>
      <c r="AI45" s="105">
        <v>8864.7535955828498</v>
      </c>
      <c r="AJ45" s="105">
        <v>0</v>
      </c>
      <c r="AK45" s="105">
        <v>0</v>
      </c>
      <c r="AL45" s="105">
        <v>0</v>
      </c>
      <c r="AM45" s="105">
        <v>0</v>
      </c>
      <c r="AN45" s="105">
        <v>0</v>
      </c>
      <c r="AO45" s="105">
        <v>0</v>
      </c>
      <c r="AP45" s="105">
        <v>0</v>
      </c>
      <c r="AQ45" s="105">
        <v>0</v>
      </c>
      <c r="AR45" s="105">
        <v>6.8739388538492516</v>
      </c>
      <c r="AS45" s="105">
        <v>7151.6459835447604</v>
      </c>
      <c r="AT45" s="105">
        <v>0</v>
      </c>
      <c r="AU45" s="105">
        <v>0</v>
      </c>
      <c r="AV45" s="105">
        <v>0</v>
      </c>
      <c r="AW45" s="105">
        <v>0</v>
      </c>
      <c r="AX45" s="105">
        <v>0</v>
      </c>
      <c r="AY45" s="105">
        <v>0</v>
      </c>
      <c r="AZ45" s="105">
        <v>0</v>
      </c>
      <c r="BA45" s="105">
        <v>0</v>
      </c>
      <c r="BB45" s="105">
        <v>0</v>
      </c>
      <c r="BC45" s="105">
        <v>0</v>
      </c>
      <c r="BD45" s="105">
        <v>0</v>
      </c>
      <c r="BE45" s="105">
        <v>0</v>
      </c>
      <c r="BF45" s="105">
        <v>0</v>
      </c>
      <c r="BG45" s="105">
        <v>0</v>
      </c>
      <c r="BH45" s="105">
        <v>0</v>
      </c>
      <c r="BI45" s="105">
        <v>0</v>
      </c>
      <c r="BJ45" s="105">
        <v>0</v>
      </c>
      <c r="BK45" s="105">
        <v>0</v>
      </c>
      <c r="BL45" s="105">
        <v>0</v>
      </c>
      <c r="BM45" s="105">
        <v>0</v>
      </c>
      <c r="BN45" s="105">
        <v>0</v>
      </c>
      <c r="BO45" s="105">
        <v>0</v>
      </c>
      <c r="BP45" s="105">
        <v>0</v>
      </c>
      <c r="BQ45" s="105">
        <v>0</v>
      </c>
      <c r="BR45" s="105">
        <v>0</v>
      </c>
      <c r="BS45" s="105">
        <v>0</v>
      </c>
      <c r="BT45" s="105">
        <v>0</v>
      </c>
      <c r="BU45" s="105">
        <v>0</v>
      </c>
      <c r="BV45" s="105">
        <v>8.2206178354343254E-2</v>
      </c>
      <c r="BW45" s="105">
        <v>85.527307959858703</v>
      </c>
      <c r="BX45" s="105">
        <v>0</v>
      </c>
      <c r="BY45" s="105">
        <v>0</v>
      </c>
      <c r="BZ45" s="105">
        <v>0</v>
      </c>
      <c r="CA45" s="105">
        <v>0</v>
      </c>
      <c r="CB45" s="105">
        <v>0</v>
      </c>
      <c r="CC45" s="105">
        <v>0</v>
      </c>
      <c r="CD45" s="105">
        <v>0</v>
      </c>
      <c r="CE45" s="105">
        <v>0</v>
      </c>
      <c r="CF45" s="105">
        <v>0</v>
      </c>
      <c r="CG45" s="105">
        <v>0</v>
      </c>
      <c r="CH45" s="105">
        <v>0</v>
      </c>
      <c r="CI45" s="105">
        <v>0</v>
      </c>
      <c r="CJ45" s="105">
        <v>0</v>
      </c>
      <c r="CK45" s="105">
        <v>0</v>
      </c>
      <c r="CL45" s="105">
        <v>0</v>
      </c>
      <c r="CM45" s="105">
        <v>0</v>
      </c>
      <c r="CN45" s="105">
        <v>0</v>
      </c>
      <c r="CO45" s="105">
        <v>0</v>
      </c>
      <c r="CP45" s="105">
        <v>0</v>
      </c>
      <c r="CQ45" s="105">
        <v>0</v>
      </c>
      <c r="CR45" s="105">
        <v>0</v>
      </c>
      <c r="CS45" s="105">
        <v>0</v>
      </c>
      <c r="CT45" s="105">
        <v>0</v>
      </c>
      <c r="CU45" s="105">
        <v>0</v>
      </c>
    </row>
    <row r="46" spans="2:99" x14ac:dyDescent="0.2">
      <c r="C46" s="104" t="s">
        <v>212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0</v>
      </c>
      <c r="K46" s="105">
        <v>0</v>
      </c>
      <c r="L46" s="105">
        <v>0</v>
      </c>
      <c r="M46" s="105">
        <v>0</v>
      </c>
      <c r="N46" s="105">
        <v>0</v>
      </c>
      <c r="O46" s="105">
        <v>0</v>
      </c>
      <c r="P46" s="105">
        <v>0</v>
      </c>
      <c r="Q46" s="105">
        <v>0</v>
      </c>
      <c r="R46" s="105">
        <v>0</v>
      </c>
      <c r="S46" s="105">
        <v>0</v>
      </c>
      <c r="T46" s="105">
        <v>0</v>
      </c>
      <c r="U46" s="105">
        <v>0</v>
      </c>
      <c r="V46" s="105">
        <v>0</v>
      </c>
      <c r="W46" s="105">
        <v>0</v>
      </c>
      <c r="X46" s="105">
        <v>0</v>
      </c>
      <c r="Y46" s="105">
        <v>0</v>
      </c>
      <c r="Z46" s="105">
        <v>0</v>
      </c>
      <c r="AA46" s="105">
        <v>0</v>
      </c>
      <c r="AB46" s="105">
        <v>14.487694899495157</v>
      </c>
      <c r="AC46" s="105">
        <v>14742.678329726268</v>
      </c>
      <c r="AD46" s="105">
        <v>0</v>
      </c>
      <c r="AE46" s="105">
        <v>0</v>
      </c>
      <c r="AF46" s="105">
        <v>0</v>
      </c>
      <c r="AG46" s="105">
        <v>0</v>
      </c>
      <c r="AH46" s="105">
        <v>7.9879916338513297</v>
      </c>
      <c r="AI46" s="105">
        <v>8128.5802866071117</v>
      </c>
      <c r="AJ46" s="105">
        <v>0</v>
      </c>
      <c r="AK46" s="105">
        <v>0</v>
      </c>
      <c r="AL46" s="105">
        <v>0</v>
      </c>
      <c r="AM46" s="105">
        <v>0</v>
      </c>
      <c r="AN46" s="105">
        <v>0</v>
      </c>
      <c r="AO46" s="105">
        <v>0</v>
      </c>
      <c r="AP46" s="105">
        <v>0</v>
      </c>
      <c r="AQ46" s="105">
        <v>0</v>
      </c>
      <c r="AR46" s="105">
        <v>7.2782881981933265</v>
      </c>
      <c r="AS46" s="105">
        <v>7406.3860704815279</v>
      </c>
      <c r="AT46" s="105">
        <v>0</v>
      </c>
      <c r="AU46" s="105">
        <v>0</v>
      </c>
      <c r="AV46" s="105">
        <v>0</v>
      </c>
      <c r="AW46" s="105">
        <v>0</v>
      </c>
      <c r="AX46" s="105">
        <v>0</v>
      </c>
      <c r="AY46" s="105">
        <v>0</v>
      </c>
      <c r="AZ46" s="105">
        <v>0</v>
      </c>
      <c r="BA46" s="105">
        <v>0</v>
      </c>
      <c r="BB46" s="105">
        <v>0</v>
      </c>
      <c r="BC46" s="105">
        <v>0</v>
      </c>
      <c r="BD46" s="105">
        <v>0</v>
      </c>
      <c r="BE46" s="105">
        <v>0</v>
      </c>
      <c r="BF46" s="105">
        <v>0</v>
      </c>
      <c r="BG46" s="105">
        <v>0</v>
      </c>
      <c r="BH46" s="105">
        <v>0</v>
      </c>
      <c r="BI46" s="105">
        <v>0</v>
      </c>
      <c r="BJ46" s="105">
        <v>0</v>
      </c>
      <c r="BK46" s="105">
        <v>0</v>
      </c>
      <c r="BL46" s="105">
        <v>0</v>
      </c>
      <c r="BM46" s="105">
        <v>0</v>
      </c>
      <c r="BN46" s="105">
        <v>0</v>
      </c>
      <c r="BO46" s="105">
        <v>0</v>
      </c>
      <c r="BP46" s="105">
        <v>0</v>
      </c>
      <c r="BQ46" s="105">
        <v>0</v>
      </c>
      <c r="BR46" s="105">
        <v>0</v>
      </c>
      <c r="BS46" s="105">
        <v>0</v>
      </c>
      <c r="BT46" s="105">
        <v>0</v>
      </c>
      <c r="BU46" s="105">
        <v>0</v>
      </c>
      <c r="BV46" s="105">
        <v>8.2206178354343254E-2</v>
      </c>
      <c r="BW46" s="105">
        <v>83.653007093379685</v>
      </c>
      <c r="BX46" s="105">
        <v>0</v>
      </c>
      <c r="BY46" s="105">
        <v>0</v>
      </c>
      <c r="BZ46" s="105">
        <v>0</v>
      </c>
      <c r="CA46" s="105">
        <v>0</v>
      </c>
      <c r="CB46" s="105">
        <v>0</v>
      </c>
      <c r="CC46" s="105">
        <v>0</v>
      </c>
      <c r="CD46" s="105">
        <v>0</v>
      </c>
      <c r="CE46" s="105">
        <v>0</v>
      </c>
      <c r="CF46" s="105">
        <v>0</v>
      </c>
      <c r="CG46" s="105">
        <v>0</v>
      </c>
      <c r="CH46" s="105">
        <v>0</v>
      </c>
      <c r="CI46" s="105">
        <v>0</v>
      </c>
      <c r="CJ46" s="105">
        <v>0</v>
      </c>
      <c r="CK46" s="105">
        <v>0</v>
      </c>
      <c r="CL46" s="105">
        <v>0</v>
      </c>
      <c r="CM46" s="105">
        <v>0</v>
      </c>
      <c r="CN46" s="105">
        <v>0</v>
      </c>
      <c r="CO46" s="105">
        <v>0</v>
      </c>
      <c r="CP46" s="105">
        <v>0</v>
      </c>
      <c r="CQ46" s="105">
        <v>0</v>
      </c>
      <c r="CR46" s="105">
        <v>0</v>
      </c>
      <c r="CS46" s="105">
        <v>0</v>
      </c>
      <c r="CT46" s="105">
        <v>0</v>
      </c>
      <c r="CU46" s="105">
        <v>0</v>
      </c>
    </row>
    <row r="47" spans="2:99" x14ac:dyDescent="0.2">
      <c r="C47" s="104" t="s">
        <v>213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0</v>
      </c>
      <c r="K47" s="105">
        <v>0</v>
      </c>
      <c r="L47" s="105">
        <v>0</v>
      </c>
      <c r="M47" s="105">
        <v>0</v>
      </c>
      <c r="N47" s="105">
        <v>0</v>
      </c>
      <c r="O47" s="105">
        <v>0</v>
      </c>
      <c r="P47" s="105">
        <v>0</v>
      </c>
      <c r="Q47" s="105">
        <v>0</v>
      </c>
      <c r="R47" s="105">
        <v>0</v>
      </c>
      <c r="S47" s="105">
        <v>0</v>
      </c>
      <c r="T47" s="105">
        <v>0</v>
      </c>
      <c r="U47" s="105">
        <v>0</v>
      </c>
      <c r="V47" s="105">
        <v>0</v>
      </c>
      <c r="W47" s="105">
        <v>0</v>
      </c>
      <c r="X47" s="105">
        <v>0</v>
      </c>
      <c r="Y47" s="105">
        <v>0</v>
      </c>
      <c r="Z47" s="105">
        <v>0</v>
      </c>
      <c r="AA47" s="105">
        <v>0</v>
      </c>
      <c r="AB47" s="105">
        <v>12.314540664570883</v>
      </c>
      <c r="AC47" s="105">
        <v>16225.638779638593</v>
      </c>
      <c r="AD47" s="105">
        <v>0</v>
      </c>
      <c r="AE47" s="105">
        <v>0</v>
      </c>
      <c r="AF47" s="105">
        <v>0</v>
      </c>
      <c r="AG47" s="105">
        <v>0</v>
      </c>
      <c r="AH47" s="105">
        <v>7.4554588582612418</v>
      </c>
      <c r="AI47" s="105">
        <v>9823.3125916450117</v>
      </c>
      <c r="AJ47" s="105">
        <v>0</v>
      </c>
      <c r="AK47" s="105">
        <v>0</v>
      </c>
      <c r="AL47" s="105">
        <v>0</v>
      </c>
      <c r="AM47" s="105">
        <v>0</v>
      </c>
      <c r="AN47" s="105">
        <v>0</v>
      </c>
      <c r="AO47" s="105">
        <v>0</v>
      </c>
      <c r="AP47" s="105">
        <v>0</v>
      </c>
      <c r="AQ47" s="105">
        <v>0</v>
      </c>
      <c r="AR47" s="105">
        <v>6.8739388538492516</v>
      </c>
      <c r="AS47" s="105">
        <v>9057.1018338317735</v>
      </c>
      <c r="AT47" s="105">
        <v>0</v>
      </c>
      <c r="AU47" s="105">
        <v>0</v>
      </c>
      <c r="AV47" s="105">
        <v>0</v>
      </c>
      <c r="AW47" s="105">
        <v>0</v>
      </c>
      <c r="AX47" s="105">
        <v>0</v>
      </c>
      <c r="AY47" s="105">
        <v>0</v>
      </c>
      <c r="AZ47" s="105">
        <v>0</v>
      </c>
      <c r="BA47" s="105">
        <v>0</v>
      </c>
      <c r="BB47" s="105">
        <v>0</v>
      </c>
      <c r="BC47" s="105">
        <v>0</v>
      </c>
      <c r="BD47" s="105">
        <v>0</v>
      </c>
      <c r="BE47" s="105">
        <v>0</v>
      </c>
      <c r="BF47" s="105">
        <v>0</v>
      </c>
      <c r="BG47" s="105">
        <v>0</v>
      </c>
      <c r="BH47" s="105">
        <v>0</v>
      </c>
      <c r="BI47" s="105">
        <v>0</v>
      </c>
      <c r="BJ47" s="105">
        <v>0</v>
      </c>
      <c r="BK47" s="105">
        <v>0</v>
      </c>
      <c r="BL47" s="105">
        <v>0</v>
      </c>
      <c r="BM47" s="105">
        <v>0</v>
      </c>
      <c r="BN47" s="105">
        <v>0</v>
      </c>
      <c r="BO47" s="105">
        <v>0</v>
      </c>
      <c r="BP47" s="105">
        <v>0</v>
      </c>
      <c r="BQ47" s="105">
        <v>0</v>
      </c>
      <c r="BR47" s="105">
        <v>0</v>
      </c>
      <c r="BS47" s="105">
        <v>0</v>
      </c>
      <c r="BT47" s="105">
        <v>0</v>
      </c>
      <c r="BU47" s="105">
        <v>0</v>
      </c>
      <c r="BV47" s="105">
        <v>8.2206178354343254E-2</v>
      </c>
      <c r="BW47" s="105">
        <v>108.31486059968266</v>
      </c>
      <c r="BX47" s="105">
        <v>0</v>
      </c>
      <c r="BY47" s="105">
        <v>0</v>
      </c>
      <c r="BZ47" s="105">
        <v>0</v>
      </c>
      <c r="CA47" s="105">
        <v>0</v>
      </c>
      <c r="CB47" s="105">
        <v>0</v>
      </c>
      <c r="CC47" s="105">
        <v>0</v>
      </c>
      <c r="CD47" s="105">
        <v>0</v>
      </c>
      <c r="CE47" s="105">
        <v>0</v>
      </c>
      <c r="CF47" s="105">
        <v>0</v>
      </c>
      <c r="CG47" s="105">
        <v>0</v>
      </c>
      <c r="CH47" s="105">
        <v>0</v>
      </c>
      <c r="CI47" s="105">
        <v>0</v>
      </c>
      <c r="CJ47" s="105">
        <v>0</v>
      </c>
      <c r="CK47" s="105">
        <v>0</v>
      </c>
      <c r="CL47" s="105">
        <v>0</v>
      </c>
      <c r="CM47" s="105">
        <v>0</v>
      </c>
      <c r="CN47" s="105">
        <v>0</v>
      </c>
      <c r="CO47" s="105">
        <v>0</v>
      </c>
      <c r="CP47" s="105">
        <v>0</v>
      </c>
      <c r="CQ47" s="105">
        <v>0</v>
      </c>
      <c r="CR47" s="105">
        <v>0</v>
      </c>
      <c r="CS47" s="105">
        <v>0</v>
      </c>
      <c r="CT47" s="105">
        <v>0</v>
      </c>
      <c r="CU47" s="105">
        <v>0</v>
      </c>
    </row>
    <row r="48" spans="2:99" x14ac:dyDescent="0.2">
      <c r="C48" s="104" t="s">
        <v>214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0</v>
      </c>
      <c r="Q48" s="105">
        <v>0</v>
      </c>
      <c r="R48" s="105">
        <v>0</v>
      </c>
      <c r="S48" s="105">
        <v>0</v>
      </c>
      <c r="T48" s="105">
        <v>0</v>
      </c>
      <c r="U48" s="105">
        <v>0</v>
      </c>
      <c r="V48" s="105">
        <v>0</v>
      </c>
      <c r="W48" s="105">
        <v>0</v>
      </c>
      <c r="X48" s="105">
        <v>0</v>
      </c>
      <c r="Y48" s="105">
        <v>0</v>
      </c>
      <c r="Z48" s="105">
        <v>0</v>
      </c>
      <c r="AA48" s="105">
        <v>0</v>
      </c>
      <c r="AB48" s="105">
        <v>13.038925409545643</v>
      </c>
      <c r="AC48" s="105">
        <v>8574.3973493172143</v>
      </c>
      <c r="AD48" s="105">
        <v>0</v>
      </c>
      <c r="AE48" s="105">
        <v>0</v>
      </c>
      <c r="AF48" s="105">
        <v>0</v>
      </c>
      <c r="AG48" s="105">
        <v>0</v>
      </c>
      <c r="AH48" s="105">
        <v>7.9879916338513297</v>
      </c>
      <c r="AI48" s="105">
        <v>5252.9032984206342</v>
      </c>
      <c r="AJ48" s="105">
        <v>0</v>
      </c>
      <c r="AK48" s="105">
        <v>0</v>
      </c>
      <c r="AL48" s="105">
        <v>0</v>
      </c>
      <c r="AM48" s="105">
        <v>0</v>
      </c>
      <c r="AN48" s="105">
        <v>0</v>
      </c>
      <c r="AO48" s="105">
        <v>0</v>
      </c>
      <c r="AP48" s="105">
        <v>0</v>
      </c>
      <c r="AQ48" s="105">
        <v>0</v>
      </c>
      <c r="AR48" s="105">
        <v>8.0869868868814727</v>
      </c>
      <c r="AS48" s="105">
        <v>5318.0025768132564</v>
      </c>
      <c r="AT48" s="105">
        <v>0</v>
      </c>
      <c r="AU48" s="105">
        <v>0</v>
      </c>
      <c r="AV48" s="105">
        <v>0</v>
      </c>
      <c r="AW48" s="105">
        <v>0</v>
      </c>
      <c r="AX48" s="105">
        <v>0</v>
      </c>
      <c r="AY48" s="105">
        <v>0</v>
      </c>
      <c r="AZ48" s="105">
        <v>0</v>
      </c>
      <c r="BA48" s="105">
        <v>0</v>
      </c>
      <c r="BB48" s="105">
        <v>0</v>
      </c>
      <c r="BC48" s="105">
        <v>0</v>
      </c>
      <c r="BD48" s="105">
        <v>0</v>
      </c>
      <c r="BE48" s="105">
        <v>0</v>
      </c>
      <c r="BF48" s="105">
        <v>0</v>
      </c>
      <c r="BG48" s="105">
        <v>0</v>
      </c>
      <c r="BH48" s="105">
        <v>0</v>
      </c>
      <c r="BI48" s="105">
        <v>0</v>
      </c>
      <c r="BJ48" s="105">
        <v>0</v>
      </c>
      <c r="BK48" s="105">
        <v>0</v>
      </c>
      <c r="BL48" s="105">
        <v>0</v>
      </c>
      <c r="BM48" s="105">
        <v>0</v>
      </c>
      <c r="BN48" s="105">
        <v>0</v>
      </c>
      <c r="BO48" s="105">
        <v>0</v>
      </c>
      <c r="BP48" s="105">
        <v>0</v>
      </c>
      <c r="BQ48" s="105">
        <v>0</v>
      </c>
      <c r="BR48" s="105">
        <v>0</v>
      </c>
      <c r="BS48" s="105">
        <v>0</v>
      </c>
      <c r="BT48" s="105">
        <v>0</v>
      </c>
      <c r="BU48" s="105">
        <v>0</v>
      </c>
      <c r="BV48" s="105">
        <v>9.5186101252397445E-2</v>
      </c>
      <c r="BW48" s="105">
        <v>62.594380183576561</v>
      </c>
      <c r="BX48" s="105">
        <v>0</v>
      </c>
      <c r="BY48" s="105">
        <v>0</v>
      </c>
      <c r="BZ48" s="105">
        <v>0</v>
      </c>
      <c r="CA48" s="105">
        <v>0</v>
      </c>
      <c r="CB48" s="105">
        <v>0</v>
      </c>
      <c r="CC48" s="105">
        <v>0</v>
      </c>
      <c r="CD48" s="105">
        <v>0</v>
      </c>
      <c r="CE48" s="105">
        <v>0</v>
      </c>
      <c r="CF48" s="105">
        <v>0</v>
      </c>
      <c r="CG48" s="105">
        <v>0</v>
      </c>
      <c r="CH48" s="105">
        <v>0</v>
      </c>
      <c r="CI48" s="105">
        <v>0</v>
      </c>
      <c r="CJ48" s="105">
        <v>0</v>
      </c>
      <c r="CK48" s="105">
        <v>0</v>
      </c>
      <c r="CL48" s="105">
        <v>0</v>
      </c>
      <c r="CM48" s="105">
        <v>0</v>
      </c>
      <c r="CN48" s="105">
        <v>0</v>
      </c>
      <c r="CO48" s="105">
        <v>0</v>
      </c>
      <c r="CP48" s="105">
        <v>0</v>
      </c>
      <c r="CQ48" s="105">
        <v>0</v>
      </c>
      <c r="CR48" s="105">
        <v>0</v>
      </c>
      <c r="CS48" s="105">
        <v>0</v>
      </c>
      <c r="CT48" s="105">
        <v>0</v>
      </c>
      <c r="CU48" s="105">
        <v>0</v>
      </c>
    </row>
    <row r="49" spans="2:99" x14ac:dyDescent="0.2">
      <c r="B49" s="104" t="s">
        <v>129</v>
      </c>
      <c r="C49" s="104" t="s">
        <v>215</v>
      </c>
      <c r="D49" s="105">
        <v>18</v>
      </c>
      <c r="E49" s="105">
        <v>10648.800000000001</v>
      </c>
      <c r="F49" s="105">
        <v>15.157894736842104</v>
      </c>
      <c r="G49" s="105">
        <v>8967.410526315789</v>
      </c>
      <c r="H49" s="105">
        <v>12.74</v>
      </c>
      <c r="I49" s="105">
        <v>7536.9840000000004</v>
      </c>
      <c r="J49" s="105">
        <v>16.774774774774773</v>
      </c>
      <c r="K49" s="105">
        <v>9923.9567567567556</v>
      </c>
      <c r="L49" s="105">
        <v>13.066666666666666</v>
      </c>
      <c r="M49" s="105">
        <v>7730.24</v>
      </c>
      <c r="N49" s="105">
        <v>10</v>
      </c>
      <c r="O49" s="105">
        <v>5916</v>
      </c>
      <c r="P49" s="105">
        <v>17.631355932203387</v>
      </c>
      <c r="Q49" s="105">
        <v>10430.710169491524</v>
      </c>
      <c r="R49" s="105">
        <v>15.516666666666666</v>
      </c>
      <c r="S49" s="105">
        <v>9179.66</v>
      </c>
      <c r="T49" s="105">
        <v>15.469058295964127</v>
      </c>
      <c r="U49" s="105">
        <v>9151.4948878923769</v>
      </c>
      <c r="V49" s="105">
        <v>11</v>
      </c>
      <c r="W49" s="105">
        <v>6507.6</v>
      </c>
      <c r="X49" s="105">
        <v>15</v>
      </c>
      <c r="Y49" s="105">
        <v>8874</v>
      </c>
      <c r="Z49" s="105">
        <v>18</v>
      </c>
      <c r="AA49" s="105">
        <v>10648.800000000001</v>
      </c>
      <c r="AB49" s="105">
        <v>15</v>
      </c>
      <c r="AC49" s="105">
        <v>8874</v>
      </c>
      <c r="AD49" s="105">
        <v>18</v>
      </c>
      <c r="AE49" s="105">
        <v>10648.800000000001</v>
      </c>
      <c r="AF49" s="105">
        <v>13</v>
      </c>
      <c r="AG49" s="105">
        <v>7690.8</v>
      </c>
      <c r="AH49" s="105">
        <v>12</v>
      </c>
      <c r="AI49" s="105">
        <v>7099.2000000000007</v>
      </c>
      <c r="AJ49" s="105">
        <v>13</v>
      </c>
      <c r="AK49" s="105">
        <v>7690.8</v>
      </c>
      <c r="AL49" s="105">
        <v>20</v>
      </c>
      <c r="AM49" s="105">
        <v>11832</v>
      </c>
      <c r="AN49" s="105">
        <v>14</v>
      </c>
      <c r="AO49" s="105">
        <v>8282.4</v>
      </c>
      <c r="AP49" s="105">
        <v>13</v>
      </c>
      <c r="AQ49" s="105">
        <v>7690.8</v>
      </c>
      <c r="AR49" s="105">
        <v>11</v>
      </c>
      <c r="AS49" s="105">
        <v>6507.6</v>
      </c>
      <c r="AT49" s="105">
        <v>18</v>
      </c>
      <c r="AU49" s="105">
        <v>10648.800000000001</v>
      </c>
      <c r="AV49" s="105">
        <v>17</v>
      </c>
      <c r="AW49" s="105">
        <v>10057.200000000001</v>
      </c>
      <c r="AX49" s="105">
        <v>16</v>
      </c>
      <c r="AY49" s="105">
        <v>9465.6</v>
      </c>
      <c r="AZ49" s="105">
        <v>15</v>
      </c>
      <c r="BA49" s="105">
        <v>8874</v>
      </c>
      <c r="BB49" s="105">
        <v>17.656914614783826</v>
      </c>
      <c r="BC49" s="105">
        <v>10445.830686106112</v>
      </c>
      <c r="BD49" s="105">
        <v>10.122065727699532</v>
      </c>
      <c r="BE49" s="105">
        <v>5988.2140845070435</v>
      </c>
      <c r="BF49" s="105">
        <v>11.80722891566265</v>
      </c>
      <c r="BG49" s="105">
        <v>6985.1566265060237</v>
      </c>
      <c r="BH49" s="105">
        <v>10.002061855670103</v>
      </c>
      <c r="BI49" s="105">
        <v>5917.2197938144336</v>
      </c>
      <c r="BJ49" s="105">
        <v>11</v>
      </c>
      <c r="BK49" s="105">
        <v>6507.6</v>
      </c>
      <c r="BL49" s="105">
        <v>15</v>
      </c>
      <c r="BM49" s="105">
        <v>8874</v>
      </c>
      <c r="BN49" s="105">
        <v>8.9267489711934171</v>
      </c>
      <c r="BO49" s="105">
        <v>5281.0646913580258</v>
      </c>
      <c r="BP49" s="105">
        <v>10.43225806451613</v>
      </c>
      <c r="BQ49" s="105">
        <v>6171.7238709677431</v>
      </c>
      <c r="BR49" s="105">
        <v>15</v>
      </c>
      <c r="BS49" s="105">
        <v>8874</v>
      </c>
      <c r="BT49" s="105">
        <v>13</v>
      </c>
      <c r="BU49" s="105">
        <v>7690.8</v>
      </c>
      <c r="BV49" s="105">
        <v>16</v>
      </c>
      <c r="BW49" s="105">
        <v>9465.6</v>
      </c>
      <c r="BX49" s="105">
        <v>12</v>
      </c>
      <c r="BY49" s="105">
        <v>7099.2000000000007</v>
      </c>
      <c r="BZ49" s="105">
        <v>17.620253164556967</v>
      </c>
      <c r="CA49" s="105">
        <v>10424.141772151903</v>
      </c>
      <c r="CB49" s="105">
        <v>12</v>
      </c>
      <c r="CC49" s="105">
        <v>7099.2000000000007</v>
      </c>
      <c r="CD49" s="105">
        <v>14</v>
      </c>
      <c r="CE49" s="105">
        <v>8282.4</v>
      </c>
      <c r="CF49" s="105">
        <v>15.58729510531181</v>
      </c>
      <c r="CG49" s="105">
        <v>9221.443784302468</v>
      </c>
      <c r="CH49" s="105">
        <v>14.554455445544553</v>
      </c>
      <c r="CI49" s="105">
        <v>8610.4158415841575</v>
      </c>
      <c r="CJ49" s="105">
        <v>8.1666666666666661</v>
      </c>
      <c r="CK49" s="105">
        <v>4831.3999999999996</v>
      </c>
      <c r="CL49" s="105">
        <v>11.85483870967742</v>
      </c>
      <c r="CM49" s="105">
        <v>7013.3225806451619</v>
      </c>
      <c r="CN49" s="105">
        <v>11.741935483870968</v>
      </c>
      <c r="CO49" s="105">
        <v>6946.5290322580649</v>
      </c>
      <c r="CP49" s="105">
        <v>12.49402390438247</v>
      </c>
      <c r="CQ49" s="105">
        <v>7391.4645418326691</v>
      </c>
      <c r="CR49" s="105">
        <v>11</v>
      </c>
      <c r="CS49" s="105">
        <v>6507.6</v>
      </c>
      <c r="CT49" s="105">
        <v>16</v>
      </c>
      <c r="CU49" s="105">
        <v>9465.6</v>
      </c>
    </row>
    <row r="50" spans="2:99" x14ac:dyDescent="0.2">
      <c r="C50" s="104" t="s">
        <v>216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0</v>
      </c>
      <c r="Q50" s="105">
        <v>0</v>
      </c>
      <c r="R50" s="105">
        <v>0</v>
      </c>
      <c r="S50" s="105">
        <v>0</v>
      </c>
      <c r="T50" s="105">
        <v>0</v>
      </c>
      <c r="U50" s="105">
        <v>0</v>
      </c>
      <c r="V50" s="105">
        <v>0</v>
      </c>
      <c r="W50" s="105">
        <v>0</v>
      </c>
      <c r="X50" s="105">
        <v>0</v>
      </c>
      <c r="Y50" s="105">
        <v>0</v>
      </c>
      <c r="Z50" s="105">
        <v>0</v>
      </c>
      <c r="AA50" s="105">
        <v>0</v>
      </c>
      <c r="AB50" s="105">
        <v>11.590155919596127</v>
      </c>
      <c r="AC50" s="105">
        <v>4478.4362473319434</v>
      </c>
      <c r="AD50" s="105">
        <v>0</v>
      </c>
      <c r="AE50" s="105">
        <v>0</v>
      </c>
      <c r="AF50" s="105">
        <v>0</v>
      </c>
      <c r="AG50" s="105">
        <v>0</v>
      </c>
      <c r="AH50" s="105">
        <v>5.8578605314909753</v>
      </c>
      <c r="AI50" s="105">
        <v>2263.4773093681129</v>
      </c>
      <c r="AJ50" s="105">
        <v>0</v>
      </c>
      <c r="AK50" s="105">
        <v>0</v>
      </c>
      <c r="AL50" s="105">
        <v>0</v>
      </c>
      <c r="AM50" s="105">
        <v>0</v>
      </c>
      <c r="AN50" s="105">
        <v>0</v>
      </c>
      <c r="AO50" s="105">
        <v>0</v>
      </c>
      <c r="AP50" s="105">
        <v>0</v>
      </c>
      <c r="AQ50" s="105">
        <v>0</v>
      </c>
      <c r="AR50" s="105">
        <v>4.8521921321288835</v>
      </c>
      <c r="AS50" s="105">
        <v>1874.8870398546005</v>
      </c>
      <c r="AT50" s="105">
        <v>0</v>
      </c>
      <c r="AU50" s="105">
        <v>0</v>
      </c>
      <c r="AV50" s="105">
        <v>0</v>
      </c>
      <c r="AW50" s="105">
        <v>0</v>
      </c>
      <c r="AX50" s="105">
        <v>0</v>
      </c>
      <c r="AY50" s="105">
        <v>0</v>
      </c>
      <c r="AZ50" s="105">
        <v>0</v>
      </c>
      <c r="BA50" s="105">
        <v>0</v>
      </c>
      <c r="BB50" s="105">
        <v>0</v>
      </c>
      <c r="BC50" s="105">
        <v>0</v>
      </c>
      <c r="BD50" s="105">
        <v>0</v>
      </c>
      <c r="BE50" s="105">
        <v>0</v>
      </c>
      <c r="BF50" s="105">
        <v>0</v>
      </c>
      <c r="BG50" s="105">
        <v>0</v>
      </c>
      <c r="BH50" s="105">
        <v>0</v>
      </c>
      <c r="BI50" s="105">
        <v>0</v>
      </c>
      <c r="BJ50" s="105">
        <v>0</v>
      </c>
      <c r="BK50" s="105">
        <v>0</v>
      </c>
      <c r="BL50" s="105">
        <v>0</v>
      </c>
      <c r="BM50" s="105">
        <v>0</v>
      </c>
      <c r="BN50" s="105">
        <v>0</v>
      </c>
      <c r="BO50" s="105">
        <v>0</v>
      </c>
      <c r="BP50" s="105">
        <v>0</v>
      </c>
      <c r="BQ50" s="105">
        <v>0</v>
      </c>
      <c r="BR50" s="105">
        <v>0</v>
      </c>
      <c r="BS50" s="105">
        <v>0</v>
      </c>
      <c r="BT50" s="105">
        <v>0</v>
      </c>
      <c r="BU50" s="105">
        <v>0</v>
      </c>
      <c r="BV50" s="105">
        <v>6.4899614490270985E-2</v>
      </c>
      <c r="BW50" s="105">
        <v>25.077211039040709</v>
      </c>
      <c r="BX50" s="105">
        <v>0</v>
      </c>
      <c r="BY50" s="105">
        <v>0</v>
      </c>
      <c r="BZ50" s="105">
        <v>0</v>
      </c>
      <c r="CA50" s="105">
        <v>0</v>
      </c>
      <c r="CB50" s="105">
        <v>0</v>
      </c>
      <c r="CC50" s="105">
        <v>0</v>
      </c>
      <c r="CD50" s="105">
        <v>0</v>
      </c>
      <c r="CE50" s="105">
        <v>0</v>
      </c>
      <c r="CF50" s="105">
        <v>0</v>
      </c>
      <c r="CG50" s="105">
        <v>0</v>
      </c>
      <c r="CH50" s="105">
        <v>0</v>
      </c>
      <c r="CI50" s="105">
        <v>0</v>
      </c>
      <c r="CJ50" s="105">
        <v>0</v>
      </c>
      <c r="CK50" s="105">
        <v>0</v>
      </c>
      <c r="CL50" s="105">
        <v>0</v>
      </c>
      <c r="CM50" s="105">
        <v>0</v>
      </c>
      <c r="CN50" s="105">
        <v>0</v>
      </c>
      <c r="CO50" s="105">
        <v>0</v>
      </c>
      <c r="CP50" s="105">
        <v>0</v>
      </c>
      <c r="CQ50" s="105">
        <v>0</v>
      </c>
      <c r="CR50" s="105">
        <v>0</v>
      </c>
      <c r="CS50" s="105">
        <v>0</v>
      </c>
      <c r="CT50" s="105">
        <v>0</v>
      </c>
      <c r="CU50" s="105">
        <v>0</v>
      </c>
    </row>
    <row r="51" spans="2:99" x14ac:dyDescent="0.2">
      <c r="C51" s="104" t="s">
        <v>217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3.144817900879993</v>
      </c>
      <c r="O51" s="105">
        <v>426.43730735932701</v>
      </c>
      <c r="P51" s="105">
        <v>13.695662686051644</v>
      </c>
      <c r="Q51" s="105">
        <v>1857.1318602286028</v>
      </c>
      <c r="R51" s="105">
        <v>12.97802379530525</v>
      </c>
      <c r="S51" s="105">
        <v>1759.8200266433917</v>
      </c>
      <c r="T51" s="105">
        <v>15.206080512043119</v>
      </c>
      <c r="U51" s="105">
        <v>2061.9445174330467</v>
      </c>
      <c r="V51" s="105">
        <v>11</v>
      </c>
      <c r="W51" s="105">
        <v>1491.6</v>
      </c>
      <c r="X51" s="105">
        <v>17</v>
      </c>
      <c r="Y51" s="105">
        <v>2305.1999999999998</v>
      </c>
      <c r="Z51" s="105">
        <v>15.942402761324535</v>
      </c>
      <c r="AA51" s="105">
        <v>2161.7898144356068</v>
      </c>
      <c r="AB51" s="105">
        <v>15.027185447195553</v>
      </c>
      <c r="AC51" s="105">
        <v>2037.6863466397169</v>
      </c>
      <c r="AD51" s="105">
        <v>14.755375891303126</v>
      </c>
      <c r="AE51" s="105">
        <v>2000.8289708607037</v>
      </c>
      <c r="AF51" s="105">
        <v>14</v>
      </c>
      <c r="AG51" s="105">
        <v>1898.3999999999999</v>
      </c>
      <c r="AH51" s="105">
        <v>11</v>
      </c>
      <c r="AI51" s="105">
        <v>1491.6</v>
      </c>
      <c r="AJ51" s="105">
        <v>16</v>
      </c>
      <c r="AK51" s="105">
        <v>2169.6</v>
      </c>
      <c r="AL51" s="105">
        <v>16.259274251710139</v>
      </c>
      <c r="AM51" s="105">
        <v>2204.7575885318947</v>
      </c>
      <c r="AN51" s="105">
        <v>15.292683423294415</v>
      </c>
      <c r="AO51" s="105">
        <v>2073.6878721987227</v>
      </c>
      <c r="AP51" s="105">
        <v>13.476337127022347</v>
      </c>
      <c r="AQ51" s="105">
        <v>1827.3913144242301</v>
      </c>
      <c r="AR51" s="105">
        <v>11</v>
      </c>
      <c r="AS51" s="105">
        <v>1491.6</v>
      </c>
      <c r="AT51" s="105">
        <v>20</v>
      </c>
      <c r="AU51" s="105">
        <v>2712</v>
      </c>
      <c r="AV51" s="105">
        <v>17</v>
      </c>
      <c r="AW51" s="105">
        <v>2305.1999999999998</v>
      </c>
      <c r="AX51" s="105">
        <v>17.254769913514149</v>
      </c>
      <c r="AY51" s="105">
        <v>2339.7468002725186</v>
      </c>
      <c r="AZ51" s="105">
        <v>16.594437917148461</v>
      </c>
      <c r="BA51" s="105">
        <v>2250.2057815653311</v>
      </c>
      <c r="BB51" s="105">
        <v>17.26360730226121</v>
      </c>
      <c r="BC51" s="105">
        <v>2340.9451501866201</v>
      </c>
      <c r="BD51" s="105">
        <v>12</v>
      </c>
      <c r="BE51" s="105">
        <v>1627.1999999999998</v>
      </c>
      <c r="BF51" s="105">
        <v>16</v>
      </c>
      <c r="BG51" s="105">
        <v>2169.6</v>
      </c>
      <c r="BH51" s="105">
        <v>12</v>
      </c>
      <c r="BI51" s="105">
        <v>1627.1999999999998</v>
      </c>
      <c r="BJ51" s="105">
        <v>13</v>
      </c>
      <c r="BK51" s="105">
        <v>1762.8</v>
      </c>
      <c r="BL51" s="105">
        <v>16</v>
      </c>
      <c r="BM51" s="105">
        <v>2169.6</v>
      </c>
      <c r="BN51" s="105">
        <v>11</v>
      </c>
      <c r="BO51" s="105">
        <v>1491.6</v>
      </c>
      <c r="BP51" s="105">
        <v>13</v>
      </c>
      <c r="BQ51" s="105">
        <v>1762.8</v>
      </c>
      <c r="BR51" s="105">
        <v>15</v>
      </c>
      <c r="BS51" s="105">
        <v>2034</v>
      </c>
      <c r="BT51" s="105">
        <v>14</v>
      </c>
      <c r="BU51" s="105">
        <v>1898.3999999999999</v>
      </c>
      <c r="BV51" s="105">
        <v>10.69763809908944</v>
      </c>
      <c r="BW51" s="105">
        <v>1450.5997262365281</v>
      </c>
      <c r="BX51" s="105">
        <v>13</v>
      </c>
      <c r="BY51" s="105">
        <v>1762.8</v>
      </c>
      <c r="BZ51" s="105">
        <v>15.591684335002055</v>
      </c>
      <c r="CA51" s="105">
        <v>2114.2323958262787</v>
      </c>
      <c r="CB51" s="105">
        <v>11.170948653451232</v>
      </c>
      <c r="CC51" s="105">
        <v>1514.7806374079869</v>
      </c>
      <c r="CD51" s="105">
        <v>13.840828701364323</v>
      </c>
      <c r="CE51" s="105">
        <v>1876.8163719050021</v>
      </c>
      <c r="CF51" s="105">
        <v>9.9904761953229784</v>
      </c>
      <c r="CG51" s="105">
        <v>1354.7085720857958</v>
      </c>
      <c r="CH51" s="105">
        <v>8.8764821474342188</v>
      </c>
      <c r="CI51" s="105">
        <v>1203.6509791920801</v>
      </c>
      <c r="CJ51" s="105">
        <v>12</v>
      </c>
      <c r="CK51" s="105">
        <v>1627.1999999999998</v>
      </c>
      <c r="CL51" s="105">
        <v>16.041664472436612</v>
      </c>
      <c r="CM51" s="105">
        <v>2175.2497024624045</v>
      </c>
      <c r="CN51" s="105">
        <v>9.5179987773535153</v>
      </c>
      <c r="CO51" s="105">
        <v>1290.6406342091366</v>
      </c>
      <c r="CP51" s="105">
        <v>12.155287805533591</v>
      </c>
      <c r="CQ51" s="105">
        <v>1648.2570264303549</v>
      </c>
      <c r="CR51" s="105">
        <v>13</v>
      </c>
      <c r="CS51" s="105">
        <v>1762.8</v>
      </c>
      <c r="CT51" s="105">
        <v>12.155340384810767</v>
      </c>
      <c r="CU51" s="105">
        <v>1648.26415618034</v>
      </c>
    </row>
    <row r="52" spans="2:99" x14ac:dyDescent="0.2">
      <c r="C52" s="104" t="s">
        <v>218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2.6206815840666611</v>
      </c>
      <c r="O52" s="105">
        <v>698.14957399535842</v>
      </c>
      <c r="P52" s="105">
        <v>15.065228954656808</v>
      </c>
      <c r="Q52" s="105">
        <v>4013.3769935205733</v>
      </c>
      <c r="R52" s="105">
        <v>14.34413156323212</v>
      </c>
      <c r="S52" s="105">
        <v>3821.2766484450362</v>
      </c>
      <c r="T52" s="105">
        <v>16.100555836280947</v>
      </c>
      <c r="U52" s="105">
        <v>4289.1880747852438</v>
      </c>
      <c r="V52" s="105">
        <v>12</v>
      </c>
      <c r="W52" s="105">
        <v>3196.7999999999997</v>
      </c>
      <c r="X52" s="105">
        <v>16</v>
      </c>
      <c r="Y52" s="105">
        <v>4262.3999999999996</v>
      </c>
      <c r="Z52" s="105">
        <v>15.942402761324535</v>
      </c>
      <c r="AA52" s="105">
        <v>4247.0560956168556</v>
      </c>
      <c r="AB52" s="105">
        <v>15.027185447195553</v>
      </c>
      <c r="AC52" s="105">
        <v>4003.2422031328952</v>
      </c>
      <c r="AD52" s="105">
        <v>13.97877716018191</v>
      </c>
      <c r="AE52" s="105">
        <v>3723.9462354724606</v>
      </c>
      <c r="AF52" s="105">
        <v>13</v>
      </c>
      <c r="AG52" s="105">
        <v>3463.2</v>
      </c>
      <c r="AH52" s="105">
        <v>11</v>
      </c>
      <c r="AI52" s="105">
        <v>2930.3999999999996</v>
      </c>
      <c r="AJ52" s="105">
        <v>14</v>
      </c>
      <c r="AK52" s="105">
        <v>3729.5999999999995</v>
      </c>
      <c r="AL52" s="105">
        <v>14.710771942023456</v>
      </c>
      <c r="AM52" s="105">
        <v>3918.9496453550482</v>
      </c>
      <c r="AN52" s="105">
        <v>13.381097995382612</v>
      </c>
      <c r="AO52" s="105">
        <v>3564.7245059699276</v>
      </c>
      <c r="AP52" s="105">
        <v>14.438932636095373</v>
      </c>
      <c r="AQ52" s="105">
        <v>3846.5316542558071</v>
      </c>
      <c r="AR52" s="105">
        <v>13</v>
      </c>
      <c r="AS52" s="105">
        <v>3463.2</v>
      </c>
      <c r="AT52" s="105">
        <v>21</v>
      </c>
      <c r="AU52" s="105">
        <v>5594.4</v>
      </c>
      <c r="AV52" s="105">
        <v>17</v>
      </c>
      <c r="AW52" s="105">
        <v>4528.7999999999993</v>
      </c>
      <c r="AX52" s="105">
        <v>18.162915698435945</v>
      </c>
      <c r="AY52" s="105">
        <v>4838.600742063335</v>
      </c>
      <c r="AZ52" s="105">
        <v>14.750611481909745</v>
      </c>
      <c r="BA52" s="105">
        <v>3929.5628987807559</v>
      </c>
      <c r="BB52" s="105">
        <v>14.909479033771044</v>
      </c>
      <c r="BC52" s="105">
        <v>3971.8852145966057</v>
      </c>
      <c r="BD52" s="105">
        <v>12</v>
      </c>
      <c r="BE52" s="105">
        <v>3196.7999999999997</v>
      </c>
      <c r="BF52" s="105">
        <v>15</v>
      </c>
      <c r="BG52" s="105">
        <v>3995.9999999999995</v>
      </c>
      <c r="BH52" s="105">
        <v>11</v>
      </c>
      <c r="BI52" s="105">
        <v>2930.3999999999996</v>
      </c>
      <c r="BJ52" s="105">
        <v>12</v>
      </c>
      <c r="BK52" s="105">
        <v>3196.7999999999997</v>
      </c>
      <c r="BL52" s="105">
        <v>15</v>
      </c>
      <c r="BM52" s="105">
        <v>3995.9999999999995</v>
      </c>
      <c r="BN52" s="105">
        <v>11</v>
      </c>
      <c r="BO52" s="105">
        <v>2930.3999999999996</v>
      </c>
      <c r="BP52" s="105">
        <v>11</v>
      </c>
      <c r="BQ52" s="105">
        <v>2930.3999999999996</v>
      </c>
      <c r="BR52" s="105">
        <v>15</v>
      </c>
      <c r="BS52" s="105">
        <v>3995.9999999999995</v>
      </c>
      <c r="BT52" s="105">
        <v>15</v>
      </c>
      <c r="BU52" s="105">
        <v>3995.9999999999995</v>
      </c>
      <c r="BV52" s="105">
        <v>10.69763809908944</v>
      </c>
      <c r="BW52" s="105">
        <v>2849.8507895974267</v>
      </c>
      <c r="BX52" s="105">
        <v>11</v>
      </c>
      <c r="BY52" s="105">
        <v>2930.3999999999996</v>
      </c>
      <c r="BZ52" s="105">
        <v>18.190298390835732</v>
      </c>
      <c r="CA52" s="105">
        <v>4845.895491318639</v>
      </c>
      <c r="CB52" s="105">
        <v>11.170948653451232</v>
      </c>
      <c r="CC52" s="105">
        <v>2975.9407212794081</v>
      </c>
      <c r="CD52" s="105">
        <v>14.829459322890347</v>
      </c>
      <c r="CE52" s="105">
        <v>3950.567963617988</v>
      </c>
      <c r="CF52" s="105">
        <v>11.23928571973835</v>
      </c>
      <c r="CG52" s="105">
        <v>2994.1457157382961</v>
      </c>
      <c r="CH52" s="105">
        <v>9.3986281561068203</v>
      </c>
      <c r="CI52" s="105">
        <v>2503.7945407868569</v>
      </c>
      <c r="CJ52" s="105">
        <v>11</v>
      </c>
      <c r="CK52" s="105">
        <v>2930.3999999999996</v>
      </c>
      <c r="CL52" s="105">
        <v>15.098037150528578</v>
      </c>
      <c r="CM52" s="105">
        <v>4022.1170969008126</v>
      </c>
      <c r="CN52" s="105">
        <v>9.5179987773535153</v>
      </c>
      <c r="CO52" s="105">
        <v>2535.5948742869764</v>
      </c>
      <c r="CP52" s="105">
        <v>13.02352264878599</v>
      </c>
      <c r="CQ52" s="105">
        <v>3469.4664336365877</v>
      </c>
      <c r="CR52" s="105">
        <v>12</v>
      </c>
      <c r="CS52" s="105">
        <v>3196.7999999999997</v>
      </c>
      <c r="CT52" s="105">
        <v>12.155340384810767</v>
      </c>
      <c r="CU52" s="105">
        <v>3238.1826785135881</v>
      </c>
    </row>
    <row r="53" spans="2:99" x14ac:dyDescent="0.2">
      <c r="C53" s="104" t="s">
        <v>219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2.6206815840666611</v>
      </c>
      <c r="O53" s="105">
        <v>1028.3554535877577</v>
      </c>
      <c r="P53" s="105">
        <v>13.695662686051644</v>
      </c>
      <c r="Q53" s="105">
        <v>5374.1780380066648</v>
      </c>
      <c r="R53" s="105">
        <v>14.34413156323212</v>
      </c>
      <c r="S53" s="105">
        <v>5628.6372254122834</v>
      </c>
      <c r="T53" s="105">
        <v>14.311605187805286</v>
      </c>
      <c r="U53" s="105">
        <v>5615.8738756947942</v>
      </c>
      <c r="V53" s="105">
        <v>10</v>
      </c>
      <c r="W53" s="105">
        <v>3924</v>
      </c>
      <c r="X53" s="105">
        <v>18</v>
      </c>
      <c r="Y53" s="105">
        <v>7063.2</v>
      </c>
      <c r="Z53" s="105">
        <v>15.942402761324535</v>
      </c>
      <c r="AA53" s="105">
        <v>6255.7988435437474</v>
      </c>
      <c r="AB53" s="105">
        <v>16.905583628094998</v>
      </c>
      <c r="AC53" s="105">
        <v>6633.7510156644767</v>
      </c>
      <c r="AD53" s="105">
        <v>15.531974622424343</v>
      </c>
      <c r="AE53" s="105">
        <v>6094.7468418393119</v>
      </c>
      <c r="AF53" s="105">
        <v>12</v>
      </c>
      <c r="AG53" s="105">
        <v>4708.7999999999993</v>
      </c>
      <c r="AH53" s="105">
        <v>12</v>
      </c>
      <c r="AI53" s="105">
        <v>4708.7999999999993</v>
      </c>
      <c r="AJ53" s="105">
        <v>15</v>
      </c>
      <c r="AK53" s="105">
        <v>5886</v>
      </c>
      <c r="AL53" s="105">
        <v>16.259274251710139</v>
      </c>
      <c r="AM53" s="105">
        <v>6380.139216371058</v>
      </c>
      <c r="AN53" s="105">
        <v>15.292683423294415</v>
      </c>
      <c r="AO53" s="105">
        <v>6000.8489753007279</v>
      </c>
      <c r="AP53" s="105">
        <v>12.513741617949321</v>
      </c>
      <c r="AQ53" s="105">
        <v>4910.3922108833131</v>
      </c>
      <c r="AR53" s="105">
        <v>13</v>
      </c>
      <c r="AS53" s="105">
        <v>5101.2</v>
      </c>
      <c r="AT53" s="105">
        <v>21</v>
      </c>
      <c r="AU53" s="105">
        <v>8240.4</v>
      </c>
      <c r="AV53" s="105">
        <v>16</v>
      </c>
      <c r="AW53" s="105">
        <v>6278.4</v>
      </c>
      <c r="AX53" s="105">
        <v>15.438478343670553</v>
      </c>
      <c r="AY53" s="105">
        <v>6058.0589020563248</v>
      </c>
      <c r="AZ53" s="105">
        <v>14.750611481909745</v>
      </c>
      <c r="BA53" s="105">
        <v>5788.1399455013834</v>
      </c>
      <c r="BB53" s="105">
        <v>16.478897879431155</v>
      </c>
      <c r="BC53" s="105">
        <v>6466.3195278887852</v>
      </c>
      <c r="BD53" s="105">
        <v>10</v>
      </c>
      <c r="BE53" s="105">
        <v>3924</v>
      </c>
      <c r="BF53" s="105">
        <v>15</v>
      </c>
      <c r="BG53" s="105">
        <v>5886</v>
      </c>
      <c r="BH53" s="105">
        <v>12</v>
      </c>
      <c r="BI53" s="105">
        <v>4708.7999999999993</v>
      </c>
      <c r="BJ53" s="105">
        <v>11</v>
      </c>
      <c r="BK53" s="105">
        <v>4316.3999999999996</v>
      </c>
      <c r="BL53" s="105">
        <v>16</v>
      </c>
      <c r="BM53" s="105">
        <v>6278.4</v>
      </c>
      <c r="BN53" s="105">
        <v>10</v>
      </c>
      <c r="BO53" s="105">
        <v>3924</v>
      </c>
      <c r="BP53" s="105">
        <v>11</v>
      </c>
      <c r="BQ53" s="105">
        <v>4316.3999999999996</v>
      </c>
      <c r="BR53" s="105">
        <v>16</v>
      </c>
      <c r="BS53" s="105">
        <v>6278.4</v>
      </c>
      <c r="BT53" s="105">
        <v>15</v>
      </c>
      <c r="BU53" s="105">
        <v>5886</v>
      </c>
      <c r="BV53" s="105">
        <v>12.225872113245075</v>
      </c>
      <c r="BW53" s="105">
        <v>4797.4322172373668</v>
      </c>
      <c r="BX53" s="105">
        <v>10</v>
      </c>
      <c r="BY53" s="105">
        <v>3924</v>
      </c>
      <c r="BZ53" s="105">
        <v>17.324093705557839</v>
      </c>
      <c r="CA53" s="105">
        <v>6797.974370060896</v>
      </c>
      <c r="CB53" s="105">
        <v>11.170948653451232</v>
      </c>
      <c r="CC53" s="105">
        <v>4383.4802516142636</v>
      </c>
      <c r="CD53" s="105">
        <v>12.852198079838301</v>
      </c>
      <c r="CE53" s="105">
        <v>5043.2025265285492</v>
      </c>
      <c r="CF53" s="105">
        <v>11.23928571973835</v>
      </c>
      <c r="CG53" s="105">
        <v>4410.2957164253285</v>
      </c>
      <c r="CH53" s="105">
        <v>8.3543361387616173</v>
      </c>
      <c r="CI53" s="105">
        <v>3278.2415008500584</v>
      </c>
      <c r="CJ53" s="105">
        <v>11</v>
      </c>
      <c r="CK53" s="105">
        <v>4316.3999999999996</v>
      </c>
      <c r="CL53" s="105">
        <v>16.041664472436612</v>
      </c>
      <c r="CM53" s="105">
        <v>6294.7491389841261</v>
      </c>
      <c r="CN53" s="105">
        <v>9.5179987773535153</v>
      </c>
      <c r="CO53" s="105">
        <v>3734.8627202335192</v>
      </c>
      <c r="CP53" s="105">
        <v>12.155287805533591</v>
      </c>
      <c r="CQ53" s="105">
        <v>4769.7349348913813</v>
      </c>
      <c r="CR53" s="105">
        <v>11</v>
      </c>
      <c r="CS53" s="105">
        <v>4316.3999999999996</v>
      </c>
      <c r="CT53" s="105">
        <v>10.635922836709423</v>
      </c>
      <c r="CU53" s="105">
        <v>4173.5361211247773</v>
      </c>
    </row>
    <row r="54" spans="2:99" x14ac:dyDescent="0.2">
      <c r="C54" s="104" t="s">
        <v>220</v>
      </c>
      <c r="D54" s="105">
        <v>0</v>
      </c>
      <c r="E54" s="105">
        <v>0</v>
      </c>
      <c r="F54" s="105">
        <v>0</v>
      </c>
      <c r="G54" s="105">
        <v>0</v>
      </c>
      <c r="H54" s="105">
        <v>0</v>
      </c>
      <c r="I54" s="105">
        <v>0</v>
      </c>
      <c r="J54" s="105">
        <v>0</v>
      </c>
      <c r="K54" s="105">
        <v>0</v>
      </c>
      <c r="L54" s="105">
        <v>0</v>
      </c>
      <c r="M54" s="105">
        <v>0</v>
      </c>
      <c r="N54" s="105">
        <v>0</v>
      </c>
      <c r="O54" s="105">
        <v>0</v>
      </c>
      <c r="P54" s="105">
        <v>0</v>
      </c>
      <c r="Q54" s="105">
        <v>0</v>
      </c>
      <c r="R54" s="105">
        <v>0</v>
      </c>
      <c r="S54" s="105">
        <v>0</v>
      </c>
      <c r="T54" s="105">
        <v>0</v>
      </c>
      <c r="U54" s="105">
        <v>0</v>
      </c>
      <c r="V54" s="105">
        <v>0</v>
      </c>
      <c r="W54" s="105">
        <v>0</v>
      </c>
      <c r="X54" s="105">
        <v>0</v>
      </c>
      <c r="Y54" s="105">
        <v>0</v>
      </c>
      <c r="Z54" s="105">
        <v>0</v>
      </c>
      <c r="AA54" s="105">
        <v>0</v>
      </c>
      <c r="AB54" s="105">
        <v>13.038925409545643</v>
      </c>
      <c r="AC54" s="105">
        <v>5319.8815670946224</v>
      </c>
      <c r="AD54" s="105">
        <v>0</v>
      </c>
      <c r="AE54" s="105">
        <v>0</v>
      </c>
      <c r="AF54" s="105">
        <v>0</v>
      </c>
      <c r="AG54" s="105">
        <v>0</v>
      </c>
      <c r="AH54" s="105">
        <v>5.8578605314909753</v>
      </c>
      <c r="AI54" s="105">
        <v>2390.0070968483178</v>
      </c>
      <c r="AJ54" s="105">
        <v>0</v>
      </c>
      <c r="AK54" s="105">
        <v>0</v>
      </c>
      <c r="AL54" s="105">
        <v>0</v>
      </c>
      <c r="AM54" s="105">
        <v>0</v>
      </c>
      <c r="AN54" s="105">
        <v>0</v>
      </c>
      <c r="AO54" s="105">
        <v>0</v>
      </c>
      <c r="AP54" s="105">
        <v>0</v>
      </c>
      <c r="AQ54" s="105">
        <v>0</v>
      </c>
      <c r="AR54" s="105">
        <v>4.4478427877848103</v>
      </c>
      <c r="AS54" s="105">
        <v>1814.7198574162026</v>
      </c>
      <c r="AT54" s="105">
        <v>0</v>
      </c>
      <c r="AU54" s="105">
        <v>0</v>
      </c>
      <c r="AV54" s="105">
        <v>0</v>
      </c>
      <c r="AW54" s="105">
        <v>0</v>
      </c>
      <c r="AX54" s="105">
        <v>0</v>
      </c>
      <c r="AY54" s="105">
        <v>0</v>
      </c>
      <c r="AZ54" s="105">
        <v>0</v>
      </c>
      <c r="BA54" s="105">
        <v>0</v>
      </c>
      <c r="BB54" s="105">
        <v>0</v>
      </c>
      <c r="BC54" s="105">
        <v>0</v>
      </c>
      <c r="BD54" s="105">
        <v>0</v>
      </c>
      <c r="BE54" s="105">
        <v>0</v>
      </c>
      <c r="BF54" s="105">
        <v>0</v>
      </c>
      <c r="BG54" s="105">
        <v>0</v>
      </c>
      <c r="BH54" s="105">
        <v>0</v>
      </c>
      <c r="BI54" s="105">
        <v>0</v>
      </c>
      <c r="BJ54" s="105">
        <v>0</v>
      </c>
      <c r="BK54" s="105">
        <v>0</v>
      </c>
      <c r="BL54" s="105">
        <v>0</v>
      </c>
      <c r="BM54" s="105">
        <v>0</v>
      </c>
      <c r="BN54" s="105">
        <v>0</v>
      </c>
      <c r="BO54" s="105">
        <v>0</v>
      </c>
      <c r="BP54" s="105">
        <v>0</v>
      </c>
      <c r="BQ54" s="105">
        <v>0</v>
      </c>
      <c r="BR54" s="105">
        <v>0</v>
      </c>
      <c r="BS54" s="105">
        <v>0</v>
      </c>
      <c r="BT54" s="105">
        <v>0</v>
      </c>
      <c r="BU54" s="105">
        <v>0</v>
      </c>
      <c r="BV54" s="105">
        <v>6.0572973524252921E-2</v>
      </c>
      <c r="BW54" s="105">
        <v>24.713773197895193</v>
      </c>
      <c r="BX54" s="105">
        <v>0</v>
      </c>
      <c r="BY54" s="105">
        <v>0</v>
      </c>
      <c r="BZ54" s="105">
        <v>0</v>
      </c>
      <c r="CA54" s="105">
        <v>0</v>
      </c>
      <c r="CB54" s="105">
        <v>0</v>
      </c>
      <c r="CC54" s="105">
        <v>0</v>
      </c>
      <c r="CD54" s="105">
        <v>0</v>
      </c>
      <c r="CE54" s="105">
        <v>0</v>
      </c>
      <c r="CF54" s="105">
        <v>0</v>
      </c>
      <c r="CG54" s="105">
        <v>0</v>
      </c>
      <c r="CH54" s="105">
        <v>0</v>
      </c>
      <c r="CI54" s="105">
        <v>0</v>
      </c>
      <c r="CJ54" s="105">
        <v>0</v>
      </c>
      <c r="CK54" s="105">
        <v>0</v>
      </c>
      <c r="CL54" s="105">
        <v>0</v>
      </c>
      <c r="CM54" s="105">
        <v>0</v>
      </c>
      <c r="CN54" s="105">
        <v>0</v>
      </c>
      <c r="CO54" s="105">
        <v>0</v>
      </c>
      <c r="CP54" s="105">
        <v>0</v>
      </c>
      <c r="CQ54" s="105">
        <v>0</v>
      </c>
      <c r="CR54" s="105">
        <v>0</v>
      </c>
      <c r="CS54" s="105">
        <v>0</v>
      </c>
      <c r="CT54" s="105">
        <v>0</v>
      </c>
      <c r="CU54" s="105">
        <v>0</v>
      </c>
    </row>
    <row r="55" spans="2:99" x14ac:dyDescent="0.2">
      <c r="C55" s="104" t="s">
        <v>221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0</v>
      </c>
      <c r="K55" s="105">
        <v>0</v>
      </c>
      <c r="L55" s="105">
        <v>0</v>
      </c>
      <c r="M55" s="105">
        <v>0</v>
      </c>
      <c r="N55" s="105">
        <v>2.8827497424733273</v>
      </c>
      <c r="O55" s="105">
        <v>733.37153448521428</v>
      </c>
      <c r="P55" s="105">
        <v>12.326096417446479</v>
      </c>
      <c r="Q55" s="105">
        <v>3135.7589285983836</v>
      </c>
      <c r="R55" s="105">
        <v>12.294969911341818</v>
      </c>
      <c r="S55" s="105">
        <v>3127.8403454453578</v>
      </c>
      <c r="T55" s="105">
        <v>16.100555836280947</v>
      </c>
      <c r="U55" s="105">
        <v>4095.9814047498721</v>
      </c>
      <c r="V55" s="105">
        <v>11</v>
      </c>
      <c r="W55" s="105">
        <v>2798.3999999999996</v>
      </c>
      <c r="X55" s="105">
        <v>15</v>
      </c>
      <c r="Y55" s="105">
        <v>3815.9999999999991</v>
      </c>
      <c r="Z55" s="105">
        <v>15.103328931781141</v>
      </c>
      <c r="AA55" s="105">
        <v>3842.2868802451212</v>
      </c>
      <c r="AB55" s="105">
        <v>15.027185447195553</v>
      </c>
      <c r="AC55" s="105">
        <v>3822.9159777665477</v>
      </c>
      <c r="AD55" s="105">
        <v>16.308573353545562</v>
      </c>
      <c r="AE55" s="105">
        <v>4148.9010611419899</v>
      </c>
      <c r="AF55" s="105">
        <v>12</v>
      </c>
      <c r="AG55" s="105">
        <v>3052.7999999999993</v>
      </c>
      <c r="AH55" s="105">
        <v>12</v>
      </c>
      <c r="AI55" s="105">
        <v>3052.7999999999993</v>
      </c>
      <c r="AJ55" s="105">
        <v>15</v>
      </c>
      <c r="AK55" s="105">
        <v>3815.9999999999991</v>
      </c>
      <c r="AL55" s="105">
        <v>15.485023096866797</v>
      </c>
      <c r="AM55" s="105">
        <v>3939.3898758429123</v>
      </c>
      <c r="AN55" s="105">
        <v>14.336890709338515</v>
      </c>
      <c r="AO55" s="105">
        <v>3647.3049964557176</v>
      </c>
      <c r="AP55" s="105">
        <v>14.438932636095373</v>
      </c>
      <c r="AQ55" s="105">
        <v>3673.264462622662</v>
      </c>
      <c r="AR55" s="105">
        <v>11</v>
      </c>
      <c r="AS55" s="105">
        <v>2798.3999999999996</v>
      </c>
      <c r="AT55" s="105">
        <v>18</v>
      </c>
      <c r="AU55" s="105">
        <v>4579.1999999999989</v>
      </c>
      <c r="AV55" s="105">
        <v>17</v>
      </c>
      <c r="AW55" s="105">
        <v>4324.7999999999993</v>
      </c>
      <c r="AX55" s="105">
        <v>17.254769913514149</v>
      </c>
      <c r="AY55" s="105">
        <v>4389.6134659979989</v>
      </c>
      <c r="AZ55" s="105">
        <v>14.750611481909745</v>
      </c>
      <c r="BA55" s="105">
        <v>3752.5555609978383</v>
      </c>
      <c r="BB55" s="105">
        <v>17.26360730226121</v>
      </c>
      <c r="BC55" s="105">
        <v>4391.8616976952508</v>
      </c>
      <c r="BD55" s="105">
        <v>11</v>
      </c>
      <c r="BE55" s="105">
        <v>2798.3999999999996</v>
      </c>
      <c r="BF55" s="105">
        <v>15</v>
      </c>
      <c r="BG55" s="105">
        <v>3815.9999999999991</v>
      </c>
      <c r="BH55" s="105">
        <v>11</v>
      </c>
      <c r="BI55" s="105">
        <v>2798.3999999999996</v>
      </c>
      <c r="BJ55" s="105">
        <v>11</v>
      </c>
      <c r="BK55" s="105">
        <v>2798.3999999999996</v>
      </c>
      <c r="BL55" s="105">
        <v>17</v>
      </c>
      <c r="BM55" s="105">
        <v>4324.7999999999993</v>
      </c>
      <c r="BN55" s="105">
        <v>12</v>
      </c>
      <c r="BO55" s="105">
        <v>3052.7999999999993</v>
      </c>
      <c r="BP55" s="105">
        <v>13</v>
      </c>
      <c r="BQ55" s="105">
        <v>3307.1999999999994</v>
      </c>
      <c r="BR55" s="105">
        <v>14</v>
      </c>
      <c r="BS55" s="105">
        <v>3561.5999999999995</v>
      </c>
      <c r="BT55" s="105">
        <v>15</v>
      </c>
      <c r="BU55" s="105">
        <v>3815.9999999999991</v>
      </c>
      <c r="BV55" s="105">
        <v>12.989989120322893</v>
      </c>
      <c r="BW55" s="105">
        <v>3304.6532322101434</v>
      </c>
      <c r="BX55" s="105">
        <v>13</v>
      </c>
      <c r="BY55" s="105">
        <v>3307.1999999999994</v>
      </c>
      <c r="BZ55" s="105">
        <v>16.457889020279946</v>
      </c>
      <c r="CA55" s="105">
        <v>4186.8869667592171</v>
      </c>
      <c r="CB55" s="105">
        <v>11.170948653451232</v>
      </c>
      <c r="CC55" s="105">
        <v>2841.8893374379927</v>
      </c>
      <c r="CD55" s="105">
        <v>12.852198079838301</v>
      </c>
      <c r="CE55" s="105">
        <v>3269.599191510863</v>
      </c>
      <c r="CF55" s="105">
        <v>11.863690481946037</v>
      </c>
      <c r="CG55" s="105">
        <v>3018.1228586070711</v>
      </c>
      <c r="CH55" s="105">
        <v>8.8764821474342188</v>
      </c>
      <c r="CI55" s="105">
        <v>2258.1770583072648</v>
      </c>
      <c r="CJ55" s="105">
        <v>12</v>
      </c>
      <c r="CK55" s="105">
        <v>3052.7999999999993</v>
      </c>
      <c r="CL55" s="105">
        <v>16.041664472436612</v>
      </c>
      <c r="CM55" s="105">
        <v>4080.9994417878734</v>
      </c>
      <c r="CN55" s="105">
        <v>8.838141721828265</v>
      </c>
      <c r="CO55" s="105">
        <v>2248.42325403311</v>
      </c>
      <c r="CP55" s="105">
        <v>12.155287805533591</v>
      </c>
      <c r="CQ55" s="105">
        <v>3092.305217727745</v>
      </c>
      <c r="CR55" s="105">
        <v>11</v>
      </c>
      <c r="CS55" s="105">
        <v>2798.3999999999996</v>
      </c>
      <c r="CT55" s="105">
        <v>11.395631610760093</v>
      </c>
      <c r="CU55" s="105">
        <v>2899.0486817773672</v>
      </c>
    </row>
    <row r="56" spans="2:99" x14ac:dyDescent="0.2">
      <c r="C56" s="104" t="s">
        <v>222</v>
      </c>
      <c r="D56" s="105">
        <v>17</v>
      </c>
      <c r="E56" s="105">
        <v>12892.8</v>
      </c>
      <c r="F56" s="105">
        <v>16.105263157894736</v>
      </c>
      <c r="G56" s="105">
        <v>12214.231578947367</v>
      </c>
      <c r="H56" s="105">
        <v>12.74</v>
      </c>
      <c r="I56" s="105">
        <v>9662.0159999999996</v>
      </c>
      <c r="J56" s="105">
        <v>16.774774774774773</v>
      </c>
      <c r="K56" s="105">
        <v>12721.989189189188</v>
      </c>
      <c r="L56" s="105">
        <v>13.066666666666666</v>
      </c>
      <c r="M56" s="105">
        <v>9909.76</v>
      </c>
      <c r="N56" s="105">
        <v>10</v>
      </c>
      <c r="O56" s="105">
        <v>7584</v>
      </c>
      <c r="P56" s="105">
        <v>17.631355932203387</v>
      </c>
      <c r="Q56" s="105">
        <v>13371.620338983048</v>
      </c>
      <c r="R56" s="105">
        <v>14.7</v>
      </c>
      <c r="S56" s="105">
        <v>11148.48</v>
      </c>
      <c r="T56" s="105">
        <v>17.402690582959643</v>
      </c>
      <c r="U56" s="105">
        <v>13198.200538116593</v>
      </c>
      <c r="V56" s="105">
        <v>10</v>
      </c>
      <c r="W56" s="105">
        <v>7584</v>
      </c>
      <c r="X56" s="105">
        <v>17</v>
      </c>
      <c r="Y56" s="105">
        <v>12892.8</v>
      </c>
      <c r="Z56" s="105">
        <v>18</v>
      </c>
      <c r="AA56" s="105">
        <v>13651.199999999999</v>
      </c>
      <c r="AB56" s="105">
        <v>17</v>
      </c>
      <c r="AC56" s="105">
        <v>12892.8</v>
      </c>
      <c r="AD56" s="105">
        <v>20</v>
      </c>
      <c r="AE56" s="105">
        <v>15168</v>
      </c>
      <c r="AF56" s="105">
        <v>13</v>
      </c>
      <c r="AG56" s="105">
        <v>9859.1999999999989</v>
      </c>
      <c r="AH56" s="105">
        <v>10</v>
      </c>
      <c r="AI56" s="105">
        <v>7584</v>
      </c>
      <c r="AJ56" s="105">
        <v>13</v>
      </c>
      <c r="AK56" s="105">
        <v>9859.1999999999989</v>
      </c>
      <c r="AL56" s="105">
        <v>18</v>
      </c>
      <c r="AM56" s="105">
        <v>13651.199999999999</v>
      </c>
      <c r="AN56" s="105">
        <v>14</v>
      </c>
      <c r="AO56" s="105">
        <v>10617.6</v>
      </c>
      <c r="AP56" s="105">
        <v>13</v>
      </c>
      <c r="AQ56" s="105">
        <v>9859.1999999999989</v>
      </c>
      <c r="AR56" s="105">
        <v>11</v>
      </c>
      <c r="AS56" s="105">
        <v>8342.4</v>
      </c>
      <c r="AT56" s="105">
        <v>17</v>
      </c>
      <c r="AU56" s="105">
        <v>12892.8</v>
      </c>
      <c r="AV56" s="105">
        <v>15</v>
      </c>
      <c r="AW56" s="105">
        <v>11376</v>
      </c>
      <c r="AX56" s="105">
        <v>17</v>
      </c>
      <c r="AY56" s="105">
        <v>12892.8</v>
      </c>
      <c r="AZ56" s="105">
        <v>15</v>
      </c>
      <c r="BA56" s="105">
        <v>11376</v>
      </c>
      <c r="BB56" s="105">
        <v>16.727603319268891</v>
      </c>
      <c r="BC56" s="105">
        <v>12686.214357333527</v>
      </c>
      <c r="BD56" s="105">
        <v>9.2018779342723001</v>
      </c>
      <c r="BE56" s="105">
        <v>6978.7042253521122</v>
      </c>
      <c r="BF56" s="105">
        <v>11.80722891566265</v>
      </c>
      <c r="BG56" s="105">
        <v>8954.6024096385536</v>
      </c>
      <c r="BH56" s="105">
        <v>9.0927835051546388</v>
      </c>
      <c r="BI56" s="105">
        <v>6895.9670103092776</v>
      </c>
      <c r="BJ56" s="105">
        <v>11</v>
      </c>
      <c r="BK56" s="105">
        <v>8342.4</v>
      </c>
      <c r="BL56" s="105">
        <v>17</v>
      </c>
      <c r="BM56" s="105">
        <v>12892.8</v>
      </c>
      <c r="BN56" s="105">
        <v>8.9267489711934171</v>
      </c>
      <c r="BO56" s="105">
        <v>6770.0464197530873</v>
      </c>
      <c r="BP56" s="105">
        <v>9.562903225806453</v>
      </c>
      <c r="BQ56" s="105">
        <v>7252.5058064516134</v>
      </c>
      <c r="BR56" s="105">
        <v>14</v>
      </c>
      <c r="BS56" s="105">
        <v>10617.6</v>
      </c>
      <c r="BT56" s="105">
        <v>14</v>
      </c>
      <c r="BU56" s="105">
        <v>10617.6</v>
      </c>
      <c r="BV56" s="105">
        <v>15</v>
      </c>
      <c r="BW56" s="105">
        <v>11376</v>
      </c>
      <c r="BX56" s="105">
        <v>12</v>
      </c>
      <c r="BY56" s="105">
        <v>9100.7999999999993</v>
      </c>
      <c r="BZ56" s="105">
        <v>16.739240506329121</v>
      </c>
      <c r="CA56" s="105">
        <v>12695.040000000005</v>
      </c>
      <c r="CB56" s="105">
        <v>11</v>
      </c>
      <c r="CC56" s="105">
        <v>8342.4</v>
      </c>
      <c r="CD56" s="105">
        <v>13</v>
      </c>
      <c r="CE56" s="105">
        <v>9859.1999999999989</v>
      </c>
      <c r="CF56" s="105">
        <v>15.58729510531181</v>
      </c>
      <c r="CG56" s="105">
        <v>11821.404607868477</v>
      </c>
      <c r="CH56" s="105">
        <v>14.554455445544553</v>
      </c>
      <c r="CI56" s="105">
        <v>11038.099009900989</v>
      </c>
      <c r="CJ56" s="105">
        <v>8.1666666666666661</v>
      </c>
      <c r="CK56" s="105">
        <v>6193.5999999999995</v>
      </c>
      <c r="CL56" s="105">
        <v>13.43548387096774</v>
      </c>
      <c r="CM56" s="105">
        <v>10189.470967741934</v>
      </c>
      <c r="CN56" s="105">
        <v>10.838709677419356</v>
      </c>
      <c r="CO56" s="105">
        <v>8220.0774193548386</v>
      </c>
      <c r="CP56" s="105">
        <v>11.713147410358566</v>
      </c>
      <c r="CQ56" s="105">
        <v>8883.2509960159368</v>
      </c>
      <c r="CR56" s="105">
        <v>11</v>
      </c>
      <c r="CS56" s="105">
        <v>8342.4</v>
      </c>
      <c r="CT56" s="105">
        <v>15</v>
      </c>
      <c r="CU56" s="105">
        <v>11376</v>
      </c>
    </row>
    <row r="57" spans="2:99" x14ac:dyDescent="0.2">
      <c r="C57" s="104" t="s">
        <v>223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0</v>
      </c>
      <c r="K57" s="105">
        <v>0</v>
      </c>
      <c r="L57" s="105">
        <v>0</v>
      </c>
      <c r="M57" s="105">
        <v>0</v>
      </c>
      <c r="N57" s="105">
        <v>2.6206815840666611</v>
      </c>
      <c r="O57" s="105">
        <v>1833.4288362130362</v>
      </c>
      <c r="P57" s="105">
        <v>13.010879551749062</v>
      </c>
      <c r="Q57" s="105">
        <v>9102.4113344036432</v>
      </c>
      <c r="R57" s="105">
        <v>12.97802379530525</v>
      </c>
      <c r="S57" s="105">
        <v>9079.4254471955537</v>
      </c>
      <c r="T57" s="105">
        <v>16.100555836280947</v>
      </c>
      <c r="U57" s="105">
        <v>11263.948863062151</v>
      </c>
      <c r="V57" s="105">
        <v>10</v>
      </c>
      <c r="W57" s="105">
        <v>6996</v>
      </c>
      <c r="X57" s="105">
        <v>16</v>
      </c>
      <c r="Y57" s="105">
        <v>11193.6</v>
      </c>
      <c r="Z57" s="105">
        <v>16.781476590867936</v>
      </c>
      <c r="AA57" s="105">
        <v>11740.321022971208</v>
      </c>
      <c r="AB57" s="105">
        <v>15.027185447195553</v>
      </c>
      <c r="AC57" s="105">
        <v>10513.018938858009</v>
      </c>
      <c r="AD57" s="105">
        <v>13.202178429060691</v>
      </c>
      <c r="AE57" s="105">
        <v>9236.2440289708593</v>
      </c>
      <c r="AF57" s="105">
        <v>12</v>
      </c>
      <c r="AG57" s="105">
        <v>8395.2000000000007</v>
      </c>
      <c r="AH57" s="105">
        <v>10</v>
      </c>
      <c r="AI57" s="105">
        <v>6996</v>
      </c>
      <c r="AJ57" s="105">
        <v>13</v>
      </c>
      <c r="AK57" s="105">
        <v>9094.8000000000011</v>
      </c>
      <c r="AL57" s="105">
        <v>16.259274251710139</v>
      </c>
      <c r="AM57" s="105">
        <v>11374.988266496413</v>
      </c>
      <c r="AN57" s="105">
        <v>12.425305281426713</v>
      </c>
      <c r="AO57" s="105">
        <v>8692.743574886128</v>
      </c>
      <c r="AP57" s="105">
        <v>11.551146108876297</v>
      </c>
      <c r="AQ57" s="105">
        <v>8081.1818177698578</v>
      </c>
      <c r="AR57" s="105">
        <v>12</v>
      </c>
      <c r="AS57" s="105">
        <v>8395.2000000000007</v>
      </c>
      <c r="AT57" s="105">
        <v>19</v>
      </c>
      <c r="AU57" s="105">
        <v>13292.4</v>
      </c>
      <c r="AV57" s="105">
        <v>17</v>
      </c>
      <c r="AW57" s="105">
        <v>11893.2</v>
      </c>
      <c r="AX57" s="105">
        <v>17.254769913514149</v>
      </c>
      <c r="AY57" s="105">
        <v>12071.437031494499</v>
      </c>
      <c r="AZ57" s="105">
        <v>14.750611481909745</v>
      </c>
      <c r="BA57" s="105">
        <v>10319.527792744058</v>
      </c>
      <c r="BB57" s="105">
        <v>15.694188456601099</v>
      </c>
      <c r="BC57" s="105">
        <v>10979.654244238129</v>
      </c>
      <c r="BD57" s="105">
        <v>11</v>
      </c>
      <c r="BE57" s="105">
        <v>7695.6</v>
      </c>
      <c r="BF57" s="105">
        <v>17</v>
      </c>
      <c r="BG57" s="105">
        <v>11893.2</v>
      </c>
      <c r="BH57" s="105">
        <v>11</v>
      </c>
      <c r="BI57" s="105">
        <v>7695.6</v>
      </c>
      <c r="BJ57" s="105">
        <v>10</v>
      </c>
      <c r="BK57" s="105">
        <v>6996</v>
      </c>
      <c r="BL57" s="105">
        <v>15</v>
      </c>
      <c r="BM57" s="105">
        <v>10494</v>
      </c>
      <c r="BN57" s="105">
        <v>10</v>
      </c>
      <c r="BO57" s="105">
        <v>6996</v>
      </c>
      <c r="BP57" s="105">
        <v>13</v>
      </c>
      <c r="BQ57" s="105">
        <v>9094.8000000000011</v>
      </c>
      <c r="BR57" s="105">
        <v>16</v>
      </c>
      <c r="BS57" s="105">
        <v>11193.6</v>
      </c>
      <c r="BT57" s="105">
        <v>13</v>
      </c>
      <c r="BU57" s="105">
        <v>9094.8000000000011</v>
      </c>
      <c r="BV57" s="105">
        <v>11.461755106167258</v>
      </c>
      <c r="BW57" s="105">
        <v>8018.6438722746143</v>
      </c>
      <c r="BX57" s="105">
        <v>12</v>
      </c>
      <c r="BY57" s="105">
        <v>8395.2000000000007</v>
      </c>
      <c r="BZ57" s="105">
        <v>14.725479649724162</v>
      </c>
      <c r="CA57" s="105">
        <v>10301.945562947025</v>
      </c>
      <c r="CB57" s="105">
        <v>9.3091238778760275</v>
      </c>
      <c r="CC57" s="105">
        <v>6512.6630649620693</v>
      </c>
      <c r="CD57" s="105">
        <v>13.840828701364323</v>
      </c>
      <c r="CE57" s="105">
        <v>9683.0437594744817</v>
      </c>
      <c r="CF57" s="105">
        <v>9.9904761953229784</v>
      </c>
      <c r="CG57" s="105">
        <v>6989.3371462479563</v>
      </c>
      <c r="CH57" s="105">
        <v>8.3543361387616173</v>
      </c>
      <c r="CI57" s="105">
        <v>5844.6935626776276</v>
      </c>
      <c r="CJ57" s="105">
        <v>11</v>
      </c>
      <c r="CK57" s="105">
        <v>7695.6</v>
      </c>
      <c r="CL57" s="105">
        <v>14.154409828620542</v>
      </c>
      <c r="CM57" s="105">
        <v>9902.4251161029315</v>
      </c>
      <c r="CN57" s="105">
        <v>9.5179987773535153</v>
      </c>
      <c r="CO57" s="105">
        <v>6658.7919446365195</v>
      </c>
      <c r="CP57" s="105">
        <v>11.287052962281193</v>
      </c>
      <c r="CQ57" s="105">
        <v>7896.4222524119223</v>
      </c>
      <c r="CR57" s="105">
        <v>13</v>
      </c>
      <c r="CS57" s="105">
        <v>9094.8000000000011</v>
      </c>
      <c r="CT57" s="105">
        <v>10.635922836709423</v>
      </c>
      <c r="CU57" s="105">
        <v>7440.8916165619121</v>
      </c>
    </row>
    <row r="58" spans="2:99" x14ac:dyDescent="0.2">
      <c r="C58" s="104" t="s">
        <v>224</v>
      </c>
      <c r="D58" s="105">
        <v>16</v>
      </c>
      <c r="E58" s="105">
        <v>12096</v>
      </c>
      <c r="F58" s="105">
        <v>17.05263157894737</v>
      </c>
      <c r="G58" s="105">
        <v>12891.789473684212</v>
      </c>
      <c r="H58" s="105">
        <v>14.7</v>
      </c>
      <c r="I58" s="105">
        <v>11113.199999999999</v>
      </c>
      <c r="J58" s="105">
        <v>17.657657657657658</v>
      </c>
      <c r="K58" s="105">
        <v>13349.18918918919</v>
      </c>
      <c r="L58" s="105">
        <v>14</v>
      </c>
      <c r="M58" s="105">
        <v>10584</v>
      </c>
      <c r="N58" s="105">
        <v>11</v>
      </c>
      <c r="O58" s="105">
        <v>8316</v>
      </c>
      <c r="P58" s="105">
        <v>17.631355932203387</v>
      </c>
      <c r="Q58" s="105">
        <v>13329.305084745762</v>
      </c>
      <c r="R58" s="105">
        <v>16.333333333333332</v>
      </c>
      <c r="S58" s="105">
        <v>12348</v>
      </c>
      <c r="T58" s="105">
        <v>17.402690582959643</v>
      </c>
      <c r="U58" s="105">
        <v>13156.43408071749</v>
      </c>
      <c r="V58" s="105">
        <v>10</v>
      </c>
      <c r="W58" s="105">
        <v>7560</v>
      </c>
      <c r="X58" s="105">
        <v>16</v>
      </c>
      <c r="Y58" s="105">
        <v>12096</v>
      </c>
      <c r="Z58" s="105">
        <v>17</v>
      </c>
      <c r="AA58" s="105">
        <v>12852</v>
      </c>
      <c r="AB58" s="105">
        <v>17</v>
      </c>
      <c r="AC58" s="105">
        <v>12852</v>
      </c>
      <c r="AD58" s="105">
        <v>17</v>
      </c>
      <c r="AE58" s="105">
        <v>12852</v>
      </c>
      <c r="AF58" s="105">
        <v>13</v>
      </c>
      <c r="AG58" s="105">
        <v>9828</v>
      </c>
      <c r="AH58" s="105">
        <v>10</v>
      </c>
      <c r="AI58" s="105">
        <v>7560</v>
      </c>
      <c r="AJ58" s="105">
        <v>15</v>
      </c>
      <c r="AK58" s="105">
        <v>11340</v>
      </c>
      <c r="AL58" s="105">
        <v>18</v>
      </c>
      <c r="AM58" s="105">
        <v>13608</v>
      </c>
      <c r="AN58" s="105">
        <v>13</v>
      </c>
      <c r="AO58" s="105">
        <v>9828</v>
      </c>
      <c r="AP58" s="105">
        <v>15</v>
      </c>
      <c r="AQ58" s="105">
        <v>11340</v>
      </c>
      <c r="AR58" s="105">
        <v>11</v>
      </c>
      <c r="AS58" s="105">
        <v>8316</v>
      </c>
      <c r="AT58" s="105">
        <v>21</v>
      </c>
      <c r="AU58" s="105">
        <v>15876</v>
      </c>
      <c r="AV58" s="105">
        <v>18</v>
      </c>
      <c r="AW58" s="105">
        <v>13608</v>
      </c>
      <c r="AX58" s="105">
        <v>16</v>
      </c>
      <c r="AY58" s="105">
        <v>12096</v>
      </c>
      <c r="AZ58" s="105">
        <v>14</v>
      </c>
      <c r="BA58" s="105">
        <v>10584</v>
      </c>
      <c r="BB58" s="105">
        <v>18.586225910298765</v>
      </c>
      <c r="BC58" s="105">
        <v>14051.186788185867</v>
      </c>
      <c r="BD58" s="105">
        <v>10.122065727699532</v>
      </c>
      <c r="BE58" s="105">
        <v>7652.281690140846</v>
      </c>
      <c r="BF58" s="105">
        <v>12.594377510040159</v>
      </c>
      <c r="BG58" s="105">
        <v>9521.3493975903602</v>
      </c>
      <c r="BH58" s="105">
        <v>10.911340206185567</v>
      </c>
      <c r="BI58" s="105">
        <v>8248.9731958762895</v>
      </c>
      <c r="BJ58" s="105">
        <v>11</v>
      </c>
      <c r="BK58" s="105">
        <v>8316</v>
      </c>
      <c r="BL58" s="105">
        <v>15</v>
      </c>
      <c r="BM58" s="105">
        <v>11340</v>
      </c>
      <c r="BN58" s="105">
        <v>8.9267489711934171</v>
      </c>
      <c r="BO58" s="105">
        <v>6748.6222222222232</v>
      </c>
      <c r="BP58" s="105">
        <v>9.562903225806453</v>
      </c>
      <c r="BQ58" s="105">
        <v>7229.5548387096787</v>
      </c>
      <c r="BR58" s="105">
        <v>14</v>
      </c>
      <c r="BS58" s="105">
        <v>10584</v>
      </c>
      <c r="BT58" s="105">
        <v>14</v>
      </c>
      <c r="BU58" s="105">
        <v>10584</v>
      </c>
      <c r="BV58" s="105">
        <v>15</v>
      </c>
      <c r="BW58" s="105">
        <v>11340</v>
      </c>
      <c r="BX58" s="105">
        <v>11</v>
      </c>
      <c r="BY58" s="105">
        <v>8316</v>
      </c>
      <c r="BZ58" s="105">
        <v>15.858227848101272</v>
      </c>
      <c r="CA58" s="105">
        <v>11988.820253164562</v>
      </c>
      <c r="CB58" s="105">
        <v>12</v>
      </c>
      <c r="CC58" s="105">
        <v>9072</v>
      </c>
      <c r="CD58" s="105">
        <v>14</v>
      </c>
      <c r="CE58" s="105">
        <v>10584</v>
      </c>
      <c r="CF58" s="105">
        <v>16.561501049393797</v>
      </c>
      <c r="CG58" s="105">
        <v>12520.494793341712</v>
      </c>
      <c r="CH58" s="105">
        <v>15.524752475247524</v>
      </c>
      <c r="CI58" s="105">
        <v>11736.712871287129</v>
      </c>
      <c r="CJ58" s="105">
        <v>8.9833333333333325</v>
      </c>
      <c r="CK58" s="105">
        <v>6791.4</v>
      </c>
      <c r="CL58" s="105">
        <v>11.85483870967742</v>
      </c>
      <c r="CM58" s="105">
        <v>8962.2580645161288</v>
      </c>
      <c r="CN58" s="105">
        <v>12.64516129032258</v>
      </c>
      <c r="CO58" s="105">
        <v>9559.7419354838712</v>
      </c>
      <c r="CP58" s="105">
        <v>10.932270916334661</v>
      </c>
      <c r="CQ58" s="105">
        <v>8264.7968127490039</v>
      </c>
      <c r="CR58" s="105">
        <v>12</v>
      </c>
      <c r="CS58" s="105">
        <v>9072</v>
      </c>
      <c r="CT58" s="105">
        <v>15</v>
      </c>
      <c r="CU58" s="105">
        <v>11340</v>
      </c>
    </row>
    <row r="59" spans="2:99" x14ac:dyDescent="0.2">
      <c r="C59" s="104" t="s">
        <v>225</v>
      </c>
      <c r="D59" s="105">
        <v>0</v>
      </c>
      <c r="E59" s="105">
        <v>0</v>
      </c>
      <c r="F59" s="105">
        <v>0</v>
      </c>
      <c r="G59" s="105">
        <v>0</v>
      </c>
      <c r="H59" s="105">
        <v>0</v>
      </c>
      <c r="I59" s="105">
        <v>0</v>
      </c>
      <c r="J59" s="105">
        <v>0</v>
      </c>
      <c r="K59" s="105">
        <v>0</v>
      </c>
      <c r="L59" s="105">
        <v>0</v>
      </c>
      <c r="M59" s="105">
        <v>0</v>
      </c>
      <c r="N59" s="105">
        <v>0</v>
      </c>
      <c r="O59" s="105">
        <v>0</v>
      </c>
      <c r="P59" s="105">
        <v>0</v>
      </c>
      <c r="Q59" s="105">
        <v>0</v>
      </c>
      <c r="R59" s="105">
        <v>0</v>
      </c>
      <c r="S59" s="105">
        <v>0</v>
      </c>
      <c r="T59" s="105">
        <v>0</v>
      </c>
      <c r="U59" s="105">
        <v>0</v>
      </c>
      <c r="V59" s="105">
        <v>0</v>
      </c>
      <c r="W59" s="105">
        <v>0</v>
      </c>
      <c r="X59" s="105">
        <v>0</v>
      </c>
      <c r="Y59" s="105">
        <v>0</v>
      </c>
      <c r="Z59" s="105">
        <v>0</v>
      </c>
      <c r="AA59" s="105">
        <v>0</v>
      </c>
      <c r="AB59" s="105">
        <v>12.314540664570883</v>
      </c>
      <c r="AC59" s="105">
        <v>5408.546259879532</v>
      </c>
      <c r="AD59" s="105">
        <v>0</v>
      </c>
      <c r="AE59" s="105">
        <v>0</v>
      </c>
      <c r="AF59" s="105">
        <v>0</v>
      </c>
      <c r="AG59" s="105">
        <v>0</v>
      </c>
      <c r="AH59" s="105">
        <v>5.8578605314909753</v>
      </c>
      <c r="AI59" s="105">
        <v>2572.7723454308361</v>
      </c>
      <c r="AJ59" s="105">
        <v>0</v>
      </c>
      <c r="AK59" s="105">
        <v>0</v>
      </c>
      <c r="AL59" s="105">
        <v>0</v>
      </c>
      <c r="AM59" s="105">
        <v>0</v>
      </c>
      <c r="AN59" s="105">
        <v>0</v>
      </c>
      <c r="AO59" s="105">
        <v>0</v>
      </c>
      <c r="AP59" s="105">
        <v>0</v>
      </c>
      <c r="AQ59" s="105">
        <v>0</v>
      </c>
      <c r="AR59" s="105">
        <v>4.4478427877848103</v>
      </c>
      <c r="AS59" s="105">
        <v>1953.4925523950888</v>
      </c>
      <c r="AT59" s="105">
        <v>0</v>
      </c>
      <c r="AU59" s="105">
        <v>0</v>
      </c>
      <c r="AV59" s="105">
        <v>0</v>
      </c>
      <c r="AW59" s="105">
        <v>0</v>
      </c>
      <c r="AX59" s="105">
        <v>0</v>
      </c>
      <c r="AY59" s="105">
        <v>0</v>
      </c>
      <c r="AZ59" s="105">
        <v>0</v>
      </c>
      <c r="BA59" s="105">
        <v>0</v>
      </c>
      <c r="BB59" s="105">
        <v>0</v>
      </c>
      <c r="BC59" s="105">
        <v>0</v>
      </c>
      <c r="BD59" s="105">
        <v>0</v>
      </c>
      <c r="BE59" s="105">
        <v>0</v>
      </c>
      <c r="BF59" s="105">
        <v>0</v>
      </c>
      <c r="BG59" s="105">
        <v>0</v>
      </c>
      <c r="BH59" s="105">
        <v>0</v>
      </c>
      <c r="BI59" s="105">
        <v>0</v>
      </c>
      <c r="BJ59" s="105">
        <v>0</v>
      </c>
      <c r="BK59" s="105">
        <v>0</v>
      </c>
      <c r="BL59" s="105">
        <v>0</v>
      </c>
      <c r="BM59" s="105">
        <v>0</v>
      </c>
      <c r="BN59" s="105">
        <v>0</v>
      </c>
      <c r="BO59" s="105">
        <v>0</v>
      </c>
      <c r="BP59" s="105">
        <v>0</v>
      </c>
      <c r="BQ59" s="105">
        <v>0</v>
      </c>
      <c r="BR59" s="105">
        <v>0</v>
      </c>
      <c r="BS59" s="105">
        <v>0</v>
      </c>
      <c r="BT59" s="105">
        <v>0</v>
      </c>
      <c r="BU59" s="105">
        <v>0</v>
      </c>
      <c r="BV59" s="105">
        <v>6.4899614490270985E-2</v>
      </c>
      <c r="BW59" s="105">
        <v>28.503910684127018</v>
      </c>
      <c r="BX59" s="105">
        <v>0</v>
      </c>
      <c r="BY59" s="105">
        <v>0</v>
      </c>
      <c r="BZ59" s="105">
        <v>0</v>
      </c>
      <c r="CA59" s="105">
        <v>0</v>
      </c>
      <c r="CB59" s="105">
        <v>0</v>
      </c>
      <c r="CC59" s="105">
        <v>0</v>
      </c>
      <c r="CD59" s="105">
        <v>0</v>
      </c>
      <c r="CE59" s="105">
        <v>0</v>
      </c>
      <c r="CF59" s="105">
        <v>0</v>
      </c>
      <c r="CG59" s="105">
        <v>0</v>
      </c>
      <c r="CH59" s="105">
        <v>0</v>
      </c>
      <c r="CI59" s="105">
        <v>0</v>
      </c>
      <c r="CJ59" s="105">
        <v>0</v>
      </c>
      <c r="CK59" s="105">
        <v>0</v>
      </c>
      <c r="CL59" s="105">
        <v>0</v>
      </c>
      <c r="CM59" s="105">
        <v>0</v>
      </c>
      <c r="CN59" s="105">
        <v>0</v>
      </c>
      <c r="CO59" s="105">
        <v>0</v>
      </c>
      <c r="CP59" s="105">
        <v>0</v>
      </c>
      <c r="CQ59" s="105">
        <v>0</v>
      </c>
      <c r="CR59" s="105">
        <v>0</v>
      </c>
      <c r="CS59" s="105">
        <v>0</v>
      </c>
      <c r="CT59" s="105">
        <v>0</v>
      </c>
      <c r="CU59" s="105">
        <v>0</v>
      </c>
    </row>
    <row r="60" spans="2:99" x14ac:dyDescent="0.2">
      <c r="C60" s="104" t="s">
        <v>226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2.8827497424733273</v>
      </c>
      <c r="O60" s="105">
        <v>605.37744591939872</v>
      </c>
      <c r="P60" s="105">
        <v>13.010879551749062</v>
      </c>
      <c r="Q60" s="105">
        <v>2732.2847058673028</v>
      </c>
      <c r="R60" s="105">
        <v>12.294969911341818</v>
      </c>
      <c r="S60" s="105">
        <v>2581.943681381782</v>
      </c>
      <c r="T60" s="105">
        <v>16.995031160518778</v>
      </c>
      <c r="U60" s="105">
        <v>3568.9565437089432</v>
      </c>
      <c r="V60" s="105">
        <v>11</v>
      </c>
      <c r="W60" s="105">
        <v>2310</v>
      </c>
      <c r="X60" s="105">
        <v>17</v>
      </c>
      <c r="Y60" s="105">
        <v>3570</v>
      </c>
      <c r="Z60" s="105">
        <v>15.942402761324535</v>
      </c>
      <c r="AA60" s="105">
        <v>3347.9045798781526</v>
      </c>
      <c r="AB60" s="105">
        <v>17.844782718544717</v>
      </c>
      <c r="AC60" s="105">
        <v>3747.4043708943905</v>
      </c>
      <c r="AD60" s="105">
        <v>14.755375891303126</v>
      </c>
      <c r="AE60" s="105">
        <v>3098.6289371736566</v>
      </c>
      <c r="AF60" s="105">
        <v>12</v>
      </c>
      <c r="AG60" s="105">
        <v>2520</v>
      </c>
      <c r="AH60" s="105">
        <v>11</v>
      </c>
      <c r="AI60" s="105">
        <v>2310</v>
      </c>
      <c r="AJ60" s="105">
        <v>15</v>
      </c>
      <c r="AK60" s="105">
        <v>3150</v>
      </c>
      <c r="AL60" s="105">
        <v>16.259274251710139</v>
      </c>
      <c r="AM60" s="105">
        <v>3414.4475928591291</v>
      </c>
      <c r="AN60" s="105">
        <v>15.292683423294415</v>
      </c>
      <c r="AO60" s="105">
        <v>3211.4635188918273</v>
      </c>
      <c r="AP60" s="105">
        <v>14.438932636095373</v>
      </c>
      <c r="AQ60" s="105">
        <v>3032.1758535800282</v>
      </c>
      <c r="AR60" s="105">
        <v>11</v>
      </c>
      <c r="AS60" s="105">
        <v>2310</v>
      </c>
      <c r="AT60" s="105">
        <v>20</v>
      </c>
      <c r="AU60" s="105">
        <v>4200</v>
      </c>
      <c r="AV60" s="105">
        <v>17</v>
      </c>
      <c r="AW60" s="105">
        <v>3570</v>
      </c>
      <c r="AX60" s="105">
        <v>17.254769913514149</v>
      </c>
      <c r="AY60" s="105">
        <v>3623.5016818379713</v>
      </c>
      <c r="AZ60" s="105">
        <v>14.750611481909745</v>
      </c>
      <c r="BA60" s="105">
        <v>3097.6284112010467</v>
      </c>
      <c r="BB60" s="105">
        <v>15.694188456601099</v>
      </c>
      <c r="BC60" s="105">
        <v>3295.7795758862308</v>
      </c>
      <c r="BD60" s="105">
        <v>12</v>
      </c>
      <c r="BE60" s="105">
        <v>2520</v>
      </c>
      <c r="BF60" s="105">
        <v>16</v>
      </c>
      <c r="BG60" s="105">
        <v>3360</v>
      </c>
      <c r="BH60" s="105">
        <v>12</v>
      </c>
      <c r="BI60" s="105">
        <v>2520</v>
      </c>
      <c r="BJ60" s="105">
        <v>12</v>
      </c>
      <c r="BK60" s="105">
        <v>2520</v>
      </c>
      <c r="BL60" s="105">
        <v>17</v>
      </c>
      <c r="BM60" s="105">
        <v>3570</v>
      </c>
      <c r="BN60" s="105">
        <v>11</v>
      </c>
      <c r="BO60" s="105">
        <v>2310</v>
      </c>
      <c r="BP60" s="105">
        <v>13</v>
      </c>
      <c r="BQ60" s="105">
        <v>2730</v>
      </c>
      <c r="BR60" s="105">
        <v>15</v>
      </c>
      <c r="BS60" s="105">
        <v>3150</v>
      </c>
      <c r="BT60" s="105">
        <v>16</v>
      </c>
      <c r="BU60" s="105">
        <v>3360</v>
      </c>
      <c r="BV60" s="105">
        <v>12.989989120322893</v>
      </c>
      <c r="BW60" s="105">
        <v>2727.8977152678076</v>
      </c>
      <c r="BX60" s="105">
        <v>11</v>
      </c>
      <c r="BY60" s="105">
        <v>2310</v>
      </c>
      <c r="BZ60" s="105">
        <v>17.324093705557839</v>
      </c>
      <c r="CA60" s="105">
        <v>3638.0596781671461</v>
      </c>
      <c r="CB60" s="105">
        <v>11.170948653451232</v>
      </c>
      <c r="CC60" s="105">
        <v>2345.8992172247586</v>
      </c>
      <c r="CD60" s="105">
        <v>14.829459322890347</v>
      </c>
      <c r="CE60" s="105">
        <v>3114.1864578069731</v>
      </c>
      <c r="CF60" s="105">
        <v>11.23928571973835</v>
      </c>
      <c r="CG60" s="105">
        <v>2360.2500011450534</v>
      </c>
      <c r="CH60" s="105">
        <v>9.3986281561068203</v>
      </c>
      <c r="CI60" s="105">
        <v>1973.7119127824324</v>
      </c>
      <c r="CJ60" s="105">
        <v>11</v>
      </c>
      <c r="CK60" s="105">
        <v>2310</v>
      </c>
      <c r="CL60" s="105">
        <v>14.154409828620542</v>
      </c>
      <c r="CM60" s="105">
        <v>2972.4260640103139</v>
      </c>
      <c r="CN60" s="105">
        <v>9.5179987773535153</v>
      </c>
      <c r="CO60" s="105">
        <v>1998.7797432442383</v>
      </c>
      <c r="CP60" s="105">
        <v>13.891757492038391</v>
      </c>
      <c r="CQ60" s="105">
        <v>2917.2690733280619</v>
      </c>
      <c r="CR60" s="105">
        <v>13</v>
      </c>
      <c r="CS60" s="105">
        <v>2730</v>
      </c>
      <c r="CT60" s="105">
        <v>12.155340384810767</v>
      </c>
      <c r="CU60" s="105">
        <v>2552.6214808102609</v>
      </c>
    </row>
    <row r="61" spans="2:99" x14ac:dyDescent="0.2">
      <c r="C61" s="104" t="s">
        <v>227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2.6206815840666611</v>
      </c>
      <c r="O61" s="105">
        <v>518.89495364519894</v>
      </c>
      <c r="P61" s="105">
        <v>15.065228954656808</v>
      </c>
      <c r="Q61" s="105">
        <v>2982.9153330220479</v>
      </c>
      <c r="R61" s="105">
        <v>12.294969911341818</v>
      </c>
      <c r="S61" s="105">
        <v>2434.4040424456798</v>
      </c>
      <c r="T61" s="105">
        <v>16.995031160518778</v>
      </c>
      <c r="U61" s="105">
        <v>3365.016169782718</v>
      </c>
      <c r="V61" s="105">
        <v>11</v>
      </c>
      <c r="W61" s="105">
        <v>2178</v>
      </c>
      <c r="X61" s="105">
        <v>16</v>
      </c>
      <c r="Y61" s="105">
        <v>3168</v>
      </c>
      <c r="Z61" s="105">
        <v>16.781476590867936</v>
      </c>
      <c r="AA61" s="105">
        <v>3322.7323649918512</v>
      </c>
      <c r="AB61" s="105">
        <v>16.905583628094998</v>
      </c>
      <c r="AC61" s="105">
        <v>3347.3055583628097</v>
      </c>
      <c r="AD61" s="105">
        <v>13.97877716018191</v>
      </c>
      <c r="AE61" s="105">
        <v>2767.7978777160179</v>
      </c>
      <c r="AF61" s="105">
        <v>12</v>
      </c>
      <c r="AG61" s="105">
        <v>2376</v>
      </c>
      <c r="AH61" s="105">
        <v>11</v>
      </c>
      <c r="AI61" s="105">
        <v>2178</v>
      </c>
      <c r="AJ61" s="105">
        <v>16</v>
      </c>
      <c r="AK61" s="105">
        <v>3168</v>
      </c>
      <c r="AL61" s="105">
        <v>15.485023096866797</v>
      </c>
      <c r="AM61" s="105">
        <v>3066.034573179626</v>
      </c>
      <c r="AN61" s="105">
        <v>12.425305281426713</v>
      </c>
      <c r="AO61" s="105">
        <v>2460.2104457224891</v>
      </c>
      <c r="AP61" s="105">
        <v>14.438932636095373</v>
      </c>
      <c r="AQ61" s="105">
        <v>2858.908661946884</v>
      </c>
      <c r="AR61" s="105">
        <v>11</v>
      </c>
      <c r="AS61" s="105">
        <v>2178</v>
      </c>
      <c r="AT61" s="105">
        <v>19</v>
      </c>
      <c r="AU61" s="105">
        <v>3762</v>
      </c>
      <c r="AV61" s="105">
        <v>16</v>
      </c>
      <c r="AW61" s="105">
        <v>3168</v>
      </c>
      <c r="AX61" s="105">
        <v>17.254769913514149</v>
      </c>
      <c r="AY61" s="105">
        <v>3416.4444428758015</v>
      </c>
      <c r="AZ61" s="105">
        <v>15.672524699529102</v>
      </c>
      <c r="BA61" s="105">
        <v>3103.1598905067622</v>
      </c>
      <c r="BB61" s="105">
        <v>16.478897879431155</v>
      </c>
      <c r="BC61" s="105">
        <v>3262.8217801273686</v>
      </c>
      <c r="BD61" s="105">
        <v>12</v>
      </c>
      <c r="BE61" s="105">
        <v>2376</v>
      </c>
      <c r="BF61" s="105">
        <v>17</v>
      </c>
      <c r="BG61" s="105">
        <v>3366</v>
      </c>
      <c r="BH61" s="105">
        <v>11</v>
      </c>
      <c r="BI61" s="105">
        <v>2178</v>
      </c>
      <c r="BJ61" s="105">
        <v>11</v>
      </c>
      <c r="BK61" s="105">
        <v>2178</v>
      </c>
      <c r="BL61" s="105">
        <v>15</v>
      </c>
      <c r="BM61" s="105">
        <v>2970</v>
      </c>
      <c r="BN61" s="105">
        <v>12</v>
      </c>
      <c r="BO61" s="105">
        <v>2376</v>
      </c>
      <c r="BP61" s="105">
        <v>12</v>
      </c>
      <c r="BQ61" s="105">
        <v>2376</v>
      </c>
      <c r="BR61" s="105">
        <v>16</v>
      </c>
      <c r="BS61" s="105">
        <v>3168</v>
      </c>
      <c r="BT61" s="105">
        <v>15</v>
      </c>
      <c r="BU61" s="105">
        <v>2970</v>
      </c>
      <c r="BV61" s="105">
        <v>11.461755106167258</v>
      </c>
      <c r="BW61" s="105">
        <v>2269.427511021117</v>
      </c>
      <c r="BX61" s="105">
        <v>11</v>
      </c>
      <c r="BY61" s="105">
        <v>2178</v>
      </c>
      <c r="BZ61" s="105">
        <v>18.190298390835732</v>
      </c>
      <c r="CA61" s="105">
        <v>3601.679081385475</v>
      </c>
      <c r="CB61" s="105">
        <v>11.170948653451232</v>
      </c>
      <c r="CC61" s="105">
        <v>2211.8478333833441</v>
      </c>
      <c r="CD61" s="105">
        <v>14.829459322890347</v>
      </c>
      <c r="CE61" s="105">
        <v>2936.2329459322887</v>
      </c>
      <c r="CF61" s="105">
        <v>11.863690481946037</v>
      </c>
      <c r="CG61" s="105">
        <v>2349.0107154253155</v>
      </c>
      <c r="CH61" s="105">
        <v>9.3986281561068203</v>
      </c>
      <c r="CI61" s="105">
        <v>1860.9283749091505</v>
      </c>
      <c r="CJ61" s="105">
        <v>11</v>
      </c>
      <c r="CK61" s="105">
        <v>2178</v>
      </c>
      <c r="CL61" s="105">
        <v>15.098037150528578</v>
      </c>
      <c r="CM61" s="105">
        <v>2989.4113558046583</v>
      </c>
      <c r="CN61" s="105">
        <v>10.197855832878767</v>
      </c>
      <c r="CO61" s="105">
        <v>2019.175454909996</v>
      </c>
      <c r="CP61" s="105">
        <v>13.891757492038391</v>
      </c>
      <c r="CQ61" s="105">
        <v>2750.5679834236012</v>
      </c>
      <c r="CR61" s="105">
        <v>12</v>
      </c>
      <c r="CS61" s="105">
        <v>2376</v>
      </c>
      <c r="CT61" s="105">
        <v>10.635922836709423</v>
      </c>
      <c r="CU61" s="105">
        <v>2105.9127216684656</v>
      </c>
    </row>
    <row r="62" spans="2:99" x14ac:dyDescent="0.2">
      <c r="C62" s="104" t="s">
        <v>228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2.6206815840666611</v>
      </c>
      <c r="O62" s="105">
        <v>2506.4198670013548</v>
      </c>
      <c r="P62" s="105">
        <v>13.010879551749062</v>
      </c>
      <c r="Q62" s="105">
        <v>12443.605203292802</v>
      </c>
      <c r="R62" s="105">
        <v>13.661077679268685</v>
      </c>
      <c r="S62" s="105">
        <v>13065.454692452569</v>
      </c>
      <c r="T62" s="105">
        <v>15.206080512043119</v>
      </c>
      <c r="U62" s="105">
        <v>14543.095401718039</v>
      </c>
      <c r="V62" s="105">
        <v>11</v>
      </c>
      <c r="W62" s="105">
        <v>10520.4</v>
      </c>
      <c r="X62" s="105">
        <v>14</v>
      </c>
      <c r="Y62" s="105">
        <v>13389.6</v>
      </c>
      <c r="Z62" s="105">
        <v>14.264255102237744</v>
      </c>
      <c r="AA62" s="105">
        <v>13642.333579780177</v>
      </c>
      <c r="AB62" s="105">
        <v>15.966384537645274</v>
      </c>
      <c r="AC62" s="105">
        <v>15270.25017180394</v>
      </c>
      <c r="AD62" s="105">
        <v>13.97877716018191</v>
      </c>
      <c r="AE62" s="105">
        <v>13369.302475997978</v>
      </c>
      <c r="AF62" s="105">
        <v>12</v>
      </c>
      <c r="AG62" s="105">
        <v>11476.8</v>
      </c>
      <c r="AH62" s="105">
        <v>10</v>
      </c>
      <c r="AI62" s="105">
        <v>9564</v>
      </c>
      <c r="AJ62" s="105">
        <v>13</v>
      </c>
      <c r="AK62" s="105">
        <v>12433.199999999999</v>
      </c>
      <c r="AL62" s="105">
        <v>13.936520787180118</v>
      </c>
      <c r="AM62" s="105">
        <v>13328.888480859065</v>
      </c>
      <c r="AN62" s="105">
        <v>12.425305281426713</v>
      </c>
      <c r="AO62" s="105">
        <v>11883.561971156509</v>
      </c>
      <c r="AP62" s="105">
        <v>13.476337127022347</v>
      </c>
      <c r="AQ62" s="105">
        <v>12888.768828284172</v>
      </c>
      <c r="AR62" s="105">
        <v>11</v>
      </c>
      <c r="AS62" s="105">
        <v>10520.4</v>
      </c>
      <c r="AT62" s="105">
        <v>17</v>
      </c>
      <c r="AU62" s="105">
        <v>16258.8</v>
      </c>
      <c r="AV62" s="105">
        <v>16</v>
      </c>
      <c r="AW62" s="105">
        <v>15302.4</v>
      </c>
      <c r="AX62" s="105">
        <v>15.438478343670553</v>
      </c>
      <c r="AY62" s="105">
        <v>14765.360687886518</v>
      </c>
      <c r="AZ62" s="105">
        <v>13.828698264290384</v>
      </c>
      <c r="BA62" s="105">
        <v>13225.767019967323</v>
      </c>
      <c r="BB62" s="105">
        <v>14.909479033771044</v>
      </c>
      <c r="BC62" s="105">
        <v>14259.425747898626</v>
      </c>
      <c r="BD62" s="105">
        <v>11</v>
      </c>
      <c r="BE62" s="105">
        <v>10520.4</v>
      </c>
      <c r="BF62" s="105">
        <v>14</v>
      </c>
      <c r="BG62" s="105">
        <v>13389.6</v>
      </c>
      <c r="BH62" s="105">
        <v>10</v>
      </c>
      <c r="BI62" s="105">
        <v>9564</v>
      </c>
      <c r="BJ62" s="105">
        <v>10</v>
      </c>
      <c r="BK62" s="105">
        <v>9564</v>
      </c>
      <c r="BL62" s="105">
        <v>15</v>
      </c>
      <c r="BM62" s="105">
        <v>14346</v>
      </c>
      <c r="BN62" s="105">
        <v>11</v>
      </c>
      <c r="BO62" s="105">
        <v>10520.4</v>
      </c>
      <c r="BP62" s="105">
        <v>10</v>
      </c>
      <c r="BQ62" s="105">
        <v>9564</v>
      </c>
      <c r="BR62" s="105">
        <v>14</v>
      </c>
      <c r="BS62" s="105">
        <v>13389.6</v>
      </c>
      <c r="BT62" s="105">
        <v>13</v>
      </c>
      <c r="BU62" s="105">
        <v>12433.199999999999</v>
      </c>
      <c r="BV62" s="105">
        <v>9.9335210920116239</v>
      </c>
      <c r="BW62" s="105">
        <v>9500.4195723999164</v>
      </c>
      <c r="BX62" s="105">
        <v>11</v>
      </c>
      <c r="BY62" s="105">
        <v>10520.4</v>
      </c>
      <c r="BZ62" s="105">
        <v>15.591684335002055</v>
      </c>
      <c r="CA62" s="105">
        <v>14911.886897995966</v>
      </c>
      <c r="CB62" s="105">
        <v>11.170948653451232</v>
      </c>
      <c r="CC62" s="105">
        <v>10683.895292160758</v>
      </c>
      <c r="CD62" s="105">
        <v>11.863567458312277</v>
      </c>
      <c r="CE62" s="105">
        <v>11346.315917129861</v>
      </c>
      <c r="CF62" s="105">
        <v>9.366071433115291</v>
      </c>
      <c r="CG62" s="105">
        <v>8957.7107186314643</v>
      </c>
      <c r="CH62" s="105">
        <v>8.3543361387616173</v>
      </c>
      <c r="CI62" s="105">
        <v>7990.0870831116108</v>
      </c>
      <c r="CJ62" s="105">
        <v>10</v>
      </c>
      <c r="CK62" s="105">
        <v>9564</v>
      </c>
      <c r="CL62" s="105">
        <v>13.210782506712505</v>
      </c>
      <c r="CM62" s="105">
        <v>12634.792389419839</v>
      </c>
      <c r="CN62" s="105">
        <v>8.1582846663030146</v>
      </c>
      <c r="CO62" s="105">
        <v>7802.5834548522034</v>
      </c>
      <c r="CP62" s="105">
        <v>12.155287805533591</v>
      </c>
      <c r="CQ62" s="105">
        <v>11625.317257212326</v>
      </c>
      <c r="CR62" s="105">
        <v>12</v>
      </c>
      <c r="CS62" s="105">
        <v>11476.8</v>
      </c>
      <c r="CT62" s="105">
        <v>12.155340384810767</v>
      </c>
      <c r="CU62" s="105">
        <v>11625.367544033017</v>
      </c>
    </row>
    <row r="63" spans="2:99" x14ac:dyDescent="0.2">
      <c r="C63" s="104" t="s">
        <v>229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3.144817900879993</v>
      </c>
      <c r="O63" s="105">
        <v>94.344537026399792</v>
      </c>
      <c r="P63" s="105">
        <v>15.065228954656808</v>
      </c>
      <c r="Q63" s="105">
        <v>451.95686863970423</v>
      </c>
      <c r="R63" s="105">
        <v>15.027185447195553</v>
      </c>
      <c r="S63" s="105">
        <v>450.81556341586656</v>
      </c>
      <c r="T63" s="105">
        <v>17.889506484756609</v>
      </c>
      <c r="U63" s="105">
        <v>536.68519454269824</v>
      </c>
      <c r="V63" s="105">
        <v>12</v>
      </c>
      <c r="W63" s="105">
        <v>360</v>
      </c>
      <c r="X63" s="105">
        <v>16</v>
      </c>
      <c r="Y63" s="105">
        <v>480</v>
      </c>
      <c r="Z63" s="105">
        <v>15.103328931781141</v>
      </c>
      <c r="AA63" s="105">
        <v>453.09986795343423</v>
      </c>
      <c r="AB63" s="105">
        <v>15.966384537645274</v>
      </c>
      <c r="AC63" s="105">
        <v>478.99153612935822</v>
      </c>
      <c r="AD63" s="105">
        <v>14.755375891303126</v>
      </c>
      <c r="AE63" s="105">
        <v>442.66127673909381</v>
      </c>
      <c r="AF63" s="105">
        <v>13</v>
      </c>
      <c r="AG63" s="105">
        <v>390</v>
      </c>
      <c r="AH63" s="105">
        <v>11</v>
      </c>
      <c r="AI63" s="105">
        <v>330</v>
      </c>
      <c r="AJ63" s="105">
        <v>16</v>
      </c>
      <c r="AK63" s="105">
        <v>480</v>
      </c>
      <c r="AL63" s="105">
        <v>14.710771942023456</v>
      </c>
      <c r="AM63" s="105">
        <v>441.32315826070368</v>
      </c>
      <c r="AN63" s="105">
        <v>15.292683423294415</v>
      </c>
      <c r="AO63" s="105">
        <v>458.78050269883244</v>
      </c>
      <c r="AP63" s="105">
        <v>13.476337127022347</v>
      </c>
      <c r="AQ63" s="105">
        <v>404.29011381067039</v>
      </c>
      <c r="AR63" s="105">
        <v>13</v>
      </c>
      <c r="AS63" s="105">
        <v>390</v>
      </c>
      <c r="AT63" s="105">
        <v>21</v>
      </c>
      <c r="AU63" s="105">
        <v>630</v>
      </c>
      <c r="AV63" s="105">
        <v>17</v>
      </c>
      <c r="AW63" s="105">
        <v>510</v>
      </c>
      <c r="AX63" s="105">
        <v>18.162915698435945</v>
      </c>
      <c r="AY63" s="105">
        <v>544.88747095307838</v>
      </c>
      <c r="AZ63" s="105">
        <v>16.594437917148461</v>
      </c>
      <c r="BA63" s="105">
        <v>497.83313751445382</v>
      </c>
      <c r="BB63" s="105">
        <v>15.694188456601099</v>
      </c>
      <c r="BC63" s="105">
        <v>470.82565369803297</v>
      </c>
      <c r="BD63" s="105">
        <v>11</v>
      </c>
      <c r="BE63" s="105">
        <v>330</v>
      </c>
      <c r="BF63" s="105">
        <v>15</v>
      </c>
      <c r="BG63" s="105">
        <v>450</v>
      </c>
      <c r="BH63" s="105">
        <v>12</v>
      </c>
      <c r="BI63" s="105">
        <v>360</v>
      </c>
      <c r="BJ63" s="105">
        <v>11</v>
      </c>
      <c r="BK63" s="105">
        <v>330</v>
      </c>
      <c r="BL63" s="105">
        <v>17</v>
      </c>
      <c r="BM63" s="105">
        <v>510</v>
      </c>
      <c r="BN63" s="105">
        <v>12</v>
      </c>
      <c r="BO63" s="105">
        <v>360</v>
      </c>
      <c r="BP63" s="105">
        <v>13</v>
      </c>
      <c r="BQ63" s="105">
        <v>390</v>
      </c>
      <c r="BR63" s="105">
        <v>17</v>
      </c>
      <c r="BS63" s="105">
        <v>510</v>
      </c>
      <c r="BT63" s="105">
        <v>14</v>
      </c>
      <c r="BU63" s="105">
        <v>420</v>
      </c>
      <c r="BV63" s="105">
        <v>11.461755106167258</v>
      </c>
      <c r="BW63" s="105">
        <v>343.85265318501774</v>
      </c>
      <c r="BX63" s="105">
        <v>12</v>
      </c>
      <c r="BY63" s="105">
        <v>360</v>
      </c>
      <c r="BZ63" s="105">
        <v>17.324093705557839</v>
      </c>
      <c r="CA63" s="105">
        <v>519.72281116673514</v>
      </c>
      <c r="CB63" s="105">
        <v>12.101861041238834</v>
      </c>
      <c r="CC63" s="105">
        <v>363.05583123716502</v>
      </c>
      <c r="CD63" s="105">
        <v>12.852198079838301</v>
      </c>
      <c r="CE63" s="105">
        <v>385.56594239514902</v>
      </c>
      <c r="CF63" s="105">
        <v>10.614880957530664</v>
      </c>
      <c r="CG63" s="105">
        <v>318.44642872591993</v>
      </c>
      <c r="CH63" s="105">
        <v>9.3986281561068203</v>
      </c>
      <c r="CI63" s="105">
        <v>281.95884468320463</v>
      </c>
      <c r="CJ63" s="105">
        <v>12</v>
      </c>
      <c r="CK63" s="105">
        <v>360</v>
      </c>
      <c r="CL63" s="105">
        <v>16.041664472436612</v>
      </c>
      <c r="CM63" s="105">
        <v>481.24993417309832</v>
      </c>
      <c r="CN63" s="105">
        <v>8.838141721828265</v>
      </c>
      <c r="CO63" s="105">
        <v>265.14425165484795</v>
      </c>
      <c r="CP63" s="105">
        <v>14.759992335290789</v>
      </c>
      <c r="CQ63" s="105">
        <v>442.79977005872365</v>
      </c>
      <c r="CR63" s="105">
        <v>13</v>
      </c>
      <c r="CS63" s="105">
        <v>390</v>
      </c>
      <c r="CT63" s="105">
        <v>12.155340384810767</v>
      </c>
      <c r="CU63" s="105">
        <v>364.66021154432303</v>
      </c>
    </row>
    <row r="64" spans="2:99" x14ac:dyDescent="0.2">
      <c r="C64" s="104" t="s">
        <v>230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5">
        <v>3.144817900879993</v>
      </c>
      <c r="O64" s="105">
        <v>705.69713695747043</v>
      </c>
      <c r="P64" s="105">
        <v>14.380445820354225</v>
      </c>
      <c r="Q64" s="105">
        <v>3226.9720420874883</v>
      </c>
      <c r="R64" s="105">
        <v>13.661077679268685</v>
      </c>
      <c r="S64" s="105">
        <v>3065.5458312278929</v>
      </c>
      <c r="T64" s="105">
        <v>17.889506484756609</v>
      </c>
      <c r="U64" s="105">
        <v>4014.4052551793829</v>
      </c>
      <c r="V64" s="105">
        <v>11</v>
      </c>
      <c r="W64" s="105">
        <v>2468.4</v>
      </c>
      <c r="X64" s="105">
        <v>16</v>
      </c>
      <c r="Y64" s="105">
        <v>3590.4</v>
      </c>
      <c r="Z64" s="105">
        <v>15.942402761324535</v>
      </c>
      <c r="AA64" s="105">
        <v>3577.4751796412256</v>
      </c>
      <c r="AB64" s="105">
        <v>16.905583628094998</v>
      </c>
      <c r="AC64" s="105">
        <v>3793.6129661445175</v>
      </c>
      <c r="AD64" s="105">
        <v>13.97877716018191</v>
      </c>
      <c r="AE64" s="105">
        <v>3136.8375947448208</v>
      </c>
      <c r="AF64" s="105">
        <v>13</v>
      </c>
      <c r="AG64" s="105">
        <v>2917.2000000000003</v>
      </c>
      <c r="AH64" s="105">
        <v>10</v>
      </c>
      <c r="AI64" s="105">
        <v>2244</v>
      </c>
      <c r="AJ64" s="105">
        <v>14</v>
      </c>
      <c r="AK64" s="105">
        <v>3141.6</v>
      </c>
      <c r="AL64" s="105">
        <v>17.033525406553476</v>
      </c>
      <c r="AM64" s="105">
        <v>3822.3231012306001</v>
      </c>
      <c r="AN64" s="105">
        <v>12.425305281426713</v>
      </c>
      <c r="AO64" s="105">
        <v>2788.2385051521546</v>
      </c>
      <c r="AP64" s="105">
        <v>13.476337127022347</v>
      </c>
      <c r="AQ64" s="105">
        <v>3024.090051303815</v>
      </c>
      <c r="AR64" s="105">
        <v>12</v>
      </c>
      <c r="AS64" s="105">
        <v>2692.8</v>
      </c>
      <c r="AT64" s="105">
        <v>21</v>
      </c>
      <c r="AU64" s="105">
        <v>4712.4000000000005</v>
      </c>
      <c r="AV64" s="105">
        <v>16</v>
      </c>
      <c r="AW64" s="105">
        <v>3590.4</v>
      </c>
      <c r="AX64" s="105">
        <v>17.254769913514149</v>
      </c>
      <c r="AY64" s="105">
        <v>3871.9703685925751</v>
      </c>
      <c r="AZ64" s="105">
        <v>13.828698264290384</v>
      </c>
      <c r="BA64" s="105">
        <v>3103.1598905067622</v>
      </c>
      <c r="BB64" s="105">
        <v>14.124769610940989</v>
      </c>
      <c r="BC64" s="105">
        <v>3169.5983006951578</v>
      </c>
      <c r="BD64" s="105">
        <v>10</v>
      </c>
      <c r="BE64" s="105">
        <v>2244</v>
      </c>
      <c r="BF64" s="105">
        <v>18</v>
      </c>
      <c r="BG64" s="105">
        <v>4039.2000000000003</v>
      </c>
      <c r="BH64" s="105">
        <v>11</v>
      </c>
      <c r="BI64" s="105">
        <v>2468.4</v>
      </c>
      <c r="BJ64" s="105">
        <v>12</v>
      </c>
      <c r="BK64" s="105">
        <v>2692.8</v>
      </c>
      <c r="BL64" s="105">
        <v>16</v>
      </c>
      <c r="BM64" s="105">
        <v>3590.4</v>
      </c>
      <c r="BN64" s="105">
        <v>12</v>
      </c>
      <c r="BO64" s="105">
        <v>2692.8</v>
      </c>
      <c r="BP64" s="105">
        <v>12</v>
      </c>
      <c r="BQ64" s="105">
        <v>2692.8</v>
      </c>
      <c r="BR64" s="105">
        <v>14</v>
      </c>
      <c r="BS64" s="105">
        <v>3141.6</v>
      </c>
      <c r="BT64" s="105">
        <v>16</v>
      </c>
      <c r="BU64" s="105">
        <v>3590.4</v>
      </c>
      <c r="BV64" s="105">
        <v>12.225872113245075</v>
      </c>
      <c r="BW64" s="105">
        <v>2743.4857022121946</v>
      </c>
      <c r="BX64" s="105">
        <v>12</v>
      </c>
      <c r="BY64" s="105">
        <v>2692.8</v>
      </c>
      <c r="BZ64" s="105">
        <v>16.457889020279946</v>
      </c>
      <c r="CA64" s="105">
        <v>3693.1502961508199</v>
      </c>
      <c r="CB64" s="105">
        <v>11.170948653451232</v>
      </c>
      <c r="CC64" s="105">
        <v>2506.7608778344566</v>
      </c>
      <c r="CD64" s="105">
        <v>14.829459322890347</v>
      </c>
      <c r="CE64" s="105">
        <v>3327.7306720565939</v>
      </c>
      <c r="CF64" s="105">
        <v>10.614880957530664</v>
      </c>
      <c r="CG64" s="105">
        <v>2381.979286869881</v>
      </c>
      <c r="CH64" s="105">
        <v>8.8764821474342188</v>
      </c>
      <c r="CI64" s="105">
        <v>1991.8825938842388</v>
      </c>
      <c r="CJ64" s="105">
        <v>12</v>
      </c>
      <c r="CK64" s="105">
        <v>2692.8</v>
      </c>
      <c r="CL64" s="105">
        <v>16.041664472436612</v>
      </c>
      <c r="CM64" s="105">
        <v>3599.7495076147757</v>
      </c>
      <c r="CN64" s="105">
        <v>8.838141721828265</v>
      </c>
      <c r="CO64" s="105">
        <v>1983.2790023782627</v>
      </c>
      <c r="CP64" s="105">
        <v>13.891757492038391</v>
      </c>
      <c r="CQ64" s="105">
        <v>3117.310381213415</v>
      </c>
      <c r="CR64" s="105">
        <v>12</v>
      </c>
      <c r="CS64" s="105">
        <v>2692.8</v>
      </c>
      <c r="CT64" s="105">
        <v>12.915049158861441</v>
      </c>
      <c r="CU64" s="105">
        <v>2898.1370312485074</v>
      </c>
    </row>
    <row r="65" spans="2:99" x14ac:dyDescent="0.2">
      <c r="C65" s="104" t="s">
        <v>231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2.6206815840666611</v>
      </c>
      <c r="O65" s="105">
        <v>1295.6649751625571</v>
      </c>
      <c r="P65" s="105">
        <v>12.326096417446479</v>
      </c>
      <c r="Q65" s="105">
        <v>6094.022068785539</v>
      </c>
      <c r="R65" s="105">
        <v>11.611916027378383</v>
      </c>
      <c r="S65" s="105">
        <v>5740.9312839358727</v>
      </c>
      <c r="T65" s="105">
        <v>15.206080512043119</v>
      </c>
      <c r="U65" s="105">
        <v>7517.8862051541173</v>
      </c>
      <c r="V65" s="105">
        <v>10</v>
      </c>
      <c r="W65" s="105">
        <v>4944</v>
      </c>
      <c r="X65" s="105">
        <v>17</v>
      </c>
      <c r="Y65" s="105">
        <v>8404.7999999999993</v>
      </c>
      <c r="Z65" s="105">
        <v>15.942402761324535</v>
      </c>
      <c r="AA65" s="105">
        <v>7881.9239251988502</v>
      </c>
      <c r="AB65" s="105">
        <v>15.027185447195553</v>
      </c>
      <c r="AC65" s="105">
        <v>7429.4404850934807</v>
      </c>
      <c r="AD65" s="105">
        <v>13.202178429060691</v>
      </c>
      <c r="AE65" s="105">
        <v>6527.1570153276052</v>
      </c>
      <c r="AF65" s="105">
        <v>11</v>
      </c>
      <c r="AG65" s="105">
        <v>5438.4</v>
      </c>
      <c r="AH65" s="105">
        <v>10</v>
      </c>
      <c r="AI65" s="105">
        <v>4944</v>
      </c>
      <c r="AJ65" s="105">
        <v>15</v>
      </c>
      <c r="AK65" s="105">
        <v>7416</v>
      </c>
      <c r="AL65" s="105">
        <v>16.259274251710139</v>
      </c>
      <c r="AM65" s="105">
        <v>8038.5851900454918</v>
      </c>
      <c r="AN65" s="105">
        <v>13.381097995382612</v>
      </c>
      <c r="AO65" s="105">
        <v>6615.6148489171628</v>
      </c>
      <c r="AP65" s="105">
        <v>13.476337127022347</v>
      </c>
      <c r="AQ65" s="105">
        <v>6662.7010755998481</v>
      </c>
      <c r="AR65" s="105">
        <v>11</v>
      </c>
      <c r="AS65" s="105">
        <v>5438.4</v>
      </c>
      <c r="AT65" s="105">
        <v>20</v>
      </c>
      <c r="AU65" s="105">
        <v>9888</v>
      </c>
      <c r="AV65" s="105">
        <v>18</v>
      </c>
      <c r="AW65" s="105">
        <v>8899.1999999999989</v>
      </c>
      <c r="AX65" s="105">
        <v>18.162915698435945</v>
      </c>
      <c r="AY65" s="105">
        <v>8979.7455213067315</v>
      </c>
      <c r="AZ65" s="105">
        <v>13.828698264290384</v>
      </c>
      <c r="BA65" s="105">
        <v>6836.908421865166</v>
      </c>
      <c r="BB65" s="105">
        <v>16.478897879431155</v>
      </c>
      <c r="BC65" s="105">
        <v>8147.1671115907629</v>
      </c>
      <c r="BD65" s="105">
        <v>10</v>
      </c>
      <c r="BE65" s="105">
        <v>4944</v>
      </c>
      <c r="BF65" s="105">
        <v>17</v>
      </c>
      <c r="BG65" s="105">
        <v>8404.7999999999993</v>
      </c>
      <c r="BH65" s="105">
        <v>11</v>
      </c>
      <c r="BI65" s="105">
        <v>5438.4</v>
      </c>
      <c r="BJ65" s="105">
        <v>12</v>
      </c>
      <c r="BK65" s="105">
        <v>5932.7999999999993</v>
      </c>
      <c r="BL65" s="105">
        <v>17</v>
      </c>
      <c r="BM65" s="105">
        <v>8404.7999999999993</v>
      </c>
      <c r="BN65" s="105">
        <v>10</v>
      </c>
      <c r="BO65" s="105">
        <v>4944</v>
      </c>
      <c r="BP65" s="105">
        <v>12</v>
      </c>
      <c r="BQ65" s="105">
        <v>5932.7999999999993</v>
      </c>
      <c r="BR65" s="105">
        <v>15</v>
      </c>
      <c r="BS65" s="105">
        <v>7416</v>
      </c>
      <c r="BT65" s="105">
        <v>15</v>
      </c>
      <c r="BU65" s="105">
        <v>7416</v>
      </c>
      <c r="BV65" s="105">
        <v>11.461755106167258</v>
      </c>
      <c r="BW65" s="105">
        <v>5666.6917244890919</v>
      </c>
      <c r="BX65" s="105">
        <v>11</v>
      </c>
      <c r="BY65" s="105">
        <v>5438.4</v>
      </c>
      <c r="BZ65" s="105">
        <v>17.324093705557839</v>
      </c>
      <c r="CA65" s="105">
        <v>8565.0319280277945</v>
      </c>
      <c r="CB65" s="105">
        <v>11.170948653451232</v>
      </c>
      <c r="CC65" s="105">
        <v>5522.9170142662888</v>
      </c>
      <c r="CD65" s="105">
        <v>12.852198079838301</v>
      </c>
      <c r="CE65" s="105">
        <v>6354.1267306720556</v>
      </c>
      <c r="CF65" s="105">
        <v>10.614880957530664</v>
      </c>
      <c r="CG65" s="105">
        <v>5247.9971454031602</v>
      </c>
      <c r="CH65" s="105">
        <v>9.3986281561068203</v>
      </c>
      <c r="CI65" s="105">
        <v>4646.6817603792115</v>
      </c>
      <c r="CJ65" s="105">
        <v>10</v>
      </c>
      <c r="CK65" s="105">
        <v>4944</v>
      </c>
      <c r="CL65" s="105">
        <v>15.098037150528578</v>
      </c>
      <c r="CM65" s="105">
        <v>7464.4695672213284</v>
      </c>
      <c r="CN65" s="105">
        <v>8.838141721828265</v>
      </c>
      <c r="CO65" s="105">
        <v>4369.577267271894</v>
      </c>
      <c r="CP65" s="105">
        <v>13.02352264878599</v>
      </c>
      <c r="CQ65" s="105">
        <v>6438.829597559793</v>
      </c>
      <c r="CR65" s="105">
        <v>11</v>
      </c>
      <c r="CS65" s="105">
        <v>5438.4</v>
      </c>
      <c r="CT65" s="105">
        <v>10.635922836709423</v>
      </c>
      <c r="CU65" s="105">
        <v>5258.400250469138</v>
      </c>
    </row>
    <row r="66" spans="2:99" x14ac:dyDescent="0.2">
      <c r="C66" s="104" t="s">
        <v>232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0</v>
      </c>
      <c r="K66" s="105">
        <v>0</v>
      </c>
      <c r="L66" s="105">
        <v>0</v>
      </c>
      <c r="M66" s="105">
        <v>0</v>
      </c>
      <c r="N66" s="105">
        <v>2.8827497424733273</v>
      </c>
      <c r="O66" s="105">
        <v>1148.4874974013735</v>
      </c>
      <c r="P66" s="105">
        <v>13.010879551749062</v>
      </c>
      <c r="Q66" s="105">
        <v>5183.5344134168263</v>
      </c>
      <c r="R66" s="105">
        <v>12.97802379530525</v>
      </c>
      <c r="S66" s="105">
        <v>5170.4446800496107</v>
      </c>
      <c r="T66" s="105">
        <v>16.100555836280947</v>
      </c>
      <c r="U66" s="105">
        <v>6414.4614451743291</v>
      </c>
      <c r="V66" s="105">
        <v>11</v>
      </c>
      <c r="W66" s="105">
        <v>4382.3999999999996</v>
      </c>
      <c r="X66" s="105">
        <v>17</v>
      </c>
      <c r="Y66" s="105">
        <v>6772.7999999999993</v>
      </c>
      <c r="Z66" s="105">
        <v>14.264255102237744</v>
      </c>
      <c r="AA66" s="105">
        <v>5682.8792327315168</v>
      </c>
      <c r="AB66" s="105">
        <v>15.027185447195553</v>
      </c>
      <c r="AC66" s="105">
        <v>5986.8306821627075</v>
      </c>
      <c r="AD66" s="105">
        <v>15.531974622424343</v>
      </c>
      <c r="AE66" s="105">
        <v>6187.938689573858</v>
      </c>
      <c r="AF66" s="105">
        <v>12</v>
      </c>
      <c r="AG66" s="105">
        <v>4780.7999999999993</v>
      </c>
      <c r="AH66" s="105">
        <v>12</v>
      </c>
      <c r="AI66" s="105">
        <v>4780.7999999999993</v>
      </c>
      <c r="AJ66" s="105">
        <v>14</v>
      </c>
      <c r="AK66" s="105">
        <v>5577.5999999999995</v>
      </c>
      <c r="AL66" s="105">
        <v>15.485023096866797</v>
      </c>
      <c r="AM66" s="105">
        <v>6169.2332017917315</v>
      </c>
      <c r="AN66" s="105">
        <v>13.381097995382612</v>
      </c>
      <c r="AO66" s="105">
        <v>5331.0294413604324</v>
      </c>
      <c r="AP66" s="105">
        <v>12.513741617949321</v>
      </c>
      <c r="AQ66" s="105">
        <v>4985.4746605910095</v>
      </c>
      <c r="AR66" s="105">
        <v>12</v>
      </c>
      <c r="AS66" s="105">
        <v>4780.7999999999993</v>
      </c>
      <c r="AT66" s="105">
        <v>21</v>
      </c>
      <c r="AU66" s="105">
        <v>8366.4</v>
      </c>
      <c r="AV66" s="105">
        <v>19</v>
      </c>
      <c r="AW66" s="105">
        <v>7569.5999999999995</v>
      </c>
      <c r="AX66" s="105">
        <v>16.346624128592353</v>
      </c>
      <c r="AY66" s="105">
        <v>6512.4950528311929</v>
      </c>
      <c r="AZ66" s="105">
        <v>15.672524699529102</v>
      </c>
      <c r="BA66" s="105">
        <v>6243.9338402923941</v>
      </c>
      <c r="BB66" s="105">
        <v>15.694188456601099</v>
      </c>
      <c r="BC66" s="105">
        <v>6252.5646811098777</v>
      </c>
      <c r="BD66" s="105">
        <v>12</v>
      </c>
      <c r="BE66" s="105">
        <v>4780.7999999999993</v>
      </c>
      <c r="BF66" s="105">
        <v>16</v>
      </c>
      <c r="BG66" s="105">
        <v>6374.4</v>
      </c>
      <c r="BH66" s="105">
        <v>10</v>
      </c>
      <c r="BI66" s="105">
        <v>3984</v>
      </c>
      <c r="BJ66" s="105">
        <v>12</v>
      </c>
      <c r="BK66" s="105">
        <v>4780.7999999999993</v>
      </c>
      <c r="BL66" s="105">
        <v>17</v>
      </c>
      <c r="BM66" s="105">
        <v>6772.7999999999993</v>
      </c>
      <c r="BN66" s="105">
        <v>11</v>
      </c>
      <c r="BO66" s="105">
        <v>4382.3999999999996</v>
      </c>
      <c r="BP66" s="105">
        <v>11</v>
      </c>
      <c r="BQ66" s="105">
        <v>4382.3999999999996</v>
      </c>
      <c r="BR66" s="105">
        <v>16</v>
      </c>
      <c r="BS66" s="105">
        <v>6374.4</v>
      </c>
      <c r="BT66" s="105">
        <v>13</v>
      </c>
      <c r="BU66" s="105">
        <v>5179.2</v>
      </c>
      <c r="BV66" s="105">
        <v>12.225872113245075</v>
      </c>
      <c r="BW66" s="105">
        <v>4870.7874499168374</v>
      </c>
      <c r="BX66" s="105">
        <v>13</v>
      </c>
      <c r="BY66" s="105">
        <v>5179.2</v>
      </c>
      <c r="BZ66" s="105">
        <v>17.324093705557839</v>
      </c>
      <c r="CA66" s="105">
        <v>6901.9189322942429</v>
      </c>
      <c r="CB66" s="105">
        <v>9.3091238778760275</v>
      </c>
      <c r="CC66" s="105">
        <v>3708.7549529458092</v>
      </c>
      <c r="CD66" s="105">
        <v>12.852198079838301</v>
      </c>
      <c r="CE66" s="105">
        <v>5120.3157150075785</v>
      </c>
      <c r="CF66" s="105">
        <v>9.9904761953229784</v>
      </c>
      <c r="CG66" s="105">
        <v>3980.2057162166743</v>
      </c>
      <c r="CH66" s="105">
        <v>9.3986281561068203</v>
      </c>
      <c r="CI66" s="105">
        <v>3744.4134573929568</v>
      </c>
      <c r="CJ66" s="105">
        <v>12</v>
      </c>
      <c r="CK66" s="105">
        <v>4780.7999999999993</v>
      </c>
      <c r="CL66" s="105">
        <v>14.154409828620542</v>
      </c>
      <c r="CM66" s="105">
        <v>5639.1168757224241</v>
      </c>
      <c r="CN66" s="105">
        <v>9.5179987773535153</v>
      </c>
      <c r="CO66" s="105">
        <v>3791.9707128976402</v>
      </c>
      <c r="CP66" s="105">
        <v>13.02352264878599</v>
      </c>
      <c r="CQ66" s="105">
        <v>5188.5714232763385</v>
      </c>
      <c r="CR66" s="105">
        <v>11</v>
      </c>
      <c r="CS66" s="105">
        <v>4382.3999999999996</v>
      </c>
      <c r="CT66" s="105">
        <v>12.155340384810767</v>
      </c>
      <c r="CU66" s="105">
        <v>4842.6876093086094</v>
      </c>
    </row>
    <row r="67" spans="2:99" x14ac:dyDescent="0.2">
      <c r="C67" s="104" t="s">
        <v>233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2.8827497424733273</v>
      </c>
      <c r="O67" s="105">
        <v>1366.4233779323572</v>
      </c>
      <c r="P67" s="105">
        <v>13.010879551749062</v>
      </c>
      <c r="Q67" s="105">
        <v>6167.1569075290554</v>
      </c>
      <c r="R67" s="105">
        <v>13.661077679268685</v>
      </c>
      <c r="S67" s="105">
        <v>6475.3508199733569</v>
      </c>
      <c r="T67" s="105">
        <v>15.206080512043119</v>
      </c>
      <c r="U67" s="105">
        <v>7207.6821627084382</v>
      </c>
      <c r="V67" s="105">
        <v>11</v>
      </c>
      <c r="W67" s="105">
        <v>5214</v>
      </c>
      <c r="X67" s="105">
        <v>17</v>
      </c>
      <c r="Y67" s="105">
        <v>8058</v>
      </c>
      <c r="Z67" s="105">
        <v>14.264255102237744</v>
      </c>
      <c r="AA67" s="105">
        <v>6761.2569184606909</v>
      </c>
      <c r="AB67" s="105">
        <v>16.905583628094998</v>
      </c>
      <c r="AC67" s="105">
        <v>8013.2466397170292</v>
      </c>
      <c r="AD67" s="105">
        <v>13.202178429060691</v>
      </c>
      <c r="AE67" s="105">
        <v>6257.8325753747677</v>
      </c>
      <c r="AF67" s="105">
        <v>13</v>
      </c>
      <c r="AG67" s="105">
        <v>6162</v>
      </c>
      <c r="AH67" s="105">
        <v>11</v>
      </c>
      <c r="AI67" s="105">
        <v>5214</v>
      </c>
      <c r="AJ67" s="105">
        <v>15</v>
      </c>
      <c r="AK67" s="105">
        <v>7110</v>
      </c>
      <c r="AL67" s="105">
        <v>13.936520787180118</v>
      </c>
      <c r="AM67" s="105">
        <v>6605.910853123376</v>
      </c>
      <c r="AN67" s="105">
        <v>14.336890709338515</v>
      </c>
      <c r="AO67" s="105">
        <v>6795.6861962264566</v>
      </c>
      <c r="AP67" s="105">
        <v>14.438932636095373</v>
      </c>
      <c r="AQ67" s="105">
        <v>6844.0540695092068</v>
      </c>
      <c r="AR67" s="105">
        <v>13</v>
      </c>
      <c r="AS67" s="105">
        <v>6162</v>
      </c>
      <c r="AT67" s="105">
        <v>18</v>
      </c>
      <c r="AU67" s="105">
        <v>8532</v>
      </c>
      <c r="AV67" s="105">
        <v>16</v>
      </c>
      <c r="AW67" s="105">
        <v>7584</v>
      </c>
      <c r="AX67" s="105">
        <v>18.162915698435945</v>
      </c>
      <c r="AY67" s="105">
        <v>8609.2220410586378</v>
      </c>
      <c r="AZ67" s="105">
        <v>13.828698264290384</v>
      </c>
      <c r="BA67" s="105">
        <v>6554.8029772736418</v>
      </c>
      <c r="BB67" s="105">
        <v>14.909479033771044</v>
      </c>
      <c r="BC67" s="105">
        <v>7067.0930620074751</v>
      </c>
      <c r="BD67" s="105">
        <v>10</v>
      </c>
      <c r="BE67" s="105">
        <v>4740</v>
      </c>
      <c r="BF67" s="105">
        <v>17</v>
      </c>
      <c r="BG67" s="105">
        <v>8058</v>
      </c>
      <c r="BH67" s="105">
        <v>10</v>
      </c>
      <c r="BI67" s="105">
        <v>4740</v>
      </c>
      <c r="BJ67" s="105">
        <v>11</v>
      </c>
      <c r="BK67" s="105">
        <v>5214</v>
      </c>
      <c r="BL67" s="105">
        <v>15</v>
      </c>
      <c r="BM67" s="105">
        <v>7110</v>
      </c>
      <c r="BN67" s="105">
        <v>10</v>
      </c>
      <c r="BO67" s="105">
        <v>4740</v>
      </c>
      <c r="BP67" s="105">
        <v>12</v>
      </c>
      <c r="BQ67" s="105">
        <v>5688</v>
      </c>
      <c r="BR67" s="105">
        <v>16</v>
      </c>
      <c r="BS67" s="105">
        <v>7584</v>
      </c>
      <c r="BT67" s="105">
        <v>15</v>
      </c>
      <c r="BU67" s="105">
        <v>7110</v>
      </c>
      <c r="BV67" s="105">
        <v>10.69763809908944</v>
      </c>
      <c r="BW67" s="105">
        <v>5070.6804589683943</v>
      </c>
      <c r="BX67" s="105">
        <v>12</v>
      </c>
      <c r="BY67" s="105">
        <v>5688</v>
      </c>
      <c r="BZ67" s="105">
        <v>16.457889020279946</v>
      </c>
      <c r="CA67" s="105">
        <v>7801.0393956126945</v>
      </c>
      <c r="CB67" s="105">
        <v>10.24003626566363</v>
      </c>
      <c r="CC67" s="105">
        <v>4853.7771899245608</v>
      </c>
      <c r="CD67" s="105">
        <v>13.840828701364323</v>
      </c>
      <c r="CE67" s="105">
        <v>6560.5528044466892</v>
      </c>
      <c r="CF67" s="105">
        <v>11.23928571973835</v>
      </c>
      <c r="CG67" s="105">
        <v>5327.4214311559781</v>
      </c>
      <c r="CH67" s="105">
        <v>9.3986281561068203</v>
      </c>
      <c r="CI67" s="105">
        <v>4454.9497459946324</v>
      </c>
      <c r="CJ67" s="105">
        <v>11</v>
      </c>
      <c r="CK67" s="105">
        <v>5214</v>
      </c>
      <c r="CL67" s="105">
        <v>14.154409828620542</v>
      </c>
      <c r="CM67" s="105">
        <v>6709.190258766137</v>
      </c>
      <c r="CN67" s="105">
        <v>8.838141721828265</v>
      </c>
      <c r="CO67" s="105">
        <v>4189.2791761465978</v>
      </c>
      <c r="CP67" s="105">
        <v>13.891757492038391</v>
      </c>
      <c r="CQ67" s="105">
        <v>6584.693051226197</v>
      </c>
      <c r="CR67" s="105">
        <v>13</v>
      </c>
      <c r="CS67" s="105">
        <v>6162</v>
      </c>
      <c r="CT67" s="105">
        <v>11.395631610760093</v>
      </c>
      <c r="CU67" s="105">
        <v>5401.529383500284</v>
      </c>
    </row>
    <row r="68" spans="2:99" x14ac:dyDescent="0.2">
      <c r="C68" s="104" t="s">
        <v>234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2.8827497424733273</v>
      </c>
      <c r="O68" s="105">
        <v>778.34243046779841</v>
      </c>
      <c r="P68" s="105">
        <v>13.695662686051644</v>
      </c>
      <c r="Q68" s="105">
        <v>3697.8289252339441</v>
      </c>
      <c r="R68" s="105">
        <v>13.661077679268685</v>
      </c>
      <c r="S68" s="105">
        <v>3688.490973402545</v>
      </c>
      <c r="T68" s="105">
        <v>16.100555836280947</v>
      </c>
      <c r="U68" s="105">
        <v>4347.1500757958556</v>
      </c>
      <c r="V68" s="105">
        <v>10</v>
      </c>
      <c r="W68" s="105">
        <v>2700</v>
      </c>
      <c r="X68" s="105">
        <v>18</v>
      </c>
      <c r="Y68" s="105">
        <v>4860</v>
      </c>
      <c r="Z68" s="105">
        <v>15.103328931781141</v>
      </c>
      <c r="AA68" s="105">
        <v>4077.8988115809079</v>
      </c>
      <c r="AB68" s="105">
        <v>16.905583628094998</v>
      </c>
      <c r="AC68" s="105">
        <v>4564.5075795856492</v>
      </c>
      <c r="AD68" s="105">
        <v>14.755375891303126</v>
      </c>
      <c r="AE68" s="105">
        <v>3983.9514906518443</v>
      </c>
      <c r="AF68" s="105">
        <v>14</v>
      </c>
      <c r="AG68" s="105">
        <v>3780</v>
      </c>
      <c r="AH68" s="105">
        <v>10</v>
      </c>
      <c r="AI68" s="105">
        <v>2700</v>
      </c>
      <c r="AJ68" s="105">
        <v>15</v>
      </c>
      <c r="AK68" s="105">
        <v>4050</v>
      </c>
      <c r="AL68" s="105">
        <v>15.485023096866797</v>
      </c>
      <c r="AM68" s="105">
        <v>4180.9562361540357</v>
      </c>
      <c r="AN68" s="105">
        <v>14.336890709338515</v>
      </c>
      <c r="AO68" s="105">
        <v>3870.960491521399</v>
      </c>
      <c r="AP68" s="105">
        <v>14.438932636095373</v>
      </c>
      <c r="AQ68" s="105">
        <v>3898.5118117457509</v>
      </c>
      <c r="AR68" s="105">
        <v>11</v>
      </c>
      <c r="AS68" s="105">
        <v>2970</v>
      </c>
      <c r="AT68" s="105">
        <v>18</v>
      </c>
      <c r="AU68" s="105">
        <v>4860</v>
      </c>
      <c r="AV68" s="105">
        <v>18</v>
      </c>
      <c r="AW68" s="105">
        <v>4860</v>
      </c>
      <c r="AX68" s="105">
        <v>16.346624128592353</v>
      </c>
      <c r="AY68" s="105">
        <v>4413.5885147199351</v>
      </c>
      <c r="AZ68" s="105">
        <v>14.750611481909745</v>
      </c>
      <c r="BA68" s="105">
        <v>3982.665100115631</v>
      </c>
      <c r="BB68" s="105">
        <v>14.124769610940989</v>
      </c>
      <c r="BC68" s="105">
        <v>3813.6877949540672</v>
      </c>
      <c r="BD68" s="105">
        <v>11</v>
      </c>
      <c r="BE68" s="105">
        <v>2970</v>
      </c>
      <c r="BF68" s="105">
        <v>16</v>
      </c>
      <c r="BG68" s="105">
        <v>4320</v>
      </c>
      <c r="BH68" s="105">
        <v>10</v>
      </c>
      <c r="BI68" s="105">
        <v>2700</v>
      </c>
      <c r="BJ68" s="105">
        <v>10</v>
      </c>
      <c r="BK68" s="105">
        <v>2700</v>
      </c>
      <c r="BL68" s="105">
        <v>16</v>
      </c>
      <c r="BM68" s="105">
        <v>4320</v>
      </c>
      <c r="BN68" s="105">
        <v>10</v>
      </c>
      <c r="BO68" s="105">
        <v>2700</v>
      </c>
      <c r="BP68" s="105">
        <v>13</v>
      </c>
      <c r="BQ68" s="105">
        <v>3510</v>
      </c>
      <c r="BR68" s="105">
        <v>14</v>
      </c>
      <c r="BS68" s="105">
        <v>3780</v>
      </c>
      <c r="BT68" s="105">
        <v>14</v>
      </c>
      <c r="BU68" s="105">
        <v>3780</v>
      </c>
      <c r="BV68" s="105">
        <v>12.989989120322893</v>
      </c>
      <c r="BW68" s="105">
        <v>3507.2970624871809</v>
      </c>
      <c r="BX68" s="105">
        <v>11</v>
      </c>
      <c r="BY68" s="105">
        <v>2970</v>
      </c>
      <c r="BZ68" s="105">
        <v>15.591684335002055</v>
      </c>
      <c r="CA68" s="105">
        <v>4209.754770450555</v>
      </c>
      <c r="CB68" s="105">
        <v>11.170948653451232</v>
      </c>
      <c r="CC68" s="105">
        <v>3016.1561364318327</v>
      </c>
      <c r="CD68" s="105">
        <v>14.829459322890347</v>
      </c>
      <c r="CE68" s="105">
        <v>4003.9540171803937</v>
      </c>
      <c r="CF68" s="105">
        <v>11.23928571973835</v>
      </c>
      <c r="CG68" s="105">
        <v>3034.6071443293545</v>
      </c>
      <c r="CH68" s="105">
        <v>9.3986281561068203</v>
      </c>
      <c r="CI68" s="105">
        <v>2537.6296021488415</v>
      </c>
      <c r="CJ68" s="105">
        <v>11</v>
      </c>
      <c r="CK68" s="105">
        <v>2970</v>
      </c>
      <c r="CL68" s="105">
        <v>16.041664472436612</v>
      </c>
      <c r="CM68" s="105">
        <v>4331.2494075578852</v>
      </c>
      <c r="CN68" s="105">
        <v>10.197855832878767</v>
      </c>
      <c r="CO68" s="105">
        <v>2753.4210748772671</v>
      </c>
      <c r="CP68" s="105">
        <v>12.155287805533591</v>
      </c>
      <c r="CQ68" s="105">
        <v>3281.9277074940696</v>
      </c>
      <c r="CR68" s="105">
        <v>13</v>
      </c>
      <c r="CS68" s="105">
        <v>3510</v>
      </c>
      <c r="CT68" s="105">
        <v>12.915049158861441</v>
      </c>
      <c r="CU68" s="105">
        <v>3487.0632728925889</v>
      </c>
    </row>
    <row r="69" spans="2:99" x14ac:dyDescent="0.2">
      <c r="C69" s="104" t="s">
        <v>235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2.8827497424733273</v>
      </c>
      <c r="O69" s="105">
        <v>498.13915549939088</v>
      </c>
      <c r="P69" s="105">
        <v>13.695662686051644</v>
      </c>
      <c r="Q69" s="105">
        <v>2366.6105121497239</v>
      </c>
      <c r="R69" s="105">
        <v>13.661077679268685</v>
      </c>
      <c r="S69" s="105">
        <v>2360.6342229776283</v>
      </c>
      <c r="T69" s="105">
        <v>16.100555836280947</v>
      </c>
      <c r="U69" s="105">
        <v>2782.1760485093473</v>
      </c>
      <c r="V69" s="105">
        <v>11</v>
      </c>
      <c r="W69" s="105">
        <v>1900.7999999999997</v>
      </c>
      <c r="X69" s="105">
        <v>17</v>
      </c>
      <c r="Y69" s="105">
        <v>2937.6</v>
      </c>
      <c r="Z69" s="105">
        <v>17.62055042041133</v>
      </c>
      <c r="AA69" s="105">
        <v>3044.8311126470776</v>
      </c>
      <c r="AB69" s="105">
        <v>15.966384537645274</v>
      </c>
      <c r="AC69" s="105">
        <v>2758.9912481051028</v>
      </c>
      <c r="AD69" s="105">
        <v>16.308573353545562</v>
      </c>
      <c r="AE69" s="105">
        <v>2818.1214754926727</v>
      </c>
      <c r="AF69" s="105">
        <v>13</v>
      </c>
      <c r="AG69" s="105">
        <v>2246.3999999999996</v>
      </c>
      <c r="AH69" s="105">
        <v>10</v>
      </c>
      <c r="AI69" s="105">
        <v>1727.9999999999998</v>
      </c>
      <c r="AJ69" s="105">
        <v>16</v>
      </c>
      <c r="AK69" s="105">
        <v>2764.7999999999997</v>
      </c>
      <c r="AL69" s="105">
        <v>15.485023096866797</v>
      </c>
      <c r="AM69" s="105">
        <v>2675.8119911385825</v>
      </c>
      <c r="AN69" s="105">
        <v>13.381097995382612</v>
      </c>
      <c r="AO69" s="105">
        <v>2312.2537336021151</v>
      </c>
      <c r="AP69" s="105">
        <v>15.401528145168395</v>
      </c>
      <c r="AQ69" s="105">
        <v>2661.3840634850985</v>
      </c>
      <c r="AR69" s="105">
        <v>12</v>
      </c>
      <c r="AS69" s="105">
        <v>2073.6</v>
      </c>
      <c r="AT69" s="105">
        <v>21</v>
      </c>
      <c r="AU69" s="105">
        <v>3628.7999999999997</v>
      </c>
      <c r="AV69" s="105">
        <v>19</v>
      </c>
      <c r="AW69" s="105">
        <v>3283.2</v>
      </c>
      <c r="AX69" s="105">
        <v>16.346624128592353</v>
      </c>
      <c r="AY69" s="105">
        <v>2824.6966494207581</v>
      </c>
      <c r="AZ69" s="105">
        <v>15.672524699529102</v>
      </c>
      <c r="BA69" s="105">
        <v>2708.2122680786288</v>
      </c>
      <c r="BB69" s="105">
        <v>14.909479033771044</v>
      </c>
      <c r="BC69" s="105">
        <v>2576.3579770356359</v>
      </c>
      <c r="BD69" s="105">
        <v>12</v>
      </c>
      <c r="BE69" s="105">
        <v>2073.6</v>
      </c>
      <c r="BF69" s="105">
        <v>17</v>
      </c>
      <c r="BG69" s="105">
        <v>2937.6</v>
      </c>
      <c r="BH69" s="105">
        <v>12</v>
      </c>
      <c r="BI69" s="105">
        <v>2073.6</v>
      </c>
      <c r="BJ69" s="105">
        <v>12</v>
      </c>
      <c r="BK69" s="105">
        <v>2073.6</v>
      </c>
      <c r="BL69" s="105">
        <v>16</v>
      </c>
      <c r="BM69" s="105">
        <v>2764.7999999999997</v>
      </c>
      <c r="BN69" s="105">
        <v>11</v>
      </c>
      <c r="BO69" s="105">
        <v>1900.7999999999997</v>
      </c>
      <c r="BP69" s="105">
        <v>12</v>
      </c>
      <c r="BQ69" s="105">
        <v>2073.6</v>
      </c>
      <c r="BR69" s="105">
        <v>16</v>
      </c>
      <c r="BS69" s="105">
        <v>2764.7999999999997</v>
      </c>
      <c r="BT69" s="105">
        <v>15</v>
      </c>
      <c r="BU69" s="105">
        <v>2591.9999999999995</v>
      </c>
      <c r="BV69" s="105">
        <v>12.989989120322893</v>
      </c>
      <c r="BW69" s="105">
        <v>2244.6701199917957</v>
      </c>
      <c r="BX69" s="105">
        <v>11</v>
      </c>
      <c r="BY69" s="105">
        <v>1900.7999999999997</v>
      </c>
      <c r="BZ69" s="105">
        <v>18.190298390835732</v>
      </c>
      <c r="CA69" s="105">
        <v>3143.2835619364141</v>
      </c>
      <c r="CB69" s="105">
        <v>11.170948653451232</v>
      </c>
      <c r="CC69" s="105">
        <v>1930.3399273163727</v>
      </c>
      <c r="CD69" s="105">
        <v>12.852198079838301</v>
      </c>
      <c r="CE69" s="105">
        <v>2220.8598281960581</v>
      </c>
      <c r="CF69" s="105">
        <v>11.23928571973835</v>
      </c>
      <c r="CG69" s="105">
        <v>1942.1485723707867</v>
      </c>
      <c r="CH69" s="105">
        <v>8.3543361387616173</v>
      </c>
      <c r="CI69" s="105">
        <v>1443.6292847780073</v>
      </c>
      <c r="CJ69" s="105">
        <v>10</v>
      </c>
      <c r="CK69" s="105">
        <v>1727.9999999999998</v>
      </c>
      <c r="CL69" s="105">
        <v>16.041664472436612</v>
      </c>
      <c r="CM69" s="105">
        <v>2771.9996208370462</v>
      </c>
      <c r="CN69" s="105">
        <v>10.197855832878767</v>
      </c>
      <c r="CO69" s="105">
        <v>1762.1894879214508</v>
      </c>
      <c r="CP69" s="105">
        <v>12.155287805533591</v>
      </c>
      <c r="CQ69" s="105">
        <v>2100.4337327962044</v>
      </c>
      <c r="CR69" s="105">
        <v>12</v>
      </c>
      <c r="CS69" s="105">
        <v>2073.6</v>
      </c>
      <c r="CT69" s="105">
        <v>10.635922836709423</v>
      </c>
      <c r="CU69" s="105">
        <v>1837.8874661833881</v>
      </c>
    </row>
    <row r="70" spans="2:99" x14ac:dyDescent="0.2">
      <c r="C70" s="104" t="s">
        <v>236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2.8827497424733273</v>
      </c>
      <c r="O70" s="105">
        <v>1238.4292893665413</v>
      </c>
      <c r="P70" s="105">
        <v>12.326096417446479</v>
      </c>
      <c r="Q70" s="105">
        <v>5295.2910209350066</v>
      </c>
      <c r="R70" s="105">
        <v>13.661077679268685</v>
      </c>
      <c r="S70" s="105">
        <v>5868.7989710138263</v>
      </c>
      <c r="T70" s="105">
        <v>16.995031160518778</v>
      </c>
      <c r="U70" s="105">
        <v>7301.0653865588665</v>
      </c>
      <c r="V70" s="105">
        <v>11</v>
      </c>
      <c r="W70" s="105">
        <v>4725.5999999999995</v>
      </c>
      <c r="X70" s="105">
        <v>16</v>
      </c>
      <c r="Y70" s="105">
        <v>6873.5999999999995</v>
      </c>
      <c r="Z70" s="105">
        <v>15.942402761324535</v>
      </c>
      <c r="AA70" s="105">
        <v>6848.8562262650203</v>
      </c>
      <c r="AB70" s="105">
        <v>14.08798635674583</v>
      </c>
      <c r="AC70" s="105">
        <v>6052.1989388580078</v>
      </c>
      <c r="AD70" s="105">
        <v>15.531974622424343</v>
      </c>
      <c r="AE70" s="105">
        <v>6672.5362977934974</v>
      </c>
      <c r="AF70" s="105">
        <v>11</v>
      </c>
      <c r="AG70" s="105">
        <v>4725.5999999999995</v>
      </c>
      <c r="AH70" s="105">
        <v>10</v>
      </c>
      <c r="AI70" s="105">
        <v>4296</v>
      </c>
      <c r="AJ70" s="105">
        <v>15</v>
      </c>
      <c r="AK70" s="105">
        <v>6443.9999999999991</v>
      </c>
      <c r="AL70" s="105">
        <v>13.936520787180118</v>
      </c>
      <c r="AM70" s="105">
        <v>5987.1293301725782</v>
      </c>
      <c r="AN70" s="105">
        <v>12.425305281426713</v>
      </c>
      <c r="AO70" s="105">
        <v>5337.9111489009156</v>
      </c>
      <c r="AP70" s="105">
        <v>14.438932636095373</v>
      </c>
      <c r="AQ70" s="105">
        <v>6202.965460466572</v>
      </c>
      <c r="AR70" s="105">
        <v>11</v>
      </c>
      <c r="AS70" s="105">
        <v>4725.5999999999995</v>
      </c>
      <c r="AT70" s="105">
        <v>20</v>
      </c>
      <c r="AU70" s="105">
        <v>8592</v>
      </c>
      <c r="AV70" s="105">
        <v>17</v>
      </c>
      <c r="AW70" s="105">
        <v>7303.2</v>
      </c>
      <c r="AX70" s="105">
        <v>18.162915698435945</v>
      </c>
      <c r="AY70" s="105">
        <v>7802.7885840480812</v>
      </c>
      <c r="AZ70" s="105">
        <v>14.750611481909745</v>
      </c>
      <c r="BA70" s="105">
        <v>6336.862692628426</v>
      </c>
      <c r="BB70" s="105">
        <v>15.694188456601099</v>
      </c>
      <c r="BC70" s="105">
        <v>6742.2233609558316</v>
      </c>
      <c r="BD70" s="105">
        <v>10</v>
      </c>
      <c r="BE70" s="105">
        <v>4296</v>
      </c>
      <c r="BF70" s="105">
        <v>16</v>
      </c>
      <c r="BG70" s="105">
        <v>6873.5999999999995</v>
      </c>
      <c r="BH70" s="105">
        <v>11</v>
      </c>
      <c r="BI70" s="105">
        <v>4725.5999999999995</v>
      </c>
      <c r="BJ70" s="105">
        <v>12</v>
      </c>
      <c r="BK70" s="105">
        <v>5155.2</v>
      </c>
      <c r="BL70" s="105">
        <v>17</v>
      </c>
      <c r="BM70" s="105">
        <v>7303.2</v>
      </c>
      <c r="BN70" s="105">
        <v>10</v>
      </c>
      <c r="BO70" s="105">
        <v>4296</v>
      </c>
      <c r="BP70" s="105">
        <v>11</v>
      </c>
      <c r="BQ70" s="105">
        <v>4725.5999999999995</v>
      </c>
      <c r="BR70" s="105">
        <v>13</v>
      </c>
      <c r="BS70" s="105">
        <v>5584.7999999999993</v>
      </c>
      <c r="BT70" s="105">
        <v>16</v>
      </c>
      <c r="BU70" s="105">
        <v>6873.5999999999995</v>
      </c>
      <c r="BV70" s="105">
        <v>10.69763809908944</v>
      </c>
      <c r="BW70" s="105">
        <v>4595.7053273688234</v>
      </c>
      <c r="BX70" s="105">
        <v>12</v>
      </c>
      <c r="BY70" s="105">
        <v>5155.2</v>
      </c>
      <c r="BZ70" s="105">
        <v>16.457889020279946</v>
      </c>
      <c r="CA70" s="105">
        <v>7070.3091231122644</v>
      </c>
      <c r="CB70" s="105">
        <v>11.170948653451232</v>
      </c>
      <c r="CC70" s="105">
        <v>4799.0395415226485</v>
      </c>
      <c r="CD70" s="105">
        <v>12.852198079838301</v>
      </c>
      <c r="CE70" s="105">
        <v>5521.3042950985337</v>
      </c>
      <c r="CF70" s="105">
        <v>10.614880957530664</v>
      </c>
      <c r="CG70" s="105">
        <v>4560.152859355173</v>
      </c>
      <c r="CH70" s="105">
        <v>9.3986281561068203</v>
      </c>
      <c r="CI70" s="105">
        <v>4037.6506558634896</v>
      </c>
      <c r="CJ70" s="105">
        <v>10</v>
      </c>
      <c r="CK70" s="105">
        <v>4296</v>
      </c>
      <c r="CL70" s="105">
        <v>16.041664472436612</v>
      </c>
      <c r="CM70" s="105">
        <v>6891.4990573587675</v>
      </c>
      <c r="CN70" s="105">
        <v>8.838141721828265</v>
      </c>
      <c r="CO70" s="105">
        <v>3796.8656836974224</v>
      </c>
      <c r="CP70" s="105">
        <v>12.155287805533591</v>
      </c>
      <c r="CQ70" s="105">
        <v>5221.9116412572303</v>
      </c>
      <c r="CR70" s="105">
        <v>11</v>
      </c>
      <c r="CS70" s="105">
        <v>4725.5999999999995</v>
      </c>
      <c r="CT70" s="105">
        <v>11.395631610760093</v>
      </c>
      <c r="CU70" s="105">
        <v>4895.5633399825356</v>
      </c>
    </row>
    <row r="71" spans="2:99" x14ac:dyDescent="0.2">
      <c r="B71" s="104" t="s">
        <v>130</v>
      </c>
      <c r="C71" s="104" t="s">
        <v>237</v>
      </c>
      <c r="D71" s="105">
        <v>9</v>
      </c>
      <c r="E71" s="105">
        <v>1652.3999999999999</v>
      </c>
      <c r="F71" s="105">
        <v>8.526315789473685</v>
      </c>
      <c r="G71" s="105">
        <v>1565.4315789473685</v>
      </c>
      <c r="H71" s="105">
        <v>8.82</v>
      </c>
      <c r="I71" s="105">
        <v>1619.3520000000001</v>
      </c>
      <c r="J71" s="105">
        <v>7.9459459459459465</v>
      </c>
      <c r="K71" s="105">
        <v>1458.8756756756757</v>
      </c>
      <c r="L71" s="105">
        <v>10.266666666666667</v>
      </c>
      <c r="M71" s="105">
        <v>1884.96</v>
      </c>
      <c r="N71" s="105">
        <v>9</v>
      </c>
      <c r="O71" s="105">
        <v>1652.3999999999999</v>
      </c>
      <c r="P71" s="105">
        <v>11.135593220338984</v>
      </c>
      <c r="Q71" s="105">
        <v>2044.4949152542374</v>
      </c>
      <c r="R71" s="105">
        <v>9.8000000000000007</v>
      </c>
      <c r="S71" s="105">
        <v>1799.28</v>
      </c>
      <c r="T71" s="105">
        <v>9.6681614349775788</v>
      </c>
      <c r="U71" s="105">
        <v>1775.0744394618835</v>
      </c>
      <c r="V71" s="105">
        <v>9</v>
      </c>
      <c r="W71" s="105">
        <v>1652.3999999999999</v>
      </c>
      <c r="X71" s="105">
        <v>11</v>
      </c>
      <c r="Y71" s="105">
        <v>2019.6</v>
      </c>
      <c r="Z71" s="105">
        <v>7</v>
      </c>
      <c r="AA71" s="105">
        <v>1285.2</v>
      </c>
      <c r="AB71" s="105">
        <v>12</v>
      </c>
      <c r="AC71" s="105">
        <v>2203.1999999999998</v>
      </c>
      <c r="AD71" s="105">
        <v>6</v>
      </c>
      <c r="AE71" s="105">
        <v>1101.5999999999999</v>
      </c>
      <c r="AF71" s="105">
        <v>11</v>
      </c>
      <c r="AG71" s="105">
        <v>2019.6</v>
      </c>
      <c r="AH71" s="105">
        <v>9</v>
      </c>
      <c r="AI71" s="105">
        <v>1652.3999999999999</v>
      </c>
      <c r="AJ71" s="105">
        <v>8</v>
      </c>
      <c r="AK71" s="105">
        <v>1468.8</v>
      </c>
      <c r="AL71" s="105">
        <v>9</v>
      </c>
      <c r="AM71" s="105">
        <v>1652.3999999999999</v>
      </c>
      <c r="AN71" s="105">
        <v>12</v>
      </c>
      <c r="AO71" s="105">
        <v>2203.1999999999998</v>
      </c>
      <c r="AP71" s="105">
        <v>8</v>
      </c>
      <c r="AQ71" s="105">
        <v>1468.8</v>
      </c>
      <c r="AR71" s="105">
        <v>10</v>
      </c>
      <c r="AS71" s="105">
        <v>1836</v>
      </c>
      <c r="AT71" s="105">
        <v>7</v>
      </c>
      <c r="AU71" s="105">
        <v>1285.2</v>
      </c>
      <c r="AV71" s="105">
        <v>8</v>
      </c>
      <c r="AW71" s="105">
        <v>1468.8</v>
      </c>
      <c r="AX71" s="105">
        <v>9</v>
      </c>
      <c r="AY71" s="105">
        <v>1652.3999999999999</v>
      </c>
      <c r="AZ71" s="105">
        <v>10</v>
      </c>
      <c r="BA71" s="105">
        <v>1836</v>
      </c>
      <c r="BB71" s="105">
        <v>9.2931129551493825</v>
      </c>
      <c r="BC71" s="105">
        <v>1706.2155385654266</v>
      </c>
      <c r="BD71" s="105">
        <v>10.122065727699532</v>
      </c>
      <c r="BE71" s="105">
        <v>1858.4112676056341</v>
      </c>
      <c r="BF71" s="105">
        <v>10.23293172690763</v>
      </c>
      <c r="BG71" s="105">
        <v>1878.7662650602408</v>
      </c>
      <c r="BH71" s="105">
        <v>9.0927835051546388</v>
      </c>
      <c r="BI71" s="105">
        <v>1669.4350515463916</v>
      </c>
      <c r="BJ71" s="105">
        <v>6</v>
      </c>
      <c r="BK71" s="105">
        <v>1101.5999999999999</v>
      </c>
      <c r="BL71" s="105">
        <v>9</v>
      </c>
      <c r="BM71" s="105">
        <v>1652.3999999999999</v>
      </c>
      <c r="BN71" s="105">
        <v>9.7382716049382712</v>
      </c>
      <c r="BO71" s="105">
        <v>1787.9466666666665</v>
      </c>
      <c r="BP71" s="105">
        <v>10.43225806451613</v>
      </c>
      <c r="BQ71" s="105">
        <v>1915.3625806451614</v>
      </c>
      <c r="BR71" s="105">
        <v>9</v>
      </c>
      <c r="BS71" s="105">
        <v>1652.3999999999999</v>
      </c>
      <c r="BT71" s="105">
        <v>10</v>
      </c>
      <c r="BU71" s="105">
        <v>1836</v>
      </c>
      <c r="BV71" s="105">
        <v>10</v>
      </c>
      <c r="BW71" s="105">
        <v>1836</v>
      </c>
      <c r="BX71" s="105">
        <v>10</v>
      </c>
      <c r="BY71" s="105">
        <v>1836</v>
      </c>
      <c r="BZ71" s="105">
        <v>8.8101265822784836</v>
      </c>
      <c r="CA71" s="105">
        <v>1617.5392405063296</v>
      </c>
      <c r="CB71" s="105">
        <v>8</v>
      </c>
      <c r="CC71" s="105">
        <v>1468.8</v>
      </c>
      <c r="CD71" s="105">
        <v>9</v>
      </c>
      <c r="CE71" s="105">
        <v>1652.3999999999999</v>
      </c>
      <c r="CF71" s="105">
        <v>11.690471328983858</v>
      </c>
      <c r="CG71" s="105">
        <v>2146.370536001436</v>
      </c>
      <c r="CH71" s="105">
        <v>9.7029702970297027</v>
      </c>
      <c r="CI71" s="105">
        <v>1781.4653465346535</v>
      </c>
      <c r="CJ71" s="105">
        <v>9.8000000000000007</v>
      </c>
      <c r="CK71" s="105">
        <v>1799.28</v>
      </c>
      <c r="CL71" s="105">
        <v>10.274193548387098</v>
      </c>
      <c r="CM71" s="105">
        <v>1886.3419354838711</v>
      </c>
      <c r="CN71" s="105">
        <v>10.838709677419356</v>
      </c>
      <c r="CO71" s="105">
        <v>1989.9870967741938</v>
      </c>
      <c r="CP71" s="105">
        <v>10.151394422310757</v>
      </c>
      <c r="CQ71" s="105">
        <v>1863.7960159362549</v>
      </c>
      <c r="CR71" s="105">
        <v>9</v>
      </c>
      <c r="CS71" s="105">
        <v>1652.3999999999999</v>
      </c>
      <c r="CT71" s="105">
        <v>7</v>
      </c>
      <c r="CU71" s="105">
        <v>1285.2</v>
      </c>
    </row>
    <row r="72" spans="2:99" x14ac:dyDescent="0.2">
      <c r="C72" s="104" t="s">
        <v>238</v>
      </c>
      <c r="D72" s="105">
        <v>8</v>
      </c>
      <c r="E72" s="105">
        <v>3916.7999999999997</v>
      </c>
      <c r="F72" s="105">
        <v>8.526315789473685</v>
      </c>
      <c r="G72" s="105">
        <v>4174.484210526316</v>
      </c>
      <c r="H72" s="105">
        <v>9.8000000000000007</v>
      </c>
      <c r="I72" s="105">
        <v>4798.08</v>
      </c>
      <c r="J72" s="105">
        <v>7.9459459459459465</v>
      </c>
      <c r="K72" s="105">
        <v>3890.3351351351353</v>
      </c>
      <c r="L72" s="105">
        <v>10.266666666666667</v>
      </c>
      <c r="M72" s="105">
        <v>5026.5600000000004</v>
      </c>
      <c r="N72" s="105">
        <v>8</v>
      </c>
      <c r="O72" s="105">
        <v>3916.7999999999997</v>
      </c>
      <c r="P72" s="105">
        <v>10.207627118644067</v>
      </c>
      <c r="Q72" s="105">
        <v>4997.6542372881349</v>
      </c>
      <c r="R72" s="105">
        <v>8.9833333333333325</v>
      </c>
      <c r="S72" s="105">
        <v>4398.2399999999989</v>
      </c>
      <c r="T72" s="105">
        <v>8.7013452914798215</v>
      </c>
      <c r="U72" s="105">
        <v>4260.1786547085203</v>
      </c>
      <c r="V72" s="105">
        <v>8</v>
      </c>
      <c r="W72" s="105">
        <v>3916.7999999999997</v>
      </c>
      <c r="X72" s="105">
        <v>10</v>
      </c>
      <c r="Y72" s="105">
        <v>4896</v>
      </c>
      <c r="Z72" s="105">
        <v>8</v>
      </c>
      <c r="AA72" s="105">
        <v>3916.7999999999997</v>
      </c>
      <c r="AB72" s="105">
        <v>12</v>
      </c>
      <c r="AC72" s="105">
        <v>5875.2</v>
      </c>
      <c r="AD72" s="105">
        <v>7</v>
      </c>
      <c r="AE72" s="105">
        <v>3427.2</v>
      </c>
      <c r="AF72" s="105">
        <v>11</v>
      </c>
      <c r="AG72" s="105">
        <v>5385.5999999999995</v>
      </c>
      <c r="AH72" s="105">
        <v>10</v>
      </c>
      <c r="AI72" s="105">
        <v>4896</v>
      </c>
      <c r="AJ72" s="105">
        <v>7</v>
      </c>
      <c r="AK72" s="105">
        <v>3427.2</v>
      </c>
      <c r="AL72" s="105">
        <v>9</v>
      </c>
      <c r="AM72" s="105">
        <v>4406.3999999999996</v>
      </c>
      <c r="AN72" s="105">
        <v>11</v>
      </c>
      <c r="AO72" s="105">
        <v>5385.5999999999995</v>
      </c>
      <c r="AP72" s="105">
        <v>8</v>
      </c>
      <c r="AQ72" s="105">
        <v>3916.7999999999997</v>
      </c>
      <c r="AR72" s="105">
        <v>11</v>
      </c>
      <c r="AS72" s="105">
        <v>5385.5999999999995</v>
      </c>
      <c r="AT72" s="105">
        <v>6</v>
      </c>
      <c r="AU72" s="105">
        <v>2937.6</v>
      </c>
      <c r="AV72" s="105">
        <v>8</v>
      </c>
      <c r="AW72" s="105">
        <v>3916.7999999999997</v>
      </c>
      <c r="AX72" s="105">
        <v>8</v>
      </c>
      <c r="AY72" s="105">
        <v>3916.7999999999997</v>
      </c>
      <c r="AZ72" s="105">
        <v>10</v>
      </c>
      <c r="BA72" s="105">
        <v>4896</v>
      </c>
      <c r="BB72" s="105">
        <v>10.222424250664323</v>
      </c>
      <c r="BC72" s="105">
        <v>5004.898913125252</v>
      </c>
      <c r="BD72" s="105">
        <v>10.122065727699532</v>
      </c>
      <c r="BE72" s="105">
        <v>4955.7633802816908</v>
      </c>
      <c r="BF72" s="105">
        <v>10.23293172690763</v>
      </c>
      <c r="BG72" s="105">
        <v>5010.0433734939752</v>
      </c>
      <c r="BH72" s="105">
        <v>7.2742268041237113</v>
      </c>
      <c r="BI72" s="105">
        <v>3561.4614432989688</v>
      </c>
      <c r="BJ72" s="105">
        <v>6</v>
      </c>
      <c r="BK72" s="105">
        <v>2937.6</v>
      </c>
      <c r="BL72" s="105">
        <v>8</v>
      </c>
      <c r="BM72" s="105">
        <v>3916.7999999999997</v>
      </c>
      <c r="BN72" s="105">
        <v>10.549794238683129</v>
      </c>
      <c r="BO72" s="105">
        <v>5165.1792592592592</v>
      </c>
      <c r="BP72" s="105">
        <v>10.43225806451613</v>
      </c>
      <c r="BQ72" s="105">
        <v>5107.6335483870971</v>
      </c>
      <c r="BR72" s="105">
        <v>9</v>
      </c>
      <c r="BS72" s="105">
        <v>4406.3999999999996</v>
      </c>
      <c r="BT72" s="105">
        <v>10</v>
      </c>
      <c r="BU72" s="105">
        <v>4896</v>
      </c>
      <c r="BV72" s="105">
        <v>11</v>
      </c>
      <c r="BW72" s="105">
        <v>5385.5999999999995</v>
      </c>
      <c r="BX72" s="105">
        <v>9</v>
      </c>
      <c r="BY72" s="105">
        <v>4406.3999999999996</v>
      </c>
      <c r="BZ72" s="105">
        <v>9.6911392405063328</v>
      </c>
      <c r="CA72" s="105">
        <v>4744.7817721519004</v>
      </c>
      <c r="CB72" s="105">
        <v>7</v>
      </c>
      <c r="CC72" s="105">
        <v>3427.2</v>
      </c>
      <c r="CD72" s="105">
        <v>8</v>
      </c>
      <c r="CE72" s="105">
        <v>3916.7999999999997</v>
      </c>
      <c r="CF72" s="105">
        <v>10.716265384901869</v>
      </c>
      <c r="CG72" s="105">
        <v>5246.6835324479543</v>
      </c>
      <c r="CH72" s="105">
        <v>7.7623762376237622</v>
      </c>
      <c r="CI72" s="105">
        <v>3800.4594059405936</v>
      </c>
      <c r="CJ72" s="105">
        <v>9.8000000000000007</v>
      </c>
      <c r="CK72" s="105">
        <v>4798.08</v>
      </c>
      <c r="CL72" s="105">
        <v>9.4838709677419359</v>
      </c>
      <c r="CM72" s="105">
        <v>4643.3032258064513</v>
      </c>
      <c r="CN72" s="105">
        <v>9.935483870967742</v>
      </c>
      <c r="CO72" s="105">
        <v>4864.4129032258061</v>
      </c>
      <c r="CP72" s="105">
        <v>10.151394422310757</v>
      </c>
      <c r="CQ72" s="105">
        <v>4970.1227091633464</v>
      </c>
      <c r="CR72" s="105">
        <v>9</v>
      </c>
      <c r="CS72" s="105">
        <v>4406.3999999999996</v>
      </c>
      <c r="CT72" s="105">
        <v>8</v>
      </c>
      <c r="CU72" s="105">
        <v>3916.7999999999997</v>
      </c>
    </row>
    <row r="73" spans="2:99" x14ac:dyDescent="0.2">
      <c r="C73" s="104" t="s">
        <v>239</v>
      </c>
      <c r="D73" s="105">
        <v>8</v>
      </c>
      <c r="E73" s="105">
        <v>4540.8</v>
      </c>
      <c r="F73" s="105">
        <v>8.526315789473685</v>
      </c>
      <c r="G73" s="105">
        <v>4839.5368421052635</v>
      </c>
      <c r="H73" s="105">
        <v>9.8000000000000007</v>
      </c>
      <c r="I73" s="105">
        <v>5562.4800000000005</v>
      </c>
      <c r="J73" s="105">
        <v>7.9459459459459465</v>
      </c>
      <c r="K73" s="105">
        <v>4510.118918918919</v>
      </c>
      <c r="L73" s="105">
        <v>9.3333333333333321</v>
      </c>
      <c r="M73" s="105">
        <v>5297.5999999999995</v>
      </c>
      <c r="N73" s="105">
        <v>9</v>
      </c>
      <c r="O73" s="105">
        <v>5108.4000000000005</v>
      </c>
      <c r="P73" s="105">
        <v>10.207627118644067</v>
      </c>
      <c r="Q73" s="105">
        <v>5793.8491525423733</v>
      </c>
      <c r="R73" s="105">
        <v>8.1666666666666661</v>
      </c>
      <c r="S73" s="105">
        <v>4635.3999999999996</v>
      </c>
      <c r="T73" s="105">
        <v>9.6681614349775788</v>
      </c>
      <c r="U73" s="105">
        <v>5487.6484304932737</v>
      </c>
      <c r="V73" s="105">
        <v>9</v>
      </c>
      <c r="W73" s="105">
        <v>5108.4000000000005</v>
      </c>
      <c r="X73" s="105">
        <v>11</v>
      </c>
      <c r="Y73" s="105">
        <v>6243.6</v>
      </c>
      <c r="Z73" s="105">
        <v>6</v>
      </c>
      <c r="AA73" s="105">
        <v>3405.6000000000004</v>
      </c>
      <c r="AB73" s="105">
        <v>11</v>
      </c>
      <c r="AC73" s="105">
        <v>6243.6</v>
      </c>
      <c r="AD73" s="105">
        <v>7</v>
      </c>
      <c r="AE73" s="105">
        <v>3973.2000000000003</v>
      </c>
      <c r="AF73" s="105">
        <v>10</v>
      </c>
      <c r="AG73" s="105">
        <v>5676</v>
      </c>
      <c r="AH73" s="105">
        <v>10</v>
      </c>
      <c r="AI73" s="105">
        <v>5676</v>
      </c>
      <c r="AJ73" s="105">
        <v>7</v>
      </c>
      <c r="AK73" s="105">
        <v>3973.2000000000003</v>
      </c>
      <c r="AL73" s="105">
        <v>9</v>
      </c>
      <c r="AM73" s="105">
        <v>5108.4000000000005</v>
      </c>
      <c r="AN73" s="105">
        <v>10</v>
      </c>
      <c r="AO73" s="105">
        <v>5676</v>
      </c>
      <c r="AP73" s="105">
        <v>8</v>
      </c>
      <c r="AQ73" s="105">
        <v>4540.8</v>
      </c>
      <c r="AR73" s="105">
        <v>10</v>
      </c>
      <c r="AS73" s="105">
        <v>5676</v>
      </c>
      <c r="AT73" s="105">
        <v>7</v>
      </c>
      <c r="AU73" s="105">
        <v>3973.2000000000003</v>
      </c>
      <c r="AV73" s="105">
        <v>9</v>
      </c>
      <c r="AW73" s="105">
        <v>5108.4000000000005</v>
      </c>
      <c r="AX73" s="105">
        <v>8</v>
      </c>
      <c r="AY73" s="105">
        <v>4540.8</v>
      </c>
      <c r="AZ73" s="105">
        <v>10</v>
      </c>
      <c r="BA73" s="105">
        <v>5676</v>
      </c>
      <c r="BB73" s="105">
        <v>10.222424250664323</v>
      </c>
      <c r="BC73" s="105">
        <v>5802.2480046770697</v>
      </c>
      <c r="BD73" s="105">
        <v>9.2018779342723001</v>
      </c>
      <c r="BE73" s="105">
        <v>5222.9859154929582</v>
      </c>
      <c r="BF73" s="105">
        <v>9.4457831325301207</v>
      </c>
      <c r="BG73" s="105">
        <v>5361.4265060240969</v>
      </c>
      <c r="BH73" s="105">
        <v>9.0927835051546388</v>
      </c>
      <c r="BI73" s="105">
        <v>5161.0639175257729</v>
      </c>
      <c r="BJ73" s="105">
        <v>6</v>
      </c>
      <c r="BK73" s="105">
        <v>3405.6000000000004</v>
      </c>
      <c r="BL73" s="105">
        <v>9</v>
      </c>
      <c r="BM73" s="105">
        <v>5108.4000000000005</v>
      </c>
      <c r="BN73" s="105">
        <v>10.549794238683129</v>
      </c>
      <c r="BO73" s="105">
        <v>5988.0632098765445</v>
      </c>
      <c r="BP73" s="105">
        <v>10.43225806451613</v>
      </c>
      <c r="BQ73" s="105">
        <v>5921.3496774193554</v>
      </c>
      <c r="BR73" s="105">
        <v>8</v>
      </c>
      <c r="BS73" s="105">
        <v>4540.8</v>
      </c>
      <c r="BT73" s="105">
        <v>11</v>
      </c>
      <c r="BU73" s="105">
        <v>6243.6</v>
      </c>
      <c r="BV73" s="105">
        <v>10</v>
      </c>
      <c r="BW73" s="105">
        <v>5676</v>
      </c>
      <c r="BX73" s="105">
        <v>9</v>
      </c>
      <c r="BY73" s="105">
        <v>5108.4000000000005</v>
      </c>
      <c r="BZ73" s="105">
        <v>8.8101265822784836</v>
      </c>
      <c r="CA73" s="105">
        <v>5000.6278481012678</v>
      </c>
      <c r="CB73" s="105">
        <v>7</v>
      </c>
      <c r="CC73" s="105">
        <v>3973.2000000000003</v>
      </c>
      <c r="CD73" s="105">
        <v>9</v>
      </c>
      <c r="CE73" s="105">
        <v>5108.4000000000005</v>
      </c>
      <c r="CF73" s="105">
        <v>11.690471328983858</v>
      </c>
      <c r="CG73" s="105">
        <v>6635.5115263312382</v>
      </c>
      <c r="CH73" s="105">
        <v>8.7326732673267315</v>
      </c>
      <c r="CI73" s="105">
        <v>4956.6653465346526</v>
      </c>
      <c r="CJ73" s="105">
        <v>8.9833333333333325</v>
      </c>
      <c r="CK73" s="105">
        <v>5098.9399999999996</v>
      </c>
      <c r="CL73" s="105">
        <v>9.4838709677419359</v>
      </c>
      <c r="CM73" s="105">
        <v>5383.0451612903234</v>
      </c>
      <c r="CN73" s="105">
        <v>9.0322580645161299</v>
      </c>
      <c r="CO73" s="105">
        <v>5126.7096774193551</v>
      </c>
      <c r="CP73" s="105">
        <v>10.151394422310757</v>
      </c>
      <c r="CQ73" s="105">
        <v>5761.931474103586</v>
      </c>
      <c r="CR73" s="105">
        <v>8</v>
      </c>
      <c r="CS73" s="105">
        <v>4540.8</v>
      </c>
      <c r="CT73" s="105">
        <v>8</v>
      </c>
      <c r="CU73" s="105">
        <v>4540.8</v>
      </c>
    </row>
    <row r="74" spans="2:99" x14ac:dyDescent="0.2">
      <c r="C74" s="104" t="s">
        <v>240</v>
      </c>
      <c r="D74" s="105">
        <v>8</v>
      </c>
      <c r="E74" s="105">
        <v>2515.1999999999998</v>
      </c>
      <c r="F74" s="105">
        <v>9.473684210526315</v>
      </c>
      <c r="G74" s="105">
        <v>2978.5263157894733</v>
      </c>
      <c r="H74" s="105">
        <v>8.82</v>
      </c>
      <c r="I74" s="105">
        <v>2773.0079999999998</v>
      </c>
      <c r="J74" s="105">
        <v>8.8288288288288292</v>
      </c>
      <c r="K74" s="105">
        <v>2775.7837837837837</v>
      </c>
      <c r="L74" s="105">
        <v>9.3333333333333321</v>
      </c>
      <c r="M74" s="105">
        <v>2934.3999999999996</v>
      </c>
      <c r="N74" s="105">
        <v>9</v>
      </c>
      <c r="O74" s="105">
        <v>2829.6</v>
      </c>
      <c r="P74" s="105">
        <v>10.207627118644067</v>
      </c>
      <c r="Q74" s="105">
        <v>3209.2779661016948</v>
      </c>
      <c r="R74" s="105">
        <v>8.1666666666666661</v>
      </c>
      <c r="S74" s="105">
        <v>2567.5999999999995</v>
      </c>
      <c r="T74" s="105">
        <v>8.7013452914798215</v>
      </c>
      <c r="U74" s="105">
        <v>2735.7029596412558</v>
      </c>
      <c r="V74" s="105">
        <v>9</v>
      </c>
      <c r="W74" s="105">
        <v>2829.6</v>
      </c>
      <c r="X74" s="105">
        <v>10</v>
      </c>
      <c r="Y74" s="105">
        <v>3144</v>
      </c>
      <c r="Z74" s="105">
        <v>7</v>
      </c>
      <c r="AA74" s="105">
        <v>2200.7999999999997</v>
      </c>
      <c r="AB74" s="105">
        <v>12</v>
      </c>
      <c r="AC74" s="105">
        <v>3772.7999999999997</v>
      </c>
      <c r="AD74" s="105">
        <v>6</v>
      </c>
      <c r="AE74" s="105">
        <v>1886.3999999999999</v>
      </c>
      <c r="AF74" s="105">
        <v>12</v>
      </c>
      <c r="AG74" s="105">
        <v>3772.7999999999997</v>
      </c>
      <c r="AH74" s="105">
        <v>11</v>
      </c>
      <c r="AI74" s="105">
        <v>3458.3999999999996</v>
      </c>
      <c r="AJ74" s="105">
        <v>8</v>
      </c>
      <c r="AK74" s="105">
        <v>2515.1999999999998</v>
      </c>
      <c r="AL74" s="105">
        <v>8</v>
      </c>
      <c r="AM74" s="105">
        <v>2515.1999999999998</v>
      </c>
      <c r="AN74" s="105">
        <v>11</v>
      </c>
      <c r="AO74" s="105">
        <v>3458.3999999999996</v>
      </c>
      <c r="AP74" s="105">
        <v>7</v>
      </c>
      <c r="AQ74" s="105">
        <v>2200.7999999999997</v>
      </c>
      <c r="AR74" s="105">
        <v>11</v>
      </c>
      <c r="AS74" s="105">
        <v>3458.3999999999996</v>
      </c>
      <c r="AT74" s="105">
        <v>7</v>
      </c>
      <c r="AU74" s="105">
        <v>2200.7999999999997</v>
      </c>
      <c r="AV74" s="105">
        <v>9</v>
      </c>
      <c r="AW74" s="105">
        <v>2829.6</v>
      </c>
      <c r="AX74" s="105">
        <v>9</v>
      </c>
      <c r="AY74" s="105">
        <v>2829.6</v>
      </c>
      <c r="AZ74" s="105">
        <v>11</v>
      </c>
      <c r="BA74" s="105">
        <v>3458.3999999999996</v>
      </c>
      <c r="BB74" s="105">
        <v>10.222424250664323</v>
      </c>
      <c r="BC74" s="105">
        <v>3213.9301844088632</v>
      </c>
      <c r="BD74" s="105">
        <v>10.122065727699532</v>
      </c>
      <c r="BE74" s="105">
        <v>3182.3774647887326</v>
      </c>
      <c r="BF74" s="105">
        <v>10.23293172690763</v>
      </c>
      <c r="BG74" s="105">
        <v>3217.2337349397585</v>
      </c>
      <c r="BH74" s="105">
        <v>8.1835051546391764</v>
      </c>
      <c r="BI74" s="105">
        <v>2572.8940206185571</v>
      </c>
      <c r="BJ74" s="105">
        <v>6</v>
      </c>
      <c r="BK74" s="105">
        <v>1886.3999999999999</v>
      </c>
      <c r="BL74" s="105">
        <v>9</v>
      </c>
      <c r="BM74" s="105">
        <v>2829.6</v>
      </c>
      <c r="BN74" s="105">
        <v>10.549794238683129</v>
      </c>
      <c r="BO74" s="105">
        <v>3316.8553086419756</v>
      </c>
      <c r="BP74" s="105">
        <v>11.301612903225807</v>
      </c>
      <c r="BQ74" s="105">
        <v>3553.2270967741938</v>
      </c>
      <c r="BR74" s="105">
        <v>9</v>
      </c>
      <c r="BS74" s="105">
        <v>2829.6</v>
      </c>
      <c r="BT74" s="105">
        <v>11</v>
      </c>
      <c r="BU74" s="105">
        <v>3458.3999999999996</v>
      </c>
      <c r="BV74" s="105">
        <v>10</v>
      </c>
      <c r="BW74" s="105">
        <v>3144</v>
      </c>
      <c r="BX74" s="105">
        <v>10</v>
      </c>
      <c r="BY74" s="105">
        <v>3144</v>
      </c>
      <c r="BZ74" s="105">
        <v>8.8101265822784836</v>
      </c>
      <c r="CA74" s="105">
        <v>2769.9037974683552</v>
      </c>
      <c r="CB74" s="105">
        <v>7</v>
      </c>
      <c r="CC74" s="105">
        <v>2200.7999999999997</v>
      </c>
      <c r="CD74" s="105">
        <v>8</v>
      </c>
      <c r="CE74" s="105">
        <v>2515.1999999999998</v>
      </c>
      <c r="CF74" s="105">
        <v>11.690471328983858</v>
      </c>
      <c r="CG74" s="105">
        <v>3675.4841858325244</v>
      </c>
      <c r="CH74" s="105">
        <v>9.7029702970297027</v>
      </c>
      <c r="CI74" s="105">
        <v>3050.6138613861385</v>
      </c>
      <c r="CJ74" s="105">
        <v>10.616666666666667</v>
      </c>
      <c r="CK74" s="105">
        <v>3337.88</v>
      </c>
      <c r="CL74" s="105">
        <v>9.4838709677419359</v>
      </c>
      <c r="CM74" s="105">
        <v>2981.7290322580643</v>
      </c>
      <c r="CN74" s="105">
        <v>9.935483870967742</v>
      </c>
      <c r="CO74" s="105">
        <v>3123.7161290322579</v>
      </c>
      <c r="CP74" s="105">
        <v>9.3705179282868531</v>
      </c>
      <c r="CQ74" s="105">
        <v>2946.0908366533863</v>
      </c>
      <c r="CR74" s="105">
        <v>9</v>
      </c>
      <c r="CS74" s="105">
        <v>2829.6</v>
      </c>
      <c r="CT74" s="105">
        <v>8</v>
      </c>
      <c r="CU74" s="105">
        <v>2515.1999999999998</v>
      </c>
    </row>
    <row r="75" spans="2:99" x14ac:dyDescent="0.2">
      <c r="C75" s="104" t="s">
        <v>241</v>
      </c>
      <c r="D75" s="105">
        <v>7</v>
      </c>
      <c r="E75" s="105">
        <v>4191.5999999999995</v>
      </c>
      <c r="F75" s="105">
        <v>9.473684210526315</v>
      </c>
      <c r="G75" s="105">
        <v>5672.8421052631575</v>
      </c>
      <c r="H75" s="105">
        <v>8.82</v>
      </c>
      <c r="I75" s="105">
        <v>5281.4160000000002</v>
      </c>
      <c r="J75" s="105">
        <v>7.9459459459459465</v>
      </c>
      <c r="K75" s="105">
        <v>4758.032432432432</v>
      </c>
      <c r="L75" s="105">
        <v>9.3333333333333321</v>
      </c>
      <c r="M75" s="105">
        <v>5588.7999999999993</v>
      </c>
      <c r="N75" s="105">
        <v>8</v>
      </c>
      <c r="O75" s="105">
        <v>4790.3999999999996</v>
      </c>
      <c r="P75" s="105">
        <v>8.351694915254237</v>
      </c>
      <c r="Q75" s="105">
        <v>5000.9949152542367</v>
      </c>
      <c r="R75" s="105">
        <v>7.35</v>
      </c>
      <c r="S75" s="105">
        <v>4401.1799999999994</v>
      </c>
      <c r="T75" s="105">
        <v>9.6681614349775788</v>
      </c>
      <c r="U75" s="105">
        <v>5789.2950672645738</v>
      </c>
      <c r="V75" s="105">
        <v>9</v>
      </c>
      <c r="W75" s="105">
        <v>5389.2</v>
      </c>
      <c r="X75" s="105">
        <v>11</v>
      </c>
      <c r="Y75" s="105">
        <v>6586.7999999999993</v>
      </c>
      <c r="Z75" s="105">
        <v>6</v>
      </c>
      <c r="AA75" s="105">
        <v>3592.7999999999997</v>
      </c>
      <c r="AB75" s="105">
        <v>12</v>
      </c>
      <c r="AC75" s="105">
        <v>7185.5999999999995</v>
      </c>
      <c r="AD75" s="105">
        <v>6</v>
      </c>
      <c r="AE75" s="105">
        <v>3592.7999999999997</v>
      </c>
      <c r="AF75" s="105">
        <v>11</v>
      </c>
      <c r="AG75" s="105">
        <v>6586.7999999999993</v>
      </c>
      <c r="AH75" s="105">
        <v>10</v>
      </c>
      <c r="AI75" s="105">
        <v>5988</v>
      </c>
      <c r="AJ75" s="105">
        <v>8</v>
      </c>
      <c r="AK75" s="105">
        <v>4790.3999999999996</v>
      </c>
      <c r="AL75" s="105">
        <v>9</v>
      </c>
      <c r="AM75" s="105">
        <v>5389.2</v>
      </c>
      <c r="AN75" s="105">
        <v>12</v>
      </c>
      <c r="AO75" s="105">
        <v>7185.5999999999995</v>
      </c>
      <c r="AP75" s="105">
        <v>8</v>
      </c>
      <c r="AQ75" s="105">
        <v>4790.3999999999996</v>
      </c>
      <c r="AR75" s="105">
        <v>11</v>
      </c>
      <c r="AS75" s="105">
        <v>6586.7999999999993</v>
      </c>
      <c r="AT75" s="105">
        <v>7</v>
      </c>
      <c r="AU75" s="105">
        <v>4191.5999999999995</v>
      </c>
      <c r="AV75" s="105">
        <v>9</v>
      </c>
      <c r="AW75" s="105">
        <v>5389.2</v>
      </c>
      <c r="AX75" s="105">
        <v>8</v>
      </c>
      <c r="AY75" s="105">
        <v>4790.3999999999996</v>
      </c>
      <c r="AZ75" s="105">
        <v>10</v>
      </c>
      <c r="BA75" s="105">
        <v>5988</v>
      </c>
      <c r="BB75" s="105">
        <v>10.222424250664323</v>
      </c>
      <c r="BC75" s="105">
        <v>6121.1876412977963</v>
      </c>
      <c r="BD75" s="105">
        <v>9.2018779342723001</v>
      </c>
      <c r="BE75" s="105">
        <v>5510.0845070422529</v>
      </c>
      <c r="BF75" s="105">
        <v>10.23293172690763</v>
      </c>
      <c r="BG75" s="105">
        <v>6127.4795180722886</v>
      </c>
      <c r="BH75" s="105">
        <v>9.0927835051546388</v>
      </c>
      <c r="BI75" s="105">
        <v>5444.7587628865977</v>
      </c>
      <c r="BJ75" s="105">
        <v>6</v>
      </c>
      <c r="BK75" s="105">
        <v>3592.7999999999997</v>
      </c>
      <c r="BL75" s="105">
        <v>8</v>
      </c>
      <c r="BM75" s="105">
        <v>4790.3999999999996</v>
      </c>
      <c r="BN75" s="105">
        <v>10.549794238683129</v>
      </c>
      <c r="BO75" s="105">
        <v>6317.216790123457</v>
      </c>
      <c r="BP75" s="105">
        <v>11.301612903225807</v>
      </c>
      <c r="BQ75" s="105">
        <v>6767.405806451613</v>
      </c>
      <c r="BR75" s="105">
        <v>8</v>
      </c>
      <c r="BS75" s="105">
        <v>4790.3999999999996</v>
      </c>
      <c r="BT75" s="105">
        <v>10</v>
      </c>
      <c r="BU75" s="105">
        <v>5988</v>
      </c>
      <c r="BV75" s="105">
        <v>10</v>
      </c>
      <c r="BW75" s="105">
        <v>5988</v>
      </c>
      <c r="BX75" s="105">
        <v>8</v>
      </c>
      <c r="BY75" s="105">
        <v>4790.3999999999996</v>
      </c>
      <c r="BZ75" s="105">
        <v>9.6911392405063328</v>
      </c>
      <c r="CA75" s="105">
        <v>5803.0541772151919</v>
      </c>
      <c r="CB75" s="105">
        <v>7</v>
      </c>
      <c r="CC75" s="105">
        <v>4191.5999999999995</v>
      </c>
      <c r="CD75" s="105">
        <v>8</v>
      </c>
      <c r="CE75" s="105">
        <v>4790.3999999999996</v>
      </c>
      <c r="CF75" s="105">
        <v>10.716265384901869</v>
      </c>
      <c r="CG75" s="105">
        <v>6416.8997124792386</v>
      </c>
      <c r="CH75" s="105">
        <v>9.7029702970297027</v>
      </c>
      <c r="CI75" s="105">
        <v>5810.1386138613852</v>
      </c>
      <c r="CJ75" s="105">
        <v>9.8000000000000007</v>
      </c>
      <c r="CK75" s="105">
        <v>5868.24</v>
      </c>
      <c r="CL75" s="105">
        <v>8.693548387096774</v>
      </c>
      <c r="CM75" s="105">
        <v>5205.6967741935478</v>
      </c>
      <c r="CN75" s="105">
        <v>8.129032258064516</v>
      </c>
      <c r="CO75" s="105">
        <v>4867.6645161290317</v>
      </c>
      <c r="CP75" s="105">
        <v>10.151394422310757</v>
      </c>
      <c r="CQ75" s="105">
        <v>6078.6549800796811</v>
      </c>
      <c r="CR75" s="105">
        <v>8</v>
      </c>
      <c r="CS75" s="105">
        <v>4790.3999999999996</v>
      </c>
      <c r="CT75" s="105">
        <v>7</v>
      </c>
      <c r="CU75" s="105">
        <v>4191.5999999999995</v>
      </c>
    </row>
    <row r="76" spans="2:99" x14ac:dyDescent="0.2">
      <c r="C76" s="104" t="s">
        <v>242</v>
      </c>
      <c r="D76" s="105">
        <v>8</v>
      </c>
      <c r="E76" s="105">
        <v>6902.4</v>
      </c>
      <c r="F76" s="105">
        <v>7.5789473684210522</v>
      </c>
      <c r="G76" s="105">
        <v>6539.1157894736834</v>
      </c>
      <c r="H76" s="105">
        <v>8.82</v>
      </c>
      <c r="I76" s="105">
        <v>7609.8959999999997</v>
      </c>
      <c r="J76" s="105">
        <v>7.0630630630630629</v>
      </c>
      <c r="K76" s="105">
        <v>6094.0108108108107</v>
      </c>
      <c r="L76" s="105">
        <v>8.4</v>
      </c>
      <c r="M76" s="105">
        <v>7247.5199999999995</v>
      </c>
      <c r="N76" s="105">
        <v>7</v>
      </c>
      <c r="O76" s="105">
        <v>6039.5999999999995</v>
      </c>
      <c r="P76" s="105">
        <v>9.2796610169491522</v>
      </c>
      <c r="Q76" s="105">
        <v>8006.4915254237285</v>
      </c>
      <c r="R76" s="105">
        <v>8.1666666666666661</v>
      </c>
      <c r="S76" s="105">
        <v>7046.1999999999989</v>
      </c>
      <c r="T76" s="105">
        <v>9.6681614349775788</v>
      </c>
      <c r="U76" s="105">
        <v>8341.6896860986544</v>
      </c>
      <c r="V76" s="105">
        <v>8</v>
      </c>
      <c r="W76" s="105">
        <v>6902.4</v>
      </c>
      <c r="X76" s="105">
        <v>10</v>
      </c>
      <c r="Y76" s="105">
        <v>8628</v>
      </c>
      <c r="Z76" s="105">
        <v>7</v>
      </c>
      <c r="AA76" s="105">
        <v>6039.5999999999995</v>
      </c>
      <c r="AB76" s="105">
        <v>11</v>
      </c>
      <c r="AC76" s="105">
        <v>9490.7999999999993</v>
      </c>
      <c r="AD76" s="105">
        <v>7</v>
      </c>
      <c r="AE76" s="105">
        <v>6039.5999999999995</v>
      </c>
      <c r="AF76" s="105">
        <v>10</v>
      </c>
      <c r="AG76" s="105">
        <v>8628</v>
      </c>
      <c r="AH76" s="105">
        <v>9</v>
      </c>
      <c r="AI76" s="105">
        <v>7765.2</v>
      </c>
      <c r="AJ76" s="105">
        <v>8</v>
      </c>
      <c r="AK76" s="105">
        <v>6902.4</v>
      </c>
      <c r="AL76" s="105">
        <v>8</v>
      </c>
      <c r="AM76" s="105">
        <v>6902.4</v>
      </c>
      <c r="AN76" s="105">
        <v>11</v>
      </c>
      <c r="AO76" s="105">
        <v>9490.7999999999993</v>
      </c>
      <c r="AP76" s="105">
        <v>7</v>
      </c>
      <c r="AQ76" s="105">
        <v>6039.5999999999995</v>
      </c>
      <c r="AR76" s="105">
        <v>9</v>
      </c>
      <c r="AS76" s="105">
        <v>7765.2</v>
      </c>
      <c r="AT76" s="105">
        <v>6</v>
      </c>
      <c r="AU76" s="105">
        <v>5176.7999999999993</v>
      </c>
      <c r="AV76" s="105">
        <v>9</v>
      </c>
      <c r="AW76" s="105">
        <v>7765.2</v>
      </c>
      <c r="AX76" s="105">
        <v>9</v>
      </c>
      <c r="AY76" s="105">
        <v>7765.2</v>
      </c>
      <c r="AZ76" s="105">
        <v>10</v>
      </c>
      <c r="BA76" s="105">
        <v>8628</v>
      </c>
      <c r="BB76" s="105">
        <v>9.2931129551493825</v>
      </c>
      <c r="BC76" s="105">
        <v>8018.0978577028864</v>
      </c>
      <c r="BD76" s="105">
        <v>8.28169014084507</v>
      </c>
      <c r="BE76" s="105">
        <v>7145.4422535211261</v>
      </c>
      <c r="BF76" s="105">
        <v>9.4457831325301207</v>
      </c>
      <c r="BG76" s="105">
        <v>8149.8216867469873</v>
      </c>
      <c r="BH76" s="105">
        <v>7.2742268041237113</v>
      </c>
      <c r="BI76" s="105">
        <v>6276.2028865979373</v>
      </c>
      <c r="BJ76" s="105">
        <v>6</v>
      </c>
      <c r="BK76" s="105">
        <v>5176.7999999999993</v>
      </c>
      <c r="BL76" s="105">
        <v>8</v>
      </c>
      <c r="BM76" s="105">
        <v>6902.4</v>
      </c>
      <c r="BN76" s="105">
        <v>10.549794238683129</v>
      </c>
      <c r="BO76" s="105">
        <v>9102.3624691358036</v>
      </c>
      <c r="BP76" s="105">
        <v>10.43225806451613</v>
      </c>
      <c r="BQ76" s="105">
        <v>9000.9522580645171</v>
      </c>
      <c r="BR76" s="105">
        <v>8</v>
      </c>
      <c r="BS76" s="105">
        <v>6902.4</v>
      </c>
      <c r="BT76" s="105">
        <v>11</v>
      </c>
      <c r="BU76" s="105">
        <v>9490.7999999999993</v>
      </c>
      <c r="BV76" s="105">
        <v>11</v>
      </c>
      <c r="BW76" s="105">
        <v>9490.7999999999993</v>
      </c>
      <c r="BX76" s="105">
        <v>9</v>
      </c>
      <c r="BY76" s="105">
        <v>7765.2</v>
      </c>
      <c r="BZ76" s="105">
        <v>9.6911392405063328</v>
      </c>
      <c r="CA76" s="105">
        <v>8361.5149367088634</v>
      </c>
      <c r="CB76" s="105">
        <v>8</v>
      </c>
      <c r="CC76" s="105">
        <v>6902.4</v>
      </c>
      <c r="CD76" s="105">
        <v>8</v>
      </c>
      <c r="CE76" s="105">
        <v>6902.4</v>
      </c>
      <c r="CF76" s="105">
        <v>10.716265384901869</v>
      </c>
      <c r="CG76" s="105">
        <v>9245.993774093331</v>
      </c>
      <c r="CH76" s="105">
        <v>7.7623762376237622</v>
      </c>
      <c r="CI76" s="105">
        <v>6697.3782178217816</v>
      </c>
      <c r="CJ76" s="105">
        <v>9.8000000000000007</v>
      </c>
      <c r="CK76" s="105">
        <v>8455.44</v>
      </c>
      <c r="CL76" s="105">
        <v>9.4838709677419359</v>
      </c>
      <c r="CM76" s="105">
        <v>8182.6838709677422</v>
      </c>
      <c r="CN76" s="105">
        <v>9.0322580645161299</v>
      </c>
      <c r="CO76" s="105">
        <v>7793.0322580645161</v>
      </c>
      <c r="CP76" s="105">
        <v>9.3705179282868531</v>
      </c>
      <c r="CQ76" s="105">
        <v>8084.8828685258968</v>
      </c>
      <c r="CR76" s="105">
        <v>9</v>
      </c>
      <c r="CS76" s="105">
        <v>7765.2</v>
      </c>
      <c r="CT76" s="105">
        <v>7</v>
      </c>
      <c r="CU76" s="105">
        <v>6039.5999999999995</v>
      </c>
    </row>
    <row r="77" spans="2:99" x14ac:dyDescent="0.2">
      <c r="C77" s="104" t="s">
        <v>243</v>
      </c>
      <c r="D77" s="105">
        <v>8</v>
      </c>
      <c r="E77" s="105">
        <v>5520</v>
      </c>
      <c r="F77" s="105">
        <v>8.526315789473685</v>
      </c>
      <c r="G77" s="105">
        <v>5883.1578947368425</v>
      </c>
      <c r="H77" s="105">
        <v>9.8000000000000007</v>
      </c>
      <c r="I77" s="105">
        <v>6762.0000000000009</v>
      </c>
      <c r="J77" s="105">
        <v>8.8288288288288292</v>
      </c>
      <c r="K77" s="105">
        <v>6091.8918918918926</v>
      </c>
      <c r="L77" s="105">
        <v>8.4</v>
      </c>
      <c r="M77" s="105">
        <v>5796</v>
      </c>
      <c r="N77" s="105">
        <v>8</v>
      </c>
      <c r="O77" s="105">
        <v>5520</v>
      </c>
      <c r="P77" s="105">
        <v>10.207627118644067</v>
      </c>
      <c r="Q77" s="105">
        <v>7043.2627118644068</v>
      </c>
      <c r="R77" s="105">
        <v>8.9833333333333325</v>
      </c>
      <c r="S77" s="105">
        <v>6198.4999999999991</v>
      </c>
      <c r="T77" s="105">
        <v>9.6681614349775788</v>
      </c>
      <c r="U77" s="105">
        <v>6671.0313901345298</v>
      </c>
      <c r="V77" s="105">
        <v>8</v>
      </c>
      <c r="W77" s="105">
        <v>5520</v>
      </c>
      <c r="X77" s="105">
        <v>10</v>
      </c>
      <c r="Y77" s="105">
        <v>6900</v>
      </c>
      <c r="Z77" s="105">
        <v>7</v>
      </c>
      <c r="AA77" s="105">
        <v>4830</v>
      </c>
      <c r="AB77" s="105">
        <v>11</v>
      </c>
      <c r="AC77" s="105">
        <v>7590</v>
      </c>
      <c r="AD77" s="105">
        <v>6</v>
      </c>
      <c r="AE77" s="105">
        <v>4140</v>
      </c>
      <c r="AF77" s="105">
        <v>12</v>
      </c>
      <c r="AG77" s="105">
        <v>8280</v>
      </c>
      <c r="AH77" s="105">
        <v>10</v>
      </c>
      <c r="AI77" s="105">
        <v>6900</v>
      </c>
      <c r="AJ77" s="105">
        <v>8</v>
      </c>
      <c r="AK77" s="105">
        <v>5520</v>
      </c>
      <c r="AL77" s="105">
        <v>8</v>
      </c>
      <c r="AM77" s="105">
        <v>5520</v>
      </c>
      <c r="AN77" s="105">
        <v>11</v>
      </c>
      <c r="AO77" s="105">
        <v>7590</v>
      </c>
      <c r="AP77" s="105">
        <v>8</v>
      </c>
      <c r="AQ77" s="105">
        <v>5520</v>
      </c>
      <c r="AR77" s="105">
        <v>9</v>
      </c>
      <c r="AS77" s="105">
        <v>6210</v>
      </c>
      <c r="AT77" s="105">
        <v>6</v>
      </c>
      <c r="AU77" s="105">
        <v>4140</v>
      </c>
      <c r="AV77" s="105">
        <v>9</v>
      </c>
      <c r="AW77" s="105">
        <v>6210</v>
      </c>
      <c r="AX77" s="105">
        <v>8</v>
      </c>
      <c r="AY77" s="105">
        <v>5520</v>
      </c>
      <c r="AZ77" s="105">
        <v>11</v>
      </c>
      <c r="BA77" s="105">
        <v>7590</v>
      </c>
      <c r="BB77" s="105">
        <v>9.2931129551493825</v>
      </c>
      <c r="BC77" s="105">
        <v>6412.2479390530743</v>
      </c>
      <c r="BD77" s="105">
        <v>9.2018779342723001</v>
      </c>
      <c r="BE77" s="105">
        <v>6349.2957746478869</v>
      </c>
      <c r="BF77" s="105">
        <v>9.4457831325301207</v>
      </c>
      <c r="BG77" s="105">
        <v>6517.5903614457829</v>
      </c>
      <c r="BH77" s="105">
        <v>8.1835051546391764</v>
      </c>
      <c r="BI77" s="105">
        <v>5646.6185567010316</v>
      </c>
      <c r="BJ77" s="105">
        <v>7</v>
      </c>
      <c r="BK77" s="105">
        <v>4830</v>
      </c>
      <c r="BL77" s="105">
        <v>7</v>
      </c>
      <c r="BM77" s="105">
        <v>4830</v>
      </c>
      <c r="BN77" s="105">
        <v>10.549794238683129</v>
      </c>
      <c r="BO77" s="105">
        <v>7279.3580246913589</v>
      </c>
      <c r="BP77" s="105">
        <v>10.43225806451613</v>
      </c>
      <c r="BQ77" s="105">
        <v>7198.2580645161297</v>
      </c>
      <c r="BR77" s="105">
        <v>8</v>
      </c>
      <c r="BS77" s="105">
        <v>5520</v>
      </c>
      <c r="BT77" s="105">
        <v>10</v>
      </c>
      <c r="BU77" s="105">
        <v>6900</v>
      </c>
      <c r="BV77" s="105">
        <v>10</v>
      </c>
      <c r="BW77" s="105">
        <v>6900</v>
      </c>
      <c r="BX77" s="105">
        <v>9</v>
      </c>
      <c r="BY77" s="105">
        <v>6210</v>
      </c>
      <c r="BZ77" s="105">
        <v>9.6911392405063328</v>
      </c>
      <c r="CA77" s="105">
        <v>6686.88607594937</v>
      </c>
      <c r="CB77" s="105">
        <v>7</v>
      </c>
      <c r="CC77" s="105">
        <v>4830</v>
      </c>
      <c r="CD77" s="105">
        <v>8</v>
      </c>
      <c r="CE77" s="105">
        <v>5520</v>
      </c>
      <c r="CF77" s="105">
        <v>10.716265384901869</v>
      </c>
      <c r="CG77" s="105">
        <v>7394.2231155822892</v>
      </c>
      <c r="CH77" s="105">
        <v>8.7326732673267315</v>
      </c>
      <c r="CI77" s="105">
        <v>6025.544554455445</v>
      </c>
      <c r="CJ77" s="105">
        <v>9.8000000000000007</v>
      </c>
      <c r="CK77" s="105">
        <v>6762.0000000000009</v>
      </c>
      <c r="CL77" s="105">
        <v>9.4838709677419359</v>
      </c>
      <c r="CM77" s="105">
        <v>6543.8709677419356</v>
      </c>
      <c r="CN77" s="105">
        <v>9.935483870967742</v>
      </c>
      <c r="CO77" s="105">
        <v>6855.4838709677424</v>
      </c>
      <c r="CP77" s="105">
        <v>10.151394422310757</v>
      </c>
      <c r="CQ77" s="105">
        <v>7004.4621513944221</v>
      </c>
      <c r="CR77" s="105">
        <v>8</v>
      </c>
      <c r="CS77" s="105">
        <v>5520</v>
      </c>
      <c r="CT77" s="105">
        <v>7</v>
      </c>
      <c r="CU77" s="105">
        <v>4830</v>
      </c>
    </row>
    <row r="78" spans="2:99" x14ac:dyDescent="0.2">
      <c r="C78" s="104" t="s">
        <v>244</v>
      </c>
      <c r="D78" s="105">
        <v>9</v>
      </c>
      <c r="E78" s="105">
        <v>1166.3999999999999</v>
      </c>
      <c r="F78" s="105">
        <v>9.473684210526315</v>
      </c>
      <c r="G78" s="105">
        <v>1227.7894736842104</v>
      </c>
      <c r="H78" s="105">
        <v>9.8000000000000007</v>
      </c>
      <c r="I78" s="105">
        <v>1270.08</v>
      </c>
      <c r="J78" s="105">
        <v>8.8288288288288292</v>
      </c>
      <c r="K78" s="105">
        <v>1144.2162162162163</v>
      </c>
      <c r="L78" s="105">
        <v>9.3333333333333321</v>
      </c>
      <c r="M78" s="105">
        <v>1209.5999999999997</v>
      </c>
      <c r="N78" s="105">
        <v>9</v>
      </c>
      <c r="O78" s="105">
        <v>1166.3999999999999</v>
      </c>
      <c r="P78" s="105">
        <v>11.135593220338984</v>
      </c>
      <c r="Q78" s="105">
        <v>1443.1728813559323</v>
      </c>
      <c r="R78" s="105">
        <v>8.9833333333333325</v>
      </c>
      <c r="S78" s="105">
        <v>1164.2399999999998</v>
      </c>
      <c r="T78" s="105">
        <v>10.634977578475336</v>
      </c>
      <c r="U78" s="105">
        <v>1378.2930941704035</v>
      </c>
      <c r="V78" s="105">
        <v>9</v>
      </c>
      <c r="W78" s="105">
        <v>1166.3999999999999</v>
      </c>
      <c r="X78" s="105">
        <v>11</v>
      </c>
      <c r="Y78" s="105">
        <v>1425.6</v>
      </c>
      <c r="Z78" s="105">
        <v>8</v>
      </c>
      <c r="AA78" s="105">
        <v>1036.8</v>
      </c>
      <c r="AB78" s="105">
        <v>11</v>
      </c>
      <c r="AC78" s="105">
        <v>1425.6</v>
      </c>
      <c r="AD78" s="105">
        <v>7</v>
      </c>
      <c r="AE78" s="105">
        <v>907.19999999999993</v>
      </c>
      <c r="AF78" s="105">
        <v>12</v>
      </c>
      <c r="AG78" s="105">
        <v>1555.1999999999998</v>
      </c>
      <c r="AH78" s="105">
        <v>9</v>
      </c>
      <c r="AI78" s="105">
        <v>1166.3999999999999</v>
      </c>
      <c r="AJ78" s="105">
        <v>7</v>
      </c>
      <c r="AK78" s="105">
        <v>907.19999999999993</v>
      </c>
      <c r="AL78" s="105">
        <v>9</v>
      </c>
      <c r="AM78" s="105">
        <v>1166.3999999999999</v>
      </c>
      <c r="AN78" s="105">
        <v>12</v>
      </c>
      <c r="AO78" s="105">
        <v>1555.1999999999998</v>
      </c>
      <c r="AP78" s="105">
        <v>8</v>
      </c>
      <c r="AQ78" s="105">
        <v>1036.8</v>
      </c>
      <c r="AR78" s="105">
        <v>10</v>
      </c>
      <c r="AS78" s="105">
        <v>1296</v>
      </c>
      <c r="AT78" s="105">
        <v>6</v>
      </c>
      <c r="AU78" s="105">
        <v>777.59999999999991</v>
      </c>
      <c r="AV78" s="105">
        <v>8</v>
      </c>
      <c r="AW78" s="105">
        <v>1036.8</v>
      </c>
      <c r="AX78" s="105">
        <v>9</v>
      </c>
      <c r="AY78" s="105">
        <v>1166.3999999999999</v>
      </c>
      <c r="AZ78" s="105">
        <v>10</v>
      </c>
      <c r="BA78" s="105">
        <v>1296</v>
      </c>
      <c r="BB78" s="105">
        <v>9.2931129551493825</v>
      </c>
      <c r="BC78" s="105">
        <v>1204.3874389873599</v>
      </c>
      <c r="BD78" s="105">
        <v>11.04225352112676</v>
      </c>
      <c r="BE78" s="105">
        <v>1431.0760563380281</v>
      </c>
      <c r="BF78" s="105">
        <v>11.020080321285141</v>
      </c>
      <c r="BG78" s="105">
        <v>1428.2024096385542</v>
      </c>
      <c r="BH78" s="105">
        <v>9.0927835051546388</v>
      </c>
      <c r="BI78" s="105">
        <v>1178.4247422680412</v>
      </c>
      <c r="BJ78" s="105">
        <v>6</v>
      </c>
      <c r="BK78" s="105">
        <v>777.59999999999991</v>
      </c>
      <c r="BL78" s="105">
        <v>8</v>
      </c>
      <c r="BM78" s="105">
        <v>1036.8</v>
      </c>
      <c r="BN78" s="105">
        <v>9.7382716049382712</v>
      </c>
      <c r="BO78" s="105">
        <v>1262.08</v>
      </c>
      <c r="BP78" s="105">
        <v>10.43225806451613</v>
      </c>
      <c r="BQ78" s="105">
        <v>1352.0206451612905</v>
      </c>
      <c r="BR78" s="105">
        <v>9</v>
      </c>
      <c r="BS78" s="105">
        <v>1166.3999999999999</v>
      </c>
      <c r="BT78" s="105">
        <v>10</v>
      </c>
      <c r="BU78" s="105">
        <v>1296</v>
      </c>
      <c r="BV78" s="105">
        <v>10</v>
      </c>
      <c r="BW78" s="105">
        <v>1296</v>
      </c>
      <c r="BX78" s="105">
        <v>10</v>
      </c>
      <c r="BY78" s="105">
        <v>1296</v>
      </c>
      <c r="BZ78" s="105">
        <v>8.8101265822784836</v>
      </c>
      <c r="CA78" s="105">
        <v>1141.7924050632914</v>
      </c>
      <c r="CB78" s="105">
        <v>8</v>
      </c>
      <c r="CC78" s="105">
        <v>1036.8</v>
      </c>
      <c r="CD78" s="105">
        <v>9</v>
      </c>
      <c r="CE78" s="105">
        <v>1166.3999999999999</v>
      </c>
      <c r="CF78" s="105">
        <v>12.664677273065847</v>
      </c>
      <c r="CG78" s="105">
        <v>1641.3421745893336</v>
      </c>
      <c r="CH78" s="105">
        <v>9.7029702970297027</v>
      </c>
      <c r="CI78" s="105">
        <v>1257.5049504950493</v>
      </c>
      <c r="CJ78" s="105">
        <v>10.616666666666667</v>
      </c>
      <c r="CK78" s="105">
        <v>1375.92</v>
      </c>
      <c r="CL78" s="105">
        <v>8.693548387096774</v>
      </c>
      <c r="CM78" s="105">
        <v>1126.6838709677418</v>
      </c>
      <c r="CN78" s="105">
        <v>9.935483870967742</v>
      </c>
      <c r="CO78" s="105">
        <v>1287.6387096774192</v>
      </c>
      <c r="CP78" s="105">
        <v>10.151394422310757</v>
      </c>
      <c r="CQ78" s="105">
        <v>1315.6207171314741</v>
      </c>
      <c r="CR78" s="105">
        <v>10</v>
      </c>
      <c r="CS78" s="105">
        <v>1296</v>
      </c>
      <c r="CT78" s="105">
        <v>8</v>
      </c>
      <c r="CU78" s="105">
        <v>1036.8</v>
      </c>
    </row>
    <row r="79" spans="2:99" x14ac:dyDescent="0.2">
      <c r="C79" s="104" t="s">
        <v>245</v>
      </c>
      <c r="D79" s="105">
        <v>9</v>
      </c>
      <c r="E79" s="105">
        <v>4320</v>
      </c>
      <c r="F79" s="105">
        <v>9.473684210526315</v>
      </c>
      <c r="G79" s="105">
        <v>4547.3684210526317</v>
      </c>
      <c r="H79" s="105">
        <v>9.8000000000000007</v>
      </c>
      <c r="I79" s="105">
        <v>4704</v>
      </c>
      <c r="J79" s="105">
        <v>8.8288288288288292</v>
      </c>
      <c r="K79" s="105">
        <v>4237.8378378378384</v>
      </c>
      <c r="L79" s="105">
        <v>8.4</v>
      </c>
      <c r="M79" s="105">
        <v>4032</v>
      </c>
      <c r="N79" s="105">
        <v>9</v>
      </c>
      <c r="O79" s="105">
        <v>4320</v>
      </c>
      <c r="P79" s="105">
        <v>9.2796610169491522</v>
      </c>
      <c r="Q79" s="105">
        <v>4454.2372881355932</v>
      </c>
      <c r="R79" s="105">
        <v>8.9833333333333325</v>
      </c>
      <c r="S79" s="105">
        <v>4312</v>
      </c>
      <c r="T79" s="105">
        <v>9.6681614349775788</v>
      </c>
      <c r="U79" s="105">
        <v>4640.7174887892379</v>
      </c>
      <c r="V79" s="105">
        <v>8</v>
      </c>
      <c r="W79" s="105">
        <v>3840</v>
      </c>
      <c r="X79" s="105">
        <v>10</v>
      </c>
      <c r="Y79" s="105">
        <v>4800</v>
      </c>
      <c r="Z79" s="105">
        <v>7</v>
      </c>
      <c r="AA79" s="105">
        <v>3360</v>
      </c>
      <c r="AB79" s="105">
        <v>12</v>
      </c>
      <c r="AC79" s="105">
        <v>5760</v>
      </c>
      <c r="AD79" s="105">
        <v>6</v>
      </c>
      <c r="AE79" s="105">
        <v>2880</v>
      </c>
      <c r="AF79" s="105">
        <v>12</v>
      </c>
      <c r="AG79" s="105">
        <v>5760</v>
      </c>
      <c r="AH79" s="105">
        <v>10</v>
      </c>
      <c r="AI79" s="105">
        <v>4800</v>
      </c>
      <c r="AJ79" s="105">
        <v>8</v>
      </c>
      <c r="AK79" s="105">
        <v>3840</v>
      </c>
      <c r="AL79" s="105">
        <v>8</v>
      </c>
      <c r="AM79" s="105">
        <v>3840</v>
      </c>
      <c r="AN79" s="105">
        <v>12</v>
      </c>
      <c r="AO79" s="105">
        <v>5760</v>
      </c>
      <c r="AP79" s="105">
        <v>7</v>
      </c>
      <c r="AQ79" s="105">
        <v>3360</v>
      </c>
      <c r="AR79" s="105">
        <v>11</v>
      </c>
      <c r="AS79" s="105">
        <v>5280</v>
      </c>
      <c r="AT79" s="105">
        <v>6</v>
      </c>
      <c r="AU79" s="105">
        <v>2880</v>
      </c>
      <c r="AV79" s="105">
        <v>8</v>
      </c>
      <c r="AW79" s="105">
        <v>3840</v>
      </c>
      <c r="AX79" s="105">
        <v>9</v>
      </c>
      <c r="AY79" s="105">
        <v>4320</v>
      </c>
      <c r="AZ79" s="105">
        <v>11</v>
      </c>
      <c r="BA79" s="105">
        <v>5280</v>
      </c>
      <c r="BB79" s="105">
        <v>9.2931129551493825</v>
      </c>
      <c r="BC79" s="105">
        <v>4460.6942184717036</v>
      </c>
      <c r="BD79" s="105">
        <v>10.122065727699532</v>
      </c>
      <c r="BE79" s="105">
        <v>4858.5915492957756</v>
      </c>
      <c r="BF79" s="105">
        <v>9.4457831325301207</v>
      </c>
      <c r="BG79" s="105">
        <v>4533.9759036144578</v>
      </c>
      <c r="BH79" s="105">
        <v>7.2742268041237113</v>
      </c>
      <c r="BI79" s="105">
        <v>3491.6288659793813</v>
      </c>
      <c r="BJ79" s="105">
        <v>6</v>
      </c>
      <c r="BK79" s="105">
        <v>2880</v>
      </c>
      <c r="BL79" s="105">
        <v>8</v>
      </c>
      <c r="BM79" s="105">
        <v>3840</v>
      </c>
      <c r="BN79" s="105">
        <v>10.549794238683129</v>
      </c>
      <c r="BO79" s="105">
        <v>5063.9012345679021</v>
      </c>
      <c r="BP79" s="105">
        <v>11.301612903225807</v>
      </c>
      <c r="BQ79" s="105">
        <v>5424.7741935483873</v>
      </c>
      <c r="BR79" s="105">
        <v>8</v>
      </c>
      <c r="BS79" s="105">
        <v>3840</v>
      </c>
      <c r="BT79" s="105">
        <v>10</v>
      </c>
      <c r="BU79" s="105">
        <v>4800</v>
      </c>
      <c r="BV79" s="105">
        <v>11</v>
      </c>
      <c r="BW79" s="105">
        <v>5280</v>
      </c>
      <c r="BX79" s="105">
        <v>8</v>
      </c>
      <c r="BY79" s="105">
        <v>3840</v>
      </c>
      <c r="BZ79" s="105">
        <v>8.8101265822784836</v>
      </c>
      <c r="CA79" s="105">
        <v>4228.860759493672</v>
      </c>
      <c r="CB79" s="105">
        <v>7</v>
      </c>
      <c r="CC79" s="105">
        <v>3360</v>
      </c>
      <c r="CD79" s="105">
        <v>8</v>
      </c>
      <c r="CE79" s="105">
        <v>3840</v>
      </c>
      <c r="CF79" s="105">
        <v>9.7420594408198813</v>
      </c>
      <c r="CG79" s="105">
        <v>4676.1885315935433</v>
      </c>
      <c r="CH79" s="105">
        <v>8.7326732673267315</v>
      </c>
      <c r="CI79" s="105">
        <v>4191.6831683168311</v>
      </c>
      <c r="CJ79" s="105">
        <v>9.8000000000000007</v>
      </c>
      <c r="CK79" s="105">
        <v>4704</v>
      </c>
      <c r="CL79" s="105">
        <v>9.4838709677419359</v>
      </c>
      <c r="CM79" s="105">
        <v>4552.2580645161288</v>
      </c>
      <c r="CN79" s="105">
        <v>9.0322580645161299</v>
      </c>
      <c r="CO79" s="105">
        <v>4335.4838709677424</v>
      </c>
      <c r="CP79" s="105">
        <v>8.5896414342629495</v>
      </c>
      <c r="CQ79" s="105">
        <v>4123.0278884462159</v>
      </c>
      <c r="CR79" s="105">
        <v>9</v>
      </c>
      <c r="CS79" s="105">
        <v>4320</v>
      </c>
      <c r="CT79" s="105">
        <v>7</v>
      </c>
      <c r="CU79" s="105">
        <v>3360</v>
      </c>
    </row>
    <row r="80" spans="2:99" x14ac:dyDescent="0.2">
      <c r="C80" s="104" t="s">
        <v>246</v>
      </c>
      <c r="D80" s="105">
        <v>7</v>
      </c>
      <c r="E80" s="105">
        <v>5334</v>
      </c>
      <c r="F80" s="105">
        <v>8.526315789473685</v>
      </c>
      <c r="G80" s="105">
        <v>6497.0526315789475</v>
      </c>
      <c r="H80" s="105">
        <v>7.84</v>
      </c>
      <c r="I80" s="105">
        <v>5974.08</v>
      </c>
      <c r="J80" s="105">
        <v>7.9459459459459465</v>
      </c>
      <c r="K80" s="105">
        <v>6054.8108108108108</v>
      </c>
      <c r="L80" s="105">
        <v>10.266666666666667</v>
      </c>
      <c r="M80" s="105">
        <v>7823.2000000000007</v>
      </c>
      <c r="N80" s="105">
        <v>8</v>
      </c>
      <c r="O80" s="105">
        <v>6096</v>
      </c>
      <c r="P80" s="105">
        <v>8.351694915254237</v>
      </c>
      <c r="Q80" s="105">
        <v>6363.9915254237285</v>
      </c>
      <c r="R80" s="105">
        <v>8.9833333333333325</v>
      </c>
      <c r="S80" s="105">
        <v>6845.2999999999993</v>
      </c>
      <c r="T80" s="105">
        <v>9.6681614349775788</v>
      </c>
      <c r="U80" s="105">
        <v>7367.1390134529147</v>
      </c>
      <c r="V80" s="105">
        <v>8</v>
      </c>
      <c r="W80" s="105">
        <v>6096</v>
      </c>
      <c r="X80" s="105">
        <v>11</v>
      </c>
      <c r="Y80" s="105">
        <v>8382</v>
      </c>
      <c r="Z80" s="105">
        <v>6</v>
      </c>
      <c r="AA80" s="105">
        <v>4572</v>
      </c>
      <c r="AB80" s="105">
        <v>11</v>
      </c>
      <c r="AC80" s="105">
        <v>8382</v>
      </c>
      <c r="AD80" s="105">
        <v>7</v>
      </c>
      <c r="AE80" s="105">
        <v>5334</v>
      </c>
      <c r="AF80" s="105">
        <v>11</v>
      </c>
      <c r="AG80" s="105">
        <v>8382</v>
      </c>
      <c r="AH80" s="105">
        <v>10</v>
      </c>
      <c r="AI80" s="105">
        <v>7620</v>
      </c>
      <c r="AJ80" s="105">
        <v>7</v>
      </c>
      <c r="AK80" s="105">
        <v>5334</v>
      </c>
      <c r="AL80" s="105">
        <v>9</v>
      </c>
      <c r="AM80" s="105">
        <v>6858</v>
      </c>
      <c r="AN80" s="105">
        <v>12</v>
      </c>
      <c r="AO80" s="105">
        <v>9144</v>
      </c>
      <c r="AP80" s="105">
        <v>8</v>
      </c>
      <c r="AQ80" s="105">
        <v>6096</v>
      </c>
      <c r="AR80" s="105">
        <v>10</v>
      </c>
      <c r="AS80" s="105">
        <v>7620</v>
      </c>
      <c r="AT80" s="105">
        <v>6</v>
      </c>
      <c r="AU80" s="105">
        <v>4572</v>
      </c>
      <c r="AV80" s="105">
        <v>8</v>
      </c>
      <c r="AW80" s="105">
        <v>6096</v>
      </c>
      <c r="AX80" s="105">
        <v>9</v>
      </c>
      <c r="AY80" s="105">
        <v>6858</v>
      </c>
      <c r="AZ80" s="105">
        <v>11</v>
      </c>
      <c r="BA80" s="105">
        <v>8382</v>
      </c>
      <c r="BB80" s="105">
        <v>8.3638016596344453</v>
      </c>
      <c r="BC80" s="105">
        <v>6373.2168646414475</v>
      </c>
      <c r="BD80" s="105">
        <v>9.2018779342723001</v>
      </c>
      <c r="BE80" s="105">
        <v>7011.8309859154924</v>
      </c>
      <c r="BF80" s="105">
        <v>8.6586345381526115</v>
      </c>
      <c r="BG80" s="105">
        <v>6597.87951807229</v>
      </c>
      <c r="BH80" s="105">
        <v>9.0927835051546388</v>
      </c>
      <c r="BI80" s="105">
        <v>6928.7010309278348</v>
      </c>
      <c r="BJ80" s="105">
        <v>7</v>
      </c>
      <c r="BK80" s="105">
        <v>5334</v>
      </c>
      <c r="BL80" s="105">
        <v>8</v>
      </c>
      <c r="BM80" s="105">
        <v>6096</v>
      </c>
      <c r="BN80" s="105">
        <v>8.9267489711934171</v>
      </c>
      <c r="BO80" s="105">
        <v>6802.182716049384</v>
      </c>
      <c r="BP80" s="105">
        <v>10.43225806451613</v>
      </c>
      <c r="BQ80" s="105">
        <v>7949.3806451612909</v>
      </c>
      <c r="BR80" s="105">
        <v>9</v>
      </c>
      <c r="BS80" s="105">
        <v>6858</v>
      </c>
      <c r="BT80" s="105">
        <v>10</v>
      </c>
      <c r="BU80" s="105">
        <v>7620</v>
      </c>
      <c r="BV80" s="105">
        <v>10</v>
      </c>
      <c r="BW80" s="105">
        <v>7620</v>
      </c>
      <c r="BX80" s="105">
        <v>8</v>
      </c>
      <c r="BY80" s="105">
        <v>6096</v>
      </c>
      <c r="BZ80" s="105">
        <v>8.8101265822784836</v>
      </c>
      <c r="CA80" s="105">
        <v>6713.3164556962047</v>
      </c>
      <c r="CB80" s="105">
        <v>7</v>
      </c>
      <c r="CC80" s="105">
        <v>5334</v>
      </c>
      <c r="CD80" s="105">
        <v>7</v>
      </c>
      <c r="CE80" s="105">
        <v>5334</v>
      </c>
      <c r="CF80" s="105">
        <v>9.7420594408198813</v>
      </c>
      <c r="CG80" s="105">
        <v>7423.4492939047495</v>
      </c>
      <c r="CH80" s="105">
        <v>8.7326732673267315</v>
      </c>
      <c r="CI80" s="105">
        <v>6654.2970297029697</v>
      </c>
      <c r="CJ80" s="105">
        <v>9.8000000000000007</v>
      </c>
      <c r="CK80" s="105">
        <v>7467.6</v>
      </c>
      <c r="CL80" s="105">
        <v>9.4838709677419359</v>
      </c>
      <c r="CM80" s="105">
        <v>7226.7096774193551</v>
      </c>
      <c r="CN80" s="105">
        <v>9.935483870967742</v>
      </c>
      <c r="CO80" s="105">
        <v>7570.8387096774195</v>
      </c>
      <c r="CP80" s="105">
        <v>8.5896414342629495</v>
      </c>
      <c r="CQ80" s="105">
        <v>6545.3067729083677</v>
      </c>
      <c r="CR80" s="105">
        <v>9</v>
      </c>
      <c r="CS80" s="105">
        <v>6858</v>
      </c>
      <c r="CT80" s="105">
        <v>7</v>
      </c>
      <c r="CU80" s="105">
        <v>5334</v>
      </c>
    </row>
    <row r="81" spans="2:99" x14ac:dyDescent="0.2">
      <c r="C81" s="104" t="s">
        <v>247</v>
      </c>
      <c r="D81" s="105">
        <v>8</v>
      </c>
      <c r="E81" s="105">
        <v>4992</v>
      </c>
      <c r="F81" s="105">
        <v>7.5789473684210522</v>
      </c>
      <c r="G81" s="105">
        <v>4729.2631578947367</v>
      </c>
      <c r="H81" s="105">
        <v>8.82</v>
      </c>
      <c r="I81" s="105">
        <v>5503.68</v>
      </c>
      <c r="J81" s="105">
        <v>7.9459459459459465</v>
      </c>
      <c r="K81" s="105">
        <v>4958.2702702702709</v>
      </c>
      <c r="L81" s="105">
        <v>8.4</v>
      </c>
      <c r="M81" s="105">
        <v>5241.6000000000004</v>
      </c>
      <c r="N81" s="105">
        <v>8</v>
      </c>
      <c r="O81" s="105">
        <v>4992</v>
      </c>
      <c r="P81" s="105">
        <v>9.2796610169491522</v>
      </c>
      <c r="Q81" s="105">
        <v>5790.5084745762706</v>
      </c>
      <c r="R81" s="105">
        <v>8.9833333333333325</v>
      </c>
      <c r="S81" s="105">
        <v>5605.5999999999995</v>
      </c>
      <c r="T81" s="105">
        <v>10.634977578475336</v>
      </c>
      <c r="U81" s="105">
        <v>6636.2260089686097</v>
      </c>
      <c r="V81" s="105">
        <v>9</v>
      </c>
      <c r="W81" s="105">
        <v>5616</v>
      </c>
      <c r="X81" s="105">
        <v>11</v>
      </c>
      <c r="Y81" s="105">
        <v>6864</v>
      </c>
      <c r="Z81" s="105">
        <v>7</v>
      </c>
      <c r="AA81" s="105">
        <v>4368</v>
      </c>
      <c r="AB81" s="105">
        <v>12</v>
      </c>
      <c r="AC81" s="105">
        <v>7488</v>
      </c>
      <c r="AD81" s="105">
        <v>6</v>
      </c>
      <c r="AE81" s="105">
        <v>3744</v>
      </c>
      <c r="AF81" s="105">
        <v>11</v>
      </c>
      <c r="AG81" s="105">
        <v>6864</v>
      </c>
      <c r="AH81" s="105">
        <v>10</v>
      </c>
      <c r="AI81" s="105">
        <v>6240</v>
      </c>
      <c r="AJ81" s="105">
        <v>7</v>
      </c>
      <c r="AK81" s="105">
        <v>4368</v>
      </c>
      <c r="AL81" s="105">
        <v>8</v>
      </c>
      <c r="AM81" s="105">
        <v>4992</v>
      </c>
      <c r="AN81" s="105">
        <v>11</v>
      </c>
      <c r="AO81" s="105">
        <v>6864</v>
      </c>
      <c r="AP81" s="105">
        <v>7</v>
      </c>
      <c r="AQ81" s="105">
        <v>4368</v>
      </c>
      <c r="AR81" s="105">
        <v>9</v>
      </c>
      <c r="AS81" s="105">
        <v>5616</v>
      </c>
      <c r="AT81" s="105">
        <v>7</v>
      </c>
      <c r="AU81" s="105">
        <v>4368</v>
      </c>
      <c r="AV81" s="105">
        <v>7</v>
      </c>
      <c r="AW81" s="105">
        <v>4368</v>
      </c>
      <c r="AX81" s="105">
        <v>9</v>
      </c>
      <c r="AY81" s="105">
        <v>5616</v>
      </c>
      <c r="AZ81" s="105">
        <v>11</v>
      </c>
      <c r="BA81" s="105">
        <v>6864</v>
      </c>
      <c r="BB81" s="105">
        <v>8.3638016596344453</v>
      </c>
      <c r="BC81" s="105">
        <v>5219.0122356118936</v>
      </c>
      <c r="BD81" s="105">
        <v>9.2018779342723001</v>
      </c>
      <c r="BE81" s="105">
        <v>5741.9718309859154</v>
      </c>
      <c r="BF81" s="105">
        <v>8.6586345381526115</v>
      </c>
      <c r="BG81" s="105">
        <v>5402.9879518072294</v>
      </c>
      <c r="BH81" s="105">
        <v>7.2742268041237113</v>
      </c>
      <c r="BI81" s="105">
        <v>4539.1175257731957</v>
      </c>
      <c r="BJ81" s="105">
        <v>7</v>
      </c>
      <c r="BK81" s="105">
        <v>4368</v>
      </c>
      <c r="BL81" s="105">
        <v>8</v>
      </c>
      <c r="BM81" s="105">
        <v>4992</v>
      </c>
      <c r="BN81" s="105">
        <v>9.7382716049382712</v>
      </c>
      <c r="BO81" s="105">
        <v>6076.6814814814816</v>
      </c>
      <c r="BP81" s="105">
        <v>11.301612903225807</v>
      </c>
      <c r="BQ81" s="105">
        <v>7052.2064516129039</v>
      </c>
      <c r="BR81" s="105">
        <v>8</v>
      </c>
      <c r="BS81" s="105">
        <v>4992</v>
      </c>
      <c r="BT81" s="105">
        <v>11</v>
      </c>
      <c r="BU81" s="105">
        <v>6864</v>
      </c>
      <c r="BV81" s="105">
        <v>10</v>
      </c>
      <c r="BW81" s="105">
        <v>6240</v>
      </c>
      <c r="BX81" s="105">
        <v>8</v>
      </c>
      <c r="BY81" s="105">
        <v>4992</v>
      </c>
      <c r="BZ81" s="105">
        <v>8.8101265822784836</v>
      </c>
      <c r="CA81" s="105">
        <v>5497.5189873417739</v>
      </c>
      <c r="CB81" s="105">
        <v>7</v>
      </c>
      <c r="CC81" s="105">
        <v>4368</v>
      </c>
      <c r="CD81" s="105">
        <v>8</v>
      </c>
      <c r="CE81" s="105">
        <v>4992</v>
      </c>
      <c r="CF81" s="105">
        <v>10.716265384901869</v>
      </c>
      <c r="CG81" s="105">
        <v>6686.9496001787656</v>
      </c>
      <c r="CH81" s="105">
        <v>7.7623762376237622</v>
      </c>
      <c r="CI81" s="105">
        <v>4843.7227722772277</v>
      </c>
      <c r="CJ81" s="105">
        <v>10.616666666666667</v>
      </c>
      <c r="CK81" s="105">
        <v>6624.8</v>
      </c>
      <c r="CL81" s="105">
        <v>9.4838709677419359</v>
      </c>
      <c r="CM81" s="105">
        <v>5917.9354838709678</v>
      </c>
      <c r="CN81" s="105">
        <v>9.935483870967742</v>
      </c>
      <c r="CO81" s="105">
        <v>6199.7419354838712</v>
      </c>
      <c r="CP81" s="105">
        <v>8.5896414342629495</v>
      </c>
      <c r="CQ81" s="105">
        <v>5359.9362549800808</v>
      </c>
      <c r="CR81" s="105">
        <v>8</v>
      </c>
      <c r="CS81" s="105">
        <v>4992</v>
      </c>
      <c r="CT81" s="105">
        <v>7</v>
      </c>
      <c r="CU81" s="105">
        <v>4368</v>
      </c>
    </row>
    <row r="82" spans="2:99" x14ac:dyDescent="0.2">
      <c r="C82" s="104" t="s">
        <v>248</v>
      </c>
      <c r="D82" s="105">
        <v>8</v>
      </c>
      <c r="E82" s="105">
        <v>2860.7999999999997</v>
      </c>
      <c r="F82" s="105">
        <v>8.526315789473685</v>
      </c>
      <c r="G82" s="105">
        <v>3049.0105263157893</v>
      </c>
      <c r="H82" s="105">
        <v>8.82</v>
      </c>
      <c r="I82" s="105">
        <v>3154.0319999999997</v>
      </c>
      <c r="J82" s="105">
        <v>7.9459459459459465</v>
      </c>
      <c r="K82" s="105">
        <v>2841.4702702702702</v>
      </c>
      <c r="L82" s="105">
        <v>9.3333333333333321</v>
      </c>
      <c r="M82" s="105">
        <v>3337.5999999999995</v>
      </c>
      <c r="N82" s="105">
        <v>9</v>
      </c>
      <c r="O82" s="105">
        <v>3218.3999999999996</v>
      </c>
      <c r="P82" s="105">
        <v>10.207627118644067</v>
      </c>
      <c r="Q82" s="105">
        <v>3650.2474576271184</v>
      </c>
      <c r="R82" s="105">
        <v>8.1666666666666661</v>
      </c>
      <c r="S82" s="105">
        <v>2920.3999999999996</v>
      </c>
      <c r="T82" s="105">
        <v>9.6681614349775788</v>
      </c>
      <c r="U82" s="105">
        <v>3457.3345291479818</v>
      </c>
      <c r="V82" s="105">
        <v>9</v>
      </c>
      <c r="W82" s="105">
        <v>3218.3999999999996</v>
      </c>
      <c r="X82" s="105">
        <v>10</v>
      </c>
      <c r="Y82" s="105">
        <v>3575.9999999999995</v>
      </c>
      <c r="Z82" s="105">
        <v>6</v>
      </c>
      <c r="AA82" s="105">
        <v>2145.6</v>
      </c>
      <c r="AB82" s="105">
        <v>13</v>
      </c>
      <c r="AC82" s="105">
        <v>4648.7999999999993</v>
      </c>
      <c r="AD82" s="105">
        <v>6</v>
      </c>
      <c r="AE82" s="105">
        <v>2145.6</v>
      </c>
      <c r="AF82" s="105">
        <v>10</v>
      </c>
      <c r="AG82" s="105">
        <v>3575.9999999999995</v>
      </c>
      <c r="AH82" s="105">
        <v>11</v>
      </c>
      <c r="AI82" s="105">
        <v>3933.5999999999995</v>
      </c>
      <c r="AJ82" s="105">
        <v>8</v>
      </c>
      <c r="AK82" s="105">
        <v>2860.7999999999997</v>
      </c>
      <c r="AL82" s="105">
        <v>8</v>
      </c>
      <c r="AM82" s="105">
        <v>2860.7999999999997</v>
      </c>
      <c r="AN82" s="105">
        <v>11</v>
      </c>
      <c r="AO82" s="105">
        <v>3933.5999999999995</v>
      </c>
      <c r="AP82" s="105">
        <v>9</v>
      </c>
      <c r="AQ82" s="105">
        <v>3218.3999999999996</v>
      </c>
      <c r="AR82" s="105">
        <v>11</v>
      </c>
      <c r="AS82" s="105">
        <v>3933.5999999999995</v>
      </c>
      <c r="AT82" s="105">
        <v>7</v>
      </c>
      <c r="AU82" s="105">
        <v>2503.1999999999998</v>
      </c>
      <c r="AV82" s="105">
        <v>8</v>
      </c>
      <c r="AW82" s="105">
        <v>2860.7999999999997</v>
      </c>
      <c r="AX82" s="105">
        <v>8</v>
      </c>
      <c r="AY82" s="105">
        <v>2860.7999999999997</v>
      </c>
      <c r="AZ82" s="105">
        <v>11</v>
      </c>
      <c r="BA82" s="105">
        <v>3933.5999999999995</v>
      </c>
      <c r="BB82" s="105">
        <v>10.222424250664323</v>
      </c>
      <c r="BC82" s="105">
        <v>3655.5389120375617</v>
      </c>
      <c r="BD82" s="105">
        <v>10.122065727699532</v>
      </c>
      <c r="BE82" s="105">
        <v>3619.6507042253525</v>
      </c>
      <c r="BF82" s="105">
        <v>9.4457831325301207</v>
      </c>
      <c r="BG82" s="105">
        <v>3377.8120481927708</v>
      </c>
      <c r="BH82" s="105">
        <v>8.1835051546391764</v>
      </c>
      <c r="BI82" s="105">
        <v>2926.4214432989693</v>
      </c>
      <c r="BJ82" s="105">
        <v>6</v>
      </c>
      <c r="BK82" s="105">
        <v>2145.6</v>
      </c>
      <c r="BL82" s="105">
        <v>8</v>
      </c>
      <c r="BM82" s="105">
        <v>2860.7999999999997</v>
      </c>
      <c r="BN82" s="105">
        <v>9.7382716049382712</v>
      </c>
      <c r="BO82" s="105">
        <v>3482.4059259259257</v>
      </c>
      <c r="BP82" s="105">
        <v>11.301612903225807</v>
      </c>
      <c r="BQ82" s="105">
        <v>4041.4567741935484</v>
      </c>
      <c r="BR82" s="105">
        <v>9</v>
      </c>
      <c r="BS82" s="105">
        <v>3218.3999999999996</v>
      </c>
      <c r="BT82" s="105">
        <v>12</v>
      </c>
      <c r="BU82" s="105">
        <v>4291.2</v>
      </c>
      <c r="BV82" s="105">
        <v>10</v>
      </c>
      <c r="BW82" s="105">
        <v>3575.9999999999995</v>
      </c>
      <c r="BX82" s="105">
        <v>9</v>
      </c>
      <c r="BY82" s="105">
        <v>3218.3999999999996</v>
      </c>
      <c r="BZ82" s="105">
        <v>8.8101265822784836</v>
      </c>
      <c r="CA82" s="105">
        <v>3150.5012658227856</v>
      </c>
      <c r="CB82" s="105">
        <v>7</v>
      </c>
      <c r="CC82" s="105">
        <v>2503.1999999999998</v>
      </c>
      <c r="CD82" s="105">
        <v>9</v>
      </c>
      <c r="CE82" s="105">
        <v>3218.3999999999996</v>
      </c>
      <c r="CF82" s="105">
        <v>10.716265384901869</v>
      </c>
      <c r="CG82" s="105">
        <v>3832.1365016409077</v>
      </c>
      <c r="CH82" s="105">
        <v>9.7029702970297027</v>
      </c>
      <c r="CI82" s="105">
        <v>3469.7821782178212</v>
      </c>
      <c r="CJ82" s="105">
        <v>10.616666666666667</v>
      </c>
      <c r="CK82" s="105">
        <v>3796.52</v>
      </c>
      <c r="CL82" s="105">
        <v>8.693548387096774</v>
      </c>
      <c r="CM82" s="105">
        <v>3108.8129032258062</v>
      </c>
      <c r="CN82" s="105">
        <v>9.935483870967742</v>
      </c>
      <c r="CO82" s="105">
        <v>3552.9290322580641</v>
      </c>
      <c r="CP82" s="105">
        <v>10.932270916334661</v>
      </c>
      <c r="CQ82" s="105">
        <v>3909.3800796812743</v>
      </c>
      <c r="CR82" s="105">
        <v>10</v>
      </c>
      <c r="CS82" s="105">
        <v>3575.9999999999995</v>
      </c>
      <c r="CT82" s="105">
        <v>8</v>
      </c>
      <c r="CU82" s="105">
        <v>2860.7999999999997</v>
      </c>
    </row>
    <row r="83" spans="2:99" x14ac:dyDescent="0.2">
      <c r="C83" s="104" t="s">
        <v>249</v>
      </c>
      <c r="D83" s="105">
        <v>8</v>
      </c>
      <c r="E83" s="105">
        <v>4780.8</v>
      </c>
      <c r="F83" s="105">
        <v>9.473684210526315</v>
      </c>
      <c r="G83" s="105">
        <v>5661.4736842105258</v>
      </c>
      <c r="H83" s="105">
        <v>9.8000000000000007</v>
      </c>
      <c r="I83" s="105">
        <v>5856.4800000000005</v>
      </c>
      <c r="J83" s="105">
        <v>7.9459459459459465</v>
      </c>
      <c r="K83" s="105">
        <v>4748.4972972972982</v>
      </c>
      <c r="L83" s="105">
        <v>8.4</v>
      </c>
      <c r="M83" s="105">
        <v>5019.84</v>
      </c>
      <c r="N83" s="105">
        <v>9</v>
      </c>
      <c r="O83" s="105">
        <v>5378.4000000000005</v>
      </c>
      <c r="P83" s="105">
        <v>10.207627118644067</v>
      </c>
      <c r="Q83" s="105">
        <v>6100.077966101695</v>
      </c>
      <c r="R83" s="105">
        <v>8.9833333333333325</v>
      </c>
      <c r="S83" s="105">
        <v>5368.44</v>
      </c>
      <c r="T83" s="105">
        <v>8.7013452914798215</v>
      </c>
      <c r="U83" s="105">
        <v>5199.9239461883417</v>
      </c>
      <c r="V83" s="105">
        <v>8</v>
      </c>
      <c r="W83" s="105">
        <v>4780.8</v>
      </c>
      <c r="X83" s="105">
        <v>11</v>
      </c>
      <c r="Y83" s="105">
        <v>6573.6</v>
      </c>
      <c r="Z83" s="105">
        <v>7</v>
      </c>
      <c r="AA83" s="105">
        <v>4183.2</v>
      </c>
      <c r="AB83" s="105">
        <v>11</v>
      </c>
      <c r="AC83" s="105">
        <v>6573.6</v>
      </c>
      <c r="AD83" s="105">
        <v>6</v>
      </c>
      <c r="AE83" s="105">
        <v>3585.6000000000004</v>
      </c>
      <c r="AF83" s="105">
        <v>10</v>
      </c>
      <c r="AG83" s="105">
        <v>5976</v>
      </c>
      <c r="AH83" s="105">
        <v>9</v>
      </c>
      <c r="AI83" s="105">
        <v>5378.4000000000005</v>
      </c>
      <c r="AJ83" s="105">
        <v>7</v>
      </c>
      <c r="AK83" s="105">
        <v>4183.2</v>
      </c>
      <c r="AL83" s="105">
        <v>9</v>
      </c>
      <c r="AM83" s="105">
        <v>5378.4000000000005</v>
      </c>
      <c r="AN83" s="105">
        <v>11</v>
      </c>
      <c r="AO83" s="105">
        <v>6573.6</v>
      </c>
      <c r="AP83" s="105">
        <v>7</v>
      </c>
      <c r="AQ83" s="105">
        <v>4183.2</v>
      </c>
      <c r="AR83" s="105">
        <v>11</v>
      </c>
      <c r="AS83" s="105">
        <v>6573.6</v>
      </c>
      <c r="AT83" s="105">
        <v>7</v>
      </c>
      <c r="AU83" s="105">
        <v>4183.2</v>
      </c>
      <c r="AV83" s="105">
        <v>9</v>
      </c>
      <c r="AW83" s="105">
        <v>5378.4000000000005</v>
      </c>
      <c r="AX83" s="105">
        <v>8</v>
      </c>
      <c r="AY83" s="105">
        <v>4780.8</v>
      </c>
      <c r="AZ83" s="105">
        <v>10</v>
      </c>
      <c r="BA83" s="105">
        <v>5976</v>
      </c>
      <c r="BB83" s="105">
        <v>10.222424250664323</v>
      </c>
      <c r="BC83" s="105">
        <v>6108.9207321969998</v>
      </c>
      <c r="BD83" s="105">
        <v>10.122065727699532</v>
      </c>
      <c r="BE83" s="105">
        <v>6048.9464788732403</v>
      </c>
      <c r="BF83" s="105">
        <v>8.6586345381526115</v>
      </c>
      <c r="BG83" s="105">
        <v>5174.4000000000005</v>
      </c>
      <c r="BH83" s="105">
        <v>8.1835051546391764</v>
      </c>
      <c r="BI83" s="105">
        <v>4890.4626804123718</v>
      </c>
      <c r="BJ83" s="105">
        <v>6</v>
      </c>
      <c r="BK83" s="105">
        <v>3585.6000000000004</v>
      </c>
      <c r="BL83" s="105">
        <v>8</v>
      </c>
      <c r="BM83" s="105">
        <v>4780.8</v>
      </c>
      <c r="BN83" s="105">
        <v>9.7382716049382712</v>
      </c>
      <c r="BO83" s="105">
        <v>5819.5911111111109</v>
      </c>
      <c r="BP83" s="105">
        <v>10.43225806451613</v>
      </c>
      <c r="BQ83" s="105">
        <v>6234.3174193548393</v>
      </c>
      <c r="BR83" s="105">
        <v>8</v>
      </c>
      <c r="BS83" s="105">
        <v>4780.8</v>
      </c>
      <c r="BT83" s="105">
        <v>12</v>
      </c>
      <c r="BU83" s="105">
        <v>7171.2000000000007</v>
      </c>
      <c r="BV83" s="105">
        <v>10</v>
      </c>
      <c r="BW83" s="105">
        <v>5976</v>
      </c>
      <c r="BX83" s="105">
        <v>9</v>
      </c>
      <c r="BY83" s="105">
        <v>5378.4000000000005</v>
      </c>
      <c r="BZ83" s="105">
        <v>8.8101265822784836</v>
      </c>
      <c r="CA83" s="105">
        <v>5264.9316455696217</v>
      </c>
      <c r="CB83" s="105">
        <v>8</v>
      </c>
      <c r="CC83" s="105">
        <v>4780.8</v>
      </c>
      <c r="CD83" s="105">
        <v>7</v>
      </c>
      <c r="CE83" s="105">
        <v>4183.2</v>
      </c>
      <c r="CF83" s="105">
        <v>10.716265384901869</v>
      </c>
      <c r="CG83" s="105">
        <v>6404.040194017357</v>
      </c>
      <c r="CH83" s="105">
        <v>9.7029702970297027</v>
      </c>
      <c r="CI83" s="105">
        <v>5798.4950495049507</v>
      </c>
      <c r="CJ83" s="105">
        <v>8.9833333333333325</v>
      </c>
      <c r="CK83" s="105">
        <v>5368.44</v>
      </c>
      <c r="CL83" s="105">
        <v>10.274193548387098</v>
      </c>
      <c r="CM83" s="105">
        <v>6139.8580645161301</v>
      </c>
      <c r="CN83" s="105">
        <v>9.0322580645161299</v>
      </c>
      <c r="CO83" s="105">
        <v>5397.677419354839</v>
      </c>
      <c r="CP83" s="105">
        <v>9.3705179282868531</v>
      </c>
      <c r="CQ83" s="105">
        <v>5599.8215139442236</v>
      </c>
      <c r="CR83" s="105">
        <v>9</v>
      </c>
      <c r="CS83" s="105">
        <v>5378.4000000000005</v>
      </c>
      <c r="CT83" s="105">
        <v>7</v>
      </c>
      <c r="CU83" s="105">
        <v>4183.2</v>
      </c>
    </row>
    <row r="84" spans="2:99" x14ac:dyDescent="0.2">
      <c r="C84" s="104" t="s">
        <v>250</v>
      </c>
      <c r="D84" s="105">
        <v>9</v>
      </c>
      <c r="E84" s="105">
        <v>4600.8</v>
      </c>
      <c r="F84" s="105">
        <v>9.473684210526315</v>
      </c>
      <c r="G84" s="105">
        <v>4842.9473684210525</v>
      </c>
      <c r="H84" s="105">
        <v>8.82</v>
      </c>
      <c r="I84" s="105">
        <v>4508.7839999999997</v>
      </c>
      <c r="J84" s="105">
        <v>7.9459459459459465</v>
      </c>
      <c r="K84" s="105">
        <v>4061.9675675675676</v>
      </c>
      <c r="L84" s="105">
        <v>8.4</v>
      </c>
      <c r="M84" s="105">
        <v>4294.08</v>
      </c>
      <c r="N84" s="105">
        <v>8</v>
      </c>
      <c r="O84" s="105">
        <v>4089.6</v>
      </c>
      <c r="P84" s="105">
        <v>10.207627118644067</v>
      </c>
      <c r="Q84" s="105">
        <v>5218.1389830508469</v>
      </c>
      <c r="R84" s="105">
        <v>8.1666666666666661</v>
      </c>
      <c r="S84" s="105">
        <v>4174.7999999999993</v>
      </c>
      <c r="T84" s="105">
        <v>9.6681614349775788</v>
      </c>
      <c r="U84" s="105">
        <v>4942.364125560538</v>
      </c>
      <c r="V84" s="105">
        <v>9</v>
      </c>
      <c r="W84" s="105">
        <v>4600.8</v>
      </c>
      <c r="X84" s="105">
        <v>12</v>
      </c>
      <c r="Y84" s="105">
        <v>6134.4</v>
      </c>
      <c r="Z84" s="105">
        <v>7</v>
      </c>
      <c r="AA84" s="105">
        <v>3578.4</v>
      </c>
      <c r="AB84" s="105">
        <v>11</v>
      </c>
      <c r="AC84" s="105">
        <v>5623.2</v>
      </c>
      <c r="AD84" s="105">
        <v>7</v>
      </c>
      <c r="AE84" s="105">
        <v>3578.4</v>
      </c>
      <c r="AF84" s="105">
        <v>12</v>
      </c>
      <c r="AG84" s="105">
        <v>6134.4</v>
      </c>
      <c r="AH84" s="105">
        <v>10</v>
      </c>
      <c r="AI84" s="105">
        <v>5112</v>
      </c>
      <c r="AJ84" s="105">
        <v>7</v>
      </c>
      <c r="AK84" s="105">
        <v>3578.4</v>
      </c>
      <c r="AL84" s="105">
        <v>8</v>
      </c>
      <c r="AM84" s="105">
        <v>4089.6</v>
      </c>
      <c r="AN84" s="105">
        <v>12</v>
      </c>
      <c r="AO84" s="105">
        <v>6134.4</v>
      </c>
      <c r="AP84" s="105">
        <v>7</v>
      </c>
      <c r="AQ84" s="105">
        <v>3578.4</v>
      </c>
      <c r="AR84" s="105">
        <v>9</v>
      </c>
      <c r="AS84" s="105">
        <v>4600.8</v>
      </c>
      <c r="AT84" s="105">
        <v>6</v>
      </c>
      <c r="AU84" s="105">
        <v>3067.2</v>
      </c>
      <c r="AV84" s="105">
        <v>8</v>
      </c>
      <c r="AW84" s="105">
        <v>4089.6</v>
      </c>
      <c r="AX84" s="105">
        <v>8</v>
      </c>
      <c r="AY84" s="105">
        <v>4089.6</v>
      </c>
      <c r="AZ84" s="105">
        <v>10</v>
      </c>
      <c r="BA84" s="105">
        <v>5112</v>
      </c>
      <c r="BB84" s="105">
        <v>9.2931129551493825</v>
      </c>
      <c r="BC84" s="105">
        <v>4750.6393426723644</v>
      </c>
      <c r="BD84" s="105">
        <v>9.2018779342723001</v>
      </c>
      <c r="BE84" s="105">
        <v>4704</v>
      </c>
      <c r="BF84" s="105">
        <v>9.4457831325301207</v>
      </c>
      <c r="BG84" s="105">
        <v>4828.6843373493975</v>
      </c>
      <c r="BH84" s="105">
        <v>7.2742268041237113</v>
      </c>
      <c r="BI84" s="105">
        <v>3718.5847422680413</v>
      </c>
      <c r="BJ84" s="105">
        <v>6</v>
      </c>
      <c r="BK84" s="105">
        <v>3067.2</v>
      </c>
      <c r="BL84" s="105">
        <v>8</v>
      </c>
      <c r="BM84" s="105">
        <v>4089.6</v>
      </c>
      <c r="BN84" s="105">
        <v>8.9267489711934171</v>
      </c>
      <c r="BO84" s="105">
        <v>4563.3540740740746</v>
      </c>
      <c r="BP84" s="105">
        <v>11.301612903225807</v>
      </c>
      <c r="BQ84" s="105">
        <v>5777.3845161290328</v>
      </c>
      <c r="BR84" s="105">
        <v>9</v>
      </c>
      <c r="BS84" s="105">
        <v>4600.8</v>
      </c>
      <c r="BT84" s="105">
        <v>10</v>
      </c>
      <c r="BU84" s="105">
        <v>5112</v>
      </c>
      <c r="BV84" s="105">
        <v>11</v>
      </c>
      <c r="BW84" s="105">
        <v>5623.2</v>
      </c>
      <c r="BX84" s="105">
        <v>9</v>
      </c>
      <c r="BY84" s="105">
        <v>4600.8</v>
      </c>
      <c r="BZ84" s="105">
        <v>9.6911392405063328</v>
      </c>
      <c r="CA84" s="105">
        <v>4954.1103797468368</v>
      </c>
      <c r="CB84" s="105">
        <v>7</v>
      </c>
      <c r="CC84" s="105">
        <v>3578.4</v>
      </c>
      <c r="CD84" s="105">
        <v>8</v>
      </c>
      <c r="CE84" s="105">
        <v>4089.6</v>
      </c>
      <c r="CF84" s="105">
        <v>10.716265384901869</v>
      </c>
      <c r="CG84" s="105">
        <v>5478.1548647618347</v>
      </c>
      <c r="CH84" s="105">
        <v>8.7326732673267315</v>
      </c>
      <c r="CI84" s="105">
        <v>4464.1425742574247</v>
      </c>
      <c r="CJ84" s="105">
        <v>10.616666666666667</v>
      </c>
      <c r="CK84" s="105">
        <v>5427.24</v>
      </c>
      <c r="CL84" s="105">
        <v>8.693548387096774</v>
      </c>
      <c r="CM84" s="105">
        <v>4444.1419354838708</v>
      </c>
      <c r="CN84" s="105">
        <v>9.0322580645161299</v>
      </c>
      <c r="CO84" s="105">
        <v>4617.2903225806458</v>
      </c>
      <c r="CP84" s="105">
        <v>9.3705179282868531</v>
      </c>
      <c r="CQ84" s="105">
        <v>4790.2087649402392</v>
      </c>
      <c r="CR84" s="105">
        <v>9</v>
      </c>
      <c r="CS84" s="105">
        <v>4600.8</v>
      </c>
      <c r="CT84" s="105">
        <v>7</v>
      </c>
      <c r="CU84" s="105">
        <v>3578.4</v>
      </c>
    </row>
    <row r="85" spans="2:99" x14ac:dyDescent="0.2">
      <c r="C85" s="104" t="s">
        <v>251</v>
      </c>
      <c r="D85" s="105">
        <v>9</v>
      </c>
      <c r="E85" s="105">
        <v>2451.6</v>
      </c>
      <c r="F85" s="105">
        <v>9.473684210526315</v>
      </c>
      <c r="G85" s="105">
        <v>2580.6315789473679</v>
      </c>
      <c r="H85" s="105">
        <v>8.82</v>
      </c>
      <c r="I85" s="105">
        <v>2402.5679999999998</v>
      </c>
      <c r="J85" s="105">
        <v>9.7117117117117111</v>
      </c>
      <c r="K85" s="105">
        <v>2645.4702702702698</v>
      </c>
      <c r="L85" s="105">
        <v>9.3333333333333321</v>
      </c>
      <c r="M85" s="105">
        <v>2542.3999999999996</v>
      </c>
      <c r="N85" s="105">
        <v>7</v>
      </c>
      <c r="O85" s="105">
        <v>1906.7999999999997</v>
      </c>
      <c r="P85" s="105">
        <v>9.2796610169491522</v>
      </c>
      <c r="Q85" s="105">
        <v>2527.7796610169489</v>
      </c>
      <c r="R85" s="105">
        <v>8.9833333333333325</v>
      </c>
      <c r="S85" s="105">
        <v>2447.0599999999995</v>
      </c>
      <c r="T85" s="105">
        <v>8.7013452914798215</v>
      </c>
      <c r="U85" s="105">
        <v>2370.2464573991033</v>
      </c>
      <c r="V85" s="105">
        <v>9</v>
      </c>
      <c r="W85" s="105">
        <v>2451.6</v>
      </c>
      <c r="X85" s="105">
        <v>11</v>
      </c>
      <c r="Y85" s="105">
        <v>2996.3999999999996</v>
      </c>
      <c r="Z85" s="105">
        <v>7</v>
      </c>
      <c r="AA85" s="105">
        <v>1906.7999999999997</v>
      </c>
      <c r="AB85" s="105">
        <v>12</v>
      </c>
      <c r="AC85" s="105">
        <v>3268.7999999999997</v>
      </c>
      <c r="AD85" s="105">
        <v>6</v>
      </c>
      <c r="AE85" s="105">
        <v>1634.3999999999999</v>
      </c>
      <c r="AF85" s="105">
        <v>12</v>
      </c>
      <c r="AG85" s="105">
        <v>3268.7999999999997</v>
      </c>
      <c r="AH85" s="105">
        <v>9</v>
      </c>
      <c r="AI85" s="105">
        <v>2451.6</v>
      </c>
      <c r="AJ85" s="105">
        <v>7</v>
      </c>
      <c r="AK85" s="105">
        <v>1906.7999999999997</v>
      </c>
      <c r="AL85" s="105">
        <v>10</v>
      </c>
      <c r="AM85" s="105">
        <v>2724</v>
      </c>
      <c r="AN85" s="105">
        <v>12</v>
      </c>
      <c r="AO85" s="105">
        <v>3268.7999999999997</v>
      </c>
      <c r="AP85" s="105">
        <v>9</v>
      </c>
      <c r="AQ85" s="105">
        <v>2451.6</v>
      </c>
      <c r="AR85" s="105">
        <v>11</v>
      </c>
      <c r="AS85" s="105">
        <v>2996.3999999999996</v>
      </c>
      <c r="AT85" s="105">
        <v>7</v>
      </c>
      <c r="AU85" s="105">
        <v>1906.7999999999997</v>
      </c>
      <c r="AV85" s="105">
        <v>9</v>
      </c>
      <c r="AW85" s="105">
        <v>2451.6</v>
      </c>
      <c r="AX85" s="105">
        <v>8</v>
      </c>
      <c r="AY85" s="105">
        <v>2179.1999999999998</v>
      </c>
      <c r="AZ85" s="105">
        <v>12</v>
      </c>
      <c r="BA85" s="105">
        <v>3268.7999999999997</v>
      </c>
      <c r="BB85" s="105">
        <v>9.2931129551493825</v>
      </c>
      <c r="BC85" s="105">
        <v>2531.4439689826918</v>
      </c>
      <c r="BD85" s="105">
        <v>10.122065727699532</v>
      </c>
      <c r="BE85" s="105">
        <v>2757.2507042253524</v>
      </c>
      <c r="BF85" s="105">
        <v>9.4457831325301207</v>
      </c>
      <c r="BG85" s="105">
        <v>2573.0313253012046</v>
      </c>
      <c r="BH85" s="105">
        <v>9.0927835051546388</v>
      </c>
      <c r="BI85" s="105">
        <v>2476.8742268041233</v>
      </c>
      <c r="BJ85" s="105">
        <v>7</v>
      </c>
      <c r="BK85" s="105">
        <v>1906.7999999999997</v>
      </c>
      <c r="BL85" s="105">
        <v>8</v>
      </c>
      <c r="BM85" s="105">
        <v>2179.1999999999998</v>
      </c>
      <c r="BN85" s="105">
        <v>8.9267489711934171</v>
      </c>
      <c r="BO85" s="105">
        <v>2431.6464197530868</v>
      </c>
      <c r="BP85" s="105">
        <v>11.301612903225807</v>
      </c>
      <c r="BQ85" s="105">
        <v>3078.5593548387096</v>
      </c>
      <c r="BR85" s="105">
        <v>9</v>
      </c>
      <c r="BS85" s="105">
        <v>2451.6</v>
      </c>
      <c r="BT85" s="105">
        <v>11</v>
      </c>
      <c r="BU85" s="105">
        <v>2996.3999999999996</v>
      </c>
      <c r="BV85" s="105">
        <v>10</v>
      </c>
      <c r="BW85" s="105">
        <v>2724</v>
      </c>
      <c r="BX85" s="105">
        <v>10</v>
      </c>
      <c r="BY85" s="105">
        <v>2724</v>
      </c>
      <c r="BZ85" s="105">
        <v>9.6911392405063328</v>
      </c>
      <c r="CA85" s="105">
        <v>2639.8663291139246</v>
      </c>
      <c r="CB85" s="105">
        <v>8</v>
      </c>
      <c r="CC85" s="105">
        <v>2179.1999999999998</v>
      </c>
      <c r="CD85" s="105">
        <v>8</v>
      </c>
      <c r="CE85" s="105">
        <v>2179.1999999999998</v>
      </c>
      <c r="CF85" s="105">
        <v>11.690471328983858</v>
      </c>
      <c r="CG85" s="105">
        <v>3184.4843900152027</v>
      </c>
      <c r="CH85" s="105">
        <v>8.7326732673267315</v>
      </c>
      <c r="CI85" s="105">
        <v>2378.7801980198014</v>
      </c>
      <c r="CJ85" s="105">
        <v>9.8000000000000007</v>
      </c>
      <c r="CK85" s="105">
        <v>2669.52</v>
      </c>
      <c r="CL85" s="105">
        <v>8.693548387096774</v>
      </c>
      <c r="CM85" s="105">
        <v>2368.1225806451612</v>
      </c>
      <c r="CN85" s="105">
        <v>9.935483870967742</v>
      </c>
      <c r="CO85" s="105">
        <v>2706.4258064516125</v>
      </c>
      <c r="CP85" s="105">
        <v>8.5896414342629495</v>
      </c>
      <c r="CQ85" s="105">
        <v>2339.8183266932274</v>
      </c>
      <c r="CR85" s="105">
        <v>9</v>
      </c>
      <c r="CS85" s="105">
        <v>2451.6</v>
      </c>
      <c r="CT85" s="105">
        <v>7</v>
      </c>
      <c r="CU85" s="105">
        <v>1906.7999999999997</v>
      </c>
    </row>
    <row r="86" spans="2:99" x14ac:dyDescent="0.2">
      <c r="C86" s="104" t="s">
        <v>252</v>
      </c>
      <c r="D86" s="105">
        <v>9</v>
      </c>
      <c r="E86" s="105">
        <v>4460.3999999999996</v>
      </c>
      <c r="F86" s="105">
        <v>8.526315789473685</v>
      </c>
      <c r="G86" s="105">
        <v>4225.6421052631576</v>
      </c>
      <c r="H86" s="105">
        <v>8.82</v>
      </c>
      <c r="I86" s="105">
        <v>4371.192</v>
      </c>
      <c r="J86" s="105">
        <v>7.9459459459459465</v>
      </c>
      <c r="K86" s="105">
        <v>3938.0108108108107</v>
      </c>
      <c r="L86" s="105">
        <v>8.4</v>
      </c>
      <c r="M86" s="105">
        <v>4163.04</v>
      </c>
      <c r="N86" s="105">
        <v>8</v>
      </c>
      <c r="O86" s="105">
        <v>3964.7999999999997</v>
      </c>
      <c r="P86" s="105">
        <v>10.207627118644067</v>
      </c>
      <c r="Q86" s="105">
        <v>5058.8999999999996</v>
      </c>
      <c r="R86" s="105">
        <v>8.1666666666666661</v>
      </c>
      <c r="S86" s="105">
        <v>4047.3999999999996</v>
      </c>
      <c r="T86" s="105">
        <v>8.7013452914798215</v>
      </c>
      <c r="U86" s="105">
        <v>4312.3867264573992</v>
      </c>
      <c r="V86" s="105">
        <v>8</v>
      </c>
      <c r="W86" s="105">
        <v>3964.7999999999997</v>
      </c>
      <c r="X86" s="105">
        <v>11</v>
      </c>
      <c r="Y86" s="105">
        <v>5451.5999999999995</v>
      </c>
      <c r="Z86" s="105">
        <v>7</v>
      </c>
      <c r="AA86" s="105">
        <v>3469.2</v>
      </c>
      <c r="AB86" s="105">
        <v>12</v>
      </c>
      <c r="AC86" s="105">
        <v>5947.2</v>
      </c>
      <c r="AD86" s="105">
        <v>6</v>
      </c>
      <c r="AE86" s="105">
        <v>2973.6</v>
      </c>
      <c r="AF86" s="105">
        <v>11</v>
      </c>
      <c r="AG86" s="105">
        <v>5451.5999999999995</v>
      </c>
      <c r="AH86" s="105">
        <v>10</v>
      </c>
      <c r="AI86" s="105">
        <v>4956</v>
      </c>
      <c r="AJ86" s="105">
        <v>8</v>
      </c>
      <c r="AK86" s="105">
        <v>3964.7999999999997</v>
      </c>
      <c r="AL86" s="105">
        <v>8</v>
      </c>
      <c r="AM86" s="105">
        <v>3964.7999999999997</v>
      </c>
      <c r="AN86" s="105">
        <v>11</v>
      </c>
      <c r="AO86" s="105">
        <v>5451.5999999999995</v>
      </c>
      <c r="AP86" s="105">
        <v>8</v>
      </c>
      <c r="AQ86" s="105">
        <v>3964.7999999999997</v>
      </c>
      <c r="AR86" s="105">
        <v>10</v>
      </c>
      <c r="AS86" s="105">
        <v>4956</v>
      </c>
      <c r="AT86" s="105">
        <v>7</v>
      </c>
      <c r="AU86" s="105">
        <v>3469.2</v>
      </c>
      <c r="AV86" s="105">
        <v>9</v>
      </c>
      <c r="AW86" s="105">
        <v>4460.3999999999996</v>
      </c>
      <c r="AX86" s="105">
        <v>8</v>
      </c>
      <c r="AY86" s="105">
        <v>3964.7999999999997</v>
      </c>
      <c r="AZ86" s="105">
        <v>10</v>
      </c>
      <c r="BA86" s="105">
        <v>4956</v>
      </c>
      <c r="BB86" s="105">
        <v>10.222424250664323</v>
      </c>
      <c r="BC86" s="105">
        <v>5066.2334586292382</v>
      </c>
      <c r="BD86" s="105">
        <v>9.2018779342723001</v>
      </c>
      <c r="BE86" s="105">
        <v>4560.4507042253517</v>
      </c>
      <c r="BF86" s="105">
        <v>9.4457831325301207</v>
      </c>
      <c r="BG86" s="105">
        <v>4681.3301204819272</v>
      </c>
      <c r="BH86" s="105">
        <v>8.1835051546391764</v>
      </c>
      <c r="BI86" s="105">
        <v>4055.7451546391753</v>
      </c>
      <c r="BJ86" s="105">
        <v>6</v>
      </c>
      <c r="BK86" s="105">
        <v>2973.6</v>
      </c>
      <c r="BL86" s="105">
        <v>9</v>
      </c>
      <c r="BM86" s="105">
        <v>4460.3999999999996</v>
      </c>
      <c r="BN86" s="105">
        <v>9.7382716049382712</v>
      </c>
      <c r="BO86" s="105">
        <v>4826.287407407407</v>
      </c>
      <c r="BP86" s="105">
        <v>11.301612903225807</v>
      </c>
      <c r="BQ86" s="105">
        <v>5601.0793548387101</v>
      </c>
      <c r="BR86" s="105">
        <v>8</v>
      </c>
      <c r="BS86" s="105">
        <v>3964.7999999999997</v>
      </c>
      <c r="BT86" s="105">
        <v>11</v>
      </c>
      <c r="BU86" s="105">
        <v>5451.5999999999995</v>
      </c>
      <c r="BV86" s="105">
        <v>11</v>
      </c>
      <c r="BW86" s="105">
        <v>5451.5999999999995</v>
      </c>
      <c r="BX86" s="105">
        <v>9</v>
      </c>
      <c r="BY86" s="105">
        <v>4460.3999999999996</v>
      </c>
      <c r="BZ86" s="105">
        <v>7.9291139240506361</v>
      </c>
      <c r="CA86" s="105">
        <v>3929.6688607594951</v>
      </c>
      <c r="CB86" s="105">
        <v>8</v>
      </c>
      <c r="CC86" s="105">
        <v>3964.7999999999997</v>
      </c>
      <c r="CD86" s="105">
        <v>8</v>
      </c>
      <c r="CE86" s="105">
        <v>3964.7999999999997</v>
      </c>
      <c r="CF86" s="105">
        <v>10.716265384901869</v>
      </c>
      <c r="CG86" s="105">
        <v>5310.9811247573653</v>
      </c>
      <c r="CH86" s="105">
        <v>9.7029702970297027</v>
      </c>
      <c r="CI86" s="105">
        <v>4808.7920792079203</v>
      </c>
      <c r="CJ86" s="105">
        <v>10.616666666666667</v>
      </c>
      <c r="CK86" s="105">
        <v>5261.62</v>
      </c>
      <c r="CL86" s="105">
        <v>8.693548387096774</v>
      </c>
      <c r="CM86" s="105">
        <v>4308.5225806451608</v>
      </c>
      <c r="CN86" s="105">
        <v>9.0322580645161299</v>
      </c>
      <c r="CO86" s="105">
        <v>4476.3870967741941</v>
      </c>
      <c r="CP86" s="105">
        <v>9.3705179282868531</v>
      </c>
      <c r="CQ86" s="105">
        <v>4644.0286852589643</v>
      </c>
      <c r="CR86" s="105">
        <v>9</v>
      </c>
      <c r="CS86" s="105">
        <v>4460.3999999999996</v>
      </c>
      <c r="CT86" s="105">
        <v>8</v>
      </c>
      <c r="CU86" s="105">
        <v>3964.7999999999997</v>
      </c>
    </row>
    <row r="87" spans="2:99" x14ac:dyDescent="0.2">
      <c r="B87" s="104" t="s">
        <v>131</v>
      </c>
      <c r="C87" s="104" t="s">
        <v>253</v>
      </c>
      <c r="D87" s="105">
        <v>0</v>
      </c>
      <c r="E87" s="105">
        <v>0</v>
      </c>
      <c r="F87" s="105">
        <v>0</v>
      </c>
      <c r="G87" s="105">
        <v>0</v>
      </c>
      <c r="H87" s="105">
        <v>0</v>
      </c>
      <c r="I87" s="105">
        <v>0</v>
      </c>
      <c r="J87" s="105">
        <v>0</v>
      </c>
      <c r="K87" s="105">
        <v>0</v>
      </c>
      <c r="L87" s="105">
        <v>0</v>
      </c>
      <c r="M87" s="105">
        <v>0</v>
      </c>
      <c r="N87" s="105">
        <v>0</v>
      </c>
      <c r="O87" s="105">
        <v>0</v>
      </c>
      <c r="P87" s="105">
        <v>0</v>
      </c>
      <c r="Q87" s="105">
        <v>0</v>
      </c>
      <c r="R87" s="105">
        <v>0</v>
      </c>
      <c r="S87" s="105">
        <v>0</v>
      </c>
      <c r="T87" s="105">
        <v>0</v>
      </c>
      <c r="U87" s="105">
        <v>0</v>
      </c>
      <c r="V87" s="105">
        <v>0</v>
      </c>
      <c r="W87" s="105">
        <v>0</v>
      </c>
      <c r="X87" s="105">
        <v>0</v>
      </c>
      <c r="Y87" s="105">
        <v>0</v>
      </c>
      <c r="Z87" s="105">
        <v>0</v>
      </c>
      <c r="AA87" s="105">
        <v>0</v>
      </c>
      <c r="AB87" s="105">
        <v>0</v>
      </c>
      <c r="AC87" s="105">
        <v>0</v>
      </c>
      <c r="AD87" s="105">
        <v>0</v>
      </c>
      <c r="AE87" s="105">
        <v>0</v>
      </c>
      <c r="AF87" s="105">
        <v>0</v>
      </c>
      <c r="AG87" s="105">
        <v>0</v>
      </c>
      <c r="AH87" s="105">
        <v>0</v>
      </c>
      <c r="AI87" s="105">
        <v>0</v>
      </c>
      <c r="AJ87" s="105">
        <v>0</v>
      </c>
      <c r="AK87" s="105">
        <v>0</v>
      </c>
      <c r="AL87" s="105">
        <v>0</v>
      </c>
      <c r="AM87" s="105">
        <v>0</v>
      </c>
      <c r="AN87" s="105">
        <v>0</v>
      </c>
      <c r="AO87" s="105">
        <v>0</v>
      </c>
      <c r="AP87" s="105">
        <v>0</v>
      </c>
      <c r="AQ87" s="105">
        <v>0</v>
      </c>
      <c r="AR87" s="105">
        <v>0</v>
      </c>
      <c r="AS87" s="105">
        <v>0</v>
      </c>
      <c r="AT87" s="105">
        <v>0</v>
      </c>
      <c r="AU87" s="105">
        <v>0</v>
      </c>
      <c r="AV87" s="105">
        <v>0</v>
      </c>
      <c r="AW87" s="105">
        <v>0</v>
      </c>
      <c r="AX87" s="105">
        <v>0</v>
      </c>
      <c r="AY87" s="105">
        <v>0</v>
      </c>
      <c r="AZ87" s="105">
        <v>5.8129504649576553</v>
      </c>
      <c r="BA87" s="105">
        <v>5468.8237974321619</v>
      </c>
      <c r="BB87" s="105">
        <v>0</v>
      </c>
      <c r="BC87" s="105">
        <v>0</v>
      </c>
      <c r="BD87" s="105">
        <v>0</v>
      </c>
      <c r="BE87" s="105">
        <v>0</v>
      </c>
      <c r="BF87" s="105">
        <v>0</v>
      </c>
      <c r="BG87" s="105">
        <v>0</v>
      </c>
      <c r="BH87" s="105">
        <v>0</v>
      </c>
      <c r="BI87" s="105">
        <v>0</v>
      </c>
      <c r="BJ87" s="105">
        <v>0</v>
      </c>
      <c r="BK87" s="105">
        <v>0</v>
      </c>
      <c r="BL87" s="105">
        <v>0</v>
      </c>
      <c r="BM87" s="105">
        <v>0</v>
      </c>
      <c r="BN87" s="105">
        <v>0</v>
      </c>
      <c r="BO87" s="105">
        <v>0</v>
      </c>
      <c r="BP87" s="105">
        <v>0</v>
      </c>
      <c r="BQ87" s="105">
        <v>0</v>
      </c>
      <c r="BR87" s="105">
        <v>0</v>
      </c>
      <c r="BS87" s="105">
        <v>0</v>
      </c>
      <c r="BT87" s="105">
        <v>0</v>
      </c>
      <c r="BU87" s="105">
        <v>0</v>
      </c>
      <c r="BV87" s="105">
        <v>0</v>
      </c>
      <c r="BW87" s="105">
        <v>0</v>
      </c>
      <c r="BX87" s="105">
        <v>0</v>
      </c>
      <c r="BY87" s="105">
        <v>0</v>
      </c>
      <c r="BZ87" s="105">
        <v>0</v>
      </c>
      <c r="CA87" s="105">
        <v>0</v>
      </c>
      <c r="CB87" s="105">
        <v>0</v>
      </c>
      <c r="CC87" s="105">
        <v>0</v>
      </c>
      <c r="CD87" s="105">
        <v>0</v>
      </c>
      <c r="CE87" s="105">
        <v>0</v>
      </c>
      <c r="CF87" s="105">
        <v>0</v>
      </c>
      <c r="CG87" s="105">
        <v>0</v>
      </c>
      <c r="CH87" s="105">
        <v>0</v>
      </c>
      <c r="CI87" s="105">
        <v>0</v>
      </c>
      <c r="CJ87" s="105">
        <v>0</v>
      </c>
      <c r="CK87" s="105">
        <v>0</v>
      </c>
      <c r="CL87" s="105">
        <v>0</v>
      </c>
      <c r="CM87" s="105">
        <v>0</v>
      </c>
      <c r="CN87" s="105">
        <v>0</v>
      </c>
      <c r="CO87" s="105">
        <v>0</v>
      </c>
      <c r="CP87" s="105">
        <v>0</v>
      </c>
      <c r="CQ87" s="105">
        <v>0</v>
      </c>
      <c r="CR87" s="105">
        <v>0</v>
      </c>
      <c r="CS87" s="105">
        <v>0</v>
      </c>
      <c r="CT87" s="105">
        <v>0</v>
      </c>
      <c r="CU87" s="105">
        <v>0</v>
      </c>
    </row>
    <row r="88" spans="2:99" x14ac:dyDescent="0.2">
      <c r="C88" s="104" t="s">
        <v>254</v>
      </c>
      <c r="D88" s="105">
        <v>0</v>
      </c>
      <c r="E88" s="105">
        <v>0</v>
      </c>
      <c r="F88" s="105">
        <v>0</v>
      </c>
      <c r="G88" s="105">
        <v>0</v>
      </c>
      <c r="H88" s="105">
        <v>0</v>
      </c>
      <c r="I88" s="105">
        <v>0</v>
      </c>
      <c r="J88" s="105">
        <v>0</v>
      </c>
      <c r="K88" s="105">
        <v>0</v>
      </c>
      <c r="L88" s="105">
        <v>0</v>
      </c>
      <c r="M88" s="105">
        <v>0</v>
      </c>
      <c r="N88" s="105">
        <v>0</v>
      </c>
      <c r="O88" s="105">
        <v>0</v>
      </c>
      <c r="P88" s="105">
        <v>0</v>
      </c>
      <c r="Q88" s="105">
        <v>0</v>
      </c>
      <c r="R88" s="105">
        <v>0</v>
      </c>
      <c r="S88" s="105">
        <v>0</v>
      </c>
      <c r="T88" s="105">
        <v>0</v>
      </c>
      <c r="U88" s="105">
        <v>0</v>
      </c>
      <c r="V88" s="105">
        <v>0</v>
      </c>
      <c r="W88" s="105">
        <v>0</v>
      </c>
      <c r="X88" s="105">
        <v>0</v>
      </c>
      <c r="Y88" s="105">
        <v>0</v>
      </c>
      <c r="Z88" s="105">
        <v>0</v>
      </c>
      <c r="AA88" s="105">
        <v>0</v>
      </c>
      <c r="AB88" s="105">
        <v>0</v>
      </c>
      <c r="AC88" s="105">
        <v>0</v>
      </c>
      <c r="AD88" s="105">
        <v>0</v>
      </c>
      <c r="AE88" s="105">
        <v>0</v>
      </c>
      <c r="AF88" s="105">
        <v>0</v>
      </c>
      <c r="AG88" s="105">
        <v>0</v>
      </c>
      <c r="AH88" s="105">
        <v>0</v>
      </c>
      <c r="AI88" s="105">
        <v>0</v>
      </c>
      <c r="AJ88" s="105">
        <v>0</v>
      </c>
      <c r="AK88" s="105">
        <v>0</v>
      </c>
      <c r="AL88" s="105">
        <v>0</v>
      </c>
      <c r="AM88" s="105">
        <v>0</v>
      </c>
      <c r="AN88" s="105">
        <v>0</v>
      </c>
      <c r="AO88" s="105">
        <v>0</v>
      </c>
      <c r="AP88" s="105">
        <v>0</v>
      </c>
      <c r="AQ88" s="105">
        <v>0</v>
      </c>
      <c r="AR88" s="105">
        <v>0</v>
      </c>
      <c r="AS88" s="105">
        <v>0</v>
      </c>
      <c r="AT88" s="105">
        <v>0</v>
      </c>
      <c r="AU88" s="105">
        <v>0</v>
      </c>
      <c r="AV88" s="105">
        <v>0</v>
      </c>
      <c r="AW88" s="105">
        <v>0</v>
      </c>
      <c r="AX88" s="105">
        <v>0</v>
      </c>
      <c r="AY88" s="105">
        <v>0</v>
      </c>
      <c r="AZ88" s="105">
        <v>5.8129504649576553</v>
      </c>
      <c r="BA88" s="105">
        <v>5092.1446073029065</v>
      </c>
      <c r="BB88" s="105">
        <v>0</v>
      </c>
      <c r="BC88" s="105">
        <v>0</v>
      </c>
      <c r="BD88" s="105">
        <v>0</v>
      </c>
      <c r="BE88" s="105">
        <v>0</v>
      </c>
      <c r="BF88" s="105">
        <v>0</v>
      </c>
      <c r="BG88" s="105">
        <v>0</v>
      </c>
      <c r="BH88" s="105">
        <v>0</v>
      </c>
      <c r="BI88" s="105">
        <v>0</v>
      </c>
      <c r="BJ88" s="105">
        <v>0</v>
      </c>
      <c r="BK88" s="105">
        <v>0</v>
      </c>
      <c r="BL88" s="105">
        <v>0</v>
      </c>
      <c r="BM88" s="105">
        <v>0</v>
      </c>
      <c r="BN88" s="105">
        <v>0</v>
      </c>
      <c r="BO88" s="105">
        <v>0</v>
      </c>
      <c r="BP88" s="105">
        <v>0</v>
      </c>
      <c r="BQ88" s="105">
        <v>0</v>
      </c>
      <c r="BR88" s="105">
        <v>0</v>
      </c>
      <c r="BS88" s="105">
        <v>0</v>
      </c>
      <c r="BT88" s="105">
        <v>0</v>
      </c>
      <c r="BU88" s="105">
        <v>0</v>
      </c>
      <c r="BV88" s="105">
        <v>0</v>
      </c>
      <c r="BW88" s="105">
        <v>0</v>
      </c>
      <c r="BX88" s="105">
        <v>0</v>
      </c>
      <c r="BY88" s="105">
        <v>0</v>
      </c>
      <c r="BZ88" s="105">
        <v>0</v>
      </c>
      <c r="CA88" s="105">
        <v>0</v>
      </c>
      <c r="CB88" s="105">
        <v>0</v>
      </c>
      <c r="CC88" s="105">
        <v>0</v>
      </c>
      <c r="CD88" s="105">
        <v>0</v>
      </c>
      <c r="CE88" s="105">
        <v>0</v>
      </c>
      <c r="CF88" s="105">
        <v>0</v>
      </c>
      <c r="CG88" s="105">
        <v>0</v>
      </c>
      <c r="CH88" s="105">
        <v>0</v>
      </c>
      <c r="CI88" s="105">
        <v>0</v>
      </c>
      <c r="CJ88" s="105">
        <v>0</v>
      </c>
      <c r="CK88" s="105">
        <v>0</v>
      </c>
      <c r="CL88" s="105">
        <v>0</v>
      </c>
      <c r="CM88" s="105">
        <v>0</v>
      </c>
      <c r="CN88" s="105">
        <v>0</v>
      </c>
      <c r="CO88" s="105">
        <v>0</v>
      </c>
      <c r="CP88" s="105">
        <v>0</v>
      </c>
      <c r="CQ88" s="105">
        <v>0</v>
      </c>
      <c r="CR88" s="105">
        <v>0</v>
      </c>
      <c r="CS88" s="105">
        <v>0</v>
      </c>
      <c r="CT88" s="105">
        <v>0</v>
      </c>
      <c r="CU88" s="105">
        <v>0</v>
      </c>
    </row>
    <row r="89" spans="2:99" x14ac:dyDescent="0.2">
      <c r="C89" s="104" t="s">
        <v>255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105">
        <v>0</v>
      </c>
      <c r="K89" s="105">
        <v>0</v>
      </c>
      <c r="L89" s="105">
        <v>0</v>
      </c>
      <c r="M89" s="105">
        <v>0</v>
      </c>
      <c r="N89" s="105">
        <v>0</v>
      </c>
      <c r="O89" s="105">
        <v>0</v>
      </c>
      <c r="P89" s="105">
        <v>0</v>
      </c>
      <c r="Q89" s="105">
        <v>0</v>
      </c>
      <c r="R89" s="105">
        <v>0</v>
      </c>
      <c r="S89" s="105">
        <v>0</v>
      </c>
      <c r="T89" s="105">
        <v>0</v>
      </c>
      <c r="U89" s="105">
        <v>0</v>
      </c>
      <c r="V89" s="105">
        <v>0</v>
      </c>
      <c r="W89" s="105">
        <v>0</v>
      </c>
      <c r="X89" s="105">
        <v>0</v>
      </c>
      <c r="Y89" s="105">
        <v>0</v>
      </c>
      <c r="Z89" s="105">
        <v>0</v>
      </c>
      <c r="AA89" s="105">
        <v>0</v>
      </c>
      <c r="AB89" s="105">
        <v>0</v>
      </c>
      <c r="AC89" s="105">
        <v>0</v>
      </c>
      <c r="AD89" s="105">
        <v>0</v>
      </c>
      <c r="AE89" s="105">
        <v>0</v>
      </c>
      <c r="AF89" s="105">
        <v>0</v>
      </c>
      <c r="AG89" s="105">
        <v>0</v>
      </c>
      <c r="AH89" s="105">
        <v>0</v>
      </c>
      <c r="AI89" s="105">
        <v>0</v>
      </c>
      <c r="AJ89" s="105">
        <v>0</v>
      </c>
      <c r="AK89" s="105">
        <v>0</v>
      </c>
      <c r="AL89" s="105">
        <v>0</v>
      </c>
      <c r="AM89" s="105">
        <v>0</v>
      </c>
      <c r="AN89" s="105">
        <v>0</v>
      </c>
      <c r="AO89" s="105">
        <v>0</v>
      </c>
      <c r="AP89" s="105">
        <v>0</v>
      </c>
      <c r="AQ89" s="105">
        <v>0</v>
      </c>
      <c r="AR89" s="105">
        <v>0</v>
      </c>
      <c r="AS89" s="105">
        <v>0</v>
      </c>
      <c r="AT89" s="105">
        <v>0</v>
      </c>
      <c r="AU89" s="105">
        <v>0</v>
      </c>
      <c r="AV89" s="105">
        <v>0</v>
      </c>
      <c r="AW89" s="105">
        <v>0</v>
      </c>
      <c r="AX89" s="105">
        <v>0</v>
      </c>
      <c r="AY89" s="105">
        <v>0</v>
      </c>
      <c r="AZ89" s="105">
        <v>5.8129504649576553</v>
      </c>
      <c r="BA89" s="105">
        <v>3390.1127111633041</v>
      </c>
      <c r="BB89" s="105">
        <v>0</v>
      </c>
      <c r="BC89" s="105">
        <v>0</v>
      </c>
      <c r="BD89" s="105">
        <v>0</v>
      </c>
      <c r="BE89" s="105">
        <v>0</v>
      </c>
      <c r="BF89" s="105">
        <v>0</v>
      </c>
      <c r="BG89" s="105">
        <v>0</v>
      </c>
      <c r="BH89" s="105">
        <v>0</v>
      </c>
      <c r="BI89" s="105">
        <v>0</v>
      </c>
      <c r="BJ89" s="105">
        <v>0</v>
      </c>
      <c r="BK89" s="105">
        <v>0</v>
      </c>
      <c r="BL89" s="105">
        <v>0</v>
      </c>
      <c r="BM89" s="105">
        <v>0</v>
      </c>
      <c r="BN89" s="105">
        <v>0</v>
      </c>
      <c r="BO89" s="105">
        <v>0</v>
      </c>
      <c r="BP89" s="105">
        <v>0</v>
      </c>
      <c r="BQ89" s="105">
        <v>0</v>
      </c>
      <c r="BR89" s="105">
        <v>0</v>
      </c>
      <c r="BS89" s="105">
        <v>0</v>
      </c>
      <c r="BT89" s="105">
        <v>0</v>
      </c>
      <c r="BU89" s="105">
        <v>0</v>
      </c>
      <c r="BV89" s="105">
        <v>0</v>
      </c>
      <c r="BW89" s="105">
        <v>0</v>
      </c>
      <c r="BX89" s="105">
        <v>0</v>
      </c>
      <c r="BY89" s="105">
        <v>0</v>
      </c>
      <c r="BZ89" s="105">
        <v>0</v>
      </c>
      <c r="CA89" s="105">
        <v>0</v>
      </c>
      <c r="CB89" s="105">
        <v>0</v>
      </c>
      <c r="CC89" s="105">
        <v>0</v>
      </c>
      <c r="CD89" s="105">
        <v>0</v>
      </c>
      <c r="CE89" s="105">
        <v>0</v>
      </c>
      <c r="CF89" s="105">
        <v>0</v>
      </c>
      <c r="CG89" s="105">
        <v>0</v>
      </c>
      <c r="CH89" s="105">
        <v>0</v>
      </c>
      <c r="CI89" s="105">
        <v>0</v>
      </c>
      <c r="CJ89" s="105">
        <v>0</v>
      </c>
      <c r="CK89" s="105">
        <v>0</v>
      </c>
      <c r="CL89" s="105">
        <v>0</v>
      </c>
      <c r="CM89" s="105">
        <v>0</v>
      </c>
      <c r="CN89" s="105">
        <v>0</v>
      </c>
      <c r="CO89" s="105">
        <v>0</v>
      </c>
      <c r="CP89" s="105">
        <v>0</v>
      </c>
      <c r="CQ89" s="105">
        <v>0</v>
      </c>
      <c r="CR89" s="105">
        <v>0</v>
      </c>
      <c r="CS89" s="105">
        <v>0</v>
      </c>
      <c r="CT89" s="105">
        <v>0</v>
      </c>
      <c r="CU89" s="105">
        <v>0</v>
      </c>
    </row>
    <row r="90" spans="2:99" x14ac:dyDescent="0.2">
      <c r="C90" s="104" t="s">
        <v>256</v>
      </c>
      <c r="D90" s="105">
        <v>0</v>
      </c>
      <c r="E90" s="105">
        <v>0</v>
      </c>
      <c r="F90" s="105">
        <v>0</v>
      </c>
      <c r="G90" s="105">
        <v>0</v>
      </c>
      <c r="H90" s="105">
        <v>0</v>
      </c>
      <c r="I90" s="105">
        <v>0</v>
      </c>
      <c r="J90" s="105">
        <v>0</v>
      </c>
      <c r="K90" s="105">
        <v>0</v>
      </c>
      <c r="L90" s="105">
        <v>0</v>
      </c>
      <c r="M90" s="105">
        <v>0</v>
      </c>
      <c r="N90" s="105">
        <v>0</v>
      </c>
      <c r="O90" s="105">
        <v>0</v>
      </c>
      <c r="P90" s="105">
        <v>0</v>
      </c>
      <c r="Q90" s="105">
        <v>0</v>
      </c>
      <c r="R90" s="105">
        <v>0</v>
      </c>
      <c r="S90" s="105">
        <v>0</v>
      </c>
      <c r="T90" s="105">
        <v>0</v>
      </c>
      <c r="U90" s="105">
        <v>0</v>
      </c>
      <c r="V90" s="105">
        <v>0</v>
      </c>
      <c r="W90" s="105">
        <v>0</v>
      </c>
      <c r="X90" s="105">
        <v>0</v>
      </c>
      <c r="Y90" s="105">
        <v>0</v>
      </c>
      <c r="Z90" s="105">
        <v>0</v>
      </c>
      <c r="AA90" s="105">
        <v>0</v>
      </c>
      <c r="AB90" s="105">
        <v>0</v>
      </c>
      <c r="AC90" s="105">
        <v>0</v>
      </c>
      <c r="AD90" s="105">
        <v>0</v>
      </c>
      <c r="AE90" s="105">
        <v>0</v>
      </c>
      <c r="AF90" s="105">
        <v>0</v>
      </c>
      <c r="AG90" s="105">
        <v>0</v>
      </c>
      <c r="AH90" s="105">
        <v>0</v>
      </c>
      <c r="AI90" s="105">
        <v>0</v>
      </c>
      <c r="AJ90" s="105">
        <v>0</v>
      </c>
      <c r="AK90" s="105">
        <v>0</v>
      </c>
      <c r="AL90" s="105">
        <v>0</v>
      </c>
      <c r="AM90" s="105">
        <v>0</v>
      </c>
      <c r="AN90" s="105">
        <v>0</v>
      </c>
      <c r="AO90" s="105">
        <v>0</v>
      </c>
      <c r="AP90" s="105">
        <v>0</v>
      </c>
      <c r="AQ90" s="105">
        <v>0</v>
      </c>
      <c r="AR90" s="105">
        <v>0</v>
      </c>
      <c r="AS90" s="105">
        <v>0</v>
      </c>
      <c r="AT90" s="105">
        <v>0</v>
      </c>
      <c r="AU90" s="105">
        <v>0</v>
      </c>
      <c r="AV90" s="105">
        <v>0</v>
      </c>
      <c r="AW90" s="105">
        <v>0</v>
      </c>
      <c r="AX90" s="105">
        <v>0</v>
      </c>
      <c r="AY90" s="105">
        <v>0</v>
      </c>
      <c r="AZ90" s="105">
        <v>6.7817755424505979</v>
      </c>
      <c r="BA90" s="105">
        <v>5550.2051039415692</v>
      </c>
      <c r="BB90" s="105">
        <v>0</v>
      </c>
      <c r="BC90" s="105">
        <v>0</v>
      </c>
      <c r="BD90" s="105">
        <v>0</v>
      </c>
      <c r="BE90" s="105">
        <v>0</v>
      </c>
      <c r="BF90" s="105">
        <v>0</v>
      </c>
      <c r="BG90" s="105">
        <v>0</v>
      </c>
      <c r="BH90" s="105">
        <v>0</v>
      </c>
      <c r="BI90" s="105">
        <v>0</v>
      </c>
      <c r="BJ90" s="105">
        <v>0</v>
      </c>
      <c r="BK90" s="105">
        <v>0</v>
      </c>
      <c r="BL90" s="105">
        <v>0</v>
      </c>
      <c r="BM90" s="105">
        <v>0</v>
      </c>
      <c r="BN90" s="105">
        <v>0</v>
      </c>
      <c r="BO90" s="105">
        <v>0</v>
      </c>
      <c r="BP90" s="105">
        <v>0</v>
      </c>
      <c r="BQ90" s="105">
        <v>0</v>
      </c>
      <c r="BR90" s="105">
        <v>0</v>
      </c>
      <c r="BS90" s="105">
        <v>0</v>
      </c>
      <c r="BT90" s="105">
        <v>0</v>
      </c>
      <c r="BU90" s="105">
        <v>0</v>
      </c>
      <c r="BV90" s="105">
        <v>0</v>
      </c>
      <c r="BW90" s="105">
        <v>0</v>
      </c>
      <c r="BX90" s="105">
        <v>0</v>
      </c>
      <c r="BY90" s="105">
        <v>0</v>
      </c>
      <c r="BZ90" s="105">
        <v>0</v>
      </c>
      <c r="CA90" s="105">
        <v>0</v>
      </c>
      <c r="CB90" s="105">
        <v>0</v>
      </c>
      <c r="CC90" s="105">
        <v>0</v>
      </c>
      <c r="CD90" s="105">
        <v>0</v>
      </c>
      <c r="CE90" s="105">
        <v>0</v>
      </c>
      <c r="CF90" s="105">
        <v>0</v>
      </c>
      <c r="CG90" s="105">
        <v>0</v>
      </c>
      <c r="CH90" s="105">
        <v>0</v>
      </c>
      <c r="CI90" s="105">
        <v>0</v>
      </c>
      <c r="CJ90" s="105">
        <v>0</v>
      </c>
      <c r="CK90" s="105">
        <v>0</v>
      </c>
      <c r="CL90" s="105">
        <v>0</v>
      </c>
      <c r="CM90" s="105">
        <v>0</v>
      </c>
      <c r="CN90" s="105">
        <v>0</v>
      </c>
      <c r="CO90" s="105">
        <v>0</v>
      </c>
      <c r="CP90" s="105">
        <v>0</v>
      </c>
      <c r="CQ90" s="105">
        <v>0</v>
      </c>
      <c r="CR90" s="105">
        <v>0</v>
      </c>
      <c r="CS90" s="105">
        <v>0</v>
      </c>
      <c r="CT90" s="105">
        <v>0</v>
      </c>
      <c r="CU90" s="105">
        <v>0</v>
      </c>
    </row>
    <row r="91" spans="2:99" x14ac:dyDescent="0.2">
      <c r="C91" s="104" t="s">
        <v>257</v>
      </c>
      <c r="D91" s="105">
        <v>0</v>
      </c>
      <c r="E91" s="105">
        <v>0</v>
      </c>
      <c r="F91" s="105">
        <v>0</v>
      </c>
      <c r="G91" s="105">
        <v>0</v>
      </c>
      <c r="H91" s="105">
        <v>0</v>
      </c>
      <c r="I91" s="105">
        <v>0</v>
      </c>
      <c r="J91" s="105">
        <v>0</v>
      </c>
      <c r="K91" s="105">
        <v>0</v>
      </c>
      <c r="L91" s="105">
        <v>0</v>
      </c>
      <c r="M91" s="105">
        <v>0</v>
      </c>
      <c r="N91" s="105">
        <v>0</v>
      </c>
      <c r="O91" s="105">
        <v>0</v>
      </c>
      <c r="P91" s="105">
        <v>0</v>
      </c>
      <c r="Q91" s="105">
        <v>0</v>
      </c>
      <c r="R91" s="105">
        <v>0</v>
      </c>
      <c r="S91" s="105">
        <v>0</v>
      </c>
      <c r="T91" s="105">
        <v>0</v>
      </c>
      <c r="U91" s="105">
        <v>0</v>
      </c>
      <c r="V91" s="105">
        <v>0</v>
      </c>
      <c r="W91" s="105">
        <v>0</v>
      </c>
      <c r="X91" s="105">
        <v>0</v>
      </c>
      <c r="Y91" s="105">
        <v>0</v>
      </c>
      <c r="Z91" s="105">
        <v>0</v>
      </c>
      <c r="AA91" s="105">
        <v>0</v>
      </c>
      <c r="AB91" s="105">
        <v>0</v>
      </c>
      <c r="AC91" s="105">
        <v>0</v>
      </c>
      <c r="AD91" s="105">
        <v>0</v>
      </c>
      <c r="AE91" s="105">
        <v>0</v>
      </c>
      <c r="AF91" s="105">
        <v>0</v>
      </c>
      <c r="AG91" s="105">
        <v>0</v>
      </c>
      <c r="AH91" s="105">
        <v>0</v>
      </c>
      <c r="AI91" s="105">
        <v>0</v>
      </c>
      <c r="AJ91" s="105">
        <v>0</v>
      </c>
      <c r="AK91" s="105">
        <v>0</v>
      </c>
      <c r="AL91" s="105">
        <v>0</v>
      </c>
      <c r="AM91" s="105">
        <v>0</v>
      </c>
      <c r="AN91" s="105">
        <v>0</v>
      </c>
      <c r="AO91" s="105">
        <v>0</v>
      </c>
      <c r="AP91" s="105">
        <v>0</v>
      </c>
      <c r="AQ91" s="105">
        <v>0</v>
      </c>
      <c r="AR91" s="105">
        <v>0</v>
      </c>
      <c r="AS91" s="105">
        <v>0</v>
      </c>
      <c r="AT91" s="105">
        <v>0</v>
      </c>
      <c r="AU91" s="105">
        <v>0</v>
      </c>
      <c r="AV91" s="105">
        <v>0</v>
      </c>
      <c r="AW91" s="105">
        <v>0</v>
      </c>
      <c r="AX91" s="105">
        <v>0</v>
      </c>
      <c r="AY91" s="105">
        <v>0</v>
      </c>
      <c r="AZ91" s="105">
        <v>5.8129504649576553</v>
      </c>
      <c r="BA91" s="105">
        <v>4568.9790654567169</v>
      </c>
      <c r="BB91" s="105">
        <v>0</v>
      </c>
      <c r="BC91" s="105">
        <v>0</v>
      </c>
      <c r="BD91" s="105">
        <v>0</v>
      </c>
      <c r="BE91" s="105">
        <v>0</v>
      </c>
      <c r="BF91" s="105">
        <v>0</v>
      </c>
      <c r="BG91" s="105">
        <v>0</v>
      </c>
      <c r="BH91" s="105">
        <v>0</v>
      </c>
      <c r="BI91" s="105">
        <v>0</v>
      </c>
      <c r="BJ91" s="105">
        <v>0</v>
      </c>
      <c r="BK91" s="105">
        <v>0</v>
      </c>
      <c r="BL91" s="105">
        <v>0</v>
      </c>
      <c r="BM91" s="105">
        <v>0</v>
      </c>
      <c r="BN91" s="105">
        <v>0</v>
      </c>
      <c r="BO91" s="105">
        <v>0</v>
      </c>
      <c r="BP91" s="105">
        <v>0</v>
      </c>
      <c r="BQ91" s="105">
        <v>0</v>
      </c>
      <c r="BR91" s="105">
        <v>0</v>
      </c>
      <c r="BS91" s="105">
        <v>0</v>
      </c>
      <c r="BT91" s="105">
        <v>0</v>
      </c>
      <c r="BU91" s="105">
        <v>0</v>
      </c>
      <c r="BV91" s="105">
        <v>0</v>
      </c>
      <c r="BW91" s="105">
        <v>0</v>
      </c>
      <c r="BX91" s="105">
        <v>0</v>
      </c>
      <c r="BY91" s="105">
        <v>0</v>
      </c>
      <c r="BZ91" s="105">
        <v>0</v>
      </c>
      <c r="CA91" s="105">
        <v>0</v>
      </c>
      <c r="CB91" s="105">
        <v>0</v>
      </c>
      <c r="CC91" s="105">
        <v>0</v>
      </c>
      <c r="CD91" s="105">
        <v>0</v>
      </c>
      <c r="CE91" s="105">
        <v>0</v>
      </c>
      <c r="CF91" s="105">
        <v>0</v>
      </c>
      <c r="CG91" s="105">
        <v>0</v>
      </c>
      <c r="CH91" s="105">
        <v>0</v>
      </c>
      <c r="CI91" s="105">
        <v>0</v>
      </c>
      <c r="CJ91" s="105">
        <v>0</v>
      </c>
      <c r="CK91" s="105">
        <v>0</v>
      </c>
      <c r="CL91" s="105">
        <v>0</v>
      </c>
      <c r="CM91" s="105">
        <v>0</v>
      </c>
      <c r="CN91" s="105">
        <v>0</v>
      </c>
      <c r="CO91" s="105">
        <v>0</v>
      </c>
      <c r="CP91" s="105">
        <v>0</v>
      </c>
      <c r="CQ91" s="105">
        <v>0</v>
      </c>
      <c r="CR91" s="105">
        <v>0</v>
      </c>
      <c r="CS91" s="105">
        <v>0</v>
      </c>
      <c r="CT91" s="105">
        <v>0</v>
      </c>
      <c r="CU91" s="105">
        <v>0</v>
      </c>
    </row>
    <row r="92" spans="2:99" x14ac:dyDescent="0.2">
      <c r="C92" s="104" t="s">
        <v>258</v>
      </c>
      <c r="D92" s="105">
        <v>0</v>
      </c>
      <c r="E92" s="105">
        <v>0</v>
      </c>
      <c r="F92" s="105">
        <v>0</v>
      </c>
      <c r="G92" s="105">
        <v>0</v>
      </c>
      <c r="H92" s="105">
        <v>0</v>
      </c>
      <c r="I92" s="105">
        <v>0</v>
      </c>
      <c r="J92" s="105">
        <v>0</v>
      </c>
      <c r="K92" s="105">
        <v>0</v>
      </c>
      <c r="L92" s="105">
        <v>0</v>
      </c>
      <c r="M92" s="105">
        <v>0</v>
      </c>
      <c r="N92" s="105">
        <v>0</v>
      </c>
      <c r="O92" s="105">
        <v>0</v>
      </c>
      <c r="P92" s="105">
        <v>0</v>
      </c>
      <c r="Q92" s="105">
        <v>0</v>
      </c>
      <c r="R92" s="105">
        <v>0</v>
      </c>
      <c r="S92" s="105">
        <v>0</v>
      </c>
      <c r="T92" s="105">
        <v>0</v>
      </c>
      <c r="U92" s="105">
        <v>0</v>
      </c>
      <c r="V92" s="105">
        <v>0</v>
      </c>
      <c r="W92" s="105">
        <v>0</v>
      </c>
      <c r="X92" s="105">
        <v>0</v>
      </c>
      <c r="Y92" s="105">
        <v>0</v>
      </c>
      <c r="Z92" s="105">
        <v>0</v>
      </c>
      <c r="AA92" s="105">
        <v>0</v>
      </c>
      <c r="AB92" s="105">
        <v>0</v>
      </c>
      <c r="AC92" s="105">
        <v>0</v>
      </c>
      <c r="AD92" s="105">
        <v>0</v>
      </c>
      <c r="AE92" s="105">
        <v>0</v>
      </c>
      <c r="AF92" s="105">
        <v>0</v>
      </c>
      <c r="AG92" s="105">
        <v>0</v>
      </c>
      <c r="AH92" s="105">
        <v>0</v>
      </c>
      <c r="AI92" s="105">
        <v>0</v>
      </c>
      <c r="AJ92" s="105">
        <v>0</v>
      </c>
      <c r="AK92" s="105">
        <v>0</v>
      </c>
      <c r="AL92" s="105">
        <v>0</v>
      </c>
      <c r="AM92" s="105">
        <v>0</v>
      </c>
      <c r="AN92" s="105">
        <v>0</v>
      </c>
      <c r="AO92" s="105">
        <v>0</v>
      </c>
      <c r="AP92" s="105">
        <v>0</v>
      </c>
      <c r="AQ92" s="105">
        <v>0</v>
      </c>
      <c r="AR92" s="105">
        <v>0</v>
      </c>
      <c r="AS92" s="105">
        <v>0</v>
      </c>
      <c r="AT92" s="105">
        <v>0</v>
      </c>
      <c r="AU92" s="105">
        <v>0</v>
      </c>
      <c r="AV92" s="105">
        <v>0</v>
      </c>
      <c r="AW92" s="105">
        <v>0</v>
      </c>
      <c r="AX92" s="105">
        <v>0</v>
      </c>
      <c r="AY92" s="105">
        <v>0</v>
      </c>
      <c r="AZ92" s="105">
        <v>5.8129504649576553</v>
      </c>
      <c r="BA92" s="105">
        <v>5447.897175758314</v>
      </c>
      <c r="BB92" s="105">
        <v>0</v>
      </c>
      <c r="BC92" s="105">
        <v>0</v>
      </c>
      <c r="BD92" s="105">
        <v>0</v>
      </c>
      <c r="BE92" s="105">
        <v>0</v>
      </c>
      <c r="BF92" s="105">
        <v>0</v>
      </c>
      <c r="BG92" s="105">
        <v>0</v>
      </c>
      <c r="BH92" s="105">
        <v>0</v>
      </c>
      <c r="BI92" s="105">
        <v>0</v>
      </c>
      <c r="BJ92" s="105">
        <v>0</v>
      </c>
      <c r="BK92" s="105">
        <v>0</v>
      </c>
      <c r="BL92" s="105">
        <v>0</v>
      </c>
      <c r="BM92" s="105">
        <v>0</v>
      </c>
      <c r="BN92" s="105">
        <v>0</v>
      </c>
      <c r="BO92" s="105">
        <v>0</v>
      </c>
      <c r="BP92" s="105">
        <v>0</v>
      </c>
      <c r="BQ92" s="105">
        <v>0</v>
      </c>
      <c r="BR92" s="105">
        <v>0</v>
      </c>
      <c r="BS92" s="105">
        <v>0</v>
      </c>
      <c r="BT92" s="105">
        <v>0</v>
      </c>
      <c r="BU92" s="105">
        <v>0</v>
      </c>
      <c r="BV92" s="105">
        <v>0</v>
      </c>
      <c r="BW92" s="105">
        <v>0</v>
      </c>
      <c r="BX92" s="105">
        <v>0</v>
      </c>
      <c r="BY92" s="105">
        <v>0</v>
      </c>
      <c r="BZ92" s="105">
        <v>0</v>
      </c>
      <c r="CA92" s="105">
        <v>0</v>
      </c>
      <c r="CB92" s="105">
        <v>0</v>
      </c>
      <c r="CC92" s="105">
        <v>0</v>
      </c>
      <c r="CD92" s="105">
        <v>0</v>
      </c>
      <c r="CE92" s="105">
        <v>0</v>
      </c>
      <c r="CF92" s="105">
        <v>0</v>
      </c>
      <c r="CG92" s="105">
        <v>0</v>
      </c>
      <c r="CH92" s="105">
        <v>0</v>
      </c>
      <c r="CI92" s="105">
        <v>0</v>
      </c>
      <c r="CJ92" s="105">
        <v>0</v>
      </c>
      <c r="CK92" s="105">
        <v>0</v>
      </c>
      <c r="CL92" s="105">
        <v>0</v>
      </c>
      <c r="CM92" s="105">
        <v>0</v>
      </c>
      <c r="CN92" s="105">
        <v>0</v>
      </c>
      <c r="CO92" s="105">
        <v>0</v>
      </c>
      <c r="CP92" s="105">
        <v>0</v>
      </c>
      <c r="CQ92" s="105">
        <v>0</v>
      </c>
      <c r="CR92" s="105">
        <v>0</v>
      </c>
      <c r="CS92" s="105">
        <v>0</v>
      </c>
      <c r="CT92" s="105">
        <v>0</v>
      </c>
      <c r="CU92" s="105">
        <v>0</v>
      </c>
    </row>
    <row r="93" spans="2:99" x14ac:dyDescent="0.2">
      <c r="C93" s="104" t="s">
        <v>259</v>
      </c>
      <c r="D93" s="105">
        <v>0</v>
      </c>
      <c r="E93" s="105">
        <v>0</v>
      </c>
      <c r="F93" s="105">
        <v>0</v>
      </c>
      <c r="G93" s="105">
        <v>0</v>
      </c>
      <c r="H93" s="105">
        <v>0</v>
      </c>
      <c r="I93" s="105">
        <v>0</v>
      </c>
      <c r="J93" s="105">
        <v>0</v>
      </c>
      <c r="K93" s="105">
        <v>0</v>
      </c>
      <c r="L93" s="105">
        <v>0</v>
      </c>
      <c r="M93" s="105">
        <v>0</v>
      </c>
      <c r="N93" s="105">
        <v>0</v>
      </c>
      <c r="O93" s="105">
        <v>0</v>
      </c>
      <c r="P93" s="105">
        <v>0</v>
      </c>
      <c r="Q93" s="105">
        <v>0</v>
      </c>
      <c r="R93" s="105">
        <v>0</v>
      </c>
      <c r="S93" s="105">
        <v>0</v>
      </c>
      <c r="T93" s="105">
        <v>0</v>
      </c>
      <c r="U93" s="105">
        <v>0</v>
      </c>
      <c r="V93" s="105">
        <v>0</v>
      </c>
      <c r="W93" s="105">
        <v>0</v>
      </c>
      <c r="X93" s="105">
        <v>0</v>
      </c>
      <c r="Y93" s="105">
        <v>0</v>
      </c>
      <c r="Z93" s="105">
        <v>0</v>
      </c>
      <c r="AA93" s="105">
        <v>0</v>
      </c>
      <c r="AB93" s="105">
        <v>0</v>
      </c>
      <c r="AC93" s="105">
        <v>0</v>
      </c>
      <c r="AD93" s="105">
        <v>0</v>
      </c>
      <c r="AE93" s="105">
        <v>0</v>
      </c>
      <c r="AF93" s="105">
        <v>0</v>
      </c>
      <c r="AG93" s="105">
        <v>0</v>
      </c>
      <c r="AH93" s="105">
        <v>0</v>
      </c>
      <c r="AI93" s="105">
        <v>0</v>
      </c>
      <c r="AJ93" s="105">
        <v>0</v>
      </c>
      <c r="AK93" s="105">
        <v>0</v>
      </c>
      <c r="AL93" s="105">
        <v>0</v>
      </c>
      <c r="AM93" s="105">
        <v>0</v>
      </c>
      <c r="AN93" s="105">
        <v>0</v>
      </c>
      <c r="AO93" s="105">
        <v>0</v>
      </c>
      <c r="AP93" s="105">
        <v>0</v>
      </c>
      <c r="AQ93" s="105">
        <v>0</v>
      </c>
      <c r="AR93" s="105">
        <v>0</v>
      </c>
      <c r="AS93" s="105">
        <v>0</v>
      </c>
      <c r="AT93" s="105">
        <v>0</v>
      </c>
      <c r="AU93" s="105">
        <v>0</v>
      </c>
      <c r="AV93" s="105">
        <v>0</v>
      </c>
      <c r="AW93" s="105">
        <v>0</v>
      </c>
      <c r="AX93" s="105">
        <v>0</v>
      </c>
      <c r="AY93" s="105">
        <v>0</v>
      </c>
      <c r="AZ93" s="105">
        <v>5.8129504649576553</v>
      </c>
      <c r="BA93" s="105">
        <v>3397.0882517212535</v>
      </c>
      <c r="BB93" s="105">
        <v>0</v>
      </c>
      <c r="BC93" s="105">
        <v>0</v>
      </c>
      <c r="BD93" s="105">
        <v>0</v>
      </c>
      <c r="BE93" s="105">
        <v>0</v>
      </c>
      <c r="BF93" s="105">
        <v>0</v>
      </c>
      <c r="BG93" s="105">
        <v>0</v>
      </c>
      <c r="BH93" s="105">
        <v>0</v>
      </c>
      <c r="BI93" s="105">
        <v>0</v>
      </c>
      <c r="BJ93" s="105">
        <v>0</v>
      </c>
      <c r="BK93" s="105">
        <v>0</v>
      </c>
      <c r="BL93" s="105">
        <v>0</v>
      </c>
      <c r="BM93" s="105">
        <v>0</v>
      </c>
      <c r="BN93" s="105">
        <v>0</v>
      </c>
      <c r="BO93" s="105">
        <v>0</v>
      </c>
      <c r="BP93" s="105">
        <v>0</v>
      </c>
      <c r="BQ93" s="105">
        <v>0</v>
      </c>
      <c r="BR93" s="105">
        <v>0</v>
      </c>
      <c r="BS93" s="105">
        <v>0</v>
      </c>
      <c r="BT93" s="105">
        <v>0</v>
      </c>
      <c r="BU93" s="105">
        <v>0</v>
      </c>
      <c r="BV93" s="105">
        <v>0</v>
      </c>
      <c r="BW93" s="105">
        <v>0</v>
      </c>
      <c r="BX93" s="105">
        <v>0</v>
      </c>
      <c r="BY93" s="105">
        <v>0</v>
      </c>
      <c r="BZ93" s="105">
        <v>0</v>
      </c>
      <c r="CA93" s="105">
        <v>0</v>
      </c>
      <c r="CB93" s="105">
        <v>0</v>
      </c>
      <c r="CC93" s="105">
        <v>0</v>
      </c>
      <c r="CD93" s="105">
        <v>0</v>
      </c>
      <c r="CE93" s="105">
        <v>0</v>
      </c>
      <c r="CF93" s="105">
        <v>0</v>
      </c>
      <c r="CG93" s="105">
        <v>0</v>
      </c>
      <c r="CH93" s="105">
        <v>0</v>
      </c>
      <c r="CI93" s="105">
        <v>0</v>
      </c>
      <c r="CJ93" s="105">
        <v>0</v>
      </c>
      <c r="CK93" s="105">
        <v>0</v>
      </c>
      <c r="CL93" s="105">
        <v>0</v>
      </c>
      <c r="CM93" s="105">
        <v>0</v>
      </c>
      <c r="CN93" s="105">
        <v>0</v>
      </c>
      <c r="CO93" s="105">
        <v>0</v>
      </c>
      <c r="CP93" s="105">
        <v>0</v>
      </c>
      <c r="CQ93" s="105">
        <v>0</v>
      </c>
      <c r="CR93" s="105">
        <v>0</v>
      </c>
      <c r="CS93" s="105">
        <v>0</v>
      </c>
      <c r="CT93" s="105">
        <v>0</v>
      </c>
      <c r="CU93" s="105">
        <v>0</v>
      </c>
    </row>
    <row r="94" spans="2:99" x14ac:dyDescent="0.2">
      <c r="C94" s="104" t="s">
        <v>260</v>
      </c>
      <c r="D94" s="105">
        <v>0</v>
      </c>
      <c r="E94" s="105">
        <v>0</v>
      </c>
      <c r="F94" s="105">
        <v>0</v>
      </c>
      <c r="G94" s="105">
        <v>0</v>
      </c>
      <c r="H94" s="105">
        <v>0</v>
      </c>
      <c r="I94" s="105">
        <v>0</v>
      </c>
      <c r="J94" s="105">
        <v>0</v>
      </c>
      <c r="K94" s="105">
        <v>0</v>
      </c>
      <c r="L94" s="105">
        <v>0</v>
      </c>
      <c r="M94" s="105">
        <v>0</v>
      </c>
      <c r="N94" s="105">
        <v>0</v>
      </c>
      <c r="O94" s="105">
        <v>0</v>
      </c>
      <c r="P94" s="105">
        <v>0</v>
      </c>
      <c r="Q94" s="105">
        <v>0</v>
      </c>
      <c r="R94" s="105">
        <v>0</v>
      </c>
      <c r="S94" s="105">
        <v>0</v>
      </c>
      <c r="T94" s="105">
        <v>0</v>
      </c>
      <c r="U94" s="105">
        <v>0</v>
      </c>
      <c r="V94" s="105">
        <v>0</v>
      </c>
      <c r="W94" s="105">
        <v>0</v>
      </c>
      <c r="X94" s="105">
        <v>0</v>
      </c>
      <c r="Y94" s="105">
        <v>0</v>
      </c>
      <c r="Z94" s="105">
        <v>0</v>
      </c>
      <c r="AA94" s="105">
        <v>0</v>
      </c>
      <c r="AB94" s="105">
        <v>0</v>
      </c>
      <c r="AC94" s="105">
        <v>0</v>
      </c>
      <c r="AD94" s="105">
        <v>0</v>
      </c>
      <c r="AE94" s="105">
        <v>0</v>
      </c>
      <c r="AF94" s="105">
        <v>0</v>
      </c>
      <c r="AG94" s="105">
        <v>0</v>
      </c>
      <c r="AH94" s="105">
        <v>0</v>
      </c>
      <c r="AI94" s="105">
        <v>0</v>
      </c>
      <c r="AJ94" s="105">
        <v>0</v>
      </c>
      <c r="AK94" s="105">
        <v>0</v>
      </c>
      <c r="AL94" s="105">
        <v>0</v>
      </c>
      <c r="AM94" s="105">
        <v>0</v>
      </c>
      <c r="AN94" s="105">
        <v>0</v>
      </c>
      <c r="AO94" s="105">
        <v>0</v>
      </c>
      <c r="AP94" s="105">
        <v>0</v>
      </c>
      <c r="AQ94" s="105">
        <v>0</v>
      </c>
      <c r="AR94" s="105">
        <v>0</v>
      </c>
      <c r="AS94" s="105">
        <v>0</v>
      </c>
      <c r="AT94" s="105">
        <v>0</v>
      </c>
      <c r="AU94" s="105">
        <v>0</v>
      </c>
      <c r="AV94" s="105">
        <v>0</v>
      </c>
      <c r="AW94" s="105">
        <v>0</v>
      </c>
      <c r="AX94" s="105">
        <v>0</v>
      </c>
      <c r="AY94" s="105">
        <v>0</v>
      </c>
      <c r="AZ94" s="105">
        <v>6.7817755424505979</v>
      </c>
      <c r="BA94" s="105">
        <v>5436.2712748283993</v>
      </c>
      <c r="BB94" s="105">
        <v>0</v>
      </c>
      <c r="BC94" s="105">
        <v>0</v>
      </c>
      <c r="BD94" s="105">
        <v>0</v>
      </c>
      <c r="BE94" s="105">
        <v>0</v>
      </c>
      <c r="BF94" s="105">
        <v>0</v>
      </c>
      <c r="BG94" s="105">
        <v>0</v>
      </c>
      <c r="BH94" s="105">
        <v>0</v>
      </c>
      <c r="BI94" s="105">
        <v>0</v>
      </c>
      <c r="BJ94" s="105">
        <v>0</v>
      </c>
      <c r="BK94" s="105">
        <v>0</v>
      </c>
      <c r="BL94" s="105">
        <v>0</v>
      </c>
      <c r="BM94" s="105">
        <v>0</v>
      </c>
      <c r="BN94" s="105">
        <v>0</v>
      </c>
      <c r="BO94" s="105">
        <v>0</v>
      </c>
      <c r="BP94" s="105">
        <v>0</v>
      </c>
      <c r="BQ94" s="105">
        <v>0</v>
      </c>
      <c r="BR94" s="105">
        <v>0</v>
      </c>
      <c r="BS94" s="105">
        <v>0</v>
      </c>
      <c r="BT94" s="105">
        <v>0</v>
      </c>
      <c r="BU94" s="105">
        <v>0</v>
      </c>
      <c r="BV94" s="105">
        <v>0</v>
      </c>
      <c r="BW94" s="105">
        <v>0</v>
      </c>
      <c r="BX94" s="105">
        <v>0</v>
      </c>
      <c r="BY94" s="105">
        <v>0</v>
      </c>
      <c r="BZ94" s="105">
        <v>0</v>
      </c>
      <c r="CA94" s="105">
        <v>0</v>
      </c>
      <c r="CB94" s="105">
        <v>0</v>
      </c>
      <c r="CC94" s="105">
        <v>0</v>
      </c>
      <c r="CD94" s="105">
        <v>0</v>
      </c>
      <c r="CE94" s="105">
        <v>0</v>
      </c>
      <c r="CF94" s="105">
        <v>0</v>
      </c>
      <c r="CG94" s="105">
        <v>0</v>
      </c>
      <c r="CH94" s="105">
        <v>0</v>
      </c>
      <c r="CI94" s="105">
        <v>0</v>
      </c>
      <c r="CJ94" s="105">
        <v>0</v>
      </c>
      <c r="CK94" s="105">
        <v>0</v>
      </c>
      <c r="CL94" s="105">
        <v>0</v>
      </c>
      <c r="CM94" s="105">
        <v>0</v>
      </c>
      <c r="CN94" s="105">
        <v>0</v>
      </c>
      <c r="CO94" s="105">
        <v>0</v>
      </c>
      <c r="CP94" s="105">
        <v>0</v>
      </c>
      <c r="CQ94" s="105">
        <v>0</v>
      </c>
      <c r="CR94" s="105">
        <v>0</v>
      </c>
      <c r="CS94" s="105">
        <v>0</v>
      </c>
      <c r="CT94" s="105">
        <v>0</v>
      </c>
      <c r="CU94" s="105">
        <v>0</v>
      </c>
    </row>
    <row r="95" spans="2:99" x14ac:dyDescent="0.2">
      <c r="B95" s="104" t="s">
        <v>132</v>
      </c>
      <c r="C95" s="104" t="s">
        <v>261</v>
      </c>
      <c r="D95" s="105">
        <v>0</v>
      </c>
      <c r="E95" s="105">
        <v>0</v>
      </c>
      <c r="F95" s="105">
        <v>0</v>
      </c>
      <c r="G95" s="105">
        <v>0</v>
      </c>
      <c r="H95" s="105">
        <v>0</v>
      </c>
      <c r="I95" s="105">
        <v>0</v>
      </c>
      <c r="J95" s="105">
        <v>0</v>
      </c>
      <c r="K95" s="105">
        <v>0</v>
      </c>
      <c r="L95" s="105">
        <v>0</v>
      </c>
      <c r="M95" s="105">
        <v>0</v>
      </c>
      <c r="N95" s="105">
        <v>0</v>
      </c>
      <c r="O95" s="105">
        <v>0</v>
      </c>
      <c r="P95" s="105">
        <v>0</v>
      </c>
      <c r="Q95" s="105">
        <v>0</v>
      </c>
      <c r="R95" s="105">
        <v>0</v>
      </c>
      <c r="S95" s="105">
        <v>0</v>
      </c>
      <c r="T95" s="105">
        <v>0</v>
      </c>
      <c r="U95" s="105">
        <v>0</v>
      </c>
      <c r="V95" s="105">
        <v>0</v>
      </c>
      <c r="W95" s="105">
        <v>0</v>
      </c>
      <c r="X95" s="105">
        <v>0</v>
      </c>
      <c r="Y95" s="105">
        <v>0</v>
      </c>
      <c r="Z95" s="105">
        <v>0</v>
      </c>
      <c r="AA95" s="105">
        <v>0</v>
      </c>
      <c r="AB95" s="105">
        <v>0</v>
      </c>
      <c r="AC95" s="105">
        <v>0</v>
      </c>
      <c r="AD95" s="105">
        <v>0</v>
      </c>
      <c r="AE95" s="105">
        <v>0</v>
      </c>
      <c r="AF95" s="105">
        <v>0</v>
      </c>
      <c r="AG95" s="105">
        <v>0</v>
      </c>
      <c r="AH95" s="105">
        <v>0</v>
      </c>
      <c r="AI95" s="105">
        <v>0</v>
      </c>
      <c r="AJ95" s="105">
        <v>0</v>
      </c>
      <c r="AK95" s="105">
        <v>0</v>
      </c>
      <c r="AL95" s="105">
        <v>0</v>
      </c>
      <c r="AM95" s="105">
        <v>0</v>
      </c>
      <c r="AN95" s="105">
        <v>0</v>
      </c>
      <c r="AO95" s="105">
        <v>0</v>
      </c>
      <c r="AP95" s="105">
        <v>0</v>
      </c>
      <c r="AQ95" s="105">
        <v>0</v>
      </c>
      <c r="AR95" s="105">
        <v>0</v>
      </c>
      <c r="AS95" s="105">
        <v>0</v>
      </c>
      <c r="AT95" s="105">
        <v>0</v>
      </c>
      <c r="AU95" s="105">
        <v>0</v>
      </c>
      <c r="AV95" s="105">
        <v>0</v>
      </c>
      <c r="AW95" s="105">
        <v>0</v>
      </c>
      <c r="AX95" s="105">
        <v>0</v>
      </c>
      <c r="AY95" s="105">
        <v>0</v>
      </c>
      <c r="AZ95" s="105">
        <v>5.8129504649576553</v>
      </c>
      <c r="BA95" s="105">
        <v>2232.1729785437396</v>
      </c>
      <c r="BB95" s="105">
        <v>0</v>
      </c>
      <c r="BC95" s="105">
        <v>0</v>
      </c>
      <c r="BD95" s="105">
        <v>0</v>
      </c>
      <c r="BE95" s="105">
        <v>0</v>
      </c>
      <c r="BF95" s="105">
        <v>0</v>
      </c>
      <c r="BG95" s="105">
        <v>0</v>
      </c>
      <c r="BH95" s="105">
        <v>0</v>
      </c>
      <c r="BI95" s="105">
        <v>0</v>
      </c>
      <c r="BJ95" s="105">
        <v>0</v>
      </c>
      <c r="BK95" s="105">
        <v>0</v>
      </c>
      <c r="BL95" s="105">
        <v>0</v>
      </c>
      <c r="BM95" s="105">
        <v>0</v>
      </c>
      <c r="BN95" s="105">
        <v>0</v>
      </c>
      <c r="BO95" s="105">
        <v>0</v>
      </c>
      <c r="BP95" s="105">
        <v>0</v>
      </c>
      <c r="BQ95" s="105">
        <v>0</v>
      </c>
      <c r="BR95" s="105">
        <v>0</v>
      </c>
      <c r="BS95" s="105">
        <v>0</v>
      </c>
      <c r="BT95" s="105">
        <v>0</v>
      </c>
      <c r="BU95" s="105">
        <v>0</v>
      </c>
      <c r="BV95" s="105">
        <v>0</v>
      </c>
      <c r="BW95" s="105">
        <v>0</v>
      </c>
      <c r="BX95" s="105">
        <v>0</v>
      </c>
      <c r="BY95" s="105">
        <v>0</v>
      </c>
      <c r="BZ95" s="105">
        <v>0</v>
      </c>
      <c r="CA95" s="105">
        <v>0</v>
      </c>
      <c r="CB95" s="105">
        <v>0</v>
      </c>
      <c r="CC95" s="105">
        <v>0</v>
      </c>
      <c r="CD95" s="105">
        <v>0</v>
      </c>
      <c r="CE95" s="105">
        <v>0</v>
      </c>
      <c r="CF95" s="105">
        <v>0</v>
      </c>
      <c r="CG95" s="105">
        <v>0</v>
      </c>
      <c r="CH95" s="105">
        <v>0</v>
      </c>
      <c r="CI95" s="105">
        <v>0</v>
      </c>
      <c r="CJ95" s="105">
        <v>0</v>
      </c>
      <c r="CK95" s="105">
        <v>0</v>
      </c>
      <c r="CL95" s="105">
        <v>0</v>
      </c>
      <c r="CM95" s="105">
        <v>0</v>
      </c>
      <c r="CN95" s="105">
        <v>0</v>
      </c>
      <c r="CO95" s="105">
        <v>0</v>
      </c>
      <c r="CP95" s="105">
        <v>0</v>
      </c>
      <c r="CQ95" s="105">
        <v>0</v>
      </c>
      <c r="CR95" s="105">
        <v>0</v>
      </c>
      <c r="CS95" s="105">
        <v>0</v>
      </c>
      <c r="CT95" s="105">
        <v>0</v>
      </c>
      <c r="CU95" s="105">
        <v>0</v>
      </c>
    </row>
    <row r="96" spans="2:99" x14ac:dyDescent="0.2">
      <c r="C96" s="104" t="s">
        <v>262</v>
      </c>
      <c r="D96" s="105">
        <v>6</v>
      </c>
      <c r="E96" s="105">
        <v>5018.3999999999996</v>
      </c>
      <c r="F96" s="105">
        <v>4.7368421052631575</v>
      </c>
      <c r="G96" s="105">
        <v>3961.894736842105</v>
      </c>
      <c r="H96" s="105">
        <v>4.9000000000000004</v>
      </c>
      <c r="I96" s="105">
        <v>4098.3600000000006</v>
      </c>
      <c r="J96" s="105">
        <v>7.0630630630630629</v>
      </c>
      <c r="K96" s="105">
        <v>5907.5459459459453</v>
      </c>
      <c r="L96" s="105">
        <v>4.6666666666666661</v>
      </c>
      <c r="M96" s="105">
        <v>3903.1999999999994</v>
      </c>
      <c r="N96" s="105">
        <v>4</v>
      </c>
      <c r="O96" s="105">
        <v>3345.6</v>
      </c>
      <c r="P96" s="105">
        <v>4.6398305084745761</v>
      </c>
      <c r="Q96" s="105">
        <v>3880.7542372881353</v>
      </c>
      <c r="R96" s="105">
        <v>5.7166666666666668</v>
      </c>
      <c r="S96" s="105">
        <v>4781.42</v>
      </c>
      <c r="T96" s="105">
        <v>6.7677130044843059</v>
      </c>
      <c r="U96" s="105">
        <v>5660.5151569506734</v>
      </c>
      <c r="V96" s="105">
        <v>5</v>
      </c>
      <c r="W96" s="105">
        <v>4182</v>
      </c>
      <c r="X96" s="105">
        <v>5</v>
      </c>
      <c r="Y96" s="105">
        <v>4182</v>
      </c>
      <c r="Z96" s="105">
        <v>4</v>
      </c>
      <c r="AA96" s="105">
        <v>3345.6</v>
      </c>
      <c r="AB96" s="105">
        <v>4</v>
      </c>
      <c r="AC96" s="105">
        <v>3345.6</v>
      </c>
      <c r="AD96" s="105">
        <v>7</v>
      </c>
      <c r="AE96" s="105">
        <v>5854.8</v>
      </c>
      <c r="AF96" s="105">
        <v>5</v>
      </c>
      <c r="AG96" s="105">
        <v>4182</v>
      </c>
      <c r="AH96" s="105">
        <v>7</v>
      </c>
      <c r="AI96" s="105">
        <v>5854.8</v>
      </c>
      <c r="AJ96" s="105">
        <v>5</v>
      </c>
      <c r="AK96" s="105">
        <v>4182</v>
      </c>
      <c r="AL96" s="105">
        <v>8</v>
      </c>
      <c r="AM96" s="105">
        <v>6691.2</v>
      </c>
      <c r="AN96" s="105">
        <v>5</v>
      </c>
      <c r="AO96" s="105">
        <v>4182</v>
      </c>
      <c r="AP96" s="105">
        <v>6</v>
      </c>
      <c r="AQ96" s="105">
        <v>5018.3999999999996</v>
      </c>
      <c r="AR96" s="105">
        <v>6</v>
      </c>
      <c r="AS96" s="105">
        <v>5018.3999999999996</v>
      </c>
      <c r="AT96" s="105">
        <v>6</v>
      </c>
      <c r="AU96" s="105">
        <v>5018.3999999999996</v>
      </c>
      <c r="AV96" s="105">
        <v>8</v>
      </c>
      <c r="AW96" s="105">
        <v>6691.2</v>
      </c>
      <c r="AX96" s="105">
        <v>7</v>
      </c>
      <c r="AY96" s="105">
        <v>5854.8</v>
      </c>
      <c r="AZ96" s="105">
        <v>7</v>
      </c>
      <c r="BA96" s="105">
        <v>5854.8</v>
      </c>
      <c r="BB96" s="105">
        <v>4.6465564775746913</v>
      </c>
      <c r="BC96" s="105">
        <v>3886.3798378434717</v>
      </c>
      <c r="BD96" s="105">
        <v>6.4413145539906109</v>
      </c>
      <c r="BE96" s="105">
        <v>5387.5154929577466</v>
      </c>
      <c r="BF96" s="105">
        <v>3.1485943775100398</v>
      </c>
      <c r="BG96" s="105">
        <v>2633.4843373493973</v>
      </c>
      <c r="BH96" s="105">
        <v>7.2742268041237113</v>
      </c>
      <c r="BI96" s="105">
        <v>6084.1632989690715</v>
      </c>
      <c r="BJ96" s="105">
        <v>6</v>
      </c>
      <c r="BK96" s="105">
        <v>5018.3999999999996</v>
      </c>
      <c r="BL96" s="105">
        <v>4</v>
      </c>
      <c r="BM96" s="105">
        <v>3345.6</v>
      </c>
      <c r="BN96" s="105">
        <v>5.6806584362139922</v>
      </c>
      <c r="BO96" s="105">
        <v>4751.302716049383</v>
      </c>
      <c r="BP96" s="105">
        <v>6.0854838709677423</v>
      </c>
      <c r="BQ96" s="105">
        <v>5089.8987096774199</v>
      </c>
      <c r="BR96" s="105">
        <v>6</v>
      </c>
      <c r="BS96" s="105">
        <v>5018.3999999999996</v>
      </c>
      <c r="BT96" s="105">
        <v>5</v>
      </c>
      <c r="BU96" s="105">
        <v>4182</v>
      </c>
      <c r="BV96" s="105">
        <v>6</v>
      </c>
      <c r="BW96" s="105">
        <v>5018.3999999999996</v>
      </c>
      <c r="BX96" s="105">
        <v>8</v>
      </c>
      <c r="BY96" s="105">
        <v>6691.2</v>
      </c>
      <c r="BZ96" s="105">
        <v>7.0481012658227868</v>
      </c>
      <c r="CA96" s="105">
        <v>5895.0318987341789</v>
      </c>
      <c r="CB96" s="105">
        <v>6</v>
      </c>
      <c r="CC96" s="105">
        <v>5018.3999999999996</v>
      </c>
      <c r="CD96" s="105">
        <v>7</v>
      </c>
      <c r="CE96" s="105">
        <v>5854.8</v>
      </c>
      <c r="CF96" s="105">
        <v>5.8452356644919288</v>
      </c>
      <c r="CG96" s="105">
        <v>4888.955109781049</v>
      </c>
      <c r="CH96" s="105">
        <v>3.8811881188118811</v>
      </c>
      <c r="CI96" s="105">
        <v>3246.2257425742573</v>
      </c>
      <c r="CJ96" s="105">
        <v>5.7166666666666668</v>
      </c>
      <c r="CK96" s="105">
        <v>4781.42</v>
      </c>
      <c r="CL96" s="105">
        <v>5.532258064516129</v>
      </c>
      <c r="CM96" s="105">
        <v>4627.1806451612902</v>
      </c>
      <c r="CN96" s="105">
        <v>4.5161290322580649</v>
      </c>
      <c r="CO96" s="105">
        <v>3777.2903225806454</v>
      </c>
      <c r="CP96" s="105">
        <v>3.904382470119522</v>
      </c>
      <c r="CQ96" s="105">
        <v>3265.625498007968</v>
      </c>
      <c r="CR96" s="105">
        <v>9</v>
      </c>
      <c r="CS96" s="105">
        <v>7527.5999999999995</v>
      </c>
      <c r="CT96" s="105">
        <v>6</v>
      </c>
      <c r="CU96" s="105">
        <v>5018.3999999999996</v>
      </c>
    </row>
    <row r="97" spans="2:99" x14ac:dyDescent="0.2">
      <c r="C97" s="104" t="s">
        <v>263</v>
      </c>
      <c r="D97" s="105">
        <v>0</v>
      </c>
      <c r="E97" s="105">
        <v>0</v>
      </c>
      <c r="F97" s="105">
        <v>0</v>
      </c>
      <c r="G97" s="105">
        <v>0</v>
      </c>
      <c r="H97" s="105">
        <v>0</v>
      </c>
      <c r="I97" s="105">
        <v>0</v>
      </c>
      <c r="J97" s="105">
        <v>0</v>
      </c>
      <c r="K97" s="105">
        <v>0</v>
      </c>
      <c r="L97" s="105">
        <v>0</v>
      </c>
      <c r="M97" s="105">
        <v>0</v>
      </c>
      <c r="N97" s="105">
        <v>0</v>
      </c>
      <c r="O97" s="105">
        <v>0</v>
      </c>
      <c r="P97" s="105">
        <v>0</v>
      </c>
      <c r="Q97" s="105">
        <v>0</v>
      </c>
      <c r="R97" s="105">
        <v>0</v>
      </c>
      <c r="S97" s="105">
        <v>0</v>
      </c>
      <c r="T97" s="105">
        <v>0</v>
      </c>
      <c r="U97" s="105">
        <v>0</v>
      </c>
      <c r="V97" s="105">
        <v>0</v>
      </c>
      <c r="W97" s="105">
        <v>0</v>
      </c>
      <c r="X97" s="105">
        <v>0</v>
      </c>
      <c r="Y97" s="105">
        <v>0</v>
      </c>
      <c r="Z97" s="105">
        <v>0</v>
      </c>
      <c r="AA97" s="105">
        <v>0</v>
      </c>
      <c r="AB97" s="105">
        <v>0</v>
      </c>
      <c r="AC97" s="105">
        <v>0</v>
      </c>
      <c r="AD97" s="105">
        <v>0</v>
      </c>
      <c r="AE97" s="105">
        <v>0</v>
      </c>
      <c r="AF97" s="105">
        <v>0</v>
      </c>
      <c r="AG97" s="105">
        <v>0</v>
      </c>
      <c r="AH97" s="105">
        <v>0</v>
      </c>
      <c r="AI97" s="105">
        <v>0</v>
      </c>
      <c r="AJ97" s="105">
        <v>0</v>
      </c>
      <c r="AK97" s="105">
        <v>0</v>
      </c>
      <c r="AL97" s="105">
        <v>0</v>
      </c>
      <c r="AM97" s="105">
        <v>0</v>
      </c>
      <c r="AN97" s="105">
        <v>0</v>
      </c>
      <c r="AO97" s="105">
        <v>0</v>
      </c>
      <c r="AP97" s="105">
        <v>0</v>
      </c>
      <c r="AQ97" s="105">
        <v>0</v>
      </c>
      <c r="AR97" s="105">
        <v>0</v>
      </c>
      <c r="AS97" s="105">
        <v>0</v>
      </c>
      <c r="AT97" s="105">
        <v>0</v>
      </c>
      <c r="AU97" s="105">
        <v>0</v>
      </c>
      <c r="AV97" s="105">
        <v>0</v>
      </c>
      <c r="AW97" s="105">
        <v>0</v>
      </c>
      <c r="AX97" s="105">
        <v>0</v>
      </c>
      <c r="AY97" s="105">
        <v>0</v>
      </c>
      <c r="AZ97" s="105">
        <v>5.8129504649576553</v>
      </c>
      <c r="BA97" s="105">
        <v>1464.863517169329</v>
      </c>
      <c r="BB97" s="105">
        <v>0</v>
      </c>
      <c r="BC97" s="105">
        <v>0</v>
      </c>
      <c r="BD97" s="105">
        <v>0</v>
      </c>
      <c r="BE97" s="105">
        <v>0</v>
      </c>
      <c r="BF97" s="105">
        <v>0</v>
      </c>
      <c r="BG97" s="105">
        <v>0</v>
      </c>
      <c r="BH97" s="105">
        <v>0</v>
      </c>
      <c r="BI97" s="105">
        <v>0</v>
      </c>
      <c r="BJ97" s="105">
        <v>0</v>
      </c>
      <c r="BK97" s="105">
        <v>0</v>
      </c>
      <c r="BL97" s="105">
        <v>0</v>
      </c>
      <c r="BM97" s="105">
        <v>0</v>
      </c>
      <c r="BN97" s="105">
        <v>0</v>
      </c>
      <c r="BO97" s="105">
        <v>0</v>
      </c>
      <c r="BP97" s="105">
        <v>0</v>
      </c>
      <c r="BQ97" s="105">
        <v>0</v>
      </c>
      <c r="BR97" s="105">
        <v>0</v>
      </c>
      <c r="BS97" s="105">
        <v>0</v>
      </c>
      <c r="BT97" s="105">
        <v>0</v>
      </c>
      <c r="BU97" s="105">
        <v>0</v>
      </c>
      <c r="BV97" s="105">
        <v>0</v>
      </c>
      <c r="BW97" s="105">
        <v>0</v>
      </c>
      <c r="BX97" s="105">
        <v>0</v>
      </c>
      <c r="BY97" s="105">
        <v>0</v>
      </c>
      <c r="BZ97" s="105">
        <v>0</v>
      </c>
      <c r="CA97" s="105">
        <v>0</v>
      </c>
      <c r="CB97" s="105">
        <v>0</v>
      </c>
      <c r="CC97" s="105">
        <v>0</v>
      </c>
      <c r="CD97" s="105">
        <v>0</v>
      </c>
      <c r="CE97" s="105">
        <v>0</v>
      </c>
      <c r="CF97" s="105">
        <v>0</v>
      </c>
      <c r="CG97" s="105">
        <v>0</v>
      </c>
      <c r="CH97" s="105">
        <v>0</v>
      </c>
      <c r="CI97" s="105">
        <v>0</v>
      </c>
      <c r="CJ97" s="105">
        <v>0</v>
      </c>
      <c r="CK97" s="105">
        <v>0</v>
      </c>
      <c r="CL97" s="105">
        <v>0</v>
      </c>
      <c r="CM97" s="105">
        <v>0</v>
      </c>
      <c r="CN97" s="105">
        <v>0</v>
      </c>
      <c r="CO97" s="105">
        <v>0</v>
      </c>
      <c r="CP97" s="105">
        <v>0</v>
      </c>
      <c r="CQ97" s="105">
        <v>0</v>
      </c>
      <c r="CR97" s="105">
        <v>0</v>
      </c>
      <c r="CS97" s="105">
        <v>0</v>
      </c>
      <c r="CT97" s="105">
        <v>0</v>
      </c>
      <c r="CU97" s="105">
        <v>0</v>
      </c>
    </row>
    <row r="98" spans="2:99" x14ac:dyDescent="0.2">
      <c r="C98" s="104" t="s">
        <v>264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0</v>
      </c>
      <c r="K98" s="105">
        <v>0</v>
      </c>
      <c r="L98" s="105">
        <v>0</v>
      </c>
      <c r="M98" s="105">
        <v>0</v>
      </c>
      <c r="N98" s="105">
        <v>0</v>
      </c>
      <c r="O98" s="105">
        <v>0</v>
      </c>
      <c r="P98" s="105">
        <v>0</v>
      </c>
      <c r="Q98" s="105">
        <v>0</v>
      </c>
      <c r="R98" s="105">
        <v>0</v>
      </c>
      <c r="S98" s="105">
        <v>0</v>
      </c>
      <c r="T98" s="105">
        <v>0</v>
      </c>
      <c r="U98" s="105">
        <v>0</v>
      </c>
      <c r="V98" s="105">
        <v>0</v>
      </c>
      <c r="W98" s="105">
        <v>0</v>
      </c>
      <c r="X98" s="105">
        <v>0</v>
      </c>
      <c r="Y98" s="105">
        <v>0</v>
      </c>
      <c r="Z98" s="105">
        <v>0</v>
      </c>
      <c r="AA98" s="105">
        <v>0</v>
      </c>
      <c r="AB98" s="105">
        <v>0</v>
      </c>
      <c r="AC98" s="105">
        <v>0</v>
      </c>
      <c r="AD98" s="105">
        <v>0</v>
      </c>
      <c r="AE98" s="105">
        <v>0</v>
      </c>
      <c r="AF98" s="105">
        <v>0</v>
      </c>
      <c r="AG98" s="105">
        <v>0</v>
      </c>
      <c r="AH98" s="105">
        <v>0</v>
      </c>
      <c r="AI98" s="105">
        <v>0</v>
      </c>
      <c r="AJ98" s="105">
        <v>0</v>
      </c>
      <c r="AK98" s="105">
        <v>0</v>
      </c>
      <c r="AL98" s="105">
        <v>0</v>
      </c>
      <c r="AM98" s="105">
        <v>0</v>
      </c>
      <c r="AN98" s="105">
        <v>0</v>
      </c>
      <c r="AO98" s="105">
        <v>0</v>
      </c>
      <c r="AP98" s="105">
        <v>0</v>
      </c>
      <c r="AQ98" s="105">
        <v>0</v>
      </c>
      <c r="AR98" s="105">
        <v>0</v>
      </c>
      <c r="AS98" s="105">
        <v>0</v>
      </c>
      <c r="AT98" s="105">
        <v>0</v>
      </c>
      <c r="AU98" s="105">
        <v>0</v>
      </c>
      <c r="AV98" s="105">
        <v>0</v>
      </c>
      <c r="AW98" s="105">
        <v>0</v>
      </c>
      <c r="AX98" s="105">
        <v>0</v>
      </c>
      <c r="AY98" s="105">
        <v>0</v>
      </c>
      <c r="AZ98" s="105">
        <v>5.8129504649576553</v>
      </c>
      <c r="BA98" s="105">
        <v>4729.4164982895481</v>
      </c>
      <c r="BB98" s="105">
        <v>0</v>
      </c>
      <c r="BC98" s="105">
        <v>0</v>
      </c>
      <c r="BD98" s="105">
        <v>0</v>
      </c>
      <c r="BE98" s="105">
        <v>0</v>
      </c>
      <c r="BF98" s="105">
        <v>0</v>
      </c>
      <c r="BG98" s="105">
        <v>0</v>
      </c>
      <c r="BH98" s="105">
        <v>0</v>
      </c>
      <c r="BI98" s="105">
        <v>0</v>
      </c>
      <c r="BJ98" s="105">
        <v>0</v>
      </c>
      <c r="BK98" s="105">
        <v>0</v>
      </c>
      <c r="BL98" s="105">
        <v>0</v>
      </c>
      <c r="BM98" s="105">
        <v>0</v>
      </c>
      <c r="BN98" s="105">
        <v>0</v>
      </c>
      <c r="BO98" s="105">
        <v>0</v>
      </c>
      <c r="BP98" s="105">
        <v>0</v>
      </c>
      <c r="BQ98" s="105">
        <v>0</v>
      </c>
      <c r="BR98" s="105">
        <v>0</v>
      </c>
      <c r="BS98" s="105">
        <v>0</v>
      </c>
      <c r="BT98" s="105">
        <v>0</v>
      </c>
      <c r="BU98" s="105">
        <v>0</v>
      </c>
      <c r="BV98" s="105">
        <v>0</v>
      </c>
      <c r="BW98" s="105">
        <v>0</v>
      </c>
      <c r="BX98" s="105">
        <v>0</v>
      </c>
      <c r="BY98" s="105">
        <v>0</v>
      </c>
      <c r="BZ98" s="105">
        <v>0</v>
      </c>
      <c r="CA98" s="105">
        <v>0</v>
      </c>
      <c r="CB98" s="105">
        <v>0</v>
      </c>
      <c r="CC98" s="105">
        <v>0</v>
      </c>
      <c r="CD98" s="105">
        <v>0</v>
      </c>
      <c r="CE98" s="105">
        <v>0</v>
      </c>
      <c r="CF98" s="105">
        <v>0</v>
      </c>
      <c r="CG98" s="105">
        <v>0</v>
      </c>
      <c r="CH98" s="105">
        <v>0</v>
      </c>
      <c r="CI98" s="105">
        <v>0</v>
      </c>
      <c r="CJ98" s="105">
        <v>0</v>
      </c>
      <c r="CK98" s="105">
        <v>0</v>
      </c>
      <c r="CL98" s="105">
        <v>0</v>
      </c>
      <c r="CM98" s="105">
        <v>0</v>
      </c>
      <c r="CN98" s="105">
        <v>0</v>
      </c>
      <c r="CO98" s="105">
        <v>0</v>
      </c>
      <c r="CP98" s="105">
        <v>0</v>
      </c>
      <c r="CQ98" s="105">
        <v>0</v>
      </c>
      <c r="CR98" s="105">
        <v>0</v>
      </c>
      <c r="CS98" s="105">
        <v>0</v>
      </c>
      <c r="CT98" s="105">
        <v>0</v>
      </c>
      <c r="CU98" s="105">
        <v>0</v>
      </c>
    </row>
    <row r="99" spans="2:99" x14ac:dyDescent="0.2">
      <c r="C99" s="104" t="s">
        <v>265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0</v>
      </c>
      <c r="K99" s="105">
        <v>0</v>
      </c>
      <c r="L99" s="105">
        <v>0</v>
      </c>
      <c r="M99" s="105">
        <v>0</v>
      </c>
      <c r="N99" s="105">
        <v>0</v>
      </c>
      <c r="O99" s="105">
        <v>0</v>
      </c>
      <c r="P99" s="105">
        <v>0</v>
      </c>
      <c r="Q99" s="105">
        <v>0</v>
      </c>
      <c r="R99" s="105">
        <v>0</v>
      </c>
      <c r="S99" s="105">
        <v>0</v>
      </c>
      <c r="T99" s="105">
        <v>0</v>
      </c>
      <c r="U99" s="105">
        <v>0</v>
      </c>
      <c r="V99" s="105">
        <v>0</v>
      </c>
      <c r="W99" s="105">
        <v>0</v>
      </c>
      <c r="X99" s="105">
        <v>0</v>
      </c>
      <c r="Y99" s="105">
        <v>0</v>
      </c>
      <c r="Z99" s="105">
        <v>0</v>
      </c>
      <c r="AA99" s="105">
        <v>0</v>
      </c>
      <c r="AB99" s="105">
        <v>0</v>
      </c>
      <c r="AC99" s="105">
        <v>0</v>
      </c>
      <c r="AD99" s="105">
        <v>0</v>
      </c>
      <c r="AE99" s="105">
        <v>0</v>
      </c>
      <c r="AF99" s="105">
        <v>0</v>
      </c>
      <c r="AG99" s="105">
        <v>0</v>
      </c>
      <c r="AH99" s="105">
        <v>0</v>
      </c>
      <c r="AI99" s="105">
        <v>0</v>
      </c>
      <c r="AJ99" s="105">
        <v>0</v>
      </c>
      <c r="AK99" s="105">
        <v>0</v>
      </c>
      <c r="AL99" s="105">
        <v>0</v>
      </c>
      <c r="AM99" s="105">
        <v>0</v>
      </c>
      <c r="AN99" s="105">
        <v>0</v>
      </c>
      <c r="AO99" s="105">
        <v>0</v>
      </c>
      <c r="AP99" s="105">
        <v>0</v>
      </c>
      <c r="AQ99" s="105">
        <v>0</v>
      </c>
      <c r="AR99" s="105">
        <v>0</v>
      </c>
      <c r="AS99" s="105">
        <v>0</v>
      </c>
      <c r="AT99" s="105">
        <v>0</v>
      </c>
      <c r="AU99" s="105">
        <v>0</v>
      </c>
      <c r="AV99" s="105">
        <v>0</v>
      </c>
      <c r="AW99" s="105">
        <v>0</v>
      </c>
      <c r="AX99" s="105">
        <v>0</v>
      </c>
      <c r="AY99" s="105">
        <v>0</v>
      </c>
      <c r="AZ99" s="105">
        <v>4.8441253874647137</v>
      </c>
      <c r="BA99" s="105">
        <v>18810.707704602974</v>
      </c>
      <c r="BB99" s="105">
        <v>0</v>
      </c>
      <c r="BC99" s="105">
        <v>0</v>
      </c>
      <c r="BD99" s="105">
        <v>0</v>
      </c>
      <c r="BE99" s="105">
        <v>0</v>
      </c>
      <c r="BF99" s="105">
        <v>0</v>
      </c>
      <c r="BG99" s="105">
        <v>0</v>
      </c>
      <c r="BH99" s="105">
        <v>0</v>
      </c>
      <c r="BI99" s="105">
        <v>0</v>
      </c>
      <c r="BJ99" s="105">
        <v>0</v>
      </c>
      <c r="BK99" s="105">
        <v>0</v>
      </c>
      <c r="BL99" s="105">
        <v>0</v>
      </c>
      <c r="BM99" s="105">
        <v>0</v>
      </c>
      <c r="BN99" s="105">
        <v>0</v>
      </c>
      <c r="BO99" s="105">
        <v>0</v>
      </c>
      <c r="BP99" s="105">
        <v>0</v>
      </c>
      <c r="BQ99" s="105">
        <v>0</v>
      </c>
      <c r="BR99" s="105">
        <v>0</v>
      </c>
      <c r="BS99" s="105">
        <v>0</v>
      </c>
      <c r="BT99" s="105">
        <v>0</v>
      </c>
      <c r="BU99" s="105">
        <v>0</v>
      </c>
      <c r="BV99" s="105">
        <v>0</v>
      </c>
      <c r="BW99" s="105">
        <v>0</v>
      </c>
      <c r="BX99" s="105">
        <v>0</v>
      </c>
      <c r="BY99" s="105">
        <v>0</v>
      </c>
      <c r="BZ99" s="105">
        <v>0</v>
      </c>
      <c r="CA99" s="105">
        <v>0</v>
      </c>
      <c r="CB99" s="105">
        <v>0</v>
      </c>
      <c r="CC99" s="105">
        <v>0</v>
      </c>
      <c r="CD99" s="105">
        <v>0</v>
      </c>
      <c r="CE99" s="105">
        <v>0</v>
      </c>
      <c r="CF99" s="105">
        <v>0</v>
      </c>
      <c r="CG99" s="105">
        <v>0</v>
      </c>
      <c r="CH99" s="105">
        <v>0</v>
      </c>
      <c r="CI99" s="105">
        <v>0</v>
      </c>
      <c r="CJ99" s="105">
        <v>0</v>
      </c>
      <c r="CK99" s="105">
        <v>0</v>
      </c>
      <c r="CL99" s="105">
        <v>0</v>
      </c>
      <c r="CM99" s="105">
        <v>0</v>
      </c>
      <c r="CN99" s="105">
        <v>0</v>
      </c>
      <c r="CO99" s="105">
        <v>0</v>
      </c>
      <c r="CP99" s="105">
        <v>0</v>
      </c>
      <c r="CQ99" s="105">
        <v>0</v>
      </c>
      <c r="CR99" s="105">
        <v>0</v>
      </c>
      <c r="CS99" s="105">
        <v>0</v>
      </c>
      <c r="CT99" s="105">
        <v>0</v>
      </c>
      <c r="CU99" s="105">
        <v>0</v>
      </c>
    </row>
    <row r="100" spans="2:99" x14ac:dyDescent="0.2">
      <c r="C100" s="104" t="s">
        <v>266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0</v>
      </c>
      <c r="K100" s="105">
        <v>0</v>
      </c>
      <c r="L100" s="105">
        <v>0</v>
      </c>
      <c r="M100" s="105">
        <v>0</v>
      </c>
      <c r="N100" s="105">
        <v>0</v>
      </c>
      <c r="O100" s="105">
        <v>0</v>
      </c>
      <c r="P100" s="105">
        <v>0</v>
      </c>
      <c r="Q100" s="105">
        <v>0</v>
      </c>
      <c r="R100" s="105">
        <v>0</v>
      </c>
      <c r="S100" s="105">
        <v>0</v>
      </c>
      <c r="T100" s="105">
        <v>0</v>
      </c>
      <c r="U100" s="105">
        <v>0</v>
      </c>
      <c r="V100" s="105">
        <v>0</v>
      </c>
      <c r="W100" s="105">
        <v>0</v>
      </c>
      <c r="X100" s="105">
        <v>0</v>
      </c>
      <c r="Y100" s="105">
        <v>0</v>
      </c>
      <c r="Z100" s="105">
        <v>0</v>
      </c>
      <c r="AA100" s="105">
        <v>0</v>
      </c>
      <c r="AB100" s="105">
        <v>0</v>
      </c>
      <c r="AC100" s="105">
        <v>0</v>
      </c>
      <c r="AD100" s="105">
        <v>0</v>
      </c>
      <c r="AE100" s="105">
        <v>0</v>
      </c>
      <c r="AF100" s="105">
        <v>0</v>
      </c>
      <c r="AG100" s="105">
        <v>0</v>
      </c>
      <c r="AH100" s="105">
        <v>0</v>
      </c>
      <c r="AI100" s="105">
        <v>0</v>
      </c>
      <c r="AJ100" s="105">
        <v>0</v>
      </c>
      <c r="AK100" s="105">
        <v>0</v>
      </c>
      <c r="AL100" s="105">
        <v>0</v>
      </c>
      <c r="AM100" s="105">
        <v>0</v>
      </c>
      <c r="AN100" s="105">
        <v>0</v>
      </c>
      <c r="AO100" s="105">
        <v>0</v>
      </c>
      <c r="AP100" s="105">
        <v>0</v>
      </c>
      <c r="AQ100" s="105">
        <v>0</v>
      </c>
      <c r="AR100" s="105">
        <v>0</v>
      </c>
      <c r="AS100" s="105">
        <v>0</v>
      </c>
      <c r="AT100" s="105">
        <v>0</v>
      </c>
      <c r="AU100" s="105">
        <v>0</v>
      </c>
      <c r="AV100" s="105">
        <v>0</v>
      </c>
      <c r="AW100" s="105">
        <v>0</v>
      </c>
      <c r="AX100" s="105">
        <v>0</v>
      </c>
      <c r="AY100" s="105">
        <v>0</v>
      </c>
      <c r="AZ100" s="105">
        <v>6.7817755424505979</v>
      </c>
      <c r="BA100" s="105">
        <v>3751.6782300836703</v>
      </c>
      <c r="BB100" s="105">
        <v>0</v>
      </c>
      <c r="BC100" s="105">
        <v>0</v>
      </c>
      <c r="BD100" s="105">
        <v>0</v>
      </c>
      <c r="BE100" s="105">
        <v>0</v>
      </c>
      <c r="BF100" s="105">
        <v>0</v>
      </c>
      <c r="BG100" s="105">
        <v>0</v>
      </c>
      <c r="BH100" s="105">
        <v>0</v>
      </c>
      <c r="BI100" s="105">
        <v>0</v>
      </c>
      <c r="BJ100" s="105">
        <v>0</v>
      </c>
      <c r="BK100" s="105">
        <v>0</v>
      </c>
      <c r="BL100" s="105">
        <v>0</v>
      </c>
      <c r="BM100" s="105">
        <v>0</v>
      </c>
      <c r="BN100" s="105">
        <v>0</v>
      </c>
      <c r="BO100" s="105">
        <v>0</v>
      </c>
      <c r="BP100" s="105">
        <v>0</v>
      </c>
      <c r="BQ100" s="105">
        <v>0</v>
      </c>
      <c r="BR100" s="105">
        <v>0</v>
      </c>
      <c r="BS100" s="105">
        <v>0</v>
      </c>
      <c r="BT100" s="105">
        <v>0</v>
      </c>
      <c r="BU100" s="105">
        <v>0</v>
      </c>
      <c r="BV100" s="105">
        <v>0</v>
      </c>
      <c r="BW100" s="105">
        <v>0</v>
      </c>
      <c r="BX100" s="105">
        <v>0</v>
      </c>
      <c r="BY100" s="105">
        <v>0</v>
      </c>
      <c r="BZ100" s="105">
        <v>0</v>
      </c>
      <c r="CA100" s="105">
        <v>0</v>
      </c>
      <c r="CB100" s="105">
        <v>0</v>
      </c>
      <c r="CC100" s="105">
        <v>0</v>
      </c>
      <c r="CD100" s="105">
        <v>0</v>
      </c>
      <c r="CE100" s="105">
        <v>0</v>
      </c>
      <c r="CF100" s="105">
        <v>0</v>
      </c>
      <c r="CG100" s="105">
        <v>0</v>
      </c>
      <c r="CH100" s="105">
        <v>0</v>
      </c>
      <c r="CI100" s="105">
        <v>0</v>
      </c>
      <c r="CJ100" s="105">
        <v>0</v>
      </c>
      <c r="CK100" s="105">
        <v>0</v>
      </c>
      <c r="CL100" s="105">
        <v>0</v>
      </c>
      <c r="CM100" s="105">
        <v>0</v>
      </c>
      <c r="CN100" s="105">
        <v>0</v>
      </c>
      <c r="CO100" s="105">
        <v>0</v>
      </c>
      <c r="CP100" s="105">
        <v>0</v>
      </c>
      <c r="CQ100" s="105">
        <v>0</v>
      </c>
      <c r="CR100" s="105">
        <v>0</v>
      </c>
      <c r="CS100" s="105">
        <v>0</v>
      </c>
      <c r="CT100" s="105">
        <v>0</v>
      </c>
      <c r="CU100" s="105">
        <v>0</v>
      </c>
    </row>
    <row r="101" spans="2:99" x14ac:dyDescent="0.2">
      <c r="C101" s="104" t="s">
        <v>267</v>
      </c>
      <c r="D101" s="105">
        <v>5</v>
      </c>
      <c r="E101" s="105">
        <v>4260</v>
      </c>
      <c r="F101" s="105">
        <v>3.7894736842105261</v>
      </c>
      <c r="G101" s="105">
        <v>3228.6315789473683</v>
      </c>
      <c r="H101" s="105">
        <v>4.9000000000000004</v>
      </c>
      <c r="I101" s="105">
        <v>4174.8</v>
      </c>
      <c r="J101" s="105">
        <v>6.1801801801801792</v>
      </c>
      <c r="K101" s="105">
        <v>5265.5135135135124</v>
      </c>
      <c r="L101" s="105">
        <v>5.6</v>
      </c>
      <c r="M101" s="105">
        <v>4771.2</v>
      </c>
      <c r="N101" s="105">
        <v>5</v>
      </c>
      <c r="O101" s="105">
        <v>4260</v>
      </c>
      <c r="P101" s="105">
        <v>3.7118644067796609</v>
      </c>
      <c r="Q101" s="105">
        <v>3162.5084745762711</v>
      </c>
      <c r="R101" s="105">
        <v>5.7166666666666668</v>
      </c>
      <c r="S101" s="105">
        <v>4870.6000000000004</v>
      </c>
      <c r="T101" s="105">
        <v>6.7677130044843059</v>
      </c>
      <c r="U101" s="105">
        <v>5766.0914798206286</v>
      </c>
      <c r="V101" s="105">
        <v>6</v>
      </c>
      <c r="W101" s="105">
        <v>5112</v>
      </c>
      <c r="X101" s="105">
        <v>6</v>
      </c>
      <c r="Y101" s="105">
        <v>5112</v>
      </c>
      <c r="Z101" s="105">
        <v>4</v>
      </c>
      <c r="AA101" s="105">
        <v>3408</v>
      </c>
      <c r="AB101" s="105">
        <v>5</v>
      </c>
      <c r="AC101" s="105">
        <v>4260</v>
      </c>
      <c r="AD101" s="105">
        <v>8</v>
      </c>
      <c r="AE101" s="105">
        <v>6816</v>
      </c>
      <c r="AF101" s="105">
        <v>5</v>
      </c>
      <c r="AG101" s="105">
        <v>4260</v>
      </c>
      <c r="AH101" s="105">
        <v>7</v>
      </c>
      <c r="AI101" s="105">
        <v>5964</v>
      </c>
      <c r="AJ101" s="105">
        <v>5</v>
      </c>
      <c r="AK101" s="105">
        <v>4260</v>
      </c>
      <c r="AL101" s="105">
        <v>8</v>
      </c>
      <c r="AM101" s="105">
        <v>6816</v>
      </c>
      <c r="AN101" s="105">
        <v>6</v>
      </c>
      <c r="AO101" s="105">
        <v>5112</v>
      </c>
      <c r="AP101" s="105">
        <v>6</v>
      </c>
      <c r="AQ101" s="105">
        <v>5112</v>
      </c>
      <c r="AR101" s="105">
        <v>5</v>
      </c>
      <c r="AS101" s="105">
        <v>4260</v>
      </c>
      <c r="AT101" s="105">
        <v>6</v>
      </c>
      <c r="AU101" s="105">
        <v>5112</v>
      </c>
      <c r="AV101" s="105">
        <v>7</v>
      </c>
      <c r="AW101" s="105">
        <v>5964</v>
      </c>
      <c r="AX101" s="105">
        <v>7</v>
      </c>
      <c r="AY101" s="105">
        <v>5964</v>
      </c>
      <c r="AZ101" s="105">
        <v>7</v>
      </c>
      <c r="BA101" s="105">
        <v>5964</v>
      </c>
      <c r="BB101" s="105">
        <v>5.5758677730896302</v>
      </c>
      <c r="BC101" s="105">
        <v>4750.6393426723653</v>
      </c>
      <c r="BD101" s="105">
        <v>5.52112676056338</v>
      </c>
      <c r="BE101" s="105">
        <v>4704</v>
      </c>
      <c r="BF101" s="105">
        <v>3.1485943775100398</v>
      </c>
      <c r="BG101" s="105">
        <v>2682.602409638554</v>
      </c>
      <c r="BH101" s="105">
        <v>7.2742268041237113</v>
      </c>
      <c r="BI101" s="105">
        <v>6197.641237113402</v>
      </c>
      <c r="BJ101" s="105">
        <v>6</v>
      </c>
      <c r="BK101" s="105">
        <v>5112</v>
      </c>
      <c r="BL101" s="105">
        <v>5</v>
      </c>
      <c r="BM101" s="105">
        <v>4260</v>
      </c>
      <c r="BN101" s="105">
        <v>5.6806584362139922</v>
      </c>
      <c r="BO101" s="105">
        <v>4839.9209876543218</v>
      </c>
      <c r="BP101" s="105">
        <v>6.0854838709677423</v>
      </c>
      <c r="BQ101" s="105">
        <v>5184.8322580645163</v>
      </c>
      <c r="BR101" s="105">
        <v>7</v>
      </c>
      <c r="BS101" s="105">
        <v>5964</v>
      </c>
      <c r="BT101" s="105">
        <v>5</v>
      </c>
      <c r="BU101" s="105">
        <v>4260</v>
      </c>
      <c r="BV101" s="105">
        <v>6</v>
      </c>
      <c r="BW101" s="105">
        <v>5112</v>
      </c>
      <c r="BX101" s="105">
        <v>7</v>
      </c>
      <c r="BY101" s="105">
        <v>5964</v>
      </c>
      <c r="BZ101" s="105">
        <v>6.1670886075949385</v>
      </c>
      <c r="CA101" s="105">
        <v>5254.3594936708878</v>
      </c>
      <c r="CB101" s="105">
        <v>7</v>
      </c>
      <c r="CC101" s="105">
        <v>5964</v>
      </c>
      <c r="CD101" s="105">
        <v>6</v>
      </c>
      <c r="CE101" s="105">
        <v>5112</v>
      </c>
      <c r="CF101" s="105">
        <v>5.8452356644919288</v>
      </c>
      <c r="CG101" s="105">
        <v>4980.1407861471234</v>
      </c>
      <c r="CH101" s="105">
        <v>3.8811881188118811</v>
      </c>
      <c r="CI101" s="105">
        <v>3306.7722772277225</v>
      </c>
      <c r="CJ101" s="105">
        <v>4.9000000000000004</v>
      </c>
      <c r="CK101" s="105">
        <v>4174.8</v>
      </c>
      <c r="CL101" s="105">
        <v>4.741935483870968</v>
      </c>
      <c r="CM101" s="105">
        <v>4040.1290322580649</v>
      </c>
      <c r="CN101" s="105">
        <v>3.6129032258064515</v>
      </c>
      <c r="CO101" s="105">
        <v>3078.1935483870966</v>
      </c>
      <c r="CP101" s="105">
        <v>3.904382470119522</v>
      </c>
      <c r="CQ101" s="105">
        <v>3326.5338645418328</v>
      </c>
      <c r="CR101" s="105">
        <v>8</v>
      </c>
      <c r="CS101" s="105">
        <v>6816</v>
      </c>
      <c r="CT101" s="105">
        <v>7</v>
      </c>
      <c r="CU101" s="105">
        <v>5964</v>
      </c>
    </row>
    <row r="102" spans="2:99" x14ac:dyDescent="0.2">
      <c r="C102" s="104" t="s">
        <v>268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0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0</v>
      </c>
      <c r="AQ102" s="105">
        <v>0</v>
      </c>
      <c r="AR102" s="105">
        <v>0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  <c r="AZ102" s="105">
        <v>5.8129504649576553</v>
      </c>
      <c r="BA102" s="105">
        <v>355.75256845540849</v>
      </c>
      <c r="BB102" s="105">
        <v>0</v>
      </c>
      <c r="BC102" s="105">
        <v>0</v>
      </c>
      <c r="BD102" s="105">
        <v>0</v>
      </c>
      <c r="BE102" s="105">
        <v>0</v>
      </c>
      <c r="BF102" s="105">
        <v>0</v>
      </c>
      <c r="BG102" s="105">
        <v>0</v>
      </c>
      <c r="BH102" s="105">
        <v>0</v>
      </c>
      <c r="BI102" s="105">
        <v>0</v>
      </c>
      <c r="BJ102" s="105">
        <v>0</v>
      </c>
      <c r="BK102" s="105">
        <v>0</v>
      </c>
      <c r="BL102" s="105">
        <v>0</v>
      </c>
      <c r="BM102" s="105">
        <v>0</v>
      </c>
      <c r="BN102" s="105">
        <v>0</v>
      </c>
      <c r="BO102" s="105">
        <v>0</v>
      </c>
      <c r="BP102" s="105">
        <v>0</v>
      </c>
      <c r="BQ102" s="105">
        <v>0</v>
      </c>
      <c r="BR102" s="105">
        <v>0</v>
      </c>
      <c r="BS102" s="105">
        <v>0</v>
      </c>
      <c r="BT102" s="105">
        <v>0</v>
      </c>
      <c r="BU102" s="105">
        <v>0</v>
      </c>
      <c r="BV102" s="105">
        <v>0</v>
      </c>
      <c r="BW102" s="105">
        <v>0</v>
      </c>
      <c r="BX102" s="105">
        <v>0</v>
      </c>
      <c r="BY102" s="105">
        <v>0</v>
      </c>
      <c r="BZ102" s="105">
        <v>0</v>
      </c>
      <c r="CA102" s="105">
        <v>0</v>
      </c>
      <c r="CB102" s="105">
        <v>0</v>
      </c>
      <c r="CC102" s="105">
        <v>0</v>
      </c>
      <c r="CD102" s="105">
        <v>0</v>
      </c>
      <c r="CE102" s="105">
        <v>0</v>
      </c>
      <c r="CF102" s="105">
        <v>0</v>
      </c>
      <c r="CG102" s="105">
        <v>0</v>
      </c>
      <c r="CH102" s="105">
        <v>0</v>
      </c>
      <c r="CI102" s="105">
        <v>0</v>
      </c>
      <c r="CJ102" s="105">
        <v>0</v>
      </c>
      <c r="CK102" s="105">
        <v>0</v>
      </c>
      <c r="CL102" s="105">
        <v>0</v>
      </c>
      <c r="CM102" s="105">
        <v>0</v>
      </c>
      <c r="CN102" s="105">
        <v>0</v>
      </c>
      <c r="CO102" s="105">
        <v>0</v>
      </c>
      <c r="CP102" s="105">
        <v>0</v>
      </c>
      <c r="CQ102" s="105">
        <v>0</v>
      </c>
      <c r="CR102" s="105">
        <v>0</v>
      </c>
      <c r="CS102" s="105">
        <v>0</v>
      </c>
      <c r="CT102" s="105">
        <v>0</v>
      </c>
      <c r="CU102" s="105">
        <v>0</v>
      </c>
    </row>
    <row r="103" spans="2:99" x14ac:dyDescent="0.2">
      <c r="C103" s="104" t="s">
        <v>269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  <c r="AZ103" s="105">
        <v>6.7817755424505979</v>
      </c>
      <c r="BA103" s="105">
        <v>846.3655876978346</v>
      </c>
      <c r="BB103" s="105">
        <v>0</v>
      </c>
      <c r="BC103" s="105">
        <v>0</v>
      </c>
      <c r="BD103" s="105">
        <v>0</v>
      </c>
      <c r="BE103" s="105">
        <v>0</v>
      </c>
      <c r="BF103" s="105">
        <v>0</v>
      </c>
      <c r="BG103" s="105">
        <v>0</v>
      </c>
      <c r="BH103" s="105">
        <v>0</v>
      </c>
      <c r="BI103" s="105">
        <v>0</v>
      </c>
      <c r="BJ103" s="105">
        <v>0</v>
      </c>
      <c r="BK103" s="105">
        <v>0</v>
      </c>
      <c r="BL103" s="105">
        <v>0</v>
      </c>
      <c r="BM103" s="105">
        <v>0</v>
      </c>
      <c r="BN103" s="105">
        <v>0</v>
      </c>
      <c r="BO103" s="105">
        <v>0</v>
      </c>
      <c r="BP103" s="105">
        <v>0</v>
      </c>
      <c r="BQ103" s="105">
        <v>0</v>
      </c>
      <c r="BR103" s="105">
        <v>0</v>
      </c>
      <c r="BS103" s="105">
        <v>0</v>
      </c>
      <c r="BT103" s="105">
        <v>0</v>
      </c>
      <c r="BU103" s="105">
        <v>0</v>
      </c>
      <c r="BV103" s="105">
        <v>0</v>
      </c>
      <c r="BW103" s="105">
        <v>0</v>
      </c>
      <c r="BX103" s="105">
        <v>0</v>
      </c>
      <c r="BY103" s="105">
        <v>0</v>
      </c>
      <c r="BZ103" s="105">
        <v>0</v>
      </c>
      <c r="CA103" s="105">
        <v>0</v>
      </c>
      <c r="CB103" s="105">
        <v>0</v>
      </c>
      <c r="CC103" s="105">
        <v>0</v>
      </c>
      <c r="CD103" s="105">
        <v>0</v>
      </c>
      <c r="CE103" s="105">
        <v>0</v>
      </c>
      <c r="CF103" s="105">
        <v>0</v>
      </c>
      <c r="CG103" s="105">
        <v>0</v>
      </c>
      <c r="CH103" s="105">
        <v>0</v>
      </c>
      <c r="CI103" s="105">
        <v>0</v>
      </c>
      <c r="CJ103" s="105">
        <v>0</v>
      </c>
      <c r="CK103" s="105">
        <v>0</v>
      </c>
      <c r="CL103" s="105">
        <v>0</v>
      </c>
      <c r="CM103" s="105">
        <v>0</v>
      </c>
      <c r="CN103" s="105">
        <v>0</v>
      </c>
      <c r="CO103" s="105">
        <v>0</v>
      </c>
      <c r="CP103" s="105">
        <v>0</v>
      </c>
      <c r="CQ103" s="105">
        <v>0</v>
      </c>
      <c r="CR103" s="105">
        <v>0</v>
      </c>
      <c r="CS103" s="105">
        <v>0</v>
      </c>
      <c r="CT103" s="105">
        <v>0</v>
      </c>
      <c r="CU103" s="105">
        <v>0</v>
      </c>
    </row>
    <row r="104" spans="2:99" x14ac:dyDescent="0.2">
      <c r="C104" s="104" t="s">
        <v>270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  <c r="AZ104" s="105">
        <v>5.8129504649576553</v>
      </c>
      <c r="BA104" s="105">
        <v>1381.1570304739389</v>
      </c>
      <c r="BB104" s="105">
        <v>0</v>
      </c>
      <c r="BC104" s="105">
        <v>0</v>
      </c>
      <c r="BD104" s="105">
        <v>0</v>
      </c>
      <c r="BE104" s="105">
        <v>0</v>
      </c>
      <c r="BF104" s="105">
        <v>0</v>
      </c>
      <c r="BG104" s="105">
        <v>0</v>
      </c>
      <c r="BH104" s="105">
        <v>0</v>
      </c>
      <c r="BI104" s="105">
        <v>0</v>
      </c>
      <c r="BJ104" s="105">
        <v>0</v>
      </c>
      <c r="BK104" s="105">
        <v>0</v>
      </c>
      <c r="BL104" s="105">
        <v>0</v>
      </c>
      <c r="BM104" s="105">
        <v>0</v>
      </c>
      <c r="BN104" s="105">
        <v>0</v>
      </c>
      <c r="BO104" s="105">
        <v>0</v>
      </c>
      <c r="BP104" s="105">
        <v>0</v>
      </c>
      <c r="BQ104" s="105">
        <v>0</v>
      </c>
      <c r="BR104" s="105">
        <v>0</v>
      </c>
      <c r="BS104" s="105">
        <v>0</v>
      </c>
      <c r="BT104" s="105">
        <v>0</v>
      </c>
      <c r="BU104" s="105">
        <v>0</v>
      </c>
      <c r="BV104" s="105">
        <v>0</v>
      </c>
      <c r="BW104" s="105">
        <v>0</v>
      </c>
      <c r="BX104" s="105">
        <v>0</v>
      </c>
      <c r="BY104" s="105">
        <v>0</v>
      </c>
      <c r="BZ104" s="105">
        <v>0</v>
      </c>
      <c r="CA104" s="105">
        <v>0</v>
      </c>
      <c r="CB104" s="105">
        <v>0</v>
      </c>
      <c r="CC104" s="105">
        <v>0</v>
      </c>
      <c r="CD104" s="105">
        <v>0</v>
      </c>
      <c r="CE104" s="105">
        <v>0</v>
      </c>
      <c r="CF104" s="105">
        <v>0</v>
      </c>
      <c r="CG104" s="105">
        <v>0</v>
      </c>
      <c r="CH104" s="105">
        <v>0</v>
      </c>
      <c r="CI104" s="105">
        <v>0</v>
      </c>
      <c r="CJ104" s="105">
        <v>0</v>
      </c>
      <c r="CK104" s="105">
        <v>0</v>
      </c>
      <c r="CL104" s="105">
        <v>0</v>
      </c>
      <c r="CM104" s="105">
        <v>0</v>
      </c>
      <c r="CN104" s="105">
        <v>0</v>
      </c>
      <c r="CO104" s="105">
        <v>0</v>
      </c>
      <c r="CP104" s="105">
        <v>0</v>
      </c>
      <c r="CQ104" s="105">
        <v>0</v>
      </c>
      <c r="CR104" s="105">
        <v>0</v>
      </c>
      <c r="CS104" s="105">
        <v>0</v>
      </c>
      <c r="CT104" s="105">
        <v>0</v>
      </c>
      <c r="CU104" s="105">
        <v>0</v>
      </c>
    </row>
    <row r="105" spans="2:99" x14ac:dyDescent="0.2">
      <c r="C105" s="104" t="s">
        <v>271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  <c r="AZ105" s="105">
        <v>6.7817755424505979</v>
      </c>
      <c r="BA105" s="105">
        <v>1171.8908137354631</v>
      </c>
      <c r="BB105" s="105">
        <v>0</v>
      </c>
      <c r="BC105" s="105">
        <v>0</v>
      </c>
      <c r="BD105" s="105">
        <v>0</v>
      </c>
      <c r="BE105" s="105">
        <v>0</v>
      </c>
      <c r="BF105" s="105">
        <v>0</v>
      </c>
      <c r="BG105" s="105">
        <v>0</v>
      </c>
      <c r="BH105" s="105">
        <v>0</v>
      </c>
      <c r="BI105" s="105">
        <v>0</v>
      </c>
      <c r="BJ105" s="105">
        <v>0</v>
      </c>
      <c r="BK105" s="105">
        <v>0</v>
      </c>
      <c r="BL105" s="105">
        <v>0</v>
      </c>
      <c r="BM105" s="105">
        <v>0</v>
      </c>
      <c r="BN105" s="105">
        <v>0</v>
      </c>
      <c r="BO105" s="105">
        <v>0</v>
      </c>
      <c r="BP105" s="105">
        <v>0</v>
      </c>
      <c r="BQ105" s="105">
        <v>0</v>
      </c>
      <c r="BR105" s="105">
        <v>0</v>
      </c>
      <c r="BS105" s="105">
        <v>0</v>
      </c>
      <c r="BT105" s="105">
        <v>0</v>
      </c>
      <c r="BU105" s="105">
        <v>0</v>
      </c>
      <c r="BV105" s="105">
        <v>0</v>
      </c>
      <c r="BW105" s="105">
        <v>0</v>
      </c>
      <c r="BX105" s="105">
        <v>0</v>
      </c>
      <c r="BY105" s="105">
        <v>0</v>
      </c>
      <c r="BZ105" s="105">
        <v>0</v>
      </c>
      <c r="CA105" s="105">
        <v>0</v>
      </c>
      <c r="CB105" s="105">
        <v>0</v>
      </c>
      <c r="CC105" s="105">
        <v>0</v>
      </c>
      <c r="CD105" s="105">
        <v>0</v>
      </c>
      <c r="CE105" s="105">
        <v>0</v>
      </c>
      <c r="CF105" s="105">
        <v>0</v>
      </c>
      <c r="CG105" s="105">
        <v>0</v>
      </c>
      <c r="CH105" s="105">
        <v>0</v>
      </c>
      <c r="CI105" s="105">
        <v>0</v>
      </c>
      <c r="CJ105" s="105">
        <v>0</v>
      </c>
      <c r="CK105" s="105">
        <v>0</v>
      </c>
      <c r="CL105" s="105">
        <v>0</v>
      </c>
      <c r="CM105" s="105">
        <v>0</v>
      </c>
      <c r="CN105" s="105">
        <v>0</v>
      </c>
      <c r="CO105" s="105">
        <v>0</v>
      </c>
      <c r="CP105" s="105">
        <v>0</v>
      </c>
      <c r="CQ105" s="105">
        <v>0</v>
      </c>
      <c r="CR105" s="105">
        <v>0</v>
      </c>
      <c r="CS105" s="105">
        <v>0</v>
      </c>
      <c r="CT105" s="105">
        <v>0</v>
      </c>
      <c r="CU105" s="105">
        <v>0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0</v>
      </c>
      <c r="E109" s="105">
        <f>SUM(L$6:L$19)+SUM(N$6:N$19)+SUM(P$6:P$19)+SUM(R$6:R$19)</f>
        <v>0</v>
      </c>
      <c r="F109" s="105">
        <f>SUM(T$6:T$19)+SUM(V$6:V$19)+SUM(X$6:X$19)+SUM(Z$6:Z$19)</f>
        <v>0</v>
      </c>
      <c r="G109" s="105">
        <f>SUM(AB$6:AB$19)+SUM(AD$6:AD$19)+SUM(AF$6:AF$19)+SUM(AH$6:AH$19)</f>
        <v>242.87923488835094</v>
      </c>
      <c r="H109" s="105">
        <f>SUM(AJ$6:AJ$19)+SUM(AL$6:AL$19)+SUM(AN$6:AN$19)+SUM(AP$6:AP$19)</f>
        <v>0</v>
      </c>
      <c r="I109" s="105">
        <f>SUM(AR$6:AR$19)+SUM(AT$6:AT$19)+SUM(AV$6:AV$19)+SUM(AX$6:AX$19)</f>
        <v>72.378532637589174</v>
      </c>
      <c r="J109" s="105">
        <f>SUM(AZ$6:AZ$19)+SUM(BB$6:BB$19)+SUM(BD$6:BD$19)+SUM(BF$6:BF$19)</f>
        <v>0</v>
      </c>
      <c r="K109" s="105">
        <f>SUM(BH$6:BH$19)+SUM(BJ$6:BJ$19)+SUM(BL$6:BL$19)+SUM(BN$6:BN$19)</f>
        <v>0</v>
      </c>
      <c r="L109" s="105">
        <f>SUM(BP$6:BP$19)+SUM(BR$6:BR$19)+SUM(BT$6:BT$19)+SUM(BV$6:BV$19)</f>
        <v>1.1681930608248778</v>
      </c>
      <c r="M109" s="105">
        <f>SUM(BX$6:BX$19)+SUM(BZ$6:BZ$19)+SUM(CB$6:CB$19)+SUM(CD$6:CD$19)</f>
        <v>0</v>
      </c>
      <c r="N109" s="105">
        <f>SUM(CF$6:CF$19)+SUM(CH$6:CH$19)+SUM(CJ$6:CJ$19)+SUM(CL$6:CL$19)</f>
        <v>0</v>
      </c>
      <c r="O109" s="105">
        <f>SUM(CN$6:CN$19)+SUM(CP$6:CP$19)+SUM(CR$6:CR$19)+SUM(CT$6:CT$19)</f>
        <v>0</v>
      </c>
    </row>
    <row r="110" spans="2:99" x14ac:dyDescent="0.2">
      <c r="C110" s="104" t="s">
        <v>127</v>
      </c>
      <c r="D110" s="105">
        <f>SUM(D$20:D$36)+SUM(F$20:F$36)+SUM(H$20:H$36)+SUM(J$20:J$36)</f>
        <v>0</v>
      </c>
      <c r="E110" s="105">
        <f>SUM(L$20:L$36)+SUM(N$20:N$36)+SUM(P$20:P$36)+SUM(R$20:R$36)</f>
        <v>132.43984653536577</v>
      </c>
      <c r="F110" s="105">
        <f>SUM(T$20:T$36)+SUM(V$20:V$36)+SUM(X$20:X$36)+SUM(Z$20:Z$36)</f>
        <v>225.80995128447614</v>
      </c>
      <c r="G110" s="105">
        <f>SUM(AB$20:AB$36)+SUM(AD$20:AD$36)+SUM(AF$20:AF$36)+SUM(AH$20:AH$36)</f>
        <v>609.73510753965661</v>
      </c>
      <c r="H110" s="105">
        <f>SUM(AJ$20:AJ$36)+SUM(AL$20:AL$36)+SUM(AN$20:AN$36)+SUM(AP$20:AP$36)</f>
        <v>230.87782154408387</v>
      </c>
      <c r="I110" s="105">
        <f>SUM(AR$20:AR$36)+SUM(AT$20:AT$36)+SUM(AV$20:AV$36)+SUM(AX$20:AX$36)</f>
        <v>402.25171162042886</v>
      </c>
      <c r="J110" s="105">
        <f>SUM(AZ$20:AZ$36)+SUM(BB$20:BB$36)+SUM(BD$20:BD$36)+SUM(BF$20:BF$36)</f>
        <v>271.98958864162057</v>
      </c>
      <c r="K110" s="105">
        <f>SUM(BH$20:BH$36)+SUM(BJ$20:BJ$36)+SUM(BL$20:BL$36)+SUM(BN$20:BN$36)</f>
        <v>283</v>
      </c>
      <c r="L110" s="105">
        <f>SUM(BP$20:BP$36)+SUM(BR$20:BR$36)+SUM(BT$20:BT$36)+SUM(BV$20:BV$36)</f>
        <v>252.47730943782346</v>
      </c>
      <c r="M110" s="105">
        <f>SUM(BX$20:BX$36)+SUM(BZ$20:BZ$36)+SUM(CB$20:CB$36)+SUM(CD$20:CD$36)</f>
        <v>287.32550570269291</v>
      </c>
      <c r="N110" s="105">
        <f>SUM(CF$20:CF$36)+SUM(CH$20:CH$36)+SUM(CJ$20:CJ$36)+SUM(CL$20:CL$36)</f>
        <v>216.00417592109477</v>
      </c>
      <c r="O110" s="105">
        <f>SUM(CN$20:CN$36)+SUM(CP$20:CP$36)+SUM(CR$20:CR$36)+SUM(CT$20:CT$36)</f>
        <v>257.59705512257835</v>
      </c>
    </row>
    <row r="111" spans="2:99" x14ac:dyDescent="0.2">
      <c r="C111" s="104" t="s">
        <v>128</v>
      </c>
      <c r="D111" s="105">
        <f>SUM(D$37:D$48)+SUM(F$37:F$48)+SUM(H$37:H$48)+SUM(J$37:J$48)</f>
        <v>0</v>
      </c>
      <c r="E111" s="105">
        <f>SUM(L$37:L$48)+SUM(N$37:N$48)+SUM(P$37:P$48)+SUM(R$37:R$48)</f>
        <v>0</v>
      </c>
      <c r="F111" s="105">
        <f>SUM(T$37:T$48)+SUM(V$37:V$48)+SUM(X$37:X$48)+SUM(Z$37:Z$48)</f>
        <v>0</v>
      </c>
      <c r="G111" s="105">
        <f>SUM(AB$37:AB$48)+SUM(AD$37:AD$48)+SUM(AF$37:AF$48)+SUM(AH$37:AH$48)</f>
        <v>256.77511869486898</v>
      </c>
      <c r="H111" s="105">
        <f>SUM(AJ$37:AJ$48)+SUM(AL$37:AL$48)+SUM(AN$37:AN$48)+SUM(AP$37:AP$48)</f>
        <v>0</v>
      </c>
      <c r="I111" s="105">
        <f>SUM(AR$37:AR$48)+SUM(AT$37:AT$48)+SUM(AV$37:AV$48)+SUM(AX$37:AX$48)</f>
        <v>86.935109033975834</v>
      </c>
      <c r="J111" s="105">
        <f>SUM(AZ$37:AZ$48)+SUM(BB$37:BB$48)+SUM(BD$37:BD$48)+SUM(BF$37:BF$48)</f>
        <v>0</v>
      </c>
      <c r="K111" s="105">
        <f>SUM(BH$37:BH$48)+SUM(BJ$37:BJ$48)+SUM(BL$37:BL$48)+SUM(BN$37:BN$48)</f>
        <v>0</v>
      </c>
      <c r="L111" s="105">
        <f>SUM(BP$37:BP$48)+SUM(BR$37:BR$48)+SUM(BT$37:BT$48)+SUM(BV$37:BV$48)</f>
        <v>1.0210872679802638</v>
      </c>
      <c r="M111" s="105">
        <f>SUM(BX$37:BX$48)+SUM(BZ$37:BZ$48)+SUM(CB$37:CB$48)+SUM(CD$37:CD$48)</f>
        <v>0</v>
      </c>
      <c r="N111" s="105">
        <f>SUM(CF$37:CF$48)+SUM(CH$37:CH$48)+SUM(CJ$37:CJ$48)+SUM(CL$37:CL$48)</f>
        <v>0</v>
      </c>
      <c r="O111" s="105">
        <f>SUM(CN$37:CN$48)+SUM(CP$37:CP$48)+SUM(CR$37:CR$48)+SUM(CT$37:CT$48)</f>
        <v>0</v>
      </c>
    </row>
    <row r="112" spans="2:99" x14ac:dyDescent="0.2">
      <c r="C112" s="104" t="s">
        <v>129</v>
      </c>
      <c r="D112" s="105">
        <f>SUM(D$49:D$70)+SUM(F$49:F$70)+SUM(H$49:H$70)+SUM(J$49:J$70)</f>
        <v>190.70299668089143</v>
      </c>
      <c r="E112" s="105">
        <f>SUM(L$49:L$70)+SUM(N$49:N$70)+SUM(P$49:P$70)+SUM(R$49:R$70)</f>
        <v>645.41947477050417</v>
      </c>
      <c r="F112" s="105">
        <f>SUM(T$49:T$70)+SUM(V$49:V$70)+SUM(X$49:X$70)+SUM(Z$49:Z$70)</f>
        <v>1128.660883200092</v>
      </c>
      <c r="G112" s="105">
        <f>SUM(AB$49:AB$70)+SUM(AD$49:AD$70)+SUM(AF$49:AF$70)+SUM(AH$49:AH$70)</f>
        <v>1088.7963751675466</v>
      </c>
      <c r="H112" s="105">
        <f>SUM(AJ$49:AJ$70)+SUM(AL$49:AL$70)+SUM(AN$49:AN$70)+SUM(AP$49:AP$70)</f>
        <v>1103.2528141826056</v>
      </c>
      <c r="I112" s="105">
        <f>SUM(AR$49:AR$70)+SUM(AT$49:AT$70)+SUM(AV$49:AV$70)+SUM(AX$49:AX$70)</f>
        <v>1252.0079047540812</v>
      </c>
      <c r="J112" s="105">
        <f>SUM(AZ$49:AZ$70)+SUM(BB$49:BB$70)+SUM(BD$49:BD$70)+SUM(BF$49:BF$70)</f>
        <v>1085.7234178215899</v>
      </c>
      <c r="K112" s="105">
        <f>SUM(BH$49:BH$70)+SUM(BJ$49:BJ$70)+SUM(BL$49:BL$70)+SUM(BN$49:BN$70)</f>
        <v>926.78643248059052</v>
      </c>
      <c r="L112" s="105">
        <f>SUM(BP$49:BP$70)+SUM(BR$49:BR$70)+SUM(BT$49:BT$70)+SUM(BV$49:BV$70)</f>
        <v>1014.9571034526989</v>
      </c>
      <c r="M112" s="105">
        <f>SUM(BX$49:BX$70)+SUM(BZ$49:BZ$70)+SUM(CB$49:CB$70)+SUM(CD$49:CD$70)</f>
        <v>1008.2514395949281</v>
      </c>
      <c r="N112" s="105">
        <f>SUM(CF$49:CF$70)+SUM(CH$49:CH$70)+SUM(CJ$49:CJ$70)+SUM(CL$49:CL$70)</f>
        <v>892.8819951694561</v>
      </c>
      <c r="O112" s="105">
        <f>SUM(CN$49:CN$70)+SUM(CP$49:CP$70)+SUM(CR$49:CR$70)+SUM(CT$49:CT$70)</f>
        <v>884.15425133595215</v>
      </c>
    </row>
    <row r="113" spans="2:15" x14ac:dyDescent="0.2">
      <c r="C113" s="104" t="s">
        <v>130</v>
      </c>
      <c r="D113" s="105">
        <f>SUM(D$71:D$86)+SUM(F$71:F$86)+SUM(H$71:H$86)+SUM(J$71:J$86)</f>
        <v>550.72744428639169</v>
      </c>
      <c r="E113" s="105">
        <f>SUM(L$71:L$86)+SUM(N$71:N$86)+SUM(P$71:P$86)+SUM(R$71:R$86)</f>
        <v>574.37090395480232</v>
      </c>
      <c r="F113" s="105">
        <f>SUM(T$71:T$86)+SUM(V$71:V$86)+SUM(X$71:X$86)+SUM(Z$71:Z$86)</f>
        <v>569.79013452914796</v>
      </c>
      <c r="G113" s="105">
        <f>SUM(AB$71:AB$86)+SUM(AD$71:AD$86)+SUM(AF$71:AF$86)+SUM(AH$71:AH$86)</f>
        <v>623</v>
      </c>
      <c r="H113" s="105">
        <f>SUM(AJ$71:AJ$86)+SUM(AL$71:AL$86)+SUM(AN$71:AN$86)+SUM(AP$71:AP$86)</f>
        <v>563</v>
      </c>
      <c r="I113" s="105">
        <f>SUM(AR$71:AR$86)+SUM(AT$71:AT$86)+SUM(AV$71:AV$86)+SUM(AX$71:AX$86)</f>
        <v>538</v>
      </c>
      <c r="J113" s="105">
        <f>SUM(AZ$71:AZ$86)+SUM(BB$71:BB$86)+SUM(BD$71:BD$86)+SUM(BF$71:BF$86)</f>
        <v>629.42188895935396</v>
      </c>
      <c r="K113" s="105">
        <f>SUM(BH$71:BH$86)+SUM(BJ$71:BJ$86)+SUM(BL$71:BL$86)+SUM(BN$71:BN$86)</f>
        <v>521.90379703873407</v>
      </c>
      <c r="L113" s="105">
        <f>SUM(BP$71:BP$86)+SUM(BR$71:BR$86)+SUM(BT$71:BT$86)+SUM(BV$71:BV$86)</f>
        <v>644.8709677419356</v>
      </c>
      <c r="M113" s="105">
        <f>SUM(BX$71:BX$86)+SUM(BZ$71:BZ$86)+SUM(CB$71:CB$86)+SUM(CD$71:CD$86)</f>
        <v>537.36708860759495</v>
      </c>
      <c r="N113" s="105">
        <f>SUM(CF$71:CF$86)+SUM(CH$71:CH$86)+SUM(CJ$71:CJ$86)+SUM(CL$71:CL$86)</f>
        <v>627.60834215875457</v>
      </c>
      <c r="O113" s="105">
        <f>SUM(CN$71:CN$86)+SUM(CP$71:CP$86)+SUM(CR$71:CR$86)+SUM(CT$71:CT$86)</f>
        <v>565.69695411900784</v>
      </c>
    </row>
    <row r="114" spans="2:15" x14ac:dyDescent="0.2">
      <c r="C114" s="104" t="s">
        <v>131</v>
      </c>
      <c r="D114" s="105">
        <f>SUM(D$87:D$94)+SUM(F$87:F$94)+SUM(H$87:H$94)+SUM(J$87:J$94)</f>
        <v>0</v>
      </c>
      <c r="E114" s="105">
        <f>SUM(L$87:L$94)+SUM(N$87:N$94)+SUM(P$87:P$94)+SUM(R$87:R$94)</f>
        <v>0</v>
      </c>
      <c r="F114" s="105">
        <f>SUM(T$87:T$94)+SUM(V$87:V$94)+SUM(X$87:X$94)+SUM(Z$87:Z$94)</f>
        <v>0</v>
      </c>
      <c r="G114" s="105">
        <f>SUM(AB$87:AB$94)+SUM(AD$87:AD$94)+SUM(AF$87:AF$94)+SUM(AH$87:AH$94)</f>
        <v>0</v>
      </c>
      <c r="H114" s="105">
        <f>SUM(AJ$87:AJ$94)+SUM(AL$87:AL$94)+SUM(AN$87:AN$94)+SUM(AP$87:AP$94)</f>
        <v>0</v>
      </c>
      <c r="I114" s="105">
        <f>SUM(AR$87:AR$94)+SUM(AT$87:AT$94)+SUM(AV$87:AV$94)+SUM(AX$87:AX$94)</f>
        <v>0</v>
      </c>
      <c r="J114" s="105">
        <f>SUM(AZ$87:AZ$94)+SUM(BB$87:BB$94)+SUM(BD$87:BD$94)+SUM(BF$87:BF$94)</f>
        <v>48.441253874647124</v>
      </c>
      <c r="K114" s="105">
        <f>SUM(BH$87:BH$94)+SUM(BJ$87:BJ$94)+SUM(BL$87:BL$94)+SUM(BN$87:BN$94)</f>
        <v>0</v>
      </c>
      <c r="L114" s="105">
        <f>SUM(BP$87:BP$94)+SUM(BR$87:BR$94)+SUM(BT$87:BT$94)+SUM(BV$87:BV$94)</f>
        <v>0</v>
      </c>
      <c r="M114" s="105">
        <f>SUM(BX$87:BX$94)+SUM(BZ$87:BZ$94)+SUM(CB$87:CB$94)+SUM(CD$87:CD$94)</f>
        <v>0</v>
      </c>
      <c r="N114" s="105">
        <f>SUM(CF$87:CF$94)+SUM(CH$87:CH$94)+SUM(CJ$87:CJ$94)+SUM(CL$87:CL$94)</f>
        <v>0</v>
      </c>
      <c r="O114" s="105">
        <f>SUM(CN$87:CN$94)+SUM(CP$87:CP$94)+SUM(CR$87:CR$94)+SUM(CT$87:CT$94)</f>
        <v>0</v>
      </c>
    </row>
    <row r="115" spans="2:15" x14ac:dyDescent="0.2">
      <c r="C115" s="104" t="s">
        <v>132</v>
      </c>
      <c r="D115" s="105">
        <f>SUM(D$95:D$105)+SUM(F$95:F$105)+SUM(H$95:H$105)+SUM(J$95:J$105)</f>
        <v>42.569559032716924</v>
      </c>
      <c r="E115" s="105">
        <f>SUM(L$95:L$105)+SUM(N$95:N$105)+SUM(P$95:P$105)+SUM(R$95:R$105)</f>
        <v>39.051694915254231</v>
      </c>
      <c r="F115" s="105">
        <f>SUM(T$95:T$105)+SUM(V$95:V$105)+SUM(X$95:X$105)+SUM(Z$95:Z$105)</f>
        <v>43.535426008968614</v>
      </c>
      <c r="G115" s="105">
        <f>SUM(AB$95:AB$105)+SUM(AD$95:AD$105)+SUM(AF$95:AF$105)+SUM(AH$95:AH$105)</f>
        <v>48</v>
      </c>
      <c r="H115" s="105">
        <f>SUM(AJ$95:AJ$105)+SUM(AL$95:AL$105)+SUM(AN$95:AN$105)+SUM(AP$95:AP$105)</f>
        <v>49</v>
      </c>
      <c r="I115" s="105">
        <f>SUM(AR$95:AR$105)+SUM(AT$95:AT$105)+SUM(AV$95:AV$105)+SUM(AX$95:AX$105)</f>
        <v>52</v>
      </c>
      <c r="J115" s="105">
        <f>SUM(AZ$95:AZ$105)+SUM(BB$95:BB$105)+SUM(BD$95:BD$105)+SUM(BF$95:BF$105)</f>
        <v>96.736258659843173</v>
      </c>
      <c r="K115" s="105">
        <f>SUM(BH$95:BH$105)+SUM(BJ$95:BJ$105)+SUM(BL$95:BL$105)+SUM(BN$95:BN$105)</f>
        <v>46.909770480675405</v>
      </c>
      <c r="L115" s="105">
        <f>SUM(BP$95:BP$105)+SUM(BR$95:BR$105)+SUM(BT$95:BT$105)+SUM(BV$95:BV$105)</f>
        <v>47.170967741935485</v>
      </c>
      <c r="M115" s="105">
        <f>SUM(BX$95:BX$105)+SUM(BZ$95:BZ$105)+SUM(CB$95:CB$105)+SUM(CD$95:CD$105)</f>
        <v>54.215189873417728</v>
      </c>
      <c r="N115" s="105">
        <f>SUM(CF$95:CF$105)+SUM(CH$95:CH$105)+SUM(CJ$95:CJ$105)+SUM(CL$95:CL$105)</f>
        <v>40.343707781661379</v>
      </c>
      <c r="O115" s="105">
        <f>SUM(CN$95:CN$105)+SUM(CP$95:CP$105)+SUM(CR$95:CR$105)+SUM(CT$95:CT$105)</f>
        <v>45.937797198303556</v>
      </c>
    </row>
    <row r="116" spans="2:15" x14ac:dyDescent="0.2">
      <c r="C116" s="104" t="s">
        <v>278</v>
      </c>
      <c r="D116" s="105">
        <f t="shared" ref="D116:O116" si="0">SUM(D$109:D$115)</f>
        <v>784.00000000000011</v>
      </c>
      <c r="E116" s="105">
        <f t="shared" si="0"/>
        <v>1391.2819201759266</v>
      </c>
      <c r="F116" s="105">
        <f t="shared" si="0"/>
        <v>1967.7963950226847</v>
      </c>
      <c r="G116" s="105">
        <f t="shared" si="0"/>
        <v>2869.1858362904231</v>
      </c>
      <c r="H116" s="105">
        <f t="shared" si="0"/>
        <v>1946.1306357266894</v>
      </c>
      <c r="I116" s="105">
        <f t="shared" si="0"/>
        <v>2403.5732580460754</v>
      </c>
      <c r="J116" s="105">
        <f t="shared" si="0"/>
        <v>2132.3124079570548</v>
      </c>
      <c r="K116" s="105">
        <f t="shared" si="0"/>
        <v>1778.6</v>
      </c>
      <c r="L116" s="105">
        <f t="shared" si="0"/>
        <v>1961.6656287031988</v>
      </c>
      <c r="M116" s="105">
        <f t="shared" si="0"/>
        <v>1887.1592237786338</v>
      </c>
      <c r="N116" s="105">
        <f t="shared" si="0"/>
        <v>1776.8382210309667</v>
      </c>
      <c r="O116" s="105">
        <f t="shared" si="0"/>
        <v>1753.3860577758419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D109*pricing!D6*2000</f>
        <v>0</v>
      </c>
      <c r="E120" s="105">
        <f>E109*pricing!E6*2000</f>
        <v>0</v>
      </c>
      <c r="F120" s="105">
        <f>F109*pricing!F6*2000</f>
        <v>0</v>
      </c>
      <c r="G120" s="105">
        <f>G109*pricing!G6*2000</f>
        <v>995804.86304223875</v>
      </c>
      <c r="H120" s="105">
        <f>H109*pricing!H6*2000</f>
        <v>0</v>
      </c>
      <c r="I120" s="105">
        <f>I109*pricing!I6*2000</f>
        <v>296751.98381411558</v>
      </c>
      <c r="J120" s="105">
        <f>J109*pricing!J6*2000</f>
        <v>0</v>
      </c>
      <c r="K120" s="105">
        <f>K109*pricing!K6*2000</f>
        <v>0</v>
      </c>
      <c r="L120" s="105">
        <f>L109*pricing!L6*2000</f>
        <v>4789.5915493819994</v>
      </c>
      <c r="M120" s="105">
        <f>M109*pricing!M6*2000</f>
        <v>0</v>
      </c>
      <c r="N120" s="105">
        <f>N109*pricing!N6*2000</f>
        <v>0</v>
      </c>
      <c r="O120" s="105">
        <f>O109*pricing!O6*2000</f>
        <v>0</v>
      </c>
    </row>
    <row r="121" spans="2:15" x14ac:dyDescent="0.2">
      <c r="C121" s="104" t="s">
        <v>127</v>
      </c>
      <c r="D121" s="105">
        <f>D110*pricing!D7*2000</f>
        <v>0</v>
      </c>
      <c r="E121" s="105">
        <f>E110*pricing!E7*2000</f>
        <v>516515.40148792649</v>
      </c>
      <c r="F121" s="105">
        <f>F110*pricing!F7*2000</f>
        <v>880658.81000945694</v>
      </c>
      <c r="G121" s="105">
        <f>G110*pricing!G7*2000</f>
        <v>2377966.9194046604</v>
      </c>
      <c r="H121" s="105">
        <f>H110*pricing!H7*2000</f>
        <v>900423.50402192713</v>
      </c>
      <c r="I121" s="105">
        <f>I110*pricing!I7*2000</f>
        <v>1568781.6753196726</v>
      </c>
      <c r="J121" s="105">
        <f>J110*pricing!J7*2000</f>
        <v>1060759.3957023202</v>
      </c>
      <c r="K121" s="105">
        <f>K110*pricing!K7*2000</f>
        <v>1103700</v>
      </c>
      <c r="L121" s="105">
        <f>L110*pricing!L7*2000</f>
        <v>984661.50680751156</v>
      </c>
      <c r="M121" s="105">
        <f>M110*pricing!M7*2000</f>
        <v>1120569.4722405025</v>
      </c>
      <c r="N121" s="105">
        <f>N110*pricing!N7*2000</f>
        <v>842416.28609226958</v>
      </c>
      <c r="O121" s="105">
        <f>O110*pricing!O7*2000</f>
        <v>1004628.5149780556</v>
      </c>
    </row>
    <row r="122" spans="2:15" x14ac:dyDescent="0.2">
      <c r="C122" s="104" t="s">
        <v>128</v>
      </c>
      <c r="D122" s="105">
        <f>D111*pricing!D8*2000</f>
        <v>0</v>
      </c>
      <c r="E122" s="105">
        <f>E111*pricing!E8*2000</f>
        <v>0</v>
      </c>
      <c r="F122" s="105">
        <f>F111*pricing!F8*2000</f>
        <v>0</v>
      </c>
      <c r="G122" s="105">
        <f>G111*pricing!G8*2000</f>
        <v>950067.93917101528</v>
      </c>
      <c r="H122" s="105">
        <f>H111*pricing!H8*2000</f>
        <v>0</v>
      </c>
      <c r="I122" s="105">
        <f>I111*pricing!I8*2000</f>
        <v>321659.90342571057</v>
      </c>
      <c r="J122" s="105">
        <f>J111*pricing!J8*2000</f>
        <v>0</v>
      </c>
      <c r="K122" s="105">
        <f>K111*pricing!K8*2000</f>
        <v>0</v>
      </c>
      <c r="L122" s="105">
        <f>L111*pricing!L8*2000</f>
        <v>3778.0228915269763</v>
      </c>
      <c r="M122" s="105">
        <f>M111*pricing!M8*2000</f>
        <v>0</v>
      </c>
      <c r="N122" s="105">
        <f>N111*pricing!N8*2000</f>
        <v>0</v>
      </c>
      <c r="O122" s="105">
        <f>O111*pricing!O8*2000</f>
        <v>0</v>
      </c>
    </row>
    <row r="123" spans="2:15" x14ac:dyDescent="0.2">
      <c r="C123" s="104" t="s">
        <v>129</v>
      </c>
      <c r="D123" s="105">
        <f>D112*pricing!D9*2000</f>
        <v>808580.70592697966</v>
      </c>
      <c r="E123" s="105">
        <f>E112*pricing!E9*2000</f>
        <v>2736578.5730269374</v>
      </c>
      <c r="F123" s="105">
        <f>F112*pricing!F9*2000</f>
        <v>4785522.1447683908</v>
      </c>
      <c r="G123" s="105">
        <f>G112*pricing!G9*2000</f>
        <v>4616496.6307103978</v>
      </c>
      <c r="H123" s="105">
        <f>H112*pricing!H9*2000</f>
        <v>4677791.9321342483</v>
      </c>
      <c r="I123" s="105">
        <f>I112*pricing!I9*2000</f>
        <v>5308513.5161573039</v>
      </c>
      <c r="J123" s="105">
        <f>J112*pricing!J9*2000</f>
        <v>4603467.2915635407</v>
      </c>
      <c r="K123" s="105">
        <f>K112*pricing!K9*2000</f>
        <v>3929574.4737177044</v>
      </c>
      <c r="L123" s="105">
        <f>L112*pricing!L9*2000</f>
        <v>4303418.1186394431</v>
      </c>
      <c r="M123" s="105">
        <f>M112*pricing!M9*2000</f>
        <v>4274986.1038824953</v>
      </c>
      <c r="N123" s="105">
        <f>N112*pricing!N9*2000</f>
        <v>3785819.6595184943</v>
      </c>
      <c r="O123" s="105">
        <f>O112*pricing!O9*2000</f>
        <v>3748814.0256644376</v>
      </c>
    </row>
    <row r="124" spans="2:15" x14ac:dyDescent="0.2">
      <c r="C124" s="104" t="s">
        <v>130</v>
      </c>
      <c r="D124" s="105">
        <f>D113*pricing!D10*2000</f>
        <v>2533346.2437174018</v>
      </c>
      <c r="E124" s="105">
        <f>E113*pricing!E10*2000</f>
        <v>2642106.1581920902</v>
      </c>
      <c r="F124" s="105">
        <f>F113*pricing!F10*2000</f>
        <v>2621034.6188340806</v>
      </c>
      <c r="G124" s="105">
        <f>G113*pricing!G10*2000</f>
        <v>2865799.9999999995</v>
      </c>
      <c r="H124" s="105">
        <f>H113*pricing!H10*2000</f>
        <v>2589799.9999999995</v>
      </c>
      <c r="I124" s="105">
        <f>I113*pricing!I10*2000</f>
        <v>2474799.9999999995</v>
      </c>
      <c r="J124" s="105">
        <f>J113*pricing!J10*2000</f>
        <v>2895340.6892130277</v>
      </c>
      <c r="K124" s="105">
        <f>K113*pricing!K10*2000</f>
        <v>2400757.4663781766</v>
      </c>
      <c r="L124" s="105">
        <f>L113*pricing!L10*2000</f>
        <v>2966406.4516129033</v>
      </c>
      <c r="M124" s="105">
        <f>M113*pricing!M10*2000</f>
        <v>2471888.6075949366</v>
      </c>
      <c r="N124" s="105">
        <f>N113*pricing!N10*2000</f>
        <v>2886998.3739302708</v>
      </c>
      <c r="O124" s="105">
        <f>O113*pricing!O10*2000</f>
        <v>2602205.9889474357</v>
      </c>
    </row>
    <row r="125" spans="2:15" x14ac:dyDescent="0.2">
      <c r="C125" s="104" t="s">
        <v>131</v>
      </c>
      <c r="D125" s="105">
        <f>D114*pricing!D11*2000</f>
        <v>0</v>
      </c>
      <c r="E125" s="105">
        <f>E114*pricing!E11*2000</f>
        <v>0</v>
      </c>
      <c r="F125" s="105">
        <f>F114*pricing!F11*2000</f>
        <v>0</v>
      </c>
      <c r="G125" s="105">
        <f>G114*pricing!G11*2000</f>
        <v>0</v>
      </c>
      <c r="H125" s="105">
        <f>H114*pricing!H11*2000</f>
        <v>0</v>
      </c>
      <c r="I125" s="105">
        <f>I114*pricing!I11*2000</f>
        <v>0</v>
      </c>
      <c r="J125" s="105">
        <f>J114*pricing!J11*2000</f>
        <v>254800.99538064384</v>
      </c>
      <c r="K125" s="105">
        <f>K114*pricing!K11*2000</f>
        <v>0</v>
      </c>
      <c r="L125" s="105">
        <f>L114*pricing!L11*2000</f>
        <v>0</v>
      </c>
      <c r="M125" s="105">
        <f>M114*pricing!M11*2000</f>
        <v>0</v>
      </c>
      <c r="N125" s="105">
        <f>N114*pricing!N11*2000</f>
        <v>0</v>
      </c>
      <c r="O125" s="105">
        <f>O114*pricing!O11*2000</f>
        <v>0</v>
      </c>
    </row>
    <row r="126" spans="2:15" x14ac:dyDescent="0.2">
      <c r="C126" s="104" t="s">
        <v>132</v>
      </c>
      <c r="D126" s="105">
        <f>D115*pricing!D12*2000</f>
        <v>268188.22190611658</v>
      </c>
      <c r="E126" s="105">
        <f>E115*pricing!E12*2000</f>
        <v>246025.67796610165</v>
      </c>
      <c r="F126" s="105">
        <f>F115*pricing!F12*2000</f>
        <v>274273.18385650229</v>
      </c>
      <c r="G126" s="105">
        <f>G115*pricing!G12*2000</f>
        <v>302400</v>
      </c>
      <c r="H126" s="105">
        <f>H115*pricing!H12*2000</f>
        <v>308700</v>
      </c>
      <c r="I126" s="105">
        <f>I115*pricing!I12*2000</f>
        <v>327599.99999999994</v>
      </c>
      <c r="J126" s="105">
        <f>J115*pricing!J12*2000</f>
        <v>609438.42955701204</v>
      </c>
      <c r="K126" s="105">
        <f>K115*pricing!K12*2000</f>
        <v>295531.55402825505</v>
      </c>
      <c r="L126" s="105">
        <f>L115*pricing!L12*2000</f>
        <v>297177.09677419357</v>
      </c>
      <c r="M126" s="105">
        <f>M115*pricing!M12*2000</f>
        <v>341555.69620253169</v>
      </c>
      <c r="N126" s="105">
        <f>N115*pricing!N12*2000</f>
        <v>254165.35902446668</v>
      </c>
      <c r="O126" s="105">
        <f>O115*pricing!O12*2000</f>
        <v>289408.12234931241</v>
      </c>
    </row>
    <row r="127" spans="2:15" x14ac:dyDescent="0.2">
      <c r="C127" s="104" t="s">
        <v>278</v>
      </c>
      <c r="D127" s="105">
        <f t="shared" ref="D127:O127" si="1">SUM(D$120:D$126)</f>
        <v>3610115.1715504979</v>
      </c>
      <c r="E127" s="105">
        <f t="shared" si="1"/>
        <v>6141225.8106730562</v>
      </c>
      <c r="F127" s="105">
        <f t="shared" si="1"/>
        <v>8561488.7574684303</v>
      </c>
      <c r="G127" s="105">
        <f t="shared" si="1"/>
        <v>12108536.352328312</v>
      </c>
      <c r="H127" s="105">
        <f t="shared" si="1"/>
        <v>8476715.4361561742</v>
      </c>
      <c r="I127" s="105">
        <f t="shared" si="1"/>
        <v>10298107.078716803</v>
      </c>
      <c r="J127" s="105">
        <f t="shared" si="1"/>
        <v>9423806.8014165442</v>
      </c>
      <c r="K127" s="105">
        <f t="shared" si="1"/>
        <v>7729563.4941241359</v>
      </c>
      <c r="L127" s="105">
        <f t="shared" si="1"/>
        <v>8560230.7882749606</v>
      </c>
      <c r="M127" s="105">
        <f t="shared" si="1"/>
        <v>8208999.8799204659</v>
      </c>
      <c r="N127" s="105">
        <f t="shared" si="1"/>
        <v>7769399.6785655012</v>
      </c>
      <c r="O127" s="105">
        <f t="shared" si="1"/>
        <v>7645056.6519392412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0</v>
      </c>
      <c r="E131" s="111">
        <f>SUM(M$6:M$19)+SUM(O$6:O$19)+SUM(Q$6:Q$19)+SUM(S$6:S$19)</f>
        <v>0</v>
      </c>
      <c r="F131" s="111">
        <f>SUM(U$6:U$19)+SUM(W$6:W$19)+SUM(Y$6:Y$19)+SUM(AA$6:AA$19)</f>
        <v>0</v>
      </c>
      <c r="G131" s="111">
        <f>SUM(AC$6:AC$19)+SUM(AE$6:AE$19)+SUM(AG$6:AG$19)+SUM(AI$6:AI$19)</f>
        <v>139071.84022571167</v>
      </c>
      <c r="H131" s="111">
        <f>SUM(AK$6:AK$19)+SUM(AM$6:AM$19)+SUM(AO$6:AO$19)+SUM(AQ$6:AQ$19)</f>
        <v>0</v>
      </c>
      <c r="I131" s="111">
        <f>SUM(AS$6:AS$19)+SUM(AU$6:AU$19)+SUM(AW$6:AW$19)+SUM(AY$6:AY$19)</f>
        <v>41667.714715443573</v>
      </c>
      <c r="J131" s="111">
        <f>SUM(BA$6:BA$19)+SUM(BC$6:BC$19)+SUM(BE$6:BE$19)+SUM(BG$6:BG$19)</f>
        <v>0</v>
      </c>
      <c r="K131" s="111">
        <f>SUM(BI$6:BI$19)+SUM(BK$6:BK$19)+SUM(BM$6:BM$19)+SUM(BO$6:BO$19)</f>
        <v>0</v>
      </c>
      <c r="L131" s="111">
        <f>SUM(BQ$6:BQ$19)+SUM(BS$6:BS$19)+SUM(BU$6:BU$19)+SUM(BW$6:BW$19)</f>
        <v>665.77139725615507</v>
      </c>
      <c r="M131" s="111">
        <f>SUM(BY$6:BY$19)+SUM(CA$6:CA$19)+SUM(CC$6:CC$19)+SUM(CE$6:CE$19)</f>
        <v>0</v>
      </c>
      <c r="N131" s="111">
        <f>SUM(CG$6:CG$19)+SUM(CI$6:CI$19)+SUM(CK$6:CK$19)+SUM(CM$6:CM$19)</f>
        <v>0</v>
      </c>
      <c r="O131" s="111">
        <f>SUM(CO$6:CO$19)+SUM(CQ$6:CQ$19)+SUM(CS$6:CS$19)+SUM(CU$6:CU$19)</f>
        <v>0</v>
      </c>
    </row>
    <row r="132" spans="2:15" x14ac:dyDescent="0.2">
      <c r="C132" s="110" t="s">
        <v>127</v>
      </c>
      <c r="D132" s="111">
        <f>SUM(E$20:E$36)+SUM(G$20:G$36)+SUM(I$20:I$36)+SUM(K$20:K$36)</f>
        <v>0</v>
      </c>
      <c r="E132" s="111">
        <f>SUM(M$20:M$36)+SUM(O$20:O$36)+SUM(Q$20:Q$36)+SUM(S$20:S$36)</f>
        <v>74661.105018742324</v>
      </c>
      <c r="F132" s="111">
        <f>SUM(U$20:U$36)+SUM(W$20:W$36)+SUM(Y$20:Y$36)+SUM(AA$20:AA$36)</f>
        <v>127596.6772121074</v>
      </c>
      <c r="G132" s="111">
        <f>SUM(AC$20:AC$36)+SUM(AE$20:AE$36)+SUM(AG$20:AG$36)+SUM(AI$20:AI$36)</f>
        <v>233099.47314586566</v>
      </c>
      <c r="H132" s="111">
        <f>SUM(AK$20:AK$36)+SUM(AM$20:AM$36)+SUM(AO$20:AO$36)+SUM(AQ$20:AQ$36)</f>
        <v>130837.37185145337</v>
      </c>
      <c r="I132" s="111">
        <f>SUM(AS$20:AS$36)+SUM(AU$20:AU$36)+SUM(AW$20:AW$36)+SUM(AY$20:AY$36)</f>
        <v>187219.03737157906</v>
      </c>
      <c r="J132" s="111">
        <f>SUM(BA$20:BA$36)+SUM(BC$20:BC$36)+SUM(BE$20:BE$36)+SUM(BG$20:BG$36)</f>
        <v>153134.00638329427</v>
      </c>
      <c r="K132" s="111">
        <f>SUM(BI$20:BI$36)+SUM(BK$20:BK$36)+SUM(BM$20:BM$36)+SUM(BO$20:BO$36)</f>
        <v>159780</v>
      </c>
      <c r="L132" s="111">
        <f>SUM(BQ$20:BQ$36)+SUM(BS$20:BS$36)+SUM(BU$20:BU$36)+SUM(BW$20:BW$36)</f>
        <v>142215.45019855269</v>
      </c>
      <c r="M132" s="111">
        <f>SUM(BY$20:BY$36)+SUM(CA$20:CA$36)+SUM(CC$20:CC$36)+SUM(CE$20:CE$36)</f>
        <v>162617.56937936059</v>
      </c>
      <c r="N132" s="111">
        <f>SUM(CG$20:CG$36)+SUM(CI$20:CI$36)+SUM(CK$20:CK$36)+SUM(CM$20:CM$36)</f>
        <v>121584.73764744429</v>
      </c>
      <c r="O132" s="111">
        <f>SUM(CO$20:CO$36)+SUM(CQ$20:CQ$36)+SUM(CS$20:CS$36)+SUM(CU$20:CU$36)</f>
        <v>145260.09099137134</v>
      </c>
    </row>
    <row r="133" spans="2:15" x14ac:dyDescent="0.2">
      <c r="C133" s="110" t="s">
        <v>128</v>
      </c>
      <c r="D133" s="111">
        <f>SUM(E$37:E$48)+SUM(G$37:G$48)+SUM(I$37:I$48)+SUM(K$37:K$48)</f>
        <v>0</v>
      </c>
      <c r="E133" s="111">
        <f>SUM(M$37:M$48)+SUM(O$37:O$48)+SUM(Q$37:Q$48)+SUM(S$37:S$48)</f>
        <v>0</v>
      </c>
      <c r="F133" s="111">
        <f>SUM(U$37:U$48)+SUM(W$37:W$48)+SUM(Y$37:Y$48)+SUM(AA$37:AA$48)</f>
        <v>0</v>
      </c>
      <c r="G133" s="111">
        <f>SUM(AC$37:AC$48)+SUM(AE$37:AE$48)+SUM(AG$37:AG$48)+SUM(AI$37:AI$48)</f>
        <v>217773.00096696924</v>
      </c>
      <c r="H133" s="111">
        <f>SUM(AK$37:AK$48)+SUM(AM$37:AM$48)+SUM(AO$37:AO$48)+SUM(AQ$37:AQ$48)</f>
        <v>0</v>
      </c>
      <c r="I133" s="111">
        <f>SUM(AS$37:AS$48)+SUM(AU$37:AU$48)+SUM(AW$37:AW$48)+SUM(AY$37:AY$48)</f>
        <v>73569.907545764567</v>
      </c>
      <c r="J133" s="111">
        <f>SUM(BA$37:BA$48)+SUM(BC$37:BC$48)+SUM(BE$37:BE$48)+SUM(BG$37:BG$48)</f>
        <v>0</v>
      </c>
      <c r="K133" s="111">
        <f>SUM(BI$37:BI$48)+SUM(BK$37:BK$48)+SUM(BM$37:BM$48)+SUM(BO$37:BO$48)</f>
        <v>0</v>
      </c>
      <c r="L133" s="111">
        <f>SUM(BQ$37:BQ$48)+SUM(BS$37:BS$48)+SUM(BU$37:BU$48)+SUM(BW$37:BW$48)</f>
        <v>868.18031492841237</v>
      </c>
      <c r="M133" s="111">
        <f>SUM(BY$37:BY$48)+SUM(CA$37:CA$48)+SUM(CC$37:CC$48)+SUM(CE$37:CE$48)</f>
        <v>0</v>
      </c>
      <c r="N133" s="111">
        <f>SUM(CG$37:CG$48)+SUM(CI$37:CI$48)+SUM(CK$37:CK$48)+SUM(CM$37:CM$48)</f>
        <v>0</v>
      </c>
      <c r="O133" s="111">
        <f>SUM(CO$37:CO$48)+SUM(CQ$37:CQ$48)+SUM(CS$37:CS$48)+SUM(CU$37:CU$48)</f>
        <v>0</v>
      </c>
    </row>
    <row r="134" spans="2:15" x14ac:dyDescent="0.2">
      <c r="C134" s="110" t="s">
        <v>129</v>
      </c>
      <c r="D134" s="111">
        <f>SUM(E$49:E$70)+SUM(G$49:G$70)+SUM(I$49:I$70)+SUM(K$49:K$70)</f>
        <v>134018.36671408248</v>
      </c>
      <c r="E134" s="111">
        <f>SUM(M$49:M$70)+SUM(O$49:O$70)+SUM(Q$49:Q$70)+SUM(S$49:S$70)</f>
        <v>283768.58857637644</v>
      </c>
      <c r="F134" s="111">
        <f>SUM(U$49:U$70)+SUM(W$49:W$70)+SUM(Y$49:Y$70)+SUM(AA$49:AA$70)</f>
        <v>454842.09058722586</v>
      </c>
      <c r="G134" s="111">
        <f>SUM(AC$49:AC$70)+SUM(AE$49:AE$70)+SUM(AG$49:AG$70)+SUM(AI$49:AI$70)</f>
        <v>442062.7483297431</v>
      </c>
      <c r="H134" s="111">
        <f>SUM(AK$49:AK$70)+SUM(AM$49:AM$70)+SUM(AO$49:AO$70)+SUM(AQ$49:AQ$70)</f>
        <v>442426.3751406527</v>
      </c>
      <c r="I134" s="111">
        <f>SUM(AS$49:AS$70)+SUM(AU$49:AU$70)+SUM(AW$49:AW$70)+SUM(AY$49:AY$70)</f>
        <v>501094.85740708176</v>
      </c>
      <c r="J134" s="111">
        <f>SUM(BA$49:BA$70)+SUM(BC$49:BC$70)+SUM(BE$49:BE$70)+SUM(BG$49:BG$70)</f>
        <v>433407.47677546449</v>
      </c>
      <c r="K134" s="111">
        <f>SUM(BI$49:BI$70)+SUM(BK$49:BK$70)+SUM(BM$49:BM$70)+SUM(BO$49:BO$70)</f>
        <v>367400.69333333336</v>
      </c>
      <c r="L134" s="111">
        <f>SUM(BQ$49:BQ$70)+SUM(BS$49:BS$70)+SUM(BU$49:BU$70)+SUM(BW$49:BW$70)</f>
        <v>405662.97454591439</v>
      </c>
      <c r="M134" s="111">
        <f>SUM(BY$49:BY$70)+SUM(CA$49:CA$70)+SUM(CC$49:CC$70)+SUM(CE$49:CE$70)</f>
        <v>404763.94625443738</v>
      </c>
      <c r="N134" s="111">
        <f>SUM(CG$49:CG$70)+SUM(CI$49:CI$70)+SUM(CK$49:CK$70)+SUM(CM$49:CM$70)</f>
        <v>361829.33804238751</v>
      </c>
      <c r="O134" s="111">
        <f>SUM(CO$49:CO$70)+SUM(CQ$49:CQ$70)+SUM(CS$49:CS$70)+SUM(CU$49:CU$70)</f>
        <v>358912.41052468849</v>
      </c>
    </row>
    <row r="135" spans="2:15" x14ac:dyDescent="0.2">
      <c r="C135" s="110" t="s">
        <v>130</v>
      </c>
      <c r="D135" s="111">
        <f>SUM(E$71:E$86)+SUM(G$71:G$86)+SUM(I$71:I$86)+SUM(K$71:K$86)</f>
        <v>269581.00168421061</v>
      </c>
      <c r="E135" s="111">
        <f>SUM(M$71:M$86)+SUM(O$71:O$86)+SUM(Q$71:Q$86)+SUM(S$71:S$86)</f>
        <v>281063.51966101688</v>
      </c>
      <c r="F135" s="111">
        <f>SUM(U$71:U$86)+SUM(W$71:W$86)+SUM(Y$71:Y$86)+SUM(AA$71:AA$86)</f>
        <v>280931.25201793719</v>
      </c>
      <c r="G135" s="111">
        <f>SUM(AC$71:AC$86)+SUM(AE$71:AE$86)+SUM(AG$71:AG$86)+SUM(AI$71:AI$86)</f>
        <v>307732.8</v>
      </c>
      <c r="H135" s="111">
        <f>SUM(AK$71:AK$86)+SUM(AM$71:AM$86)+SUM(AO$71:AO$86)+SUM(AQ$71:AQ$86)</f>
        <v>277317.60000000003</v>
      </c>
      <c r="I135" s="111">
        <f>SUM(AS$71:AS$86)+SUM(AU$71:AU$86)+SUM(AW$71:AW$86)+SUM(AY$71:AY$86)</f>
        <v>265543.2</v>
      </c>
      <c r="J135" s="111">
        <f>SUM(BA$71:BA$86)+SUM(BC$71:BC$86)+SUM(BE$71:BE$86)+SUM(BG$71:BG$86)</f>
        <v>308608.5078887674</v>
      </c>
      <c r="K135" s="111">
        <f>SUM(BI$71:BI$86)+SUM(BK$71:BK$86)+SUM(BM$71:BM$86)+SUM(BO$71:BO$86)</f>
        <v>258158.30715031183</v>
      </c>
      <c r="L135" s="111">
        <f>SUM(BQ$71:BQ$86)+SUM(BS$71:BS$86)+SUM(BU$71:BU$86)+SUM(BW$71:BW$86)</f>
        <v>319112.56838709681</v>
      </c>
      <c r="M135" s="111">
        <f>SUM(BY$71:BY$86)+SUM(CA$71:CA$86)+SUM(CC$71:CC$86)+SUM(CE$71:CE$86)</f>
        <v>263843.67493670888</v>
      </c>
      <c r="N135" s="111">
        <f>SUM(CG$71:CG$86)+SUM(CI$71:CI$86)+SUM(CK$71:CK$86)+SUM(CM$71:CM$86)</f>
        <v>308223.59453379398</v>
      </c>
      <c r="O135" s="111">
        <f>SUM(CO$71:CO$86)+SUM(CQ$71:CQ$86)+SUM(CS$71:CS$86)+SUM(CU$71:CU$86)</f>
        <v>277452.50939467939</v>
      </c>
    </row>
    <row r="136" spans="2:15" x14ac:dyDescent="0.2">
      <c r="C136" s="110" t="s">
        <v>131</v>
      </c>
      <c r="D136" s="111">
        <f>SUM(E$87:E$94)+SUM(G$87:G$94)+SUM(I$87:I$94)+SUM(K$87:K$94)</f>
        <v>0</v>
      </c>
      <c r="E136" s="111">
        <f>SUM(M$87:M$94)+SUM(O$87:O$94)+SUM(Q$87:Q$94)+SUM(S$87:S$94)</f>
        <v>0</v>
      </c>
      <c r="F136" s="111">
        <f>SUM(U$87:U$94)+SUM(W$87:W$94)+SUM(Y$87:Y$94)+SUM(AA$87:AA$94)</f>
        <v>0</v>
      </c>
      <c r="G136" s="111">
        <f>SUM(AC$87:AC$94)+SUM(AE$87:AE$94)+SUM(AG$87:AG$94)+SUM(AI$87:AI$94)</f>
        <v>0</v>
      </c>
      <c r="H136" s="111">
        <f>SUM(AK$87:AK$94)+SUM(AM$87:AM$94)+SUM(AO$87:AO$94)+SUM(AQ$87:AQ$94)</f>
        <v>0</v>
      </c>
      <c r="I136" s="111">
        <f>SUM(AS$87:AS$94)+SUM(AU$87:AU$94)+SUM(AW$87:AW$94)+SUM(AY$87:AY$94)</f>
        <v>0</v>
      </c>
      <c r="J136" s="111">
        <f>SUM(BA$87:BA$94)+SUM(BC$87:BC$94)+SUM(BE$87:BE$94)+SUM(BG$87:BG$94)</f>
        <v>38351.521987604618</v>
      </c>
      <c r="K136" s="111">
        <f>SUM(BI$87:BI$94)+SUM(BK$87:BK$94)+SUM(BM$87:BM$94)+SUM(BO$87:BO$94)</f>
        <v>0</v>
      </c>
      <c r="L136" s="111">
        <f>SUM(BQ$87:BQ$94)+SUM(BS$87:BS$94)+SUM(BU$87:BU$94)+SUM(BW$87:BW$94)</f>
        <v>0</v>
      </c>
      <c r="M136" s="111">
        <f>SUM(BY$87:BY$94)+SUM(CA$87:CA$94)+SUM(CC$87:CC$94)+SUM(CE$87:CE$94)</f>
        <v>0</v>
      </c>
      <c r="N136" s="111">
        <f>SUM(CG$87:CG$94)+SUM(CI$87:CI$94)+SUM(CK$87:CK$94)+SUM(CM$87:CM$94)</f>
        <v>0</v>
      </c>
      <c r="O136" s="111">
        <f>SUM(CO$87:CO$94)+SUM(CQ$87:CQ$94)+SUM(CS$87:CS$94)+SUM(CU$87:CU$94)</f>
        <v>0</v>
      </c>
    </row>
    <row r="137" spans="2:15" x14ac:dyDescent="0.2">
      <c r="C137" s="110" t="s">
        <v>132</v>
      </c>
      <c r="D137" s="111">
        <f>SUM(E$95:E$105)+SUM(G$95:G$105)+SUM(I$95:I$105)+SUM(K$95:K$105)</f>
        <v>35915.145775248937</v>
      </c>
      <c r="E137" s="111">
        <f>SUM(M$95:M$105)+SUM(O$95:O$105)+SUM(Q$95:Q$105)+SUM(S$95:S$105)</f>
        <v>32975.282711864405</v>
      </c>
      <c r="F137" s="111">
        <f>SUM(U$95:U$105)+SUM(W$95:W$105)+SUM(Y$95:Y$105)+SUM(AA$95:AA$105)</f>
        <v>36768.206636771305</v>
      </c>
      <c r="G137" s="111">
        <f>SUM(AC$95:AC$105)+SUM(AE$95:AE$105)+SUM(AG$95:AG$105)+SUM(AI$95:AI$105)</f>
        <v>40537.199999999997</v>
      </c>
      <c r="H137" s="111">
        <f>SUM(AK$95:AK$105)+SUM(AM$95:AM$105)+SUM(AO$95:AO$105)+SUM(AQ$95:AQ$105)</f>
        <v>41373.599999999999</v>
      </c>
      <c r="I137" s="111">
        <f>SUM(AS$95:AS$105)+SUM(AU$95:AU$105)+SUM(AW$95:AW$105)+SUM(AY$95:AY$105)</f>
        <v>43882.8</v>
      </c>
      <c r="J137" s="111">
        <f>SUM(BA$95:BA$105)+SUM(BC$95:BC$105)+SUM(BE$95:BE$105)+SUM(BG$95:BG$105)</f>
        <v>70607.426349513436</v>
      </c>
      <c r="K137" s="111">
        <f>SUM(BI$95:BI$105)+SUM(BK$95:BK$105)+SUM(BM$95:BM$105)+SUM(BO$95:BO$105)</f>
        <v>39609.028239786174</v>
      </c>
      <c r="L137" s="111">
        <f>SUM(BQ$95:BQ$105)+SUM(BS$95:BS$105)+SUM(BU$95:BU$105)+SUM(BW$95:BW$105)</f>
        <v>39829.530967741935</v>
      </c>
      <c r="M137" s="111">
        <f>SUM(BY$95:BY$105)+SUM(CA$95:CA$105)+SUM(CC$95:CC$105)+SUM(CE$95:CE$105)</f>
        <v>45753.791392405066</v>
      </c>
      <c r="N137" s="111">
        <f>SUM(CG$95:CG$105)+SUM(CI$95:CI$105)+SUM(CK$95:CK$105)+SUM(CM$95:CM$105)</f>
        <v>34045.62359314951</v>
      </c>
      <c r="O137" s="111">
        <f>SUM(CO$95:CO$105)+SUM(CQ$95:CQ$105)+SUM(CS$95:CS$105)+SUM(CU$95:CU$105)</f>
        <v>38773.643233517541</v>
      </c>
    </row>
    <row r="138" spans="2:15" x14ac:dyDescent="0.2">
      <c r="C138" s="110" t="s">
        <v>278</v>
      </c>
      <c r="D138" s="105">
        <f t="shared" ref="D138:O138" si="2">SUM(D$131:D$137)</f>
        <v>439514.51417354203</v>
      </c>
      <c r="E138" s="105">
        <f t="shared" si="2"/>
        <v>672468.49596800003</v>
      </c>
      <c r="F138" s="105">
        <f t="shared" si="2"/>
        <v>900138.22645404167</v>
      </c>
      <c r="G138" s="105">
        <f t="shared" si="2"/>
        <v>1380277.0626682895</v>
      </c>
      <c r="H138" s="105">
        <f t="shared" si="2"/>
        <v>891954.94699210615</v>
      </c>
      <c r="I138" s="105">
        <f t="shared" si="2"/>
        <v>1112977.517039869</v>
      </c>
      <c r="J138" s="105">
        <f t="shared" si="2"/>
        <v>1004108.9393846442</v>
      </c>
      <c r="K138" s="105">
        <f t="shared" si="2"/>
        <v>824948.02872343129</v>
      </c>
      <c r="L138" s="105">
        <f t="shared" si="2"/>
        <v>908354.47581149032</v>
      </c>
      <c r="M138" s="105">
        <f t="shared" si="2"/>
        <v>876978.9819629119</v>
      </c>
      <c r="N138" s="105">
        <f t="shared" si="2"/>
        <v>825683.29381677532</v>
      </c>
      <c r="O138" s="105">
        <f t="shared" si="2"/>
        <v>820398.65414425672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282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5.2840803791648181</v>
      </c>
      <c r="E6" s="105">
        <v>3607.9700828937375</v>
      </c>
      <c r="F6" s="105">
        <v>4.1268812812605233</v>
      </c>
      <c r="G6" s="105">
        <v>2817.8345388446851</v>
      </c>
      <c r="H6" s="105">
        <v>4.8684963900400602</v>
      </c>
      <c r="I6" s="105">
        <v>3324.209335119353</v>
      </c>
      <c r="J6" s="105">
        <v>5.4312018963457813</v>
      </c>
      <c r="K6" s="105">
        <v>3708.4246548248993</v>
      </c>
      <c r="L6" s="105">
        <v>3.3107157983448041</v>
      </c>
      <c r="M6" s="105">
        <v>2260.556747109832</v>
      </c>
      <c r="N6" s="105">
        <v>4.5105528900672436</v>
      </c>
      <c r="O6" s="105">
        <v>3079.8055133379139</v>
      </c>
      <c r="P6" s="105">
        <v>4.1039216432250951</v>
      </c>
      <c r="Q6" s="105">
        <v>2802.1576979940946</v>
      </c>
      <c r="R6" s="105">
        <v>4.4252093962538472</v>
      </c>
      <c r="S6" s="105">
        <v>3021.5329757621266</v>
      </c>
      <c r="T6" s="105">
        <v>5.6410141617132865</v>
      </c>
      <c r="U6" s="105">
        <v>3851.6844696178318</v>
      </c>
      <c r="V6" s="105">
        <v>6.5053657743524358</v>
      </c>
      <c r="W6" s="105">
        <v>4441.8637507278427</v>
      </c>
      <c r="X6" s="105">
        <v>5.6502089975058229</v>
      </c>
      <c r="Y6" s="105">
        <v>3857.9627034969758</v>
      </c>
      <c r="Z6" s="105">
        <v>2.4203316343210628</v>
      </c>
      <c r="AA6" s="105">
        <v>1652.6024399144217</v>
      </c>
      <c r="AB6" s="105">
        <v>0</v>
      </c>
      <c r="AC6" s="105">
        <v>0</v>
      </c>
      <c r="AD6" s="105">
        <v>5.0812633181051208</v>
      </c>
      <c r="AE6" s="105">
        <v>3469.4865936021761</v>
      </c>
      <c r="AF6" s="105">
        <v>4.3306733190481417</v>
      </c>
      <c r="AG6" s="105">
        <v>2956.983742246071</v>
      </c>
      <c r="AH6" s="105">
        <v>0</v>
      </c>
      <c r="AI6" s="105">
        <v>0</v>
      </c>
      <c r="AJ6" s="105">
        <v>5.8160074255922654</v>
      </c>
      <c r="AK6" s="105">
        <v>3971.1698701943983</v>
      </c>
      <c r="AL6" s="105">
        <v>2.6366298766735987</v>
      </c>
      <c r="AM6" s="105">
        <v>1800.290879792733</v>
      </c>
      <c r="AN6" s="105">
        <v>1.5725005124380091</v>
      </c>
      <c r="AO6" s="105">
        <v>1073.7033498926726</v>
      </c>
      <c r="AP6" s="105">
        <v>5.3524875419415618</v>
      </c>
      <c r="AQ6" s="105">
        <v>3654.678493637698</v>
      </c>
      <c r="AR6" s="105">
        <v>0</v>
      </c>
      <c r="AS6" s="105">
        <v>0</v>
      </c>
      <c r="AT6" s="105">
        <v>3.077159154427354</v>
      </c>
      <c r="AU6" s="105">
        <v>2101.0842706429971</v>
      </c>
      <c r="AV6" s="105">
        <v>5.9070793702087458</v>
      </c>
      <c r="AW6" s="105">
        <v>4033.3537939785315</v>
      </c>
      <c r="AX6" s="105">
        <v>2.8791482380817746</v>
      </c>
      <c r="AY6" s="105">
        <v>1965.8824169622355</v>
      </c>
      <c r="AZ6" s="105">
        <v>2.1200850664536355</v>
      </c>
      <c r="BA6" s="105">
        <v>1447.5940833745422</v>
      </c>
      <c r="BB6" s="105">
        <v>4.1432798821351549</v>
      </c>
      <c r="BC6" s="105">
        <v>2829.0315035218837</v>
      </c>
      <c r="BD6" s="105">
        <v>3.2547789409036501</v>
      </c>
      <c r="BE6" s="105">
        <v>2222.3630608490121</v>
      </c>
      <c r="BF6" s="105">
        <v>5.5239013923493543</v>
      </c>
      <c r="BG6" s="105">
        <v>3771.719870696139</v>
      </c>
      <c r="BH6" s="105">
        <v>2.9065930884038176</v>
      </c>
      <c r="BI6" s="105">
        <v>1984.6217607621265</v>
      </c>
      <c r="BJ6" s="105">
        <v>5.9950717205713735</v>
      </c>
      <c r="BK6" s="105">
        <v>4093.4349708061336</v>
      </c>
      <c r="BL6" s="105">
        <v>5.0053499208285466</v>
      </c>
      <c r="BM6" s="105">
        <v>3417.6529259417312</v>
      </c>
      <c r="BN6" s="105">
        <v>4.2422720443294368</v>
      </c>
      <c r="BO6" s="105">
        <v>2896.6233518681393</v>
      </c>
      <c r="BP6" s="105">
        <v>1.0060302459823511</v>
      </c>
      <c r="BQ6" s="105">
        <v>686.91745195674935</v>
      </c>
      <c r="BR6" s="105">
        <v>0</v>
      </c>
      <c r="BS6" s="105">
        <v>0</v>
      </c>
      <c r="BT6" s="105">
        <v>0</v>
      </c>
      <c r="BU6" s="105">
        <v>0</v>
      </c>
      <c r="BV6" s="105">
        <v>6.1302278576213052</v>
      </c>
      <c r="BW6" s="105">
        <v>4185.7195811838264</v>
      </c>
      <c r="BX6" s="105">
        <v>7.1006857961428018</v>
      </c>
      <c r="BY6" s="105">
        <v>4848.3482616063047</v>
      </c>
      <c r="BZ6" s="105">
        <v>1.8998167484441499</v>
      </c>
      <c r="CA6" s="105">
        <v>1297.1948758376654</v>
      </c>
      <c r="CB6" s="105">
        <v>1.397498518425456</v>
      </c>
      <c r="CC6" s="105">
        <v>954.21198838090129</v>
      </c>
      <c r="CD6" s="105">
        <v>1.4636125810945648</v>
      </c>
      <c r="CE6" s="105">
        <v>999.3546703713688</v>
      </c>
      <c r="CF6" s="105">
        <v>4.9483938995994299</v>
      </c>
      <c r="CG6" s="105">
        <v>3378.7633546464904</v>
      </c>
      <c r="CH6" s="105">
        <v>3.3444740701825033</v>
      </c>
      <c r="CI6" s="105">
        <v>2283.606895120613</v>
      </c>
      <c r="CJ6" s="105">
        <v>3.923632185800459</v>
      </c>
      <c r="CK6" s="105">
        <v>2679.0560564645534</v>
      </c>
      <c r="CL6" s="105">
        <v>2.617658828754553</v>
      </c>
      <c r="CM6" s="105">
        <v>1787.3374482736087</v>
      </c>
      <c r="CN6" s="105">
        <v>4.3929607501041419</v>
      </c>
      <c r="CO6" s="105">
        <v>2999.513600171108</v>
      </c>
      <c r="CP6" s="105">
        <v>5.8047940067087787</v>
      </c>
      <c r="CQ6" s="105">
        <v>3963.513347780754</v>
      </c>
      <c r="CR6" s="105">
        <v>3.8550896684082256</v>
      </c>
      <c r="CS6" s="105">
        <v>2632.2552255891364</v>
      </c>
      <c r="CT6" s="105">
        <v>6.8479831876822086</v>
      </c>
      <c r="CU6" s="105">
        <v>4675.8029205494113</v>
      </c>
    </row>
    <row r="7" spans="1:99" x14ac:dyDescent="0.2">
      <c r="C7" s="104" t="s">
        <v>173</v>
      </c>
      <c r="D7" s="105">
        <v>5.6143354028626193</v>
      </c>
      <c r="E7" s="105">
        <v>4844.0485855898678</v>
      </c>
      <c r="F7" s="105">
        <v>3.8094288750097141</v>
      </c>
      <c r="G7" s="105">
        <v>3286.7752333583812</v>
      </c>
      <c r="H7" s="105">
        <v>4.8684963900400602</v>
      </c>
      <c r="I7" s="105">
        <v>4200.5386853265636</v>
      </c>
      <c r="J7" s="105">
        <v>5.0691217699227282</v>
      </c>
      <c r="K7" s="105">
        <v>4373.6382630893295</v>
      </c>
      <c r="L7" s="105">
        <v>3.6785731092720049</v>
      </c>
      <c r="M7" s="105">
        <v>3173.8728786798856</v>
      </c>
      <c r="N7" s="105">
        <v>4.920603152800628</v>
      </c>
      <c r="O7" s="105">
        <v>4245.4964002363813</v>
      </c>
      <c r="P7" s="105">
        <v>4.1039216432250951</v>
      </c>
      <c r="Q7" s="105">
        <v>3540.8635937746117</v>
      </c>
      <c r="R7" s="105">
        <v>4.4252093962538472</v>
      </c>
      <c r="S7" s="105">
        <v>3818.0706670878194</v>
      </c>
      <c r="T7" s="105">
        <v>5.6410141617132865</v>
      </c>
      <c r="U7" s="105">
        <v>4867.0670187262231</v>
      </c>
      <c r="V7" s="105">
        <v>6.0716747227289405</v>
      </c>
      <c r="W7" s="105">
        <v>5238.6409507705293</v>
      </c>
      <c r="X7" s="105">
        <v>5.3178437623584207</v>
      </c>
      <c r="Y7" s="105">
        <v>4588.2355981628452</v>
      </c>
      <c r="Z7" s="105">
        <v>2.2186373314609744</v>
      </c>
      <c r="AA7" s="105">
        <v>1914.2402895845287</v>
      </c>
      <c r="AB7" s="105">
        <v>0</v>
      </c>
      <c r="AC7" s="105">
        <v>0</v>
      </c>
      <c r="AD7" s="105">
        <v>4.2995304999351021</v>
      </c>
      <c r="AE7" s="105">
        <v>3709.634915344006</v>
      </c>
      <c r="AF7" s="105">
        <v>3.5432781701302978</v>
      </c>
      <c r="AG7" s="105">
        <v>3057.1404051884206</v>
      </c>
      <c r="AH7" s="105">
        <v>0</v>
      </c>
      <c r="AI7" s="105">
        <v>0</v>
      </c>
      <c r="AJ7" s="105">
        <v>6.5914750823379</v>
      </c>
      <c r="AK7" s="105">
        <v>5687.1247010411398</v>
      </c>
      <c r="AL7" s="105">
        <v>2.6366298766735987</v>
      </c>
      <c r="AM7" s="105">
        <v>2274.8842575939807</v>
      </c>
      <c r="AN7" s="105">
        <v>1.4515389345581624</v>
      </c>
      <c r="AO7" s="105">
        <v>1252.3877927367826</v>
      </c>
      <c r="AP7" s="105">
        <v>4.7227831252425547</v>
      </c>
      <c r="AQ7" s="105">
        <v>4074.8172804592759</v>
      </c>
      <c r="AR7" s="105">
        <v>0</v>
      </c>
      <c r="AS7" s="105">
        <v>0</v>
      </c>
      <c r="AT7" s="105">
        <v>3.077159154427354</v>
      </c>
      <c r="AU7" s="105">
        <v>2654.9729184399207</v>
      </c>
      <c r="AV7" s="105">
        <v>5.5596041131376435</v>
      </c>
      <c r="AW7" s="105">
        <v>4796.8264288151586</v>
      </c>
      <c r="AX7" s="105">
        <v>2.5404249159545067</v>
      </c>
      <c r="AY7" s="105">
        <v>2191.8786174855481</v>
      </c>
      <c r="AZ7" s="105">
        <v>1.9570015998033559</v>
      </c>
      <c r="BA7" s="105">
        <v>1688.5009803103353</v>
      </c>
      <c r="BB7" s="105">
        <v>3.8670612233261448</v>
      </c>
      <c r="BC7" s="105">
        <v>3336.5004234857975</v>
      </c>
      <c r="BD7" s="105">
        <v>3.2547789409036501</v>
      </c>
      <c r="BE7" s="105">
        <v>2808.2232702116689</v>
      </c>
      <c r="BF7" s="105">
        <v>5.1989660163288045</v>
      </c>
      <c r="BG7" s="105">
        <v>4485.6678788884919</v>
      </c>
      <c r="BH7" s="105">
        <v>2.9065930884038176</v>
      </c>
      <c r="BI7" s="105">
        <v>2507.8085166748137</v>
      </c>
      <c r="BJ7" s="105">
        <v>5.9950717205713735</v>
      </c>
      <c r="BK7" s="105">
        <v>5172.5478805089806</v>
      </c>
      <c r="BL7" s="105">
        <v>5.5058849129114007</v>
      </c>
      <c r="BM7" s="105">
        <v>4750.4775028599561</v>
      </c>
      <c r="BN7" s="105">
        <v>3.9392526125916203</v>
      </c>
      <c r="BO7" s="105">
        <v>3398.78715414405</v>
      </c>
      <c r="BP7" s="105">
        <v>1.1066332705805864</v>
      </c>
      <c r="BQ7" s="105">
        <v>954.80318585692987</v>
      </c>
      <c r="BR7" s="105">
        <v>0</v>
      </c>
      <c r="BS7" s="105">
        <v>0</v>
      </c>
      <c r="BT7" s="105">
        <v>0</v>
      </c>
      <c r="BU7" s="105">
        <v>0</v>
      </c>
      <c r="BV7" s="105">
        <v>6.1302278576213052</v>
      </c>
      <c r="BW7" s="105">
        <v>5289.1605955556615</v>
      </c>
      <c r="BX7" s="105">
        <v>5.9795248809623605</v>
      </c>
      <c r="BY7" s="105">
        <v>5159.1340672943243</v>
      </c>
      <c r="BZ7" s="105">
        <v>1.8998167484441499</v>
      </c>
      <c r="CA7" s="105">
        <v>1639.1618905576124</v>
      </c>
      <c r="CB7" s="105">
        <v>1.397498518425456</v>
      </c>
      <c r="CC7" s="105">
        <v>1205.7617216974834</v>
      </c>
      <c r="CD7" s="105">
        <v>1.4636125810945648</v>
      </c>
      <c r="CE7" s="105">
        <v>1262.8049349683904</v>
      </c>
      <c r="CF7" s="105">
        <v>4.9483938995994299</v>
      </c>
      <c r="CG7" s="105">
        <v>4269.4742565743882</v>
      </c>
      <c r="CH7" s="105">
        <v>3.8590085425182732</v>
      </c>
      <c r="CI7" s="105">
        <v>3329.552570484766</v>
      </c>
      <c r="CJ7" s="105">
        <v>3.923632185800459</v>
      </c>
      <c r="CK7" s="105">
        <v>3385.3098499086359</v>
      </c>
      <c r="CL7" s="105">
        <v>3.1411905945054635</v>
      </c>
      <c r="CM7" s="105">
        <v>2710.2192449393137</v>
      </c>
      <c r="CN7" s="105">
        <v>4.7590408126128203</v>
      </c>
      <c r="CO7" s="105">
        <v>4106.1004131223408</v>
      </c>
      <c r="CP7" s="105">
        <v>5.030821472480941</v>
      </c>
      <c r="CQ7" s="105">
        <v>4340.5927664565561</v>
      </c>
      <c r="CR7" s="105">
        <v>3.1541642741521847</v>
      </c>
      <c r="CS7" s="105">
        <v>2721.412935738505</v>
      </c>
      <c r="CT7" s="105">
        <v>7.3371248439452241</v>
      </c>
      <c r="CU7" s="105">
        <v>6330.4713153559387</v>
      </c>
    </row>
    <row r="8" spans="1:99" x14ac:dyDescent="0.2">
      <c r="C8" s="104" t="s">
        <v>174</v>
      </c>
      <c r="D8" s="105">
        <v>4.9538253554670169</v>
      </c>
      <c r="E8" s="105">
        <v>1622.8731864509946</v>
      </c>
      <c r="F8" s="105">
        <v>4.1268812812605233</v>
      </c>
      <c r="G8" s="105">
        <v>1351.9663077409473</v>
      </c>
      <c r="H8" s="105">
        <v>4.4939966677292853</v>
      </c>
      <c r="I8" s="105">
        <v>1472.2333083481137</v>
      </c>
      <c r="J8" s="105">
        <v>4.7070416434996769</v>
      </c>
      <c r="K8" s="105">
        <v>1542.0268424104941</v>
      </c>
      <c r="L8" s="105">
        <v>3.3107157983448041</v>
      </c>
      <c r="M8" s="105">
        <v>1084.5904955377578</v>
      </c>
      <c r="N8" s="105">
        <v>5.3306534155340142</v>
      </c>
      <c r="O8" s="105">
        <v>1746.3220589289429</v>
      </c>
      <c r="P8" s="105">
        <v>4.4770054289728307</v>
      </c>
      <c r="Q8" s="105">
        <v>1466.6669785314991</v>
      </c>
      <c r="R8" s="105">
        <v>4.4252093962538472</v>
      </c>
      <c r="S8" s="105">
        <v>1449.6985982127603</v>
      </c>
      <c r="T8" s="105">
        <v>5.9935775468203669</v>
      </c>
      <c r="U8" s="105">
        <v>1963.4960043383519</v>
      </c>
      <c r="V8" s="105">
        <v>6.5053657743524358</v>
      </c>
      <c r="W8" s="105">
        <v>2131.1578276778578</v>
      </c>
      <c r="X8" s="105">
        <v>5.9825742326532234</v>
      </c>
      <c r="Y8" s="105">
        <v>1959.8913186171958</v>
      </c>
      <c r="Z8" s="105">
        <v>2.2186373314609744</v>
      </c>
      <c r="AA8" s="105">
        <v>726.82558978661518</v>
      </c>
      <c r="AB8" s="105">
        <v>0</v>
      </c>
      <c r="AC8" s="105">
        <v>0</v>
      </c>
      <c r="AD8" s="105">
        <v>4.2995304999351021</v>
      </c>
      <c r="AE8" s="105">
        <v>1408.5261917787393</v>
      </c>
      <c r="AF8" s="105">
        <v>3.5432781701302978</v>
      </c>
      <c r="AG8" s="105">
        <v>1160.7779285346855</v>
      </c>
      <c r="AH8" s="105">
        <v>0</v>
      </c>
      <c r="AI8" s="105">
        <v>0</v>
      </c>
      <c r="AJ8" s="105">
        <v>5.8160074255922654</v>
      </c>
      <c r="AK8" s="105">
        <v>1905.3240326240259</v>
      </c>
      <c r="AL8" s="105">
        <v>2.3264381264767047</v>
      </c>
      <c r="AM8" s="105">
        <v>762.14113023376842</v>
      </c>
      <c r="AN8" s="105">
        <v>1.6934620903178559</v>
      </c>
      <c r="AO8" s="105">
        <v>554.77818078812948</v>
      </c>
      <c r="AP8" s="105">
        <v>4.7227831252425547</v>
      </c>
      <c r="AQ8" s="105">
        <v>1547.1837518294608</v>
      </c>
      <c r="AR8" s="105">
        <v>0</v>
      </c>
      <c r="AS8" s="105">
        <v>0</v>
      </c>
      <c r="AT8" s="105">
        <v>3.3335890839629667</v>
      </c>
      <c r="AU8" s="105">
        <v>1092.0837839062679</v>
      </c>
      <c r="AV8" s="105">
        <v>6.2545546272798491</v>
      </c>
      <c r="AW8" s="105">
        <v>2048.9920958968783</v>
      </c>
      <c r="AX8" s="105">
        <v>2.7097865770181406</v>
      </c>
      <c r="AY8" s="105">
        <v>887.72608263114273</v>
      </c>
      <c r="AZ8" s="105">
        <v>1.7939181331530765</v>
      </c>
      <c r="BA8" s="105">
        <v>587.68758042094782</v>
      </c>
      <c r="BB8" s="105">
        <v>4.1432798821351549</v>
      </c>
      <c r="BC8" s="105">
        <v>1357.3384893874766</v>
      </c>
      <c r="BD8" s="105">
        <v>2.9588899462760452</v>
      </c>
      <c r="BE8" s="105">
        <v>969.33234640003229</v>
      </c>
      <c r="BF8" s="105">
        <v>5.5239013923493543</v>
      </c>
      <c r="BG8" s="105">
        <v>1809.6300961336483</v>
      </c>
      <c r="BH8" s="105">
        <v>2.9065930884038176</v>
      </c>
      <c r="BI8" s="105">
        <v>952.19989576109049</v>
      </c>
      <c r="BJ8" s="105">
        <v>6.4562310836922485</v>
      </c>
      <c r="BK8" s="105">
        <v>2115.0613030175805</v>
      </c>
      <c r="BL8" s="105">
        <v>5.5058849129114007</v>
      </c>
      <c r="BM8" s="105">
        <v>1803.7278974697747</v>
      </c>
      <c r="BN8" s="105">
        <v>4.2422720443294368</v>
      </c>
      <c r="BO8" s="105">
        <v>1389.7683217223234</v>
      </c>
      <c r="BP8" s="105">
        <v>1.0060302459823511</v>
      </c>
      <c r="BQ8" s="105">
        <v>329.57550858381819</v>
      </c>
      <c r="BR8" s="105">
        <v>0</v>
      </c>
      <c r="BS8" s="105">
        <v>0</v>
      </c>
      <c r="BT8" s="105">
        <v>0</v>
      </c>
      <c r="BU8" s="105">
        <v>0</v>
      </c>
      <c r="BV8" s="105">
        <v>6.1302278576213052</v>
      </c>
      <c r="BW8" s="105">
        <v>2008.2626461567393</v>
      </c>
      <c r="BX8" s="105">
        <v>7.1006857961428018</v>
      </c>
      <c r="BY8" s="105">
        <v>2326.1846668163817</v>
      </c>
      <c r="BZ8" s="105">
        <v>2.3069203373964675</v>
      </c>
      <c r="CA8" s="105">
        <v>755.74710253108265</v>
      </c>
      <c r="CB8" s="105">
        <v>1.5139567282942439</v>
      </c>
      <c r="CC8" s="105">
        <v>495.97222418919426</v>
      </c>
      <c r="CD8" s="105">
        <v>1.4636125810945648</v>
      </c>
      <c r="CE8" s="105">
        <v>479.47948156657941</v>
      </c>
      <c r="CF8" s="105">
        <v>4.6734831273994608</v>
      </c>
      <c r="CG8" s="105">
        <v>1531.0330725360632</v>
      </c>
      <c r="CH8" s="105">
        <v>3.8590085425182732</v>
      </c>
      <c r="CI8" s="105">
        <v>1264.2111985289862</v>
      </c>
      <c r="CJ8" s="105">
        <v>3.923632185800459</v>
      </c>
      <c r="CK8" s="105">
        <v>1285.3819040682301</v>
      </c>
      <c r="CL8" s="105">
        <v>2.8794247116300085</v>
      </c>
      <c r="CM8" s="105">
        <v>943.29953552999064</v>
      </c>
      <c r="CN8" s="105">
        <v>4.7590408126128203</v>
      </c>
      <c r="CO8" s="105">
        <v>1559.0617702119598</v>
      </c>
      <c r="CP8" s="105">
        <v>5.4178077395948607</v>
      </c>
      <c r="CQ8" s="105">
        <v>1774.8738154912762</v>
      </c>
      <c r="CR8" s="105">
        <v>3.8550896684082256</v>
      </c>
      <c r="CS8" s="105">
        <v>1262.9273753705345</v>
      </c>
      <c r="CT8" s="105">
        <v>7.8262665002082379</v>
      </c>
      <c r="CU8" s="105">
        <v>2563.8849054682187</v>
      </c>
    </row>
    <row r="9" spans="1:99" x14ac:dyDescent="0.2">
      <c r="C9" s="104" t="s">
        <v>175</v>
      </c>
      <c r="D9" s="105">
        <v>5.2840803791648181</v>
      </c>
      <c r="E9" s="105">
        <v>4242.0597283935158</v>
      </c>
      <c r="F9" s="105">
        <v>3.8094288750097141</v>
      </c>
      <c r="G9" s="105">
        <v>3058.209500857798</v>
      </c>
      <c r="H9" s="105">
        <v>4.4939966677292853</v>
      </c>
      <c r="I9" s="105">
        <v>3607.7805248530699</v>
      </c>
      <c r="J9" s="105">
        <v>4.7070416434996769</v>
      </c>
      <c r="K9" s="105">
        <v>3778.8130314015402</v>
      </c>
      <c r="L9" s="105">
        <v>3.3107157983448041</v>
      </c>
      <c r="M9" s="105">
        <v>2657.8426429112087</v>
      </c>
      <c r="N9" s="105">
        <v>5.3306534155340142</v>
      </c>
      <c r="O9" s="105">
        <v>4279.4485619907064</v>
      </c>
      <c r="P9" s="105">
        <v>3.7308378574773595</v>
      </c>
      <c r="Q9" s="105">
        <v>2995.1166319828239</v>
      </c>
      <c r="R9" s="105">
        <v>4.4252093962538472</v>
      </c>
      <c r="S9" s="105">
        <v>3552.5581033125882</v>
      </c>
      <c r="T9" s="105">
        <v>6.3461409319274473</v>
      </c>
      <c r="U9" s="105">
        <v>5094.6819401513549</v>
      </c>
      <c r="V9" s="105">
        <v>6.939056825975932</v>
      </c>
      <c r="W9" s="105">
        <v>5570.6748198934774</v>
      </c>
      <c r="X9" s="105">
        <v>4.6531132920636189</v>
      </c>
      <c r="Y9" s="105">
        <v>3735.519350868673</v>
      </c>
      <c r="Z9" s="105">
        <v>2.6220259371811516</v>
      </c>
      <c r="AA9" s="105">
        <v>2104.9624223690284</v>
      </c>
      <c r="AB9" s="105">
        <v>0</v>
      </c>
      <c r="AC9" s="105">
        <v>0</v>
      </c>
      <c r="AD9" s="105">
        <v>4.6903969090201114</v>
      </c>
      <c r="AE9" s="105">
        <v>3765.4506385613454</v>
      </c>
      <c r="AF9" s="105">
        <v>3.5432781701302978</v>
      </c>
      <c r="AG9" s="105">
        <v>2844.543714980603</v>
      </c>
      <c r="AH9" s="105">
        <v>0</v>
      </c>
      <c r="AI9" s="105">
        <v>0</v>
      </c>
      <c r="AJ9" s="105">
        <v>6.2037412539650827</v>
      </c>
      <c r="AK9" s="105">
        <v>4980.3634786831681</v>
      </c>
      <c r="AL9" s="105">
        <v>2.3264381264767047</v>
      </c>
      <c r="AM9" s="105">
        <v>1867.6645279354984</v>
      </c>
      <c r="AN9" s="105">
        <v>1.4515389345581624</v>
      </c>
      <c r="AO9" s="105">
        <v>1165.2954566632927</v>
      </c>
      <c r="AP9" s="105">
        <v>5.0376353335920578</v>
      </c>
      <c r="AQ9" s="105">
        <v>4044.2136458077039</v>
      </c>
      <c r="AR9" s="105">
        <v>0</v>
      </c>
      <c r="AS9" s="105">
        <v>0</v>
      </c>
      <c r="AT9" s="105">
        <v>3.077159154427354</v>
      </c>
      <c r="AU9" s="105">
        <v>2470.3433691742798</v>
      </c>
      <c r="AV9" s="105">
        <v>5.5596041131376435</v>
      </c>
      <c r="AW9" s="105">
        <v>4463.2501820268999</v>
      </c>
      <c r="AX9" s="105">
        <v>2.8791482380817746</v>
      </c>
      <c r="AY9" s="105">
        <v>2311.3802055320484</v>
      </c>
      <c r="AZ9" s="105">
        <v>2.1200850664536355</v>
      </c>
      <c r="BA9" s="105">
        <v>1702.0042913489785</v>
      </c>
      <c r="BB9" s="105">
        <v>3.5908425645171347</v>
      </c>
      <c r="BC9" s="105">
        <v>2882.7284107943556</v>
      </c>
      <c r="BD9" s="105">
        <v>3.5506679355312549</v>
      </c>
      <c r="BE9" s="105">
        <v>2850.4762186444914</v>
      </c>
      <c r="BF9" s="105">
        <v>4.8740306403082538</v>
      </c>
      <c r="BG9" s="105">
        <v>3912.8717980394658</v>
      </c>
      <c r="BH9" s="105">
        <v>2.6159337795634361</v>
      </c>
      <c r="BI9" s="105">
        <v>2100.0716382335263</v>
      </c>
      <c r="BJ9" s="105">
        <v>5.9950717205713735</v>
      </c>
      <c r="BK9" s="105">
        <v>4812.843577274698</v>
      </c>
      <c r="BL9" s="105">
        <v>5.0053499208285466</v>
      </c>
      <c r="BM9" s="105">
        <v>4018.2949164411571</v>
      </c>
      <c r="BN9" s="105">
        <v>3.9392526125916203</v>
      </c>
      <c r="BO9" s="105">
        <v>3162.4319973885526</v>
      </c>
      <c r="BP9" s="105">
        <v>1.0060302459823511</v>
      </c>
      <c r="BQ9" s="105">
        <v>807.64108147463139</v>
      </c>
      <c r="BR9" s="105">
        <v>0</v>
      </c>
      <c r="BS9" s="105">
        <v>0</v>
      </c>
      <c r="BT9" s="105">
        <v>0</v>
      </c>
      <c r="BU9" s="105">
        <v>0</v>
      </c>
      <c r="BV9" s="105">
        <v>6.5133670987226369</v>
      </c>
      <c r="BW9" s="105">
        <v>5228.931106854533</v>
      </c>
      <c r="BX9" s="105">
        <v>5.9795248809623605</v>
      </c>
      <c r="BY9" s="105">
        <v>4800.3625744365827</v>
      </c>
      <c r="BZ9" s="105">
        <v>2.1712191410790287</v>
      </c>
      <c r="CA9" s="105">
        <v>1743.0547264582442</v>
      </c>
      <c r="CB9" s="105">
        <v>1.397498518425456</v>
      </c>
      <c r="CC9" s="105">
        <v>1121.9118105919561</v>
      </c>
      <c r="CD9" s="105">
        <v>1.3823007710337558</v>
      </c>
      <c r="CE9" s="105">
        <v>1109.7110589858992</v>
      </c>
      <c r="CF9" s="105">
        <v>4.9483938995994299</v>
      </c>
      <c r="CG9" s="105">
        <v>3972.5706225984222</v>
      </c>
      <c r="CH9" s="105">
        <v>3.6017413063503882</v>
      </c>
      <c r="CI9" s="105">
        <v>2891.4779207380916</v>
      </c>
      <c r="CJ9" s="105">
        <v>3.6620567067470953</v>
      </c>
      <c r="CK9" s="105">
        <v>2939.899124176568</v>
      </c>
      <c r="CL9" s="105">
        <v>2.8794247116300085</v>
      </c>
      <c r="CM9" s="105">
        <v>2311.6021584965706</v>
      </c>
      <c r="CN9" s="105">
        <v>4.7590408126128203</v>
      </c>
      <c r="CO9" s="105">
        <v>3820.5579643655719</v>
      </c>
      <c r="CP9" s="105">
        <v>5.4178077395948607</v>
      </c>
      <c r="CQ9" s="105">
        <v>4349.4160533467539</v>
      </c>
      <c r="CR9" s="105">
        <v>3.8550896684082256</v>
      </c>
      <c r="CS9" s="105">
        <v>3094.8659857981233</v>
      </c>
      <c r="CT9" s="105">
        <v>6.3588415314191939</v>
      </c>
      <c r="CU9" s="105">
        <v>5104.8779814233285</v>
      </c>
    </row>
    <row r="10" spans="1:99" x14ac:dyDescent="0.2">
      <c r="C10" s="104" t="s">
        <v>176</v>
      </c>
      <c r="D10" s="105">
        <v>4.9538253554670169</v>
      </c>
      <c r="E10" s="105">
        <v>2758.2899579240348</v>
      </c>
      <c r="F10" s="105">
        <v>4.1268812812605233</v>
      </c>
      <c r="G10" s="105">
        <v>2297.847497405859</v>
      </c>
      <c r="H10" s="105">
        <v>4.4939966677292853</v>
      </c>
      <c r="I10" s="105">
        <v>2502.257344591666</v>
      </c>
      <c r="J10" s="105">
        <v>5.4312018963457813</v>
      </c>
      <c r="K10" s="105">
        <v>3024.0932158853307</v>
      </c>
      <c r="L10" s="105">
        <v>3.6785731092720049</v>
      </c>
      <c r="M10" s="105">
        <v>2048.2295072426523</v>
      </c>
      <c r="N10" s="105">
        <v>5.3306534155340142</v>
      </c>
      <c r="O10" s="105">
        <v>2968.1078217693389</v>
      </c>
      <c r="P10" s="105">
        <v>4.1039216432250951</v>
      </c>
      <c r="Q10" s="105">
        <v>2285.0635709477328</v>
      </c>
      <c r="R10" s="105">
        <v>4.4252093962538472</v>
      </c>
      <c r="S10" s="105">
        <v>2463.9565918341418</v>
      </c>
      <c r="T10" s="105">
        <v>6.3461409319274473</v>
      </c>
      <c r="U10" s="105">
        <v>3533.5312708972024</v>
      </c>
      <c r="V10" s="105">
        <v>6.5053657743524358</v>
      </c>
      <c r="W10" s="105">
        <v>3622.1876631594359</v>
      </c>
      <c r="X10" s="105">
        <v>5.6502089975058229</v>
      </c>
      <c r="Y10" s="105">
        <v>3146.0363698112419</v>
      </c>
      <c r="Z10" s="105">
        <v>2.6220259371811516</v>
      </c>
      <c r="AA10" s="105">
        <v>1459.9440418224651</v>
      </c>
      <c r="AB10" s="105">
        <v>0</v>
      </c>
      <c r="AC10" s="105">
        <v>0</v>
      </c>
      <c r="AD10" s="105">
        <v>4.6903969090201114</v>
      </c>
      <c r="AE10" s="105">
        <v>2611.612998942398</v>
      </c>
      <c r="AF10" s="105">
        <v>3.5432781701302978</v>
      </c>
      <c r="AG10" s="105">
        <v>1972.8972851285496</v>
      </c>
      <c r="AH10" s="105">
        <v>0</v>
      </c>
      <c r="AI10" s="105">
        <v>0</v>
      </c>
      <c r="AJ10" s="105">
        <v>6.9792089107107182</v>
      </c>
      <c r="AK10" s="105">
        <v>3886.0235214837276</v>
      </c>
      <c r="AL10" s="105">
        <v>2.6366298766735987</v>
      </c>
      <c r="AM10" s="105">
        <v>1468.0755153318596</v>
      </c>
      <c r="AN10" s="105">
        <v>1.6934620903178559</v>
      </c>
      <c r="AO10" s="105">
        <v>942.91969188898213</v>
      </c>
      <c r="AP10" s="105">
        <v>5.667339750291065</v>
      </c>
      <c r="AQ10" s="105">
        <v>3155.5747729620648</v>
      </c>
      <c r="AR10" s="105">
        <v>0</v>
      </c>
      <c r="AS10" s="105">
        <v>0</v>
      </c>
      <c r="AT10" s="105">
        <v>3.077159154427354</v>
      </c>
      <c r="AU10" s="105">
        <v>1713.3622171851505</v>
      </c>
      <c r="AV10" s="105">
        <v>5.5596041131376435</v>
      </c>
      <c r="AW10" s="105">
        <v>3095.5875701950395</v>
      </c>
      <c r="AX10" s="105">
        <v>2.7097865770181406</v>
      </c>
      <c r="AY10" s="105">
        <v>1508.8091660837006</v>
      </c>
      <c r="AZ10" s="105">
        <v>2.1200850664536355</v>
      </c>
      <c r="BA10" s="105">
        <v>1180.4633650013841</v>
      </c>
      <c r="BB10" s="105">
        <v>3.8670612233261448</v>
      </c>
      <c r="BC10" s="105">
        <v>2153.1796891479971</v>
      </c>
      <c r="BD10" s="105">
        <v>2.9588899462760452</v>
      </c>
      <c r="BE10" s="105">
        <v>1647.5099220865018</v>
      </c>
      <c r="BF10" s="105">
        <v>4.8740306403082538</v>
      </c>
      <c r="BG10" s="105">
        <v>2713.8602605236356</v>
      </c>
      <c r="BH10" s="105">
        <v>3.1972523972441995</v>
      </c>
      <c r="BI10" s="105">
        <v>1780.23013478557</v>
      </c>
      <c r="BJ10" s="105">
        <v>5.0727529943296243</v>
      </c>
      <c r="BK10" s="105">
        <v>2824.5088672427346</v>
      </c>
      <c r="BL10" s="105">
        <v>5.5058849129114007</v>
      </c>
      <c r="BM10" s="105">
        <v>3065.6767195090679</v>
      </c>
      <c r="BN10" s="105">
        <v>3.9392526125916203</v>
      </c>
      <c r="BO10" s="105">
        <v>2193.375854691014</v>
      </c>
      <c r="BP10" s="105">
        <v>1.0060302459823511</v>
      </c>
      <c r="BQ10" s="105">
        <v>560.15764096297312</v>
      </c>
      <c r="BR10" s="105">
        <v>0</v>
      </c>
      <c r="BS10" s="105">
        <v>0</v>
      </c>
      <c r="BT10" s="105">
        <v>0</v>
      </c>
      <c r="BU10" s="105">
        <v>0</v>
      </c>
      <c r="BV10" s="105">
        <v>5.7470886165199735</v>
      </c>
      <c r="BW10" s="105">
        <v>3199.978941678321</v>
      </c>
      <c r="BX10" s="105">
        <v>7.1006857961428018</v>
      </c>
      <c r="BY10" s="105">
        <v>3953.6618512923119</v>
      </c>
      <c r="BZ10" s="105">
        <v>2.0355179447615894</v>
      </c>
      <c r="CA10" s="105">
        <v>1133.3763916432529</v>
      </c>
      <c r="CB10" s="105">
        <v>1.397498518425456</v>
      </c>
      <c r="CC10" s="105">
        <v>778.1271750592939</v>
      </c>
      <c r="CD10" s="105">
        <v>1.6262362012161831</v>
      </c>
      <c r="CE10" s="105">
        <v>905.4883168371706</v>
      </c>
      <c r="CF10" s="105">
        <v>5.2233046717993972</v>
      </c>
      <c r="CG10" s="105">
        <v>2908.3360412579041</v>
      </c>
      <c r="CH10" s="105">
        <v>4.1162757786861581</v>
      </c>
      <c r="CI10" s="105">
        <v>2291.9423535724527</v>
      </c>
      <c r="CJ10" s="105">
        <v>3.6620567067470953</v>
      </c>
      <c r="CK10" s="105">
        <v>2039.0331743167824</v>
      </c>
      <c r="CL10" s="105">
        <v>3.1411905945054635</v>
      </c>
      <c r="CM10" s="105">
        <v>1749.0149230206418</v>
      </c>
      <c r="CN10" s="105">
        <v>4.7590408126128203</v>
      </c>
      <c r="CO10" s="105">
        <v>2649.8339244628182</v>
      </c>
      <c r="CP10" s="105">
        <v>5.8047940067087787</v>
      </c>
      <c r="CQ10" s="105">
        <v>3232.1093029354479</v>
      </c>
      <c r="CR10" s="105">
        <v>3.5046269712802052</v>
      </c>
      <c r="CS10" s="105">
        <v>1951.376297608818</v>
      </c>
      <c r="CT10" s="105">
        <v>7.3371248439452241</v>
      </c>
      <c r="CU10" s="105">
        <v>4085.3111131087003</v>
      </c>
    </row>
    <row r="11" spans="1:99" x14ac:dyDescent="0.2">
      <c r="C11" s="104" t="s">
        <v>177</v>
      </c>
      <c r="D11" s="105">
        <v>4.9538253554670169</v>
      </c>
      <c r="E11" s="105">
        <v>2966.3506228536494</v>
      </c>
      <c r="F11" s="105">
        <v>4.1268812812605233</v>
      </c>
      <c r="G11" s="105">
        <v>2471.1765112188014</v>
      </c>
      <c r="H11" s="105">
        <v>4.4939966677292853</v>
      </c>
      <c r="I11" s="105">
        <v>2691.0052046362957</v>
      </c>
      <c r="J11" s="105">
        <v>5.0691217699227282</v>
      </c>
      <c r="K11" s="105">
        <v>3035.3901158297294</v>
      </c>
      <c r="L11" s="105">
        <v>3.6785731092720049</v>
      </c>
      <c r="M11" s="105">
        <v>2202.7295778320763</v>
      </c>
      <c r="N11" s="105">
        <v>5.3306534155340142</v>
      </c>
      <c r="O11" s="105">
        <v>3191.9952652217676</v>
      </c>
      <c r="P11" s="105">
        <v>4.4770054289728307</v>
      </c>
      <c r="Q11" s="105">
        <v>2680.8308508689306</v>
      </c>
      <c r="R11" s="105">
        <v>4.4252093962538472</v>
      </c>
      <c r="S11" s="105">
        <v>2649.8153864768037</v>
      </c>
      <c r="T11" s="105">
        <v>5.6410141617132865</v>
      </c>
      <c r="U11" s="105">
        <v>3377.8392800339157</v>
      </c>
      <c r="V11" s="105">
        <v>6.0716747227289405</v>
      </c>
      <c r="W11" s="105">
        <v>3635.7188239700895</v>
      </c>
      <c r="X11" s="105">
        <v>4.9854785272110194</v>
      </c>
      <c r="Y11" s="105">
        <v>2985.3045420939584</v>
      </c>
      <c r="Z11" s="105">
        <v>2.4203316343210628</v>
      </c>
      <c r="AA11" s="105">
        <v>1449.2945826314524</v>
      </c>
      <c r="AB11" s="105">
        <v>0</v>
      </c>
      <c r="AC11" s="105">
        <v>0</v>
      </c>
      <c r="AD11" s="105">
        <v>4.2995304999351021</v>
      </c>
      <c r="AE11" s="105">
        <v>2574.5588633611387</v>
      </c>
      <c r="AF11" s="105">
        <v>3.9369757445892199</v>
      </c>
      <c r="AG11" s="105">
        <v>2357.4610758600247</v>
      </c>
      <c r="AH11" s="105">
        <v>0</v>
      </c>
      <c r="AI11" s="105">
        <v>0</v>
      </c>
      <c r="AJ11" s="105">
        <v>6.2037412539650827</v>
      </c>
      <c r="AK11" s="105">
        <v>3714.8002628742911</v>
      </c>
      <c r="AL11" s="105">
        <v>2.7917257517720455</v>
      </c>
      <c r="AM11" s="105">
        <v>1671.6853801611007</v>
      </c>
      <c r="AN11" s="105">
        <v>1.5725005124380091</v>
      </c>
      <c r="AO11" s="105">
        <v>941.61330684787981</v>
      </c>
      <c r="AP11" s="105">
        <v>5.0376353335920578</v>
      </c>
      <c r="AQ11" s="105">
        <v>3016.5360377549241</v>
      </c>
      <c r="AR11" s="105">
        <v>0</v>
      </c>
      <c r="AS11" s="105">
        <v>0</v>
      </c>
      <c r="AT11" s="105">
        <v>3.077159154427354</v>
      </c>
      <c r="AU11" s="105">
        <v>1842.6029016710995</v>
      </c>
      <c r="AV11" s="105">
        <v>5.9070793702087458</v>
      </c>
      <c r="AW11" s="105">
        <v>3537.1591268809966</v>
      </c>
      <c r="AX11" s="105">
        <v>2.5404249159545067</v>
      </c>
      <c r="AY11" s="105">
        <v>1521.2064396735584</v>
      </c>
      <c r="AZ11" s="105">
        <v>1.9570015998033559</v>
      </c>
      <c r="BA11" s="105">
        <v>1171.8525579622494</v>
      </c>
      <c r="BB11" s="105">
        <v>3.8670612233261448</v>
      </c>
      <c r="BC11" s="105">
        <v>2315.5962605276954</v>
      </c>
      <c r="BD11" s="105">
        <v>3.2547789409036501</v>
      </c>
      <c r="BE11" s="105">
        <v>1948.9616298131054</v>
      </c>
      <c r="BF11" s="105">
        <v>5.5239013923493543</v>
      </c>
      <c r="BG11" s="105">
        <v>3307.7121537387929</v>
      </c>
      <c r="BH11" s="105">
        <v>2.6159337795634361</v>
      </c>
      <c r="BI11" s="105">
        <v>1566.4211472025854</v>
      </c>
      <c r="BJ11" s="105">
        <v>5.9950717205713735</v>
      </c>
      <c r="BK11" s="105">
        <v>3589.8489462781381</v>
      </c>
      <c r="BL11" s="105">
        <v>6.0064199049942557</v>
      </c>
      <c r="BM11" s="105">
        <v>3596.6442391105602</v>
      </c>
      <c r="BN11" s="105">
        <v>3.6362331808538033</v>
      </c>
      <c r="BO11" s="105">
        <v>2177.3764286952573</v>
      </c>
      <c r="BP11" s="105">
        <v>1.0060302459823511</v>
      </c>
      <c r="BQ11" s="105">
        <v>602.41091129423182</v>
      </c>
      <c r="BR11" s="105">
        <v>0</v>
      </c>
      <c r="BS11" s="105">
        <v>0</v>
      </c>
      <c r="BT11" s="105">
        <v>0</v>
      </c>
      <c r="BU11" s="105">
        <v>0</v>
      </c>
      <c r="BV11" s="105">
        <v>6.5133670987226369</v>
      </c>
      <c r="BW11" s="105">
        <v>3900.2042187151146</v>
      </c>
      <c r="BX11" s="105">
        <v>6.3532451860225079</v>
      </c>
      <c r="BY11" s="105">
        <v>3804.3232173902775</v>
      </c>
      <c r="BZ11" s="105">
        <v>2.0355179447615894</v>
      </c>
      <c r="CA11" s="105">
        <v>1218.8681453232396</v>
      </c>
      <c r="CB11" s="105">
        <v>1.397498518425456</v>
      </c>
      <c r="CC11" s="105">
        <v>836.82211283316303</v>
      </c>
      <c r="CD11" s="105">
        <v>1.6262362012161831</v>
      </c>
      <c r="CE11" s="105">
        <v>973.7902372882503</v>
      </c>
      <c r="CF11" s="105">
        <v>4.9483938995994299</v>
      </c>
      <c r="CG11" s="105">
        <v>2963.0982670801386</v>
      </c>
      <c r="CH11" s="105">
        <v>3.3444740701825033</v>
      </c>
      <c r="CI11" s="105">
        <v>2002.6710732252827</v>
      </c>
      <c r="CJ11" s="105">
        <v>3.923632185800459</v>
      </c>
      <c r="CK11" s="105">
        <v>2349.4709528573148</v>
      </c>
      <c r="CL11" s="105">
        <v>2.8794247116300085</v>
      </c>
      <c r="CM11" s="105">
        <v>1724.1995173240489</v>
      </c>
      <c r="CN11" s="105">
        <v>4.3929607501041419</v>
      </c>
      <c r="CO11" s="105">
        <v>2630.5048971623601</v>
      </c>
      <c r="CP11" s="105">
        <v>5.8047940067087787</v>
      </c>
      <c r="CQ11" s="105">
        <v>3475.9106512172166</v>
      </c>
      <c r="CR11" s="105">
        <v>3.5046269712802052</v>
      </c>
      <c r="CS11" s="105">
        <v>2098.5706304025866</v>
      </c>
      <c r="CT11" s="105">
        <v>6.8479831876822086</v>
      </c>
      <c r="CU11" s="105">
        <v>4100.572332784106</v>
      </c>
    </row>
    <row r="12" spans="1:99" x14ac:dyDescent="0.2">
      <c r="C12" s="104" t="s">
        <v>178</v>
      </c>
      <c r="D12" s="105">
        <v>4.9538253554670169</v>
      </c>
      <c r="E12" s="105">
        <v>2996.0735749864516</v>
      </c>
      <c r="F12" s="105">
        <v>3.8094288750097141</v>
      </c>
      <c r="G12" s="105">
        <v>2303.9425836058749</v>
      </c>
      <c r="H12" s="105">
        <v>4.4939966677292853</v>
      </c>
      <c r="I12" s="105">
        <v>2717.9691846426717</v>
      </c>
      <c r="J12" s="105">
        <v>4.7070416434996769</v>
      </c>
      <c r="K12" s="105">
        <v>2846.8187859886043</v>
      </c>
      <c r="L12" s="105">
        <v>3.6785731092720049</v>
      </c>
      <c r="M12" s="105">
        <v>2224.8010164877082</v>
      </c>
      <c r="N12" s="105">
        <v>4.920603152800628</v>
      </c>
      <c r="O12" s="105">
        <v>2975.9807868138196</v>
      </c>
      <c r="P12" s="105">
        <v>4.1039216432250951</v>
      </c>
      <c r="Q12" s="105">
        <v>2482.0518098225375</v>
      </c>
      <c r="R12" s="105">
        <v>4.0229176329580429</v>
      </c>
      <c r="S12" s="105">
        <v>2433.0605844130241</v>
      </c>
      <c r="T12" s="105">
        <v>5.9935775468203669</v>
      </c>
      <c r="U12" s="105">
        <v>3624.9157003169576</v>
      </c>
      <c r="V12" s="105">
        <v>6.5053657743524358</v>
      </c>
      <c r="W12" s="105">
        <v>3934.4452203283527</v>
      </c>
      <c r="X12" s="105">
        <v>5.6502089975058229</v>
      </c>
      <c r="Y12" s="105">
        <v>3417.2464016915214</v>
      </c>
      <c r="Z12" s="105">
        <v>2.6220259371811516</v>
      </c>
      <c r="AA12" s="105">
        <v>1585.8012868071603</v>
      </c>
      <c r="AB12" s="105">
        <v>0</v>
      </c>
      <c r="AC12" s="105">
        <v>0</v>
      </c>
      <c r="AD12" s="105">
        <v>4.6903969090201114</v>
      </c>
      <c r="AE12" s="105">
        <v>2836.7520505753632</v>
      </c>
      <c r="AF12" s="105">
        <v>3.9369757445892199</v>
      </c>
      <c r="AG12" s="105">
        <v>2381.08293032756</v>
      </c>
      <c r="AH12" s="105">
        <v>0</v>
      </c>
      <c r="AI12" s="105">
        <v>0</v>
      </c>
      <c r="AJ12" s="105">
        <v>5.8160074255922654</v>
      </c>
      <c r="AK12" s="105">
        <v>3517.5212909982019</v>
      </c>
      <c r="AL12" s="105">
        <v>2.6366298766735987</v>
      </c>
      <c r="AM12" s="105">
        <v>1594.6337494121924</v>
      </c>
      <c r="AN12" s="105">
        <v>1.6934620903178559</v>
      </c>
      <c r="AO12" s="105">
        <v>1024.2058722242391</v>
      </c>
      <c r="AP12" s="105">
        <v>4.7227831252425547</v>
      </c>
      <c r="AQ12" s="105">
        <v>2856.339234146697</v>
      </c>
      <c r="AR12" s="105">
        <v>0</v>
      </c>
      <c r="AS12" s="105">
        <v>0</v>
      </c>
      <c r="AT12" s="105">
        <v>3.077159154427354</v>
      </c>
      <c r="AU12" s="105">
        <v>1861.0658565976635</v>
      </c>
      <c r="AV12" s="105">
        <v>5.2121288560665411</v>
      </c>
      <c r="AW12" s="105">
        <v>3152.295532149044</v>
      </c>
      <c r="AX12" s="105">
        <v>2.5404249159545067</v>
      </c>
      <c r="AY12" s="105">
        <v>1536.4489891692856</v>
      </c>
      <c r="AZ12" s="105">
        <v>1.7939181331530765</v>
      </c>
      <c r="BA12" s="105">
        <v>1084.9616869309805</v>
      </c>
      <c r="BB12" s="105">
        <v>4.1432798821351549</v>
      </c>
      <c r="BC12" s="105">
        <v>2505.8556727153414</v>
      </c>
      <c r="BD12" s="105">
        <v>2.9588899462760452</v>
      </c>
      <c r="BE12" s="105">
        <v>1789.5366395077519</v>
      </c>
      <c r="BF12" s="105">
        <v>4.8740306403082538</v>
      </c>
      <c r="BG12" s="105">
        <v>2947.8137312584317</v>
      </c>
      <c r="BH12" s="105">
        <v>2.9065930884038176</v>
      </c>
      <c r="BI12" s="105">
        <v>1757.9074998666288</v>
      </c>
      <c r="BJ12" s="105">
        <v>5.9950717205713735</v>
      </c>
      <c r="BK12" s="105">
        <v>3625.8193766015665</v>
      </c>
      <c r="BL12" s="105">
        <v>5.5058849129114007</v>
      </c>
      <c r="BM12" s="105">
        <v>3329.959195328815</v>
      </c>
      <c r="BN12" s="105">
        <v>4.2422720443294368</v>
      </c>
      <c r="BO12" s="105">
        <v>2565.7261324104434</v>
      </c>
      <c r="BP12" s="105">
        <v>1.2072362951788216</v>
      </c>
      <c r="BQ12" s="105">
        <v>730.13651132415123</v>
      </c>
      <c r="BR12" s="105">
        <v>0</v>
      </c>
      <c r="BS12" s="105">
        <v>0</v>
      </c>
      <c r="BT12" s="105">
        <v>0</v>
      </c>
      <c r="BU12" s="105">
        <v>0</v>
      </c>
      <c r="BV12" s="105">
        <v>6.1302278576213052</v>
      </c>
      <c r="BW12" s="105">
        <v>3707.5618082893652</v>
      </c>
      <c r="BX12" s="105">
        <v>7.1006857961428018</v>
      </c>
      <c r="BY12" s="105">
        <v>4294.494769507166</v>
      </c>
      <c r="BZ12" s="105">
        <v>2.1712191410790287</v>
      </c>
      <c r="CA12" s="105">
        <v>1313.1533365245964</v>
      </c>
      <c r="CB12" s="105">
        <v>1.397498518425456</v>
      </c>
      <c r="CC12" s="105">
        <v>845.20710394371577</v>
      </c>
      <c r="CD12" s="105">
        <v>1.3823007710337558</v>
      </c>
      <c r="CE12" s="105">
        <v>836.01550632121541</v>
      </c>
      <c r="CF12" s="105">
        <v>4.9483938995994299</v>
      </c>
      <c r="CG12" s="105">
        <v>2992.7886304777348</v>
      </c>
      <c r="CH12" s="105">
        <v>3.6017413063503882</v>
      </c>
      <c r="CI12" s="105">
        <v>2178.3331420807144</v>
      </c>
      <c r="CJ12" s="105">
        <v>3.923632185800459</v>
      </c>
      <c r="CK12" s="105">
        <v>2373.0127459721175</v>
      </c>
      <c r="CL12" s="105">
        <v>3.1411905945054635</v>
      </c>
      <c r="CM12" s="105">
        <v>1899.7920715569041</v>
      </c>
      <c r="CN12" s="105">
        <v>4.7590408126128203</v>
      </c>
      <c r="CO12" s="105">
        <v>2878.2678834682333</v>
      </c>
      <c r="CP12" s="105">
        <v>5.030821472480941</v>
      </c>
      <c r="CQ12" s="105">
        <v>3042.6408265564728</v>
      </c>
      <c r="CR12" s="105">
        <v>3.8550896684082256</v>
      </c>
      <c r="CS12" s="105">
        <v>2331.5582314532949</v>
      </c>
      <c r="CT12" s="105">
        <v>6.3588415314191939</v>
      </c>
      <c r="CU12" s="105">
        <v>3845.827358202328</v>
      </c>
    </row>
    <row r="13" spans="1:99" x14ac:dyDescent="0.2">
      <c r="C13" s="104" t="s">
        <v>179</v>
      </c>
      <c r="D13" s="105">
        <v>5.2840803791648181</v>
      </c>
      <c r="E13" s="105">
        <v>881.38460724469155</v>
      </c>
      <c r="F13" s="105">
        <v>4.1268812812605233</v>
      </c>
      <c r="G13" s="105">
        <v>688.36379771425527</v>
      </c>
      <c r="H13" s="105">
        <v>4.4939966677292853</v>
      </c>
      <c r="I13" s="105">
        <v>749.59864417724475</v>
      </c>
      <c r="J13" s="105">
        <v>5.0691217699227282</v>
      </c>
      <c r="K13" s="105">
        <v>845.52951122311094</v>
      </c>
      <c r="L13" s="105">
        <v>4.0464304201992052</v>
      </c>
      <c r="M13" s="105">
        <v>674.94459408922739</v>
      </c>
      <c r="N13" s="105">
        <v>5.7407036782673995</v>
      </c>
      <c r="O13" s="105">
        <v>957.54937353500213</v>
      </c>
      <c r="P13" s="105">
        <v>4.4770054289728307</v>
      </c>
      <c r="Q13" s="105">
        <v>746.76450555266808</v>
      </c>
      <c r="R13" s="105">
        <v>4.8275011595496515</v>
      </c>
      <c r="S13" s="105">
        <v>805.22719341288177</v>
      </c>
      <c r="T13" s="105">
        <v>6.6987043170345277</v>
      </c>
      <c r="U13" s="105">
        <v>1117.3438800813592</v>
      </c>
      <c r="V13" s="105">
        <v>6.5053657743524358</v>
      </c>
      <c r="W13" s="105">
        <v>1085.0950111619861</v>
      </c>
      <c r="X13" s="105">
        <v>5.6502089975058229</v>
      </c>
      <c r="Y13" s="105">
        <v>942.45486078397118</v>
      </c>
      <c r="Z13" s="105">
        <v>2.2186373314609744</v>
      </c>
      <c r="AA13" s="105">
        <v>370.0687068876905</v>
      </c>
      <c r="AB13" s="105">
        <v>0</v>
      </c>
      <c r="AC13" s="105">
        <v>0</v>
      </c>
      <c r="AD13" s="105">
        <v>5.4721297271901301</v>
      </c>
      <c r="AE13" s="105">
        <v>912.7512384953136</v>
      </c>
      <c r="AF13" s="105">
        <v>3.9369757445892199</v>
      </c>
      <c r="AG13" s="105">
        <v>656.68755419748186</v>
      </c>
      <c r="AH13" s="105">
        <v>0</v>
      </c>
      <c r="AI13" s="105">
        <v>0</v>
      </c>
      <c r="AJ13" s="105">
        <v>6.5914750823379</v>
      </c>
      <c r="AK13" s="105">
        <v>1099.4580437339616</v>
      </c>
      <c r="AL13" s="105">
        <v>2.7917257517720455</v>
      </c>
      <c r="AM13" s="105">
        <v>465.65985539557715</v>
      </c>
      <c r="AN13" s="105">
        <v>1.5725005124380091</v>
      </c>
      <c r="AO13" s="105">
        <v>262.2930854746599</v>
      </c>
      <c r="AP13" s="105">
        <v>5.667339750291065</v>
      </c>
      <c r="AQ13" s="105">
        <v>945.31227034854953</v>
      </c>
      <c r="AR13" s="105">
        <v>0</v>
      </c>
      <c r="AS13" s="105">
        <v>0</v>
      </c>
      <c r="AT13" s="105">
        <v>3.3335890839629667</v>
      </c>
      <c r="AU13" s="105">
        <v>556.0426592050228</v>
      </c>
      <c r="AV13" s="105">
        <v>5.5596041131376435</v>
      </c>
      <c r="AW13" s="105">
        <v>927.3419660713588</v>
      </c>
      <c r="AX13" s="105">
        <v>2.8791482380817746</v>
      </c>
      <c r="AY13" s="105">
        <v>480.24192611203995</v>
      </c>
      <c r="AZ13" s="105">
        <v>2.1200850664536355</v>
      </c>
      <c r="BA13" s="105">
        <v>353.63018908446634</v>
      </c>
      <c r="BB13" s="105">
        <v>3.8670612233261448</v>
      </c>
      <c r="BC13" s="105">
        <v>645.02581205080094</v>
      </c>
      <c r="BD13" s="105">
        <v>3.2547789409036501</v>
      </c>
      <c r="BE13" s="105">
        <v>542.89712734272882</v>
      </c>
      <c r="BF13" s="105">
        <v>5.5239013923493543</v>
      </c>
      <c r="BG13" s="105">
        <v>921.38675224387225</v>
      </c>
      <c r="BH13" s="105">
        <v>3.1972523972441995</v>
      </c>
      <c r="BI13" s="105">
        <v>533.30169986033241</v>
      </c>
      <c r="BJ13" s="105">
        <v>6.4562310836922485</v>
      </c>
      <c r="BK13" s="105">
        <v>1076.8993447598668</v>
      </c>
      <c r="BL13" s="105">
        <v>5.0053499208285466</v>
      </c>
      <c r="BM13" s="105">
        <v>834.89236679420151</v>
      </c>
      <c r="BN13" s="105">
        <v>3.9392526125916203</v>
      </c>
      <c r="BO13" s="105">
        <v>657.06733578028218</v>
      </c>
      <c r="BP13" s="105">
        <v>1.0060302459823511</v>
      </c>
      <c r="BQ13" s="105">
        <v>167.80584502985616</v>
      </c>
      <c r="BR13" s="105">
        <v>0</v>
      </c>
      <c r="BS13" s="105">
        <v>0</v>
      </c>
      <c r="BT13" s="105">
        <v>0</v>
      </c>
      <c r="BU13" s="105">
        <v>0</v>
      </c>
      <c r="BV13" s="105">
        <v>6.1302278576213052</v>
      </c>
      <c r="BW13" s="105">
        <v>1022.5220066512336</v>
      </c>
      <c r="BX13" s="105">
        <v>6.7269654910826553</v>
      </c>
      <c r="BY13" s="105">
        <v>1122.0578439125868</v>
      </c>
      <c r="BZ13" s="105">
        <v>2.1712191410790287</v>
      </c>
      <c r="CA13" s="105">
        <v>362.15935273198193</v>
      </c>
      <c r="CB13" s="105">
        <v>1.5139567282942439</v>
      </c>
      <c r="CC13" s="105">
        <v>252.52798227947986</v>
      </c>
      <c r="CD13" s="105">
        <v>1.5449243911553741</v>
      </c>
      <c r="CE13" s="105">
        <v>257.69338844471639</v>
      </c>
      <c r="CF13" s="105">
        <v>5.2233046717993972</v>
      </c>
      <c r="CG13" s="105">
        <v>871.24721925613937</v>
      </c>
      <c r="CH13" s="105">
        <v>4.1162757786861581</v>
      </c>
      <c r="CI13" s="105">
        <v>686.59479988485111</v>
      </c>
      <c r="CJ13" s="105">
        <v>3.923632185800459</v>
      </c>
      <c r="CK13" s="105">
        <v>654.46184859151651</v>
      </c>
      <c r="CL13" s="105">
        <v>3.1411905945054635</v>
      </c>
      <c r="CM13" s="105">
        <v>523.95059116351126</v>
      </c>
      <c r="CN13" s="105">
        <v>4.3929607501041419</v>
      </c>
      <c r="CO13" s="105">
        <v>732.74585311737076</v>
      </c>
      <c r="CP13" s="105">
        <v>5.030821472480941</v>
      </c>
      <c r="CQ13" s="105">
        <v>839.14102160982088</v>
      </c>
      <c r="CR13" s="105">
        <v>3.8550896684082256</v>
      </c>
      <c r="CS13" s="105">
        <v>643.02895669049201</v>
      </c>
      <c r="CT13" s="105">
        <v>7.8262665002082379</v>
      </c>
      <c r="CU13" s="105">
        <v>1305.4212522347339</v>
      </c>
    </row>
    <row r="14" spans="1:99" x14ac:dyDescent="0.2">
      <c r="C14" s="104" t="s">
        <v>180</v>
      </c>
      <c r="D14" s="105">
        <v>5.2840803791648181</v>
      </c>
      <c r="E14" s="105">
        <v>2637.8129252790773</v>
      </c>
      <c r="F14" s="105">
        <v>4.1268812812605233</v>
      </c>
      <c r="G14" s="105">
        <v>2060.1391356052532</v>
      </c>
      <c r="H14" s="105">
        <v>4.4939966677292853</v>
      </c>
      <c r="I14" s="105">
        <v>2243.4031365304591</v>
      </c>
      <c r="J14" s="105">
        <v>5.0691217699227282</v>
      </c>
      <c r="K14" s="105">
        <v>2530.5055875454259</v>
      </c>
      <c r="L14" s="105">
        <v>3.6785731092720049</v>
      </c>
      <c r="M14" s="105">
        <v>1836.3436961485847</v>
      </c>
      <c r="N14" s="105">
        <v>5.3306534155340142</v>
      </c>
      <c r="O14" s="105">
        <v>2661.0621850345797</v>
      </c>
      <c r="P14" s="105">
        <v>4.1039216432250951</v>
      </c>
      <c r="Q14" s="105">
        <v>2048.6776842979675</v>
      </c>
      <c r="R14" s="105">
        <v>4.8275011595496515</v>
      </c>
      <c r="S14" s="105">
        <v>2409.8885788471862</v>
      </c>
      <c r="T14" s="105">
        <v>5.9935775468203669</v>
      </c>
      <c r="U14" s="105">
        <v>2991.9939113727269</v>
      </c>
      <c r="V14" s="105">
        <v>6.939056825975932</v>
      </c>
      <c r="W14" s="105">
        <v>3463.977167527185</v>
      </c>
      <c r="X14" s="105">
        <v>4.9854785272110194</v>
      </c>
      <c r="Y14" s="105">
        <v>2488.7508807837407</v>
      </c>
      <c r="Z14" s="105">
        <v>2.2186373314609744</v>
      </c>
      <c r="AA14" s="105">
        <v>1107.5437558653184</v>
      </c>
      <c r="AB14" s="105">
        <v>0</v>
      </c>
      <c r="AC14" s="105">
        <v>0</v>
      </c>
      <c r="AD14" s="105">
        <v>4.2995304999351021</v>
      </c>
      <c r="AE14" s="105">
        <v>2146.3256255676029</v>
      </c>
      <c r="AF14" s="105">
        <v>3.9369757445892199</v>
      </c>
      <c r="AG14" s="105">
        <v>1965.3382916989385</v>
      </c>
      <c r="AH14" s="105">
        <v>0</v>
      </c>
      <c r="AI14" s="105">
        <v>0</v>
      </c>
      <c r="AJ14" s="105">
        <v>6.9792089107107182</v>
      </c>
      <c r="AK14" s="105">
        <v>3484.0210882267907</v>
      </c>
      <c r="AL14" s="105">
        <v>2.7917257517720455</v>
      </c>
      <c r="AM14" s="105">
        <v>1393.6294952846051</v>
      </c>
      <c r="AN14" s="105">
        <v>1.5725005124380091</v>
      </c>
      <c r="AO14" s="105">
        <v>784.9922558090542</v>
      </c>
      <c r="AP14" s="105">
        <v>4.7227831252425547</v>
      </c>
      <c r="AQ14" s="105">
        <v>2357.6133361210832</v>
      </c>
      <c r="AR14" s="105">
        <v>0</v>
      </c>
      <c r="AS14" s="105">
        <v>0</v>
      </c>
      <c r="AT14" s="105">
        <v>3.3335890839629667</v>
      </c>
      <c r="AU14" s="105">
        <v>1664.1276707143129</v>
      </c>
      <c r="AV14" s="105">
        <v>5.9070793702087458</v>
      </c>
      <c r="AW14" s="105">
        <v>2948.8140216082061</v>
      </c>
      <c r="AX14" s="105">
        <v>2.8791482380817746</v>
      </c>
      <c r="AY14" s="105">
        <v>1437.2708004504218</v>
      </c>
      <c r="AZ14" s="105">
        <v>1.7939181331530765</v>
      </c>
      <c r="BA14" s="105">
        <v>895.5239320700158</v>
      </c>
      <c r="BB14" s="105">
        <v>3.8670612233261448</v>
      </c>
      <c r="BC14" s="105">
        <v>1930.4369626844114</v>
      </c>
      <c r="BD14" s="105">
        <v>3.5506679355312549</v>
      </c>
      <c r="BE14" s="105">
        <v>1772.4934334172024</v>
      </c>
      <c r="BF14" s="105">
        <v>5.5239013923493543</v>
      </c>
      <c r="BG14" s="105">
        <v>2757.5315750607974</v>
      </c>
      <c r="BH14" s="105">
        <v>2.6159337795634361</v>
      </c>
      <c r="BI14" s="105">
        <v>1305.8741427580674</v>
      </c>
      <c r="BJ14" s="105">
        <v>5.0727529943296243</v>
      </c>
      <c r="BK14" s="105">
        <v>2532.3182947693485</v>
      </c>
      <c r="BL14" s="105">
        <v>5.5058849129114007</v>
      </c>
      <c r="BM14" s="105">
        <v>2748.5377485253712</v>
      </c>
      <c r="BN14" s="105">
        <v>3.9392526125916203</v>
      </c>
      <c r="BO14" s="105">
        <v>1966.4749042057367</v>
      </c>
      <c r="BP14" s="105">
        <v>1.0060302459823511</v>
      </c>
      <c r="BQ14" s="105">
        <v>502.2102987943897</v>
      </c>
      <c r="BR14" s="105">
        <v>0</v>
      </c>
      <c r="BS14" s="105">
        <v>0</v>
      </c>
      <c r="BT14" s="105">
        <v>0</v>
      </c>
      <c r="BU14" s="105">
        <v>0</v>
      </c>
      <c r="BV14" s="105">
        <v>6.5133670987226369</v>
      </c>
      <c r="BW14" s="105">
        <v>3251.4728556823402</v>
      </c>
      <c r="BX14" s="105">
        <v>6.7269654910826553</v>
      </c>
      <c r="BY14" s="105">
        <v>3358.1011731484614</v>
      </c>
      <c r="BZ14" s="105">
        <v>2.1712191410790287</v>
      </c>
      <c r="CA14" s="105">
        <v>1083.8725952266511</v>
      </c>
      <c r="CB14" s="105">
        <v>1.5139567282942439</v>
      </c>
      <c r="CC14" s="105">
        <v>755.76719876448658</v>
      </c>
      <c r="CD14" s="105">
        <v>1.4636125810945648</v>
      </c>
      <c r="CE14" s="105">
        <v>730.63540048240679</v>
      </c>
      <c r="CF14" s="105">
        <v>4.6734831273994608</v>
      </c>
      <c r="CG14" s="105">
        <v>2333.0027771978107</v>
      </c>
      <c r="CH14" s="105">
        <v>3.6017413063503882</v>
      </c>
      <c r="CI14" s="105">
        <v>1797.9892601301137</v>
      </c>
      <c r="CJ14" s="105">
        <v>3.4004812276937311</v>
      </c>
      <c r="CK14" s="105">
        <v>1697.5202288647106</v>
      </c>
      <c r="CL14" s="105">
        <v>3.1411905945054635</v>
      </c>
      <c r="CM14" s="105">
        <v>1568.0823447771272</v>
      </c>
      <c r="CN14" s="105">
        <v>5.1251208751214978</v>
      </c>
      <c r="CO14" s="105">
        <v>2558.4603408606517</v>
      </c>
      <c r="CP14" s="105">
        <v>5.030821472480941</v>
      </c>
      <c r="CQ14" s="105">
        <v>2511.3860790624858</v>
      </c>
      <c r="CR14" s="105">
        <v>3.8550896684082256</v>
      </c>
      <c r="CS14" s="105">
        <v>1924.4607624693863</v>
      </c>
      <c r="CT14" s="105">
        <v>7.3371248439452241</v>
      </c>
      <c r="CU14" s="105">
        <v>3662.6927220974558</v>
      </c>
    </row>
    <row r="15" spans="1:99" x14ac:dyDescent="0.2">
      <c r="C15" s="104" t="s">
        <v>181</v>
      </c>
      <c r="D15" s="105">
        <v>5.2840803791648181</v>
      </c>
      <c r="E15" s="105">
        <v>4356.1958645834757</v>
      </c>
      <c r="F15" s="105">
        <v>3.8094288750097141</v>
      </c>
      <c r="G15" s="105">
        <v>3140.4931645580082</v>
      </c>
      <c r="H15" s="105">
        <v>4.8684963900400602</v>
      </c>
      <c r="I15" s="105">
        <v>4013.5884239490256</v>
      </c>
      <c r="J15" s="105">
        <v>5.0691217699227282</v>
      </c>
      <c r="K15" s="105">
        <v>4178.9839871242966</v>
      </c>
      <c r="L15" s="105">
        <v>3.3107157983448041</v>
      </c>
      <c r="M15" s="105">
        <v>2729.3541041554563</v>
      </c>
      <c r="N15" s="105">
        <v>4.920603152800628</v>
      </c>
      <c r="O15" s="105">
        <v>4056.5452391688377</v>
      </c>
      <c r="P15" s="105">
        <v>3.7308378574773595</v>
      </c>
      <c r="Q15" s="105">
        <v>3075.7027297043351</v>
      </c>
      <c r="R15" s="105">
        <v>4.0229176329580429</v>
      </c>
      <c r="S15" s="105">
        <v>3316.4932966106103</v>
      </c>
      <c r="T15" s="105">
        <v>5.6410141617132865</v>
      </c>
      <c r="U15" s="105">
        <v>4650.452074916433</v>
      </c>
      <c r="V15" s="105">
        <v>6.939056825975932</v>
      </c>
      <c r="W15" s="105">
        <v>5720.558447334558</v>
      </c>
      <c r="X15" s="105">
        <v>4.6531132920636189</v>
      </c>
      <c r="Y15" s="105">
        <v>3836.0265979772471</v>
      </c>
      <c r="Z15" s="105">
        <v>2.4203316343210628</v>
      </c>
      <c r="AA15" s="105">
        <v>1995.321399334284</v>
      </c>
      <c r="AB15" s="105">
        <v>0</v>
      </c>
      <c r="AC15" s="105">
        <v>0</v>
      </c>
      <c r="AD15" s="105">
        <v>4.6903969090201114</v>
      </c>
      <c r="AE15" s="105">
        <v>3866.7632117961798</v>
      </c>
      <c r="AF15" s="105">
        <v>3.5432781701302978</v>
      </c>
      <c r="AG15" s="105">
        <v>2921.0785234554173</v>
      </c>
      <c r="AH15" s="105">
        <v>0</v>
      </c>
      <c r="AI15" s="105">
        <v>0</v>
      </c>
      <c r="AJ15" s="105">
        <v>5.8160074255922654</v>
      </c>
      <c r="AK15" s="105">
        <v>4794.7165216582634</v>
      </c>
      <c r="AL15" s="105">
        <v>2.4815340015751519</v>
      </c>
      <c r="AM15" s="105">
        <v>2045.7766308985551</v>
      </c>
      <c r="AN15" s="105">
        <v>1.4515389345581624</v>
      </c>
      <c r="AO15" s="105">
        <v>1196.648697649749</v>
      </c>
      <c r="AP15" s="105">
        <v>5.0376353335920578</v>
      </c>
      <c r="AQ15" s="105">
        <v>4153.0265690132919</v>
      </c>
      <c r="AR15" s="105">
        <v>0</v>
      </c>
      <c r="AS15" s="105">
        <v>0</v>
      </c>
      <c r="AT15" s="105">
        <v>3.3335890839629667</v>
      </c>
      <c r="AU15" s="105">
        <v>2748.2108408190697</v>
      </c>
      <c r="AV15" s="105">
        <v>5.5596041131376435</v>
      </c>
      <c r="AW15" s="105">
        <v>4583.3376308706729</v>
      </c>
      <c r="AX15" s="105">
        <v>2.5404249159545067</v>
      </c>
      <c r="AY15" s="105">
        <v>2094.3263007128953</v>
      </c>
      <c r="AZ15" s="105">
        <v>1.9570015998033559</v>
      </c>
      <c r="BA15" s="105">
        <v>1613.3521188778866</v>
      </c>
      <c r="BB15" s="105">
        <v>3.5908425645171347</v>
      </c>
      <c r="BC15" s="105">
        <v>2960.2906101879257</v>
      </c>
      <c r="BD15" s="105">
        <v>2.9588899462760452</v>
      </c>
      <c r="BE15" s="105">
        <v>2439.3088717099718</v>
      </c>
      <c r="BF15" s="105">
        <v>4.8740306403082538</v>
      </c>
      <c r="BG15" s="105">
        <v>4018.1508598701243</v>
      </c>
      <c r="BH15" s="105">
        <v>2.6159337795634361</v>
      </c>
      <c r="BI15" s="105">
        <v>2156.5758078720964</v>
      </c>
      <c r="BJ15" s="105">
        <v>5.5339123574504994</v>
      </c>
      <c r="BK15" s="105">
        <v>4562.1573474821917</v>
      </c>
      <c r="BL15" s="105">
        <v>5.0053499208285466</v>
      </c>
      <c r="BM15" s="105">
        <v>4126.4104747310539</v>
      </c>
      <c r="BN15" s="105">
        <v>3.6362331808538033</v>
      </c>
      <c r="BO15" s="105">
        <v>2997.7106342958755</v>
      </c>
      <c r="BP15" s="105">
        <v>1.0060302459823511</v>
      </c>
      <c r="BQ15" s="105">
        <v>829.37133478785029</v>
      </c>
      <c r="BR15" s="105">
        <v>0</v>
      </c>
      <c r="BS15" s="105">
        <v>0</v>
      </c>
      <c r="BT15" s="105">
        <v>0</v>
      </c>
      <c r="BU15" s="105">
        <v>0</v>
      </c>
      <c r="BV15" s="105">
        <v>5.7470886165199735</v>
      </c>
      <c r="BW15" s="105">
        <v>4737.8998554590662</v>
      </c>
      <c r="BX15" s="105">
        <v>5.9795248809623605</v>
      </c>
      <c r="BY15" s="105">
        <v>4929.5203118653699</v>
      </c>
      <c r="BZ15" s="105">
        <v>2.0355179447615894</v>
      </c>
      <c r="CA15" s="105">
        <v>1678.0809936614544</v>
      </c>
      <c r="CB15" s="105">
        <v>1.281040308556668</v>
      </c>
      <c r="CC15" s="105">
        <v>1056.089630374117</v>
      </c>
      <c r="CD15" s="105">
        <v>1.4636125810945648</v>
      </c>
      <c r="CE15" s="105">
        <v>1206.6022118543592</v>
      </c>
      <c r="CF15" s="105">
        <v>4.6734831273994608</v>
      </c>
      <c r="CG15" s="105">
        <v>3852.8194902281152</v>
      </c>
      <c r="CH15" s="105">
        <v>3.3444740701825033</v>
      </c>
      <c r="CI15" s="105">
        <v>2757.1844234584555</v>
      </c>
      <c r="CJ15" s="105">
        <v>3.923632185800459</v>
      </c>
      <c r="CK15" s="105">
        <v>3234.6423739738984</v>
      </c>
      <c r="CL15" s="105">
        <v>3.1411905945054635</v>
      </c>
      <c r="CM15" s="105">
        <v>2589.597526110304</v>
      </c>
      <c r="CN15" s="105">
        <v>4.3929607501041419</v>
      </c>
      <c r="CO15" s="105">
        <v>3621.5568423858545</v>
      </c>
      <c r="CP15" s="105">
        <v>5.4178077395948607</v>
      </c>
      <c r="CQ15" s="105">
        <v>4466.4407005220028</v>
      </c>
      <c r="CR15" s="105">
        <v>3.8550896684082256</v>
      </c>
      <c r="CS15" s="105">
        <v>3178.1359226357413</v>
      </c>
      <c r="CT15" s="105">
        <v>6.3588415314191939</v>
      </c>
      <c r="CU15" s="105">
        <v>5242.2289585019835</v>
      </c>
    </row>
    <row r="16" spans="1:99" x14ac:dyDescent="0.2">
      <c r="C16" s="104" t="s">
        <v>182</v>
      </c>
      <c r="D16" s="105">
        <v>5.6143354028626193</v>
      </c>
      <c r="E16" s="105">
        <v>2856.5738529765003</v>
      </c>
      <c r="F16" s="105">
        <v>4.1268812812605233</v>
      </c>
      <c r="G16" s="105">
        <v>2099.7571959053539</v>
      </c>
      <c r="H16" s="105">
        <v>4.4939966677292853</v>
      </c>
      <c r="I16" s="105">
        <v>2286.5455045406597</v>
      </c>
      <c r="J16" s="105">
        <v>5.0691217699227282</v>
      </c>
      <c r="K16" s="105">
        <v>2579.1691565366837</v>
      </c>
      <c r="L16" s="105">
        <v>3.6785731092720049</v>
      </c>
      <c r="M16" s="105">
        <v>1871.6579979975957</v>
      </c>
      <c r="N16" s="105">
        <v>5.3306534155340142</v>
      </c>
      <c r="O16" s="105">
        <v>2712.2364578237057</v>
      </c>
      <c r="P16" s="105">
        <v>3.7308378574773595</v>
      </c>
      <c r="Q16" s="105">
        <v>1898.2503018844802</v>
      </c>
      <c r="R16" s="105">
        <v>4.4252093962538472</v>
      </c>
      <c r="S16" s="105">
        <v>2251.5465408139571</v>
      </c>
      <c r="T16" s="105">
        <v>5.6410141617132865</v>
      </c>
      <c r="U16" s="105">
        <v>2870.1480054797198</v>
      </c>
      <c r="V16" s="105">
        <v>6.5053657743524358</v>
      </c>
      <c r="W16" s="105">
        <v>3309.9301059905188</v>
      </c>
      <c r="X16" s="105">
        <v>5.9825742326532234</v>
      </c>
      <c r="Y16" s="105">
        <v>3043.9337695739596</v>
      </c>
      <c r="Z16" s="105">
        <v>2.2186373314609744</v>
      </c>
      <c r="AA16" s="105">
        <v>1128.8426742473437</v>
      </c>
      <c r="AB16" s="105">
        <v>0</v>
      </c>
      <c r="AC16" s="105">
        <v>0</v>
      </c>
      <c r="AD16" s="105">
        <v>4.2995304999351021</v>
      </c>
      <c r="AE16" s="105">
        <v>2187.6011183669793</v>
      </c>
      <c r="AF16" s="105">
        <v>3.5432781701302978</v>
      </c>
      <c r="AG16" s="105">
        <v>1802.8199329622951</v>
      </c>
      <c r="AH16" s="105">
        <v>0</v>
      </c>
      <c r="AI16" s="105">
        <v>0</v>
      </c>
      <c r="AJ16" s="105">
        <v>5.8160074255922654</v>
      </c>
      <c r="AK16" s="105">
        <v>2959.184578141344</v>
      </c>
      <c r="AL16" s="105">
        <v>2.7917257517720455</v>
      </c>
      <c r="AM16" s="105">
        <v>1420.4300625016165</v>
      </c>
      <c r="AN16" s="105">
        <v>1.5725005124380091</v>
      </c>
      <c r="AO16" s="105">
        <v>800.08826072845886</v>
      </c>
      <c r="AP16" s="105">
        <v>5.0376353335920578</v>
      </c>
      <c r="AQ16" s="105">
        <v>2563.1488577316386</v>
      </c>
      <c r="AR16" s="105">
        <v>0</v>
      </c>
      <c r="AS16" s="105">
        <v>0</v>
      </c>
      <c r="AT16" s="105">
        <v>3.077159154427354</v>
      </c>
      <c r="AU16" s="105">
        <v>1565.6585777726375</v>
      </c>
      <c r="AV16" s="105">
        <v>5.5596041131376435</v>
      </c>
      <c r="AW16" s="105">
        <v>2828.7265727644326</v>
      </c>
      <c r="AX16" s="105">
        <v>3.048509899145408</v>
      </c>
      <c r="AY16" s="105">
        <v>1551.0818366851834</v>
      </c>
      <c r="AZ16" s="105">
        <v>1.9570015998033559</v>
      </c>
      <c r="BA16" s="105">
        <v>995.72241397994731</v>
      </c>
      <c r="BB16" s="105">
        <v>4.1432798821351549</v>
      </c>
      <c r="BC16" s="105">
        <v>2108.1008040303664</v>
      </c>
      <c r="BD16" s="105">
        <v>3.2547789409036501</v>
      </c>
      <c r="BE16" s="105">
        <v>1656.0315251317768</v>
      </c>
      <c r="BF16" s="105">
        <v>5.1989660163288045</v>
      </c>
      <c r="BG16" s="105">
        <v>2645.2339091080953</v>
      </c>
      <c r="BH16" s="105">
        <v>2.9065930884038176</v>
      </c>
      <c r="BI16" s="105">
        <v>1478.8745633798621</v>
      </c>
      <c r="BJ16" s="105">
        <v>5.9950717205713735</v>
      </c>
      <c r="BK16" s="105">
        <v>3050.2924914267142</v>
      </c>
      <c r="BL16" s="105">
        <v>5.5058849129114007</v>
      </c>
      <c r="BM16" s="105">
        <v>2801.3942436893203</v>
      </c>
      <c r="BN16" s="105">
        <v>3.6362331808538033</v>
      </c>
      <c r="BO16" s="105">
        <v>1850.1154424184147</v>
      </c>
      <c r="BP16" s="105">
        <v>1.1066332705805864</v>
      </c>
      <c r="BQ16" s="105">
        <v>563.0550080714022</v>
      </c>
      <c r="BR16" s="105">
        <v>0</v>
      </c>
      <c r="BS16" s="105">
        <v>0</v>
      </c>
      <c r="BT16" s="105">
        <v>0</v>
      </c>
      <c r="BU16" s="105">
        <v>0</v>
      </c>
      <c r="BV16" s="105">
        <v>6.1302278576213052</v>
      </c>
      <c r="BW16" s="105">
        <v>3119.0599339577193</v>
      </c>
      <c r="BX16" s="105">
        <v>7.1006857961428018</v>
      </c>
      <c r="BY16" s="105">
        <v>3612.8289330774569</v>
      </c>
      <c r="BZ16" s="105">
        <v>2.0355179447615894</v>
      </c>
      <c r="CA16" s="105">
        <v>1035.6715302946966</v>
      </c>
      <c r="CB16" s="105">
        <v>1.630414938163032</v>
      </c>
      <c r="CC16" s="105">
        <v>829.55512053735049</v>
      </c>
      <c r="CD16" s="105">
        <v>1.6262362012161831</v>
      </c>
      <c r="CE16" s="105">
        <v>827.42897917879372</v>
      </c>
      <c r="CF16" s="105">
        <v>5.2233046717993972</v>
      </c>
      <c r="CG16" s="105">
        <v>2657.6174170115328</v>
      </c>
      <c r="CH16" s="105">
        <v>3.6017413063503882</v>
      </c>
      <c r="CI16" s="105">
        <v>1832.5659766710771</v>
      </c>
      <c r="CJ16" s="105">
        <v>3.6620567067470953</v>
      </c>
      <c r="CK16" s="105">
        <v>1863.2544523929216</v>
      </c>
      <c r="CL16" s="105">
        <v>2.8794247116300085</v>
      </c>
      <c r="CM16" s="105">
        <v>1465.0512932773481</v>
      </c>
      <c r="CN16" s="105">
        <v>5.1251208751214978</v>
      </c>
      <c r="CO16" s="105">
        <v>2607.6615012618176</v>
      </c>
      <c r="CP16" s="105">
        <v>5.4178077395948607</v>
      </c>
      <c r="CQ16" s="105">
        <v>2756.5805779058646</v>
      </c>
      <c r="CR16" s="105">
        <v>3.5046269712802052</v>
      </c>
      <c r="CS16" s="105">
        <v>1783.1542029873681</v>
      </c>
      <c r="CT16" s="105">
        <v>6.8479831876822086</v>
      </c>
      <c r="CU16" s="105">
        <v>3484.253845892707</v>
      </c>
    </row>
    <row r="17" spans="2:99" x14ac:dyDescent="0.2">
      <c r="C17" s="104" t="s">
        <v>183</v>
      </c>
      <c r="D17" s="105">
        <v>4.6235703317692156</v>
      </c>
      <c r="E17" s="105">
        <v>2296.9897408229463</v>
      </c>
      <c r="F17" s="105">
        <v>4.1268812812605233</v>
      </c>
      <c r="G17" s="105">
        <v>2050.2346205302279</v>
      </c>
      <c r="H17" s="105">
        <v>4.4939966677292853</v>
      </c>
      <c r="I17" s="105">
        <v>2232.6175445279086</v>
      </c>
      <c r="J17" s="105">
        <v>5.0691217699227282</v>
      </c>
      <c r="K17" s="105">
        <v>2518.3396952976113</v>
      </c>
      <c r="L17" s="105">
        <v>3.3107157983448041</v>
      </c>
      <c r="M17" s="105">
        <v>1644.7636086176985</v>
      </c>
      <c r="N17" s="105">
        <v>4.920603152800628</v>
      </c>
      <c r="O17" s="105">
        <v>2444.5556463113517</v>
      </c>
      <c r="P17" s="105">
        <v>3.7308378574773595</v>
      </c>
      <c r="Q17" s="105">
        <v>1853.480247594752</v>
      </c>
      <c r="R17" s="105">
        <v>4.4252093962538472</v>
      </c>
      <c r="S17" s="105">
        <v>2198.444028058911</v>
      </c>
      <c r="T17" s="105">
        <v>6.3461409319274473</v>
      </c>
      <c r="U17" s="105">
        <v>3152.7628149815555</v>
      </c>
      <c r="V17" s="105">
        <v>6.939056825975932</v>
      </c>
      <c r="W17" s="105">
        <v>3447.3234311448427</v>
      </c>
      <c r="X17" s="105">
        <v>5.6502089975058229</v>
      </c>
      <c r="Y17" s="105">
        <v>2807.0238299608927</v>
      </c>
      <c r="Z17" s="105">
        <v>2.6220259371811516</v>
      </c>
      <c r="AA17" s="105">
        <v>1302.6224855915959</v>
      </c>
      <c r="AB17" s="105">
        <v>0</v>
      </c>
      <c r="AC17" s="105">
        <v>0</v>
      </c>
      <c r="AD17" s="105">
        <v>5.0812633181051208</v>
      </c>
      <c r="AE17" s="105">
        <v>2524.3716164346238</v>
      </c>
      <c r="AF17" s="105">
        <v>3.5432781701302978</v>
      </c>
      <c r="AG17" s="105">
        <v>1760.3005949207318</v>
      </c>
      <c r="AH17" s="105">
        <v>0</v>
      </c>
      <c r="AI17" s="105">
        <v>0</v>
      </c>
      <c r="AJ17" s="105">
        <v>6.2037412539650827</v>
      </c>
      <c r="AK17" s="105">
        <v>3082.0186549698528</v>
      </c>
      <c r="AL17" s="105">
        <v>2.7917257517720455</v>
      </c>
      <c r="AM17" s="105">
        <v>1386.9293534803521</v>
      </c>
      <c r="AN17" s="105">
        <v>1.5725005124380091</v>
      </c>
      <c r="AO17" s="105">
        <v>781.21825457920283</v>
      </c>
      <c r="AP17" s="105">
        <v>4.7227831252425547</v>
      </c>
      <c r="AQ17" s="105">
        <v>2346.2786566205009</v>
      </c>
      <c r="AR17" s="105">
        <v>0</v>
      </c>
      <c r="AS17" s="105">
        <v>0</v>
      </c>
      <c r="AT17" s="105">
        <v>3.077159154427354</v>
      </c>
      <c r="AU17" s="105">
        <v>1528.7326679195094</v>
      </c>
      <c r="AV17" s="105">
        <v>5.5596041131376435</v>
      </c>
      <c r="AW17" s="105">
        <v>2762.0113234067812</v>
      </c>
      <c r="AX17" s="105">
        <v>2.7097865770181406</v>
      </c>
      <c r="AY17" s="105">
        <v>1346.2219714626121</v>
      </c>
      <c r="AZ17" s="105">
        <v>1.7939181331530765</v>
      </c>
      <c r="BA17" s="105">
        <v>891.21852855044835</v>
      </c>
      <c r="BB17" s="105">
        <v>3.8670612233261448</v>
      </c>
      <c r="BC17" s="105">
        <v>1921.1560157484284</v>
      </c>
      <c r="BD17" s="105">
        <v>3.5506679355312549</v>
      </c>
      <c r="BE17" s="105">
        <v>1763.9718303719274</v>
      </c>
      <c r="BF17" s="105">
        <v>5.8488367683699041</v>
      </c>
      <c r="BG17" s="105">
        <v>2905.7021065261679</v>
      </c>
      <c r="BH17" s="105">
        <v>2.9065930884038176</v>
      </c>
      <c r="BI17" s="105">
        <v>1443.9954463190165</v>
      </c>
      <c r="BJ17" s="105">
        <v>5.5339123574504994</v>
      </c>
      <c r="BK17" s="105">
        <v>2749.2476591814079</v>
      </c>
      <c r="BL17" s="105">
        <v>5.5058849129114007</v>
      </c>
      <c r="BM17" s="105">
        <v>2735.3236247343834</v>
      </c>
      <c r="BN17" s="105">
        <v>3.9392526125916203</v>
      </c>
      <c r="BO17" s="105">
        <v>1957.0206979355169</v>
      </c>
      <c r="BP17" s="105">
        <v>1.0060302459823511</v>
      </c>
      <c r="BQ17" s="105">
        <v>499.79582620403198</v>
      </c>
      <c r="BR17" s="105">
        <v>0</v>
      </c>
      <c r="BS17" s="105">
        <v>0</v>
      </c>
      <c r="BT17" s="105">
        <v>0</v>
      </c>
      <c r="BU17" s="105">
        <v>0</v>
      </c>
      <c r="BV17" s="105">
        <v>5.7470886165199735</v>
      </c>
      <c r="BW17" s="105">
        <v>2855.1536246871224</v>
      </c>
      <c r="BX17" s="105">
        <v>7.1006857961428018</v>
      </c>
      <c r="BY17" s="105">
        <v>3527.6207035237435</v>
      </c>
      <c r="BZ17" s="105">
        <v>1.8998167484441499</v>
      </c>
      <c r="CA17" s="105">
        <v>943.82896062705356</v>
      </c>
      <c r="CB17" s="105">
        <v>1.397498518425456</v>
      </c>
      <c r="CC17" s="105">
        <v>694.27726395376646</v>
      </c>
      <c r="CD17" s="105">
        <v>1.6262362012161831</v>
      </c>
      <c r="CE17" s="105">
        <v>807.9141447641997</v>
      </c>
      <c r="CF17" s="105">
        <v>5.4982154439993662</v>
      </c>
      <c r="CG17" s="105">
        <v>2731.5134325788849</v>
      </c>
      <c r="CH17" s="105">
        <v>3.8590085425182732</v>
      </c>
      <c r="CI17" s="105">
        <v>1917.1554439230779</v>
      </c>
      <c r="CJ17" s="105">
        <v>3.6620567067470953</v>
      </c>
      <c r="CK17" s="105">
        <v>1819.3097719119567</v>
      </c>
      <c r="CL17" s="105">
        <v>3.1411905945054635</v>
      </c>
      <c r="CM17" s="105">
        <v>1560.5434873503141</v>
      </c>
      <c r="CN17" s="105">
        <v>4.3929607501041419</v>
      </c>
      <c r="CO17" s="105">
        <v>2182.4229006517376</v>
      </c>
      <c r="CP17" s="105">
        <v>5.030821472480941</v>
      </c>
      <c r="CQ17" s="105">
        <v>2499.3121075285312</v>
      </c>
      <c r="CR17" s="105">
        <v>3.8550896684082256</v>
      </c>
      <c r="CS17" s="105">
        <v>1915.2085472652063</v>
      </c>
      <c r="CT17" s="105">
        <v>6.8479831876822086</v>
      </c>
      <c r="CU17" s="105">
        <v>3402.0780476405207</v>
      </c>
    </row>
    <row r="18" spans="2:99" x14ac:dyDescent="0.2">
      <c r="C18" s="104" t="s">
        <v>184</v>
      </c>
      <c r="D18" s="105">
        <v>4.9538253554670169</v>
      </c>
      <c r="E18" s="105">
        <v>3620.2555697752955</v>
      </c>
      <c r="F18" s="105">
        <v>4.1268812812605233</v>
      </c>
      <c r="G18" s="105">
        <v>3015.9248403451902</v>
      </c>
      <c r="H18" s="105">
        <v>4.1194969454185122</v>
      </c>
      <c r="I18" s="105">
        <v>3010.5283677118487</v>
      </c>
      <c r="J18" s="105">
        <v>5.4312018963457813</v>
      </c>
      <c r="K18" s="105">
        <v>3969.1223458494969</v>
      </c>
      <c r="L18" s="105">
        <v>3.6785731092720049</v>
      </c>
      <c r="M18" s="105">
        <v>2688.3012282559812</v>
      </c>
      <c r="N18" s="105">
        <v>5.3306534155340142</v>
      </c>
      <c r="O18" s="105">
        <v>3895.6415160722572</v>
      </c>
      <c r="P18" s="105">
        <v>3.7308378574773595</v>
      </c>
      <c r="Q18" s="105">
        <v>2726.496306244454</v>
      </c>
      <c r="R18" s="105">
        <v>4.8275011595496515</v>
      </c>
      <c r="S18" s="105">
        <v>3527.937847398885</v>
      </c>
      <c r="T18" s="105">
        <v>5.2884507766062061</v>
      </c>
      <c r="U18" s="105">
        <v>3864.7998275438154</v>
      </c>
      <c r="V18" s="105">
        <v>5.6379836711054452</v>
      </c>
      <c r="W18" s="105">
        <v>4120.238466843859</v>
      </c>
      <c r="X18" s="105">
        <v>4.9854785272110194</v>
      </c>
      <c r="Y18" s="105">
        <v>3643.3877076858125</v>
      </c>
      <c r="Z18" s="105">
        <v>2.4203316343210628</v>
      </c>
      <c r="AA18" s="105">
        <v>1768.7783583618325</v>
      </c>
      <c r="AB18" s="105">
        <v>0</v>
      </c>
      <c r="AC18" s="105">
        <v>0</v>
      </c>
      <c r="AD18" s="105">
        <v>5.0812633181051208</v>
      </c>
      <c r="AE18" s="105">
        <v>3713.3872328712218</v>
      </c>
      <c r="AF18" s="105">
        <v>3.9369757445892199</v>
      </c>
      <c r="AG18" s="105">
        <v>2877.1418741458019</v>
      </c>
      <c r="AH18" s="105">
        <v>0</v>
      </c>
      <c r="AI18" s="105">
        <v>0</v>
      </c>
      <c r="AJ18" s="105">
        <v>6.2037412539650827</v>
      </c>
      <c r="AK18" s="105">
        <v>4533.6941083976817</v>
      </c>
      <c r="AL18" s="105">
        <v>2.3264381264767047</v>
      </c>
      <c r="AM18" s="105">
        <v>1700.1609828291757</v>
      </c>
      <c r="AN18" s="105">
        <v>1.5725005124380091</v>
      </c>
      <c r="AO18" s="105">
        <v>1149.1833744896969</v>
      </c>
      <c r="AP18" s="105">
        <v>5.3524875419415618</v>
      </c>
      <c r="AQ18" s="105">
        <v>3911.597895650893</v>
      </c>
      <c r="AR18" s="105">
        <v>0</v>
      </c>
      <c r="AS18" s="105">
        <v>0</v>
      </c>
      <c r="AT18" s="105">
        <v>2.8207292248917408</v>
      </c>
      <c r="AU18" s="105">
        <v>2061.3889175508839</v>
      </c>
      <c r="AV18" s="105">
        <v>5.5596041131376435</v>
      </c>
      <c r="AW18" s="105">
        <v>4062.9586858809894</v>
      </c>
      <c r="AX18" s="105">
        <v>2.5404249159545067</v>
      </c>
      <c r="AY18" s="105">
        <v>1856.5425285795534</v>
      </c>
      <c r="AZ18" s="105">
        <v>1.9570015998033559</v>
      </c>
      <c r="BA18" s="105">
        <v>1430.1767691362925</v>
      </c>
      <c r="BB18" s="105">
        <v>3.5908425645171347</v>
      </c>
      <c r="BC18" s="105">
        <v>2624.1877461491217</v>
      </c>
      <c r="BD18" s="105">
        <v>2.9588899462760452</v>
      </c>
      <c r="BE18" s="105">
        <v>2162.3567727385339</v>
      </c>
      <c r="BF18" s="105">
        <v>5.5239013923493543</v>
      </c>
      <c r="BG18" s="105">
        <v>4036.8671375289077</v>
      </c>
      <c r="BH18" s="105">
        <v>2.6159337795634361</v>
      </c>
      <c r="BI18" s="105">
        <v>1911.7244061049589</v>
      </c>
      <c r="BJ18" s="105">
        <v>5.9950717205713735</v>
      </c>
      <c r="BK18" s="105">
        <v>4381.1984133935593</v>
      </c>
      <c r="BL18" s="105">
        <v>5.5058849129114007</v>
      </c>
      <c r="BM18" s="105">
        <v>4023.7006943556512</v>
      </c>
      <c r="BN18" s="105">
        <v>3.9392526125916203</v>
      </c>
      <c r="BO18" s="105">
        <v>2878.805809281956</v>
      </c>
      <c r="BP18" s="105">
        <v>1.1066332705805864</v>
      </c>
      <c r="BQ18" s="105">
        <v>808.72759414029247</v>
      </c>
      <c r="BR18" s="105">
        <v>0</v>
      </c>
      <c r="BS18" s="105">
        <v>0</v>
      </c>
      <c r="BT18" s="105">
        <v>0</v>
      </c>
      <c r="BU18" s="105">
        <v>0</v>
      </c>
      <c r="BV18" s="105">
        <v>6.5133670987226369</v>
      </c>
      <c r="BW18" s="105">
        <v>4759.9686757465024</v>
      </c>
      <c r="BX18" s="105">
        <v>6.3532451860225079</v>
      </c>
      <c r="BY18" s="105">
        <v>4642.9515819452481</v>
      </c>
      <c r="BZ18" s="105">
        <v>2.0355179447615894</v>
      </c>
      <c r="CA18" s="105">
        <v>1487.5565140317694</v>
      </c>
      <c r="CB18" s="105">
        <v>1.5139567282942439</v>
      </c>
      <c r="CC18" s="105">
        <v>1106.3995770374333</v>
      </c>
      <c r="CD18" s="105">
        <v>1.5449243911553741</v>
      </c>
      <c r="CE18" s="105">
        <v>1129.0307450563473</v>
      </c>
      <c r="CF18" s="105">
        <v>4.9483938995994299</v>
      </c>
      <c r="CG18" s="105">
        <v>3616.2862618272629</v>
      </c>
      <c r="CH18" s="105">
        <v>3.3444740701825033</v>
      </c>
      <c r="CI18" s="105">
        <v>2444.1416504893732</v>
      </c>
      <c r="CJ18" s="105">
        <v>3.6620567067470953</v>
      </c>
      <c r="CK18" s="105">
        <v>2676.2310412907768</v>
      </c>
      <c r="CL18" s="105">
        <v>2.617658828754553</v>
      </c>
      <c r="CM18" s="105">
        <v>1912.9850720538273</v>
      </c>
      <c r="CN18" s="105">
        <v>4.3929607501041419</v>
      </c>
      <c r="CO18" s="105">
        <v>3210.3757161761068</v>
      </c>
      <c r="CP18" s="105">
        <v>5.4178077395948607</v>
      </c>
      <c r="CQ18" s="105">
        <v>3959.333896095924</v>
      </c>
      <c r="CR18" s="105">
        <v>3.5046269712802052</v>
      </c>
      <c r="CS18" s="105">
        <v>2561.181390611574</v>
      </c>
      <c r="CT18" s="105">
        <v>6.8479831876822086</v>
      </c>
      <c r="CU18" s="105">
        <v>5004.5061135581582</v>
      </c>
    </row>
    <row r="19" spans="2:99" x14ac:dyDescent="0.2">
      <c r="C19" s="104" t="s">
        <v>185</v>
      </c>
      <c r="D19" s="105">
        <v>4.9538253554670169</v>
      </c>
      <c r="E19" s="105">
        <v>1914.1581173524553</v>
      </c>
      <c r="F19" s="105">
        <v>4.4443336875113326</v>
      </c>
      <c r="G19" s="105">
        <v>1717.2905368543788</v>
      </c>
      <c r="H19" s="105">
        <v>4.1194969454185122</v>
      </c>
      <c r="I19" s="105">
        <v>1591.7736197097131</v>
      </c>
      <c r="J19" s="105">
        <v>4.7070416434996769</v>
      </c>
      <c r="K19" s="105">
        <v>1818.8008910482752</v>
      </c>
      <c r="L19" s="105">
        <v>3.3107157983448041</v>
      </c>
      <c r="M19" s="105">
        <v>1279.2605844804323</v>
      </c>
      <c r="N19" s="105">
        <v>5.7407036782673995</v>
      </c>
      <c r="O19" s="105">
        <v>2218.2079012825229</v>
      </c>
      <c r="P19" s="105">
        <v>4.1039216432250951</v>
      </c>
      <c r="Q19" s="105">
        <v>1585.7553229421767</v>
      </c>
      <c r="R19" s="105">
        <v>4.4252093962538472</v>
      </c>
      <c r="S19" s="105">
        <v>1709.9009107124864</v>
      </c>
      <c r="T19" s="105">
        <v>6.3461409319274473</v>
      </c>
      <c r="U19" s="105">
        <v>2452.1488560967655</v>
      </c>
      <c r="V19" s="105">
        <v>6.5053657743524358</v>
      </c>
      <c r="W19" s="105">
        <v>2513.6733352097808</v>
      </c>
      <c r="X19" s="105">
        <v>5.6502089975058229</v>
      </c>
      <c r="Y19" s="105">
        <v>2183.2407566362499</v>
      </c>
      <c r="Z19" s="105">
        <v>2.6220259371811516</v>
      </c>
      <c r="AA19" s="105">
        <v>1013.1508221267969</v>
      </c>
      <c r="AB19" s="105">
        <v>0</v>
      </c>
      <c r="AC19" s="105">
        <v>0</v>
      </c>
      <c r="AD19" s="105">
        <v>5.0812633181051208</v>
      </c>
      <c r="AE19" s="105">
        <v>1963.4001461158186</v>
      </c>
      <c r="AF19" s="105">
        <v>3.5432781701302978</v>
      </c>
      <c r="AG19" s="105">
        <v>1369.122684938347</v>
      </c>
      <c r="AH19" s="105">
        <v>0</v>
      </c>
      <c r="AI19" s="105">
        <v>0</v>
      </c>
      <c r="AJ19" s="105">
        <v>6.9792089107107182</v>
      </c>
      <c r="AK19" s="105">
        <v>2696.7663230986213</v>
      </c>
      <c r="AL19" s="105">
        <v>2.3264381264767047</v>
      </c>
      <c r="AM19" s="105">
        <v>898.93569207059863</v>
      </c>
      <c r="AN19" s="105">
        <v>1.5725005124380091</v>
      </c>
      <c r="AO19" s="105">
        <v>607.61419800604665</v>
      </c>
      <c r="AP19" s="105">
        <v>5.0376353335920578</v>
      </c>
      <c r="AQ19" s="105">
        <v>1946.542292899971</v>
      </c>
      <c r="AR19" s="105">
        <v>0</v>
      </c>
      <c r="AS19" s="105">
        <v>0</v>
      </c>
      <c r="AT19" s="105">
        <v>3.3335890839629667</v>
      </c>
      <c r="AU19" s="105">
        <v>1288.0988220432903</v>
      </c>
      <c r="AV19" s="105">
        <v>5.5596041131376435</v>
      </c>
      <c r="AW19" s="105">
        <v>2148.2310293163855</v>
      </c>
      <c r="AX19" s="105">
        <v>2.7097865770181406</v>
      </c>
      <c r="AY19" s="105">
        <v>1047.0615333598096</v>
      </c>
      <c r="AZ19" s="105">
        <v>2.1200850664536355</v>
      </c>
      <c r="BA19" s="105">
        <v>819.20086967768475</v>
      </c>
      <c r="BB19" s="105">
        <v>3.8670612233261448</v>
      </c>
      <c r="BC19" s="105">
        <v>1494.2324566932223</v>
      </c>
      <c r="BD19" s="105">
        <v>2.9588899462760452</v>
      </c>
      <c r="BE19" s="105">
        <v>1143.3150752410638</v>
      </c>
      <c r="BF19" s="105">
        <v>5.1989660163288045</v>
      </c>
      <c r="BG19" s="105">
        <v>2008.88046870945</v>
      </c>
      <c r="BH19" s="105">
        <v>3.1972523972441995</v>
      </c>
      <c r="BI19" s="105">
        <v>1235.4183262951585</v>
      </c>
      <c r="BJ19" s="105">
        <v>5.9950717205713735</v>
      </c>
      <c r="BK19" s="105">
        <v>2316.4957128287788</v>
      </c>
      <c r="BL19" s="105">
        <v>6.0064199049942557</v>
      </c>
      <c r="BM19" s="105">
        <v>2320.8806512897804</v>
      </c>
      <c r="BN19" s="105">
        <v>4.2422720443294368</v>
      </c>
      <c r="BO19" s="105">
        <v>1639.2139179288943</v>
      </c>
      <c r="BP19" s="105">
        <v>1.2072362951788216</v>
      </c>
      <c r="BQ19" s="105">
        <v>466.47610445709665</v>
      </c>
      <c r="BR19" s="105">
        <v>0</v>
      </c>
      <c r="BS19" s="105">
        <v>0</v>
      </c>
      <c r="BT19" s="105">
        <v>0</v>
      </c>
      <c r="BU19" s="105">
        <v>0</v>
      </c>
      <c r="BV19" s="105">
        <v>6.5133670987226369</v>
      </c>
      <c r="BW19" s="105">
        <v>2516.7650469464265</v>
      </c>
      <c r="BX19" s="105">
        <v>7.1006857961428018</v>
      </c>
      <c r="BY19" s="105">
        <v>2743.7049916295787</v>
      </c>
      <c r="BZ19" s="105">
        <v>2.3069203373964675</v>
      </c>
      <c r="CA19" s="105">
        <v>891.39401836999502</v>
      </c>
      <c r="CB19" s="105">
        <v>1.5139567282942439</v>
      </c>
      <c r="CC19" s="105">
        <v>584.99287981289581</v>
      </c>
      <c r="CD19" s="105">
        <v>1.3823007710337558</v>
      </c>
      <c r="CE19" s="105">
        <v>534.12101792744318</v>
      </c>
      <c r="CF19" s="105">
        <v>5.4982154439993662</v>
      </c>
      <c r="CG19" s="105">
        <v>2124.5104475613548</v>
      </c>
      <c r="CH19" s="105">
        <v>3.6017413063503882</v>
      </c>
      <c r="CI19" s="105">
        <v>1391.71284077379</v>
      </c>
      <c r="CJ19" s="105">
        <v>4.1852076648538237</v>
      </c>
      <c r="CK19" s="105">
        <v>1617.1642416995173</v>
      </c>
      <c r="CL19" s="105">
        <v>3.1411905945054635</v>
      </c>
      <c r="CM19" s="105">
        <v>1213.7560457169111</v>
      </c>
      <c r="CN19" s="105">
        <v>4.3929607501041419</v>
      </c>
      <c r="CO19" s="105">
        <v>1697.4400338402404</v>
      </c>
      <c r="CP19" s="105">
        <v>5.4178077395948607</v>
      </c>
      <c r="CQ19" s="105">
        <v>2093.4409105794539</v>
      </c>
      <c r="CR19" s="105">
        <v>3.8550896684082256</v>
      </c>
      <c r="CS19" s="105">
        <v>1489.6066478729383</v>
      </c>
      <c r="CT19" s="105">
        <v>7.8262665002082379</v>
      </c>
      <c r="CU19" s="105">
        <v>3024.0693756804631</v>
      </c>
    </row>
    <row r="20" spans="2:99" x14ac:dyDescent="0.2">
      <c r="B20" s="104" t="s">
        <v>127</v>
      </c>
      <c r="C20" s="104" t="s">
        <v>186</v>
      </c>
      <c r="D20" s="105">
        <v>6.9353554976538243</v>
      </c>
      <c r="E20" s="105">
        <v>665.79412777476716</v>
      </c>
      <c r="F20" s="105">
        <v>8.8886673750226652</v>
      </c>
      <c r="G20" s="105">
        <v>853.31206800217592</v>
      </c>
      <c r="H20" s="105">
        <v>12.358490836255537</v>
      </c>
      <c r="I20" s="105">
        <v>1186.4151202805315</v>
      </c>
      <c r="J20" s="105">
        <v>10.50032366626851</v>
      </c>
      <c r="K20" s="105">
        <v>1008.031071961777</v>
      </c>
      <c r="L20" s="105">
        <v>12.139291260597616</v>
      </c>
      <c r="M20" s="105">
        <v>1165.3719610173712</v>
      </c>
      <c r="N20" s="105">
        <v>9.0211057801344872</v>
      </c>
      <c r="O20" s="105">
        <v>866.02615489291077</v>
      </c>
      <c r="P20" s="105">
        <v>11.192513572432079</v>
      </c>
      <c r="Q20" s="105">
        <v>1074.4813029534796</v>
      </c>
      <c r="R20" s="105">
        <v>12.873336425465737</v>
      </c>
      <c r="S20" s="105">
        <v>1235.8402968447108</v>
      </c>
      <c r="T20" s="105">
        <v>10.929464938319493</v>
      </c>
      <c r="U20" s="105">
        <v>1049.2286340786713</v>
      </c>
      <c r="V20" s="105">
        <v>9.1075120840934112</v>
      </c>
      <c r="W20" s="105">
        <v>874.32116007296747</v>
      </c>
      <c r="X20" s="105">
        <v>9.3062265841272378</v>
      </c>
      <c r="Y20" s="105">
        <v>893.39775207621483</v>
      </c>
      <c r="Z20" s="105">
        <v>6.4542176915228353</v>
      </c>
      <c r="AA20" s="105">
        <v>619.60489838619219</v>
      </c>
      <c r="AB20" s="105">
        <v>0</v>
      </c>
      <c r="AC20" s="105">
        <v>0</v>
      </c>
      <c r="AD20" s="105">
        <v>9.3807938180402228</v>
      </c>
      <c r="AE20" s="105">
        <v>900.55620653186133</v>
      </c>
      <c r="AF20" s="105">
        <v>11.023532084849814</v>
      </c>
      <c r="AG20" s="105">
        <v>1058.2590801455822</v>
      </c>
      <c r="AH20" s="105">
        <v>0</v>
      </c>
      <c r="AI20" s="105">
        <v>0</v>
      </c>
      <c r="AJ20" s="105">
        <v>8.9178780525748067</v>
      </c>
      <c r="AK20" s="105">
        <v>856.11629304718144</v>
      </c>
      <c r="AL20" s="105">
        <v>3.1019175019689396</v>
      </c>
      <c r="AM20" s="105">
        <v>297.7840801890182</v>
      </c>
      <c r="AN20" s="105">
        <v>2.5401931354767839</v>
      </c>
      <c r="AO20" s="105">
        <v>243.85854100577126</v>
      </c>
      <c r="AP20" s="105">
        <v>6.9267485836890792</v>
      </c>
      <c r="AQ20" s="105">
        <v>664.9678640341516</v>
      </c>
      <c r="AR20" s="105">
        <v>0</v>
      </c>
      <c r="AS20" s="105">
        <v>0</v>
      </c>
      <c r="AT20" s="105">
        <v>8.7186176042108361</v>
      </c>
      <c r="AU20" s="105">
        <v>836.98729000424032</v>
      </c>
      <c r="AV20" s="105">
        <v>10.076782455061979</v>
      </c>
      <c r="AW20" s="105">
        <v>967.37111568594992</v>
      </c>
      <c r="AX20" s="105">
        <v>3.217871560209042</v>
      </c>
      <c r="AY20" s="105">
        <v>308.91566978006801</v>
      </c>
      <c r="AZ20" s="105">
        <v>3.2616693330055933</v>
      </c>
      <c r="BA20" s="105">
        <v>313.12025596853698</v>
      </c>
      <c r="BB20" s="105">
        <v>9.3914343995063518</v>
      </c>
      <c r="BC20" s="105">
        <v>901.57770235260978</v>
      </c>
      <c r="BD20" s="105">
        <v>9.4684478280833453</v>
      </c>
      <c r="BE20" s="105">
        <v>908.97099149600115</v>
      </c>
      <c r="BF20" s="105">
        <v>6.8236428964315561</v>
      </c>
      <c r="BG20" s="105">
        <v>655.06971805742933</v>
      </c>
      <c r="BH20" s="105">
        <v>10.173075809413362</v>
      </c>
      <c r="BI20" s="105">
        <v>976.61527770368275</v>
      </c>
      <c r="BJ20" s="105">
        <v>10.145505988659249</v>
      </c>
      <c r="BK20" s="105">
        <v>973.96857491128787</v>
      </c>
      <c r="BL20" s="105">
        <v>14.515514770402785</v>
      </c>
      <c r="BM20" s="105">
        <v>1393.4894179586672</v>
      </c>
      <c r="BN20" s="105">
        <v>6.0603886347563387</v>
      </c>
      <c r="BO20" s="105">
        <v>581.79730893660849</v>
      </c>
      <c r="BP20" s="105">
        <v>2.2132665411611727</v>
      </c>
      <c r="BQ20" s="105">
        <v>212.47358795147258</v>
      </c>
      <c r="BR20" s="105">
        <v>0</v>
      </c>
      <c r="BS20" s="105">
        <v>0</v>
      </c>
      <c r="BT20" s="105">
        <v>0</v>
      </c>
      <c r="BU20" s="105">
        <v>0</v>
      </c>
      <c r="BV20" s="105">
        <v>12.26045571524261</v>
      </c>
      <c r="BW20" s="105">
        <v>1177.0037486632905</v>
      </c>
      <c r="BX20" s="105">
        <v>8.9692873214435398</v>
      </c>
      <c r="BY20" s="105">
        <v>861.05158285857988</v>
      </c>
      <c r="BZ20" s="105">
        <v>3.5282311042534209</v>
      </c>
      <c r="CA20" s="105">
        <v>338.71018600832838</v>
      </c>
      <c r="CB20" s="105">
        <v>2.7949970368509121</v>
      </c>
      <c r="CC20" s="105">
        <v>268.31971553768756</v>
      </c>
      <c r="CD20" s="105">
        <v>2.1141070615810382</v>
      </c>
      <c r="CE20" s="105">
        <v>202.95427791177968</v>
      </c>
      <c r="CF20" s="105">
        <v>7.1476800771991762</v>
      </c>
      <c r="CG20" s="105">
        <v>686.17728741112091</v>
      </c>
      <c r="CH20" s="105">
        <v>7.2034826127007765</v>
      </c>
      <c r="CI20" s="105">
        <v>691.5343308192746</v>
      </c>
      <c r="CJ20" s="105">
        <v>9.9398682040278299</v>
      </c>
      <c r="CK20" s="105">
        <v>954.22734758667161</v>
      </c>
      <c r="CL20" s="105">
        <v>6.5441470718863819</v>
      </c>
      <c r="CM20" s="105">
        <v>628.23811890109266</v>
      </c>
      <c r="CN20" s="105">
        <v>9.5180816252256406</v>
      </c>
      <c r="CO20" s="105">
        <v>913.7358360216615</v>
      </c>
      <c r="CP20" s="105">
        <v>8.9006841436201274</v>
      </c>
      <c r="CQ20" s="105">
        <v>854.46567778753229</v>
      </c>
      <c r="CR20" s="105">
        <v>10.864343610968636</v>
      </c>
      <c r="CS20" s="105">
        <v>1042.9769866529891</v>
      </c>
      <c r="CT20" s="105">
        <v>9.7828331252602982</v>
      </c>
      <c r="CU20" s="105">
        <v>939.15198002498869</v>
      </c>
    </row>
    <row r="21" spans="2:99" x14ac:dyDescent="0.2">
      <c r="C21" s="104" t="s">
        <v>187</v>
      </c>
      <c r="D21" s="105">
        <v>6.9353554976538243</v>
      </c>
      <c r="E21" s="105">
        <v>1681.1301726312868</v>
      </c>
      <c r="F21" s="105">
        <v>9.2061197812734754</v>
      </c>
      <c r="G21" s="105">
        <v>2231.5634349806901</v>
      </c>
      <c r="H21" s="105">
        <v>11.234991669323215</v>
      </c>
      <c r="I21" s="105">
        <v>2723.3619806439469</v>
      </c>
      <c r="J21" s="105">
        <v>11.586564045537665</v>
      </c>
      <c r="K21" s="105">
        <v>2808.58312463833</v>
      </c>
      <c r="L21" s="105">
        <v>12.139291260597616</v>
      </c>
      <c r="M21" s="105">
        <v>2942.5642015688618</v>
      </c>
      <c r="N21" s="105">
        <v>8.2010052546677148</v>
      </c>
      <c r="O21" s="105">
        <v>1987.9236737314538</v>
      </c>
      <c r="P21" s="105">
        <v>11.565597358179813</v>
      </c>
      <c r="Q21" s="105">
        <v>2803.5007996227864</v>
      </c>
      <c r="R21" s="105">
        <v>12.471044662169932</v>
      </c>
      <c r="S21" s="105">
        <v>3022.9812261099914</v>
      </c>
      <c r="T21" s="105">
        <v>9.1666480127840906</v>
      </c>
      <c r="U21" s="105">
        <v>2221.9954782988634</v>
      </c>
      <c r="V21" s="105">
        <v>8.673821032469915</v>
      </c>
      <c r="W21" s="105">
        <v>2102.5342182707072</v>
      </c>
      <c r="X21" s="105">
        <v>9.6385918192746374</v>
      </c>
      <c r="Y21" s="105">
        <v>2336.3946569921718</v>
      </c>
      <c r="Z21" s="105">
        <v>6.4542176915228353</v>
      </c>
      <c r="AA21" s="105">
        <v>1564.502368425135</v>
      </c>
      <c r="AB21" s="105">
        <v>0</v>
      </c>
      <c r="AC21" s="105">
        <v>0</v>
      </c>
      <c r="AD21" s="105">
        <v>8.5990609998702041</v>
      </c>
      <c r="AE21" s="105">
        <v>2084.4123863685372</v>
      </c>
      <c r="AF21" s="105">
        <v>11.810927233767659</v>
      </c>
      <c r="AG21" s="105">
        <v>2862.9687614652803</v>
      </c>
      <c r="AH21" s="105">
        <v>0</v>
      </c>
      <c r="AI21" s="105">
        <v>0</v>
      </c>
      <c r="AJ21" s="105">
        <v>9.3056118809476231</v>
      </c>
      <c r="AK21" s="105">
        <v>2255.6803199417036</v>
      </c>
      <c r="AL21" s="105">
        <v>3.2570133770673864</v>
      </c>
      <c r="AM21" s="105">
        <v>789.5000426011344</v>
      </c>
      <c r="AN21" s="105">
        <v>2.6611547133566309</v>
      </c>
      <c r="AO21" s="105">
        <v>645.06390251764731</v>
      </c>
      <c r="AP21" s="105">
        <v>7.2416007920385832</v>
      </c>
      <c r="AQ21" s="105">
        <v>1755.3640319901524</v>
      </c>
      <c r="AR21" s="105">
        <v>0</v>
      </c>
      <c r="AS21" s="105">
        <v>0</v>
      </c>
      <c r="AT21" s="105">
        <v>8.9750475337464497</v>
      </c>
      <c r="AU21" s="105">
        <v>2175.5515221801393</v>
      </c>
      <c r="AV21" s="105">
        <v>9.0343566838486709</v>
      </c>
      <c r="AW21" s="105">
        <v>2189.9280601649175</v>
      </c>
      <c r="AX21" s="105">
        <v>3.217871560209042</v>
      </c>
      <c r="AY21" s="105">
        <v>780.01206619467166</v>
      </c>
      <c r="AZ21" s="105">
        <v>3.0985858663553136</v>
      </c>
      <c r="BA21" s="105">
        <v>751.09721400452793</v>
      </c>
      <c r="BB21" s="105">
        <v>10.220090375933381</v>
      </c>
      <c r="BC21" s="105">
        <v>2477.3499071262513</v>
      </c>
      <c r="BD21" s="105">
        <v>9.7643368227109502</v>
      </c>
      <c r="BE21" s="105">
        <v>2366.8752458251342</v>
      </c>
      <c r="BF21" s="105">
        <v>7.1485782724521059</v>
      </c>
      <c r="BG21" s="105">
        <v>1732.8153732423903</v>
      </c>
      <c r="BH21" s="105">
        <v>10.754394427094127</v>
      </c>
      <c r="BI21" s="105">
        <v>2606.8652091276163</v>
      </c>
      <c r="BJ21" s="105">
        <v>8.7620278992966227</v>
      </c>
      <c r="BK21" s="105">
        <v>2123.9155627895011</v>
      </c>
      <c r="BL21" s="105">
        <v>12.513374802071366</v>
      </c>
      <c r="BM21" s="105">
        <v>3033.242052022099</v>
      </c>
      <c r="BN21" s="105">
        <v>5.7573692030185217</v>
      </c>
      <c r="BO21" s="105">
        <v>1395.5862948116896</v>
      </c>
      <c r="BP21" s="105">
        <v>2.0120604919647023</v>
      </c>
      <c r="BQ21" s="105">
        <v>487.72346325224379</v>
      </c>
      <c r="BR21" s="105">
        <v>0</v>
      </c>
      <c r="BS21" s="105">
        <v>0</v>
      </c>
      <c r="BT21" s="105">
        <v>0</v>
      </c>
      <c r="BU21" s="105">
        <v>0</v>
      </c>
      <c r="BV21" s="105">
        <v>12.26045571524261</v>
      </c>
      <c r="BW21" s="105">
        <v>2971.9344653748085</v>
      </c>
      <c r="BX21" s="105">
        <v>9.7167279315638364</v>
      </c>
      <c r="BY21" s="105">
        <v>2355.3348506110738</v>
      </c>
      <c r="BZ21" s="105">
        <v>3.5282311042534209</v>
      </c>
      <c r="CA21" s="105">
        <v>855.24321967102912</v>
      </c>
      <c r="CB21" s="105">
        <v>2.7949970368509121</v>
      </c>
      <c r="CC21" s="105">
        <v>677.507281732661</v>
      </c>
      <c r="CD21" s="105">
        <v>2.1141070615810382</v>
      </c>
      <c r="CE21" s="105">
        <v>512.45955172724359</v>
      </c>
      <c r="CF21" s="105">
        <v>7.1476800771991762</v>
      </c>
      <c r="CG21" s="105">
        <v>1732.5976507130802</v>
      </c>
      <c r="CH21" s="105">
        <v>6.9462153765328916</v>
      </c>
      <c r="CI21" s="105">
        <v>1683.7626072715727</v>
      </c>
      <c r="CJ21" s="105">
        <v>8.8935662878143731</v>
      </c>
      <c r="CK21" s="105">
        <v>2155.8004681662037</v>
      </c>
      <c r="CL21" s="105">
        <v>5.7588494232600169</v>
      </c>
      <c r="CM21" s="105">
        <v>1395.9451001982279</v>
      </c>
      <c r="CN21" s="105">
        <v>9.5180816252256406</v>
      </c>
      <c r="CO21" s="105">
        <v>2307.1829859546951</v>
      </c>
      <c r="CP21" s="105">
        <v>9.674656677847965</v>
      </c>
      <c r="CQ21" s="105">
        <v>2345.1367787103463</v>
      </c>
      <c r="CR21" s="105">
        <v>10.864343610968636</v>
      </c>
      <c r="CS21" s="105">
        <v>2633.516891298797</v>
      </c>
      <c r="CT21" s="105">
        <v>9.7828331252602982</v>
      </c>
      <c r="CU21" s="105">
        <v>2371.3587495630959</v>
      </c>
    </row>
    <row r="22" spans="2:99" x14ac:dyDescent="0.2">
      <c r="C22" s="104" t="s">
        <v>188</v>
      </c>
      <c r="D22" s="105">
        <v>7.5958655450494268</v>
      </c>
      <c r="E22" s="105">
        <v>473.98201001108424</v>
      </c>
      <c r="F22" s="105">
        <v>8.8886673750226652</v>
      </c>
      <c r="G22" s="105">
        <v>554.65284420141427</v>
      </c>
      <c r="H22" s="105">
        <v>10.485992224701668</v>
      </c>
      <c r="I22" s="105">
        <v>654.32591482138412</v>
      </c>
      <c r="J22" s="105">
        <v>11.948644171960719</v>
      </c>
      <c r="K22" s="105">
        <v>745.59539633034888</v>
      </c>
      <c r="L22" s="105">
        <v>12.139291260597616</v>
      </c>
      <c r="M22" s="105">
        <v>757.49177466129129</v>
      </c>
      <c r="N22" s="105">
        <v>8.2010052546677148</v>
      </c>
      <c r="O22" s="105">
        <v>511.74272789126542</v>
      </c>
      <c r="P22" s="105">
        <v>10.819429786684342</v>
      </c>
      <c r="Q22" s="105">
        <v>675.13241868910291</v>
      </c>
      <c r="R22" s="105">
        <v>12.873336425465737</v>
      </c>
      <c r="S22" s="105">
        <v>803.29619294906195</v>
      </c>
      <c r="T22" s="105">
        <v>9.8717747829982532</v>
      </c>
      <c r="U22" s="105">
        <v>615.99874645909097</v>
      </c>
      <c r="V22" s="105">
        <v>9.1075120840934112</v>
      </c>
      <c r="W22" s="105">
        <v>568.30875404742881</v>
      </c>
      <c r="X22" s="105">
        <v>8.309130878685032</v>
      </c>
      <c r="Y22" s="105">
        <v>518.48976682994601</v>
      </c>
      <c r="Z22" s="105">
        <v>6.8576062972430121</v>
      </c>
      <c r="AA22" s="105">
        <v>427.91463294796392</v>
      </c>
      <c r="AB22" s="105">
        <v>0</v>
      </c>
      <c r="AC22" s="105">
        <v>0</v>
      </c>
      <c r="AD22" s="105">
        <v>8.9899274089552126</v>
      </c>
      <c r="AE22" s="105">
        <v>560.97147031880525</v>
      </c>
      <c r="AF22" s="105">
        <v>11.810927233767659</v>
      </c>
      <c r="AG22" s="105">
        <v>737.00185938710194</v>
      </c>
      <c r="AH22" s="105">
        <v>0</v>
      </c>
      <c r="AI22" s="105">
        <v>0</v>
      </c>
      <c r="AJ22" s="105">
        <v>10.856547194438894</v>
      </c>
      <c r="AK22" s="105">
        <v>677.44854493298703</v>
      </c>
      <c r="AL22" s="105">
        <v>3.1019175019689396</v>
      </c>
      <c r="AM22" s="105">
        <v>193.55965212286182</v>
      </c>
      <c r="AN22" s="105">
        <v>2.6611547133566309</v>
      </c>
      <c r="AO22" s="105">
        <v>166.05605411345377</v>
      </c>
      <c r="AP22" s="105">
        <v>7.2416007920385832</v>
      </c>
      <c r="AQ22" s="105">
        <v>451.87588942320758</v>
      </c>
      <c r="AR22" s="105">
        <v>0</v>
      </c>
      <c r="AS22" s="105">
        <v>0</v>
      </c>
      <c r="AT22" s="105">
        <v>7.949327815603997</v>
      </c>
      <c r="AU22" s="105">
        <v>496.03805569368939</v>
      </c>
      <c r="AV22" s="105">
        <v>9.3818319409197724</v>
      </c>
      <c r="AW22" s="105">
        <v>585.4263131133938</v>
      </c>
      <c r="AX22" s="105">
        <v>3.3872332212726755</v>
      </c>
      <c r="AY22" s="105">
        <v>211.36335300741496</v>
      </c>
      <c r="AZ22" s="105">
        <v>3.2616693330055933</v>
      </c>
      <c r="BA22" s="105">
        <v>203.52816637954902</v>
      </c>
      <c r="BB22" s="105">
        <v>9.6676530583153628</v>
      </c>
      <c r="BC22" s="105">
        <v>603.26155083887863</v>
      </c>
      <c r="BD22" s="105">
        <v>10.652003806593763</v>
      </c>
      <c r="BE22" s="105">
        <v>664.6850375314508</v>
      </c>
      <c r="BF22" s="105">
        <v>6.4987075204110054</v>
      </c>
      <c r="BG22" s="105">
        <v>405.51934927364675</v>
      </c>
      <c r="BH22" s="105">
        <v>11.917031662455653</v>
      </c>
      <c r="BI22" s="105">
        <v>743.6227757372327</v>
      </c>
      <c r="BJ22" s="105">
        <v>9.2231872624174986</v>
      </c>
      <c r="BK22" s="105">
        <v>575.52688517485194</v>
      </c>
      <c r="BL22" s="105">
        <v>14.515514770402785</v>
      </c>
      <c r="BM22" s="105">
        <v>905.76812167313369</v>
      </c>
      <c r="BN22" s="105">
        <v>6.9694469299697905</v>
      </c>
      <c r="BO22" s="105">
        <v>434.89348843011493</v>
      </c>
      <c r="BP22" s="105">
        <v>1.9114574673664673</v>
      </c>
      <c r="BQ22" s="105">
        <v>119.27494596366755</v>
      </c>
      <c r="BR22" s="105">
        <v>0</v>
      </c>
      <c r="BS22" s="105">
        <v>0</v>
      </c>
      <c r="BT22" s="105">
        <v>0</v>
      </c>
      <c r="BU22" s="105">
        <v>0</v>
      </c>
      <c r="BV22" s="105">
        <v>13.026734197445274</v>
      </c>
      <c r="BW22" s="105">
        <v>812.86821392058505</v>
      </c>
      <c r="BX22" s="105">
        <v>10.090448236623983</v>
      </c>
      <c r="BY22" s="105">
        <v>629.64396996533651</v>
      </c>
      <c r="BZ22" s="105">
        <v>3.3925299079359816</v>
      </c>
      <c r="CA22" s="105">
        <v>211.69386625520525</v>
      </c>
      <c r="CB22" s="105">
        <v>2.9114552467196999</v>
      </c>
      <c r="CC22" s="105">
        <v>181.67480739530927</v>
      </c>
      <c r="CD22" s="105">
        <v>2.2767306817026567</v>
      </c>
      <c r="CE22" s="105">
        <v>142.06799453824578</v>
      </c>
      <c r="CF22" s="105">
        <v>6.597858532799239</v>
      </c>
      <c r="CG22" s="105">
        <v>411.7063724466725</v>
      </c>
      <c r="CH22" s="105">
        <v>7.7180170850365464</v>
      </c>
      <c r="CI22" s="105">
        <v>481.60426610628048</v>
      </c>
      <c r="CJ22" s="105">
        <v>8.8935662878143731</v>
      </c>
      <c r="CK22" s="105">
        <v>554.95853635961691</v>
      </c>
      <c r="CL22" s="105">
        <v>6.2823811890109269</v>
      </c>
      <c r="CM22" s="105">
        <v>392.0205861942818</v>
      </c>
      <c r="CN22" s="105">
        <v>9.1520015627169613</v>
      </c>
      <c r="CO22" s="105">
        <v>571.08489751353841</v>
      </c>
      <c r="CP22" s="105">
        <v>9.2876704107340462</v>
      </c>
      <c r="CQ22" s="105">
        <v>579.55063362980445</v>
      </c>
      <c r="CR22" s="105">
        <v>11.915731702352698</v>
      </c>
      <c r="CS22" s="105">
        <v>743.54165822680829</v>
      </c>
      <c r="CT22" s="105">
        <v>10.761116437786329</v>
      </c>
      <c r="CU22" s="105">
        <v>671.49366571786697</v>
      </c>
    </row>
    <row r="23" spans="2:99" x14ac:dyDescent="0.2">
      <c r="C23" s="104" t="s">
        <v>189</v>
      </c>
      <c r="D23" s="105">
        <v>7.5958655450494268</v>
      </c>
      <c r="E23" s="105">
        <v>2123.8040063958197</v>
      </c>
      <c r="F23" s="105">
        <v>8.5712149687718568</v>
      </c>
      <c r="G23" s="105">
        <v>2396.511705268611</v>
      </c>
      <c r="H23" s="105">
        <v>11.609491391633988</v>
      </c>
      <c r="I23" s="105">
        <v>3246.0137931008626</v>
      </c>
      <c r="J23" s="105">
        <v>10.50032366626851</v>
      </c>
      <c r="K23" s="105">
        <v>2935.8904970886751</v>
      </c>
      <c r="L23" s="105">
        <v>13.242863193379216</v>
      </c>
      <c r="M23" s="105">
        <v>3702.7045488688286</v>
      </c>
      <c r="N23" s="105">
        <v>8.6110555174011001</v>
      </c>
      <c r="O23" s="105">
        <v>2407.6511226653474</v>
      </c>
      <c r="P23" s="105">
        <v>10.073262215188871</v>
      </c>
      <c r="Q23" s="105">
        <v>2816.4841153668081</v>
      </c>
      <c r="R23" s="105">
        <v>12.471044662169932</v>
      </c>
      <c r="S23" s="105">
        <v>3486.9040875427127</v>
      </c>
      <c r="T23" s="105">
        <v>10.576901553212412</v>
      </c>
      <c r="U23" s="105">
        <v>2957.3016742781901</v>
      </c>
      <c r="V23" s="105">
        <v>7.3727478775994282</v>
      </c>
      <c r="W23" s="105">
        <v>2061.4203065767997</v>
      </c>
      <c r="X23" s="105">
        <v>8.9738613489798364</v>
      </c>
      <c r="Y23" s="105">
        <v>2509.0916331747621</v>
      </c>
      <c r="Z23" s="105">
        <v>5.6474404800824809</v>
      </c>
      <c r="AA23" s="105">
        <v>1579.0243582310616</v>
      </c>
      <c r="AB23" s="105">
        <v>0</v>
      </c>
      <c r="AC23" s="105">
        <v>0</v>
      </c>
      <c r="AD23" s="105">
        <v>8.2081945907851956</v>
      </c>
      <c r="AE23" s="105">
        <v>2295.0112075835405</v>
      </c>
      <c r="AF23" s="105">
        <v>11.417229659308736</v>
      </c>
      <c r="AG23" s="105">
        <v>3192.2574127427224</v>
      </c>
      <c r="AH23" s="105">
        <v>0</v>
      </c>
      <c r="AI23" s="105">
        <v>0</v>
      </c>
      <c r="AJ23" s="105">
        <v>10.468813366066076</v>
      </c>
      <c r="AK23" s="105">
        <v>2927.0802171520745</v>
      </c>
      <c r="AL23" s="105">
        <v>3.1019175019689396</v>
      </c>
      <c r="AM23" s="105">
        <v>867.29613355051538</v>
      </c>
      <c r="AN23" s="105">
        <v>2.5401931354767839</v>
      </c>
      <c r="AO23" s="105">
        <v>710.2380006793087</v>
      </c>
      <c r="AP23" s="105">
        <v>7.2416007920385832</v>
      </c>
      <c r="AQ23" s="105">
        <v>2024.7515814539877</v>
      </c>
      <c r="AR23" s="105">
        <v>0</v>
      </c>
      <c r="AS23" s="105">
        <v>0</v>
      </c>
      <c r="AT23" s="105">
        <v>8.4621876746752225</v>
      </c>
      <c r="AU23" s="105">
        <v>2366.0276738391917</v>
      </c>
      <c r="AV23" s="105">
        <v>9.0343566838486709</v>
      </c>
      <c r="AW23" s="105">
        <v>2526.0061288040879</v>
      </c>
      <c r="AX23" s="105">
        <v>3.217871560209042</v>
      </c>
      <c r="AY23" s="105">
        <v>899.71688823444799</v>
      </c>
      <c r="AZ23" s="105">
        <v>3.4247527996558733</v>
      </c>
      <c r="BA23" s="105">
        <v>957.56088278378206</v>
      </c>
      <c r="BB23" s="105">
        <v>9.3914343995063518</v>
      </c>
      <c r="BC23" s="105">
        <v>2625.8450581019756</v>
      </c>
      <c r="BD23" s="105">
        <v>10.35611481196616</v>
      </c>
      <c r="BE23" s="105">
        <v>2895.569701425738</v>
      </c>
      <c r="BF23" s="105">
        <v>6.4987075204110054</v>
      </c>
      <c r="BG23" s="105">
        <v>1817.0386227069168</v>
      </c>
      <c r="BH23" s="105">
        <v>11.045053735934509</v>
      </c>
      <c r="BI23" s="105">
        <v>3088.1970245672883</v>
      </c>
      <c r="BJ23" s="105">
        <v>8.7620278992966227</v>
      </c>
      <c r="BK23" s="105">
        <v>2449.8630006433355</v>
      </c>
      <c r="BL23" s="105">
        <v>12.513374802071366</v>
      </c>
      <c r="BM23" s="105">
        <v>3498.7395946591537</v>
      </c>
      <c r="BN23" s="105">
        <v>6.3634080664941557</v>
      </c>
      <c r="BO23" s="105">
        <v>1779.2088953917657</v>
      </c>
      <c r="BP23" s="105">
        <v>1.9114574673664673</v>
      </c>
      <c r="BQ23" s="105">
        <v>534.44350787566418</v>
      </c>
      <c r="BR23" s="105">
        <v>0</v>
      </c>
      <c r="BS23" s="105">
        <v>0</v>
      </c>
      <c r="BT23" s="105">
        <v>0</v>
      </c>
      <c r="BU23" s="105">
        <v>0</v>
      </c>
      <c r="BV23" s="105">
        <v>12.26045571524261</v>
      </c>
      <c r="BW23" s="105">
        <v>3428.0234179818335</v>
      </c>
      <c r="BX23" s="105">
        <v>8.9692873214435398</v>
      </c>
      <c r="BY23" s="105">
        <v>2507.8127350756135</v>
      </c>
      <c r="BZ23" s="105">
        <v>3.5282311042534209</v>
      </c>
      <c r="CA23" s="105">
        <v>986.49341674925631</v>
      </c>
      <c r="CB23" s="105">
        <v>2.7949970368509121</v>
      </c>
      <c r="CC23" s="105">
        <v>781.48117150351493</v>
      </c>
      <c r="CD23" s="105">
        <v>2.0327952515202292</v>
      </c>
      <c r="CE23" s="105">
        <v>568.36955232505602</v>
      </c>
      <c r="CF23" s="105">
        <v>7.4225908493991444</v>
      </c>
      <c r="CG23" s="105">
        <v>2075.3564014920007</v>
      </c>
      <c r="CH23" s="105">
        <v>7.9752843212044304</v>
      </c>
      <c r="CI23" s="105">
        <v>2229.8894962087584</v>
      </c>
      <c r="CJ23" s="105">
        <v>9.1551417668677395</v>
      </c>
      <c r="CK23" s="105">
        <v>2559.7776380162195</v>
      </c>
      <c r="CL23" s="105">
        <v>6.5441470718863819</v>
      </c>
      <c r="CM23" s="105">
        <v>1829.7435212994321</v>
      </c>
      <c r="CN23" s="105">
        <v>8.4198414376996045</v>
      </c>
      <c r="CO23" s="105">
        <v>2354.187665980809</v>
      </c>
      <c r="CP23" s="105">
        <v>9.2876704107340462</v>
      </c>
      <c r="CQ23" s="105">
        <v>2596.8326468412388</v>
      </c>
      <c r="CR23" s="105">
        <v>11.565269005224676</v>
      </c>
      <c r="CS23" s="105">
        <v>3233.6492138608191</v>
      </c>
      <c r="CT23" s="105">
        <v>10.271974781523314</v>
      </c>
      <c r="CU23" s="105">
        <v>2872.044148913918</v>
      </c>
    </row>
    <row r="24" spans="2:99" x14ac:dyDescent="0.2">
      <c r="C24" s="104" t="s">
        <v>190</v>
      </c>
      <c r="D24" s="105">
        <v>6.9353554976538243</v>
      </c>
      <c r="E24" s="105">
        <v>2113.8963556848857</v>
      </c>
      <c r="F24" s="105">
        <v>8.5712149687718568</v>
      </c>
      <c r="G24" s="105">
        <v>2612.5063224816622</v>
      </c>
      <c r="H24" s="105">
        <v>10.111492502390893</v>
      </c>
      <c r="I24" s="105">
        <v>3081.9829147287446</v>
      </c>
      <c r="J24" s="105">
        <v>11.224483919114613</v>
      </c>
      <c r="K24" s="105">
        <v>3421.2226985461343</v>
      </c>
      <c r="L24" s="105">
        <v>11.403576638743214</v>
      </c>
      <c r="M24" s="105">
        <v>3475.8101594889317</v>
      </c>
      <c r="N24" s="105">
        <v>7.3809047292009424</v>
      </c>
      <c r="O24" s="105">
        <v>2249.6997614604475</v>
      </c>
      <c r="P24" s="105">
        <v>11.565597358179813</v>
      </c>
      <c r="Q24" s="105">
        <v>3525.1940747732074</v>
      </c>
      <c r="R24" s="105">
        <v>12.471044662169932</v>
      </c>
      <c r="S24" s="105">
        <v>3801.1744130293955</v>
      </c>
      <c r="T24" s="105">
        <v>10.929464938319493</v>
      </c>
      <c r="U24" s="105">
        <v>3331.3009131997815</v>
      </c>
      <c r="V24" s="105">
        <v>7.8064389292229235</v>
      </c>
      <c r="W24" s="105">
        <v>2379.4025856271473</v>
      </c>
      <c r="X24" s="105">
        <v>9.3062265841272378</v>
      </c>
      <c r="Y24" s="105">
        <v>2836.5378628419821</v>
      </c>
      <c r="Z24" s="105">
        <v>5.6474404800824809</v>
      </c>
      <c r="AA24" s="105">
        <v>1721.3398583291403</v>
      </c>
      <c r="AB24" s="105">
        <v>0</v>
      </c>
      <c r="AC24" s="105">
        <v>0</v>
      </c>
      <c r="AD24" s="105">
        <v>8.9899274089552126</v>
      </c>
      <c r="AE24" s="105">
        <v>2740.1298742495487</v>
      </c>
      <c r="AF24" s="105">
        <v>12.204624808226582</v>
      </c>
      <c r="AG24" s="105">
        <v>3719.9696415474623</v>
      </c>
      <c r="AH24" s="105">
        <v>0</v>
      </c>
      <c r="AI24" s="105">
        <v>0</v>
      </c>
      <c r="AJ24" s="105">
        <v>8.9178780525748067</v>
      </c>
      <c r="AK24" s="105">
        <v>2718.1692304248013</v>
      </c>
      <c r="AL24" s="105">
        <v>3.1019175019689396</v>
      </c>
      <c r="AM24" s="105">
        <v>945.46445460013285</v>
      </c>
      <c r="AN24" s="105">
        <v>2.4192315575969374</v>
      </c>
      <c r="AO24" s="105">
        <v>737.38177875554652</v>
      </c>
      <c r="AP24" s="105">
        <v>7.5564530003880863</v>
      </c>
      <c r="AQ24" s="105">
        <v>2303.2068745182887</v>
      </c>
      <c r="AR24" s="105">
        <v>0</v>
      </c>
      <c r="AS24" s="105">
        <v>0</v>
      </c>
      <c r="AT24" s="105">
        <v>7.949327815603997</v>
      </c>
      <c r="AU24" s="105">
        <v>2422.9551181960983</v>
      </c>
      <c r="AV24" s="105">
        <v>9.7293071979908774</v>
      </c>
      <c r="AW24" s="105">
        <v>2965.4928339476196</v>
      </c>
      <c r="AX24" s="105">
        <v>3.048509899145408</v>
      </c>
      <c r="AY24" s="105">
        <v>929.18581725952038</v>
      </c>
      <c r="AZ24" s="105">
        <v>3.2616693330055933</v>
      </c>
      <c r="BA24" s="105">
        <v>994.15681270010487</v>
      </c>
      <c r="BB24" s="105">
        <v>9.1152157406973409</v>
      </c>
      <c r="BC24" s="105">
        <v>2778.3177577645497</v>
      </c>
      <c r="BD24" s="105">
        <v>10.060225817338555</v>
      </c>
      <c r="BE24" s="105">
        <v>3066.3568291247916</v>
      </c>
      <c r="BF24" s="105">
        <v>6.8236428964315561</v>
      </c>
      <c r="BG24" s="105">
        <v>2079.8463548323384</v>
      </c>
      <c r="BH24" s="105">
        <v>9.8824165005729814</v>
      </c>
      <c r="BI24" s="105">
        <v>3012.1605493746447</v>
      </c>
      <c r="BJ24" s="105">
        <v>8.7620278992966227</v>
      </c>
      <c r="BK24" s="105">
        <v>2670.6661037056106</v>
      </c>
      <c r="BL24" s="105">
        <v>14.515514770402785</v>
      </c>
      <c r="BM24" s="105">
        <v>4424.3289020187685</v>
      </c>
      <c r="BN24" s="105">
        <v>6.0603886347563387</v>
      </c>
      <c r="BO24" s="105">
        <v>1847.206455873732</v>
      </c>
      <c r="BP24" s="105">
        <v>2.0120604919647023</v>
      </c>
      <c r="BQ24" s="105">
        <v>613.27603795084133</v>
      </c>
      <c r="BR24" s="105">
        <v>0</v>
      </c>
      <c r="BS24" s="105">
        <v>0</v>
      </c>
      <c r="BT24" s="105">
        <v>0</v>
      </c>
      <c r="BU24" s="105">
        <v>0</v>
      </c>
      <c r="BV24" s="105">
        <v>11.494177233039947</v>
      </c>
      <c r="BW24" s="105">
        <v>3503.425220630576</v>
      </c>
      <c r="BX24" s="105">
        <v>8.5955670163833933</v>
      </c>
      <c r="BY24" s="105">
        <v>2619.9288265936584</v>
      </c>
      <c r="BZ24" s="105">
        <v>3.2568287116185424</v>
      </c>
      <c r="CA24" s="105">
        <v>992.6813913013317</v>
      </c>
      <c r="CB24" s="105">
        <v>2.9114552467196999</v>
      </c>
      <c r="CC24" s="105">
        <v>887.41155920016456</v>
      </c>
      <c r="CD24" s="105">
        <v>1.9514834414594198</v>
      </c>
      <c r="CE24" s="105">
        <v>594.81215295683114</v>
      </c>
      <c r="CF24" s="105">
        <v>6.597858532799239</v>
      </c>
      <c r="CG24" s="105">
        <v>2011.027280797208</v>
      </c>
      <c r="CH24" s="105">
        <v>7.4607498488686614</v>
      </c>
      <c r="CI24" s="105">
        <v>2274.0365539351683</v>
      </c>
      <c r="CJ24" s="105">
        <v>9.1551417668677395</v>
      </c>
      <c r="CK24" s="105">
        <v>2790.4872105412869</v>
      </c>
      <c r="CL24" s="105">
        <v>6.2823811890109269</v>
      </c>
      <c r="CM24" s="105">
        <v>1914.8697864105307</v>
      </c>
      <c r="CN24" s="105">
        <v>9.1520015627169613</v>
      </c>
      <c r="CO24" s="105">
        <v>2789.5300763161299</v>
      </c>
      <c r="CP24" s="105">
        <v>9.2876704107340462</v>
      </c>
      <c r="CQ24" s="105">
        <v>2830.8819411917375</v>
      </c>
      <c r="CR24" s="105">
        <v>11.214806308096657</v>
      </c>
      <c r="CS24" s="105">
        <v>3418.2729627078611</v>
      </c>
      <c r="CT24" s="105">
        <v>8.804549812734269</v>
      </c>
      <c r="CU24" s="105">
        <v>2683.6267829214053</v>
      </c>
    </row>
    <row r="25" spans="2:99" x14ac:dyDescent="0.2">
      <c r="C25" s="104" t="s">
        <v>191</v>
      </c>
      <c r="D25" s="105">
        <v>7.5958655450494268</v>
      </c>
      <c r="E25" s="105">
        <v>2470.1754752500733</v>
      </c>
      <c r="F25" s="105">
        <v>8.2537625625210467</v>
      </c>
      <c r="G25" s="105">
        <v>2684.1235853318444</v>
      </c>
      <c r="H25" s="105">
        <v>10.86049194701244</v>
      </c>
      <c r="I25" s="105">
        <v>3531.8319811684451</v>
      </c>
      <c r="J25" s="105">
        <v>10.50032366626851</v>
      </c>
      <c r="K25" s="105">
        <v>3414.7052562705194</v>
      </c>
      <c r="L25" s="105">
        <v>12.139291260597616</v>
      </c>
      <c r="M25" s="105">
        <v>3947.6975179463448</v>
      </c>
      <c r="N25" s="105">
        <v>8.6110555174011001</v>
      </c>
      <c r="O25" s="105">
        <v>2800.3152542588377</v>
      </c>
      <c r="P25" s="105">
        <v>11.192513572432079</v>
      </c>
      <c r="Q25" s="105">
        <v>3639.805413754912</v>
      </c>
      <c r="R25" s="105">
        <v>12.873336425465737</v>
      </c>
      <c r="S25" s="105">
        <v>4186.4090055614579</v>
      </c>
      <c r="T25" s="105">
        <v>10.576901553212412</v>
      </c>
      <c r="U25" s="105">
        <v>3439.6083851046765</v>
      </c>
      <c r="V25" s="105">
        <v>7.8064389292229235</v>
      </c>
      <c r="W25" s="105">
        <v>2538.6539397832948</v>
      </c>
      <c r="X25" s="105">
        <v>8.6414961138324333</v>
      </c>
      <c r="Y25" s="105">
        <v>2810.2145362183073</v>
      </c>
      <c r="Z25" s="105">
        <v>5.6474404800824809</v>
      </c>
      <c r="AA25" s="105">
        <v>1836.5476441228227</v>
      </c>
      <c r="AB25" s="105">
        <v>0</v>
      </c>
      <c r="AC25" s="105">
        <v>0</v>
      </c>
      <c r="AD25" s="105">
        <v>8.9899274089552126</v>
      </c>
      <c r="AE25" s="105">
        <v>2923.5243933922352</v>
      </c>
      <c r="AF25" s="105">
        <v>10.236136935931972</v>
      </c>
      <c r="AG25" s="105">
        <v>3328.791731565077</v>
      </c>
      <c r="AH25" s="105">
        <v>0</v>
      </c>
      <c r="AI25" s="105">
        <v>0</v>
      </c>
      <c r="AJ25" s="105">
        <v>10.08107953769326</v>
      </c>
      <c r="AK25" s="105">
        <v>3278.3670656578479</v>
      </c>
      <c r="AL25" s="105">
        <v>3.2570133770673864</v>
      </c>
      <c r="AM25" s="105">
        <v>1059.1807502223139</v>
      </c>
      <c r="AN25" s="105">
        <v>2.7821162912364779</v>
      </c>
      <c r="AO25" s="105">
        <v>904.74421791010252</v>
      </c>
      <c r="AP25" s="105">
        <v>7.2416007920385832</v>
      </c>
      <c r="AQ25" s="105">
        <v>2354.9685775709472</v>
      </c>
      <c r="AR25" s="105">
        <v>0</v>
      </c>
      <c r="AS25" s="105">
        <v>0</v>
      </c>
      <c r="AT25" s="105">
        <v>8.4621876746752225</v>
      </c>
      <c r="AU25" s="105">
        <v>2751.9034318043823</v>
      </c>
      <c r="AV25" s="105">
        <v>10.424257712133082</v>
      </c>
      <c r="AW25" s="105">
        <v>3389.9686079856783</v>
      </c>
      <c r="AX25" s="105">
        <v>3.5565948823363098</v>
      </c>
      <c r="AY25" s="105">
        <v>1156.6046557357679</v>
      </c>
      <c r="AZ25" s="105">
        <v>3.2616693330055933</v>
      </c>
      <c r="BA25" s="105">
        <v>1060.6948670934189</v>
      </c>
      <c r="BB25" s="105">
        <v>9.943871717124372</v>
      </c>
      <c r="BC25" s="105">
        <v>3233.7470824088455</v>
      </c>
      <c r="BD25" s="105">
        <v>9.1725588334557404</v>
      </c>
      <c r="BE25" s="105">
        <v>2982.9161326398066</v>
      </c>
      <c r="BF25" s="105">
        <v>7.4735136484726556</v>
      </c>
      <c r="BG25" s="105">
        <v>2430.3866384833077</v>
      </c>
      <c r="BH25" s="105">
        <v>9.591757191732599</v>
      </c>
      <c r="BI25" s="105">
        <v>3119.239438751441</v>
      </c>
      <c r="BJ25" s="105">
        <v>9.2231872624174986</v>
      </c>
      <c r="BK25" s="105">
        <v>2999.3804977381706</v>
      </c>
      <c r="BL25" s="105">
        <v>12.513374802071366</v>
      </c>
      <c r="BM25" s="105">
        <v>4069.3494856336083</v>
      </c>
      <c r="BN25" s="105">
        <v>6.6664274982319727</v>
      </c>
      <c r="BO25" s="105">
        <v>2167.9222224250375</v>
      </c>
      <c r="BP25" s="105">
        <v>1.9114574673664673</v>
      </c>
      <c r="BQ25" s="105">
        <v>621.6059683875751</v>
      </c>
      <c r="BR25" s="105">
        <v>0</v>
      </c>
      <c r="BS25" s="105">
        <v>0</v>
      </c>
      <c r="BT25" s="105">
        <v>0</v>
      </c>
      <c r="BU25" s="105">
        <v>0</v>
      </c>
      <c r="BV25" s="105">
        <v>11.87731647414128</v>
      </c>
      <c r="BW25" s="105">
        <v>3862.5033173907441</v>
      </c>
      <c r="BX25" s="105">
        <v>8.5955670163833933</v>
      </c>
      <c r="BY25" s="105">
        <v>2795.2783937278796</v>
      </c>
      <c r="BZ25" s="105">
        <v>3.1211275153011035</v>
      </c>
      <c r="CA25" s="105">
        <v>1014.9906679759189</v>
      </c>
      <c r="CB25" s="105">
        <v>2.7949970368509121</v>
      </c>
      <c r="CC25" s="105">
        <v>908.9330363839166</v>
      </c>
      <c r="CD25" s="105">
        <v>1.8701716313986105</v>
      </c>
      <c r="CE25" s="105">
        <v>608.17981453082814</v>
      </c>
      <c r="CF25" s="105">
        <v>6.8727693049992071</v>
      </c>
      <c r="CG25" s="105">
        <v>2235.0245779857419</v>
      </c>
      <c r="CH25" s="105">
        <v>7.9752843212044304</v>
      </c>
      <c r="CI25" s="105">
        <v>2593.5624612556808</v>
      </c>
      <c r="CJ25" s="105">
        <v>9.1551417668677395</v>
      </c>
      <c r="CK25" s="105">
        <v>2977.2521025853889</v>
      </c>
      <c r="CL25" s="105">
        <v>6.0206153061354719</v>
      </c>
      <c r="CM25" s="105">
        <v>1957.9040975552555</v>
      </c>
      <c r="CN25" s="105">
        <v>9.5180816252256406</v>
      </c>
      <c r="CO25" s="105">
        <v>3095.2801445233781</v>
      </c>
      <c r="CP25" s="105">
        <v>8.9006841436201274</v>
      </c>
      <c r="CQ25" s="105">
        <v>2894.5024835052654</v>
      </c>
      <c r="CR25" s="105">
        <v>11.565269005224676</v>
      </c>
      <c r="CS25" s="105">
        <v>3761.0254804990645</v>
      </c>
      <c r="CT25" s="105">
        <v>10.761116437786329</v>
      </c>
      <c r="CU25" s="105">
        <v>3499.5150655681141</v>
      </c>
    </row>
    <row r="26" spans="2:99" x14ac:dyDescent="0.2">
      <c r="C26" s="104" t="s">
        <v>192</v>
      </c>
      <c r="D26" s="105">
        <v>6.9353554976538243</v>
      </c>
      <c r="E26" s="105">
        <v>1989.059956727117</v>
      </c>
      <c r="F26" s="105">
        <v>8.8886673750226652</v>
      </c>
      <c r="G26" s="105">
        <v>2549.2698031565005</v>
      </c>
      <c r="H26" s="105">
        <v>10.86049194701244</v>
      </c>
      <c r="I26" s="105">
        <v>3114.7890904031678</v>
      </c>
      <c r="J26" s="105">
        <v>11.586564045537665</v>
      </c>
      <c r="K26" s="105">
        <v>3323.0265682602026</v>
      </c>
      <c r="L26" s="105">
        <v>11.035719327816015</v>
      </c>
      <c r="M26" s="105">
        <v>3165.0443032176331</v>
      </c>
      <c r="N26" s="105">
        <v>8.2010052546677148</v>
      </c>
      <c r="O26" s="105">
        <v>2352.0483070387008</v>
      </c>
      <c r="P26" s="105">
        <v>10.446346000936607</v>
      </c>
      <c r="Q26" s="105">
        <v>2996.0120330686191</v>
      </c>
      <c r="R26" s="105">
        <v>10.861877608986717</v>
      </c>
      <c r="S26" s="105">
        <v>3115.1864982573907</v>
      </c>
      <c r="T26" s="105">
        <v>10.929464938319493</v>
      </c>
      <c r="U26" s="105">
        <v>3134.5705443100305</v>
      </c>
      <c r="V26" s="105">
        <v>7.8064389292229235</v>
      </c>
      <c r="W26" s="105">
        <v>2238.8866849011347</v>
      </c>
      <c r="X26" s="105">
        <v>8.309130878685032</v>
      </c>
      <c r="Y26" s="105">
        <v>2383.0587360068671</v>
      </c>
      <c r="Z26" s="105">
        <v>6.2525233886627465</v>
      </c>
      <c r="AA26" s="105">
        <v>1793.2237078684757</v>
      </c>
      <c r="AB26" s="105">
        <v>0</v>
      </c>
      <c r="AC26" s="105">
        <v>0</v>
      </c>
      <c r="AD26" s="105">
        <v>8.9899274089552126</v>
      </c>
      <c r="AE26" s="105">
        <v>2578.311180888355</v>
      </c>
      <c r="AF26" s="105">
        <v>12.598322382685502</v>
      </c>
      <c r="AG26" s="105">
        <v>3613.1988593542023</v>
      </c>
      <c r="AH26" s="105">
        <v>0</v>
      </c>
      <c r="AI26" s="105">
        <v>0</v>
      </c>
      <c r="AJ26" s="105">
        <v>8.5301442242019885</v>
      </c>
      <c r="AK26" s="105">
        <v>2446.4453635011305</v>
      </c>
      <c r="AL26" s="105">
        <v>3.1019175019689396</v>
      </c>
      <c r="AM26" s="105">
        <v>889.62993956469188</v>
      </c>
      <c r="AN26" s="105">
        <v>2.7821162912364779</v>
      </c>
      <c r="AO26" s="105">
        <v>797.9109523266219</v>
      </c>
      <c r="AP26" s="105">
        <v>7.2416007920385832</v>
      </c>
      <c r="AQ26" s="105">
        <v>2076.8911071566658</v>
      </c>
      <c r="AR26" s="105">
        <v>0</v>
      </c>
      <c r="AS26" s="105">
        <v>0</v>
      </c>
      <c r="AT26" s="105">
        <v>8.7186176042108361</v>
      </c>
      <c r="AU26" s="105">
        <v>2500.499528887668</v>
      </c>
      <c r="AV26" s="105">
        <v>9.7293071979908774</v>
      </c>
      <c r="AW26" s="105">
        <v>2790.365304383784</v>
      </c>
      <c r="AX26" s="105">
        <v>3.3872332212726755</v>
      </c>
      <c r="AY26" s="105">
        <v>971.45848786100339</v>
      </c>
      <c r="AZ26" s="105">
        <v>3.0985858663553136</v>
      </c>
      <c r="BA26" s="105">
        <v>888.67442647070402</v>
      </c>
      <c r="BB26" s="105">
        <v>9.1152157406973409</v>
      </c>
      <c r="BC26" s="105">
        <v>2614.2438744319975</v>
      </c>
      <c r="BD26" s="105">
        <v>8.5807808442005307</v>
      </c>
      <c r="BE26" s="105">
        <v>2460.9679461167125</v>
      </c>
      <c r="BF26" s="105">
        <v>6.8236428964315561</v>
      </c>
      <c r="BG26" s="105">
        <v>1957.0207826965704</v>
      </c>
      <c r="BH26" s="105">
        <v>10.463735118253744</v>
      </c>
      <c r="BI26" s="105">
        <v>3000.9992319151738</v>
      </c>
      <c r="BJ26" s="105">
        <v>9.2231872624174986</v>
      </c>
      <c r="BK26" s="105">
        <v>2645.2101068613388</v>
      </c>
      <c r="BL26" s="105">
        <v>15.01604976248564</v>
      </c>
      <c r="BM26" s="105">
        <v>4306.6030718808815</v>
      </c>
      <c r="BN26" s="105">
        <v>6.6664274982319727</v>
      </c>
      <c r="BO26" s="105">
        <v>1911.9314064929299</v>
      </c>
      <c r="BP26" s="105">
        <v>2.0120604919647023</v>
      </c>
      <c r="BQ26" s="105">
        <v>577.05894909547658</v>
      </c>
      <c r="BR26" s="105">
        <v>0</v>
      </c>
      <c r="BS26" s="105">
        <v>0</v>
      </c>
      <c r="BT26" s="105">
        <v>0</v>
      </c>
      <c r="BU26" s="105">
        <v>0</v>
      </c>
      <c r="BV26" s="105">
        <v>11.494177233039947</v>
      </c>
      <c r="BW26" s="105">
        <v>3296.530030435857</v>
      </c>
      <c r="BX26" s="105">
        <v>9.7167279315638364</v>
      </c>
      <c r="BY26" s="105">
        <v>2786.7575707725082</v>
      </c>
      <c r="BZ26" s="105">
        <v>3.2568287116185424</v>
      </c>
      <c r="CA26" s="105">
        <v>934.058474492198</v>
      </c>
      <c r="CB26" s="105">
        <v>2.7949970368509121</v>
      </c>
      <c r="CC26" s="105">
        <v>801.60515016884165</v>
      </c>
      <c r="CD26" s="105">
        <v>1.9514834414594198</v>
      </c>
      <c r="CE26" s="105">
        <v>559.68545101056156</v>
      </c>
      <c r="CF26" s="105">
        <v>7.6975016215991117</v>
      </c>
      <c r="CG26" s="105">
        <v>2207.6434650746255</v>
      </c>
      <c r="CH26" s="105">
        <v>7.2034826127007765</v>
      </c>
      <c r="CI26" s="105">
        <v>2065.958813322583</v>
      </c>
      <c r="CJ26" s="105">
        <v>10.463019162134557</v>
      </c>
      <c r="CK26" s="105">
        <v>3000.7938957001911</v>
      </c>
      <c r="CL26" s="105">
        <v>5.7588494232600169</v>
      </c>
      <c r="CM26" s="105">
        <v>1651.6380145909729</v>
      </c>
      <c r="CN26" s="105">
        <v>9.5180816252256406</v>
      </c>
      <c r="CO26" s="105">
        <v>2729.785810114714</v>
      </c>
      <c r="CP26" s="105">
        <v>8.5136978765062086</v>
      </c>
      <c r="CQ26" s="105">
        <v>2441.7285509819808</v>
      </c>
      <c r="CR26" s="105">
        <v>11.915731702352698</v>
      </c>
      <c r="CS26" s="105">
        <v>3417.4318522347539</v>
      </c>
      <c r="CT26" s="105">
        <v>9.2936914689972845</v>
      </c>
      <c r="CU26" s="105">
        <v>2665.4307133084212</v>
      </c>
    </row>
    <row r="27" spans="2:99" x14ac:dyDescent="0.2">
      <c r="C27" s="104" t="s">
        <v>193</v>
      </c>
      <c r="D27" s="105">
        <v>6.9353554976538243</v>
      </c>
      <c r="E27" s="105">
        <v>2188.7981950595467</v>
      </c>
      <c r="F27" s="105">
        <v>7.9363101562702374</v>
      </c>
      <c r="G27" s="105">
        <v>2504.6994853188867</v>
      </c>
      <c r="H27" s="105">
        <v>11.983991113944763</v>
      </c>
      <c r="I27" s="105">
        <v>3782.1475955609667</v>
      </c>
      <c r="J27" s="105">
        <v>10.138243539845456</v>
      </c>
      <c r="K27" s="105">
        <v>3199.6296611752259</v>
      </c>
      <c r="L27" s="105">
        <v>12.139291260597616</v>
      </c>
      <c r="M27" s="105">
        <v>3831.1603218446076</v>
      </c>
      <c r="N27" s="105">
        <v>8.6110555174011001</v>
      </c>
      <c r="O27" s="105">
        <v>2717.6491212917867</v>
      </c>
      <c r="P27" s="105">
        <v>10.819429786684342</v>
      </c>
      <c r="Q27" s="105">
        <v>3414.6120406775781</v>
      </c>
      <c r="R27" s="105">
        <v>11.26416937228252</v>
      </c>
      <c r="S27" s="105">
        <v>3554.971853892363</v>
      </c>
      <c r="T27" s="105">
        <v>10.224338168105332</v>
      </c>
      <c r="U27" s="105">
        <v>3226.8011258540423</v>
      </c>
      <c r="V27" s="105">
        <v>8.2401299808464188</v>
      </c>
      <c r="W27" s="105">
        <v>2600.5850219551294</v>
      </c>
      <c r="X27" s="105">
        <v>8.9738613489798364</v>
      </c>
      <c r="Y27" s="105">
        <v>2832.150641738036</v>
      </c>
      <c r="Z27" s="105">
        <v>6.4542176915228353</v>
      </c>
      <c r="AA27" s="105">
        <v>2036.9511034446066</v>
      </c>
      <c r="AB27" s="105">
        <v>0</v>
      </c>
      <c r="AC27" s="105">
        <v>0</v>
      </c>
      <c r="AD27" s="105">
        <v>9.3807938180402228</v>
      </c>
      <c r="AE27" s="105">
        <v>2960.578528973494</v>
      </c>
      <c r="AF27" s="105">
        <v>12.204624808226582</v>
      </c>
      <c r="AG27" s="105">
        <v>3851.779589476309</v>
      </c>
      <c r="AH27" s="105">
        <v>0</v>
      </c>
      <c r="AI27" s="105">
        <v>0</v>
      </c>
      <c r="AJ27" s="105">
        <v>10.468813366066076</v>
      </c>
      <c r="AK27" s="105">
        <v>3303.9574983304533</v>
      </c>
      <c r="AL27" s="105">
        <v>3.2570133770673864</v>
      </c>
      <c r="AM27" s="105">
        <v>1027.9134218024669</v>
      </c>
      <c r="AN27" s="105">
        <v>2.9030778691163248</v>
      </c>
      <c r="AO27" s="105">
        <v>916.21137549311197</v>
      </c>
      <c r="AP27" s="105">
        <v>7.5564530003880863</v>
      </c>
      <c r="AQ27" s="105">
        <v>2384.81656692248</v>
      </c>
      <c r="AR27" s="105">
        <v>0</v>
      </c>
      <c r="AS27" s="105">
        <v>0</v>
      </c>
      <c r="AT27" s="105">
        <v>7.6928978860683852</v>
      </c>
      <c r="AU27" s="105">
        <v>2427.8785728431822</v>
      </c>
      <c r="AV27" s="105">
        <v>10.076782455061979</v>
      </c>
      <c r="AW27" s="105">
        <v>3180.23254281756</v>
      </c>
      <c r="AX27" s="105">
        <v>3.3872332212726755</v>
      </c>
      <c r="AY27" s="105">
        <v>1069.0108046336563</v>
      </c>
      <c r="AZ27" s="105">
        <v>3.2616693330055933</v>
      </c>
      <c r="BA27" s="105">
        <v>1029.3828414965651</v>
      </c>
      <c r="BB27" s="105">
        <v>9.943871717124372</v>
      </c>
      <c r="BC27" s="105">
        <v>3138.2859139244515</v>
      </c>
      <c r="BD27" s="105">
        <v>10.060225817338555</v>
      </c>
      <c r="BE27" s="105">
        <v>3175.0072679520476</v>
      </c>
      <c r="BF27" s="105">
        <v>6.4987075204110054</v>
      </c>
      <c r="BG27" s="105">
        <v>2050.9920934417132</v>
      </c>
      <c r="BH27" s="105">
        <v>9.8824165005729814</v>
      </c>
      <c r="BI27" s="105">
        <v>3118.8906475808326</v>
      </c>
      <c r="BJ27" s="105">
        <v>8.7620278992966227</v>
      </c>
      <c r="BK27" s="105">
        <v>2765.2960050180141</v>
      </c>
      <c r="BL27" s="105">
        <v>13.013909794154221</v>
      </c>
      <c r="BM27" s="105">
        <v>4107.1899310350718</v>
      </c>
      <c r="BN27" s="105">
        <v>6.3634080664941557</v>
      </c>
      <c r="BO27" s="105">
        <v>2008.2915857855553</v>
      </c>
      <c r="BP27" s="105">
        <v>2.0120604919647023</v>
      </c>
      <c r="BQ27" s="105">
        <v>635.00629126406</v>
      </c>
      <c r="BR27" s="105">
        <v>0</v>
      </c>
      <c r="BS27" s="105">
        <v>0</v>
      </c>
      <c r="BT27" s="105">
        <v>0</v>
      </c>
      <c r="BU27" s="105">
        <v>0</v>
      </c>
      <c r="BV27" s="105">
        <v>11.494177233039947</v>
      </c>
      <c r="BW27" s="105">
        <v>3627.562334747407</v>
      </c>
      <c r="BX27" s="105">
        <v>8.5955670163833933</v>
      </c>
      <c r="BY27" s="105">
        <v>2712.7609503705985</v>
      </c>
      <c r="BZ27" s="105">
        <v>3.2568287116185424</v>
      </c>
      <c r="CA27" s="105">
        <v>1027.855141386812</v>
      </c>
      <c r="CB27" s="105">
        <v>2.9114552467196999</v>
      </c>
      <c r="CC27" s="105">
        <v>918.85527586473722</v>
      </c>
      <c r="CD27" s="105">
        <v>2.1954188716418477</v>
      </c>
      <c r="CE27" s="105">
        <v>692.87419589016702</v>
      </c>
      <c r="CF27" s="105">
        <v>7.4225908493991444</v>
      </c>
      <c r="CG27" s="105">
        <v>2342.5696720703695</v>
      </c>
      <c r="CH27" s="105">
        <v>6.9462153765328916</v>
      </c>
      <c r="CI27" s="105">
        <v>2192.2255728337805</v>
      </c>
      <c r="CJ27" s="105">
        <v>9.1551417668677395</v>
      </c>
      <c r="CK27" s="105">
        <v>2889.3627416234581</v>
      </c>
      <c r="CL27" s="105">
        <v>6.5441470718863819</v>
      </c>
      <c r="CM27" s="105">
        <v>2065.3328158873419</v>
      </c>
      <c r="CN27" s="105">
        <v>9.1520015627169613</v>
      </c>
      <c r="CO27" s="105">
        <v>2888.3716931934728</v>
      </c>
      <c r="CP27" s="105">
        <v>8.9006841436201274</v>
      </c>
      <c r="CQ27" s="105">
        <v>2809.055915726512</v>
      </c>
      <c r="CR27" s="105">
        <v>11.214806308096657</v>
      </c>
      <c r="CS27" s="105">
        <v>3539.3928708353046</v>
      </c>
      <c r="CT27" s="105">
        <v>9.2936914689972845</v>
      </c>
      <c r="CU27" s="105">
        <v>2933.0890276155428</v>
      </c>
    </row>
    <row r="28" spans="2:99" x14ac:dyDescent="0.2">
      <c r="C28" s="104" t="s">
        <v>194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14.117839802397222</v>
      </c>
      <c r="O28" s="105">
        <v>8097.9929106550471</v>
      </c>
      <c r="P28" s="105">
        <v>16.145816790586878</v>
      </c>
      <c r="Q28" s="105">
        <v>9261.240511080634</v>
      </c>
      <c r="R28" s="105">
        <v>18.786811108475732</v>
      </c>
      <c r="S28" s="105">
        <v>10776.11485182168</v>
      </c>
      <c r="T28" s="105">
        <v>15.607622897567316</v>
      </c>
      <c r="U28" s="105">
        <v>8952.5324940446135</v>
      </c>
      <c r="V28" s="105">
        <v>13.509845241564056</v>
      </c>
      <c r="W28" s="105">
        <v>7749.2472305611427</v>
      </c>
      <c r="X28" s="105">
        <v>18.165612053434192</v>
      </c>
      <c r="Y28" s="105">
        <v>10419.795073849853</v>
      </c>
      <c r="Z28" s="105">
        <v>18.335190854479453</v>
      </c>
      <c r="AA28" s="105">
        <v>10517.065474129415</v>
      </c>
      <c r="AB28" s="105">
        <v>17.948811407067826</v>
      </c>
      <c r="AC28" s="105">
        <v>10295.438223094105</v>
      </c>
      <c r="AD28" s="105">
        <v>20.781460189128712</v>
      </c>
      <c r="AE28" s="105">
        <v>11920.24556448423</v>
      </c>
      <c r="AF28" s="105">
        <v>18.537789648451604</v>
      </c>
      <c r="AG28" s="105">
        <v>10633.27614235184</v>
      </c>
      <c r="AH28" s="105">
        <v>15.563457385649226</v>
      </c>
      <c r="AI28" s="105">
        <v>8927.1991564083964</v>
      </c>
      <c r="AJ28" s="105">
        <v>18.273740696609394</v>
      </c>
      <c r="AK28" s="105">
        <v>10481.81766357515</v>
      </c>
      <c r="AL28" s="105">
        <v>15.052796080701674</v>
      </c>
      <c r="AM28" s="105">
        <v>8634.2838318904796</v>
      </c>
      <c r="AN28" s="105">
        <v>12.756476678594634</v>
      </c>
      <c r="AO28" s="105">
        <v>7317.1150228418819</v>
      </c>
      <c r="AP28" s="105">
        <v>13.529596477297339</v>
      </c>
      <c r="AQ28" s="105">
        <v>7760.5765393777538</v>
      </c>
      <c r="AR28" s="105">
        <v>14.713436169060854</v>
      </c>
      <c r="AS28" s="105">
        <v>8439.6269865733066</v>
      </c>
      <c r="AT28" s="105">
        <v>19.729234356767762</v>
      </c>
      <c r="AU28" s="105">
        <v>11316.688827041989</v>
      </c>
      <c r="AV28" s="105">
        <v>18.834421310768729</v>
      </c>
      <c r="AW28" s="105">
        <v>10803.424063856943</v>
      </c>
      <c r="AX28" s="105">
        <v>15.529623782636948</v>
      </c>
      <c r="AY28" s="105">
        <v>8907.7922017205547</v>
      </c>
      <c r="AZ28" s="105">
        <v>19</v>
      </c>
      <c r="BA28" s="105">
        <v>10898.4</v>
      </c>
      <c r="BB28" s="105">
        <v>19.753716753840685</v>
      </c>
      <c r="BC28" s="105">
        <v>11330.731930003018</v>
      </c>
      <c r="BD28" s="105">
        <v>17.932719591210677</v>
      </c>
      <c r="BE28" s="105">
        <v>10286.207957518445</v>
      </c>
      <c r="BF28" s="105">
        <v>20.706165043515927</v>
      </c>
      <c r="BG28" s="105">
        <v>11877.056268960736</v>
      </c>
      <c r="BH28" s="105">
        <v>16.572137311904875</v>
      </c>
      <c r="BI28" s="105">
        <v>9505.7779621086374</v>
      </c>
      <c r="BJ28" s="105">
        <v>19.518106393478128</v>
      </c>
      <c r="BK28" s="105">
        <v>11195.585827299055</v>
      </c>
      <c r="BL28" s="105">
        <v>19.407972877778253</v>
      </c>
      <c r="BM28" s="105">
        <v>11132.413242693607</v>
      </c>
      <c r="BN28" s="105">
        <v>15.573636232860245</v>
      </c>
      <c r="BO28" s="105">
        <v>8933.0377431686375</v>
      </c>
      <c r="BP28" s="105">
        <v>16.101337956453033</v>
      </c>
      <c r="BQ28" s="105">
        <v>9235.7274518214599</v>
      </c>
      <c r="BR28" s="105">
        <v>0</v>
      </c>
      <c r="BS28" s="105">
        <v>0</v>
      </c>
      <c r="BT28" s="105">
        <v>32.990314769975789</v>
      </c>
      <c r="BU28" s="105">
        <v>18923.244552058113</v>
      </c>
      <c r="BV28" s="105">
        <v>18.445083008102404</v>
      </c>
      <c r="BW28" s="105">
        <v>10580.099613447539</v>
      </c>
      <c r="BX28" s="105">
        <v>13.179418686120229</v>
      </c>
      <c r="BY28" s="105">
        <v>7559.7145583585634</v>
      </c>
      <c r="BZ28" s="105">
        <v>11.824710909637904</v>
      </c>
      <c r="CA28" s="105">
        <v>6782.6541777683024</v>
      </c>
      <c r="CB28" s="105">
        <v>14.030692643123166</v>
      </c>
      <c r="CC28" s="105">
        <v>8048.0053000954476</v>
      </c>
      <c r="CD28" s="105">
        <v>18.15150831736786</v>
      </c>
      <c r="CE28" s="105">
        <v>10411.705170842204</v>
      </c>
      <c r="CF28" s="105">
        <v>17.090016602901901</v>
      </c>
      <c r="CG28" s="105">
        <v>9802.8335234245314</v>
      </c>
      <c r="CH28" s="105">
        <v>19.375718411931992</v>
      </c>
      <c r="CI28" s="105">
        <v>11113.912081084191</v>
      </c>
      <c r="CJ28" s="105">
        <v>18.123366444007598</v>
      </c>
      <c r="CK28" s="105">
        <v>10395.562992282759</v>
      </c>
      <c r="CL28" s="105">
        <v>14.664336827006149</v>
      </c>
      <c r="CM28" s="105">
        <v>8411.4636039707275</v>
      </c>
      <c r="CN28" s="105">
        <v>16.851233935795488</v>
      </c>
      <c r="CO28" s="105">
        <v>9665.8677855722926</v>
      </c>
      <c r="CP28" s="105">
        <v>18.749677007908122</v>
      </c>
      <c r="CQ28" s="105">
        <v>10754.8147317361</v>
      </c>
      <c r="CR28" s="105">
        <v>19.181961227812678</v>
      </c>
      <c r="CS28" s="105">
        <v>11002.772960273353</v>
      </c>
      <c r="CT28" s="105">
        <v>15.264160128232897</v>
      </c>
      <c r="CU28" s="105">
        <v>8755.5222495543894</v>
      </c>
    </row>
    <row r="29" spans="2:99" x14ac:dyDescent="0.2">
      <c r="C29" s="104" t="s">
        <v>195</v>
      </c>
      <c r="D29" s="105">
        <v>6.6051004739560231</v>
      </c>
      <c r="E29" s="105">
        <v>1553.5196314744564</v>
      </c>
      <c r="F29" s="105">
        <v>9.5235721875242856</v>
      </c>
      <c r="G29" s="105">
        <v>2239.944178505712</v>
      </c>
      <c r="H29" s="105">
        <v>11.609491391633988</v>
      </c>
      <c r="I29" s="105">
        <v>2730.5523753123139</v>
      </c>
      <c r="J29" s="105">
        <v>11.586564045537665</v>
      </c>
      <c r="K29" s="105">
        <v>2725.1598635104588</v>
      </c>
      <c r="L29" s="105">
        <v>12.507148571524816</v>
      </c>
      <c r="M29" s="105">
        <v>2941.6813440226365</v>
      </c>
      <c r="N29" s="105">
        <v>8.6110555174011001</v>
      </c>
      <c r="O29" s="105">
        <v>2025.3202576927386</v>
      </c>
      <c r="P29" s="105">
        <v>11.192513572432079</v>
      </c>
      <c r="Q29" s="105">
        <v>2632.4791922360246</v>
      </c>
      <c r="R29" s="105">
        <v>12.471044662169932</v>
      </c>
      <c r="S29" s="105">
        <v>2933.189704542368</v>
      </c>
      <c r="T29" s="105">
        <v>9.1666480127840906</v>
      </c>
      <c r="U29" s="105">
        <v>2155.9956126068182</v>
      </c>
      <c r="V29" s="105">
        <v>8.673821032469915</v>
      </c>
      <c r="W29" s="105">
        <v>2040.082706836924</v>
      </c>
      <c r="X29" s="105">
        <v>9.3062265841272378</v>
      </c>
      <c r="Y29" s="105">
        <v>2188.8244925867261</v>
      </c>
      <c r="Z29" s="105">
        <v>6.0508290858026577</v>
      </c>
      <c r="AA29" s="105">
        <v>1423.155000980785</v>
      </c>
      <c r="AB29" s="105">
        <v>0</v>
      </c>
      <c r="AC29" s="105">
        <v>0</v>
      </c>
      <c r="AD29" s="105">
        <v>9.7716602271252313</v>
      </c>
      <c r="AE29" s="105">
        <v>2298.2944854198545</v>
      </c>
      <c r="AF29" s="105">
        <v>12.204624808226582</v>
      </c>
      <c r="AG29" s="105">
        <v>2870.527754894892</v>
      </c>
      <c r="AH29" s="105">
        <v>0</v>
      </c>
      <c r="AI29" s="105">
        <v>0</v>
      </c>
      <c r="AJ29" s="105">
        <v>8.9178780525748067</v>
      </c>
      <c r="AK29" s="105">
        <v>2097.4849179655944</v>
      </c>
      <c r="AL29" s="105">
        <v>3.1019175019689396</v>
      </c>
      <c r="AM29" s="105">
        <v>729.5709964630945</v>
      </c>
      <c r="AN29" s="105">
        <v>2.6611547133566309</v>
      </c>
      <c r="AO29" s="105">
        <v>625.90358858147954</v>
      </c>
      <c r="AP29" s="105">
        <v>7.2416007920385832</v>
      </c>
      <c r="AQ29" s="105">
        <v>1703.2245062874747</v>
      </c>
      <c r="AR29" s="105">
        <v>0</v>
      </c>
      <c r="AS29" s="105">
        <v>0</v>
      </c>
      <c r="AT29" s="105">
        <v>8.9750475337464497</v>
      </c>
      <c r="AU29" s="105">
        <v>2110.9311799371649</v>
      </c>
      <c r="AV29" s="105">
        <v>9.0343566838486709</v>
      </c>
      <c r="AW29" s="105">
        <v>2124.8806920412071</v>
      </c>
      <c r="AX29" s="105">
        <v>3.048509899145408</v>
      </c>
      <c r="AY29" s="105">
        <v>717.00952827899994</v>
      </c>
      <c r="AZ29" s="105">
        <v>3.0985858663553136</v>
      </c>
      <c r="BA29" s="105">
        <v>728.78739576676969</v>
      </c>
      <c r="BB29" s="105">
        <v>9.1152157406973409</v>
      </c>
      <c r="BC29" s="105">
        <v>2143.8987422120144</v>
      </c>
      <c r="BD29" s="105">
        <v>8.8766698388281373</v>
      </c>
      <c r="BE29" s="105">
        <v>2087.7927460923779</v>
      </c>
      <c r="BF29" s="105">
        <v>7.1485782724521059</v>
      </c>
      <c r="BG29" s="105">
        <v>1681.3456096807352</v>
      </c>
      <c r="BH29" s="105">
        <v>11.62637235361527</v>
      </c>
      <c r="BI29" s="105">
        <v>2734.5227775703115</v>
      </c>
      <c r="BJ29" s="105">
        <v>9.6843466255383728</v>
      </c>
      <c r="BK29" s="105">
        <v>2277.7583263266251</v>
      </c>
      <c r="BL29" s="105">
        <v>13.514444786237075</v>
      </c>
      <c r="BM29" s="105">
        <v>3178.59741372296</v>
      </c>
      <c r="BN29" s="105">
        <v>6.9694469299697905</v>
      </c>
      <c r="BO29" s="105">
        <v>1639.2139179288947</v>
      </c>
      <c r="BP29" s="105">
        <v>2.0120604919647023</v>
      </c>
      <c r="BQ29" s="105">
        <v>473.23662771009793</v>
      </c>
      <c r="BR29" s="105">
        <v>0</v>
      </c>
      <c r="BS29" s="105">
        <v>0</v>
      </c>
      <c r="BT29" s="105">
        <v>0</v>
      </c>
      <c r="BU29" s="105">
        <v>0</v>
      </c>
      <c r="BV29" s="105">
        <v>10.727898750837284</v>
      </c>
      <c r="BW29" s="105">
        <v>2523.2017861969289</v>
      </c>
      <c r="BX29" s="105">
        <v>10.090448236623983</v>
      </c>
      <c r="BY29" s="105">
        <v>2373.2734252539608</v>
      </c>
      <c r="BZ29" s="105">
        <v>3.5282311042534209</v>
      </c>
      <c r="CA29" s="105">
        <v>829.83995572040453</v>
      </c>
      <c r="CB29" s="105">
        <v>2.6785388269821242</v>
      </c>
      <c r="CC29" s="105">
        <v>629.99233210619559</v>
      </c>
      <c r="CD29" s="105">
        <v>2.1954188716418477</v>
      </c>
      <c r="CE29" s="105">
        <v>516.36251861016251</v>
      </c>
      <c r="CF29" s="105">
        <v>7.1476800771991762</v>
      </c>
      <c r="CG29" s="105">
        <v>1681.1343541572462</v>
      </c>
      <c r="CH29" s="105">
        <v>7.7180170850365464</v>
      </c>
      <c r="CI29" s="105">
        <v>1815.2776184005957</v>
      </c>
      <c r="CJ29" s="105">
        <v>10.201443683081195</v>
      </c>
      <c r="CK29" s="105">
        <v>2399.3795542606968</v>
      </c>
      <c r="CL29" s="105">
        <v>6.5441470718863819</v>
      </c>
      <c r="CM29" s="105">
        <v>1539.1833913076769</v>
      </c>
      <c r="CN29" s="105">
        <v>8.7859215002082838</v>
      </c>
      <c r="CO29" s="105">
        <v>2066.4487368489881</v>
      </c>
      <c r="CP29" s="105">
        <v>8.9006841436201274</v>
      </c>
      <c r="CQ29" s="105">
        <v>2093.4409105794539</v>
      </c>
      <c r="CR29" s="105">
        <v>12.266194399480719</v>
      </c>
      <c r="CS29" s="105">
        <v>2885.0089227578651</v>
      </c>
      <c r="CT29" s="105">
        <v>8.804549812734269</v>
      </c>
      <c r="CU29" s="105">
        <v>2070.8301159551002</v>
      </c>
    </row>
    <row r="30" spans="2:99" x14ac:dyDescent="0.2">
      <c r="C30" s="104" t="s">
        <v>196</v>
      </c>
      <c r="D30" s="105">
        <v>6.6051004739560231</v>
      </c>
      <c r="E30" s="105">
        <v>1529.7412697682148</v>
      </c>
      <c r="F30" s="105">
        <v>9.2061197812734754</v>
      </c>
      <c r="G30" s="105">
        <v>2132.1373413429369</v>
      </c>
      <c r="H30" s="105">
        <v>11.234991669323215</v>
      </c>
      <c r="I30" s="105">
        <v>2602.0240706152563</v>
      </c>
      <c r="J30" s="105">
        <v>12.31072429838377</v>
      </c>
      <c r="K30" s="105">
        <v>2851.1637475056809</v>
      </c>
      <c r="L30" s="105">
        <v>11.403576638743214</v>
      </c>
      <c r="M30" s="105">
        <v>2641.0683495329281</v>
      </c>
      <c r="N30" s="105">
        <v>7.7909549919343286</v>
      </c>
      <c r="O30" s="105">
        <v>1804.3851761319904</v>
      </c>
      <c r="P30" s="105">
        <v>9.7001784294411344</v>
      </c>
      <c r="Q30" s="105">
        <v>2246.5613242585669</v>
      </c>
      <c r="R30" s="105">
        <v>12.873336425465737</v>
      </c>
      <c r="S30" s="105">
        <v>2981.4647161378648</v>
      </c>
      <c r="T30" s="105">
        <v>9.519211397891171</v>
      </c>
      <c r="U30" s="105">
        <v>2204.6493597515951</v>
      </c>
      <c r="V30" s="105">
        <v>8.2401299808464188</v>
      </c>
      <c r="W30" s="105">
        <v>1908.4141035640305</v>
      </c>
      <c r="X30" s="105">
        <v>9.6385918192746374</v>
      </c>
      <c r="Y30" s="105">
        <v>2232.2978653440059</v>
      </c>
      <c r="Z30" s="105">
        <v>5.6474404800824809</v>
      </c>
      <c r="AA30" s="105">
        <v>1307.9472151871025</v>
      </c>
      <c r="AB30" s="105">
        <v>0</v>
      </c>
      <c r="AC30" s="105">
        <v>0</v>
      </c>
      <c r="AD30" s="105">
        <v>8.9899274089552126</v>
      </c>
      <c r="AE30" s="105">
        <v>2082.0671879140273</v>
      </c>
      <c r="AF30" s="105">
        <v>11.417229659308736</v>
      </c>
      <c r="AG30" s="105">
        <v>2644.2303890959033</v>
      </c>
      <c r="AH30" s="105">
        <v>0</v>
      </c>
      <c r="AI30" s="105">
        <v>0</v>
      </c>
      <c r="AJ30" s="105">
        <v>10.468813366066076</v>
      </c>
      <c r="AK30" s="105">
        <v>2424.5771755809033</v>
      </c>
      <c r="AL30" s="105">
        <v>3.4121092521658336</v>
      </c>
      <c r="AM30" s="105">
        <v>790.24450280160704</v>
      </c>
      <c r="AN30" s="105">
        <v>2.6611547133566309</v>
      </c>
      <c r="AO30" s="105">
        <v>616.32343161339566</v>
      </c>
      <c r="AP30" s="105">
        <v>5.982191958640569</v>
      </c>
      <c r="AQ30" s="105">
        <v>1385.4756576211557</v>
      </c>
      <c r="AR30" s="105">
        <v>0</v>
      </c>
      <c r="AS30" s="105">
        <v>0</v>
      </c>
      <c r="AT30" s="105">
        <v>8.7186176042108361</v>
      </c>
      <c r="AU30" s="105">
        <v>2019.2318371352296</v>
      </c>
      <c r="AV30" s="105">
        <v>9.3818319409197724</v>
      </c>
      <c r="AW30" s="105">
        <v>2172.8322775170191</v>
      </c>
      <c r="AX30" s="105">
        <v>3.7259565433999438</v>
      </c>
      <c r="AY30" s="105">
        <v>862.93153545142695</v>
      </c>
      <c r="AZ30" s="105">
        <v>3.4247527996558733</v>
      </c>
      <c r="BA30" s="105">
        <v>793.17274840030029</v>
      </c>
      <c r="BB30" s="105">
        <v>9.6676530583153628</v>
      </c>
      <c r="BC30" s="105">
        <v>2239.0284483058381</v>
      </c>
      <c r="BD30" s="105">
        <v>9.4684478280833453</v>
      </c>
      <c r="BE30" s="105">
        <v>2192.8925169841027</v>
      </c>
      <c r="BF30" s="105">
        <v>6.4987075204110054</v>
      </c>
      <c r="BG30" s="105">
        <v>1505.1006617271887</v>
      </c>
      <c r="BH30" s="105">
        <v>10.173075809413362</v>
      </c>
      <c r="BI30" s="105">
        <v>2356.0843574601345</v>
      </c>
      <c r="BJ30" s="105">
        <v>10.606665351780123</v>
      </c>
      <c r="BK30" s="105">
        <v>2456.5036954722764</v>
      </c>
      <c r="BL30" s="105">
        <v>13.013909794154221</v>
      </c>
      <c r="BM30" s="105">
        <v>3014.0215083261178</v>
      </c>
      <c r="BN30" s="105">
        <v>6.9694469299697905</v>
      </c>
      <c r="BO30" s="105">
        <v>1614.1239089810035</v>
      </c>
      <c r="BP30" s="105">
        <v>1.9114574673664673</v>
      </c>
      <c r="BQ30" s="105">
        <v>442.69354944207379</v>
      </c>
      <c r="BR30" s="105">
        <v>0</v>
      </c>
      <c r="BS30" s="105">
        <v>0</v>
      </c>
      <c r="BT30" s="105">
        <v>0</v>
      </c>
      <c r="BU30" s="105">
        <v>0</v>
      </c>
      <c r="BV30" s="105">
        <v>11.87731647414128</v>
      </c>
      <c r="BW30" s="105">
        <v>2750.7864954111201</v>
      </c>
      <c r="BX30" s="105">
        <v>9.7167279315638364</v>
      </c>
      <c r="BY30" s="105">
        <v>2250.3941889501843</v>
      </c>
      <c r="BZ30" s="105">
        <v>3.1211275153011035</v>
      </c>
      <c r="CA30" s="105">
        <v>722.85313254373557</v>
      </c>
      <c r="CB30" s="105">
        <v>2.7949970368509121</v>
      </c>
      <c r="CC30" s="105">
        <v>647.32131373467121</v>
      </c>
      <c r="CD30" s="105">
        <v>1.8701716313986105</v>
      </c>
      <c r="CE30" s="105">
        <v>433.13174983191817</v>
      </c>
      <c r="CF30" s="105">
        <v>7.1476800771991762</v>
      </c>
      <c r="CG30" s="105">
        <v>1655.4027058793292</v>
      </c>
      <c r="CH30" s="105">
        <v>7.7180170850365464</v>
      </c>
      <c r="CI30" s="105">
        <v>1787.492756894464</v>
      </c>
      <c r="CJ30" s="105">
        <v>9.9398682040278299</v>
      </c>
      <c r="CK30" s="105">
        <v>2302.0734760528453</v>
      </c>
      <c r="CL30" s="105">
        <v>6.5441470718863819</v>
      </c>
      <c r="CM30" s="105">
        <v>1515.6244618488861</v>
      </c>
      <c r="CN30" s="105">
        <v>9.1520015627169613</v>
      </c>
      <c r="CO30" s="105">
        <v>2119.603561925248</v>
      </c>
      <c r="CP30" s="105">
        <v>8.1267116093922898</v>
      </c>
      <c r="CQ30" s="105">
        <v>1882.1464087352542</v>
      </c>
      <c r="CR30" s="105">
        <v>12.266194399480719</v>
      </c>
      <c r="CS30" s="105">
        <v>2840.8506229197346</v>
      </c>
      <c r="CT30" s="105">
        <v>10.761116437786329</v>
      </c>
      <c r="CU30" s="105">
        <v>2492.2745669913138</v>
      </c>
    </row>
    <row r="31" spans="2:99" x14ac:dyDescent="0.2">
      <c r="C31" s="104" t="s">
        <v>197</v>
      </c>
      <c r="D31" s="105">
        <v>7.5958655450494268</v>
      </c>
      <c r="E31" s="105">
        <v>1349.0257208007781</v>
      </c>
      <c r="F31" s="105">
        <v>8.2537625625210467</v>
      </c>
      <c r="G31" s="105">
        <v>1465.8682311037378</v>
      </c>
      <c r="H31" s="105">
        <v>11.234991669323215</v>
      </c>
      <c r="I31" s="105">
        <v>1995.3345204718028</v>
      </c>
      <c r="J31" s="105">
        <v>11.586564045537665</v>
      </c>
      <c r="K31" s="105">
        <v>2057.7737744874894</v>
      </c>
      <c r="L31" s="105">
        <v>11.403576638743214</v>
      </c>
      <c r="M31" s="105">
        <v>2025.2752110407948</v>
      </c>
      <c r="N31" s="105">
        <v>8.2010052546677148</v>
      </c>
      <c r="O31" s="105">
        <v>1456.4985332289862</v>
      </c>
      <c r="P31" s="105">
        <v>11.192513572432079</v>
      </c>
      <c r="Q31" s="105">
        <v>1987.7904104639372</v>
      </c>
      <c r="R31" s="105">
        <v>12.471044662169932</v>
      </c>
      <c r="S31" s="105">
        <v>2214.8575320013797</v>
      </c>
      <c r="T31" s="105">
        <v>9.519211397891171</v>
      </c>
      <c r="U31" s="105">
        <v>1690.6119442654719</v>
      </c>
      <c r="V31" s="105">
        <v>8.2401299808464188</v>
      </c>
      <c r="W31" s="105">
        <v>1463.447084598324</v>
      </c>
      <c r="X31" s="105">
        <v>8.309130878685032</v>
      </c>
      <c r="Y31" s="105">
        <v>1475.7016440544617</v>
      </c>
      <c r="Z31" s="105">
        <v>5.6474404800824809</v>
      </c>
      <c r="AA31" s="105">
        <v>1002.9854292626486</v>
      </c>
      <c r="AB31" s="105">
        <v>0</v>
      </c>
      <c r="AC31" s="105">
        <v>0</v>
      </c>
      <c r="AD31" s="105">
        <v>9.3807938180402228</v>
      </c>
      <c r="AE31" s="105">
        <v>1666.0289820839434</v>
      </c>
      <c r="AF31" s="105">
        <v>11.417229659308736</v>
      </c>
      <c r="AG31" s="105">
        <v>2027.6999874932314</v>
      </c>
      <c r="AH31" s="105">
        <v>0</v>
      </c>
      <c r="AI31" s="105">
        <v>0</v>
      </c>
      <c r="AJ31" s="105">
        <v>10.468813366066076</v>
      </c>
      <c r="AK31" s="105">
        <v>1859.2612538133351</v>
      </c>
      <c r="AL31" s="105">
        <v>3.2570133770673864</v>
      </c>
      <c r="AM31" s="105">
        <v>578.44557576716784</v>
      </c>
      <c r="AN31" s="105">
        <v>2.6611547133566309</v>
      </c>
      <c r="AO31" s="105">
        <v>472.62107709213763</v>
      </c>
      <c r="AP31" s="105">
        <v>7.2416007920385832</v>
      </c>
      <c r="AQ31" s="105">
        <v>1286.1083006660524</v>
      </c>
      <c r="AR31" s="105">
        <v>0</v>
      </c>
      <c r="AS31" s="105">
        <v>0</v>
      </c>
      <c r="AT31" s="105">
        <v>8.9750475337464497</v>
      </c>
      <c r="AU31" s="105">
        <v>1593.9684419933694</v>
      </c>
      <c r="AV31" s="105">
        <v>9.7293071979908774</v>
      </c>
      <c r="AW31" s="105">
        <v>1727.9249583631797</v>
      </c>
      <c r="AX31" s="105">
        <v>3.217871560209042</v>
      </c>
      <c r="AY31" s="105">
        <v>571.49398909312583</v>
      </c>
      <c r="AZ31" s="105">
        <v>3.4247527996558733</v>
      </c>
      <c r="BA31" s="105">
        <v>608.23609721888306</v>
      </c>
      <c r="BB31" s="105">
        <v>9.943871717124372</v>
      </c>
      <c r="BC31" s="105">
        <v>1766.0316169612884</v>
      </c>
      <c r="BD31" s="105">
        <v>9.4684478280833453</v>
      </c>
      <c r="BE31" s="105">
        <v>1681.5963342676021</v>
      </c>
      <c r="BF31" s="105">
        <v>7.4735136484726556</v>
      </c>
      <c r="BG31" s="105">
        <v>1327.2960239687436</v>
      </c>
      <c r="BH31" s="105">
        <v>11.62637235361527</v>
      </c>
      <c r="BI31" s="105">
        <v>2064.8437300020719</v>
      </c>
      <c r="BJ31" s="105">
        <v>8.7620278992966227</v>
      </c>
      <c r="BK31" s="105">
        <v>1556.1361549150802</v>
      </c>
      <c r="BL31" s="105">
        <v>13.514444786237075</v>
      </c>
      <c r="BM31" s="105">
        <v>2400.1653940357046</v>
      </c>
      <c r="BN31" s="105">
        <v>6.6664274982319727</v>
      </c>
      <c r="BO31" s="105">
        <v>1183.9575236859982</v>
      </c>
      <c r="BP31" s="105">
        <v>2.2132665411611727</v>
      </c>
      <c r="BQ31" s="105">
        <v>393.07613771022426</v>
      </c>
      <c r="BR31" s="105">
        <v>0</v>
      </c>
      <c r="BS31" s="105">
        <v>0</v>
      </c>
      <c r="BT31" s="105">
        <v>0</v>
      </c>
      <c r="BU31" s="105">
        <v>0</v>
      </c>
      <c r="BV31" s="105">
        <v>11.111037991938614</v>
      </c>
      <c r="BW31" s="105">
        <v>1973.3203473682979</v>
      </c>
      <c r="BX31" s="105">
        <v>9.7167279315638364</v>
      </c>
      <c r="BY31" s="105">
        <v>1725.6908806457373</v>
      </c>
      <c r="BZ31" s="105">
        <v>2.9854263189836643</v>
      </c>
      <c r="CA31" s="105">
        <v>530.21171425149873</v>
      </c>
      <c r="CB31" s="105">
        <v>3.0279134565884878</v>
      </c>
      <c r="CC31" s="105">
        <v>537.75742989011542</v>
      </c>
      <c r="CD31" s="105">
        <v>2.0327952515202292</v>
      </c>
      <c r="CE31" s="105">
        <v>361.02443666999272</v>
      </c>
      <c r="CF31" s="105">
        <v>6.597858532799239</v>
      </c>
      <c r="CG31" s="105">
        <v>1171.7796754251449</v>
      </c>
      <c r="CH31" s="105">
        <v>7.7180170850365464</v>
      </c>
      <c r="CI31" s="105">
        <v>1370.7198343024907</v>
      </c>
      <c r="CJ31" s="105">
        <v>9.6782927249744652</v>
      </c>
      <c r="CK31" s="105">
        <v>1718.8647879554649</v>
      </c>
      <c r="CL31" s="105">
        <v>6.0206153061354719</v>
      </c>
      <c r="CM31" s="105">
        <v>1069.2612783696597</v>
      </c>
      <c r="CN31" s="105">
        <v>8.7859215002082838</v>
      </c>
      <c r="CO31" s="105">
        <v>1560.3796584369911</v>
      </c>
      <c r="CP31" s="105">
        <v>8.9006841436201274</v>
      </c>
      <c r="CQ31" s="105">
        <v>1580.7615039069346</v>
      </c>
      <c r="CR31" s="105">
        <v>10.864343610968636</v>
      </c>
      <c r="CS31" s="105">
        <v>1929.5074253080297</v>
      </c>
      <c r="CT31" s="105">
        <v>10.271974781523314</v>
      </c>
      <c r="CU31" s="105">
        <v>1824.3027211985404</v>
      </c>
    </row>
    <row r="32" spans="2:99" x14ac:dyDescent="0.2">
      <c r="C32" s="104" t="s">
        <v>198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0</v>
      </c>
      <c r="K32" s="105">
        <v>0</v>
      </c>
      <c r="L32" s="105">
        <v>0</v>
      </c>
      <c r="M32" s="105">
        <v>0</v>
      </c>
      <c r="N32" s="105">
        <v>15.686488669330249</v>
      </c>
      <c r="O32" s="105">
        <v>10409.553880967553</v>
      </c>
      <c r="P32" s="105">
        <v>13.454847325489066</v>
      </c>
      <c r="Q32" s="105">
        <v>8928.636685194544</v>
      </c>
      <c r="R32" s="105">
        <v>20.874234564973033</v>
      </c>
      <c r="S32" s="105">
        <v>13852.142057316105</v>
      </c>
      <c r="T32" s="105">
        <v>13.454847325489066</v>
      </c>
      <c r="U32" s="105">
        <v>8928.636685194544</v>
      </c>
      <c r="V32" s="105">
        <v>14.220889727962165</v>
      </c>
      <c r="W32" s="105">
        <v>9436.9824234756925</v>
      </c>
      <c r="X32" s="105">
        <v>18.922512555660614</v>
      </c>
      <c r="Y32" s="105">
        <v>12556.979331936383</v>
      </c>
      <c r="Z32" s="105">
        <v>15.969359776482104</v>
      </c>
      <c r="AA32" s="105">
        <v>10597.267147673525</v>
      </c>
      <c r="AB32" s="105">
        <v>17.404908031096074</v>
      </c>
      <c r="AC32" s="105">
        <v>11549.896969435355</v>
      </c>
      <c r="AD32" s="105">
        <v>18.183777665487625</v>
      </c>
      <c r="AE32" s="105">
        <v>12066.754858817589</v>
      </c>
      <c r="AF32" s="105">
        <v>16.145816790586881</v>
      </c>
      <c r="AG32" s="105">
        <v>10714.364022233454</v>
      </c>
      <c r="AH32" s="105">
        <v>15.563457385649226</v>
      </c>
      <c r="AI32" s="105">
        <v>10327.910321116828</v>
      </c>
      <c r="AJ32" s="105">
        <v>16.165232154692923</v>
      </c>
      <c r="AK32" s="105">
        <v>10727.248057854224</v>
      </c>
      <c r="AL32" s="105">
        <v>14.335996267334931</v>
      </c>
      <c r="AM32" s="105">
        <v>9513.3671230034597</v>
      </c>
      <c r="AN32" s="105">
        <v>11.596796980540574</v>
      </c>
      <c r="AO32" s="105">
        <v>7695.6344762867257</v>
      </c>
      <c r="AP32" s="105">
        <v>12.853116653432471</v>
      </c>
      <c r="AQ32" s="105">
        <v>8529.3282112177876</v>
      </c>
      <c r="AR32" s="105">
        <v>14.206076301162206</v>
      </c>
      <c r="AS32" s="105">
        <v>9427.1522334512392</v>
      </c>
      <c r="AT32" s="105">
        <v>18.496157209469779</v>
      </c>
      <c r="AU32" s="105">
        <v>12274.049924204146</v>
      </c>
      <c r="AV32" s="105">
        <v>19.507079214724754</v>
      </c>
      <c r="AW32" s="105">
        <v>12944.897766891347</v>
      </c>
      <c r="AX32" s="105">
        <v>16.392380659450112</v>
      </c>
      <c r="AY32" s="105">
        <v>10877.983805611095</v>
      </c>
      <c r="AZ32" s="105">
        <v>18</v>
      </c>
      <c r="BA32" s="105">
        <v>11944.800000000001</v>
      </c>
      <c r="BB32" s="105">
        <v>19.753716753840685</v>
      </c>
      <c r="BC32" s="105">
        <v>13108.566437848678</v>
      </c>
      <c r="BD32" s="105">
        <v>19.213628133440007</v>
      </c>
      <c r="BE32" s="105">
        <v>12750.163629350789</v>
      </c>
      <c r="BF32" s="105">
        <v>16.941407762876668</v>
      </c>
      <c r="BG32" s="105">
        <v>11242.318191444958</v>
      </c>
      <c r="BH32" s="105">
        <v>19.161533766890013</v>
      </c>
      <c r="BI32" s="105">
        <v>12715.593807708214</v>
      </c>
      <c r="BJ32" s="105">
        <v>16.856546430731111</v>
      </c>
      <c r="BK32" s="105">
        <v>11186.004211433166</v>
      </c>
      <c r="BL32" s="105">
        <v>20.154433373077417</v>
      </c>
      <c r="BM32" s="105">
        <v>13374.481986374174</v>
      </c>
      <c r="BN32" s="105">
        <v>15.573636232860245</v>
      </c>
      <c r="BO32" s="105">
        <v>10334.66500412606</v>
      </c>
      <c r="BP32" s="105">
        <v>17.890375507170035</v>
      </c>
      <c r="BQ32" s="105">
        <v>11872.053186558036</v>
      </c>
      <c r="BR32" s="105">
        <v>0</v>
      </c>
      <c r="BS32" s="105">
        <v>0</v>
      </c>
      <c r="BT32" s="105">
        <v>32.990314769975789</v>
      </c>
      <c r="BU32" s="105">
        <v>21892.372881355936</v>
      </c>
      <c r="BV32" s="105">
        <v>17.292265320096003</v>
      </c>
      <c r="BW32" s="105">
        <v>11475.147266415708</v>
      </c>
      <c r="BX32" s="105">
        <v>13.752436889864589</v>
      </c>
      <c r="BY32" s="105">
        <v>9126.1171201141406</v>
      </c>
      <c r="BZ32" s="105">
        <v>12.950873853412942</v>
      </c>
      <c r="CA32" s="105">
        <v>8594.1998891248277</v>
      </c>
      <c r="CB32" s="105">
        <v>16.035077306426476</v>
      </c>
      <c r="CC32" s="105">
        <v>10640.877300544611</v>
      </c>
      <c r="CD32" s="105">
        <v>15.4623959740541</v>
      </c>
      <c r="CE32" s="105">
        <v>10260.845968382302</v>
      </c>
      <c r="CF32" s="105">
        <v>15.191125869246134</v>
      </c>
      <c r="CG32" s="105">
        <v>10080.831126831736</v>
      </c>
      <c r="CH32" s="105">
        <v>19.375718411931992</v>
      </c>
      <c r="CI32" s="105">
        <v>12857.72673815807</v>
      </c>
      <c r="CJ32" s="105">
        <v>19.130220135341354</v>
      </c>
      <c r="CK32" s="105">
        <v>12694.814081812523</v>
      </c>
      <c r="CL32" s="105">
        <v>16.060940334340067</v>
      </c>
      <c r="CM32" s="105">
        <v>10658.04000586807</v>
      </c>
      <c r="CN32" s="105">
        <v>16.851233935795488</v>
      </c>
      <c r="CO32" s="105">
        <v>11182.478839793886</v>
      </c>
      <c r="CP32" s="105">
        <v>20.454193099536134</v>
      </c>
      <c r="CQ32" s="105">
        <v>13573.402540852179</v>
      </c>
      <c r="CR32" s="105">
        <v>22.489195922263136</v>
      </c>
      <c r="CS32" s="105">
        <v>14923.830414013817</v>
      </c>
      <c r="CT32" s="105">
        <v>13.73774411540961</v>
      </c>
      <c r="CU32" s="105">
        <v>9116.3669949858177</v>
      </c>
    </row>
    <row r="33" spans="2:99" x14ac:dyDescent="0.2">
      <c r="C33" s="104" t="s">
        <v>199</v>
      </c>
      <c r="D33" s="105">
        <v>6.6051004739560231</v>
      </c>
      <c r="E33" s="105">
        <v>2211.3876386804768</v>
      </c>
      <c r="F33" s="105">
        <v>7.9363101562702374</v>
      </c>
      <c r="G33" s="105">
        <v>2657.0766403192756</v>
      </c>
      <c r="H33" s="105">
        <v>10.111492502390893</v>
      </c>
      <c r="I33" s="105">
        <v>3385.327689800471</v>
      </c>
      <c r="J33" s="105">
        <v>10.862403792691563</v>
      </c>
      <c r="K33" s="105">
        <v>3636.7327897931355</v>
      </c>
      <c r="L33" s="105">
        <v>12.875005882452017</v>
      </c>
      <c r="M33" s="105">
        <v>4310.5519694449358</v>
      </c>
      <c r="N33" s="105">
        <v>7.7909549919343286</v>
      </c>
      <c r="O33" s="105">
        <v>2608.4117312996132</v>
      </c>
      <c r="P33" s="105">
        <v>10.446346000936607</v>
      </c>
      <c r="Q33" s="105">
        <v>3497.4366411135761</v>
      </c>
      <c r="R33" s="105">
        <v>13.275628188761543</v>
      </c>
      <c r="S33" s="105">
        <v>4444.6803175973646</v>
      </c>
      <c r="T33" s="105">
        <v>9.8717747829982532</v>
      </c>
      <c r="U33" s="105">
        <v>3305.0701973478153</v>
      </c>
      <c r="V33" s="105">
        <v>9.1075120840934112</v>
      </c>
      <c r="W33" s="105">
        <v>3049.195045754474</v>
      </c>
      <c r="X33" s="105">
        <v>8.6414961138324333</v>
      </c>
      <c r="Y33" s="105">
        <v>2893.1728989110989</v>
      </c>
      <c r="Z33" s="105">
        <v>5.8491347829425688</v>
      </c>
      <c r="AA33" s="105">
        <v>1958.2903253291722</v>
      </c>
      <c r="AB33" s="105">
        <v>0</v>
      </c>
      <c r="AC33" s="105">
        <v>0</v>
      </c>
      <c r="AD33" s="105">
        <v>9.3807938180402228</v>
      </c>
      <c r="AE33" s="105">
        <v>3140.6897702798669</v>
      </c>
      <c r="AF33" s="105">
        <v>11.810927233767659</v>
      </c>
      <c r="AG33" s="105">
        <v>3954.2984378654123</v>
      </c>
      <c r="AH33" s="105">
        <v>0</v>
      </c>
      <c r="AI33" s="105">
        <v>0</v>
      </c>
      <c r="AJ33" s="105">
        <v>8.9178780525748067</v>
      </c>
      <c r="AK33" s="105">
        <v>2985.7055720020453</v>
      </c>
      <c r="AL33" s="105">
        <v>3.4121092521658336</v>
      </c>
      <c r="AM33" s="105">
        <v>1142.3741776251211</v>
      </c>
      <c r="AN33" s="105">
        <v>2.5401931354767839</v>
      </c>
      <c r="AO33" s="105">
        <v>850.45666175762733</v>
      </c>
      <c r="AP33" s="105">
        <v>7.2416007920385832</v>
      </c>
      <c r="AQ33" s="105">
        <v>2424.4879451745178</v>
      </c>
      <c r="AR33" s="105">
        <v>0</v>
      </c>
      <c r="AS33" s="105">
        <v>0</v>
      </c>
      <c r="AT33" s="105">
        <v>8.4621876746752225</v>
      </c>
      <c r="AU33" s="105">
        <v>2833.1404334812646</v>
      </c>
      <c r="AV33" s="105">
        <v>10.076782455061979</v>
      </c>
      <c r="AW33" s="105">
        <v>3373.7067659547506</v>
      </c>
      <c r="AX33" s="105">
        <v>3.5565948823363098</v>
      </c>
      <c r="AY33" s="105">
        <v>1190.7479666061965</v>
      </c>
      <c r="AZ33" s="105">
        <v>2.9355023997050336</v>
      </c>
      <c r="BA33" s="105">
        <v>982.8062034212453</v>
      </c>
      <c r="BB33" s="105">
        <v>9.6676530583153628</v>
      </c>
      <c r="BC33" s="105">
        <v>3236.7302439239834</v>
      </c>
      <c r="BD33" s="105">
        <v>8.5807808442005307</v>
      </c>
      <c r="BE33" s="105">
        <v>2872.8454266383378</v>
      </c>
      <c r="BF33" s="105">
        <v>6.8236428964315561</v>
      </c>
      <c r="BG33" s="105">
        <v>2284.5556417252851</v>
      </c>
      <c r="BH33" s="105">
        <v>9.8824165005729814</v>
      </c>
      <c r="BI33" s="105">
        <v>3308.6330443918341</v>
      </c>
      <c r="BJ33" s="105">
        <v>9.2231872624174986</v>
      </c>
      <c r="BK33" s="105">
        <v>3087.9230954573786</v>
      </c>
      <c r="BL33" s="105">
        <v>13.013909794154221</v>
      </c>
      <c r="BM33" s="105">
        <v>4357.0569990828335</v>
      </c>
      <c r="BN33" s="105">
        <v>5.7573692030185217</v>
      </c>
      <c r="BO33" s="105">
        <v>1927.5672091706012</v>
      </c>
      <c r="BP33" s="105">
        <v>2.1126635165629373</v>
      </c>
      <c r="BQ33" s="105">
        <v>707.31974534527137</v>
      </c>
      <c r="BR33" s="105">
        <v>0</v>
      </c>
      <c r="BS33" s="105">
        <v>0</v>
      </c>
      <c r="BT33" s="105">
        <v>0</v>
      </c>
      <c r="BU33" s="105">
        <v>0</v>
      </c>
      <c r="BV33" s="105">
        <v>11.111037991938614</v>
      </c>
      <c r="BW33" s="105">
        <v>3719.9755197010481</v>
      </c>
      <c r="BX33" s="105">
        <v>9.7167279315638364</v>
      </c>
      <c r="BY33" s="105">
        <v>3253.1605114875724</v>
      </c>
      <c r="BZ33" s="105">
        <v>3.1211275153011035</v>
      </c>
      <c r="CA33" s="105">
        <v>1044.9534921228094</v>
      </c>
      <c r="CB33" s="105">
        <v>2.7949970368509121</v>
      </c>
      <c r="CC33" s="105">
        <v>935.76500793768537</v>
      </c>
      <c r="CD33" s="105">
        <v>2.1141070615810382</v>
      </c>
      <c r="CE33" s="105">
        <v>707.8030442173316</v>
      </c>
      <c r="CF33" s="105">
        <v>7.4225908493991444</v>
      </c>
      <c r="CG33" s="105">
        <v>2485.0834163788336</v>
      </c>
      <c r="CH33" s="105">
        <v>6.9462153765328916</v>
      </c>
      <c r="CI33" s="105">
        <v>2325.5929080632122</v>
      </c>
      <c r="CJ33" s="105">
        <v>10.463019162134557</v>
      </c>
      <c r="CK33" s="105">
        <v>3503.0188154826501</v>
      </c>
      <c r="CL33" s="105">
        <v>6.2823811890109269</v>
      </c>
      <c r="CM33" s="105">
        <v>2103.3412220808582</v>
      </c>
      <c r="CN33" s="105">
        <v>8.7859215002082838</v>
      </c>
      <c r="CO33" s="105">
        <v>2941.5265182697335</v>
      </c>
      <c r="CP33" s="105">
        <v>8.5136978765062086</v>
      </c>
      <c r="CQ33" s="105">
        <v>2850.3860490542788</v>
      </c>
      <c r="CR33" s="105">
        <v>11.565269005224676</v>
      </c>
      <c r="CS33" s="105">
        <v>3872.0520629492216</v>
      </c>
      <c r="CT33" s="105">
        <v>9.2936914689972845</v>
      </c>
      <c r="CU33" s="105">
        <v>3111.5279038202912</v>
      </c>
    </row>
    <row r="34" spans="2:99" x14ac:dyDescent="0.2">
      <c r="C34" s="104" t="s">
        <v>200</v>
      </c>
      <c r="D34" s="105">
        <v>6.6051004739560231</v>
      </c>
      <c r="E34" s="105">
        <v>2512.5802202928712</v>
      </c>
      <c r="F34" s="105">
        <v>8.5712149687718568</v>
      </c>
      <c r="G34" s="105">
        <v>3260.4901741208141</v>
      </c>
      <c r="H34" s="105">
        <v>11.234991669323215</v>
      </c>
      <c r="I34" s="105">
        <v>4273.7908310105504</v>
      </c>
      <c r="J34" s="105">
        <v>10.50032366626851</v>
      </c>
      <c r="K34" s="105">
        <v>3994.3231226485414</v>
      </c>
      <c r="L34" s="105">
        <v>12.507148571524816</v>
      </c>
      <c r="M34" s="105">
        <v>4757.7193166080397</v>
      </c>
      <c r="N34" s="105">
        <v>7.7909549919343286</v>
      </c>
      <c r="O34" s="105">
        <v>2963.6792789318183</v>
      </c>
      <c r="P34" s="105">
        <v>10.819429786684342</v>
      </c>
      <c r="Q34" s="105">
        <v>4115.7110908547238</v>
      </c>
      <c r="R34" s="105">
        <v>12.068752898874129</v>
      </c>
      <c r="S34" s="105">
        <v>4590.9536027317181</v>
      </c>
      <c r="T34" s="105">
        <v>9.519211397891171</v>
      </c>
      <c r="U34" s="105">
        <v>3621.1080157578012</v>
      </c>
      <c r="V34" s="105">
        <v>8.2401299808464188</v>
      </c>
      <c r="W34" s="105">
        <v>3134.5454447139773</v>
      </c>
      <c r="X34" s="105">
        <v>9.3062265841272378</v>
      </c>
      <c r="Y34" s="105">
        <v>3540.088592602001</v>
      </c>
      <c r="Z34" s="105">
        <v>6.0508290858026577</v>
      </c>
      <c r="AA34" s="105">
        <v>2301.7353842393309</v>
      </c>
      <c r="AB34" s="105">
        <v>0</v>
      </c>
      <c r="AC34" s="105">
        <v>0</v>
      </c>
      <c r="AD34" s="105">
        <v>8.9899274089552126</v>
      </c>
      <c r="AE34" s="105">
        <v>3419.7683863665625</v>
      </c>
      <c r="AF34" s="105">
        <v>11.417229659308736</v>
      </c>
      <c r="AG34" s="105">
        <v>4343.1141624010434</v>
      </c>
      <c r="AH34" s="105">
        <v>0</v>
      </c>
      <c r="AI34" s="105">
        <v>0</v>
      </c>
      <c r="AJ34" s="105">
        <v>8.5301442242019885</v>
      </c>
      <c r="AK34" s="105">
        <v>3244.8668628864361</v>
      </c>
      <c r="AL34" s="105">
        <v>2.9468216268704928</v>
      </c>
      <c r="AM34" s="105">
        <v>1120.9709468615354</v>
      </c>
      <c r="AN34" s="105">
        <v>2.4192315575969374</v>
      </c>
      <c r="AO34" s="105">
        <v>920.27568450987496</v>
      </c>
      <c r="AP34" s="105">
        <v>6.2970441669900721</v>
      </c>
      <c r="AQ34" s="105">
        <v>2395.3956011230234</v>
      </c>
      <c r="AR34" s="105">
        <v>0</v>
      </c>
      <c r="AS34" s="105">
        <v>0</v>
      </c>
      <c r="AT34" s="105">
        <v>8.2057577451396089</v>
      </c>
      <c r="AU34" s="105">
        <v>3121.4702462511073</v>
      </c>
      <c r="AV34" s="105">
        <v>9.0343566838486709</v>
      </c>
      <c r="AW34" s="105">
        <v>3436.6692825360342</v>
      </c>
      <c r="AX34" s="105">
        <v>3.217871560209042</v>
      </c>
      <c r="AY34" s="105">
        <v>1224.0783415035196</v>
      </c>
      <c r="AZ34" s="105">
        <v>3.0985858663553136</v>
      </c>
      <c r="BA34" s="105">
        <v>1178.7020635615613</v>
      </c>
      <c r="BB34" s="105">
        <v>9.1152157406973409</v>
      </c>
      <c r="BC34" s="105">
        <v>3467.4280677612683</v>
      </c>
      <c r="BD34" s="105">
        <v>8.5807808442005307</v>
      </c>
      <c r="BE34" s="105">
        <v>3264.1290331338819</v>
      </c>
      <c r="BF34" s="105">
        <v>6.4987075204110054</v>
      </c>
      <c r="BG34" s="105">
        <v>2472.1083407643464</v>
      </c>
      <c r="BH34" s="105">
        <v>9.591757191732599</v>
      </c>
      <c r="BI34" s="105">
        <v>3648.7044357350806</v>
      </c>
      <c r="BJ34" s="105">
        <v>9.6843466255383728</v>
      </c>
      <c r="BK34" s="105">
        <v>3683.925456354797</v>
      </c>
      <c r="BL34" s="105">
        <v>14.01497977831993</v>
      </c>
      <c r="BM34" s="105">
        <v>5331.2983076729006</v>
      </c>
      <c r="BN34" s="105">
        <v>5.7573692030185217</v>
      </c>
      <c r="BO34" s="105">
        <v>2190.1032448282454</v>
      </c>
      <c r="BP34" s="105">
        <v>1.9114574673664673</v>
      </c>
      <c r="BQ34" s="105">
        <v>727.11842058620414</v>
      </c>
      <c r="BR34" s="105">
        <v>0</v>
      </c>
      <c r="BS34" s="105">
        <v>0</v>
      </c>
      <c r="BT34" s="105">
        <v>0</v>
      </c>
      <c r="BU34" s="105">
        <v>0</v>
      </c>
      <c r="BV34" s="105">
        <v>12.26045571524261</v>
      </c>
      <c r="BW34" s="105">
        <v>4663.8773540782886</v>
      </c>
      <c r="BX34" s="105">
        <v>8.221846711323245</v>
      </c>
      <c r="BY34" s="105">
        <v>3127.5904889873623</v>
      </c>
      <c r="BZ34" s="105">
        <v>3.5282311042534209</v>
      </c>
      <c r="CA34" s="105">
        <v>1342.1391120580013</v>
      </c>
      <c r="CB34" s="105">
        <v>2.6785388269821242</v>
      </c>
      <c r="CC34" s="105">
        <v>1018.916169784</v>
      </c>
      <c r="CD34" s="105">
        <v>2.1954188716418477</v>
      </c>
      <c r="CE34" s="105">
        <v>835.13733877255879</v>
      </c>
      <c r="CF34" s="105">
        <v>6.3229477605992708</v>
      </c>
      <c r="CG34" s="105">
        <v>2405.2493281319626</v>
      </c>
      <c r="CH34" s="105">
        <v>7.2034826127007765</v>
      </c>
      <c r="CI34" s="105">
        <v>2740.2047858713754</v>
      </c>
      <c r="CJ34" s="105">
        <v>10.463019162134557</v>
      </c>
      <c r="CK34" s="105">
        <v>3980.1324892759853</v>
      </c>
      <c r="CL34" s="105">
        <v>6.2823811890109269</v>
      </c>
      <c r="CM34" s="105">
        <v>2389.8178042997565</v>
      </c>
      <c r="CN34" s="105">
        <v>9.1520015627169613</v>
      </c>
      <c r="CO34" s="105">
        <v>3481.4213944575317</v>
      </c>
      <c r="CP34" s="105">
        <v>8.5136978765062086</v>
      </c>
      <c r="CQ34" s="105">
        <v>3238.6106722229615</v>
      </c>
      <c r="CR34" s="105">
        <v>11.214806308096657</v>
      </c>
      <c r="CS34" s="105">
        <v>4266.112319599968</v>
      </c>
      <c r="CT34" s="105">
        <v>9.2936914689972845</v>
      </c>
      <c r="CU34" s="105">
        <v>3535.320234806567</v>
      </c>
    </row>
    <row r="35" spans="2:99" x14ac:dyDescent="0.2">
      <c r="C35" s="104" t="s">
        <v>201</v>
      </c>
      <c r="D35" s="105">
        <v>7.2656105213516256</v>
      </c>
      <c r="E35" s="105">
        <v>2981.8065579627068</v>
      </c>
      <c r="F35" s="105">
        <v>7.9363101562702374</v>
      </c>
      <c r="G35" s="105">
        <v>3257.0616881333053</v>
      </c>
      <c r="H35" s="105">
        <v>10.485992224701668</v>
      </c>
      <c r="I35" s="105">
        <v>4303.4512090175649</v>
      </c>
      <c r="J35" s="105">
        <v>11.224483919114613</v>
      </c>
      <c r="K35" s="105">
        <v>4606.5282004046367</v>
      </c>
      <c r="L35" s="105">
        <v>12.507148571524816</v>
      </c>
      <c r="M35" s="105">
        <v>5132.9337737537844</v>
      </c>
      <c r="N35" s="105">
        <v>8.2010052546677148</v>
      </c>
      <c r="O35" s="105">
        <v>3365.6925565156298</v>
      </c>
      <c r="P35" s="105">
        <v>10.819429786684342</v>
      </c>
      <c r="Q35" s="105">
        <v>4440.2939844552538</v>
      </c>
      <c r="R35" s="105">
        <v>11.26416937228252</v>
      </c>
      <c r="S35" s="105">
        <v>4622.8151103847458</v>
      </c>
      <c r="T35" s="105">
        <v>9.8717747829982532</v>
      </c>
      <c r="U35" s="105">
        <v>4051.3763709424829</v>
      </c>
      <c r="V35" s="105">
        <v>7.3727478775994282</v>
      </c>
      <c r="W35" s="105">
        <v>3025.7757289668052</v>
      </c>
      <c r="X35" s="105">
        <v>7.9767656435376315</v>
      </c>
      <c r="Y35" s="105">
        <v>3273.6646201078438</v>
      </c>
      <c r="Z35" s="105">
        <v>6.0508290858026577</v>
      </c>
      <c r="AA35" s="105">
        <v>2483.2602568134107</v>
      </c>
      <c r="AB35" s="105">
        <v>0</v>
      </c>
      <c r="AC35" s="105">
        <v>0</v>
      </c>
      <c r="AD35" s="105">
        <v>8.5990609998702041</v>
      </c>
      <c r="AE35" s="105">
        <v>3529.0546343467317</v>
      </c>
      <c r="AF35" s="105">
        <v>11.417229659308736</v>
      </c>
      <c r="AG35" s="105">
        <v>4685.6310521803052</v>
      </c>
      <c r="AH35" s="105">
        <v>0</v>
      </c>
      <c r="AI35" s="105">
        <v>0</v>
      </c>
      <c r="AJ35" s="105">
        <v>9.3056118809476231</v>
      </c>
      <c r="AK35" s="105">
        <v>3819.0231159409045</v>
      </c>
      <c r="AL35" s="105">
        <v>3.1019175019689396</v>
      </c>
      <c r="AM35" s="105">
        <v>1273.0269428080528</v>
      </c>
      <c r="AN35" s="105">
        <v>2.6611547133566309</v>
      </c>
      <c r="AO35" s="105">
        <v>1092.1378943615612</v>
      </c>
      <c r="AP35" s="105">
        <v>5.982191958640569</v>
      </c>
      <c r="AQ35" s="105">
        <v>2455.0915798260894</v>
      </c>
      <c r="AR35" s="105">
        <v>0</v>
      </c>
      <c r="AS35" s="105">
        <v>0</v>
      </c>
      <c r="AT35" s="105">
        <v>8.7186176042108361</v>
      </c>
      <c r="AU35" s="105">
        <v>3578.120664768127</v>
      </c>
      <c r="AV35" s="105">
        <v>10.076782455061979</v>
      </c>
      <c r="AW35" s="105">
        <v>4135.5115195574363</v>
      </c>
      <c r="AX35" s="105">
        <v>3.3872332212726755</v>
      </c>
      <c r="AY35" s="105">
        <v>1390.1205140103059</v>
      </c>
      <c r="AZ35" s="105">
        <v>3.2616693330055933</v>
      </c>
      <c r="BA35" s="105">
        <v>1338.5890942654953</v>
      </c>
      <c r="BB35" s="105">
        <v>9.6676530583153628</v>
      </c>
      <c r="BC35" s="105">
        <v>3967.6048151326245</v>
      </c>
      <c r="BD35" s="105">
        <v>9.1725588334557404</v>
      </c>
      <c r="BE35" s="105">
        <v>3764.4181452502357</v>
      </c>
      <c r="BF35" s="105">
        <v>6.4987075204110054</v>
      </c>
      <c r="BG35" s="105">
        <v>2667.0695663766764</v>
      </c>
      <c r="BH35" s="105">
        <v>11.33571304477489</v>
      </c>
      <c r="BI35" s="105">
        <v>4652.1766335756147</v>
      </c>
      <c r="BJ35" s="105">
        <v>8.7620278992966227</v>
      </c>
      <c r="BK35" s="105">
        <v>3595.936249871334</v>
      </c>
      <c r="BL35" s="105">
        <v>13.514444786237075</v>
      </c>
      <c r="BM35" s="105">
        <v>5546.3281402716948</v>
      </c>
      <c r="BN35" s="105">
        <v>6.3634080664941557</v>
      </c>
      <c r="BO35" s="105">
        <v>2611.5426704892016</v>
      </c>
      <c r="BP35" s="105">
        <v>1.9114574673664673</v>
      </c>
      <c r="BQ35" s="105">
        <v>784.46214460719807</v>
      </c>
      <c r="BR35" s="105">
        <v>0</v>
      </c>
      <c r="BS35" s="105">
        <v>0</v>
      </c>
      <c r="BT35" s="105">
        <v>0</v>
      </c>
      <c r="BU35" s="105">
        <v>0</v>
      </c>
      <c r="BV35" s="105">
        <v>11.87731647414128</v>
      </c>
      <c r="BW35" s="105">
        <v>4874.4506809875811</v>
      </c>
      <c r="BX35" s="105">
        <v>9.7167279315638364</v>
      </c>
      <c r="BY35" s="105">
        <v>3987.7451431137983</v>
      </c>
      <c r="BZ35" s="105">
        <v>2.9854263189836643</v>
      </c>
      <c r="CA35" s="105">
        <v>1225.2189613108958</v>
      </c>
      <c r="CB35" s="105">
        <v>2.6785388269821242</v>
      </c>
      <c r="CC35" s="105">
        <v>1099.2723345934637</v>
      </c>
      <c r="CD35" s="105">
        <v>1.8701716313986105</v>
      </c>
      <c r="CE35" s="105">
        <v>767.51843752598973</v>
      </c>
      <c r="CF35" s="105">
        <v>6.597858532799239</v>
      </c>
      <c r="CG35" s="105">
        <v>2707.7611418608076</v>
      </c>
      <c r="CH35" s="105">
        <v>7.2034826127007765</v>
      </c>
      <c r="CI35" s="105">
        <v>2956.3092642523984</v>
      </c>
      <c r="CJ35" s="105">
        <v>8.6319908087610102</v>
      </c>
      <c r="CK35" s="105">
        <v>3542.5690279155183</v>
      </c>
      <c r="CL35" s="105">
        <v>5.7588494232600169</v>
      </c>
      <c r="CM35" s="105">
        <v>2363.4318033059108</v>
      </c>
      <c r="CN35" s="105">
        <v>9.1520015627169613</v>
      </c>
      <c r="CO35" s="105">
        <v>3755.9814413390409</v>
      </c>
      <c r="CP35" s="105">
        <v>8.5136978765062086</v>
      </c>
      <c r="CQ35" s="105">
        <v>3494.0216085181478</v>
      </c>
      <c r="CR35" s="105">
        <v>11.565269005224676</v>
      </c>
      <c r="CS35" s="105">
        <v>4746.3863997442068</v>
      </c>
      <c r="CT35" s="105">
        <v>10.271974781523314</v>
      </c>
      <c r="CU35" s="105">
        <v>4215.6184503371678</v>
      </c>
    </row>
    <row r="36" spans="2:99" x14ac:dyDescent="0.2">
      <c r="C36" s="104" t="s">
        <v>202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16.470813102796761</v>
      </c>
      <c r="O36" s="105">
        <v>7550.2207263220353</v>
      </c>
      <c r="P36" s="105">
        <v>13.454847325489066</v>
      </c>
      <c r="Q36" s="105">
        <v>6167.7020140041877</v>
      </c>
      <c r="R36" s="105">
        <v>20.178426746140602</v>
      </c>
      <c r="S36" s="105">
        <v>9249.7908204308515</v>
      </c>
      <c r="T36" s="105">
        <v>14.531235111528192</v>
      </c>
      <c r="U36" s="105">
        <v>6661.1181751245231</v>
      </c>
      <c r="V36" s="105">
        <v>12.798800755165949</v>
      </c>
      <c r="W36" s="105">
        <v>5866.9702661680712</v>
      </c>
      <c r="X36" s="105">
        <v>19.679413057887039</v>
      </c>
      <c r="Y36" s="105">
        <v>9021.0429457354185</v>
      </c>
      <c r="Z36" s="105">
        <v>17.152275315480782</v>
      </c>
      <c r="AA36" s="105">
        <v>7862.6030046163905</v>
      </c>
      <c r="AB36" s="105">
        <v>17.948811407067826</v>
      </c>
      <c r="AC36" s="105">
        <v>8227.735148999891</v>
      </c>
      <c r="AD36" s="105">
        <v>19.049671840034652</v>
      </c>
      <c r="AE36" s="105">
        <v>8732.3695714718833</v>
      </c>
      <c r="AF36" s="105">
        <v>17.939796433985421</v>
      </c>
      <c r="AG36" s="105">
        <v>8223.6026853389176</v>
      </c>
      <c r="AH36" s="105">
        <v>16.270887266815102</v>
      </c>
      <c r="AI36" s="105">
        <v>7458.5747231080422</v>
      </c>
      <c r="AJ36" s="105">
        <v>15.4623959740541</v>
      </c>
      <c r="AK36" s="105">
        <v>7087.9623145063997</v>
      </c>
      <c r="AL36" s="105">
        <v>15.769595894068422</v>
      </c>
      <c r="AM36" s="105">
        <v>7228.7827578409642</v>
      </c>
      <c r="AN36" s="105">
        <v>12.176636829567604</v>
      </c>
      <c r="AO36" s="105">
        <v>5581.7703226737895</v>
      </c>
      <c r="AP36" s="105">
        <v>15.559035948891937</v>
      </c>
      <c r="AQ36" s="105">
        <v>7132.262078972064</v>
      </c>
      <c r="AR36" s="105">
        <v>16.235515772756806</v>
      </c>
      <c r="AS36" s="105">
        <v>7442.360430231719</v>
      </c>
      <c r="AT36" s="105">
        <v>20.345772930416757</v>
      </c>
      <c r="AU36" s="105">
        <v>9326.5023113030402</v>
      </c>
      <c r="AV36" s="105">
        <v>19.507079214724754</v>
      </c>
      <c r="AW36" s="105">
        <v>8942.0451120298276</v>
      </c>
      <c r="AX36" s="105">
        <v>17.255137536263277</v>
      </c>
      <c r="AY36" s="105">
        <v>7909.7550466230859</v>
      </c>
      <c r="AZ36" s="105">
        <v>18</v>
      </c>
      <c r="BA36" s="105">
        <v>8251.1999999999989</v>
      </c>
      <c r="BB36" s="105">
        <v>20.352314231229794</v>
      </c>
      <c r="BC36" s="105">
        <v>9329.500843595737</v>
      </c>
      <c r="BD36" s="105">
        <v>21.775445217898675</v>
      </c>
      <c r="BE36" s="105">
        <v>9981.8640878847527</v>
      </c>
      <c r="BF36" s="105">
        <v>20.706165043515927</v>
      </c>
      <c r="BG36" s="105">
        <v>9491.7060559477013</v>
      </c>
      <c r="BH36" s="105">
        <v>17.090016602901901</v>
      </c>
      <c r="BI36" s="105">
        <v>7834.0636107702312</v>
      </c>
      <c r="BJ36" s="105">
        <v>19.518106393478128</v>
      </c>
      <c r="BK36" s="105">
        <v>8947.0999707703741</v>
      </c>
      <c r="BL36" s="105">
        <v>21.647354363675746</v>
      </c>
      <c r="BM36" s="105">
        <v>9923.147240308961</v>
      </c>
      <c r="BN36" s="105">
        <v>17.130999856146271</v>
      </c>
      <c r="BO36" s="105">
        <v>7852.8503340574507</v>
      </c>
      <c r="BP36" s="105">
        <v>16.995856731811536</v>
      </c>
      <c r="BQ36" s="105">
        <v>7790.9007258624079</v>
      </c>
      <c r="BR36" s="105">
        <v>0</v>
      </c>
      <c r="BS36" s="105">
        <v>0</v>
      </c>
      <c r="BT36" s="105">
        <v>29.606692742285968</v>
      </c>
      <c r="BU36" s="105">
        <v>13571.707953063888</v>
      </c>
      <c r="BV36" s="105">
        <v>15.563038788086406</v>
      </c>
      <c r="BW36" s="105">
        <v>7134.0969804588076</v>
      </c>
      <c r="BX36" s="105">
        <v>12.606400482375873</v>
      </c>
      <c r="BY36" s="105">
        <v>5778.7739811211004</v>
      </c>
      <c r="BZ36" s="105">
        <v>13.513955325300461</v>
      </c>
      <c r="CA36" s="105">
        <v>6194.797121117731</v>
      </c>
      <c r="CB36" s="105">
        <v>15.366949085325372</v>
      </c>
      <c r="CC36" s="105">
        <v>7044.2094607131503</v>
      </c>
      <c r="CD36" s="105">
        <v>15.4623959740541</v>
      </c>
      <c r="CE36" s="105">
        <v>7087.9623145063997</v>
      </c>
      <c r="CF36" s="105">
        <v>16.457053025016645</v>
      </c>
      <c r="CG36" s="105">
        <v>7543.91310666763</v>
      </c>
      <c r="CH36" s="105">
        <v>20.043846633033095</v>
      </c>
      <c r="CI36" s="105">
        <v>9188.0992965823698</v>
      </c>
      <c r="CJ36" s="105">
        <v>19.130220135341354</v>
      </c>
      <c r="CK36" s="105">
        <v>8769.2929100404763</v>
      </c>
      <c r="CL36" s="105">
        <v>16.060940334340067</v>
      </c>
      <c r="CM36" s="105">
        <v>7362.3350492614863</v>
      </c>
      <c r="CN36" s="105">
        <v>15.554985171503526</v>
      </c>
      <c r="CO36" s="105">
        <v>7130.4052026172158</v>
      </c>
      <c r="CP36" s="105">
        <v>21.306451145350142</v>
      </c>
      <c r="CQ36" s="105">
        <v>9766.8772050285042</v>
      </c>
      <c r="CR36" s="105">
        <v>21.827748983373041</v>
      </c>
      <c r="CS36" s="105">
        <v>10005.840133978201</v>
      </c>
      <c r="CT36" s="105">
        <v>16.027368134644544</v>
      </c>
      <c r="CU36" s="105">
        <v>7346.9455529210582</v>
      </c>
    </row>
    <row r="37" spans="2:99" x14ac:dyDescent="0.2">
      <c r="B37" s="104" t="s">
        <v>128</v>
      </c>
      <c r="C37" s="104" t="s">
        <v>203</v>
      </c>
      <c r="D37" s="105">
        <v>5.9445904265604206</v>
      </c>
      <c r="E37" s="105">
        <v>3873.4951219467703</v>
      </c>
      <c r="F37" s="105">
        <v>4.7617860937621428</v>
      </c>
      <c r="G37" s="105">
        <v>3102.7798186954124</v>
      </c>
      <c r="H37" s="105">
        <v>4.1194969454185122</v>
      </c>
      <c r="I37" s="105">
        <v>2684.2642096347026</v>
      </c>
      <c r="J37" s="105">
        <v>4.7070416434996769</v>
      </c>
      <c r="K37" s="105">
        <v>3067.1083349043897</v>
      </c>
      <c r="L37" s="105">
        <v>4.7821450420536058</v>
      </c>
      <c r="M37" s="105">
        <v>3116.0457094021294</v>
      </c>
      <c r="N37" s="105">
        <v>6.9708544664675571</v>
      </c>
      <c r="O37" s="105">
        <v>4542.2087703502602</v>
      </c>
      <c r="P37" s="105">
        <v>7.0885919292069826</v>
      </c>
      <c r="Q37" s="105">
        <v>4618.9265010712697</v>
      </c>
      <c r="R37" s="105">
        <v>5.2297929228454549</v>
      </c>
      <c r="S37" s="105">
        <v>3407.7330685260986</v>
      </c>
      <c r="T37" s="105">
        <v>5.6410141617132865</v>
      </c>
      <c r="U37" s="105">
        <v>3675.6848277723775</v>
      </c>
      <c r="V37" s="105">
        <v>6.5053657743524358</v>
      </c>
      <c r="W37" s="105">
        <v>4238.8963385680472</v>
      </c>
      <c r="X37" s="105">
        <v>6.6473047029480261</v>
      </c>
      <c r="Y37" s="105">
        <v>4331.3837444409337</v>
      </c>
      <c r="Z37" s="105">
        <v>2.8237202400412404</v>
      </c>
      <c r="AA37" s="105">
        <v>1839.9361084108723</v>
      </c>
      <c r="AB37" s="105">
        <v>0</v>
      </c>
      <c r="AC37" s="105">
        <v>0</v>
      </c>
      <c r="AD37" s="105">
        <v>7.426461772615176</v>
      </c>
      <c r="AE37" s="105">
        <v>4839.0824910360489</v>
      </c>
      <c r="AF37" s="105">
        <v>7.8739514891784399</v>
      </c>
      <c r="AG37" s="105">
        <v>5130.6667903486714</v>
      </c>
      <c r="AH37" s="105">
        <v>0</v>
      </c>
      <c r="AI37" s="105">
        <v>0</v>
      </c>
      <c r="AJ37" s="105">
        <v>6.9792089107107182</v>
      </c>
      <c r="AK37" s="105">
        <v>4547.6525262191044</v>
      </c>
      <c r="AL37" s="105">
        <v>2.1713422513782574</v>
      </c>
      <c r="AM37" s="105">
        <v>1414.8466109980725</v>
      </c>
      <c r="AN37" s="105">
        <v>2.1773084018372435</v>
      </c>
      <c r="AO37" s="105">
        <v>1418.7341546371479</v>
      </c>
      <c r="AP37" s="105">
        <v>5.667339750291065</v>
      </c>
      <c r="AQ37" s="105">
        <v>3692.8385812896581</v>
      </c>
      <c r="AR37" s="105">
        <v>0</v>
      </c>
      <c r="AS37" s="105">
        <v>0</v>
      </c>
      <c r="AT37" s="105">
        <v>2.8207292248917408</v>
      </c>
      <c r="AU37" s="105">
        <v>1837.9871629394584</v>
      </c>
      <c r="AV37" s="105">
        <v>3.8222278277821302</v>
      </c>
      <c r="AW37" s="105">
        <v>2490.5636525828363</v>
      </c>
      <c r="AX37" s="105">
        <v>2.0323399327636054</v>
      </c>
      <c r="AY37" s="105">
        <v>1324.2727001887654</v>
      </c>
      <c r="AZ37" s="105">
        <v>1.7939181331530765</v>
      </c>
      <c r="BA37" s="105">
        <v>1168.9170555625446</v>
      </c>
      <c r="BB37" s="105">
        <v>5.8005918349892172</v>
      </c>
      <c r="BC37" s="105">
        <v>3779.665639678974</v>
      </c>
      <c r="BD37" s="105">
        <v>5.6218908979244864</v>
      </c>
      <c r="BE37" s="105">
        <v>3663.2241090875955</v>
      </c>
      <c r="BF37" s="105">
        <v>5.8488367683699041</v>
      </c>
      <c r="BG37" s="105">
        <v>3811.1020382698298</v>
      </c>
      <c r="BH37" s="105">
        <v>6.1038454856480175</v>
      </c>
      <c r="BI37" s="105">
        <v>3977.2657184482482</v>
      </c>
      <c r="BJ37" s="105">
        <v>6.4562310836922485</v>
      </c>
      <c r="BK37" s="105">
        <v>4206.8801741338693</v>
      </c>
      <c r="BL37" s="105">
        <v>6.5069548970771107</v>
      </c>
      <c r="BM37" s="105">
        <v>4239.9318109354454</v>
      </c>
      <c r="BN37" s="105">
        <v>5.4543497712807048</v>
      </c>
      <c r="BO37" s="105">
        <v>3554.0543109665073</v>
      </c>
      <c r="BP37" s="105">
        <v>1.1066332705805864</v>
      </c>
      <c r="BQ37" s="105">
        <v>721.08223911031007</v>
      </c>
      <c r="BR37" s="105">
        <v>0</v>
      </c>
      <c r="BS37" s="105">
        <v>0</v>
      </c>
      <c r="BT37" s="105">
        <v>0</v>
      </c>
      <c r="BU37" s="105">
        <v>0</v>
      </c>
      <c r="BV37" s="105">
        <v>8.0459240631279627</v>
      </c>
      <c r="BW37" s="105">
        <v>5242.7241195341803</v>
      </c>
      <c r="BX37" s="105">
        <v>4.4846436607217699</v>
      </c>
      <c r="BY37" s="105">
        <v>2922.1938093263052</v>
      </c>
      <c r="BZ37" s="105">
        <v>2.3069203373964675</v>
      </c>
      <c r="CA37" s="105">
        <v>1503.1892918475382</v>
      </c>
      <c r="CB37" s="105">
        <v>1.281040308556668</v>
      </c>
      <c r="CC37" s="105">
        <v>834.72586505552488</v>
      </c>
      <c r="CD37" s="105">
        <v>1.3823007710337558</v>
      </c>
      <c r="CE37" s="105">
        <v>900.70718240559529</v>
      </c>
      <c r="CF37" s="105">
        <v>3.2989292663996195</v>
      </c>
      <c r="CG37" s="105">
        <v>2149.5823099859922</v>
      </c>
      <c r="CH37" s="105">
        <v>3.6017413063503882</v>
      </c>
      <c r="CI37" s="105">
        <v>2346.8946352179132</v>
      </c>
      <c r="CJ37" s="105">
        <v>4.7083586229605512</v>
      </c>
      <c r="CK37" s="105">
        <v>3067.9664787210954</v>
      </c>
      <c r="CL37" s="105">
        <v>4.7117858917581952</v>
      </c>
      <c r="CM37" s="105">
        <v>3070.1996870696403</v>
      </c>
      <c r="CN37" s="105">
        <v>4.7590408126128203</v>
      </c>
      <c r="CO37" s="105">
        <v>3100.9909934985139</v>
      </c>
      <c r="CP37" s="105">
        <v>6.5787665409366154</v>
      </c>
      <c r="CQ37" s="105">
        <v>4286.724278074299</v>
      </c>
      <c r="CR37" s="105">
        <v>6.6587912454323899</v>
      </c>
      <c r="CS37" s="105">
        <v>4338.8683755237453</v>
      </c>
      <c r="CT37" s="105">
        <v>7.8262665002082379</v>
      </c>
      <c r="CU37" s="105">
        <v>5099.5952515356876</v>
      </c>
    </row>
    <row r="38" spans="2:99" x14ac:dyDescent="0.2">
      <c r="C38" s="104" t="s">
        <v>204</v>
      </c>
      <c r="D38" s="105">
        <v>5.2840803791648181</v>
      </c>
      <c r="E38" s="105">
        <v>5453.1709512980924</v>
      </c>
      <c r="F38" s="105">
        <v>4.7617860937621428</v>
      </c>
      <c r="G38" s="105">
        <v>4914.1632487625311</v>
      </c>
      <c r="H38" s="105">
        <v>3.7449972231077382</v>
      </c>
      <c r="I38" s="105">
        <v>3864.837134247186</v>
      </c>
      <c r="J38" s="105">
        <v>4.3449615170766247</v>
      </c>
      <c r="K38" s="105">
        <v>4484.0002856230767</v>
      </c>
      <c r="L38" s="105">
        <v>4.4142877311264055</v>
      </c>
      <c r="M38" s="105">
        <v>4555.5449385224501</v>
      </c>
      <c r="N38" s="105">
        <v>7.7909549919343286</v>
      </c>
      <c r="O38" s="105">
        <v>8040.265551676227</v>
      </c>
      <c r="P38" s="105">
        <v>7.0885919292069826</v>
      </c>
      <c r="Q38" s="105">
        <v>7315.4268709416056</v>
      </c>
      <c r="R38" s="105">
        <v>4.8275011595496515</v>
      </c>
      <c r="S38" s="105">
        <v>4981.9811966552406</v>
      </c>
      <c r="T38" s="105">
        <v>5.6410141617132865</v>
      </c>
      <c r="U38" s="105">
        <v>5821.5266148881119</v>
      </c>
      <c r="V38" s="105">
        <v>6.5053657743524358</v>
      </c>
      <c r="W38" s="105">
        <v>6713.5374791317136</v>
      </c>
      <c r="X38" s="105">
        <v>7.3120351732428288</v>
      </c>
      <c r="Y38" s="105">
        <v>7546.0202987865996</v>
      </c>
      <c r="Z38" s="105">
        <v>3.0254145429013288</v>
      </c>
      <c r="AA38" s="105">
        <v>3122.2278082741714</v>
      </c>
      <c r="AB38" s="105">
        <v>0</v>
      </c>
      <c r="AC38" s="105">
        <v>0</v>
      </c>
      <c r="AD38" s="105">
        <v>7.8173281817001854</v>
      </c>
      <c r="AE38" s="105">
        <v>8067.4826835145914</v>
      </c>
      <c r="AF38" s="105">
        <v>7.4802539147195173</v>
      </c>
      <c r="AG38" s="105">
        <v>7719.6220399905415</v>
      </c>
      <c r="AH38" s="105">
        <v>0</v>
      </c>
      <c r="AI38" s="105">
        <v>0</v>
      </c>
      <c r="AJ38" s="105">
        <v>6.9792089107107182</v>
      </c>
      <c r="AK38" s="105">
        <v>7202.5435958534608</v>
      </c>
      <c r="AL38" s="105">
        <v>2.0162463762798106</v>
      </c>
      <c r="AM38" s="105">
        <v>2080.7662603207646</v>
      </c>
      <c r="AN38" s="105">
        <v>2.1773084018372435</v>
      </c>
      <c r="AO38" s="105">
        <v>2246.9822706960354</v>
      </c>
      <c r="AP38" s="105">
        <v>5.982191958640569</v>
      </c>
      <c r="AQ38" s="105">
        <v>6173.6221013170671</v>
      </c>
      <c r="AR38" s="105">
        <v>0</v>
      </c>
      <c r="AS38" s="105">
        <v>0</v>
      </c>
      <c r="AT38" s="105">
        <v>3.077159154427354</v>
      </c>
      <c r="AU38" s="105">
        <v>3175.6282473690294</v>
      </c>
      <c r="AV38" s="105">
        <v>3.8222278277821302</v>
      </c>
      <c r="AW38" s="105">
        <v>3944.5391182711583</v>
      </c>
      <c r="AX38" s="105">
        <v>1.8629782716999719</v>
      </c>
      <c r="AY38" s="105">
        <v>1922.593576394371</v>
      </c>
      <c r="AZ38" s="105">
        <v>1.9570015998033559</v>
      </c>
      <c r="BA38" s="105">
        <v>2019.6256509970633</v>
      </c>
      <c r="BB38" s="105">
        <v>4.6957171997531759</v>
      </c>
      <c r="BC38" s="105">
        <v>4845.9801501452775</v>
      </c>
      <c r="BD38" s="105">
        <v>5.3260019032968815</v>
      </c>
      <c r="BE38" s="105">
        <v>5496.4339642023815</v>
      </c>
      <c r="BF38" s="105">
        <v>4.8740306403082538</v>
      </c>
      <c r="BG38" s="105">
        <v>5029.9996207981176</v>
      </c>
      <c r="BH38" s="105">
        <v>6.1038454856480175</v>
      </c>
      <c r="BI38" s="105">
        <v>6299.1685411887538</v>
      </c>
      <c r="BJ38" s="105">
        <v>6.9173904468131235</v>
      </c>
      <c r="BK38" s="105">
        <v>7138.7469411111433</v>
      </c>
      <c r="BL38" s="105">
        <v>7.0074898891599648</v>
      </c>
      <c r="BM38" s="105">
        <v>7231.7295656130837</v>
      </c>
      <c r="BN38" s="105">
        <v>5.1513303395428878</v>
      </c>
      <c r="BO38" s="105">
        <v>5316.1729104082606</v>
      </c>
      <c r="BP38" s="105">
        <v>1.1066332705805864</v>
      </c>
      <c r="BQ38" s="105">
        <v>1142.045535239165</v>
      </c>
      <c r="BR38" s="105">
        <v>0</v>
      </c>
      <c r="BS38" s="105">
        <v>0</v>
      </c>
      <c r="BT38" s="105">
        <v>0</v>
      </c>
      <c r="BU38" s="105">
        <v>0</v>
      </c>
      <c r="BV38" s="105">
        <v>6.5133670987226369</v>
      </c>
      <c r="BW38" s="105">
        <v>6721.7948458817609</v>
      </c>
      <c r="BX38" s="105">
        <v>3.7372030506014751</v>
      </c>
      <c r="BY38" s="105">
        <v>3856.7935482207222</v>
      </c>
      <c r="BZ38" s="105">
        <v>2.4426215337139068</v>
      </c>
      <c r="CA38" s="105">
        <v>2520.7854227927519</v>
      </c>
      <c r="CB38" s="105">
        <v>1.1645820986878799</v>
      </c>
      <c r="CC38" s="105">
        <v>1201.848725845892</v>
      </c>
      <c r="CD38" s="105">
        <v>1.3823007710337558</v>
      </c>
      <c r="CE38" s="105">
        <v>1426.534395706836</v>
      </c>
      <c r="CF38" s="105">
        <v>3.0240184941996513</v>
      </c>
      <c r="CG38" s="105">
        <v>3120.7870860140401</v>
      </c>
      <c r="CH38" s="105">
        <v>3.6017413063503882</v>
      </c>
      <c r="CI38" s="105">
        <v>3716.9970281536007</v>
      </c>
      <c r="CJ38" s="105">
        <v>4.4467831439071865</v>
      </c>
      <c r="CK38" s="105">
        <v>4589.0802045122164</v>
      </c>
      <c r="CL38" s="105">
        <v>5.235317657509106</v>
      </c>
      <c r="CM38" s="105">
        <v>5402.8478225493973</v>
      </c>
      <c r="CN38" s="105">
        <v>4.3929607501041419</v>
      </c>
      <c r="CO38" s="105">
        <v>4533.5354941074747</v>
      </c>
      <c r="CP38" s="105">
        <v>7.7397253422783718</v>
      </c>
      <c r="CQ38" s="105">
        <v>7987.3965532312795</v>
      </c>
      <c r="CR38" s="105">
        <v>6.6587912454323899</v>
      </c>
      <c r="CS38" s="105">
        <v>6871.8725652862267</v>
      </c>
      <c r="CT38" s="105">
        <v>8.3154081564712534</v>
      </c>
      <c r="CU38" s="105">
        <v>8581.5012174783333</v>
      </c>
    </row>
    <row r="39" spans="2:99" x14ac:dyDescent="0.2">
      <c r="C39" s="104" t="s">
        <v>205</v>
      </c>
      <c r="D39" s="105">
        <v>5.6143354028626193</v>
      </c>
      <c r="E39" s="105">
        <v>6804.5745082694948</v>
      </c>
      <c r="F39" s="105">
        <v>4.7617860937621428</v>
      </c>
      <c r="G39" s="105">
        <v>5771.2847456397167</v>
      </c>
      <c r="H39" s="105">
        <v>3.7449972231077382</v>
      </c>
      <c r="I39" s="105">
        <v>4538.9366344065784</v>
      </c>
      <c r="J39" s="105">
        <v>3.9828813906535729</v>
      </c>
      <c r="K39" s="105">
        <v>4827.2522454721302</v>
      </c>
      <c r="L39" s="105">
        <v>4.0464304201992052</v>
      </c>
      <c r="M39" s="105">
        <v>4904.2736692814369</v>
      </c>
      <c r="N39" s="105">
        <v>7.7909549919343286</v>
      </c>
      <c r="O39" s="105">
        <v>9442.6374502244071</v>
      </c>
      <c r="P39" s="105">
        <v>7.0885919292069826</v>
      </c>
      <c r="Q39" s="105">
        <v>8591.3734181988621</v>
      </c>
      <c r="R39" s="105">
        <v>4.8275011595496515</v>
      </c>
      <c r="S39" s="105">
        <v>5850.9314053741773</v>
      </c>
      <c r="T39" s="105">
        <v>5.6410141617132865</v>
      </c>
      <c r="U39" s="105">
        <v>6836.9091639965036</v>
      </c>
      <c r="V39" s="105">
        <v>6.5053657743524358</v>
      </c>
      <c r="W39" s="105">
        <v>7884.5033185151524</v>
      </c>
      <c r="X39" s="105">
        <v>5.9825742326532234</v>
      </c>
      <c r="Y39" s="105">
        <v>7250.8799699757064</v>
      </c>
      <c r="Z39" s="105">
        <v>3.0254145429013288</v>
      </c>
      <c r="AA39" s="105">
        <v>3666.8024259964104</v>
      </c>
      <c r="AB39" s="105">
        <v>0</v>
      </c>
      <c r="AC39" s="105">
        <v>0</v>
      </c>
      <c r="AD39" s="105">
        <v>7.0355953635301667</v>
      </c>
      <c r="AE39" s="105">
        <v>8527.1415805985616</v>
      </c>
      <c r="AF39" s="105">
        <v>7.0865563402605956</v>
      </c>
      <c r="AG39" s="105">
        <v>8588.9062843958418</v>
      </c>
      <c r="AH39" s="105">
        <v>0</v>
      </c>
      <c r="AI39" s="105">
        <v>0</v>
      </c>
      <c r="AJ39" s="105">
        <v>7.7546765674563538</v>
      </c>
      <c r="AK39" s="105">
        <v>9398.6679997571009</v>
      </c>
      <c r="AL39" s="105">
        <v>2.0162463762798106</v>
      </c>
      <c r="AM39" s="105">
        <v>2443.6906080511303</v>
      </c>
      <c r="AN39" s="105">
        <v>1.8144236681977028</v>
      </c>
      <c r="AO39" s="105">
        <v>2199.0814858556159</v>
      </c>
      <c r="AP39" s="105">
        <v>5.982191958640569</v>
      </c>
      <c r="AQ39" s="105">
        <v>7250.4166538723694</v>
      </c>
      <c r="AR39" s="105">
        <v>0</v>
      </c>
      <c r="AS39" s="105">
        <v>0</v>
      </c>
      <c r="AT39" s="105">
        <v>3.077159154427354</v>
      </c>
      <c r="AU39" s="105">
        <v>3729.516895165953</v>
      </c>
      <c r="AV39" s="105">
        <v>3.4747525707110269</v>
      </c>
      <c r="AW39" s="105">
        <v>4211.4001157017647</v>
      </c>
      <c r="AX39" s="105">
        <v>1.8629782716999719</v>
      </c>
      <c r="AY39" s="105">
        <v>2257.9296653003657</v>
      </c>
      <c r="AZ39" s="105">
        <v>1.9570015998033559</v>
      </c>
      <c r="BA39" s="105">
        <v>2371.8859389616673</v>
      </c>
      <c r="BB39" s="105">
        <v>5.248154517371197</v>
      </c>
      <c r="BC39" s="105">
        <v>6360.7632750538905</v>
      </c>
      <c r="BD39" s="105">
        <v>5.9177798925520904</v>
      </c>
      <c r="BE39" s="105">
        <v>7172.3492297731336</v>
      </c>
      <c r="BF39" s="105">
        <v>4.8740306403082538</v>
      </c>
      <c r="BG39" s="105">
        <v>5907.3251360536033</v>
      </c>
      <c r="BH39" s="105">
        <v>5.5225268679672546</v>
      </c>
      <c r="BI39" s="105">
        <v>6693.3025639763127</v>
      </c>
      <c r="BJ39" s="105">
        <v>6.9173904468131235</v>
      </c>
      <c r="BK39" s="105">
        <v>8383.8772215375066</v>
      </c>
      <c r="BL39" s="105">
        <v>7.0074898891599648</v>
      </c>
      <c r="BM39" s="105">
        <v>8493.077745661878</v>
      </c>
      <c r="BN39" s="105">
        <v>5.4543497712807048</v>
      </c>
      <c r="BO39" s="105">
        <v>6610.671922792214</v>
      </c>
      <c r="BP39" s="105">
        <v>1.1066332705805864</v>
      </c>
      <c r="BQ39" s="105">
        <v>1341.2395239436707</v>
      </c>
      <c r="BR39" s="105">
        <v>0</v>
      </c>
      <c r="BS39" s="105">
        <v>0</v>
      </c>
      <c r="BT39" s="105">
        <v>0</v>
      </c>
      <c r="BU39" s="105">
        <v>0</v>
      </c>
      <c r="BV39" s="105">
        <v>7.6627848220266319</v>
      </c>
      <c r="BW39" s="105">
        <v>9287.295204296277</v>
      </c>
      <c r="BX39" s="105">
        <v>4.1109233556616225</v>
      </c>
      <c r="BY39" s="105">
        <v>4982.4391070618867</v>
      </c>
      <c r="BZ39" s="105">
        <v>2.4426215337139068</v>
      </c>
      <c r="CA39" s="105">
        <v>2960.4572988612549</v>
      </c>
      <c r="CB39" s="105">
        <v>1.1645820986878799</v>
      </c>
      <c r="CC39" s="105">
        <v>1411.4735036097104</v>
      </c>
      <c r="CD39" s="105">
        <v>1.4636125810945648</v>
      </c>
      <c r="CE39" s="105">
        <v>1773.8984482866126</v>
      </c>
      <c r="CF39" s="105">
        <v>3.0240184941996513</v>
      </c>
      <c r="CG39" s="105">
        <v>3665.1104149699772</v>
      </c>
      <c r="CH39" s="105">
        <v>3.3444740701825033</v>
      </c>
      <c r="CI39" s="105">
        <v>4053.5025730611942</v>
      </c>
      <c r="CJ39" s="105">
        <v>4.1852076648538237</v>
      </c>
      <c r="CK39" s="105">
        <v>5072.4716898028346</v>
      </c>
      <c r="CL39" s="105">
        <v>4.9735517746336511</v>
      </c>
      <c r="CM39" s="105">
        <v>6027.9447508559851</v>
      </c>
      <c r="CN39" s="105">
        <v>4.7590408126128203</v>
      </c>
      <c r="CO39" s="105">
        <v>5767.9574648867383</v>
      </c>
      <c r="CP39" s="105">
        <v>6.5787665409366154</v>
      </c>
      <c r="CQ39" s="105">
        <v>7973.4650476151783</v>
      </c>
      <c r="CR39" s="105">
        <v>5.9578658511763489</v>
      </c>
      <c r="CS39" s="105">
        <v>7220.9334116257351</v>
      </c>
      <c r="CT39" s="105">
        <v>8.3154081564712534</v>
      </c>
      <c r="CU39" s="105">
        <v>10078.274685643159</v>
      </c>
    </row>
    <row r="40" spans="2:99" x14ac:dyDescent="0.2">
      <c r="C40" s="104" t="s">
        <v>206</v>
      </c>
      <c r="D40" s="105">
        <v>6.2748454502582218</v>
      </c>
      <c r="E40" s="105">
        <v>3245.3500668735519</v>
      </c>
      <c r="F40" s="105">
        <v>5.0792385000129512</v>
      </c>
      <c r="G40" s="105">
        <v>2626.9821522066982</v>
      </c>
      <c r="H40" s="105">
        <v>4.4939966677292853</v>
      </c>
      <c r="I40" s="105">
        <v>2324.2950765495862</v>
      </c>
      <c r="J40" s="105">
        <v>3.9828813906535729</v>
      </c>
      <c r="K40" s="105">
        <v>2059.9462552460277</v>
      </c>
      <c r="L40" s="105">
        <v>5.150002352980807</v>
      </c>
      <c r="M40" s="105">
        <v>2663.5812169616729</v>
      </c>
      <c r="N40" s="105">
        <v>8.2010052546677148</v>
      </c>
      <c r="O40" s="105">
        <v>4241.5599177141412</v>
      </c>
      <c r="P40" s="105">
        <v>6.715508143459247</v>
      </c>
      <c r="Q40" s="105">
        <v>3473.2608117971222</v>
      </c>
      <c r="R40" s="105">
        <v>5.2297929228454549</v>
      </c>
      <c r="S40" s="105">
        <v>2704.8488996956689</v>
      </c>
      <c r="T40" s="105">
        <v>5.9935775468203669</v>
      </c>
      <c r="U40" s="105">
        <v>3099.8783072154934</v>
      </c>
      <c r="V40" s="105">
        <v>7.8064389292229235</v>
      </c>
      <c r="W40" s="105">
        <v>4037.4902141940956</v>
      </c>
      <c r="X40" s="105">
        <v>6.6473047029480261</v>
      </c>
      <c r="Y40" s="105">
        <v>3437.9859923647186</v>
      </c>
      <c r="Z40" s="105">
        <v>3.2271088457614177</v>
      </c>
      <c r="AA40" s="105">
        <v>1669.060695027805</v>
      </c>
      <c r="AB40" s="105">
        <v>0</v>
      </c>
      <c r="AC40" s="105">
        <v>0</v>
      </c>
      <c r="AD40" s="105">
        <v>7.0355953635301667</v>
      </c>
      <c r="AE40" s="105">
        <v>3638.8099220178019</v>
      </c>
      <c r="AF40" s="105">
        <v>7.4802539147195173</v>
      </c>
      <c r="AG40" s="105">
        <v>3868.7873246929339</v>
      </c>
      <c r="AH40" s="105">
        <v>0</v>
      </c>
      <c r="AI40" s="105">
        <v>0</v>
      </c>
      <c r="AJ40" s="105">
        <v>7.7546765674563538</v>
      </c>
      <c r="AK40" s="105">
        <v>4010.7187206884255</v>
      </c>
      <c r="AL40" s="105">
        <v>2.1713422513782574</v>
      </c>
      <c r="AM40" s="105">
        <v>1123.0182124128346</v>
      </c>
      <c r="AN40" s="105">
        <v>2.1773084018372435</v>
      </c>
      <c r="AO40" s="105">
        <v>1126.1039054302221</v>
      </c>
      <c r="AP40" s="105">
        <v>6.9267485836890792</v>
      </c>
      <c r="AQ40" s="105">
        <v>3582.5143674839915</v>
      </c>
      <c r="AR40" s="105">
        <v>0</v>
      </c>
      <c r="AS40" s="105">
        <v>0</v>
      </c>
      <c r="AT40" s="105">
        <v>3.077159154427354</v>
      </c>
      <c r="AU40" s="105">
        <v>1591.5067146698273</v>
      </c>
      <c r="AV40" s="105">
        <v>4.1697030848532322</v>
      </c>
      <c r="AW40" s="105">
        <v>2156.5704354860914</v>
      </c>
      <c r="AX40" s="105">
        <v>2.0323399327636054</v>
      </c>
      <c r="AY40" s="105">
        <v>1051.1262132253366</v>
      </c>
      <c r="AZ40" s="105">
        <v>1.7939181331530765</v>
      </c>
      <c r="BA40" s="105">
        <v>927.81445846677104</v>
      </c>
      <c r="BB40" s="105">
        <v>4.971935858562186</v>
      </c>
      <c r="BC40" s="105">
        <v>2571.4852260483622</v>
      </c>
      <c r="BD40" s="105">
        <v>5.6218908979244864</v>
      </c>
      <c r="BE40" s="105">
        <v>2907.641972406544</v>
      </c>
      <c r="BF40" s="105">
        <v>5.1989660163288045</v>
      </c>
      <c r="BG40" s="105">
        <v>2688.9052236452571</v>
      </c>
      <c r="BH40" s="105">
        <v>6.394504794488399</v>
      </c>
      <c r="BI40" s="105">
        <v>3307.2378797093997</v>
      </c>
      <c r="BJ40" s="105">
        <v>6.9173904468131235</v>
      </c>
      <c r="BK40" s="105">
        <v>3577.6743390917472</v>
      </c>
      <c r="BL40" s="105">
        <v>7.0074898891599648</v>
      </c>
      <c r="BM40" s="105">
        <v>3624.2737706735334</v>
      </c>
      <c r="BN40" s="105">
        <v>5.1513303395428878</v>
      </c>
      <c r="BO40" s="105">
        <v>2664.2680516115811</v>
      </c>
      <c r="BP40" s="105">
        <v>1.1066332705805864</v>
      </c>
      <c r="BQ40" s="105">
        <v>572.35072754427915</v>
      </c>
      <c r="BR40" s="105">
        <v>0</v>
      </c>
      <c r="BS40" s="105">
        <v>0</v>
      </c>
      <c r="BT40" s="105">
        <v>0</v>
      </c>
      <c r="BU40" s="105">
        <v>0</v>
      </c>
      <c r="BV40" s="105">
        <v>8.0459240631279627</v>
      </c>
      <c r="BW40" s="105">
        <v>4161.3519254497814</v>
      </c>
      <c r="BX40" s="105">
        <v>4.4846436607217699</v>
      </c>
      <c r="BY40" s="105">
        <v>2319.4577013252992</v>
      </c>
      <c r="BZ40" s="105">
        <v>2.5783227300313465</v>
      </c>
      <c r="CA40" s="105">
        <v>1333.5085159722123</v>
      </c>
      <c r="CB40" s="105">
        <v>1.1645820986878799</v>
      </c>
      <c r="CC40" s="105">
        <v>602.32186144137142</v>
      </c>
      <c r="CD40" s="105">
        <v>1.3009889609729466</v>
      </c>
      <c r="CE40" s="105">
        <v>672.8714906152079</v>
      </c>
      <c r="CF40" s="105">
        <v>3.0240184941996513</v>
      </c>
      <c r="CG40" s="105">
        <v>1564.0223652000595</v>
      </c>
      <c r="CH40" s="105">
        <v>4.1162757786861581</v>
      </c>
      <c r="CI40" s="105">
        <v>2128.9378327364807</v>
      </c>
      <c r="CJ40" s="105">
        <v>4.7083586229605512</v>
      </c>
      <c r="CK40" s="105">
        <v>2435.1630797951966</v>
      </c>
      <c r="CL40" s="105">
        <v>5.235317657509106</v>
      </c>
      <c r="CM40" s="105">
        <v>2707.7062924637094</v>
      </c>
      <c r="CN40" s="105">
        <v>4.3929607501041419</v>
      </c>
      <c r="CO40" s="105">
        <v>2272.0392999538617</v>
      </c>
      <c r="CP40" s="105">
        <v>7.7397253422783718</v>
      </c>
      <c r="CQ40" s="105">
        <v>4002.9859470263732</v>
      </c>
      <c r="CR40" s="105">
        <v>6.3083285483043694</v>
      </c>
      <c r="CS40" s="105">
        <v>3262.6675251830193</v>
      </c>
      <c r="CT40" s="105">
        <v>7.8262665002082379</v>
      </c>
      <c r="CU40" s="105">
        <v>4047.7450339077</v>
      </c>
    </row>
    <row r="41" spans="2:99" x14ac:dyDescent="0.2">
      <c r="C41" s="104" t="s">
        <v>207</v>
      </c>
      <c r="D41" s="105">
        <v>6.2748454502582218</v>
      </c>
      <c r="E41" s="105">
        <v>2853.7997107774395</v>
      </c>
      <c r="F41" s="105">
        <v>4.7617860937621428</v>
      </c>
      <c r="G41" s="105">
        <v>2165.6603154430227</v>
      </c>
      <c r="H41" s="105">
        <v>4.1194969454185122</v>
      </c>
      <c r="I41" s="105">
        <v>1873.5472107763394</v>
      </c>
      <c r="J41" s="105">
        <v>4.3449615170766247</v>
      </c>
      <c r="K41" s="105">
        <v>1976.088497966449</v>
      </c>
      <c r="L41" s="105">
        <v>4.4142877311264055</v>
      </c>
      <c r="M41" s="105">
        <v>2007.6180601162894</v>
      </c>
      <c r="N41" s="105">
        <v>7.3809047292009424</v>
      </c>
      <c r="O41" s="105">
        <v>3356.8354708405886</v>
      </c>
      <c r="P41" s="105">
        <v>7.461675714954719</v>
      </c>
      <c r="Q41" s="105">
        <v>3393.5701151614062</v>
      </c>
      <c r="R41" s="105">
        <v>5.2297929228454549</v>
      </c>
      <c r="S41" s="105">
        <v>2378.5098213101128</v>
      </c>
      <c r="T41" s="105">
        <v>6.3461409319274473</v>
      </c>
      <c r="U41" s="105">
        <v>2886.224895840603</v>
      </c>
      <c r="V41" s="105">
        <v>7.8064389292229235</v>
      </c>
      <c r="W41" s="105">
        <v>3550.3684250105857</v>
      </c>
      <c r="X41" s="105">
        <v>6.9796699380954275</v>
      </c>
      <c r="Y41" s="105">
        <v>3174.3538878458003</v>
      </c>
      <c r="Z41" s="105">
        <v>3.0254145429013288</v>
      </c>
      <c r="AA41" s="105">
        <v>1375.9585341115244</v>
      </c>
      <c r="AB41" s="105">
        <v>0</v>
      </c>
      <c r="AC41" s="105">
        <v>0</v>
      </c>
      <c r="AD41" s="105">
        <v>7.426461772615176</v>
      </c>
      <c r="AE41" s="105">
        <v>3377.5548141853819</v>
      </c>
      <c r="AF41" s="105">
        <v>6.6928587658016729</v>
      </c>
      <c r="AG41" s="105">
        <v>3043.9121666866008</v>
      </c>
      <c r="AH41" s="105">
        <v>0</v>
      </c>
      <c r="AI41" s="105">
        <v>0</v>
      </c>
      <c r="AJ41" s="105">
        <v>7.7546765674563538</v>
      </c>
      <c r="AK41" s="105">
        <v>3526.8269028791497</v>
      </c>
      <c r="AL41" s="105">
        <v>2.1713422513782574</v>
      </c>
      <c r="AM41" s="105">
        <v>987.52645592683155</v>
      </c>
      <c r="AN41" s="105">
        <v>1.9353852460775498</v>
      </c>
      <c r="AO41" s="105">
        <v>880.21320991606967</v>
      </c>
      <c r="AP41" s="105">
        <v>6.6118963753395761</v>
      </c>
      <c r="AQ41" s="105">
        <v>3007.0904715044394</v>
      </c>
      <c r="AR41" s="105">
        <v>0</v>
      </c>
      <c r="AS41" s="105">
        <v>0</v>
      </c>
      <c r="AT41" s="105">
        <v>2.8207292248917408</v>
      </c>
      <c r="AU41" s="105">
        <v>1282.8676514807637</v>
      </c>
      <c r="AV41" s="105">
        <v>4.1697030848532322</v>
      </c>
      <c r="AW41" s="105">
        <v>1896.38096299125</v>
      </c>
      <c r="AX41" s="105">
        <v>2.0323399327636054</v>
      </c>
      <c r="AY41" s="105">
        <v>924.30820142088771</v>
      </c>
      <c r="AZ41" s="105">
        <v>2.1200850664536355</v>
      </c>
      <c r="BA41" s="105">
        <v>964.2146882231134</v>
      </c>
      <c r="BB41" s="105">
        <v>5.248154517371197</v>
      </c>
      <c r="BC41" s="105">
        <v>2386.8606745004204</v>
      </c>
      <c r="BD41" s="105">
        <v>5.9177798925520904</v>
      </c>
      <c r="BE41" s="105">
        <v>2691.406295132691</v>
      </c>
      <c r="BF41" s="105">
        <v>5.1989660163288045</v>
      </c>
      <c r="BG41" s="105">
        <v>2364.4897442263405</v>
      </c>
      <c r="BH41" s="105">
        <v>5.5225268679672546</v>
      </c>
      <c r="BI41" s="105">
        <v>2511.6452195515076</v>
      </c>
      <c r="BJ41" s="105">
        <v>6.9173904468131235</v>
      </c>
      <c r="BK41" s="105">
        <v>3146.0291752106086</v>
      </c>
      <c r="BL41" s="105">
        <v>6.5069548970771107</v>
      </c>
      <c r="BM41" s="105">
        <v>2959.3630871906698</v>
      </c>
      <c r="BN41" s="105">
        <v>5.7573692030185217</v>
      </c>
      <c r="BO41" s="105">
        <v>2618.4515135328238</v>
      </c>
      <c r="BP41" s="105">
        <v>1.2072362951788216</v>
      </c>
      <c r="BQ41" s="105">
        <v>549.05106704732805</v>
      </c>
      <c r="BR41" s="105">
        <v>0</v>
      </c>
      <c r="BS41" s="105">
        <v>0</v>
      </c>
      <c r="BT41" s="105">
        <v>0</v>
      </c>
      <c r="BU41" s="105">
        <v>0</v>
      </c>
      <c r="BV41" s="105">
        <v>7.6627848220266319</v>
      </c>
      <c r="BW41" s="105">
        <v>3485.0345370577124</v>
      </c>
      <c r="BX41" s="105">
        <v>4.8583639657819182</v>
      </c>
      <c r="BY41" s="105">
        <v>2209.5839316376164</v>
      </c>
      <c r="BZ41" s="105">
        <v>2.7140239263487853</v>
      </c>
      <c r="CA41" s="105">
        <v>1234.3380817034276</v>
      </c>
      <c r="CB41" s="105">
        <v>1.281040308556668</v>
      </c>
      <c r="CC41" s="105">
        <v>582.61713233157263</v>
      </c>
      <c r="CD41" s="105">
        <v>1.4636125810945648</v>
      </c>
      <c r="CE41" s="105">
        <v>665.65100188180804</v>
      </c>
      <c r="CF41" s="105">
        <v>3.5738400385995881</v>
      </c>
      <c r="CG41" s="105">
        <v>1625.3824495550928</v>
      </c>
      <c r="CH41" s="105">
        <v>3.8590085425182732</v>
      </c>
      <c r="CI41" s="105">
        <v>1755.0770851373106</v>
      </c>
      <c r="CJ41" s="105">
        <v>4.4467831439071865</v>
      </c>
      <c r="CK41" s="105">
        <v>2022.3969738489884</v>
      </c>
      <c r="CL41" s="105">
        <v>5.497083540384561</v>
      </c>
      <c r="CM41" s="105">
        <v>2500.0735941668986</v>
      </c>
      <c r="CN41" s="105">
        <v>5.1251208751214978</v>
      </c>
      <c r="CO41" s="105">
        <v>2330.9049740052574</v>
      </c>
      <c r="CP41" s="105">
        <v>7.7397253422783718</v>
      </c>
      <c r="CQ41" s="105">
        <v>3520.0270856682037</v>
      </c>
      <c r="CR41" s="105">
        <v>7.0092539425604103</v>
      </c>
      <c r="CS41" s="105">
        <v>3187.8086930764748</v>
      </c>
      <c r="CT41" s="105">
        <v>7.8262665002082379</v>
      </c>
      <c r="CU41" s="105">
        <v>3559.3860042947067</v>
      </c>
    </row>
    <row r="42" spans="2:99" x14ac:dyDescent="0.2">
      <c r="C42" s="104" t="s">
        <v>208</v>
      </c>
      <c r="D42" s="105">
        <v>6.2748454502582218</v>
      </c>
      <c r="E42" s="105">
        <v>4367.2924333797228</v>
      </c>
      <c r="F42" s="105">
        <v>4.4443336875113326</v>
      </c>
      <c r="G42" s="105">
        <v>3093.2562465078877</v>
      </c>
      <c r="H42" s="105">
        <v>4.4939966677292853</v>
      </c>
      <c r="I42" s="105">
        <v>3127.8216807395825</v>
      </c>
      <c r="J42" s="105">
        <v>4.3449615170766247</v>
      </c>
      <c r="K42" s="105">
        <v>3024.0932158853307</v>
      </c>
      <c r="L42" s="105">
        <v>4.4142877311264055</v>
      </c>
      <c r="M42" s="105">
        <v>3072.3442608639784</v>
      </c>
      <c r="N42" s="105">
        <v>8.2010052546677148</v>
      </c>
      <c r="O42" s="105">
        <v>5707.8996572487295</v>
      </c>
      <c r="P42" s="105">
        <v>6.715508143459247</v>
      </c>
      <c r="Q42" s="105">
        <v>4673.9936678476361</v>
      </c>
      <c r="R42" s="105">
        <v>4.8275011595496515</v>
      </c>
      <c r="S42" s="105">
        <v>3359.9408070465574</v>
      </c>
      <c r="T42" s="105">
        <v>5.2884507766062061</v>
      </c>
      <c r="U42" s="105">
        <v>3680.7617405179194</v>
      </c>
      <c r="V42" s="105">
        <v>7.8064389292229235</v>
      </c>
      <c r="W42" s="105">
        <v>5433.2814947391544</v>
      </c>
      <c r="X42" s="105">
        <v>6.9796699380954275</v>
      </c>
      <c r="Y42" s="105">
        <v>4857.8502769144179</v>
      </c>
      <c r="Z42" s="105">
        <v>3.2271088457614177</v>
      </c>
      <c r="AA42" s="105">
        <v>2246.0677566499467</v>
      </c>
      <c r="AB42" s="105">
        <v>0</v>
      </c>
      <c r="AC42" s="105">
        <v>0</v>
      </c>
      <c r="AD42" s="105">
        <v>7.426461772615176</v>
      </c>
      <c r="AE42" s="105">
        <v>5168.8173937401625</v>
      </c>
      <c r="AF42" s="105">
        <v>7.0865563402605956</v>
      </c>
      <c r="AG42" s="105">
        <v>4932.2432128213741</v>
      </c>
      <c r="AH42" s="105">
        <v>0</v>
      </c>
      <c r="AI42" s="105">
        <v>0</v>
      </c>
      <c r="AJ42" s="105">
        <v>7.7546765674563538</v>
      </c>
      <c r="AK42" s="105">
        <v>5397.2548909496227</v>
      </c>
      <c r="AL42" s="105">
        <v>2.0162463762798106</v>
      </c>
      <c r="AM42" s="105">
        <v>1403.3074778907483</v>
      </c>
      <c r="AN42" s="105">
        <v>1.9353852460775498</v>
      </c>
      <c r="AO42" s="105">
        <v>1347.0281312699747</v>
      </c>
      <c r="AP42" s="105">
        <v>6.9267485836890792</v>
      </c>
      <c r="AQ42" s="105">
        <v>4821.017014247599</v>
      </c>
      <c r="AR42" s="105">
        <v>0</v>
      </c>
      <c r="AS42" s="105">
        <v>0</v>
      </c>
      <c r="AT42" s="105">
        <v>3.077159154427354</v>
      </c>
      <c r="AU42" s="105">
        <v>2141.7027714814385</v>
      </c>
      <c r="AV42" s="105">
        <v>3.4747525707110269</v>
      </c>
      <c r="AW42" s="105">
        <v>2418.4277892148748</v>
      </c>
      <c r="AX42" s="105">
        <v>2.0323399327636054</v>
      </c>
      <c r="AY42" s="105">
        <v>1414.5085932034694</v>
      </c>
      <c r="AZ42" s="105">
        <v>1.9570015998033559</v>
      </c>
      <c r="BA42" s="105">
        <v>1362.0731134631358</v>
      </c>
      <c r="BB42" s="105">
        <v>5.248154517371197</v>
      </c>
      <c r="BC42" s="105">
        <v>3652.715544090353</v>
      </c>
      <c r="BD42" s="105">
        <v>5.9177798925520904</v>
      </c>
      <c r="BE42" s="105">
        <v>4118.7748052162551</v>
      </c>
      <c r="BF42" s="105">
        <v>5.5239013923493543</v>
      </c>
      <c r="BG42" s="105">
        <v>3844.6353690751507</v>
      </c>
      <c r="BH42" s="105">
        <v>5.8131861768076352</v>
      </c>
      <c r="BI42" s="105">
        <v>4045.9775790581139</v>
      </c>
      <c r="BJ42" s="105">
        <v>6.4562310836922485</v>
      </c>
      <c r="BK42" s="105">
        <v>4493.536834249805</v>
      </c>
      <c r="BL42" s="105">
        <v>7.0074898891599648</v>
      </c>
      <c r="BM42" s="105">
        <v>4877.2129628553357</v>
      </c>
      <c r="BN42" s="105">
        <v>4.8483109078050708</v>
      </c>
      <c r="BO42" s="105">
        <v>3374.4243918323291</v>
      </c>
      <c r="BP42" s="105">
        <v>1.3078393197770566</v>
      </c>
      <c r="BQ42" s="105">
        <v>910.25616656483135</v>
      </c>
      <c r="BR42" s="105">
        <v>0</v>
      </c>
      <c r="BS42" s="105">
        <v>0</v>
      </c>
      <c r="BT42" s="105">
        <v>0</v>
      </c>
      <c r="BU42" s="105">
        <v>0</v>
      </c>
      <c r="BV42" s="105">
        <v>7.6627848220266319</v>
      </c>
      <c r="BW42" s="105">
        <v>5333.2982361305358</v>
      </c>
      <c r="BX42" s="105">
        <v>4.4846436607217699</v>
      </c>
      <c r="BY42" s="105">
        <v>3121.311987862352</v>
      </c>
      <c r="BZ42" s="105">
        <v>2.3069203373964675</v>
      </c>
      <c r="CA42" s="105">
        <v>1605.6165548279414</v>
      </c>
      <c r="CB42" s="105">
        <v>1.281040308556668</v>
      </c>
      <c r="CC42" s="105">
        <v>891.60405475544087</v>
      </c>
      <c r="CD42" s="105">
        <v>1.5449243911553741</v>
      </c>
      <c r="CE42" s="105">
        <v>1075.2673762441405</v>
      </c>
      <c r="CF42" s="105">
        <v>3.2989292663996195</v>
      </c>
      <c r="CG42" s="105">
        <v>2296.0547694141351</v>
      </c>
      <c r="CH42" s="105">
        <v>3.8590085425182732</v>
      </c>
      <c r="CI42" s="105">
        <v>2685.8699455927181</v>
      </c>
      <c r="CJ42" s="105">
        <v>4.9699341020139149</v>
      </c>
      <c r="CK42" s="105">
        <v>3459.0741350016847</v>
      </c>
      <c r="CL42" s="105">
        <v>4.7117858917581952</v>
      </c>
      <c r="CM42" s="105">
        <v>3279.4029806637041</v>
      </c>
      <c r="CN42" s="105">
        <v>4.3929607501041419</v>
      </c>
      <c r="CO42" s="105">
        <v>3057.500682072483</v>
      </c>
      <c r="CP42" s="105">
        <v>6.5787665409366154</v>
      </c>
      <c r="CQ42" s="105">
        <v>4578.8215124918843</v>
      </c>
      <c r="CR42" s="105">
        <v>5.9578658511763489</v>
      </c>
      <c r="CS42" s="105">
        <v>4146.6746324187388</v>
      </c>
      <c r="CT42" s="105">
        <v>7.3371248439452241</v>
      </c>
      <c r="CU42" s="105">
        <v>5106.6388913858764</v>
      </c>
    </row>
    <row r="43" spans="2:99" x14ac:dyDescent="0.2">
      <c r="C43" s="104" t="s">
        <v>209</v>
      </c>
      <c r="D43" s="105">
        <v>5.6143354028626193</v>
      </c>
      <c r="E43" s="105">
        <v>4574.5604862524624</v>
      </c>
      <c r="F43" s="105">
        <v>5.0792385000129512</v>
      </c>
      <c r="G43" s="105">
        <v>4138.5635298105526</v>
      </c>
      <c r="H43" s="105">
        <v>4.4939966677292853</v>
      </c>
      <c r="I43" s="105">
        <v>3661.7084848658214</v>
      </c>
      <c r="J43" s="105">
        <v>4.3449615170766247</v>
      </c>
      <c r="K43" s="105">
        <v>3540.2746441140334</v>
      </c>
      <c r="L43" s="105">
        <v>4.7821450420536058</v>
      </c>
      <c r="M43" s="105">
        <v>3896.4917802652776</v>
      </c>
      <c r="N43" s="105">
        <v>7.7909549919343286</v>
      </c>
      <c r="O43" s="105">
        <v>6348.0701274280909</v>
      </c>
      <c r="P43" s="105">
        <v>7.461675714954719</v>
      </c>
      <c r="Q43" s="105">
        <v>6079.7733725451044</v>
      </c>
      <c r="R43" s="105">
        <v>5.2297929228454549</v>
      </c>
      <c r="S43" s="105">
        <v>4261.2352735344766</v>
      </c>
      <c r="T43" s="105">
        <v>5.9935775468203669</v>
      </c>
      <c r="U43" s="105">
        <v>4883.5669851492348</v>
      </c>
      <c r="V43" s="105">
        <v>7.3727478775994282</v>
      </c>
      <c r="W43" s="105">
        <v>6007.3149706680133</v>
      </c>
      <c r="X43" s="105">
        <v>6.9796699380954275</v>
      </c>
      <c r="Y43" s="105">
        <v>5687.0350655601542</v>
      </c>
      <c r="Z43" s="105">
        <v>2.8237202400412404</v>
      </c>
      <c r="AA43" s="105">
        <v>2300.7672515856025</v>
      </c>
      <c r="AB43" s="105">
        <v>0</v>
      </c>
      <c r="AC43" s="105">
        <v>0</v>
      </c>
      <c r="AD43" s="105">
        <v>7.8173281817001854</v>
      </c>
      <c r="AE43" s="105">
        <v>6369.5590024493104</v>
      </c>
      <c r="AF43" s="105">
        <v>6.6928587658016729</v>
      </c>
      <c r="AG43" s="105">
        <v>5453.3413223752032</v>
      </c>
      <c r="AH43" s="105">
        <v>0</v>
      </c>
      <c r="AI43" s="105">
        <v>0</v>
      </c>
      <c r="AJ43" s="105">
        <v>7.7546765674563538</v>
      </c>
      <c r="AK43" s="105">
        <v>6318.5104671634372</v>
      </c>
      <c r="AL43" s="105">
        <v>2.1713422513782574</v>
      </c>
      <c r="AM43" s="105">
        <v>1769.2096664230041</v>
      </c>
      <c r="AN43" s="105">
        <v>2.0563468239573965</v>
      </c>
      <c r="AO43" s="105">
        <v>1675.5113921604866</v>
      </c>
      <c r="AP43" s="105">
        <v>6.9267485836890792</v>
      </c>
      <c r="AQ43" s="105">
        <v>5643.9147459898613</v>
      </c>
      <c r="AR43" s="105">
        <v>0</v>
      </c>
      <c r="AS43" s="105">
        <v>0</v>
      </c>
      <c r="AT43" s="105">
        <v>3.077159154427354</v>
      </c>
      <c r="AU43" s="105">
        <v>2507.2692790274077</v>
      </c>
      <c r="AV43" s="105">
        <v>3.4747525707110269</v>
      </c>
      <c r="AW43" s="105">
        <v>2831.2283946153448</v>
      </c>
      <c r="AX43" s="105">
        <v>2.0323399327636054</v>
      </c>
      <c r="AY43" s="105">
        <v>1655.9505772157856</v>
      </c>
      <c r="AZ43" s="105">
        <v>1.6308346665027966</v>
      </c>
      <c r="BA43" s="105">
        <v>1328.8040862664786</v>
      </c>
      <c r="BB43" s="105">
        <v>4.971935858562186</v>
      </c>
      <c r="BC43" s="105">
        <v>4051.1333375564691</v>
      </c>
      <c r="BD43" s="105">
        <v>5.6218908979244864</v>
      </c>
      <c r="BE43" s="105">
        <v>4580.7167036288711</v>
      </c>
      <c r="BF43" s="105">
        <v>4.8740306403082538</v>
      </c>
      <c r="BG43" s="105">
        <v>3971.3601657231652</v>
      </c>
      <c r="BH43" s="105">
        <v>5.5225268679672546</v>
      </c>
      <c r="BI43" s="105">
        <v>4499.7548920197187</v>
      </c>
      <c r="BJ43" s="105">
        <v>6.9173904468131235</v>
      </c>
      <c r="BK43" s="105">
        <v>5636.2897360633324</v>
      </c>
      <c r="BL43" s="105">
        <v>6.0064199049942557</v>
      </c>
      <c r="BM43" s="105">
        <v>4894.0309385893197</v>
      </c>
      <c r="BN43" s="105">
        <v>5.1513303395428878</v>
      </c>
      <c r="BO43" s="105">
        <v>4197.3039606595448</v>
      </c>
      <c r="BP43" s="105">
        <v>1.1066332705805864</v>
      </c>
      <c r="BQ43" s="105">
        <v>901.68478886906166</v>
      </c>
      <c r="BR43" s="105">
        <v>0</v>
      </c>
      <c r="BS43" s="105">
        <v>0</v>
      </c>
      <c r="BT43" s="105">
        <v>0</v>
      </c>
      <c r="BU43" s="105">
        <v>0</v>
      </c>
      <c r="BV43" s="105">
        <v>7.6627848220266319</v>
      </c>
      <c r="BW43" s="105">
        <v>6243.6370729872997</v>
      </c>
      <c r="BX43" s="105">
        <v>4.4846436607217699</v>
      </c>
      <c r="BY43" s="105">
        <v>3654.0876547560979</v>
      </c>
      <c r="BZ43" s="105">
        <v>2.3069203373964675</v>
      </c>
      <c r="CA43" s="105">
        <v>1879.6786909106415</v>
      </c>
      <c r="CB43" s="105">
        <v>1.281040308556668</v>
      </c>
      <c r="CC43" s="105">
        <v>1043.7916434119729</v>
      </c>
      <c r="CD43" s="105">
        <v>1.3009889609729466</v>
      </c>
      <c r="CE43" s="105">
        <v>1060.0458054007568</v>
      </c>
      <c r="CF43" s="105">
        <v>2.7491077219996831</v>
      </c>
      <c r="CG43" s="105">
        <v>2239.9729718853418</v>
      </c>
      <c r="CH43" s="105">
        <v>3.8590085425182732</v>
      </c>
      <c r="CI43" s="105">
        <v>3144.3201604438887</v>
      </c>
      <c r="CJ43" s="105">
        <v>4.9699341020139149</v>
      </c>
      <c r="CK43" s="105">
        <v>4049.5023063209378</v>
      </c>
      <c r="CL43" s="105">
        <v>4.9735517746336511</v>
      </c>
      <c r="CM43" s="105">
        <v>4052.4499859714988</v>
      </c>
      <c r="CN43" s="105">
        <v>4.3929607501041419</v>
      </c>
      <c r="CO43" s="105">
        <v>3579.3844191848548</v>
      </c>
      <c r="CP43" s="105">
        <v>6.5787665409366154</v>
      </c>
      <c r="CQ43" s="105">
        <v>5360.3789775551541</v>
      </c>
      <c r="CR43" s="105">
        <v>6.6587912454323899</v>
      </c>
      <c r="CS43" s="105">
        <v>5425.583106778311</v>
      </c>
      <c r="CT43" s="105">
        <v>8.804549812734269</v>
      </c>
      <c r="CU43" s="105">
        <v>7173.9471874158817</v>
      </c>
    </row>
    <row r="44" spans="2:99" x14ac:dyDescent="0.2">
      <c r="C44" s="104" t="s">
        <v>210</v>
      </c>
      <c r="D44" s="105">
        <v>5.9445904265604206</v>
      </c>
      <c r="E44" s="105">
        <v>5014.8564838463708</v>
      </c>
      <c r="F44" s="105">
        <v>4.7617860937621428</v>
      </c>
      <c r="G44" s="105">
        <v>4017.0427486977437</v>
      </c>
      <c r="H44" s="105">
        <v>4.4939966677292853</v>
      </c>
      <c r="I44" s="105">
        <v>3791.1355888964254</v>
      </c>
      <c r="J44" s="105">
        <v>3.9828813906535729</v>
      </c>
      <c r="K44" s="105">
        <v>3359.9587411553543</v>
      </c>
      <c r="L44" s="105">
        <v>4.4142877311264055</v>
      </c>
      <c r="M44" s="105">
        <v>3723.8931299782357</v>
      </c>
      <c r="N44" s="105">
        <v>8.2010052546677148</v>
      </c>
      <c r="O44" s="105">
        <v>6918.368032837684</v>
      </c>
      <c r="P44" s="105">
        <v>7.0885919292069826</v>
      </c>
      <c r="Q44" s="105">
        <v>5979.9361514790107</v>
      </c>
      <c r="R44" s="105">
        <v>5.6320846861412601</v>
      </c>
      <c r="S44" s="105">
        <v>4751.2266412287672</v>
      </c>
      <c r="T44" s="105">
        <v>5.6410141617132865</v>
      </c>
      <c r="U44" s="105">
        <v>4758.7595468213285</v>
      </c>
      <c r="V44" s="105">
        <v>7.3727478775994282</v>
      </c>
      <c r="W44" s="105">
        <v>6219.6501095428775</v>
      </c>
      <c r="X44" s="105">
        <v>6.3149394678006248</v>
      </c>
      <c r="Y44" s="105">
        <v>5327.2829350366073</v>
      </c>
      <c r="Z44" s="105">
        <v>3.0254145429013288</v>
      </c>
      <c r="AA44" s="105">
        <v>2552.2397083915612</v>
      </c>
      <c r="AB44" s="105">
        <v>0</v>
      </c>
      <c r="AC44" s="105">
        <v>0</v>
      </c>
      <c r="AD44" s="105">
        <v>7.426461772615176</v>
      </c>
      <c r="AE44" s="105">
        <v>6264.9631513781624</v>
      </c>
      <c r="AF44" s="105">
        <v>6.6928587658016729</v>
      </c>
      <c r="AG44" s="105">
        <v>5646.0956548302911</v>
      </c>
      <c r="AH44" s="105">
        <v>0</v>
      </c>
      <c r="AI44" s="105">
        <v>0</v>
      </c>
      <c r="AJ44" s="105">
        <v>7.3669427390835356</v>
      </c>
      <c r="AK44" s="105">
        <v>6214.7528946908706</v>
      </c>
      <c r="AL44" s="105">
        <v>1.8611505011813636</v>
      </c>
      <c r="AM44" s="105">
        <v>1570.0665627965984</v>
      </c>
      <c r="AN44" s="105">
        <v>1.9353852460775498</v>
      </c>
      <c r="AO44" s="105">
        <v>1632.690993591021</v>
      </c>
      <c r="AP44" s="105">
        <v>5.667339750291065</v>
      </c>
      <c r="AQ44" s="105">
        <v>4780.9678133455427</v>
      </c>
      <c r="AR44" s="105">
        <v>0</v>
      </c>
      <c r="AS44" s="105">
        <v>0</v>
      </c>
      <c r="AT44" s="105">
        <v>2.8207292248917408</v>
      </c>
      <c r="AU44" s="105">
        <v>2379.5671741186725</v>
      </c>
      <c r="AV44" s="105">
        <v>3.4747525707110269</v>
      </c>
      <c r="AW44" s="105">
        <v>2931.3012686518223</v>
      </c>
      <c r="AX44" s="105">
        <v>2.0323399327636054</v>
      </c>
      <c r="AY44" s="105">
        <v>1714.4819672793776</v>
      </c>
      <c r="AZ44" s="105">
        <v>1.7939181331530765</v>
      </c>
      <c r="BA44" s="105">
        <v>1513.3493371279353</v>
      </c>
      <c r="BB44" s="105">
        <v>4.971935858562186</v>
      </c>
      <c r="BC44" s="105">
        <v>4194.3250902830605</v>
      </c>
      <c r="BD44" s="105">
        <v>5.3260019032968815</v>
      </c>
      <c r="BE44" s="105">
        <v>4493.0152056212492</v>
      </c>
      <c r="BF44" s="105">
        <v>5.8488367683699041</v>
      </c>
      <c r="BG44" s="105">
        <v>4934.078697796851</v>
      </c>
      <c r="BH44" s="105">
        <v>6.1038454856480175</v>
      </c>
      <c r="BI44" s="105">
        <v>5149.2040516926681</v>
      </c>
      <c r="BJ44" s="105">
        <v>6.4562310836922485</v>
      </c>
      <c r="BK44" s="105">
        <v>5446.4765422027813</v>
      </c>
      <c r="BL44" s="105">
        <v>7.0074898891599648</v>
      </c>
      <c r="BM44" s="105">
        <v>5911.5184704953463</v>
      </c>
      <c r="BN44" s="105">
        <v>4.8483109078050708</v>
      </c>
      <c r="BO44" s="105">
        <v>4090.0350818243578</v>
      </c>
      <c r="BP44" s="105">
        <v>1.1066332705805864</v>
      </c>
      <c r="BQ44" s="105">
        <v>933.55582706178268</v>
      </c>
      <c r="BR44" s="105">
        <v>0</v>
      </c>
      <c r="BS44" s="105">
        <v>0</v>
      </c>
      <c r="BT44" s="105">
        <v>0</v>
      </c>
      <c r="BU44" s="105">
        <v>0</v>
      </c>
      <c r="BV44" s="105">
        <v>6.8965063398239677</v>
      </c>
      <c r="BW44" s="105">
        <v>5817.8927482754989</v>
      </c>
      <c r="BX44" s="105">
        <v>3.7372030506014751</v>
      </c>
      <c r="BY44" s="105">
        <v>3152.7044934874043</v>
      </c>
      <c r="BZ44" s="105">
        <v>2.1712191410790287</v>
      </c>
      <c r="CA44" s="105">
        <v>1831.6404674142686</v>
      </c>
      <c r="CB44" s="105">
        <v>1.1645820986878799</v>
      </c>
      <c r="CC44" s="105">
        <v>982.44145845309549</v>
      </c>
      <c r="CD44" s="105">
        <v>1.3823007710337558</v>
      </c>
      <c r="CE44" s="105">
        <v>1166.1089304440763</v>
      </c>
      <c r="CF44" s="105">
        <v>3.2989292663996195</v>
      </c>
      <c r="CG44" s="105">
        <v>2782.9767291347189</v>
      </c>
      <c r="CH44" s="105">
        <v>3.6017413063503882</v>
      </c>
      <c r="CI44" s="105">
        <v>3038.4289660371878</v>
      </c>
      <c r="CJ44" s="105">
        <v>4.4467831439071865</v>
      </c>
      <c r="CK44" s="105">
        <v>3751.3062602001028</v>
      </c>
      <c r="CL44" s="105">
        <v>4.7117858917581952</v>
      </c>
      <c r="CM44" s="105">
        <v>3974.8625782872136</v>
      </c>
      <c r="CN44" s="105">
        <v>4.3929607501041419</v>
      </c>
      <c r="CO44" s="105">
        <v>3705.9016887878543</v>
      </c>
      <c r="CP44" s="105">
        <v>6.9657528080505351</v>
      </c>
      <c r="CQ44" s="105">
        <v>5876.3090688714319</v>
      </c>
      <c r="CR44" s="105">
        <v>6.6587912454323899</v>
      </c>
      <c r="CS44" s="105">
        <v>5617.3562946467646</v>
      </c>
      <c r="CT44" s="105">
        <v>7.3371248439452241</v>
      </c>
      <c r="CU44" s="105">
        <v>6189.5985183521916</v>
      </c>
    </row>
    <row r="45" spans="2:99" x14ac:dyDescent="0.2">
      <c r="C45" s="104" t="s">
        <v>211</v>
      </c>
      <c r="D45" s="105">
        <v>5.6143354028626193</v>
      </c>
      <c r="E45" s="105">
        <v>5841.1545531382681</v>
      </c>
      <c r="F45" s="105">
        <v>5.0792385000129512</v>
      </c>
      <c r="G45" s="105">
        <v>5284.4397354134735</v>
      </c>
      <c r="H45" s="105">
        <v>3.7449972231077382</v>
      </c>
      <c r="I45" s="105">
        <v>3896.2951109212904</v>
      </c>
      <c r="J45" s="105">
        <v>4.3449615170766247</v>
      </c>
      <c r="K45" s="105">
        <v>4520.4979623665195</v>
      </c>
      <c r="L45" s="105">
        <v>4.0464304201992052</v>
      </c>
      <c r="M45" s="105">
        <v>4209.9062091752521</v>
      </c>
      <c r="N45" s="105">
        <v>7.3809047292009424</v>
      </c>
      <c r="O45" s="105">
        <v>7679.0932802606594</v>
      </c>
      <c r="P45" s="105">
        <v>7.0885919292069826</v>
      </c>
      <c r="Q45" s="105">
        <v>7374.9710431469439</v>
      </c>
      <c r="R45" s="105">
        <v>5.2297929228454549</v>
      </c>
      <c r="S45" s="105">
        <v>5441.0765569284104</v>
      </c>
      <c r="T45" s="105">
        <v>5.6410141617132865</v>
      </c>
      <c r="U45" s="105">
        <v>5868.9111338465027</v>
      </c>
      <c r="V45" s="105">
        <v>6.939056825975932</v>
      </c>
      <c r="W45" s="105">
        <v>7219.3947217453588</v>
      </c>
      <c r="X45" s="105">
        <v>5.9825742326532234</v>
      </c>
      <c r="Y45" s="105">
        <v>6224.2702316524128</v>
      </c>
      <c r="Z45" s="105">
        <v>3.2271088457614177</v>
      </c>
      <c r="AA45" s="105">
        <v>3357.4840431301786</v>
      </c>
      <c r="AB45" s="105">
        <v>0</v>
      </c>
      <c r="AC45" s="105">
        <v>0</v>
      </c>
      <c r="AD45" s="105">
        <v>7.0355953635301667</v>
      </c>
      <c r="AE45" s="105">
        <v>7319.8334162167848</v>
      </c>
      <c r="AF45" s="105">
        <v>6.6928587658016729</v>
      </c>
      <c r="AG45" s="105">
        <v>6963.2502599400595</v>
      </c>
      <c r="AH45" s="105">
        <v>0</v>
      </c>
      <c r="AI45" s="105">
        <v>0</v>
      </c>
      <c r="AJ45" s="105">
        <v>7.7546765674563538</v>
      </c>
      <c r="AK45" s="105">
        <v>8067.9655007815891</v>
      </c>
      <c r="AL45" s="105">
        <v>2.0162463762798106</v>
      </c>
      <c r="AM45" s="105">
        <v>2097.7027298815146</v>
      </c>
      <c r="AN45" s="105">
        <v>2.0563468239573965</v>
      </c>
      <c r="AO45" s="105">
        <v>2139.4232356452749</v>
      </c>
      <c r="AP45" s="105">
        <v>6.6118963753395761</v>
      </c>
      <c r="AQ45" s="105">
        <v>6879.0169889032941</v>
      </c>
      <c r="AR45" s="105">
        <v>0</v>
      </c>
      <c r="AS45" s="105">
        <v>0</v>
      </c>
      <c r="AT45" s="105">
        <v>3.077159154427354</v>
      </c>
      <c r="AU45" s="105">
        <v>3201.4763842662187</v>
      </c>
      <c r="AV45" s="105">
        <v>3.8222278277821302</v>
      </c>
      <c r="AW45" s="105">
        <v>3976.6458320245279</v>
      </c>
      <c r="AX45" s="105">
        <v>2.0323399327636054</v>
      </c>
      <c r="AY45" s="105">
        <v>2114.4464660472549</v>
      </c>
      <c r="AZ45" s="105">
        <v>1.7939181331530765</v>
      </c>
      <c r="BA45" s="105">
        <v>1866.3924257324604</v>
      </c>
      <c r="BB45" s="105">
        <v>4.971935858562186</v>
      </c>
      <c r="BC45" s="105">
        <v>5172.802067248098</v>
      </c>
      <c r="BD45" s="105">
        <v>5.6218908979244864</v>
      </c>
      <c r="BE45" s="105">
        <v>5849.0152902006348</v>
      </c>
      <c r="BF45" s="105">
        <v>5.1989660163288045</v>
      </c>
      <c r="BG45" s="105">
        <v>5409.0042433884873</v>
      </c>
      <c r="BH45" s="105">
        <v>5.5225268679672546</v>
      </c>
      <c r="BI45" s="105">
        <v>5745.6369534331307</v>
      </c>
      <c r="BJ45" s="105">
        <v>6.9173904468131235</v>
      </c>
      <c r="BK45" s="105">
        <v>7196.8530208643724</v>
      </c>
      <c r="BL45" s="105">
        <v>6.0064199049942557</v>
      </c>
      <c r="BM45" s="105">
        <v>6249.0792691560227</v>
      </c>
      <c r="BN45" s="105">
        <v>5.1513303395428878</v>
      </c>
      <c r="BO45" s="105">
        <v>5359.4440852604193</v>
      </c>
      <c r="BP45" s="105">
        <v>1.1066332705805864</v>
      </c>
      <c r="BQ45" s="105">
        <v>1151.341254712042</v>
      </c>
      <c r="BR45" s="105">
        <v>0</v>
      </c>
      <c r="BS45" s="105">
        <v>0</v>
      </c>
      <c r="BT45" s="105">
        <v>0</v>
      </c>
      <c r="BU45" s="105">
        <v>0</v>
      </c>
      <c r="BV45" s="105">
        <v>7.2796455809253002</v>
      </c>
      <c r="BW45" s="105">
        <v>7573.7432623946816</v>
      </c>
      <c r="BX45" s="105">
        <v>4.1109233556616225</v>
      </c>
      <c r="BY45" s="105">
        <v>4277.0046592303515</v>
      </c>
      <c r="BZ45" s="105">
        <v>2.4426215337139068</v>
      </c>
      <c r="CA45" s="105">
        <v>2541.3034436759481</v>
      </c>
      <c r="CB45" s="105">
        <v>1.1645820986878799</v>
      </c>
      <c r="CC45" s="105">
        <v>1211.63121547487</v>
      </c>
      <c r="CD45" s="105">
        <v>1.4636125810945648</v>
      </c>
      <c r="CE45" s="105">
        <v>1522.742529370785</v>
      </c>
      <c r="CF45" s="105">
        <v>3.0240184941996513</v>
      </c>
      <c r="CG45" s="105">
        <v>3146.1888413653169</v>
      </c>
      <c r="CH45" s="105">
        <v>3.6017413063503882</v>
      </c>
      <c r="CI45" s="105">
        <v>3747.2516551269437</v>
      </c>
      <c r="CJ45" s="105">
        <v>4.7083586229605512</v>
      </c>
      <c r="CK45" s="105">
        <v>4898.5763113281564</v>
      </c>
      <c r="CL45" s="105">
        <v>4.7117858917581952</v>
      </c>
      <c r="CM45" s="105">
        <v>4902.142041785226</v>
      </c>
      <c r="CN45" s="105">
        <v>4.0268806875954626</v>
      </c>
      <c r="CO45" s="105">
        <v>4189.566667374319</v>
      </c>
      <c r="CP45" s="105">
        <v>6.5787665409366154</v>
      </c>
      <c r="CQ45" s="105">
        <v>6844.5487091904533</v>
      </c>
      <c r="CR45" s="105">
        <v>6.6587912454323899</v>
      </c>
      <c r="CS45" s="105">
        <v>6927.806411747858</v>
      </c>
      <c r="CT45" s="105">
        <v>6.8479831876822086</v>
      </c>
      <c r="CU45" s="105">
        <v>7124.6417084645691</v>
      </c>
    </row>
    <row r="46" spans="2:99" x14ac:dyDescent="0.2">
      <c r="C46" s="104" t="s">
        <v>212</v>
      </c>
      <c r="D46" s="105">
        <v>5.6143354028626193</v>
      </c>
      <c r="E46" s="105">
        <v>5713.1477059530007</v>
      </c>
      <c r="F46" s="105">
        <v>4.7617860937621428</v>
      </c>
      <c r="G46" s="105">
        <v>4845.5935290123552</v>
      </c>
      <c r="H46" s="105">
        <v>4.1194969454185122</v>
      </c>
      <c r="I46" s="105">
        <v>4192.0000916578774</v>
      </c>
      <c r="J46" s="105">
        <v>3.9828813906535729</v>
      </c>
      <c r="K46" s="105">
        <v>4052.9801031290749</v>
      </c>
      <c r="L46" s="105">
        <v>5.150002352980807</v>
      </c>
      <c r="M46" s="105">
        <v>5240.6423943932678</v>
      </c>
      <c r="N46" s="105">
        <v>6.9708544664675571</v>
      </c>
      <c r="O46" s="105">
        <v>7093.5415050773845</v>
      </c>
      <c r="P46" s="105">
        <v>7.8347595007024546</v>
      </c>
      <c r="Q46" s="105">
        <v>7972.6512679148163</v>
      </c>
      <c r="R46" s="105">
        <v>4.8275011595496515</v>
      </c>
      <c r="S46" s="105">
        <v>4912.4651799577241</v>
      </c>
      <c r="T46" s="105">
        <v>5.6410141617132865</v>
      </c>
      <c r="U46" s="105">
        <v>5740.2960109594396</v>
      </c>
      <c r="V46" s="105">
        <v>6.939056825975932</v>
      </c>
      <c r="W46" s="105">
        <v>7061.1842261131069</v>
      </c>
      <c r="X46" s="105">
        <v>6.6473047029480261</v>
      </c>
      <c r="Y46" s="105">
        <v>6764.2972657199098</v>
      </c>
      <c r="Z46" s="105">
        <v>3.2271088457614177</v>
      </c>
      <c r="AA46" s="105">
        <v>3283.9059614468179</v>
      </c>
      <c r="AB46" s="105">
        <v>0</v>
      </c>
      <c r="AC46" s="105">
        <v>0</v>
      </c>
      <c r="AD46" s="105">
        <v>7.8173281817001854</v>
      </c>
      <c r="AE46" s="105">
        <v>7954.9131576981072</v>
      </c>
      <c r="AF46" s="105">
        <v>7.4802539147195173</v>
      </c>
      <c r="AG46" s="105">
        <v>7611.9063836185796</v>
      </c>
      <c r="AH46" s="105">
        <v>0</v>
      </c>
      <c r="AI46" s="105">
        <v>0</v>
      </c>
      <c r="AJ46" s="105">
        <v>6.9792089107107182</v>
      </c>
      <c r="AK46" s="105">
        <v>7102.0429875392256</v>
      </c>
      <c r="AL46" s="105">
        <v>2.0162463762798106</v>
      </c>
      <c r="AM46" s="105">
        <v>2051.7323125023349</v>
      </c>
      <c r="AN46" s="105">
        <v>1.9353852460775498</v>
      </c>
      <c r="AO46" s="105">
        <v>1969.4480264085144</v>
      </c>
      <c r="AP46" s="105">
        <v>6.2970441669900721</v>
      </c>
      <c r="AQ46" s="105">
        <v>6407.872144329096</v>
      </c>
      <c r="AR46" s="105">
        <v>0</v>
      </c>
      <c r="AS46" s="105">
        <v>0</v>
      </c>
      <c r="AT46" s="105">
        <v>3.077159154427354</v>
      </c>
      <c r="AU46" s="105">
        <v>3131.317155545275</v>
      </c>
      <c r="AV46" s="105">
        <v>3.4747525707110269</v>
      </c>
      <c r="AW46" s="105">
        <v>3535.9082159555405</v>
      </c>
      <c r="AX46" s="105">
        <v>1.8629782716999719</v>
      </c>
      <c r="AY46" s="105">
        <v>1895.7666892818911</v>
      </c>
      <c r="AZ46" s="105">
        <v>1.6308346665027966</v>
      </c>
      <c r="BA46" s="105">
        <v>1659.5373566332455</v>
      </c>
      <c r="BB46" s="105">
        <v>5.248154517371197</v>
      </c>
      <c r="BC46" s="105">
        <v>5340.5220368769287</v>
      </c>
      <c r="BD46" s="105">
        <v>5.3260019032968815</v>
      </c>
      <c r="BE46" s="105">
        <v>5419.7395367949057</v>
      </c>
      <c r="BF46" s="105">
        <v>4.8740306403082538</v>
      </c>
      <c r="BG46" s="105">
        <v>4959.813579577678</v>
      </c>
      <c r="BH46" s="105">
        <v>5.2318675591268722</v>
      </c>
      <c r="BI46" s="105">
        <v>5323.9484281675041</v>
      </c>
      <c r="BJ46" s="105">
        <v>6.9173904468131235</v>
      </c>
      <c r="BK46" s="105">
        <v>7039.1365186770327</v>
      </c>
      <c r="BL46" s="105">
        <v>6.5069548970771107</v>
      </c>
      <c r="BM46" s="105">
        <v>6621.4773032656667</v>
      </c>
      <c r="BN46" s="105">
        <v>5.1513303395428878</v>
      </c>
      <c r="BO46" s="105">
        <v>5241.9937535188419</v>
      </c>
      <c r="BP46" s="105">
        <v>1.3078393197770566</v>
      </c>
      <c r="BQ46" s="105">
        <v>1330.8572918051325</v>
      </c>
      <c r="BR46" s="105">
        <v>0</v>
      </c>
      <c r="BS46" s="105">
        <v>0</v>
      </c>
      <c r="BT46" s="105">
        <v>0</v>
      </c>
      <c r="BU46" s="105">
        <v>0</v>
      </c>
      <c r="BV46" s="105">
        <v>7.6627848220266319</v>
      </c>
      <c r="BW46" s="105">
        <v>7797.6498348942987</v>
      </c>
      <c r="BX46" s="105">
        <v>3.7372030506014751</v>
      </c>
      <c r="BY46" s="105">
        <v>3802.9778242920602</v>
      </c>
      <c r="BZ46" s="105">
        <v>2.5783227300313465</v>
      </c>
      <c r="CA46" s="105">
        <v>2623.7012100798975</v>
      </c>
      <c r="CB46" s="105">
        <v>1.1645820986878799</v>
      </c>
      <c r="CC46" s="105">
        <v>1185.0787436247863</v>
      </c>
      <c r="CD46" s="105">
        <v>1.4636125810945648</v>
      </c>
      <c r="CE46" s="105">
        <v>1489.3721625218288</v>
      </c>
      <c r="CF46" s="105">
        <v>3.0240184941996513</v>
      </c>
      <c r="CG46" s="105">
        <v>3077.2412196975647</v>
      </c>
      <c r="CH46" s="105">
        <v>3.8590085425182732</v>
      </c>
      <c r="CI46" s="105">
        <v>3926.9270928665942</v>
      </c>
      <c r="CJ46" s="105">
        <v>4.4467831439071865</v>
      </c>
      <c r="CK46" s="105">
        <v>4525.0465272399524</v>
      </c>
      <c r="CL46" s="105">
        <v>4.7117858917581952</v>
      </c>
      <c r="CM46" s="105">
        <v>4794.7133234531384</v>
      </c>
      <c r="CN46" s="105">
        <v>4.7590408126128203</v>
      </c>
      <c r="CO46" s="105">
        <v>4842.7999309148054</v>
      </c>
      <c r="CP46" s="105">
        <v>6.9657528080505351</v>
      </c>
      <c r="CQ46" s="105">
        <v>7088.3500574722229</v>
      </c>
      <c r="CR46" s="105">
        <v>6.6587912454323899</v>
      </c>
      <c r="CS46" s="105">
        <v>6775.9859713519982</v>
      </c>
      <c r="CT46" s="105">
        <v>7.3371248439452241</v>
      </c>
      <c r="CU46" s="105">
        <v>7466.2582411986587</v>
      </c>
    </row>
    <row r="47" spans="2:99" x14ac:dyDescent="0.2">
      <c r="C47" s="104" t="s">
        <v>213</v>
      </c>
      <c r="D47" s="105">
        <v>5.6143354028626193</v>
      </c>
      <c r="E47" s="105">
        <v>7397.4483268117865</v>
      </c>
      <c r="F47" s="105">
        <v>4.7617860937621428</v>
      </c>
      <c r="G47" s="105">
        <v>6274.1293571409988</v>
      </c>
      <c r="H47" s="105">
        <v>3.7449972231077382</v>
      </c>
      <c r="I47" s="105">
        <v>4934.4083411667552</v>
      </c>
      <c r="J47" s="105">
        <v>3.9828813906535729</v>
      </c>
      <c r="K47" s="105">
        <v>5247.8445203251476</v>
      </c>
      <c r="L47" s="105">
        <v>4.7821450420536058</v>
      </c>
      <c r="M47" s="105">
        <v>6300.954307409831</v>
      </c>
      <c r="N47" s="105">
        <v>6.9708544664675571</v>
      </c>
      <c r="O47" s="105">
        <v>9184.7978450176524</v>
      </c>
      <c r="P47" s="105">
        <v>6.715508143459247</v>
      </c>
      <c r="Q47" s="105">
        <v>8848.3535298219031</v>
      </c>
      <c r="R47" s="105">
        <v>4.8275011595496515</v>
      </c>
      <c r="S47" s="105">
        <v>6360.7155278226201</v>
      </c>
      <c r="T47" s="105">
        <v>5.9935775468203669</v>
      </c>
      <c r="U47" s="105">
        <v>7897.1377756905149</v>
      </c>
      <c r="V47" s="105">
        <v>7.3727478775994282</v>
      </c>
      <c r="W47" s="105">
        <v>9714.3326035250066</v>
      </c>
      <c r="X47" s="105">
        <v>6.3149394678006248</v>
      </c>
      <c r="Y47" s="105">
        <v>8320.5642427741022</v>
      </c>
      <c r="Z47" s="105">
        <v>2.8237202400412404</v>
      </c>
      <c r="AA47" s="105">
        <v>3720.5337882783383</v>
      </c>
      <c r="AB47" s="105">
        <v>0</v>
      </c>
      <c r="AC47" s="105">
        <v>0</v>
      </c>
      <c r="AD47" s="105">
        <v>7.0355953635301667</v>
      </c>
      <c r="AE47" s="105">
        <v>9270.1004509873474</v>
      </c>
      <c r="AF47" s="105">
        <v>7.0865563402605956</v>
      </c>
      <c r="AG47" s="105">
        <v>9337.2466339273597</v>
      </c>
      <c r="AH47" s="105">
        <v>0</v>
      </c>
      <c r="AI47" s="105">
        <v>0</v>
      </c>
      <c r="AJ47" s="105">
        <v>6.5914750823379</v>
      </c>
      <c r="AK47" s="105">
        <v>8684.927568488416</v>
      </c>
      <c r="AL47" s="105">
        <v>2.0162463762798106</v>
      </c>
      <c r="AM47" s="105">
        <v>2656.6062253862783</v>
      </c>
      <c r="AN47" s="105">
        <v>1.6934620903178559</v>
      </c>
      <c r="AO47" s="105">
        <v>2231.3056502028066</v>
      </c>
      <c r="AP47" s="105">
        <v>5.3524875419415618</v>
      </c>
      <c r="AQ47" s="105">
        <v>7052.4375852622015</v>
      </c>
      <c r="AR47" s="105">
        <v>0</v>
      </c>
      <c r="AS47" s="105">
        <v>0</v>
      </c>
      <c r="AT47" s="105">
        <v>3.077159154427354</v>
      </c>
      <c r="AU47" s="105">
        <v>4054.4649018734813</v>
      </c>
      <c r="AV47" s="105">
        <v>3.8222278277821302</v>
      </c>
      <c r="AW47" s="105">
        <v>5036.1673858857348</v>
      </c>
      <c r="AX47" s="105">
        <v>1.8629782716999719</v>
      </c>
      <c r="AY47" s="105">
        <v>2454.6601707918826</v>
      </c>
      <c r="AZ47" s="105">
        <v>1.6308346665027966</v>
      </c>
      <c r="BA47" s="105">
        <v>2148.7877565840845</v>
      </c>
      <c r="BB47" s="105">
        <v>5.248154517371197</v>
      </c>
      <c r="BC47" s="105">
        <v>6914.968392088289</v>
      </c>
      <c r="BD47" s="105">
        <v>5.6218908979244864</v>
      </c>
      <c r="BE47" s="105">
        <v>7407.4034471053028</v>
      </c>
      <c r="BF47" s="105">
        <v>4.8740306403082538</v>
      </c>
      <c r="BG47" s="105">
        <v>6422.0227716701547</v>
      </c>
      <c r="BH47" s="105">
        <v>5.5225268679672546</v>
      </c>
      <c r="BI47" s="105">
        <v>7276.4814012336537</v>
      </c>
      <c r="BJ47" s="105">
        <v>6.4562310836922485</v>
      </c>
      <c r="BK47" s="105">
        <v>8506.7300758729052</v>
      </c>
      <c r="BL47" s="105">
        <v>6.0064199049942557</v>
      </c>
      <c r="BM47" s="105">
        <v>7914.0588668204309</v>
      </c>
      <c r="BN47" s="105">
        <v>5.1513303395428878</v>
      </c>
      <c r="BO47" s="105">
        <v>6787.3928553817086</v>
      </c>
      <c r="BP47" s="105">
        <v>1.0060302459823511</v>
      </c>
      <c r="BQ47" s="105">
        <v>1325.5454521063457</v>
      </c>
      <c r="BR47" s="105">
        <v>0</v>
      </c>
      <c r="BS47" s="105">
        <v>0</v>
      </c>
      <c r="BT47" s="105">
        <v>0</v>
      </c>
      <c r="BU47" s="105">
        <v>0</v>
      </c>
      <c r="BV47" s="105">
        <v>6.5133670987226369</v>
      </c>
      <c r="BW47" s="105">
        <v>8582.0124892769454</v>
      </c>
      <c r="BX47" s="105">
        <v>4.1109233556616225</v>
      </c>
      <c r="BY47" s="105">
        <v>5416.5526134197535</v>
      </c>
      <c r="BZ47" s="105">
        <v>2.3069203373964675</v>
      </c>
      <c r="CA47" s="105">
        <v>3039.5982365535856</v>
      </c>
      <c r="CB47" s="105">
        <v>1.1645820986878799</v>
      </c>
      <c r="CC47" s="105">
        <v>1534.4533732311504</v>
      </c>
      <c r="CD47" s="105">
        <v>1.3823007710337558</v>
      </c>
      <c r="CE47" s="105">
        <v>1821.3194959140765</v>
      </c>
      <c r="CF47" s="105">
        <v>2.7491077219996831</v>
      </c>
      <c r="CG47" s="105">
        <v>3622.2243345067823</v>
      </c>
      <c r="CH47" s="105">
        <v>3.3444740701825033</v>
      </c>
      <c r="CI47" s="105">
        <v>4406.6790348724662</v>
      </c>
      <c r="CJ47" s="105">
        <v>4.1852076648538237</v>
      </c>
      <c r="CK47" s="105">
        <v>5514.4296192113979</v>
      </c>
      <c r="CL47" s="105">
        <v>4.7117858917581952</v>
      </c>
      <c r="CM47" s="105">
        <v>6208.2490909805974</v>
      </c>
      <c r="CN47" s="105">
        <v>4.3929607501041419</v>
      </c>
      <c r="CO47" s="105">
        <v>5788.1650843372172</v>
      </c>
      <c r="CP47" s="105">
        <v>6.9657528080505351</v>
      </c>
      <c r="CQ47" s="105">
        <v>9178.0758998873844</v>
      </c>
      <c r="CR47" s="105">
        <v>5.6074031540483285</v>
      </c>
      <c r="CS47" s="105">
        <v>7388.3143957740767</v>
      </c>
      <c r="CT47" s="105">
        <v>8.3154081564712534</v>
      </c>
      <c r="CU47" s="105">
        <v>10956.381786966524</v>
      </c>
    </row>
    <row r="48" spans="2:99" x14ac:dyDescent="0.2">
      <c r="C48" s="104" t="s">
        <v>214</v>
      </c>
      <c r="D48" s="105">
        <v>5.6143354028626193</v>
      </c>
      <c r="E48" s="105">
        <v>3691.9869609224588</v>
      </c>
      <c r="F48" s="105">
        <v>4.4443336875113326</v>
      </c>
      <c r="G48" s="105">
        <v>2922.5938329074525</v>
      </c>
      <c r="H48" s="105">
        <v>3.7449972231077382</v>
      </c>
      <c r="I48" s="105">
        <v>2462.7101739156487</v>
      </c>
      <c r="J48" s="105">
        <v>3.9828813906535729</v>
      </c>
      <c r="K48" s="105">
        <v>2619.1428024937895</v>
      </c>
      <c r="L48" s="105">
        <v>4.7821450420536058</v>
      </c>
      <c r="M48" s="105">
        <v>3144.7385796544513</v>
      </c>
      <c r="N48" s="105">
        <v>7.3809047292009424</v>
      </c>
      <c r="O48" s="105">
        <v>4853.6829499225396</v>
      </c>
      <c r="P48" s="105">
        <v>7.0885919292069826</v>
      </c>
      <c r="Q48" s="105">
        <v>4661.4580526465115</v>
      </c>
      <c r="R48" s="105">
        <v>4.8275011595496515</v>
      </c>
      <c r="S48" s="105">
        <v>3174.5647625198508</v>
      </c>
      <c r="T48" s="105">
        <v>5.9935775468203669</v>
      </c>
      <c r="U48" s="105">
        <v>3941.3765947890734</v>
      </c>
      <c r="V48" s="105">
        <v>7.8064389292229235</v>
      </c>
      <c r="W48" s="105">
        <v>5133.5142398569942</v>
      </c>
      <c r="X48" s="105">
        <v>7.3120351732428288</v>
      </c>
      <c r="Y48" s="105">
        <v>4808.3943299244847</v>
      </c>
      <c r="Z48" s="105">
        <v>3.428803148621506</v>
      </c>
      <c r="AA48" s="105">
        <v>2254.7809505335026</v>
      </c>
      <c r="AB48" s="105">
        <v>0</v>
      </c>
      <c r="AC48" s="105">
        <v>0</v>
      </c>
      <c r="AD48" s="105">
        <v>7.8173281817001854</v>
      </c>
      <c r="AE48" s="105">
        <v>5140.6750122860421</v>
      </c>
      <c r="AF48" s="105">
        <v>7.8739514891784399</v>
      </c>
      <c r="AG48" s="105">
        <v>5177.910499283742</v>
      </c>
      <c r="AH48" s="105">
        <v>0</v>
      </c>
      <c r="AI48" s="105">
        <v>0</v>
      </c>
      <c r="AJ48" s="105">
        <v>7.3669427390835356</v>
      </c>
      <c r="AK48" s="105">
        <v>4844.5015452213329</v>
      </c>
      <c r="AL48" s="105">
        <v>2.1713422513782574</v>
      </c>
      <c r="AM48" s="105">
        <v>1427.8746645063422</v>
      </c>
      <c r="AN48" s="105">
        <v>2.1773084018372435</v>
      </c>
      <c r="AO48" s="105">
        <v>1431.7980050481713</v>
      </c>
      <c r="AP48" s="105">
        <v>5.667339750291065</v>
      </c>
      <c r="AQ48" s="105">
        <v>3726.8426197914046</v>
      </c>
      <c r="AR48" s="105">
        <v>0</v>
      </c>
      <c r="AS48" s="105">
        <v>0</v>
      </c>
      <c r="AT48" s="105">
        <v>2.8207292248917408</v>
      </c>
      <c r="AU48" s="105">
        <v>1854.9115382888087</v>
      </c>
      <c r="AV48" s="105">
        <v>4.1697030848532322</v>
      </c>
      <c r="AW48" s="105">
        <v>2741.9967485994857</v>
      </c>
      <c r="AX48" s="105">
        <v>2.0323399327636054</v>
      </c>
      <c r="AY48" s="105">
        <v>1336.466739785347</v>
      </c>
      <c r="AZ48" s="105">
        <v>1.9570015998033559</v>
      </c>
      <c r="BA48" s="105">
        <v>1286.9242520306868</v>
      </c>
      <c r="BB48" s="105">
        <v>5.248154517371197</v>
      </c>
      <c r="BC48" s="105">
        <v>3451.1864106232993</v>
      </c>
      <c r="BD48" s="105">
        <v>5.9177798925520904</v>
      </c>
      <c r="BE48" s="105">
        <v>3891.5320573422546</v>
      </c>
      <c r="BF48" s="105">
        <v>4.8740306403082538</v>
      </c>
      <c r="BG48" s="105">
        <v>3205.1625490667079</v>
      </c>
      <c r="BH48" s="105">
        <v>5.8131861768076352</v>
      </c>
      <c r="BI48" s="105">
        <v>3822.7512298687011</v>
      </c>
      <c r="BJ48" s="105">
        <v>5.9950717205713735</v>
      </c>
      <c r="BK48" s="105">
        <v>3942.3591634477352</v>
      </c>
      <c r="BL48" s="105">
        <v>6.5069548970771107</v>
      </c>
      <c r="BM48" s="105">
        <v>4278.9735403179084</v>
      </c>
      <c r="BN48" s="105">
        <v>5.1513303395428878</v>
      </c>
      <c r="BO48" s="105">
        <v>3387.5148312834031</v>
      </c>
      <c r="BP48" s="105">
        <v>1.1066332705805864</v>
      </c>
      <c r="BQ48" s="105">
        <v>727.72203873379362</v>
      </c>
      <c r="BR48" s="105">
        <v>0</v>
      </c>
      <c r="BS48" s="105">
        <v>0</v>
      </c>
      <c r="BT48" s="105">
        <v>0</v>
      </c>
      <c r="BU48" s="105">
        <v>0</v>
      </c>
      <c r="BV48" s="105">
        <v>6.8965063398239677</v>
      </c>
      <c r="BW48" s="105">
        <v>4535.1425690682408</v>
      </c>
      <c r="BX48" s="105">
        <v>3.7372030506014751</v>
      </c>
      <c r="BY48" s="105">
        <v>2457.5847260755299</v>
      </c>
      <c r="BZ48" s="105">
        <v>2.5783227300313465</v>
      </c>
      <c r="CA48" s="105">
        <v>1695.5050272686135</v>
      </c>
      <c r="CB48" s="105">
        <v>1.397498518425456</v>
      </c>
      <c r="CC48" s="105">
        <v>918.9950257165799</v>
      </c>
      <c r="CD48" s="105">
        <v>1.4636125810945648</v>
      </c>
      <c r="CE48" s="105">
        <v>962.47163332778587</v>
      </c>
      <c r="CF48" s="105">
        <v>3.0240184941996513</v>
      </c>
      <c r="CG48" s="105">
        <v>1988.5945617856908</v>
      </c>
      <c r="CH48" s="105">
        <v>3.6017413063503882</v>
      </c>
      <c r="CI48" s="105">
        <v>2368.5050830560153</v>
      </c>
      <c r="CJ48" s="105">
        <v>4.7083586229605512</v>
      </c>
      <c r="CK48" s="105">
        <v>3096.2166304588586</v>
      </c>
      <c r="CL48" s="105">
        <v>5.235317657509106</v>
      </c>
      <c r="CM48" s="105">
        <v>3442.7448915779883</v>
      </c>
      <c r="CN48" s="105">
        <v>4.3929607501041419</v>
      </c>
      <c r="CO48" s="105">
        <v>2888.8109892684838</v>
      </c>
      <c r="CP48" s="105">
        <v>6.9657528080505351</v>
      </c>
      <c r="CQ48" s="105">
        <v>4580.6790465740323</v>
      </c>
      <c r="CR48" s="105">
        <v>6.6587912454323899</v>
      </c>
      <c r="CS48" s="105">
        <v>4378.8211229963399</v>
      </c>
      <c r="CT48" s="105">
        <v>8.804549812734269</v>
      </c>
      <c r="CU48" s="105">
        <v>5789.8719568540555</v>
      </c>
    </row>
    <row r="49" spans="2:99" x14ac:dyDescent="0.2">
      <c r="B49" s="104" t="s">
        <v>129</v>
      </c>
      <c r="C49" s="104" t="s">
        <v>215</v>
      </c>
      <c r="D49" s="105">
        <v>5.7631578947368425</v>
      </c>
      <c r="E49" s="105">
        <v>3409.484210526316</v>
      </c>
      <c r="F49" s="105">
        <v>4.0368663594470053</v>
      </c>
      <c r="G49" s="105">
        <v>2388.2101382488486</v>
      </c>
      <c r="H49" s="105">
        <v>3.2994350282485883</v>
      </c>
      <c r="I49" s="105">
        <v>1951.945762711865</v>
      </c>
      <c r="J49" s="105">
        <v>3.1567567567567574</v>
      </c>
      <c r="K49" s="105">
        <v>1867.5372972972978</v>
      </c>
      <c r="L49" s="105">
        <v>5.8400000000000016</v>
      </c>
      <c r="M49" s="105">
        <v>3454.9440000000013</v>
      </c>
      <c r="N49" s="105">
        <v>3.7628865979381447</v>
      </c>
      <c r="O49" s="105">
        <v>2226.1237113402067</v>
      </c>
      <c r="P49" s="105">
        <v>4.502202643171807</v>
      </c>
      <c r="Q49" s="105">
        <v>2663.503083700441</v>
      </c>
      <c r="R49" s="105">
        <v>2.2346938775510208</v>
      </c>
      <c r="S49" s="105">
        <v>1322.044897959184</v>
      </c>
      <c r="T49" s="105">
        <v>3.7758620689655178</v>
      </c>
      <c r="U49" s="105">
        <v>2233.8000000000006</v>
      </c>
      <c r="V49" s="105">
        <v>3.9890710382513666</v>
      </c>
      <c r="W49" s="105">
        <v>2359.9344262295085</v>
      </c>
      <c r="X49" s="105">
        <v>3.5103825136612032</v>
      </c>
      <c r="Y49" s="105">
        <v>2076.7422950819678</v>
      </c>
      <c r="Z49" s="105">
        <v>4.866666666666668</v>
      </c>
      <c r="AA49" s="105">
        <v>2879.1200000000008</v>
      </c>
      <c r="AB49" s="105">
        <v>6.6520710059171622</v>
      </c>
      <c r="AC49" s="105">
        <v>3935.3652071005931</v>
      </c>
      <c r="AD49" s="105">
        <v>3.8933333333333344</v>
      </c>
      <c r="AE49" s="105">
        <v>2303.2960000000007</v>
      </c>
      <c r="AF49" s="105">
        <v>4.7004878048780503</v>
      </c>
      <c r="AG49" s="105">
        <v>2780.8085853658545</v>
      </c>
      <c r="AH49" s="105">
        <v>3.7175925925925934</v>
      </c>
      <c r="AI49" s="105">
        <v>2199.3277777777785</v>
      </c>
      <c r="AJ49" s="105">
        <v>5.7017751479289958</v>
      </c>
      <c r="AK49" s="105">
        <v>3373.170177514794</v>
      </c>
      <c r="AL49" s="105">
        <v>5</v>
      </c>
      <c r="AM49" s="105">
        <v>2958</v>
      </c>
      <c r="AN49" s="105">
        <v>7</v>
      </c>
      <c r="AO49" s="105">
        <v>4141.2</v>
      </c>
      <c r="AP49" s="105">
        <v>3.853535353535356</v>
      </c>
      <c r="AQ49" s="105">
        <v>2279.7515151515167</v>
      </c>
      <c r="AR49" s="105">
        <v>0</v>
      </c>
      <c r="AS49" s="105">
        <v>0</v>
      </c>
      <c r="AT49" s="105">
        <v>0</v>
      </c>
      <c r="AU49" s="105">
        <v>0</v>
      </c>
      <c r="AV49" s="105">
        <v>4.5243820809678468</v>
      </c>
      <c r="AW49" s="105">
        <v>2676.6244391005785</v>
      </c>
      <c r="AX49" s="105">
        <v>5</v>
      </c>
      <c r="AY49" s="105">
        <v>2958</v>
      </c>
      <c r="AZ49" s="105">
        <v>3.8666666666666689</v>
      </c>
      <c r="BA49" s="105">
        <v>2287.5200000000013</v>
      </c>
      <c r="BB49" s="105">
        <v>4.8456896551724151</v>
      </c>
      <c r="BC49" s="105">
        <v>2866.7100000000009</v>
      </c>
      <c r="BD49" s="105">
        <v>3.0801687763713086</v>
      </c>
      <c r="BE49" s="105">
        <v>1822.2278481012663</v>
      </c>
      <c r="BF49" s="105">
        <v>2.6871165644171788</v>
      </c>
      <c r="BG49" s="105">
        <v>1589.6981595092032</v>
      </c>
      <c r="BH49" s="105">
        <v>4.1714285714285717</v>
      </c>
      <c r="BI49" s="105">
        <v>2467.8171428571432</v>
      </c>
      <c r="BJ49" s="105">
        <v>2.7677725118483418</v>
      </c>
      <c r="BK49" s="105">
        <v>1637.4142180094791</v>
      </c>
      <c r="BL49" s="105">
        <v>2.668020304568528</v>
      </c>
      <c r="BM49" s="105">
        <v>1578.4008121827412</v>
      </c>
      <c r="BN49" s="105">
        <v>4.2662337662337659</v>
      </c>
      <c r="BO49" s="105">
        <v>2523.9038961038959</v>
      </c>
      <c r="BP49" s="105">
        <v>3.0381502890173411</v>
      </c>
      <c r="BQ49" s="105">
        <v>1797.3697109826589</v>
      </c>
      <c r="BR49" s="105">
        <v>2.3782805429864258</v>
      </c>
      <c r="BS49" s="105">
        <v>1406.9907692307695</v>
      </c>
      <c r="BT49" s="105">
        <v>3.8698795180722905</v>
      </c>
      <c r="BU49" s="105">
        <v>2289.420722891567</v>
      </c>
      <c r="BV49" s="105">
        <v>3.2943589743589756</v>
      </c>
      <c r="BW49" s="105">
        <v>1948.94276923077</v>
      </c>
      <c r="BX49" s="105">
        <v>5.3237569060773495</v>
      </c>
      <c r="BY49" s="105">
        <v>3149.5345856353601</v>
      </c>
      <c r="BZ49" s="105">
        <v>5.5107843137254928</v>
      </c>
      <c r="CA49" s="105">
        <v>3260.1800000000017</v>
      </c>
      <c r="CB49" s="105">
        <v>4.1126760563380289</v>
      </c>
      <c r="CC49" s="105">
        <v>2433.0591549295782</v>
      </c>
      <c r="CD49" s="105">
        <v>4.1913875598086134</v>
      </c>
      <c r="CE49" s="105">
        <v>2479.6248803827757</v>
      </c>
      <c r="CF49" s="105">
        <v>4.1516587677725125</v>
      </c>
      <c r="CG49" s="105">
        <v>2456.1213270142184</v>
      </c>
      <c r="CH49" s="105">
        <v>3.4761904761904767</v>
      </c>
      <c r="CI49" s="105">
        <v>2056.514285714286</v>
      </c>
      <c r="CJ49" s="105">
        <v>4.0555555555555562</v>
      </c>
      <c r="CK49" s="105">
        <v>2399.2666666666673</v>
      </c>
      <c r="CL49" s="105">
        <v>4.2524271844660202</v>
      </c>
      <c r="CM49" s="105">
        <v>2515.7359223300978</v>
      </c>
      <c r="CN49" s="105">
        <v>2.9200000000000008</v>
      </c>
      <c r="CO49" s="105">
        <v>1727.4720000000007</v>
      </c>
      <c r="CP49" s="105">
        <v>2.7721518987341778</v>
      </c>
      <c r="CQ49" s="105">
        <v>1640.0050632911395</v>
      </c>
      <c r="CR49" s="105">
        <v>3.0932203389830515</v>
      </c>
      <c r="CS49" s="105">
        <v>1829.9491525423734</v>
      </c>
      <c r="CT49" s="105">
        <v>4.7351351351351365</v>
      </c>
      <c r="CU49" s="105">
        <v>2801.3059459459469</v>
      </c>
    </row>
    <row r="50" spans="2:99" x14ac:dyDescent="0.2">
      <c r="C50" s="104" t="s">
        <v>216</v>
      </c>
      <c r="D50" s="105">
        <v>1.6512751184890058</v>
      </c>
      <c r="E50" s="105">
        <v>638.05270578415184</v>
      </c>
      <c r="F50" s="105">
        <v>1.904714437504857</v>
      </c>
      <c r="G50" s="105">
        <v>735.98165865187673</v>
      </c>
      <c r="H50" s="105">
        <v>1.4979988892430953</v>
      </c>
      <c r="I50" s="105">
        <v>578.82677080353199</v>
      </c>
      <c r="J50" s="105">
        <v>1.8104006321152601</v>
      </c>
      <c r="K50" s="105">
        <v>699.53880424933652</v>
      </c>
      <c r="L50" s="105">
        <v>1.8392865546360024</v>
      </c>
      <c r="M50" s="105">
        <v>710.7003247113513</v>
      </c>
      <c r="N50" s="105">
        <v>2.0502513136669287</v>
      </c>
      <c r="O50" s="105">
        <v>792.21710760090116</v>
      </c>
      <c r="P50" s="105">
        <v>2.6115865002341518</v>
      </c>
      <c r="Q50" s="105">
        <v>1009.1170236904762</v>
      </c>
      <c r="R50" s="105">
        <v>1.2068752898874129</v>
      </c>
      <c r="S50" s="105">
        <v>466.33661201249629</v>
      </c>
      <c r="T50" s="105">
        <v>2.1153803106424824</v>
      </c>
      <c r="U50" s="105">
        <v>817.38295203225516</v>
      </c>
      <c r="V50" s="105">
        <v>2.1684552581174787</v>
      </c>
      <c r="W50" s="105">
        <v>837.89111173659376</v>
      </c>
      <c r="X50" s="105">
        <v>1.3294609405896052</v>
      </c>
      <c r="Y50" s="105">
        <v>513.70370744382342</v>
      </c>
      <c r="Z50" s="105">
        <v>1.2101658171605314</v>
      </c>
      <c r="AA50" s="105">
        <v>467.60807175082931</v>
      </c>
      <c r="AB50" s="105">
        <v>0</v>
      </c>
      <c r="AC50" s="105">
        <v>0</v>
      </c>
      <c r="AD50" s="105">
        <v>1.1725992272550279</v>
      </c>
      <c r="AE50" s="105">
        <v>453.09234141134272</v>
      </c>
      <c r="AF50" s="105">
        <v>2.3621854467535317</v>
      </c>
      <c r="AG50" s="105">
        <v>912.74845662556459</v>
      </c>
      <c r="AH50" s="105">
        <v>0</v>
      </c>
      <c r="AI50" s="105">
        <v>0</v>
      </c>
      <c r="AJ50" s="105">
        <v>1.9386691418640885</v>
      </c>
      <c r="AK50" s="105">
        <v>749.10175641628371</v>
      </c>
      <c r="AL50" s="105">
        <v>0.77547937549223489</v>
      </c>
      <c r="AM50" s="105">
        <v>299.64523069019953</v>
      </c>
      <c r="AN50" s="105">
        <v>0.7257694672790812</v>
      </c>
      <c r="AO50" s="105">
        <v>280.43732215663698</v>
      </c>
      <c r="AP50" s="105">
        <v>1.8891132500970216</v>
      </c>
      <c r="AQ50" s="105">
        <v>729.95335983748907</v>
      </c>
      <c r="AR50" s="105">
        <v>0</v>
      </c>
      <c r="AS50" s="105">
        <v>0</v>
      </c>
      <c r="AT50" s="105">
        <v>1.0257197181424511</v>
      </c>
      <c r="AU50" s="105">
        <v>396.33809909024308</v>
      </c>
      <c r="AV50" s="105">
        <v>1.7373762853555135</v>
      </c>
      <c r="AW50" s="105">
        <v>671.32219666137041</v>
      </c>
      <c r="AX50" s="105">
        <v>0.84680830531816886</v>
      </c>
      <c r="AY50" s="105">
        <v>327.20672917494045</v>
      </c>
      <c r="AZ50" s="105">
        <v>0.65233386660111858</v>
      </c>
      <c r="BA50" s="105">
        <v>252.06180605467222</v>
      </c>
      <c r="BB50" s="105">
        <v>1.6573119528540621</v>
      </c>
      <c r="BC50" s="105">
        <v>640.3853385828096</v>
      </c>
      <c r="BD50" s="105">
        <v>1.4794449731380226</v>
      </c>
      <c r="BE50" s="105">
        <v>571.65753762053191</v>
      </c>
      <c r="BF50" s="105">
        <v>0.97480612806165079</v>
      </c>
      <c r="BG50" s="105">
        <v>376.66508788302184</v>
      </c>
      <c r="BH50" s="105">
        <v>2.0346151618826727</v>
      </c>
      <c r="BI50" s="105">
        <v>786.17529855146472</v>
      </c>
      <c r="BJ50" s="105">
        <v>1.8446374524834994</v>
      </c>
      <c r="BK50" s="105">
        <v>712.76791163962412</v>
      </c>
      <c r="BL50" s="105">
        <v>2.0021399683314187</v>
      </c>
      <c r="BM50" s="105">
        <v>773.62688376326014</v>
      </c>
      <c r="BN50" s="105">
        <v>1.5150971586890847</v>
      </c>
      <c r="BO50" s="105">
        <v>585.43354211746225</v>
      </c>
      <c r="BP50" s="105">
        <v>0.40241209839294051</v>
      </c>
      <c r="BQ50" s="105">
        <v>155.4920348190322</v>
      </c>
      <c r="BR50" s="105">
        <v>0</v>
      </c>
      <c r="BS50" s="105">
        <v>0</v>
      </c>
      <c r="BT50" s="105">
        <v>0</v>
      </c>
      <c r="BU50" s="105">
        <v>0</v>
      </c>
      <c r="BV50" s="105">
        <v>1.915696205506658</v>
      </c>
      <c r="BW50" s="105">
        <v>740.2250138077726</v>
      </c>
      <c r="BX50" s="105">
        <v>2.2423218303608849</v>
      </c>
      <c r="BY50" s="105">
        <v>866.4331552514459</v>
      </c>
      <c r="BZ50" s="105">
        <v>0.94990837422207497</v>
      </c>
      <c r="CA50" s="105">
        <v>367.04459579940976</v>
      </c>
      <c r="CB50" s="105">
        <v>0.58229104934393994</v>
      </c>
      <c r="CC50" s="105">
        <v>224.99726146649837</v>
      </c>
      <c r="CD50" s="105">
        <v>0.48787086036485494</v>
      </c>
      <c r="CE50" s="105">
        <v>188.51330044497993</v>
      </c>
      <c r="CF50" s="105">
        <v>1.3745538609998416</v>
      </c>
      <c r="CG50" s="105">
        <v>531.1276118903387</v>
      </c>
      <c r="CH50" s="105">
        <v>1.2863361808394242</v>
      </c>
      <c r="CI50" s="105">
        <v>497.04030027635349</v>
      </c>
      <c r="CJ50" s="105">
        <v>1.8310283533735476</v>
      </c>
      <c r="CK50" s="105">
        <v>707.50935574353878</v>
      </c>
      <c r="CL50" s="105">
        <v>1.5705952972527317</v>
      </c>
      <c r="CM50" s="105">
        <v>606.87802285845555</v>
      </c>
      <c r="CN50" s="105">
        <v>1.8304003125433923</v>
      </c>
      <c r="CO50" s="105">
        <v>707.26668076676674</v>
      </c>
      <c r="CP50" s="105">
        <v>1.1609588013417558</v>
      </c>
      <c r="CQ50" s="105">
        <v>448.59448083845439</v>
      </c>
      <c r="CR50" s="105">
        <v>2.1027761827681228</v>
      </c>
      <c r="CS50" s="105">
        <v>812.51271702160261</v>
      </c>
      <c r="CT50" s="105">
        <v>2.4457082813150746</v>
      </c>
      <c r="CU50" s="105">
        <v>945.0216799001447</v>
      </c>
    </row>
    <row r="51" spans="2:99" x14ac:dyDescent="0.2">
      <c r="C51" s="104" t="s">
        <v>217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3.9216221673325622</v>
      </c>
      <c r="O51" s="105">
        <v>531.77196589029541</v>
      </c>
      <c r="P51" s="105">
        <v>3.2291633581173755</v>
      </c>
      <c r="Q51" s="105">
        <v>437.87455136071611</v>
      </c>
      <c r="R51" s="105">
        <v>2.7832312753297379</v>
      </c>
      <c r="S51" s="105">
        <v>377.40616093471243</v>
      </c>
      <c r="T51" s="105">
        <v>3.2291633581173755</v>
      </c>
      <c r="U51" s="105">
        <v>437.87455136071611</v>
      </c>
      <c r="V51" s="105">
        <v>3.5552224319905412</v>
      </c>
      <c r="W51" s="105">
        <v>482.08816177791738</v>
      </c>
      <c r="X51" s="105">
        <v>3.0276020089056983</v>
      </c>
      <c r="Y51" s="105">
        <v>410.54283240761265</v>
      </c>
      <c r="Z51" s="105">
        <v>3.5487466169960236</v>
      </c>
      <c r="AA51" s="105">
        <v>481.21004126466079</v>
      </c>
      <c r="AB51" s="105">
        <v>3.2634202558305136</v>
      </c>
      <c r="AC51" s="105">
        <v>442.51978669061765</v>
      </c>
      <c r="AD51" s="105">
        <v>3.4635766981881191</v>
      </c>
      <c r="AE51" s="105">
        <v>469.66100027430895</v>
      </c>
      <c r="AF51" s="105">
        <v>3.5879592867970844</v>
      </c>
      <c r="AG51" s="105">
        <v>486.5272792896846</v>
      </c>
      <c r="AH51" s="105">
        <v>4.2445792869952435</v>
      </c>
      <c r="AI51" s="105">
        <v>575.56495131655504</v>
      </c>
      <c r="AJ51" s="105">
        <v>3.5141809031941138</v>
      </c>
      <c r="AK51" s="105">
        <v>476.52293047312179</v>
      </c>
      <c r="AL51" s="105">
        <v>4.3007988802004791</v>
      </c>
      <c r="AM51" s="105">
        <v>583.18832815518499</v>
      </c>
      <c r="AN51" s="105">
        <v>4.0588789431892014</v>
      </c>
      <c r="AO51" s="105">
        <v>550.38398469645574</v>
      </c>
      <c r="AP51" s="105">
        <v>3.3823991193243348</v>
      </c>
      <c r="AQ51" s="105">
        <v>458.65332058037978</v>
      </c>
      <c r="AR51" s="105">
        <v>3.5515190752905514</v>
      </c>
      <c r="AS51" s="105">
        <v>481.58598660939873</v>
      </c>
      <c r="AT51" s="105">
        <v>2.4661542945959702</v>
      </c>
      <c r="AU51" s="105">
        <v>334.41052234721354</v>
      </c>
      <c r="AV51" s="105">
        <v>4.0359474237361566</v>
      </c>
      <c r="AW51" s="105">
        <v>547.27447065862282</v>
      </c>
      <c r="AX51" s="105">
        <v>5.1765412608789827</v>
      </c>
      <c r="AY51" s="105">
        <v>701.93899497518998</v>
      </c>
      <c r="AZ51" s="105">
        <v>4</v>
      </c>
      <c r="BA51" s="105">
        <v>542.4</v>
      </c>
      <c r="BB51" s="105">
        <v>3.5915848643346697</v>
      </c>
      <c r="BC51" s="105">
        <v>487.0189076037812</v>
      </c>
      <c r="BD51" s="105">
        <v>3.2022713555733344</v>
      </c>
      <c r="BE51" s="105">
        <v>434.22799581574412</v>
      </c>
      <c r="BF51" s="105">
        <v>2.8235679604794446</v>
      </c>
      <c r="BG51" s="105">
        <v>382.87581544101266</v>
      </c>
      <c r="BH51" s="105">
        <v>3.6251550369791916</v>
      </c>
      <c r="BI51" s="105">
        <v>491.57102301437834</v>
      </c>
      <c r="BJ51" s="105">
        <v>2.6615599627470177</v>
      </c>
      <c r="BK51" s="105">
        <v>360.90753094849561</v>
      </c>
      <c r="BL51" s="105">
        <v>2.9858419811966543</v>
      </c>
      <c r="BM51" s="105">
        <v>404.88017265026633</v>
      </c>
      <c r="BN51" s="105">
        <v>3.8934090582150613</v>
      </c>
      <c r="BO51" s="105">
        <v>527.94626829396225</v>
      </c>
      <c r="BP51" s="105">
        <v>3.5780751014340071</v>
      </c>
      <c r="BQ51" s="105">
        <v>485.18698375445132</v>
      </c>
      <c r="BR51" s="105">
        <v>0</v>
      </c>
      <c r="BS51" s="105">
        <v>0</v>
      </c>
      <c r="BT51" s="105">
        <v>3.3836220276898246</v>
      </c>
      <c r="BU51" s="105">
        <v>458.81914695474018</v>
      </c>
      <c r="BV51" s="105">
        <v>2.882044220016001</v>
      </c>
      <c r="BW51" s="105">
        <v>390.80519623416973</v>
      </c>
      <c r="BX51" s="105">
        <v>4.0111274262105052</v>
      </c>
      <c r="BY51" s="105">
        <v>543.90887899414452</v>
      </c>
      <c r="BZ51" s="105">
        <v>3.3784888313251153</v>
      </c>
      <c r="CA51" s="105">
        <v>458.12308552768565</v>
      </c>
      <c r="CB51" s="105">
        <v>3.3406411055055156</v>
      </c>
      <c r="CC51" s="105">
        <v>452.99093390654792</v>
      </c>
      <c r="CD51" s="105">
        <v>3.3613904291421961</v>
      </c>
      <c r="CE51" s="105">
        <v>455.80454219168178</v>
      </c>
      <c r="CF51" s="105">
        <v>3.7977814673115335</v>
      </c>
      <c r="CG51" s="105">
        <v>514.97916696744392</v>
      </c>
      <c r="CH51" s="105">
        <v>3.3406411055055156</v>
      </c>
      <c r="CI51" s="105">
        <v>452.99093390654792</v>
      </c>
      <c r="CJ51" s="105">
        <v>3.5239879196681443</v>
      </c>
      <c r="CK51" s="105">
        <v>477.85276190700034</v>
      </c>
      <c r="CL51" s="105">
        <v>4.189810522001757</v>
      </c>
      <c r="CM51" s="105">
        <v>568.13830678343822</v>
      </c>
      <c r="CN51" s="105">
        <v>3.8887462928758816</v>
      </c>
      <c r="CO51" s="105">
        <v>527.31399731396948</v>
      </c>
      <c r="CP51" s="105">
        <v>2.5567741374420168</v>
      </c>
      <c r="CQ51" s="105">
        <v>346.69857303713746</v>
      </c>
      <c r="CR51" s="105">
        <v>3.9686816333405535</v>
      </c>
      <c r="CS51" s="105">
        <v>538.15322948097901</v>
      </c>
      <c r="CT51" s="105">
        <v>4.5792480384698697</v>
      </c>
      <c r="CU51" s="105">
        <v>620.94603401651432</v>
      </c>
    </row>
    <row r="52" spans="2:99" x14ac:dyDescent="0.2">
      <c r="C52" s="104" t="s">
        <v>218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3.9216221673325622</v>
      </c>
      <c r="O52" s="105">
        <v>1044.7201453773944</v>
      </c>
      <c r="P52" s="105">
        <v>3.767357251136938</v>
      </c>
      <c r="Q52" s="105">
        <v>1003.6239717028802</v>
      </c>
      <c r="R52" s="105">
        <v>2.0874234564973038</v>
      </c>
      <c r="S52" s="105">
        <v>556.08960881088171</v>
      </c>
      <c r="T52" s="105">
        <v>3.767357251136938</v>
      </c>
      <c r="U52" s="105">
        <v>1003.6239717028802</v>
      </c>
      <c r="V52" s="105">
        <v>3.5552224319905412</v>
      </c>
      <c r="W52" s="105">
        <v>947.11125588228015</v>
      </c>
      <c r="X52" s="105">
        <v>3.0276020089056983</v>
      </c>
      <c r="Y52" s="105">
        <v>806.55317517247795</v>
      </c>
      <c r="Z52" s="105">
        <v>3.5487466169960236</v>
      </c>
      <c r="AA52" s="105">
        <v>945.38609876774058</v>
      </c>
      <c r="AB52" s="105">
        <v>3.8073236318022663</v>
      </c>
      <c r="AC52" s="105">
        <v>1014.2710155121237</v>
      </c>
      <c r="AD52" s="105">
        <v>3.4635766981881191</v>
      </c>
      <c r="AE52" s="105">
        <v>922.69683239731489</v>
      </c>
      <c r="AF52" s="105">
        <v>3.5879592867970844</v>
      </c>
      <c r="AG52" s="105">
        <v>955.83235400274316</v>
      </c>
      <c r="AH52" s="105">
        <v>3.53714940582937</v>
      </c>
      <c r="AI52" s="105">
        <v>942.29660171294404</v>
      </c>
      <c r="AJ52" s="105">
        <v>3.5141809031941138</v>
      </c>
      <c r="AK52" s="105">
        <v>936.17779261091187</v>
      </c>
      <c r="AL52" s="105">
        <v>4.3007988802004791</v>
      </c>
      <c r="AM52" s="105">
        <v>1145.7328216854075</v>
      </c>
      <c r="AN52" s="105">
        <v>4.0588789431892014</v>
      </c>
      <c r="AO52" s="105">
        <v>1081.2853504656032</v>
      </c>
      <c r="AP52" s="105">
        <v>3.3823991193243348</v>
      </c>
      <c r="AQ52" s="105">
        <v>901.07112538800266</v>
      </c>
      <c r="AR52" s="105">
        <v>3.5515190752905514</v>
      </c>
      <c r="AS52" s="105">
        <v>946.12468165740279</v>
      </c>
      <c r="AT52" s="105">
        <v>2.4661542945959702</v>
      </c>
      <c r="AU52" s="105">
        <v>656.9835040803664</v>
      </c>
      <c r="AV52" s="105">
        <v>4.0359474237361566</v>
      </c>
      <c r="AW52" s="105">
        <v>1075.176393683312</v>
      </c>
      <c r="AX52" s="105">
        <v>4.3137843840658192</v>
      </c>
      <c r="AY52" s="105">
        <v>1149.1921599151342</v>
      </c>
      <c r="AZ52" s="105">
        <v>4</v>
      </c>
      <c r="BA52" s="105">
        <v>1065.5999999999999</v>
      </c>
      <c r="BB52" s="105">
        <v>3.5915848643346697</v>
      </c>
      <c r="BC52" s="105">
        <v>956.79820785875597</v>
      </c>
      <c r="BD52" s="105">
        <v>3.2022713555733344</v>
      </c>
      <c r="BE52" s="105">
        <v>853.08508912473621</v>
      </c>
      <c r="BF52" s="105">
        <v>2.8235679604794446</v>
      </c>
      <c r="BG52" s="105">
        <v>752.19850467172398</v>
      </c>
      <c r="BH52" s="105">
        <v>3.6251550369791916</v>
      </c>
      <c r="BI52" s="105">
        <v>965.74130185125659</v>
      </c>
      <c r="BJ52" s="105">
        <v>3.5487466169960236</v>
      </c>
      <c r="BK52" s="105">
        <v>945.38609876774058</v>
      </c>
      <c r="BL52" s="105">
        <v>2.9858419811966543</v>
      </c>
      <c r="BM52" s="105">
        <v>795.42830379078862</v>
      </c>
      <c r="BN52" s="105">
        <v>3.8934090582150613</v>
      </c>
      <c r="BO52" s="105">
        <v>1037.2041731084923</v>
      </c>
      <c r="BP52" s="105">
        <v>3.5780751014340071</v>
      </c>
      <c r="BQ52" s="105">
        <v>953.19920702201944</v>
      </c>
      <c r="BR52" s="105">
        <v>0</v>
      </c>
      <c r="BS52" s="105">
        <v>0</v>
      </c>
      <c r="BT52" s="105">
        <v>3.3836220276898246</v>
      </c>
      <c r="BU52" s="105">
        <v>901.39690817656924</v>
      </c>
      <c r="BV52" s="105">
        <v>2.882044220016001</v>
      </c>
      <c r="BW52" s="105">
        <v>767.77658021226262</v>
      </c>
      <c r="BX52" s="105">
        <v>3.4381092224661471</v>
      </c>
      <c r="BY52" s="105">
        <v>915.9122968649815</v>
      </c>
      <c r="BZ52" s="105">
        <v>3.941570303212635</v>
      </c>
      <c r="CA52" s="105">
        <v>1050.0343287758458</v>
      </c>
      <c r="CB52" s="105">
        <v>4.0087693266066191</v>
      </c>
      <c r="CC52" s="105">
        <v>1067.9361486080034</v>
      </c>
      <c r="CD52" s="105">
        <v>4.0336685149706355</v>
      </c>
      <c r="CE52" s="105">
        <v>1074.5692923881772</v>
      </c>
      <c r="CF52" s="105">
        <v>3.7977814673115335</v>
      </c>
      <c r="CG52" s="105">
        <v>1011.7289828917925</v>
      </c>
      <c r="CH52" s="105">
        <v>3.3406411055055156</v>
      </c>
      <c r="CI52" s="105">
        <v>889.94679050666923</v>
      </c>
      <c r="CJ52" s="105">
        <v>3.0205610740012663</v>
      </c>
      <c r="CK52" s="105">
        <v>804.67747011393726</v>
      </c>
      <c r="CL52" s="105">
        <v>4.189810522001757</v>
      </c>
      <c r="CM52" s="105">
        <v>1116.165523061268</v>
      </c>
      <c r="CN52" s="105">
        <v>3.8887462928758816</v>
      </c>
      <c r="CO52" s="105">
        <v>1035.9620124221349</v>
      </c>
      <c r="CP52" s="105">
        <v>2.5567741374420168</v>
      </c>
      <c r="CQ52" s="105">
        <v>681.12463021455324</v>
      </c>
      <c r="CR52" s="105">
        <v>3.3072346944504609</v>
      </c>
      <c r="CS52" s="105">
        <v>881.04732260160267</v>
      </c>
      <c r="CT52" s="105">
        <v>4.5792480384698697</v>
      </c>
      <c r="CU52" s="105">
        <v>1219.9116774483732</v>
      </c>
    </row>
    <row r="53" spans="2:99" x14ac:dyDescent="0.2">
      <c r="C53" s="104" t="s">
        <v>219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3.9216221673325622</v>
      </c>
      <c r="O53" s="105">
        <v>1538.8445384612974</v>
      </c>
      <c r="P53" s="105">
        <v>3.2291633581173755</v>
      </c>
      <c r="Q53" s="105">
        <v>1267.1237017252581</v>
      </c>
      <c r="R53" s="105">
        <v>2.7832312753297379</v>
      </c>
      <c r="S53" s="105">
        <v>1092.1399524393892</v>
      </c>
      <c r="T53" s="105">
        <v>3.2291633581173755</v>
      </c>
      <c r="U53" s="105">
        <v>1267.1237017252581</v>
      </c>
      <c r="V53" s="105">
        <v>3.5552224319905412</v>
      </c>
      <c r="W53" s="105">
        <v>1395.0692823130883</v>
      </c>
      <c r="X53" s="105">
        <v>3.0276020089056983</v>
      </c>
      <c r="Y53" s="105">
        <v>1188.0310282945959</v>
      </c>
      <c r="Z53" s="105">
        <v>3.5487466169960236</v>
      </c>
      <c r="AA53" s="105">
        <v>1392.5281725092395</v>
      </c>
      <c r="AB53" s="105">
        <v>3.8073236318022663</v>
      </c>
      <c r="AC53" s="105">
        <v>1493.9937931192092</v>
      </c>
      <c r="AD53" s="105">
        <v>3.4635766981881191</v>
      </c>
      <c r="AE53" s="105">
        <v>1359.1074963690178</v>
      </c>
      <c r="AF53" s="105">
        <v>3.5879592867970844</v>
      </c>
      <c r="AG53" s="105">
        <v>1407.9152241391757</v>
      </c>
      <c r="AH53" s="105">
        <v>4.2445792869952435</v>
      </c>
      <c r="AI53" s="105">
        <v>1665.5729122169334</v>
      </c>
      <c r="AJ53" s="105">
        <v>4.2170170838329364</v>
      </c>
      <c r="AK53" s="105">
        <v>1654.7575036960441</v>
      </c>
      <c r="AL53" s="105">
        <v>3.5839990668337327</v>
      </c>
      <c r="AM53" s="105">
        <v>1406.3612338255566</v>
      </c>
      <c r="AN53" s="105">
        <v>4.0588789431892014</v>
      </c>
      <c r="AO53" s="105">
        <v>1592.7040973074425</v>
      </c>
      <c r="AP53" s="105">
        <v>4.0588789431892014</v>
      </c>
      <c r="AQ53" s="105">
        <v>1592.7040973074425</v>
      </c>
      <c r="AR53" s="105">
        <v>3.5515190752905514</v>
      </c>
      <c r="AS53" s="105">
        <v>1393.6160851440122</v>
      </c>
      <c r="AT53" s="105">
        <v>2.4661542945959702</v>
      </c>
      <c r="AU53" s="105">
        <v>967.71894519945863</v>
      </c>
      <c r="AV53" s="105">
        <v>4.0359474237361566</v>
      </c>
      <c r="AW53" s="105">
        <v>1583.7057690740678</v>
      </c>
      <c r="AX53" s="105">
        <v>4.3137843840658192</v>
      </c>
      <c r="AY53" s="105">
        <v>1692.7289923074275</v>
      </c>
      <c r="AZ53" s="105">
        <v>4</v>
      </c>
      <c r="BA53" s="105">
        <v>1569.6</v>
      </c>
      <c r="BB53" s="105">
        <v>3.5915848643346697</v>
      </c>
      <c r="BC53" s="105">
        <v>1409.3379007649244</v>
      </c>
      <c r="BD53" s="105">
        <v>2.5618170844586676</v>
      </c>
      <c r="BE53" s="105">
        <v>1005.2570239415811</v>
      </c>
      <c r="BF53" s="105">
        <v>3.7647572806392597</v>
      </c>
      <c r="BG53" s="105">
        <v>1477.2907569228455</v>
      </c>
      <c r="BH53" s="105">
        <v>3.1072757459821641</v>
      </c>
      <c r="BI53" s="105">
        <v>1219.295002723401</v>
      </c>
      <c r="BJ53" s="105">
        <v>3.5487466169960236</v>
      </c>
      <c r="BK53" s="105">
        <v>1392.5281725092395</v>
      </c>
      <c r="BL53" s="105">
        <v>2.9858419811966543</v>
      </c>
      <c r="BM53" s="105">
        <v>1171.6443934215672</v>
      </c>
      <c r="BN53" s="105">
        <v>3.1147272465720492</v>
      </c>
      <c r="BO53" s="105">
        <v>1222.218971554872</v>
      </c>
      <c r="BP53" s="105">
        <v>3.5780751014340071</v>
      </c>
      <c r="BQ53" s="105">
        <v>1404.0366698027044</v>
      </c>
      <c r="BR53" s="105">
        <v>0</v>
      </c>
      <c r="BS53" s="105">
        <v>0</v>
      </c>
      <c r="BT53" s="105">
        <v>3.3836220276898246</v>
      </c>
      <c r="BU53" s="105">
        <v>1327.7332836654871</v>
      </c>
      <c r="BV53" s="105">
        <v>2.882044220016001</v>
      </c>
      <c r="BW53" s="105">
        <v>1130.9141519342788</v>
      </c>
      <c r="BX53" s="105">
        <v>3.4381092224661471</v>
      </c>
      <c r="BY53" s="105">
        <v>1349.114058895716</v>
      </c>
      <c r="BZ53" s="105">
        <v>3.941570303212635</v>
      </c>
      <c r="CA53" s="105">
        <v>1546.6721869806379</v>
      </c>
      <c r="CB53" s="105">
        <v>3.3406411055055156</v>
      </c>
      <c r="CC53" s="105">
        <v>1310.8675698003642</v>
      </c>
      <c r="CD53" s="105">
        <v>4.0336685149706355</v>
      </c>
      <c r="CE53" s="105">
        <v>1582.8115252744774</v>
      </c>
      <c r="CF53" s="105">
        <v>3.1648178894262782</v>
      </c>
      <c r="CG53" s="105">
        <v>1241.8745398108715</v>
      </c>
      <c r="CH53" s="105">
        <v>3.3406411055055156</v>
      </c>
      <c r="CI53" s="105">
        <v>1310.8675698003642</v>
      </c>
      <c r="CJ53" s="105">
        <v>3.0205610740012663</v>
      </c>
      <c r="CK53" s="105">
        <v>1185.2681654380967</v>
      </c>
      <c r="CL53" s="105">
        <v>4.189810522001757</v>
      </c>
      <c r="CM53" s="105">
        <v>1644.0816488334892</v>
      </c>
      <c r="CN53" s="105">
        <v>3.8887462928758816</v>
      </c>
      <c r="CO53" s="105">
        <v>1525.9440453244958</v>
      </c>
      <c r="CP53" s="105">
        <v>2.5567741374420168</v>
      </c>
      <c r="CQ53" s="105">
        <v>1003.2781715322474</v>
      </c>
      <c r="CR53" s="105">
        <v>3.3072346944504609</v>
      </c>
      <c r="CS53" s="105">
        <v>1297.7588941023607</v>
      </c>
      <c r="CT53" s="105">
        <v>4.5792480384698697</v>
      </c>
      <c r="CU53" s="105">
        <v>1796.8969302955768</v>
      </c>
    </row>
    <row r="54" spans="2:99" x14ac:dyDescent="0.2">
      <c r="C54" s="104" t="s">
        <v>220</v>
      </c>
      <c r="D54" s="105">
        <v>1.9815301421868072</v>
      </c>
      <c r="E54" s="105">
        <v>808.46429801221734</v>
      </c>
      <c r="F54" s="105">
        <v>1.904714437504857</v>
      </c>
      <c r="G54" s="105">
        <v>777.12349050198168</v>
      </c>
      <c r="H54" s="105">
        <v>1.4979988892430953</v>
      </c>
      <c r="I54" s="105">
        <v>611.18354681118285</v>
      </c>
      <c r="J54" s="105">
        <v>1.8104006321152601</v>
      </c>
      <c r="K54" s="105">
        <v>738.64345790302616</v>
      </c>
      <c r="L54" s="105">
        <v>1.8392865546360024</v>
      </c>
      <c r="M54" s="105">
        <v>750.42891429148904</v>
      </c>
      <c r="N54" s="105">
        <v>2.0502513136669287</v>
      </c>
      <c r="O54" s="105">
        <v>836.50253597610686</v>
      </c>
      <c r="P54" s="105">
        <v>2.6115865002341518</v>
      </c>
      <c r="Q54" s="105">
        <v>1065.527292095534</v>
      </c>
      <c r="R54" s="105">
        <v>1.2068752898874129</v>
      </c>
      <c r="S54" s="105">
        <v>492.40511827406448</v>
      </c>
      <c r="T54" s="105">
        <v>2.4679436957495633</v>
      </c>
      <c r="U54" s="105">
        <v>1006.9210278658218</v>
      </c>
      <c r="V54" s="105">
        <v>2.1684552581174787</v>
      </c>
      <c r="W54" s="105">
        <v>884.72974531193131</v>
      </c>
      <c r="X54" s="105">
        <v>1.3294609405896052</v>
      </c>
      <c r="Y54" s="105">
        <v>542.42006376055895</v>
      </c>
      <c r="Z54" s="105">
        <v>1.4118601200206202</v>
      </c>
      <c r="AA54" s="105">
        <v>576.03892896841307</v>
      </c>
      <c r="AB54" s="105">
        <v>0</v>
      </c>
      <c r="AC54" s="105">
        <v>0</v>
      </c>
      <c r="AD54" s="105">
        <v>1.563465636340037</v>
      </c>
      <c r="AE54" s="105">
        <v>637.89397962673513</v>
      </c>
      <c r="AF54" s="105">
        <v>2.3621854467535317</v>
      </c>
      <c r="AG54" s="105">
        <v>963.77166227544092</v>
      </c>
      <c r="AH54" s="105">
        <v>0</v>
      </c>
      <c r="AI54" s="105">
        <v>0</v>
      </c>
      <c r="AJ54" s="105">
        <v>2.3264029702369058</v>
      </c>
      <c r="AK54" s="105">
        <v>949.17241185665762</v>
      </c>
      <c r="AL54" s="105">
        <v>0.77547937549223489</v>
      </c>
      <c r="AM54" s="105">
        <v>316.39558520083182</v>
      </c>
      <c r="AN54" s="105">
        <v>0.84673104515892794</v>
      </c>
      <c r="AO54" s="105">
        <v>345.46626642484262</v>
      </c>
      <c r="AP54" s="105">
        <v>1.574261041747518</v>
      </c>
      <c r="AQ54" s="105">
        <v>642.29850503298735</v>
      </c>
      <c r="AR54" s="105">
        <v>0</v>
      </c>
      <c r="AS54" s="105">
        <v>0</v>
      </c>
      <c r="AT54" s="105">
        <v>1.0257197181424511</v>
      </c>
      <c r="AU54" s="105">
        <v>418.49364500212005</v>
      </c>
      <c r="AV54" s="105">
        <v>2.0848515424266161</v>
      </c>
      <c r="AW54" s="105">
        <v>850.61942931005933</v>
      </c>
      <c r="AX54" s="105">
        <v>0.84680830531816886</v>
      </c>
      <c r="AY54" s="105">
        <v>345.49778856981288</v>
      </c>
      <c r="AZ54" s="105">
        <v>0.65233386660111858</v>
      </c>
      <c r="BA54" s="105">
        <v>266.15221757325639</v>
      </c>
      <c r="BB54" s="105">
        <v>1.6573119528540621</v>
      </c>
      <c r="BC54" s="105">
        <v>676.18327676445733</v>
      </c>
      <c r="BD54" s="105">
        <v>1.4794449731380226</v>
      </c>
      <c r="BE54" s="105">
        <v>603.61354904031327</v>
      </c>
      <c r="BF54" s="105">
        <v>1.2997415040822011</v>
      </c>
      <c r="BG54" s="105">
        <v>530.2945336655381</v>
      </c>
      <c r="BH54" s="105">
        <v>1.7439558530422907</v>
      </c>
      <c r="BI54" s="105">
        <v>711.53398804125459</v>
      </c>
      <c r="BJ54" s="105">
        <v>1.8446374524834994</v>
      </c>
      <c r="BK54" s="105">
        <v>752.61208061326772</v>
      </c>
      <c r="BL54" s="105">
        <v>2.0021399683314187</v>
      </c>
      <c r="BM54" s="105">
        <v>816.87310707921881</v>
      </c>
      <c r="BN54" s="105">
        <v>1.5150971586890847</v>
      </c>
      <c r="BO54" s="105">
        <v>618.15964074514659</v>
      </c>
      <c r="BP54" s="105">
        <v>0.40241209839294051</v>
      </c>
      <c r="BQ54" s="105">
        <v>164.18413614431972</v>
      </c>
      <c r="BR54" s="105">
        <v>0</v>
      </c>
      <c r="BS54" s="105">
        <v>0</v>
      </c>
      <c r="BT54" s="105">
        <v>0</v>
      </c>
      <c r="BU54" s="105">
        <v>0</v>
      </c>
      <c r="BV54" s="105">
        <v>1.915696205506658</v>
      </c>
      <c r="BW54" s="105">
        <v>781.6040518467164</v>
      </c>
      <c r="BX54" s="105">
        <v>2.2423218303608849</v>
      </c>
      <c r="BY54" s="105">
        <v>914.86730678724109</v>
      </c>
      <c r="BZ54" s="105">
        <v>0.94990837422207497</v>
      </c>
      <c r="CA54" s="105">
        <v>387.56261668260657</v>
      </c>
      <c r="CB54" s="105">
        <v>0.69874925921272801</v>
      </c>
      <c r="CC54" s="105">
        <v>285.08969775879302</v>
      </c>
      <c r="CD54" s="105">
        <v>0.48787086036485494</v>
      </c>
      <c r="CE54" s="105">
        <v>199.05131102886082</v>
      </c>
      <c r="CF54" s="105">
        <v>1.3745538609998416</v>
      </c>
      <c r="CG54" s="105">
        <v>560.81797528793538</v>
      </c>
      <c r="CH54" s="105">
        <v>1.2863361808394242</v>
      </c>
      <c r="CI54" s="105">
        <v>524.82516178248511</v>
      </c>
      <c r="CJ54" s="105">
        <v>1.5694528743201837</v>
      </c>
      <c r="CK54" s="105">
        <v>640.33677272263492</v>
      </c>
      <c r="CL54" s="105">
        <v>1.3088294143772765</v>
      </c>
      <c r="CM54" s="105">
        <v>534.00240106592878</v>
      </c>
      <c r="CN54" s="105">
        <v>2.1964803750520709</v>
      </c>
      <c r="CO54" s="105">
        <v>896.16399302124489</v>
      </c>
      <c r="CP54" s="105">
        <v>1.5479450684556744</v>
      </c>
      <c r="CQ54" s="105">
        <v>631.56158792991516</v>
      </c>
      <c r="CR54" s="105">
        <v>2.1027761827681228</v>
      </c>
      <c r="CS54" s="105">
        <v>857.93268256939416</v>
      </c>
      <c r="CT54" s="105">
        <v>2.9348499375780897</v>
      </c>
      <c r="CU54" s="105">
        <v>1197.4187745318607</v>
      </c>
    </row>
    <row r="55" spans="2:99" x14ac:dyDescent="0.2">
      <c r="C55" s="104" t="s">
        <v>221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0</v>
      </c>
      <c r="K55" s="105">
        <v>0</v>
      </c>
      <c r="L55" s="105">
        <v>0</v>
      </c>
      <c r="M55" s="105">
        <v>0</v>
      </c>
      <c r="N55" s="105">
        <v>3.9216221673325622</v>
      </c>
      <c r="O55" s="105">
        <v>997.66067936940362</v>
      </c>
      <c r="P55" s="105">
        <v>3.2291633581173755</v>
      </c>
      <c r="Q55" s="105">
        <v>821.49915830506018</v>
      </c>
      <c r="R55" s="105">
        <v>2.0874234564973038</v>
      </c>
      <c r="S55" s="105">
        <v>531.04052733291394</v>
      </c>
      <c r="T55" s="105">
        <v>3.2291633581173755</v>
      </c>
      <c r="U55" s="105">
        <v>821.49915830506018</v>
      </c>
      <c r="V55" s="105">
        <v>3.5552224319905412</v>
      </c>
      <c r="W55" s="105">
        <v>904.44858669839346</v>
      </c>
      <c r="X55" s="105">
        <v>3.0276020089056983</v>
      </c>
      <c r="Y55" s="105">
        <v>770.22195106560946</v>
      </c>
      <c r="Z55" s="105">
        <v>3.5487466169960236</v>
      </c>
      <c r="AA55" s="105">
        <v>902.80113936378825</v>
      </c>
      <c r="AB55" s="105">
        <v>3.2634202558305136</v>
      </c>
      <c r="AC55" s="105">
        <v>830.21411308328254</v>
      </c>
      <c r="AD55" s="105">
        <v>2.597682523641089</v>
      </c>
      <c r="AE55" s="105">
        <v>660.85043401429289</v>
      </c>
      <c r="AF55" s="105">
        <v>3.5879592867970844</v>
      </c>
      <c r="AG55" s="105">
        <v>912.77684256117811</v>
      </c>
      <c r="AH55" s="105">
        <v>4.2445792869952435</v>
      </c>
      <c r="AI55" s="105">
        <v>1079.8209706115897</v>
      </c>
      <c r="AJ55" s="105">
        <v>3.5141809031941138</v>
      </c>
      <c r="AK55" s="105">
        <v>894.00762177258241</v>
      </c>
      <c r="AL55" s="105">
        <v>3.5839990668337327</v>
      </c>
      <c r="AM55" s="105">
        <v>911.76936260250136</v>
      </c>
      <c r="AN55" s="105">
        <v>3.4790390941621725</v>
      </c>
      <c r="AO55" s="105">
        <v>885.06754555485645</v>
      </c>
      <c r="AP55" s="105">
        <v>3.3823991193243348</v>
      </c>
      <c r="AQ55" s="105">
        <v>860.48233595611055</v>
      </c>
      <c r="AR55" s="105">
        <v>3.5515190752905514</v>
      </c>
      <c r="AS55" s="105">
        <v>903.50645275391605</v>
      </c>
      <c r="AT55" s="105">
        <v>2.4661542945959702</v>
      </c>
      <c r="AU55" s="105">
        <v>627.38965254521474</v>
      </c>
      <c r="AV55" s="105">
        <v>4.0359474237361566</v>
      </c>
      <c r="AW55" s="105">
        <v>1026.745024598478</v>
      </c>
      <c r="AX55" s="105">
        <v>4.3137843840658192</v>
      </c>
      <c r="AY55" s="105">
        <v>1097.4267473063442</v>
      </c>
      <c r="AZ55" s="105">
        <v>4</v>
      </c>
      <c r="BA55" s="105">
        <v>1017.5999999999998</v>
      </c>
      <c r="BB55" s="105">
        <v>3.5915848643346697</v>
      </c>
      <c r="BC55" s="105">
        <v>913.69918948673978</v>
      </c>
      <c r="BD55" s="105">
        <v>3.2022713555733344</v>
      </c>
      <c r="BE55" s="105">
        <v>814.65783285785608</v>
      </c>
      <c r="BF55" s="105">
        <v>2.8235679604794446</v>
      </c>
      <c r="BG55" s="105">
        <v>718.31568914597051</v>
      </c>
      <c r="BH55" s="105">
        <v>3.1072757459821641</v>
      </c>
      <c r="BI55" s="105">
        <v>790.4909497778624</v>
      </c>
      <c r="BJ55" s="105">
        <v>2.6615599627470177</v>
      </c>
      <c r="BK55" s="105">
        <v>677.10085452284113</v>
      </c>
      <c r="BL55" s="105">
        <v>2.9858419811966543</v>
      </c>
      <c r="BM55" s="105">
        <v>759.59820001642868</v>
      </c>
      <c r="BN55" s="105">
        <v>3.8934090582150613</v>
      </c>
      <c r="BO55" s="105">
        <v>990.48326440991138</v>
      </c>
      <c r="BP55" s="105">
        <v>3.5780751014340071</v>
      </c>
      <c r="BQ55" s="105">
        <v>910.26230580481126</v>
      </c>
      <c r="BR55" s="105">
        <v>0</v>
      </c>
      <c r="BS55" s="105">
        <v>0</v>
      </c>
      <c r="BT55" s="105">
        <v>3.3836220276898246</v>
      </c>
      <c r="BU55" s="105">
        <v>860.79344384429123</v>
      </c>
      <c r="BV55" s="105">
        <v>2.882044220016001</v>
      </c>
      <c r="BW55" s="105">
        <v>733.19204957207046</v>
      </c>
      <c r="BX55" s="105">
        <v>4.0111274262105052</v>
      </c>
      <c r="BY55" s="105">
        <v>1020.4308172279523</v>
      </c>
      <c r="BZ55" s="105">
        <v>3.941570303212635</v>
      </c>
      <c r="CA55" s="105">
        <v>1002.7354851372942</v>
      </c>
      <c r="CB55" s="105">
        <v>4.0087693266066191</v>
      </c>
      <c r="CC55" s="105">
        <v>1019.8309166887237</v>
      </c>
      <c r="CD55" s="105">
        <v>4.0336685149706355</v>
      </c>
      <c r="CE55" s="105">
        <v>1026.1652702085294</v>
      </c>
      <c r="CF55" s="105">
        <v>3.7977814673115335</v>
      </c>
      <c r="CG55" s="105">
        <v>966.15560528405399</v>
      </c>
      <c r="CH55" s="105">
        <v>3.3406411055055156</v>
      </c>
      <c r="CI55" s="105">
        <v>849.85909724060298</v>
      </c>
      <c r="CJ55" s="105">
        <v>3.0205610740012663</v>
      </c>
      <c r="CK55" s="105">
        <v>768.43073722592203</v>
      </c>
      <c r="CL55" s="105">
        <v>4.189810522001757</v>
      </c>
      <c r="CM55" s="105">
        <v>1065.8877967972467</v>
      </c>
      <c r="CN55" s="105">
        <v>3.2406219107299017</v>
      </c>
      <c r="CO55" s="105">
        <v>824.41421408968688</v>
      </c>
      <c r="CP55" s="105">
        <v>2.5567741374420168</v>
      </c>
      <c r="CQ55" s="105">
        <v>650.44334056524895</v>
      </c>
      <c r="CR55" s="105">
        <v>3.9686816333405535</v>
      </c>
      <c r="CS55" s="105">
        <v>1009.6326075218366</v>
      </c>
      <c r="CT55" s="105">
        <v>4.5792480384698697</v>
      </c>
      <c r="CU55" s="105">
        <v>1164.9607009867345</v>
      </c>
    </row>
    <row r="56" spans="2:99" x14ac:dyDescent="0.2">
      <c r="C56" s="104" t="s">
        <v>222</v>
      </c>
      <c r="D56" s="105">
        <v>5.7631578947368425</v>
      </c>
      <c r="E56" s="105">
        <v>4370.7789473684215</v>
      </c>
      <c r="F56" s="105">
        <v>4.0368663594470053</v>
      </c>
      <c r="G56" s="105">
        <v>3061.559447004609</v>
      </c>
      <c r="H56" s="105">
        <v>2.4745762711864412</v>
      </c>
      <c r="I56" s="105">
        <v>1876.718644067797</v>
      </c>
      <c r="J56" s="105">
        <v>3.9459459459459469</v>
      </c>
      <c r="K56" s="105">
        <v>2992.6054054054061</v>
      </c>
      <c r="L56" s="105">
        <v>4.8666666666666671</v>
      </c>
      <c r="M56" s="105">
        <v>3690.88</v>
      </c>
      <c r="N56" s="105">
        <v>3.7628865979381447</v>
      </c>
      <c r="O56" s="105">
        <v>2853.7731958762888</v>
      </c>
      <c r="P56" s="105">
        <v>3.859030837004406</v>
      </c>
      <c r="Q56" s="105">
        <v>2926.6889867841414</v>
      </c>
      <c r="R56" s="105">
        <v>2.9795918367346941</v>
      </c>
      <c r="S56" s="105">
        <v>2259.7224489795917</v>
      </c>
      <c r="T56" s="105">
        <v>4.4051724137931041</v>
      </c>
      <c r="U56" s="105">
        <v>3340.8827586206899</v>
      </c>
      <c r="V56" s="105">
        <v>3.1912568306010933</v>
      </c>
      <c r="W56" s="105">
        <v>2420.249180327869</v>
      </c>
      <c r="X56" s="105">
        <v>3.5103825136612032</v>
      </c>
      <c r="Y56" s="105">
        <v>2662.2740983606564</v>
      </c>
      <c r="Z56" s="105">
        <v>4.866666666666668</v>
      </c>
      <c r="AA56" s="105">
        <v>3690.880000000001</v>
      </c>
      <c r="AB56" s="105">
        <v>5.7017751479289958</v>
      </c>
      <c r="AC56" s="105">
        <v>4324.2262721893503</v>
      </c>
      <c r="AD56" s="105">
        <v>2.9200000000000008</v>
      </c>
      <c r="AE56" s="105">
        <v>2214.5280000000007</v>
      </c>
      <c r="AF56" s="105">
        <v>4.7004878048780503</v>
      </c>
      <c r="AG56" s="105">
        <v>3564.8499512195131</v>
      </c>
      <c r="AH56" s="105">
        <v>3.7175925925925934</v>
      </c>
      <c r="AI56" s="105">
        <v>2819.4222222222229</v>
      </c>
      <c r="AJ56" s="105">
        <v>5.7017751479289958</v>
      </c>
      <c r="AK56" s="105">
        <v>4324.2262721893503</v>
      </c>
      <c r="AL56" s="105">
        <v>6</v>
      </c>
      <c r="AM56" s="105">
        <v>4550.3999999999996</v>
      </c>
      <c r="AN56" s="105">
        <v>7</v>
      </c>
      <c r="AO56" s="105">
        <v>5308.8</v>
      </c>
      <c r="AP56" s="105">
        <v>3.853535353535356</v>
      </c>
      <c r="AQ56" s="105">
        <v>2922.5212121212139</v>
      </c>
      <c r="AR56" s="105">
        <v>0</v>
      </c>
      <c r="AS56" s="105">
        <v>0</v>
      </c>
      <c r="AT56" s="105">
        <v>0</v>
      </c>
      <c r="AU56" s="105">
        <v>0</v>
      </c>
      <c r="AV56" s="105">
        <v>5.429258497161416</v>
      </c>
      <c r="AW56" s="105">
        <v>4117.5496442472177</v>
      </c>
      <c r="AX56" s="105">
        <v>5</v>
      </c>
      <c r="AY56" s="105">
        <v>3792</v>
      </c>
      <c r="AZ56" s="105">
        <v>3.8666666666666689</v>
      </c>
      <c r="BA56" s="105">
        <v>2932.4800000000018</v>
      </c>
      <c r="BB56" s="105">
        <v>4.1534482758620701</v>
      </c>
      <c r="BC56" s="105">
        <v>3149.9751724137941</v>
      </c>
      <c r="BD56" s="105">
        <v>3.0801687763713086</v>
      </c>
      <c r="BE56" s="105">
        <v>2336.0000000000005</v>
      </c>
      <c r="BF56" s="105">
        <v>2.6871165644171788</v>
      </c>
      <c r="BG56" s="105">
        <v>2037.9092024539884</v>
      </c>
      <c r="BH56" s="105">
        <v>4.8666666666666671</v>
      </c>
      <c r="BI56" s="105">
        <v>3690.88</v>
      </c>
      <c r="BJ56" s="105">
        <v>2.7677725118483418</v>
      </c>
      <c r="BK56" s="105">
        <v>2099.0786729857823</v>
      </c>
      <c r="BL56" s="105">
        <v>2.668020304568528</v>
      </c>
      <c r="BM56" s="105">
        <v>2023.4265989847715</v>
      </c>
      <c r="BN56" s="105">
        <v>4.2662337662337659</v>
      </c>
      <c r="BO56" s="105">
        <v>3235.511688311688</v>
      </c>
      <c r="BP56" s="105">
        <v>2.2786127167630057</v>
      </c>
      <c r="BQ56" s="105">
        <v>1728.0998843930636</v>
      </c>
      <c r="BR56" s="105">
        <v>2.9728506787330318</v>
      </c>
      <c r="BS56" s="105">
        <v>2254.6099547511312</v>
      </c>
      <c r="BT56" s="105">
        <v>3.8698795180722905</v>
      </c>
      <c r="BU56" s="105">
        <v>2934.9166265060248</v>
      </c>
      <c r="BV56" s="105">
        <v>4.1179487179487193</v>
      </c>
      <c r="BW56" s="105">
        <v>3123.0523076923087</v>
      </c>
      <c r="BX56" s="105">
        <v>5.3237569060773495</v>
      </c>
      <c r="BY56" s="105">
        <v>4037.5372375690617</v>
      </c>
      <c r="BZ56" s="105">
        <v>4.7235294117647078</v>
      </c>
      <c r="CA56" s="105">
        <v>3582.3247058823545</v>
      </c>
      <c r="CB56" s="105">
        <v>3.4272300469483574</v>
      </c>
      <c r="CC56" s="105">
        <v>2599.211267605634</v>
      </c>
      <c r="CD56" s="105">
        <v>4.1913875598086134</v>
      </c>
      <c r="CE56" s="105">
        <v>3178.7483253588525</v>
      </c>
      <c r="CF56" s="105">
        <v>3.459715639810427</v>
      </c>
      <c r="CG56" s="105">
        <v>2623.8483412322275</v>
      </c>
      <c r="CH56" s="105">
        <v>2.7809523809523817</v>
      </c>
      <c r="CI56" s="105">
        <v>2109.0742857142864</v>
      </c>
      <c r="CJ56" s="105">
        <v>4.0555555555555562</v>
      </c>
      <c r="CK56" s="105">
        <v>3075.7333333333336</v>
      </c>
      <c r="CL56" s="105">
        <v>3.5436893203883502</v>
      </c>
      <c r="CM56" s="105">
        <v>2687.5339805825247</v>
      </c>
      <c r="CN56" s="105">
        <v>2.9200000000000008</v>
      </c>
      <c r="CO56" s="105">
        <v>2214.5280000000007</v>
      </c>
      <c r="CP56" s="105">
        <v>2.7721518987341778</v>
      </c>
      <c r="CQ56" s="105">
        <v>2102.4000000000005</v>
      </c>
      <c r="CR56" s="105">
        <v>3.0932203389830515</v>
      </c>
      <c r="CS56" s="105">
        <v>2345.898305084746</v>
      </c>
      <c r="CT56" s="105">
        <v>4.7351351351351365</v>
      </c>
      <c r="CU56" s="105">
        <v>3591.1264864864875</v>
      </c>
    </row>
    <row r="57" spans="2:99" x14ac:dyDescent="0.2">
      <c r="C57" s="104" t="s">
        <v>223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0</v>
      </c>
      <c r="K57" s="105">
        <v>0</v>
      </c>
      <c r="L57" s="105">
        <v>0</v>
      </c>
      <c r="M57" s="105">
        <v>0</v>
      </c>
      <c r="N57" s="105">
        <v>3.9216221673325622</v>
      </c>
      <c r="O57" s="105">
        <v>2743.5668682658606</v>
      </c>
      <c r="P57" s="105">
        <v>3.767357251136938</v>
      </c>
      <c r="Q57" s="105">
        <v>2635.6431328954018</v>
      </c>
      <c r="R57" s="105">
        <v>2.0874234564973038</v>
      </c>
      <c r="S57" s="105">
        <v>1460.3614501655138</v>
      </c>
      <c r="T57" s="105">
        <v>3.767357251136938</v>
      </c>
      <c r="U57" s="105">
        <v>2635.6431328954018</v>
      </c>
      <c r="V57" s="105">
        <v>2.844177945592433</v>
      </c>
      <c r="W57" s="105">
        <v>1989.7868907364661</v>
      </c>
      <c r="X57" s="105">
        <v>3.0276020089056983</v>
      </c>
      <c r="Y57" s="105">
        <v>2118.1103654304266</v>
      </c>
      <c r="Z57" s="105">
        <v>3.5487466169960236</v>
      </c>
      <c r="AA57" s="105">
        <v>2482.703133250418</v>
      </c>
      <c r="AB57" s="105">
        <v>3.2634202558305136</v>
      </c>
      <c r="AC57" s="105">
        <v>2283.0888109790276</v>
      </c>
      <c r="AD57" s="105">
        <v>3.4635766981881191</v>
      </c>
      <c r="AE57" s="105">
        <v>2423.1182580524082</v>
      </c>
      <c r="AF57" s="105">
        <v>3.5879592867970844</v>
      </c>
      <c r="AG57" s="105">
        <v>2510.1363170432405</v>
      </c>
      <c r="AH57" s="105">
        <v>3.53714940582937</v>
      </c>
      <c r="AI57" s="105">
        <v>2474.5897243182271</v>
      </c>
      <c r="AJ57" s="105">
        <v>3.5141809031941138</v>
      </c>
      <c r="AK57" s="105">
        <v>2458.5209598746019</v>
      </c>
      <c r="AL57" s="105">
        <v>3.5839990668337327</v>
      </c>
      <c r="AM57" s="105">
        <v>2507.3657471568795</v>
      </c>
      <c r="AN57" s="105">
        <v>4.0588789431892014</v>
      </c>
      <c r="AO57" s="105">
        <v>2839.5917086551653</v>
      </c>
      <c r="AP57" s="105">
        <v>3.3823991193243348</v>
      </c>
      <c r="AQ57" s="105">
        <v>2366.3264238793049</v>
      </c>
      <c r="AR57" s="105">
        <v>3.044159207391901</v>
      </c>
      <c r="AS57" s="105">
        <v>2129.693781491374</v>
      </c>
      <c r="AT57" s="105">
        <v>2.4661542945959702</v>
      </c>
      <c r="AU57" s="105">
        <v>1725.3215444993409</v>
      </c>
      <c r="AV57" s="105">
        <v>3.36328951978013</v>
      </c>
      <c r="AW57" s="105">
        <v>2352.9573480381791</v>
      </c>
      <c r="AX57" s="105">
        <v>4.3137843840658192</v>
      </c>
      <c r="AY57" s="105">
        <v>3017.9235550924473</v>
      </c>
      <c r="AZ57" s="105">
        <v>4</v>
      </c>
      <c r="BA57" s="105">
        <v>2798.4</v>
      </c>
      <c r="BB57" s="105">
        <v>3.5915848643346697</v>
      </c>
      <c r="BC57" s="105">
        <v>2512.6727710885352</v>
      </c>
      <c r="BD57" s="105">
        <v>3.2022713555733344</v>
      </c>
      <c r="BE57" s="105">
        <v>2240.309040359105</v>
      </c>
      <c r="BF57" s="105">
        <v>2.8235679604794446</v>
      </c>
      <c r="BG57" s="105">
        <v>1975.3681451514194</v>
      </c>
      <c r="BH57" s="105">
        <v>3.1072757459821641</v>
      </c>
      <c r="BI57" s="105">
        <v>2173.8501118891222</v>
      </c>
      <c r="BJ57" s="105">
        <v>3.5487466169960236</v>
      </c>
      <c r="BK57" s="105">
        <v>2482.703133250418</v>
      </c>
      <c r="BL57" s="105">
        <v>2.9858419811966543</v>
      </c>
      <c r="BM57" s="105">
        <v>2088.8950500451792</v>
      </c>
      <c r="BN57" s="105">
        <v>3.1147272465720492</v>
      </c>
      <c r="BO57" s="105">
        <v>2179.0631817018057</v>
      </c>
      <c r="BP57" s="105">
        <v>3.5780751014340071</v>
      </c>
      <c r="BQ57" s="105">
        <v>2503.2213409632313</v>
      </c>
      <c r="BR57" s="105">
        <v>0</v>
      </c>
      <c r="BS57" s="105">
        <v>0</v>
      </c>
      <c r="BT57" s="105">
        <v>3.3836220276898246</v>
      </c>
      <c r="BU57" s="105">
        <v>2367.1819705718012</v>
      </c>
      <c r="BV57" s="105">
        <v>2.882044220016001</v>
      </c>
      <c r="BW57" s="105">
        <v>2016.2781363231943</v>
      </c>
      <c r="BX57" s="105">
        <v>3.4381092224661471</v>
      </c>
      <c r="BY57" s="105">
        <v>2405.3012120373164</v>
      </c>
      <c r="BZ57" s="105">
        <v>3.941570303212635</v>
      </c>
      <c r="CA57" s="105">
        <v>2757.5225841275596</v>
      </c>
      <c r="CB57" s="105">
        <v>4.0087693266066191</v>
      </c>
      <c r="CC57" s="105">
        <v>2804.5350208939908</v>
      </c>
      <c r="CD57" s="105">
        <v>3.3613904291421961</v>
      </c>
      <c r="CE57" s="105">
        <v>2351.6287442278804</v>
      </c>
      <c r="CF57" s="105">
        <v>3.7977814673115335</v>
      </c>
      <c r="CG57" s="105">
        <v>2656.9279145311489</v>
      </c>
      <c r="CH57" s="105">
        <v>2.6725128844044126</v>
      </c>
      <c r="CI57" s="105">
        <v>1869.6900139293271</v>
      </c>
      <c r="CJ57" s="105">
        <v>3.0205610740012663</v>
      </c>
      <c r="CK57" s="105">
        <v>2113.1845273712861</v>
      </c>
      <c r="CL57" s="105">
        <v>3.4915087683347972</v>
      </c>
      <c r="CM57" s="105">
        <v>2442.6595343270242</v>
      </c>
      <c r="CN57" s="105">
        <v>3.2406219107299017</v>
      </c>
      <c r="CO57" s="105">
        <v>2267.1390887466391</v>
      </c>
      <c r="CP57" s="105">
        <v>2.5567741374420168</v>
      </c>
      <c r="CQ57" s="105">
        <v>1788.7191865544351</v>
      </c>
      <c r="CR57" s="105">
        <v>3.3072346944504609</v>
      </c>
      <c r="CS57" s="105">
        <v>2313.7413922375426</v>
      </c>
      <c r="CT57" s="105">
        <v>4.5792480384698697</v>
      </c>
      <c r="CU57" s="105">
        <v>3203.641927713521</v>
      </c>
    </row>
    <row r="58" spans="2:99" x14ac:dyDescent="0.2">
      <c r="C58" s="104" t="s">
        <v>224</v>
      </c>
      <c r="D58" s="105">
        <v>5.7631578947368425</v>
      </c>
      <c r="E58" s="105">
        <v>4356.9473684210525</v>
      </c>
      <c r="F58" s="105">
        <v>4.0368663594470053</v>
      </c>
      <c r="G58" s="105">
        <v>3051.8709677419361</v>
      </c>
      <c r="H58" s="105">
        <v>2.4745762711864412</v>
      </c>
      <c r="I58" s="105">
        <v>1870.7796610169496</v>
      </c>
      <c r="J58" s="105">
        <v>3.9459459459459469</v>
      </c>
      <c r="K58" s="105">
        <v>2983.1351351351359</v>
      </c>
      <c r="L58" s="105">
        <v>4.8666666666666671</v>
      </c>
      <c r="M58" s="105">
        <v>3679.2000000000003</v>
      </c>
      <c r="N58" s="105">
        <v>3.7628865979381447</v>
      </c>
      <c r="O58" s="105">
        <v>2844.7422680412374</v>
      </c>
      <c r="P58" s="105">
        <v>3.859030837004406</v>
      </c>
      <c r="Q58" s="105">
        <v>2917.4273127753308</v>
      </c>
      <c r="R58" s="105">
        <v>2.9795918367346941</v>
      </c>
      <c r="S58" s="105">
        <v>2252.5714285714289</v>
      </c>
      <c r="T58" s="105">
        <v>3.7758620689655178</v>
      </c>
      <c r="U58" s="105">
        <v>2854.5517241379316</v>
      </c>
      <c r="V58" s="105">
        <v>3.9890710382513666</v>
      </c>
      <c r="W58" s="105">
        <v>3015.7377049180332</v>
      </c>
      <c r="X58" s="105">
        <v>3.5103825136612032</v>
      </c>
      <c r="Y58" s="105">
        <v>2653.8491803278698</v>
      </c>
      <c r="Z58" s="105">
        <v>4.0555555555555571</v>
      </c>
      <c r="AA58" s="105">
        <v>3066.0000000000014</v>
      </c>
      <c r="AB58" s="105">
        <v>5.7017751479289958</v>
      </c>
      <c r="AC58" s="105">
        <v>4310.5420118343209</v>
      </c>
      <c r="AD58" s="105">
        <v>2.9200000000000008</v>
      </c>
      <c r="AE58" s="105">
        <v>2207.5200000000004</v>
      </c>
      <c r="AF58" s="105">
        <v>3.9170731707317086</v>
      </c>
      <c r="AG58" s="105">
        <v>2961.3073170731718</v>
      </c>
      <c r="AH58" s="105">
        <v>3.7175925925925934</v>
      </c>
      <c r="AI58" s="105">
        <v>2810.5000000000005</v>
      </c>
      <c r="AJ58" s="105">
        <v>4.7514792899408294</v>
      </c>
      <c r="AK58" s="105">
        <v>3592.1183431952668</v>
      </c>
      <c r="AL58" s="105">
        <v>5</v>
      </c>
      <c r="AM58" s="105">
        <v>3780</v>
      </c>
      <c r="AN58" s="105">
        <v>7</v>
      </c>
      <c r="AO58" s="105">
        <v>5292</v>
      </c>
      <c r="AP58" s="105">
        <v>3.853535353535356</v>
      </c>
      <c r="AQ58" s="105">
        <v>2913.2727272727293</v>
      </c>
      <c r="AR58" s="105">
        <v>0</v>
      </c>
      <c r="AS58" s="105">
        <v>0</v>
      </c>
      <c r="AT58" s="105">
        <v>0</v>
      </c>
      <c r="AU58" s="105">
        <v>0</v>
      </c>
      <c r="AV58" s="105">
        <v>5.429258497161416</v>
      </c>
      <c r="AW58" s="105">
        <v>4104.5194238540307</v>
      </c>
      <c r="AX58" s="105">
        <v>5</v>
      </c>
      <c r="AY58" s="105">
        <v>3780</v>
      </c>
      <c r="AZ58" s="105">
        <v>3.8666666666666689</v>
      </c>
      <c r="BA58" s="105">
        <v>2923.2000000000016</v>
      </c>
      <c r="BB58" s="105">
        <v>4.1534482758620701</v>
      </c>
      <c r="BC58" s="105">
        <v>3140.0068965517248</v>
      </c>
      <c r="BD58" s="105">
        <v>3.0801687763713086</v>
      </c>
      <c r="BE58" s="105">
        <v>2328.6075949367091</v>
      </c>
      <c r="BF58" s="105">
        <v>3.5828220858895712</v>
      </c>
      <c r="BG58" s="105">
        <v>2708.6134969325158</v>
      </c>
      <c r="BH58" s="105">
        <v>4.1714285714285717</v>
      </c>
      <c r="BI58" s="105">
        <v>3153.6000000000004</v>
      </c>
      <c r="BJ58" s="105">
        <v>2.0758293838862563</v>
      </c>
      <c r="BK58" s="105">
        <v>1569.3270142180097</v>
      </c>
      <c r="BL58" s="105">
        <v>2.0010152284263962</v>
      </c>
      <c r="BM58" s="105">
        <v>1512.7675126903555</v>
      </c>
      <c r="BN58" s="105">
        <v>4.2662337662337659</v>
      </c>
      <c r="BO58" s="105">
        <v>3225.272727272727</v>
      </c>
      <c r="BP58" s="105">
        <v>3.0381502890173411</v>
      </c>
      <c r="BQ58" s="105">
        <v>2296.8416184971097</v>
      </c>
      <c r="BR58" s="105">
        <v>2.3782805429864258</v>
      </c>
      <c r="BS58" s="105">
        <v>1797.9800904977378</v>
      </c>
      <c r="BT58" s="105">
        <v>3.8698795180722905</v>
      </c>
      <c r="BU58" s="105">
        <v>2925.6289156626517</v>
      </c>
      <c r="BV58" s="105">
        <v>4.1179487179487193</v>
      </c>
      <c r="BW58" s="105">
        <v>3113.1692307692319</v>
      </c>
      <c r="BX58" s="105">
        <v>6.2110497237569078</v>
      </c>
      <c r="BY58" s="105">
        <v>4695.5535911602219</v>
      </c>
      <c r="BZ58" s="105">
        <v>4.7235294117647078</v>
      </c>
      <c r="CA58" s="105">
        <v>3570.988235294119</v>
      </c>
      <c r="CB58" s="105">
        <v>4.1126760563380289</v>
      </c>
      <c r="CC58" s="105">
        <v>3109.1830985915499</v>
      </c>
      <c r="CD58" s="105">
        <v>4.1913875598086134</v>
      </c>
      <c r="CE58" s="105">
        <v>3168.6889952153119</v>
      </c>
      <c r="CF58" s="105">
        <v>4.1516587677725125</v>
      </c>
      <c r="CG58" s="105">
        <v>3138.6540284360194</v>
      </c>
      <c r="CH58" s="105">
        <v>3.4761904761904767</v>
      </c>
      <c r="CI58" s="105">
        <v>2628.0000000000005</v>
      </c>
      <c r="CJ58" s="105">
        <v>4.0555555555555562</v>
      </c>
      <c r="CK58" s="105">
        <v>3066.0000000000005</v>
      </c>
      <c r="CL58" s="105">
        <v>3.5436893203883502</v>
      </c>
      <c r="CM58" s="105">
        <v>2679.0291262135929</v>
      </c>
      <c r="CN58" s="105">
        <v>3.5040000000000009</v>
      </c>
      <c r="CO58" s="105">
        <v>2649.0240000000008</v>
      </c>
      <c r="CP58" s="105">
        <v>3.6962025316455702</v>
      </c>
      <c r="CQ58" s="105">
        <v>2794.3291139240509</v>
      </c>
      <c r="CR58" s="105">
        <v>3.7118644067796618</v>
      </c>
      <c r="CS58" s="105">
        <v>2806.1694915254243</v>
      </c>
      <c r="CT58" s="105">
        <v>3.9459459459459469</v>
      </c>
      <c r="CU58" s="105">
        <v>2983.1351351351359</v>
      </c>
    </row>
    <row r="59" spans="2:99" x14ac:dyDescent="0.2">
      <c r="C59" s="104" t="s">
        <v>225</v>
      </c>
      <c r="D59" s="105">
        <v>1.9815301421868072</v>
      </c>
      <c r="E59" s="105">
        <v>870.28803844844572</v>
      </c>
      <c r="F59" s="105">
        <v>1.904714437504857</v>
      </c>
      <c r="G59" s="105">
        <v>836.55058095213315</v>
      </c>
      <c r="H59" s="105">
        <v>1.4979988892430953</v>
      </c>
      <c r="I59" s="105">
        <v>657.92111215556747</v>
      </c>
      <c r="J59" s="105">
        <v>1.8104006321152601</v>
      </c>
      <c r="K59" s="105">
        <v>795.12795762502219</v>
      </c>
      <c r="L59" s="105">
        <v>2.2071438655632027</v>
      </c>
      <c r="M59" s="105">
        <v>969.37758575535861</v>
      </c>
      <c r="N59" s="105">
        <v>2.0502513136669287</v>
      </c>
      <c r="O59" s="105">
        <v>900.47037696251505</v>
      </c>
      <c r="P59" s="105">
        <v>2.2385027144864154</v>
      </c>
      <c r="Q59" s="105">
        <v>983.15039220243364</v>
      </c>
      <c r="R59" s="105">
        <v>1.2068752898874129</v>
      </c>
      <c r="S59" s="105">
        <v>530.05962731855175</v>
      </c>
      <c r="T59" s="105">
        <v>2.1153803106424824</v>
      </c>
      <c r="U59" s="105">
        <v>929.0750324341783</v>
      </c>
      <c r="V59" s="105">
        <v>2.1684552581174787</v>
      </c>
      <c r="W59" s="105">
        <v>952.38554936519665</v>
      </c>
      <c r="X59" s="105">
        <v>1.3294609405896052</v>
      </c>
      <c r="Y59" s="105">
        <v>583.8992451069546</v>
      </c>
      <c r="Z59" s="105">
        <v>1.2101658171605314</v>
      </c>
      <c r="AA59" s="105">
        <v>531.50482689690534</v>
      </c>
      <c r="AB59" s="105">
        <v>0</v>
      </c>
      <c r="AC59" s="105">
        <v>0</v>
      </c>
      <c r="AD59" s="105">
        <v>1.1725992272550279</v>
      </c>
      <c r="AE59" s="105">
        <v>515.00558061040817</v>
      </c>
      <c r="AF59" s="105">
        <v>2.3621854467535317</v>
      </c>
      <c r="AG59" s="105">
        <v>1037.4718482141511</v>
      </c>
      <c r="AH59" s="105">
        <v>0</v>
      </c>
      <c r="AI59" s="105">
        <v>0</v>
      </c>
      <c r="AJ59" s="105">
        <v>1.9386691418640885</v>
      </c>
      <c r="AK59" s="105">
        <v>851.46348710670759</v>
      </c>
      <c r="AL59" s="105">
        <v>0.9305752505906818</v>
      </c>
      <c r="AM59" s="105">
        <v>408.70865005942744</v>
      </c>
      <c r="AN59" s="105">
        <v>0.84673104515892794</v>
      </c>
      <c r="AO59" s="105">
        <v>371.88427503380115</v>
      </c>
      <c r="AP59" s="105">
        <v>1.574261041747518</v>
      </c>
      <c r="AQ59" s="105">
        <v>691.41544953550988</v>
      </c>
      <c r="AR59" s="105">
        <v>0</v>
      </c>
      <c r="AS59" s="105">
        <v>0</v>
      </c>
      <c r="AT59" s="105">
        <v>1.0257197181424511</v>
      </c>
      <c r="AU59" s="105">
        <v>450.49610020816453</v>
      </c>
      <c r="AV59" s="105">
        <v>2.0848515424266161</v>
      </c>
      <c r="AW59" s="105">
        <v>915.66679743376972</v>
      </c>
      <c r="AX59" s="105">
        <v>0.84680830531816886</v>
      </c>
      <c r="AY59" s="105">
        <v>371.91820769573974</v>
      </c>
      <c r="AZ59" s="105">
        <v>0.65233386660111858</v>
      </c>
      <c r="BA59" s="105">
        <v>286.5050342112113</v>
      </c>
      <c r="BB59" s="105">
        <v>1.6573119528540621</v>
      </c>
      <c r="BC59" s="105">
        <v>727.8914096935041</v>
      </c>
      <c r="BD59" s="105">
        <v>1.4794449731380226</v>
      </c>
      <c r="BE59" s="105">
        <v>649.77223220221947</v>
      </c>
      <c r="BF59" s="105">
        <v>0.97480612806165079</v>
      </c>
      <c r="BG59" s="105">
        <v>428.134851444677</v>
      </c>
      <c r="BH59" s="105">
        <v>2.0346151618826727</v>
      </c>
      <c r="BI59" s="105">
        <v>893.60297909886981</v>
      </c>
      <c r="BJ59" s="105">
        <v>1.3834780893626248</v>
      </c>
      <c r="BK59" s="105">
        <v>607.62357684806477</v>
      </c>
      <c r="BL59" s="105">
        <v>2.0021399683314187</v>
      </c>
      <c r="BM59" s="105">
        <v>879.33987409115912</v>
      </c>
      <c r="BN59" s="105">
        <v>1.5150971586890847</v>
      </c>
      <c r="BO59" s="105">
        <v>665.43067209624598</v>
      </c>
      <c r="BP59" s="105">
        <v>0.40241209839294051</v>
      </c>
      <c r="BQ59" s="105">
        <v>176.73939361417948</v>
      </c>
      <c r="BR59" s="105">
        <v>0</v>
      </c>
      <c r="BS59" s="105">
        <v>0</v>
      </c>
      <c r="BT59" s="105">
        <v>0</v>
      </c>
      <c r="BU59" s="105">
        <v>0</v>
      </c>
      <c r="BV59" s="105">
        <v>1.915696205506658</v>
      </c>
      <c r="BW59" s="105">
        <v>841.37377345852417</v>
      </c>
      <c r="BX59" s="105">
        <v>2.2423218303608849</v>
      </c>
      <c r="BY59" s="105">
        <v>984.82774789450059</v>
      </c>
      <c r="BZ59" s="105">
        <v>0.94990837422207497</v>
      </c>
      <c r="CA59" s="105">
        <v>417.19975795833534</v>
      </c>
      <c r="CB59" s="105">
        <v>0.69874925921272801</v>
      </c>
      <c r="CC59" s="105">
        <v>306.89067464623014</v>
      </c>
      <c r="CD59" s="105">
        <v>0.40655905030404577</v>
      </c>
      <c r="CE59" s="105">
        <v>178.5607348935369</v>
      </c>
      <c r="CF59" s="105">
        <v>1.6494646331998097</v>
      </c>
      <c r="CG59" s="105">
        <v>724.44486690135636</v>
      </c>
      <c r="CH59" s="105">
        <v>1.2863361808394242</v>
      </c>
      <c r="CI59" s="105">
        <v>564.95885062467516</v>
      </c>
      <c r="CJ59" s="105">
        <v>1.5694528743201837</v>
      </c>
      <c r="CK59" s="105">
        <v>689.30370240142463</v>
      </c>
      <c r="CL59" s="105">
        <v>1.3088294143772765</v>
      </c>
      <c r="CM59" s="105">
        <v>574.83787879449983</v>
      </c>
      <c r="CN59" s="105">
        <v>1.8304003125433923</v>
      </c>
      <c r="CO59" s="105">
        <v>803.91181726905791</v>
      </c>
      <c r="CP59" s="105">
        <v>1.5479450684556744</v>
      </c>
      <c r="CQ59" s="105">
        <v>679.85747406573216</v>
      </c>
      <c r="CR59" s="105">
        <v>1.7523134856401026</v>
      </c>
      <c r="CS59" s="105">
        <v>769.61608289313301</v>
      </c>
      <c r="CT59" s="105">
        <v>2.9348499375780897</v>
      </c>
      <c r="CU59" s="105">
        <v>1288.986092584297</v>
      </c>
    </row>
    <row r="60" spans="2:99" x14ac:dyDescent="0.2">
      <c r="C60" s="104" t="s">
        <v>226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3.9216221673325622</v>
      </c>
      <c r="O60" s="105">
        <v>823.54065513983801</v>
      </c>
      <c r="P60" s="105">
        <v>3.2291633581173755</v>
      </c>
      <c r="Q60" s="105">
        <v>678.12430520464886</v>
      </c>
      <c r="R60" s="105">
        <v>2.7832312753297379</v>
      </c>
      <c r="S60" s="105">
        <v>584.47856781924497</v>
      </c>
      <c r="T60" s="105">
        <v>3.2291633581173755</v>
      </c>
      <c r="U60" s="105">
        <v>678.12430520464886</v>
      </c>
      <c r="V60" s="105">
        <v>3.5552224319905412</v>
      </c>
      <c r="W60" s="105">
        <v>746.5967107180137</v>
      </c>
      <c r="X60" s="105">
        <v>3.0276020089056983</v>
      </c>
      <c r="Y60" s="105">
        <v>635.7964218701967</v>
      </c>
      <c r="Z60" s="105">
        <v>3.5487466169960236</v>
      </c>
      <c r="AA60" s="105">
        <v>745.2367895691649</v>
      </c>
      <c r="AB60" s="105">
        <v>3.8073236318022663</v>
      </c>
      <c r="AC60" s="105">
        <v>799.53796267847588</v>
      </c>
      <c r="AD60" s="105">
        <v>2.597682523641089</v>
      </c>
      <c r="AE60" s="105">
        <v>545.51332996462872</v>
      </c>
      <c r="AF60" s="105">
        <v>3.5879592867970844</v>
      </c>
      <c r="AG60" s="105">
        <v>753.47145022738778</v>
      </c>
      <c r="AH60" s="105">
        <v>4.2445792869952435</v>
      </c>
      <c r="AI60" s="105">
        <v>891.36165026900107</v>
      </c>
      <c r="AJ60" s="105">
        <v>4.2170170838329364</v>
      </c>
      <c r="AK60" s="105">
        <v>885.57358760491661</v>
      </c>
      <c r="AL60" s="105">
        <v>3.5839990668337327</v>
      </c>
      <c r="AM60" s="105">
        <v>752.6398040350839</v>
      </c>
      <c r="AN60" s="105">
        <v>3.4790390941621725</v>
      </c>
      <c r="AO60" s="105">
        <v>730.59820977405627</v>
      </c>
      <c r="AP60" s="105">
        <v>3.3823991193243348</v>
      </c>
      <c r="AQ60" s="105">
        <v>710.30381505811033</v>
      </c>
      <c r="AR60" s="105">
        <v>3.5515190752905514</v>
      </c>
      <c r="AS60" s="105">
        <v>745.81900581101581</v>
      </c>
      <c r="AT60" s="105">
        <v>2.4661542945959702</v>
      </c>
      <c r="AU60" s="105">
        <v>517.89240186515372</v>
      </c>
      <c r="AV60" s="105">
        <v>3.36328951978013</v>
      </c>
      <c r="AW60" s="105">
        <v>706.29079915382727</v>
      </c>
      <c r="AX60" s="105">
        <v>4.3137843840658192</v>
      </c>
      <c r="AY60" s="105">
        <v>905.89472065382199</v>
      </c>
      <c r="AZ60" s="105">
        <v>4</v>
      </c>
      <c r="BA60" s="105">
        <v>840</v>
      </c>
      <c r="BB60" s="105">
        <v>3.5915848643346697</v>
      </c>
      <c r="BC60" s="105">
        <v>754.23282151028059</v>
      </c>
      <c r="BD60" s="105">
        <v>2.5618170844586676</v>
      </c>
      <c r="BE60" s="105">
        <v>537.98158773632019</v>
      </c>
      <c r="BF60" s="105">
        <v>3.7647572806392597</v>
      </c>
      <c r="BG60" s="105">
        <v>790.59902893424453</v>
      </c>
      <c r="BH60" s="105">
        <v>3.6251550369791916</v>
      </c>
      <c r="BI60" s="105">
        <v>761.28255776563026</v>
      </c>
      <c r="BJ60" s="105">
        <v>2.6615599627470177</v>
      </c>
      <c r="BK60" s="105">
        <v>558.92759217687376</v>
      </c>
      <c r="BL60" s="105">
        <v>2.9858419811966543</v>
      </c>
      <c r="BM60" s="105">
        <v>627.02681605129737</v>
      </c>
      <c r="BN60" s="105">
        <v>3.8934090582150613</v>
      </c>
      <c r="BO60" s="105">
        <v>817.61590222516293</v>
      </c>
      <c r="BP60" s="105">
        <v>3.5780751014340071</v>
      </c>
      <c r="BQ60" s="105">
        <v>751.39577130114151</v>
      </c>
      <c r="BR60" s="105">
        <v>0</v>
      </c>
      <c r="BS60" s="105">
        <v>0</v>
      </c>
      <c r="BT60" s="105">
        <v>3.3836220276898246</v>
      </c>
      <c r="BU60" s="105">
        <v>710.56062581486322</v>
      </c>
      <c r="BV60" s="105">
        <v>2.882044220016001</v>
      </c>
      <c r="BW60" s="105">
        <v>605.22928620336018</v>
      </c>
      <c r="BX60" s="105">
        <v>4.0111274262105052</v>
      </c>
      <c r="BY60" s="105">
        <v>842.33675950420604</v>
      </c>
      <c r="BZ60" s="105">
        <v>3.3784888313251153</v>
      </c>
      <c r="CA60" s="105">
        <v>709.48265457827426</v>
      </c>
      <c r="CB60" s="105">
        <v>4.0087693266066191</v>
      </c>
      <c r="CC60" s="105">
        <v>841.84155858739007</v>
      </c>
      <c r="CD60" s="105">
        <v>3.3613904291421961</v>
      </c>
      <c r="CE60" s="105">
        <v>705.89199011986113</v>
      </c>
      <c r="CF60" s="105">
        <v>3.7977814673115335</v>
      </c>
      <c r="CG60" s="105">
        <v>797.534108135422</v>
      </c>
      <c r="CH60" s="105">
        <v>3.3406411055055156</v>
      </c>
      <c r="CI60" s="105">
        <v>701.5346321561583</v>
      </c>
      <c r="CJ60" s="105">
        <v>3.0205610740012663</v>
      </c>
      <c r="CK60" s="105">
        <v>634.31782554026597</v>
      </c>
      <c r="CL60" s="105">
        <v>3.4915087683347972</v>
      </c>
      <c r="CM60" s="105">
        <v>733.21684135030739</v>
      </c>
      <c r="CN60" s="105">
        <v>3.8887462928758816</v>
      </c>
      <c r="CO60" s="105">
        <v>816.63672150393518</v>
      </c>
      <c r="CP60" s="105">
        <v>3.4090321832560226</v>
      </c>
      <c r="CQ60" s="105">
        <v>715.89675848376476</v>
      </c>
      <c r="CR60" s="105">
        <v>3.3072346944504609</v>
      </c>
      <c r="CS60" s="105">
        <v>694.51928583459676</v>
      </c>
      <c r="CT60" s="105">
        <v>4.5792480384698697</v>
      </c>
      <c r="CU60" s="105">
        <v>961.6420880786726</v>
      </c>
    </row>
    <row r="61" spans="2:99" x14ac:dyDescent="0.2">
      <c r="C61" s="104" t="s">
        <v>227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3.9216221673325622</v>
      </c>
      <c r="O61" s="105">
        <v>776.48118913184726</v>
      </c>
      <c r="P61" s="105">
        <v>3.2291633581173755</v>
      </c>
      <c r="Q61" s="105">
        <v>639.37434490724036</v>
      </c>
      <c r="R61" s="105">
        <v>2.7832312753297379</v>
      </c>
      <c r="S61" s="105">
        <v>551.07979251528809</v>
      </c>
      <c r="T61" s="105">
        <v>3.2291633581173755</v>
      </c>
      <c r="U61" s="105">
        <v>639.37434490724036</v>
      </c>
      <c r="V61" s="105">
        <v>3.5552224319905412</v>
      </c>
      <c r="W61" s="105">
        <v>703.93404153412712</v>
      </c>
      <c r="X61" s="105">
        <v>3.0276020089056983</v>
      </c>
      <c r="Y61" s="105">
        <v>599.46519776332832</v>
      </c>
      <c r="Z61" s="105">
        <v>3.5487466169960236</v>
      </c>
      <c r="AA61" s="105">
        <v>702.65183016521269</v>
      </c>
      <c r="AB61" s="105">
        <v>3.8073236318022663</v>
      </c>
      <c r="AC61" s="105">
        <v>753.85007909684873</v>
      </c>
      <c r="AD61" s="105">
        <v>3.4635766981881191</v>
      </c>
      <c r="AE61" s="105">
        <v>685.78818624124756</v>
      </c>
      <c r="AF61" s="105">
        <v>2.9899660723309034</v>
      </c>
      <c r="AG61" s="105">
        <v>592.01328232151889</v>
      </c>
      <c r="AH61" s="105">
        <v>3.53714940582937</v>
      </c>
      <c r="AI61" s="105">
        <v>700.35558235421524</v>
      </c>
      <c r="AJ61" s="105">
        <v>3.5141809031941138</v>
      </c>
      <c r="AK61" s="105">
        <v>695.80781883243458</v>
      </c>
      <c r="AL61" s="105">
        <v>4.3007988802004791</v>
      </c>
      <c r="AM61" s="105">
        <v>851.55817827969486</v>
      </c>
      <c r="AN61" s="105">
        <v>4.0588789431892014</v>
      </c>
      <c r="AO61" s="105">
        <v>803.65803075146187</v>
      </c>
      <c r="AP61" s="105">
        <v>4.0588789431892014</v>
      </c>
      <c r="AQ61" s="105">
        <v>803.65803075146187</v>
      </c>
      <c r="AR61" s="105">
        <v>3.044159207391901</v>
      </c>
      <c r="AS61" s="105">
        <v>602.7435230635964</v>
      </c>
      <c r="AT61" s="105">
        <v>2.4661542945959702</v>
      </c>
      <c r="AU61" s="105">
        <v>488.29855033000212</v>
      </c>
      <c r="AV61" s="105">
        <v>4.0359474237361566</v>
      </c>
      <c r="AW61" s="105">
        <v>799.11758989975897</v>
      </c>
      <c r="AX61" s="105">
        <v>4.3137843840658192</v>
      </c>
      <c r="AY61" s="105">
        <v>854.12930804503219</v>
      </c>
      <c r="AZ61" s="105">
        <v>4</v>
      </c>
      <c r="BA61" s="105">
        <v>792</v>
      </c>
      <c r="BB61" s="105">
        <v>3.5915848643346697</v>
      </c>
      <c r="BC61" s="105">
        <v>711.13380313826462</v>
      </c>
      <c r="BD61" s="105">
        <v>3.2022713555733344</v>
      </c>
      <c r="BE61" s="105">
        <v>634.04972840352025</v>
      </c>
      <c r="BF61" s="105">
        <v>2.8235679604794446</v>
      </c>
      <c r="BG61" s="105">
        <v>559.06645617493007</v>
      </c>
      <c r="BH61" s="105">
        <v>3.6251550369791916</v>
      </c>
      <c r="BI61" s="105">
        <v>717.78069732187998</v>
      </c>
      <c r="BJ61" s="105">
        <v>3.5487466169960236</v>
      </c>
      <c r="BK61" s="105">
        <v>702.65183016521269</v>
      </c>
      <c r="BL61" s="105">
        <v>2.9858419811966543</v>
      </c>
      <c r="BM61" s="105">
        <v>591.19671227693755</v>
      </c>
      <c r="BN61" s="105">
        <v>3.8934090582150613</v>
      </c>
      <c r="BO61" s="105">
        <v>770.8949935265822</v>
      </c>
      <c r="BP61" s="105">
        <v>3.5780751014340071</v>
      </c>
      <c r="BQ61" s="105">
        <v>708.45887008393345</v>
      </c>
      <c r="BR61" s="105">
        <v>0</v>
      </c>
      <c r="BS61" s="105">
        <v>0</v>
      </c>
      <c r="BT61" s="105">
        <v>3.3836220276898246</v>
      </c>
      <c r="BU61" s="105">
        <v>669.95716148258521</v>
      </c>
      <c r="BV61" s="105">
        <v>2.882044220016001</v>
      </c>
      <c r="BW61" s="105">
        <v>570.64475556316825</v>
      </c>
      <c r="BX61" s="105">
        <v>3.4381092224661471</v>
      </c>
      <c r="BY61" s="105">
        <v>680.74562604829714</v>
      </c>
      <c r="BZ61" s="105">
        <v>3.3784888313251153</v>
      </c>
      <c r="CA61" s="105">
        <v>668.94078860237289</v>
      </c>
      <c r="CB61" s="105">
        <v>4.0087693266066191</v>
      </c>
      <c r="CC61" s="105">
        <v>793.73632666811056</v>
      </c>
      <c r="CD61" s="105">
        <v>4.0336685149706355</v>
      </c>
      <c r="CE61" s="105">
        <v>798.66636596418584</v>
      </c>
      <c r="CF61" s="105">
        <v>3.7977814673115335</v>
      </c>
      <c r="CG61" s="105">
        <v>751.96073052768361</v>
      </c>
      <c r="CH61" s="105">
        <v>2.6725128844044126</v>
      </c>
      <c r="CI61" s="105">
        <v>529.15755111207375</v>
      </c>
      <c r="CJ61" s="105">
        <v>3.5239879196681443</v>
      </c>
      <c r="CK61" s="105">
        <v>697.74960809429263</v>
      </c>
      <c r="CL61" s="105">
        <v>4.189810522001757</v>
      </c>
      <c r="CM61" s="105">
        <v>829.58248335634789</v>
      </c>
      <c r="CN61" s="105">
        <v>3.8887462928758816</v>
      </c>
      <c r="CO61" s="105">
        <v>769.97176598942451</v>
      </c>
      <c r="CP61" s="105">
        <v>2.5567741374420168</v>
      </c>
      <c r="CQ61" s="105">
        <v>506.24127921351931</v>
      </c>
      <c r="CR61" s="105">
        <v>3.3072346944504609</v>
      </c>
      <c r="CS61" s="105">
        <v>654.83246950119121</v>
      </c>
      <c r="CT61" s="105">
        <v>5.3424560448815148</v>
      </c>
      <c r="CU61" s="105">
        <v>1057.8062968865399</v>
      </c>
    </row>
    <row r="62" spans="2:99" x14ac:dyDescent="0.2">
      <c r="C62" s="104" t="s">
        <v>228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3.9216221673325622</v>
      </c>
      <c r="O62" s="105">
        <v>3750.6394408368624</v>
      </c>
      <c r="P62" s="105">
        <v>3.2291633581173755</v>
      </c>
      <c r="Q62" s="105">
        <v>3088.3718357034577</v>
      </c>
      <c r="R62" s="105">
        <v>2.0874234564973038</v>
      </c>
      <c r="S62" s="105">
        <v>1996.4117937940214</v>
      </c>
      <c r="T62" s="105">
        <v>3.2291633581173755</v>
      </c>
      <c r="U62" s="105">
        <v>3088.3718357034577</v>
      </c>
      <c r="V62" s="105">
        <v>3.5552224319905412</v>
      </c>
      <c r="W62" s="105">
        <v>3400.2147339557537</v>
      </c>
      <c r="X62" s="105">
        <v>3.0276020089056983</v>
      </c>
      <c r="Y62" s="105">
        <v>2895.5985613174098</v>
      </c>
      <c r="Z62" s="105">
        <v>3.5487466169960236</v>
      </c>
      <c r="AA62" s="105">
        <v>3394.021264494997</v>
      </c>
      <c r="AB62" s="105">
        <v>3.2634202558305136</v>
      </c>
      <c r="AC62" s="105">
        <v>3121.1351326763033</v>
      </c>
      <c r="AD62" s="105">
        <v>2.597682523641089</v>
      </c>
      <c r="AE62" s="105">
        <v>2484.4235656103374</v>
      </c>
      <c r="AF62" s="105">
        <v>3.5879592867970844</v>
      </c>
      <c r="AG62" s="105">
        <v>3431.5242618927314</v>
      </c>
      <c r="AH62" s="105">
        <v>3.53714940582937</v>
      </c>
      <c r="AI62" s="105">
        <v>3382.9296917352094</v>
      </c>
      <c r="AJ62" s="105">
        <v>3.5141809031941138</v>
      </c>
      <c r="AK62" s="105">
        <v>3360.9626158148503</v>
      </c>
      <c r="AL62" s="105">
        <v>3.5839990668337327</v>
      </c>
      <c r="AM62" s="105">
        <v>3427.7367075197817</v>
      </c>
      <c r="AN62" s="105">
        <v>3.4790390941621725</v>
      </c>
      <c r="AO62" s="105">
        <v>3327.3529896567015</v>
      </c>
      <c r="AP62" s="105">
        <v>3.3823991193243348</v>
      </c>
      <c r="AQ62" s="105">
        <v>3234.9265177217935</v>
      </c>
      <c r="AR62" s="105">
        <v>3.5515190752905514</v>
      </c>
      <c r="AS62" s="105">
        <v>3396.6728436078834</v>
      </c>
      <c r="AT62" s="105">
        <v>1.8496157209469779</v>
      </c>
      <c r="AU62" s="105">
        <v>1768.9724755136897</v>
      </c>
      <c r="AV62" s="105">
        <v>3.36328951978013</v>
      </c>
      <c r="AW62" s="105">
        <v>3216.6500967177162</v>
      </c>
      <c r="AX62" s="105">
        <v>3.4510275072526553</v>
      </c>
      <c r="AY62" s="105">
        <v>3300.5627079364394</v>
      </c>
      <c r="AZ62" s="105">
        <v>4</v>
      </c>
      <c r="BA62" s="105">
        <v>3825.6</v>
      </c>
      <c r="BB62" s="105">
        <v>3.5915848643346697</v>
      </c>
      <c r="BC62" s="105">
        <v>3434.991764249678</v>
      </c>
      <c r="BD62" s="105">
        <v>3.2022713555733344</v>
      </c>
      <c r="BE62" s="105">
        <v>3062.6523244703371</v>
      </c>
      <c r="BF62" s="105">
        <v>3.7647572806392597</v>
      </c>
      <c r="BG62" s="105">
        <v>3600.6138632033881</v>
      </c>
      <c r="BH62" s="105">
        <v>3.6251550369791916</v>
      </c>
      <c r="BI62" s="105">
        <v>3467.0982773668989</v>
      </c>
      <c r="BJ62" s="105">
        <v>2.6615599627470177</v>
      </c>
      <c r="BK62" s="105">
        <v>2545.5159483712478</v>
      </c>
      <c r="BL62" s="105">
        <v>2.9858419811966543</v>
      </c>
      <c r="BM62" s="105">
        <v>2855.6592708164803</v>
      </c>
      <c r="BN62" s="105">
        <v>3.8934090582150613</v>
      </c>
      <c r="BO62" s="105">
        <v>3723.6564232768847</v>
      </c>
      <c r="BP62" s="105">
        <v>3.5780751014340071</v>
      </c>
      <c r="BQ62" s="105">
        <v>3422.0710270114841</v>
      </c>
      <c r="BR62" s="105">
        <v>0</v>
      </c>
      <c r="BS62" s="105">
        <v>0</v>
      </c>
      <c r="BT62" s="105">
        <v>3.3836220276898246</v>
      </c>
      <c r="BU62" s="105">
        <v>3236.096107282548</v>
      </c>
      <c r="BV62" s="105">
        <v>2.882044220016001</v>
      </c>
      <c r="BW62" s="105">
        <v>2756.3870920233035</v>
      </c>
      <c r="BX62" s="105">
        <v>3.4381092224661471</v>
      </c>
      <c r="BY62" s="105">
        <v>3288.2076603666233</v>
      </c>
      <c r="BZ62" s="105">
        <v>3.3784888313251153</v>
      </c>
      <c r="CA62" s="105">
        <v>3231.1867182793403</v>
      </c>
      <c r="CB62" s="105">
        <v>4.0087693266066191</v>
      </c>
      <c r="CC62" s="105">
        <v>3833.9869839665703</v>
      </c>
      <c r="CD62" s="105">
        <v>3.3613904291421961</v>
      </c>
      <c r="CE62" s="105">
        <v>3214.8338064315963</v>
      </c>
      <c r="CF62" s="105">
        <v>3.7977814673115335</v>
      </c>
      <c r="CG62" s="105">
        <v>3632.1981953367508</v>
      </c>
      <c r="CH62" s="105">
        <v>2.6725128844044126</v>
      </c>
      <c r="CI62" s="105">
        <v>2555.99132264438</v>
      </c>
      <c r="CJ62" s="105">
        <v>3.5239879196681443</v>
      </c>
      <c r="CK62" s="105">
        <v>3370.3420463706129</v>
      </c>
      <c r="CL62" s="105">
        <v>4.189810522001757</v>
      </c>
      <c r="CM62" s="105">
        <v>4007.1347832424804</v>
      </c>
      <c r="CN62" s="105">
        <v>3.2406219107299017</v>
      </c>
      <c r="CO62" s="105">
        <v>3099.3307954220777</v>
      </c>
      <c r="CP62" s="105">
        <v>3.4090321832560226</v>
      </c>
      <c r="CQ62" s="105">
        <v>3260.3983800660599</v>
      </c>
      <c r="CR62" s="105">
        <v>3.9686816333405535</v>
      </c>
      <c r="CS62" s="105">
        <v>3795.6471141269053</v>
      </c>
      <c r="CT62" s="105">
        <v>4.5792480384698697</v>
      </c>
      <c r="CU62" s="105">
        <v>4379.5928239925834</v>
      </c>
    </row>
    <row r="63" spans="2:99" x14ac:dyDescent="0.2">
      <c r="C63" s="104" t="s">
        <v>229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3.9216221673325622</v>
      </c>
      <c r="O63" s="105">
        <v>117.64866501997686</v>
      </c>
      <c r="P63" s="105">
        <v>3.2291633581173755</v>
      </c>
      <c r="Q63" s="105">
        <v>96.874900743521266</v>
      </c>
      <c r="R63" s="105">
        <v>2.7832312753297379</v>
      </c>
      <c r="S63" s="105">
        <v>83.496938259892133</v>
      </c>
      <c r="T63" s="105">
        <v>3.2291633581173755</v>
      </c>
      <c r="U63" s="105">
        <v>96.874900743521266</v>
      </c>
      <c r="V63" s="105">
        <v>4.2662669183886495</v>
      </c>
      <c r="W63" s="105">
        <v>127.98800755165948</v>
      </c>
      <c r="X63" s="105">
        <v>3.7845025111321231</v>
      </c>
      <c r="Y63" s="105">
        <v>113.53507533396369</v>
      </c>
      <c r="Z63" s="105">
        <v>3.5487466169960236</v>
      </c>
      <c r="AA63" s="105">
        <v>106.4623985098807</v>
      </c>
      <c r="AB63" s="105">
        <v>3.8073236318022663</v>
      </c>
      <c r="AC63" s="105">
        <v>114.21970895406798</v>
      </c>
      <c r="AD63" s="105">
        <v>3.4635766981881191</v>
      </c>
      <c r="AE63" s="105">
        <v>103.90730094564357</v>
      </c>
      <c r="AF63" s="105">
        <v>3.5879592867970844</v>
      </c>
      <c r="AG63" s="105">
        <v>107.63877860391253</v>
      </c>
      <c r="AH63" s="105">
        <v>3.53714940582937</v>
      </c>
      <c r="AI63" s="105">
        <v>106.1144821748811</v>
      </c>
      <c r="AJ63" s="105">
        <v>3.5141809031941138</v>
      </c>
      <c r="AK63" s="105">
        <v>105.42542709582341</v>
      </c>
      <c r="AL63" s="105">
        <v>4.3007988802004791</v>
      </c>
      <c r="AM63" s="105">
        <v>129.02396640601438</v>
      </c>
      <c r="AN63" s="105">
        <v>3.4790390941621725</v>
      </c>
      <c r="AO63" s="105">
        <v>104.37117282486517</v>
      </c>
      <c r="AP63" s="105">
        <v>3.3823991193243348</v>
      </c>
      <c r="AQ63" s="105">
        <v>101.47197357973005</v>
      </c>
      <c r="AR63" s="105">
        <v>3.044159207391901</v>
      </c>
      <c r="AS63" s="105">
        <v>91.324776221757034</v>
      </c>
      <c r="AT63" s="105">
        <v>2.4661542945959702</v>
      </c>
      <c r="AU63" s="105">
        <v>73.984628837879114</v>
      </c>
      <c r="AV63" s="105">
        <v>4.0359474237361566</v>
      </c>
      <c r="AW63" s="105">
        <v>121.0784227120847</v>
      </c>
      <c r="AX63" s="105">
        <v>5.1765412608789827</v>
      </c>
      <c r="AY63" s="105">
        <v>155.29623782636949</v>
      </c>
      <c r="AZ63" s="105">
        <v>4</v>
      </c>
      <c r="BA63" s="105">
        <v>120</v>
      </c>
      <c r="BB63" s="105">
        <v>3.5915848643346697</v>
      </c>
      <c r="BC63" s="105">
        <v>107.74754593004009</v>
      </c>
      <c r="BD63" s="105">
        <v>3.2022713555733344</v>
      </c>
      <c r="BE63" s="105">
        <v>96.068140667200026</v>
      </c>
      <c r="BF63" s="105">
        <v>2.8235679604794446</v>
      </c>
      <c r="BG63" s="105">
        <v>84.707038814383338</v>
      </c>
      <c r="BH63" s="105">
        <v>3.6251550369791916</v>
      </c>
      <c r="BI63" s="105">
        <v>108.75465110937574</v>
      </c>
      <c r="BJ63" s="105">
        <v>3.5487466169960236</v>
      </c>
      <c r="BK63" s="105">
        <v>106.4623985098807</v>
      </c>
      <c r="BL63" s="105">
        <v>2.9858419811966543</v>
      </c>
      <c r="BM63" s="105">
        <v>89.575259435899625</v>
      </c>
      <c r="BN63" s="105">
        <v>3.1147272465720492</v>
      </c>
      <c r="BO63" s="105">
        <v>93.441817397161472</v>
      </c>
      <c r="BP63" s="105">
        <v>3.5780751014340071</v>
      </c>
      <c r="BQ63" s="105">
        <v>107.34225304302021</v>
      </c>
      <c r="BR63" s="105">
        <v>0</v>
      </c>
      <c r="BS63" s="105">
        <v>0</v>
      </c>
      <c r="BT63" s="105">
        <v>3.3836220276898246</v>
      </c>
      <c r="BU63" s="105">
        <v>101.50866083069474</v>
      </c>
      <c r="BV63" s="105">
        <v>2.882044220016001</v>
      </c>
      <c r="BW63" s="105">
        <v>86.461326600480035</v>
      </c>
      <c r="BX63" s="105">
        <v>3.4381092224661471</v>
      </c>
      <c r="BY63" s="105">
        <v>103.14327667398442</v>
      </c>
      <c r="BZ63" s="105">
        <v>3.3784888313251153</v>
      </c>
      <c r="CA63" s="105">
        <v>101.35466493975346</v>
      </c>
      <c r="CB63" s="105">
        <v>4.0087693266066191</v>
      </c>
      <c r="CC63" s="105">
        <v>120.26307979819858</v>
      </c>
      <c r="CD63" s="105">
        <v>4.0336685149706355</v>
      </c>
      <c r="CE63" s="105">
        <v>121.01005544911906</v>
      </c>
      <c r="CF63" s="105">
        <v>3.7977814673115335</v>
      </c>
      <c r="CG63" s="105">
        <v>113.93344401934601</v>
      </c>
      <c r="CH63" s="105">
        <v>3.3406411055055156</v>
      </c>
      <c r="CI63" s="105">
        <v>100.21923316516546</v>
      </c>
      <c r="CJ63" s="105">
        <v>3.0205610740012663</v>
      </c>
      <c r="CK63" s="105">
        <v>90.616832220037992</v>
      </c>
      <c r="CL63" s="105">
        <v>4.189810522001757</v>
      </c>
      <c r="CM63" s="105">
        <v>125.69431566005271</v>
      </c>
      <c r="CN63" s="105">
        <v>3.8887462928758816</v>
      </c>
      <c r="CO63" s="105">
        <v>116.66238878627645</v>
      </c>
      <c r="CP63" s="105">
        <v>3.4090321832560226</v>
      </c>
      <c r="CQ63" s="105">
        <v>102.27096549768068</v>
      </c>
      <c r="CR63" s="105">
        <v>3.9686816333405535</v>
      </c>
      <c r="CS63" s="105">
        <v>119.06044900021661</v>
      </c>
      <c r="CT63" s="105">
        <v>4.5792480384698697</v>
      </c>
      <c r="CU63" s="105">
        <v>137.37744115409609</v>
      </c>
    </row>
    <row r="64" spans="2:99" x14ac:dyDescent="0.2">
      <c r="C64" s="104" t="s">
        <v>230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5">
        <v>3.9216221673325622</v>
      </c>
      <c r="O64" s="105">
        <v>880.01201434942698</v>
      </c>
      <c r="P64" s="105">
        <v>3.2291633581173755</v>
      </c>
      <c r="Q64" s="105">
        <v>724.62425756153914</v>
      </c>
      <c r="R64" s="105">
        <v>2.0874234564973038</v>
      </c>
      <c r="S64" s="105">
        <v>468.41782363799496</v>
      </c>
      <c r="T64" s="105">
        <v>3.2291633581173755</v>
      </c>
      <c r="U64" s="105">
        <v>724.62425756153914</v>
      </c>
      <c r="V64" s="105">
        <v>3.5552224319905412</v>
      </c>
      <c r="W64" s="105">
        <v>797.79191373867752</v>
      </c>
      <c r="X64" s="105">
        <v>3.0276020089056983</v>
      </c>
      <c r="Y64" s="105">
        <v>679.39389079843875</v>
      </c>
      <c r="Z64" s="105">
        <v>3.5487466169960236</v>
      </c>
      <c r="AA64" s="105">
        <v>796.33874085390767</v>
      </c>
      <c r="AB64" s="105">
        <v>3.2634202558305136</v>
      </c>
      <c r="AC64" s="105">
        <v>732.31150540836722</v>
      </c>
      <c r="AD64" s="105">
        <v>3.4635766981881191</v>
      </c>
      <c r="AE64" s="105">
        <v>777.22661107341389</v>
      </c>
      <c r="AF64" s="105">
        <v>3.5879592867970844</v>
      </c>
      <c r="AG64" s="105">
        <v>805.13806395726579</v>
      </c>
      <c r="AH64" s="105">
        <v>4.2445792869952435</v>
      </c>
      <c r="AI64" s="105">
        <v>952.48359200173263</v>
      </c>
      <c r="AJ64" s="105">
        <v>3.5141809031941138</v>
      </c>
      <c r="AK64" s="105">
        <v>788.58219467675917</v>
      </c>
      <c r="AL64" s="105">
        <v>4.3007988802004791</v>
      </c>
      <c r="AM64" s="105">
        <v>965.09926871698758</v>
      </c>
      <c r="AN64" s="105">
        <v>4.0588789431892014</v>
      </c>
      <c r="AO64" s="105">
        <v>910.8124348516568</v>
      </c>
      <c r="AP64" s="105">
        <v>3.3823991193243348</v>
      </c>
      <c r="AQ64" s="105">
        <v>759.01036237638073</v>
      </c>
      <c r="AR64" s="105">
        <v>3.044159207391901</v>
      </c>
      <c r="AS64" s="105">
        <v>683.10932613874263</v>
      </c>
      <c r="AT64" s="105">
        <v>2.4661542945959702</v>
      </c>
      <c r="AU64" s="105">
        <v>553.40502370733577</v>
      </c>
      <c r="AV64" s="105">
        <v>4.0359474237361566</v>
      </c>
      <c r="AW64" s="105">
        <v>905.66660188639355</v>
      </c>
      <c r="AX64" s="105">
        <v>4.3137843840658192</v>
      </c>
      <c r="AY64" s="105">
        <v>968.01321578436989</v>
      </c>
      <c r="AZ64" s="105">
        <v>4</v>
      </c>
      <c r="BA64" s="105">
        <v>897.6</v>
      </c>
      <c r="BB64" s="105">
        <v>4.1901823417237818</v>
      </c>
      <c r="BC64" s="105">
        <v>940.27691748281666</v>
      </c>
      <c r="BD64" s="105">
        <v>3.2022713555733344</v>
      </c>
      <c r="BE64" s="105">
        <v>718.58969219065625</v>
      </c>
      <c r="BF64" s="105">
        <v>2.8235679604794446</v>
      </c>
      <c r="BG64" s="105">
        <v>633.60865033158734</v>
      </c>
      <c r="BH64" s="105">
        <v>3.6251550369791916</v>
      </c>
      <c r="BI64" s="105">
        <v>813.48479029813063</v>
      </c>
      <c r="BJ64" s="105">
        <v>3.5487466169960236</v>
      </c>
      <c r="BK64" s="105">
        <v>796.33874085390767</v>
      </c>
      <c r="BL64" s="105">
        <v>2.9858419811966543</v>
      </c>
      <c r="BM64" s="105">
        <v>670.02294058052928</v>
      </c>
      <c r="BN64" s="105">
        <v>3.8934090582150613</v>
      </c>
      <c r="BO64" s="105">
        <v>873.68099266345973</v>
      </c>
      <c r="BP64" s="105">
        <v>3.5780751014340071</v>
      </c>
      <c r="BQ64" s="105">
        <v>802.92005276179123</v>
      </c>
      <c r="BR64" s="105">
        <v>0</v>
      </c>
      <c r="BS64" s="105">
        <v>0</v>
      </c>
      <c r="BT64" s="105">
        <v>3.3836220276898246</v>
      </c>
      <c r="BU64" s="105">
        <v>759.28478301359667</v>
      </c>
      <c r="BV64" s="105">
        <v>2.882044220016001</v>
      </c>
      <c r="BW64" s="105">
        <v>646.73072297159069</v>
      </c>
      <c r="BX64" s="105">
        <v>4.0111274262105052</v>
      </c>
      <c r="BY64" s="105">
        <v>900.09699444163743</v>
      </c>
      <c r="BZ64" s="105">
        <v>3.941570303212635</v>
      </c>
      <c r="CA64" s="105">
        <v>884.48837604091534</v>
      </c>
      <c r="CB64" s="105">
        <v>4.0087693266066191</v>
      </c>
      <c r="CC64" s="105">
        <v>899.56783689052531</v>
      </c>
      <c r="CD64" s="105">
        <v>4.0336685149706355</v>
      </c>
      <c r="CE64" s="105">
        <v>905.15521475941068</v>
      </c>
      <c r="CF64" s="105">
        <v>3.7977814673115335</v>
      </c>
      <c r="CG64" s="105">
        <v>852.22216126470812</v>
      </c>
      <c r="CH64" s="105">
        <v>3.3406411055055156</v>
      </c>
      <c r="CI64" s="105">
        <v>749.63986407543769</v>
      </c>
      <c r="CJ64" s="105">
        <v>3.5239879196681443</v>
      </c>
      <c r="CK64" s="105">
        <v>790.78288917353154</v>
      </c>
      <c r="CL64" s="105">
        <v>3.4915087683347972</v>
      </c>
      <c r="CM64" s="105">
        <v>783.4945676143285</v>
      </c>
      <c r="CN64" s="105">
        <v>3.8887462928758816</v>
      </c>
      <c r="CO64" s="105">
        <v>872.63466812134789</v>
      </c>
      <c r="CP64" s="105">
        <v>3.4090321832560226</v>
      </c>
      <c r="CQ64" s="105">
        <v>764.98682192265153</v>
      </c>
      <c r="CR64" s="105">
        <v>3.3072346944504609</v>
      </c>
      <c r="CS64" s="105">
        <v>742.14346543468343</v>
      </c>
      <c r="CT64" s="105">
        <v>4.5792480384698697</v>
      </c>
      <c r="CU64" s="105">
        <v>1027.5832598326388</v>
      </c>
    </row>
    <row r="65" spans="2:99" x14ac:dyDescent="0.2">
      <c r="C65" s="104" t="s">
        <v>231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3.1372977338660495</v>
      </c>
      <c r="O65" s="105">
        <v>1551.0799996233748</v>
      </c>
      <c r="P65" s="105">
        <v>3.767357251136938</v>
      </c>
      <c r="Q65" s="105">
        <v>1862.5814249621021</v>
      </c>
      <c r="R65" s="105">
        <v>2.0874234564973038</v>
      </c>
      <c r="S65" s="105">
        <v>1032.0221568922668</v>
      </c>
      <c r="T65" s="105">
        <v>3.2291633581173755</v>
      </c>
      <c r="U65" s="105">
        <v>1596.4983642532304</v>
      </c>
      <c r="V65" s="105">
        <v>3.5552224319905412</v>
      </c>
      <c r="W65" s="105">
        <v>1757.7019703761234</v>
      </c>
      <c r="X65" s="105">
        <v>3.7845025111321231</v>
      </c>
      <c r="Y65" s="105">
        <v>1871.0580415037216</v>
      </c>
      <c r="Z65" s="105">
        <v>3.5487466169960236</v>
      </c>
      <c r="AA65" s="105">
        <v>1754.5003274428341</v>
      </c>
      <c r="AB65" s="105">
        <v>3.2634202558305136</v>
      </c>
      <c r="AC65" s="105">
        <v>1613.4349744826059</v>
      </c>
      <c r="AD65" s="105">
        <v>3.4635766981881191</v>
      </c>
      <c r="AE65" s="105">
        <v>1712.392319584206</v>
      </c>
      <c r="AF65" s="105">
        <v>3.5879592867970844</v>
      </c>
      <c r="AG65" s="105">
        <v>1773.8870713924784</v>
      </c>
      <c r="AH65" s="105">
        <v>3.53714940582937</v>
      </c>
      <c r="AI65" s="105">
        <v>1748.7666662420404</v>
      </c>
      <c r="AJ65" s="105">
        <v>3.5141809031941138</v>
      </c>
      <c r="AK65" s="105">
        <v>1737.4110385391698</v>
      </c>
      <c r="AL65" s="105">
        <v>4.3007988802004791</v>
      </c>
      <c r="AM65" s="105">
        <v>2126.314966371117</v>
      </c>
      <c r="AN65" s="105">
        <v>3.4790390941621725</v>
      </c>
      <c r="AO65" s="105">
        <v>1720.036928153778</v>
      </c>
      <c r="AP65" s="105">
        <v>3.3823991193243348</v>
      </c>
      <c r="AQ65" s="105">
        <v>1672.2581245939512</v>
      </c>
      <c r="AR65" s="105">
        <v>3.044159207391901</v>
      </c>
      <c r="AS65" s="105">
        <v>1505.0323121345557</v>
      </c>
      <c r="AT65" s="105">
        <v>2.4661542945959702</v>
      </c>
      <c r="AU65" s="105">
        <v>1219.2666832482475</v>
      </c>
      <c r="AV65" s="105">
        <v>4.0359474237361566</v>
      </c>
      <c r="AW65" s="105">
        <v>1995.3724062951558</v>
      </c>
      <c r="AX65" s="105">
        <v>4.3137843840658192</v>
      </c>
      <c r="AY65" s="105">
        <v>2132.7349994821411</v>
      </c>
      <c r="AZ65" s="105">
        <v>4</v>
      </c>
      <c r="BA65" s="105">
        <v>1977.6</v>
      </c>
      <c r="BB65" s="105">
        <v>3.5915848643346697</v>
      </c>
      <c r="BC65" s="105">
        <v>1775.6795569270607</v>
      </c>
      <c r="BD65" s="105">
        <v>2.5618170844586676</v>
      </c>
      <c r="BE65" s="105">
        <v>1266.5623665563653</v>
      </c>
      <c r="BF65" s="105">
        <v>2.8235679604794446</v>
      </c>
      <c r="BG65" s="105">
        <v>1395.9719996610374</v>
      </c>
      <c r="BH65" s="105">
        <v>3.1072757459821641</v>
      </c>
      <c r="BI65" s="105">
        <v>1536.2371288135819</v>
      </c>
      <c r="BJ65" s="105">
        <v>3.5487466169960236</v>
      </c>
      <c r="BK65" s="105">
        <v>1754.5003274428341</v>
      </c>
      <c r="BL65" s="105">
        <v>2.9858419811966543</v>
      </c>
      <c r="BM65" s="105">
        <v>1476.2002755036258</v>
      </c>
      <c r="BN65" s="105">
        <v>3.8934090582150613</v>
      </c>
      <c r="BO65" s="105">
        <v>1924.9014383815263</v>
      </c>
      <c r="BP65" s="105">
        <v>3.5780751014340071</v>
      </c>
      <c r="BQ65" s="105">
        <v>1769.000330148973</v>
      </c>
      <c r="BR65" s="105">
        <v>0</v>
      </c>
      <c r="BS65" s="105">
        <v>0</v>
      </c>
      <c r="BT65" s="105">
        <v>3.3836220276898246</v>
      </c>
      <c r="BU65" s="105">
        <v>1672.8627304898491</v>
      </c>
      <c r="BV65" s="105">
        <v>2.882044220016001</v>
      </c>
      <c r="BW65" s="105">
        <v>1424.8826623759107</v>
      </c>
      <c r="BX65" s="105">
        <v>3.4381092224661471</v>
      </c>
      <c r="BY65" s="105">
        <v>1699.801199587263</v>
      </c>
      <c r="BZ65" s="105">
        <v>3.941570303212635</v>
      </c>
      <c r="CA65" s="105">
        <v>1948.7123579083266</v>
      </c>
      <c r="CB65" s="105">
        <v>4.0087693266066191</v>
      </c>
      <c r="CC65" s="105">
        <v>1981.9355550743123</v>
      </c>
      <c r="CD65" s="105">
        <v>3.3613904291421961</v>
      </c>
      <c r="CE65" s="105">
        <v>1661.8714281679017</v>
      </c>
      <c r="CF65" s="105">
        <v>3.7977814673115335</v>
      </c>
      <c r="CG65" s="105">
        <v>1877.6231574388221</v>
      </c>
      <c r="CH65" s="105">
        <v>2.6725128844044126</v>
      </c>
      <c r="CI65" s="105">
        <v>1321.2903700495415</v>
      </c>
      <c r="CJ65" s="105">
        <v>3.5239879196681443</v>
      </c>
      <c r="CK65" s="105">
        <v>1742.2596274839304</v>
      </c>
      <c r="CL65" s="105">
        <v>3.4915087683347972</v>
      </c>
      <c r="CM65" s="105">
        <v>1726.2019350647236</v>
      </c>
      <c r="CN65" s="105">
        <v>3.8887462928758816</v>
      </c>
      <c r="CO65" s="105">
        <v>1922.5961671978357</v>
      </c>
      <c r="CP65" s="105">
        <v>3.4090321832560226</v>
      </c>
      <c r="CQ65" s="105">
        <v>1685.4255114017776</v>
      </c>
      <c r="CR65" s="105">
        <v>3.3072346944504609</v>
      </c>
      <c r="CS65" s="105">
        <v>1635.0968329363077</v>
      </c>
      <c r="CT65" s="105">
        <v>4.5792480384698697</v>
      </c>
      <c r="CU65" s="105">
        <v>2263.9802302195035</v>
      </c>
    </row>
    <row r="66" spans="2:99" x14ac:dyDescent="0.2">
      <c r="C66" s="104" t="s">
        <v>232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0</v>
      </c>
      <c r="K66" s="105">
        <v>0</v>
      </c>
      <c r="L66" s="105">
        <v>0</v>
      </c>
      <c r="M66" s="105">
        <v>0</v>
      </c>
      <c r="N66" s="105">
        <v>3.9216221673325622</v>
      </c>
      <c r="O66" s="105">
        <v>1562.3742714652926</v>
      </c>
      <c r="P66" s="105">
        <v>3.2291633581173755</v>
      </c>
      <c r="Q66" s="105">
        <v>1286.4986818739624</v>
      </c>
      <c r="R66" s="105">
        <v>2.0874234564973038</v>
      </c>
      <c r="S66" s="105">
        <v>831.62950506852576</v>
      </c>
      <c r="T66" s="105">
        <v>3.767357251136938</v>
      </c>
      <c r="U66" s="105">
        <v>1500.9151288529561</v>
      </c>
      <c r="V66" s="105">
        <v>3.5552224319905412</v>
      </c>
      <c r="W66" s="105">
        <v>1416.4006169050315</v>
      </c>
      <c r="X66" s="105">
        <v>3.0276020089056983</v>
      </c>
      <c r="Y66" s="105">
        <v>1206.1966403480301</v>
      </c>
      <c r="Z66" s="105">
        <v>3.5487466169960236</v>
      </c>
      <c r="AA66" s="105">
        <v>1413.8206522112157</v>
      </c>
      <c r="AB66" s="105">
        <v>3.2634202558305136</v>
      </c>
      <c r="AC66" s="105">
        <v>1300.1466299228766</v>
      </c>
      <c r="AD66" s="105">
        <v>3.4635766981881191</v>
      </c>
      <c r="AE66" s="105">
        <v>1379.8889565581467</v>
      </c>
      <c r="AF66" s="105">
        <v>2.9899660723309034</v>
      </c>
      <c r="AG66" s="105">
        <v>1191.2024832166319</v>
      </c>
      <c r="AH66" s="105">
        <v>3.53714940582937</v>
      </c>
      <c r="AI66" s="105">
        <v>1409.2003232824209</v>
      </c>
      <c r="AJ66" s="105">
        <v>3.5141809031941138</v>
      </c>
      <c r="AK66" s="105">
        <v>1400.0496718325348</v>
      </c>
      <c r="AL66" s="105">
        <v>4.3007988802004791</v>
      </c>
      <c r="AM66" s="105">
        <v>1713.4382738718707</v>
      </c>
      <c r="AN66" s="105">
        <v>4.0588789431892014</v>
      </c>
      <c r="AO66" s="105">
        <v>1617.0573709665778</v>
      </c>
      <c r="AP66" s="105">
        <v>3.3823991193243348</v>
      </c>
      <c r="AQ66" s="105">
        <v>1347.547809138815</v>
      </c>
      <c r="AR66" s="105">
        <v>3.044159207391901</v>
      </c>
      <c r="AS66" s="105">
        <v>1212.7930282249333</v>
      </c>
      <c r="AT66" s="105">
        <v>2.4661542945959702</v>
      </c>
      <c r="AU66" s="105">
        <v>982.51587096703452</v>
      </c>
      <c r="AV66" s="105">
        <v>4.0359474237361566</v>
      </c>
      <c r="AW66" s="105">
        <v>1607.9214536164848</v>
      </c>
      <c r="AX66" s="105">
        <v>4.3137843840658192</v>
      </c>
      <c r="AY66" s="105">
        <v>1718.6116986118222</v>
      </c>
      <c r="AZ66" s="105">
        <v>4</v>
      </c>
      <c r="BA66" s="105">
        <v>1593.6</v>
      </c>
      <c r="BB66" s="105">
        <v>4.1901823417237818</v>
      </c>
      <c r="BC66" s="105">
        <v>1669.3686449427546</v>
      </c>
      <c r="BD66" s="105">
        <v>3.2022713555733344</v>
      </c>
      <c r="BE66" s="105">
        <v>1275.7849080604165</v>
      </c>
      <c r="BF66" s="105">
        <v>2.8235679604794446</v>
      </c>
      <c r="BG66" s="105">
        <v>1124.9094754550106</v>
      </c>
      <c r="BH66" s="105">
        <v>3.6251550369791916</v>
      </c>
      <c r="BI66" s="105">
        <v>1444.2617667325098</v>
      </c>
      <c r="BJ66" s="105">
        <v>2.6615599627470177</v>
      </c>
      <c r="BK66" s="105">
        <v>1060.3654891584117</v>
      </c>
      <c r="BL66" s="105">
        <v>2.9858419811966543</v>
      </c>
      <c r="BM66" s="105">
        <v>1189.5594453087469</v>
      </c>
      <c r="BN66" s="105">
        <v>3.8934090582150613</v>
      </c>
      <c r="BO66" s="105">
        <v>1551.1341687928802</v>
      </c>
      <c r="BP66" s="105">
        <v>3.5780751014340071</v>
      </c>
      <c r="BQ66" s="105">
        <v>1425.5051204113083</v>
      </c>
      <c r="BR66" s="105">
        <v>0</v>
      </c>
      <c r="BS66" s="105">
        <v>0</v>
      </c>
      <c r="BT66" s="105">
        <v>3.3836220276898246</v>
      </c>
      <c r="BU66" s="105">
        <v>1348.035015831626</v>
      </c>
      <c r="BV66" s="105">
        <v>2.882044220016001</v>
      </c>
      <c r="BW66" s="105">
        <v>1148.2064172543749</v>
      </c>
      <c r="BX66" s="105">
        <v>4.0111274262105052</v>
      </c>
      <c r="BY66" s="105">
        <v>1598.0331666022653</v>
      </c>
      <c r="BZ66" s="105">
        <v>3.941570303212635</v>
      </c>
      <c r="CA66" s="105">
        <v>1570.3216087999137</v>
      </c>
      <c r="CB66" s="105">
        <v>4.0087693266066191</v>
      </c>
      <c r="CC66" s="105">
        <v>1597.093699720077</v>
      </c>
      <c r="CD66" s="105">
        <v>3.3613904291421961</v>
      </c>
      <c r="CE66" s="105">
        <v>1339.1779469702508</v>
      </c>
      <c r="CF66" s="105">
        <v>3.1648178894262782</v>
      </c>
      <c r="CG66" s="105">
        <v>1260.863447147429</v>
      </c>
      <c r="CH66" s="105">
        <v>3.3406411055055156</v>
      </c>
      <c r="CI66" s="105">
        <v>1330.9114164333973</v>
      </c>
      <c r="CJ66" s="105">
        <v>3.0205610740012663</v>
      </c>
      <c r="CK66" s="105">
        <v>1203.3915318821043</v>
      </c>
      <c r="CL66" s="105">
        <v>3.4915087683347972</v>
      </c>
      <c r="CM66" s="105">
        <v>1391.0170933045831</v>
      </c>
      <c r="CN66" s="105">
        <v>3.8887462928758816</v>
      </c>
      <c r="CO66" s="105">
        <v>1549.2765230817511</v>
      </c>
      <c r="CP66" s="105">
        <v>2.5567741374420168</v>
      </c>
      <c r="CQ66" s="105">
        <v>1018.6188163568994</v>
      </c>
      <c r="CR66" s="105">
        <v>3.3072346944504609</v>
      </c>
      <c r="CS66" s="105">
        <v>1317.6023022690636</v>
      </c>
      <c r="CT66" s="105">
        <v>4.5792480384698697</v>
      </c>
      <c r="CU66" s="105">
        <v>1824.3724185263959</v>
      </c>
    </row>
    <row r="67" spans="2:99" x14ac:dyDescent="0.2">
      <c r="C67" s="104" t="s">
        <v>233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3.9216221673325622</v>
      </c>
      <c r="O67" s="105">
        <v>1858.8489073156345</v>
      </c>
      <c r="P67" s="105">
        <v>3.767357251136938</v>
      </c>
      <c r="Q67" s="105">
        <v>1785.7273370389087</v>
      </c>
      <c r="R67" s="105">
        <v>2.0874234564973038</v>
      </c>
      <c r="S67" s="105">
        <v>989.43871837972199</v>
      </c>
      <c r="T67" s="105">
        <v>3.2291633581173755</v>
      </c>
      <c r="U67" s="105">
        <v>1530.623431747636</v>
      </c>
      <c r="V67" s="105">
        <v>3.5552224319905412</v>
      </c>
      <c r="W67" s="105">
        <v>1685.1754327635165</v>
      </c>
      <c r="X67" s="105">
        <v>3.0276020089056983</v>
      </c>
      <c r="Y67" s="105">
        <v>1435.0833522213011</v>
      </c>
      <c r="Z67" s="105">
        <v>3.5487466169960236</v>
      </c>
      <c r="AA67" s="105">
        <v>1682.1058964561153</v>
      </c>
      <c r="AB67" s="105">
        <v>3.2634202558305136</v>
      </c>
      <c r="AC67" s="105">
        <v>1546.8612012636634</v>
      </c>
      <c r="AD67" s="105">
        <v>2.597682523641089</v>
      </c>
      <c r="AE67" s="105">
        <v>1231.3015162058762</v>
      </c>
      <c r="AF67" s="105">
        <v>2.9899660723309034</v>
      </c>
      <c r="AG67" s="105">
        <v>1417.2439182848482</v>
      </c>
      <c r="AH67" s="105">
        <v>3.53714940582937</v>
      </c>
      <c r="AI67" s="105">
        <v>1676.6088183631214</v>
      </c>
      <c r="AJ67" s="105">
        <v>3.5141809031941138</v>
      </c>
      <c r="AK67" s="105">
        <v>1665.7217481140099</v>
      </c>
      <c r="AL67" s="105">
        <v>3.5839990668337327</v>
      </c>
      <c r="AM67" s="105">
        <v>1698.8155576791894</v>
      </c>
      <c r="AN67" s="105">
        <v>3.4790390941621725</v>
      </c>
      <c r="AO67" s="105">
        <v>1649.0645306328697</v>
      </c>
      <c r="AP67" s="105">
        <v>3.3823991193243348</v>
      </c>
      <c r="AQ67" s="105">
        <v>1603.2571825597347</v>
      </c>
      <c r="AR67" s="105">
        <v>3.5515190752905514</v>
      </c>
      <c r="AS67" s="105">
        <v>1683.4200416877213</v>
      </c>
      <c r="AT67" s="105">
        <v>2.4661542945959702</v>
      </c>
      <c r="AU67" s="105">
        <v>1168.9571356384899</v>
      </c>
      <c r="AV67" s="105">
        <v>3.36328951978013</v>
      </c>
      <c r="AW67" s="105">
        <v>1594.1992323757815</v>
      </c>
      <c r="AX67" s="105">
        <v>4.3137843840658192</v>
      </c>
      <c r="AY67" s="105">
        <v>2044.7337980471982</v>
      </c>
      <c r="AZ67" s="105">
        <v>4</v>
      </c>
      <c r="BA67" s="105">
        <v>1896</v>
      </c>
      <c r="BB67" s="105">
        <v>3.5915848643346697</v>
      </c>
      <c r="BC67" s="105">
        <v>1702.4112256946335</v>
      </c>
      <c r="BD67" s="105">
        <v>3.2022713555733344</v>
      </c>
      <c r="BE67" s="105">
        <v>1517.8766225417605</v>
      </c>
      <c r="BF67" s="105">
        <v>2.8235679604794446</v>
      </c>
      <c r="BG67" s="105">
        <v>1338.3712132672567</v>
      </c>
      <c r="BH67" s="105">
        <v>3.6251550369791916</v>
      </c>
      <c r="BI67" s="105">
        <v>1718.3234875281369</v>
      </c>
      <c r="BJ67" s="105">
        <v>3.5487466169960236</v>
      </c>
      <c r="BK67" s="105">
        <v>1682.1058964561153</v>
      </c>
      <c r="BL67" s="105">
        <v>2.2393814858974905</v>
      </c>
      <c r="BM67" s="105">
        <v>1061.4668243154106</v>
      </c>
      <c r="BN67" s="105">
        <v>3.8934090582150613</v>
      </c>
      <c r="BO67" s="105">
        <v>1845.475893593939</v>
      </c>
      <c r="BP67" s="105">
        <v>3.5780751014340071</v>
      </c>
      <c r="BQ67" s="105">
        <v>1696.0075980797194</v>
      </c>
      <c r="BR67" s="105">
        <v>0</v>
      </c>
      <c r="BS67" s="105">
        <v>0</v>
      </c>
      <c r="BT67" s="105">
        <v>3.3836220276898246</v>
      </c>
      <c r="BU67" s="105">
        <v>1603.8368411249769</v>
      </c>
      <c r="BV67" s="105">
        <v>2.882044220016001</v>
      </c>
      <c r="BW67" s="105">
        <v>1366.0889602875845</v>
      </c>
      <c r="BX67" s="105">
        <v>3.4381092224661471</v>
      </c>
      <c r="BY67" s="105">
        <v>1629.6637714489536</v>
      </c>
      <c r="BZ67" s="105">
        <v>3.941570303212635</v>
      </c>
      <c r="CA67" s="105">
        <v>1868.3043237227889</v>
      </c>
      <c r="CB67" s="105">
        <v>4.0087693266066191</v>
      </c>
      <c r="CC67" s="105">
        <v>1900.1566608115374</v>
      </c>
      <c r="CD67" s="105">
        <v>4.0336685149706355</v>
      </c>
      <c r="CE67" s="105">
        <v>1911.9588760960812</v>
      </c>
      <c r="CF67" s="105">
        <v>3.7977814673115335</v>
      </c>
      <c r="CG67" s="105">
        <v>1800.1484155056669</v>
      </c>
      <c r="CH67" s="105">
        <v>2.6725128844044126</v>
      </c>
      <c r="CI67" s="105">
        <v>1266.7711072076916</v>
      </c>
      <c r="CJ67" s="105">
        <v>3.0205610740012663</v>
      </c>
      <c r="CK67" s="105">
        <v>1431.7459490766003</v>
      </c>
      <c r="CL67" s="105">
        <v>4.189810522001757</v>
      </c>
      <c r="CM67" s="105">
        <v>1985.9701874288328</v>
      </c>
      <c r="CN67" s="105">
        <v>3.8887462928758816</v>
      </c>
      <c r="CO67" s="105">
        <v>1843.2657428231678</v>
      </c>
      <c r="CP67" s="105">
        <v>2.5567741374420168</v>
      </c>
      <c r="CQ67" s="105">
        <v>1211.910941147516</v>
      </c>
      <c r="CR67" s="105">
        <v>3.3072346944504609</v>
      </c>
      <c r="CS67" s="105">
        <v>1567.6292451695185</v>
      </c>
      <c r="CT67" s="105">
        <v>4.5792480384698697</v>
      </c>
      <c r="CU67" s="105">
        <v>2170.5635702347181</v>
      </c>
    </row>
    <row r="68" spans="2:99" x14ac:dyDescent="0.2">
      <c r="C68" s="104" t="s">
        <v>234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3.9216221673325622</v>
      </c>
      <c r="O68" s="105">
        <v>1058.8379851797918</v>
      </c>
      <c r="P68" s="105">
        <v>3.2291633581173755</v>
      </c>
      <c r="Q68" s="105">
        <v>871.8741066916914</v>
      </c>
      <c r="R68" s="105">
        <v>2.0874234564973038</v>
      </c>
      <c r="S68" s="105">
        <v>563.60433325427198</v>
      </c>
      <c r="T68" s="105">
        <v>3.2291633581173755</v>
      </c>
      <c r="U68" s="105">
        <v>871.8741066916914</v>
      </c>
      <c r="V68" s="105">
        <v>3.5552224319905412</v>
      </c>
      <c r="W68" s="105">
        <v>959.91005663744613</v>
      </c>
      <c r="X68" s="105">
        <v>3.0276020089056983</v>
      </c>
      <c r="Y68" s="105">
        <v>817.45254240453858</v>
      </c>
      <c r="Z68" s="105">
        <v>3.5487466169960236</v>
      </c>
      <c r="AA68" s="105">
        <v>958.16158658892641</v>
      </c>
      <c r="AB68" s="105">
        <v>3.2634202558305136</v>
      </c>
      <c r="AC68" s="105">
        <v>881.12346907423864</v>
      </c>
      <c r="AD68" s="105">
        <v>2.597682523641089</v>
      </c>
      <c r="AE68" s="105">
        <v>701.37428138309406</v>
      </c>
      <c r="AF68" s="105">
        <v>3.5879592867970844</v>
      </c>
      <c r="AG68" s="105">
        <v>968.74900743521277</v>
      </c>
      <c r="AH68" s="105">
        <v>3.53714940582937</v>
      </c>
      <c r="AI68" s="105">
        <v>955.03033957392995</v>
      </c>
      <c r="AJ68" s="105">
        <v>3.5141809031941138</v>
      </c>
      <c r="AK68" s="105">
        <v>948.82884386241074</v>
      </c>
      <c r="AL68" s="105">
        <v>3.5839990668337327</v>
      </c>
      <c r="AM68" s="105">
        <v>967.67974804510789</v>
      </c>
      <c r="AN68" s="105">
        <v>3.4790390941621725</v>
      </c>
      <c r="AO68" s="105">
        <v>939.34055542378655</v>
      </c>
      <c r="AP68" s="105">
        <v>3.3823991193243348</v>
      </c>
      <c r="AQ68" s="105">
        <v>913.24776221757043</v>
      </c>
      <c r="AR68" s="105">
        <v>3.044159207391901</v>
      </c>
      <c r="AS68" s="105">
        <v>821.92298599581329</v>
      </c>
      <c r="AT68" s="105">
        <v>2.4661542945959702</v>
      </c>
      <c r="AU68" s="105">
        <v>665.861659540912</v>
      </c>
      <c r="AV68" s="105">
        <v>4.0359474237361566</v>
      </c>
      <c r="AW68" s="105">
        <v>1089.7058044087623</v>
      </c>
      <c r="AX68" s="105">
        <v>4.3137843840658192</v>
      </c>
      <c r="AY68" s="105">
        <v>1164.7217836977711</v>
      </c>
      <c r="AZ68" s="105">
        <v>4</v>
      </c>
      <c r="BA68" s="105">
        <v>1080</v>
      </c>
      <c r="BB68" s="105">
        <v>3.5915848643346697</v>
      </c>
      <c r="BC68" s="105">
        <v>969.72791337036085</v>
      </c>
      <c r="BD68" s="105">
        <v>3.2022713555733344</v>
      </c>
      <c r="BE68" s="105">
        <v>864.61326600480027</v>
      </c>
      <c r="BF68" s="105">
        <v>3.7647572806392597</v>
      </c>
      <c r="BG68" s="105">
        <v>1016.4844657726002</v>
      </c>
      <c r="BH68" s="105">
        <v>3.6251550369791916</v>
      </c>
      <c r="BI68" s="105">
        <v>978.79185998438174</v>
      </c>
      <c r="BJ68" s="105">
        <v>3.5487466169960236</v>
      </c>
      <c r="BK68" s="105">
        <v>958.16158658892641</v>
      </c>
      <c r="BL68" s="105">
        <v>2.9858419811966543</v>
      </c>
      <c r="BM68" s="105">
        <v>806.17733492309662</v>
      </c>
      <c r="BN68" s="105">
        <v>3.8934090582150613</v>
      </c>
      <c r="BO68" s="105">
        <v>1051.2204457180665</v>
      </c>
      <c r="BP68" s="105">
        <v>3.5780751014340071</v>
      </c>
      <c r="BQ68" s="105">
        <v>966.08027738718192</v>
      </c>
      <c r="BR68" s="105">
        <v>0</v>
      </c>
      <c r="BS68" s="105">
        <v>0</v>
      </c>
      <c r="BT68" s="105">
        <v>3.3836220276898246</v>
      </c>
      <c r="BU68" s="105">
        <v>913.57794747625258</v>
      </c>
      <c r="BV68" s="105">
        <v>2.882044220016001</v>
      </c>
      <c r="BW68" s="105">
        <v>778.15193940432027</v>
      </c>
      <c r="BX68" s="105">
        <v>3.4381092224661471</v>
      </c>
      <c r="BY68" s="105">
        <v>928.2894900658597</v>
      </c>
      <c r="BZ68" s="105">
        <v>3.3784888313251153</v>
      </c>
      <c r="CA68" s="105">
        <v>912.19198445778113</v>
      </c>
      <c r="CB68" s="105">
        <v>4.0087693266066191</v>
      </c>
      <c r="CC68" s="105">
        <v>1082.3677181837872</v>
      </c>
      <c r="CD68" s="105">
        <v>3.3613904291421961</v>
      </c>
      <c r="CE68" s="105">
        <v>907.57541586839295</v>
      </c>
      <c r="CF68" s="105">
        <v>3.7977814673115335</v>
      </c>
      <c r="CG68" s="105">
        <v>1025.400996174114</v>
      </c>
      <c r="CH68" s="105">
        <v>3.3406411055055156</v>
      </c>
      <c r="CI68" s="105">
        <v>901.97309848648922</v>
      </c>
      <c r="CJ68" s="105">
        <v>3.5239879196681443</v>
      </c>
      <c r="CK68" s="105">
        <v>951.47673831039901</v>
      </c>
      <c r="CL68" s="105">
        <v>3.4915087683347972</v>
      </c>
      <c r="CM68" s="105">
        <v>942.70736745039528</v>
      </c>
      <c r="CN68" s="105">
        <v>3.2406219107299017</v>
      </c>
      <c r="CO68" s="105">
        <v>874.96791589707345</v>
      </c>
      <c r="CP68" s="105">
        <v>3.4090321832560226</v>
      </c>
      <c r="CQ68" s="105">
        <v>920.43868947912608</v>
      </c>
      <c r="CR68" s="105">
        <v>3.3072346944504609</v>
      </c>
      <c r="CS68" s="105">
        <v>892.95336750162448</v>
      </c>
      <c r="CT68" s="105">
        <v>4.5792480384698697</v>
      </c>
      <c r="CU68" s="105">
        <v>1236.3969703868647</v>
      </c>
    </row>
    <row r="69" spans="2:99" x14ac:dyDescent="0.2">
      <c r="C69" s="104" t="s">
        <v>235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3.9216221673325622</v>
      </c>
      <c r="O69" s="105">
        <v>677.65631051506671</v>
      </c>
      <c r="P69" s="105">
        <v>3.767357251136938</v>
      </c>
      <c r="Q69" s="105">
        <v>650.99933299646284</v>
      </c>
      <c r="R69" s="105">
        <v>2.0874234564973038</v>
      </c>
      <c r="S69" s="105">
        <v>360.70677328273405</v>
      </c>
      <c r="T69" s="105">
        <v>3.2291633581173755</v>
      </c>
      <c r="U69" s="105">
        <v>557.9994282826824</v>
      </c>
      <c r="V69" s="105">
        <v>3.5552224319905412</v>
      </c>
      <c r="W69" s="105">
        <v>614.34243624796545</v>
      </c>
      <c r="X69" s="105">
        <v>3.7845025111321231</v>
      </c>
      <c r="Y69" s="105">
        <v>653.96203392363077</v>
      </c>
      <c r="Z69" s="105">
        <v>3.5487466169960236</v>
      </c>
      <c r="AA69" s="105">
        <v>613.22341541691276</v>
      </c>
      <c r="AB69" s="105">
        <v>3.2634202558305136</v>
      </c>
      <c r="AC69" s="105">
        <v>563.91902020751274</v>
      </c>
      <c r="AD69" s="105">
        <v>3.4635766981881191</v>
      </c>
      <c r="AE69" s="105">
        <v>598.50605344690689</v>
      </c>
      <c r="AF69" s="105">
        <v>3.5879592867970844</v>
      </c>
      <c r="AG69" s="105">
        <v>619.9993647585361</v>
      </c>
      <c r="AH69" s="105">
        <v>4.2445792869952435</v>
      </c>
      <c r="AI69" s="105">
        <v>733.463300792778</v>
      </c>
      <c r="AJ69" s="105">
        <v>4.2170170838329364</v>
      </c>
      <c r="AK69" s="105">
        <v>728.7005520863313</v>
      </c>
      <c r="AL69" s="105">
        <v>3.5839990668337327</v>
      </c>
      <c r="AM69" s="105">
        <v>619.31503874886891</v>
      </c>
      <c r="AN69" s="105">
        <v>4.0588789431892014</v>
      </c>
      <c r="AO69" s="105">
        <v>701.37428138309394</v>
      </c>
      <c r="AP69" s="105">
        <v>3.3823991193243348</v>
      </c>
      <c r="AQ69" s="105">
        <v>584.47856781924497</v>
      </c>
      <c r="AR69" s="105">
        <v>3.044159207391901</v>
      </c>
      <c r="AS69" s="105">
        <v>526.03071103732043</v>
      </c>
      <c r="AT69" s="105">
        <v>2.4661542945959702</v>
      </c>
      <c r="AU69" s="105">
        <v>426.1514621061836</v>
      </c>
      <c r="AV69" s="105">
        <v>3.36328951978013</v>
      </c>
      <c r="AW69" s="105">
        <v>581.17642901800639</v>
      </c>
      <c r="AX69" s="105">
        <v>4.3137843840658192</v>
      </c>
      <c r="AY69" s="105">
        <v>745.42194156657354</v>
      </c>
      <c r="AZ69" s="105">
        <v>4</v>
      </c>
      <c r="BA69" s="105">
        <v>691.19999999999993</v>
      </c>
      <c r="BB69" s="105">
        <v>4.1901823417237818</v>
      </c>
      <c r="BC69" s="105">
        <v>724.06350864986939</v>
      </c>
      <c r="BD69" s="105">
        <v>3.2022713555733344</v>
      </c>
      <c r="BE69" s="105">
        <v>553.35249024307211</v>
      </c>
      <c r="BF69" s="105">
        <v>3.7647572806392597</v>
      </c>
      <c r="BG69" s="105">
        <v>650.55005809446402</v>
      </c>
      <c r="BH69" s="105">
        <v>3.6251550369791916</v>
      </c>
      <c r="BI69" s="105">
        <v>626.42679039000427</v>
      </c>
      <c r="BJ69" s="105">
        <v>3.5487466169960236</v>
      </c>
      <c r="BK69" s="105">
        <v>613.22341541691276</v>
      </c>
      <c r="BL69" s="105">
        <v>2.9858419811966543</v>
      </c>
      <c r="BM69" s="105">
        <v>515.95349435078185</v>
      </c>
      <c r="BN69" s="105">
        <v>3.8934090582150613</v>
      </c>
      <c r="BO69" s="105">
        <v>672.78108525956259</v>
      </c>
      <c r="BP69" s="105">
        <v>3.5780751014340071</v>
      </c>
      <c r="BQ69" s="105">
        <v>618.29137752779639</v>
      </c>
      <c r="BR69" s="105">
        <v>0</v>
      </c>
      <c r="BS69" s="105">
        <v>0</v>
      </c>
      <c r="BT69" s="105">
        <v>3.3836220276898246</v>
      </c>
      <c r="BU69" s="105">
        <v>584.68988638480164</v>
      </c>
      <c r="BV69" s="105">
        <v>2.882044220016001</v>
      </c>
      <c r="BW69" s="105">
        <v>498.01724121876492</v>
      </c>
      <c r="BX69" s="105">
        <v>3.4381092224661471</v>
      </c>
      <c r="BY69" s="105">
        <v>594.10527364215022</v>
      </c>
      <c r="BZ69" s="105">
        <v>3.941570303212635</v>
      </c>
      <c r="CA69" s="105">
        <v>681.10334839514326</v>
      </c>
      <c r="CB69" s="105">
        <v>4.0087693266066191</v>
      </c>
      <c r="CC69" s="105">
        <v>692.71533963762374</v>
      </c>
      <c r="CD69" s="105">
        <v>3.3613904291421961</v>
      </c>
      <c r="CE69" s="105">
        <v>580.8482661557714</v>
      </c>
      <c r="CF69" s="105">
        <v>3.7977814673115335</v>
      </c>
      <c r="CG69" s="105">
        <v>656.25663755143296</v>
      </c>
      <c r="CH69" s="105">
        <v>3.3406411055055156</v>
      </c>
      <c r="CI69" s="105">
        <v>577.26278303135302</v>
      </c>
      <c r="CJ69" s="105">
        <v>3.5239879196681443</v>
      </c>
      <c r="CK69" s="105">
        <v>608.94511251865526</v>
      </c>
      <c r="CL69" s="105">
        <v>3.4915087683347972</v>
      </c>
      <c r="CM69" s="105">
        <v>603.33271516825289</v>
      </c>
      <c r="CN69" s="105">
        <v>3.2406219107299017</v>
      </c>
      <c r="CO69" s="105">
        <v>559.97946617412697</v>
      </c>
      <c r="CP69" s="105">
        <v>3.4090321832560226</v>
      </c>
      <c r="CQ69" s="105">
        <v>589.08076126664071</v>
      </c>
      <c r="CR69" s="105">
        <v>3.3072346944504609</v>
      </c>
      <c r="CS69" s="105">
        <v>571.49015520103956</v>
      </c>
      <c r="CT69" s="105">
        <v>4.5792480384698697</v>
      </c>
      <c r="CU69" s="105">
        <v>791.29406104759346</v>
      </c>
    </row>
    <row r="70" spans="2:99" x14ac:dyDescent="0.2">
      <c r="C70" s="104" t="s">
        <v>236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3.9216221673325622</v>
      </c>
      <c r="O70" s="105">
        <v>1684.7288830860687</v>
      </c>
      <c r="P70" s="105">
        <v>3.2291633581173755</v>
      </c>
      <c r="Q70" s="105">
        <v>1387.2485786472243</v>
      </c>
      <c r="R70" s="105">
        <v>2.7832312753297379</v>
      </c>
      <c r="S70" s="105">
        <v>1195.6761558816554</v>
      </c>
      <c r="T70" s="105">
        <v>3.767357251136938</v>
      </c>
      <c r="U70" s="105">
        <v>1618.4566750884285</v>
      </c>
      <c r="V70" s="105">
        <v>3.5552224319905412</v>
      </c>
      <c r="W70" s="105">
        <v>1527.3235567831364</v>
      </c>
      <c r="X70" s="105">
        <v>3.7845025111321231</v>
      </c>
      <c r="Y70" s="105">
        <v>1625.8222787823599</v>
      </c>
      <c r="Z70" s="105">
        <v>3.5487466169960236</v>
      </c>
      <c r="AA70" s="105">
        <v>1524.5415466614916</v>
      </c>
      <c r="AB70" s="105">
        <v>3.2634202558305136</v>
      </c>
      <c r="AC70" s="105">
        <v>1401.9653419047886</v>
      </c>
      <c r="AD70" s="105">
        <v>2.597682523641089</v>
      </c>
      <c r="AE70" s="105">
        <v>1115.9644121562117</v>
      </c>
      <c r="AF70" s="105">
        <v>3.5879592867970844</v>
      </c>
      <c r="AG70" s="105">
        <v>1541.3873096080274</v>
      </c>
      <c r="AH70" s="105">
        <v>3.53714940582937</v>
      </c>
      <c r="AI70" s="105">
        <v>1519.5593847442972</v>
      </c>
      <c r="AJ70" s="105">
        <v>3.5141809031941138</v>
      </c>
      <c r="AK70" s="105">
        <v>1509.6921160121913</v>
      </c>
      <c r="AL70" s="105">
        <v>4.3007988802004791</v>
      </c>
      <c r="AM70" s="105">
        <v>1847.6231989341256</v>
      </c>
      <c r="AN70" s="105">
        <v>4.0588789431892014</v>
      </c>
      <c r="AO70" s="105">
        <v>1743.6943939940809</v>
      </c>
      <c r="AP70" s="105">
        <v>3.3823991193243348</v>
      </c>
      <c r="AQ70" s="105">
        <v>1453.078661661734</v>
      </c>
      <c r="AR70" s="105">
        <v>3.044159207391901</v>
      </c>
      <c r="AS70" s="105">
        <v>1307.7707954955606</v>
      </c>
      <c r="AT70" s="105">
        <v>2.4661542945959702</v>
      </c>
      <c r="AU70" s="105">
        <v>1059.4598849584288</v>
      </c>
      <c r="AV70" s="105">
        <v>4.0359474237361566</v>
      </c>
      <c r="AW70" s="105">
        <v>1733.8430132370527</v>
      </c>
      <c r="AX70" s="105">
        <v>4.3137843840658192</v>
      </c>
      <c r="AY70" s="105">
        <v>1853.2017713946757</v>
      </c>
      <c r="AZ70" s="105">
        <v>4</v>
      </c>
      <c r="BA70" s="105">
        <v>1718.3999999999999</v>
      </c>
      <c r="BB70" s="105">
        <v>3.5915848643346697</v>
      </c>
      <c r="BC70" s="105">
        <v>1542.944857718174</v>
      </c>
      <c r="BD70" s="105">
        <v>3.2022713555733344</v>
      </c>
      <c r="BE70" s="105">
        <v>1375.6957743543044</v>
      </c>
      <c r="BF70" s="105">
        <v>2.8235679604794446</v>
      </c>
      <c r="BG70" s="105">
        <v>1213.0047958219693</v>
      </c>
      <c r="BH70" s="105">
        <v>3.1072757459821641</v>
      </c>
      <c r="BI70" s="105">
        <v>1334.8856604739376</v>
      </c>
      <c r="BJ70" s="105">
        <v>3.5487466169960236</v>
      </c>
      <c r="BK70" s="105">
        <v>1524.5415466614916</v>
      </c>
      <c r="BL70" s="105">
        <v>2.9858419811966543</v>
      </c>
      <c r="BM70" s="105">
        <v>1282.7177151220826</v>
      </c>
      <c r="BN70" s="105">
        <v>3.8934090582150613</v>
      </c>
      <c r="BO70" s="105">
        <v>1672.6085314091902</v>
      </c>
      <c r="BP70" s="105">
        <v>3.5780751014340071</v>
      </c>
      <c r="BQ70" s="105">
        <v>1537.1410635760494</v>
      </c>
      <c r="BR70" s="105">
        <v>0</v>
      </c>
      <c r="BS70" s="105">
        <v>0</v>
      </c>
      <c r="BT70" s="105">
        <v>3.3836220276898246</v>
      </c>
      <c r="BU70" s="105">
        <v>1453.6040230955484</v>
      </c>
      <c r="BV70" s="105">
        <v>2.882044220016001</v>
      </c>
      <c r="BW70" s="105">
        <v>1238.126196918874</v>
      </c>
      <c r="BX70" s="105">
        <v>3.4381092224661471</v>
      </c>
      <c r="BY70" s="105">
        <v>1477.0117219714566</v>
      </c>
      <c r="BZ70" s="105">
        <v>3.3784888313251153</v>
      </c>
      <c r="CA70" s="105">
        <v>1451.3988019372694</v>
      </c>
      <c r="CB70" s="105">
        <v>4.0087693266066191</v>
      </c>
      <c r="CC70" s="105">
        <v>1722.1673027102033</v>
      </c>
      <c r="CD70" s="105">
        <v>4.0336685149706355</v>
      </c>
      <c r="CE70" s="105">
        <v>1732.8639940313849</v>
      </c>
      <c r="CF70" s="105">
        <v>3.7977814673115335</v>
      </c>
      <c r="CG70" s="105">
        <v>1631.5269183570347</v>
      </c>
      <c r="CH70" s="105">
        <v>2.6725128844044126</v>
      </c>
      <c r="CI70" s="105">
        <v>1148.1115351401356</v>
      </c>
      <c r="CJ70" s="105">
        <v>3.0205610740012663</v>
      </c>
      <c r="CK70" s="105">
        <v>1297.6330373909439</v>
      </c>
      <c r="CL70" s="105">
        <v>3.4915087683347972</v>
      </c>
      <c r="CM70" s="105">
        <v>1499.9521668766288</v>
      </c>
      <c r="CN70" s="105">
        <v>3.8887462928758816</v>
      </c>
      <c r="CO70" s="105">
        <v>1670.6054074194785</v>
      </c>
      <c r="CP70" s="105">
        <v>3.4090321832560226</v>
      </c>
      <c r="CQ70" s="105">
        <v>1464.5202259267871</v>
      </c>
      <c r="CR70" s="105">
        <v>3.3072346944504609</v>
      </c>
      <c r="CS70" s="105">
        <v>1420.7880247359178</v>
      </c>
      <c r="CT70" s="105">
        <v>4.5792480384698697</v>
      </c>
      <c r="CU70" s="105">
        <v>1967.2449573266558</v>
      </c>
    </row>
    <row r="71" spans="2:99" x14ac:dyDescent="0.2">
      <c r="B71" s="104" t="s">
        <v>130</v>
      </c>
      <c r="C71" s="104" t="s">
        <v>237</v>
      </c>
      <c r="D71" s="105">
        <v>5.7631578947368425</v>
      </c>
      <c r="E71" s="105">
        <v>1058.1157894736843</v>
      </c>
      <c r="F71" s="105">
        <v>6.7281105990783425</v>
      </c>
      <c r="G71" s="105">
        <v>1235.2811059907835</v>
      </c>
      <c r="H71" s="105">
        <v>7.4237288135593236</v>
      </c>
      <c r="I71" s="105">
        <v>1362.9966101694918</v>
      </c>
      <c r="J71" s="105">
        <v>6.3135135135135148</v>
      </c>
      <c r="K71" s="105">
        <v>1159.1610810810812</v>
      </c>
      <c r="L71" s="105">
        <v>5.8400000000000016</v>
      </c>
      <c r="M71" s="105">
        <v>1072.2240000000002</v>
      </c>
      <c r="N71" s="105">
        <v>6.7731958762886615</v>
      </c>
      <c r="O71" s="105">
        <v>1243.5587628865983</v>
      </c>
      <c r="P71" s="105">
        <v>6.4317180616740108</v>
      </c>
      <c r="Q71" s="105">
        <v>1180.8634361233483</v>
      </c>
      <c r="R71" s="105">
        <v>6.7040816326530628</v>
      </c>
      <c r="S71" s="105">
        <v>1230.8693877551023</v>
      </c>
      <c r="T71" s="105">
        <v>7.5517241379310356</v>
      </c>
      <c r="U71" s="105">
        <v>1386.496551724138</v>
      </c>
      <c r="V71" s="105">
        <v>6.3825136612021867</v>
      </c>
      <c r="W71" s="105">
        <v>1171.8295081967215</v>
      </c>
      <c r="X71" s="105">
        <v>7.8983606557377071</v>
      </c>
      <c r="Y71" s="105">
        <v>1450.1390163934429</v>
      </c>
      <c r="Z71" s="105">
        <v>7.3000000000000025</v>
      </c>
      <c r="AA71" s="105">
        <v>1340.2800000000004</v>
      </c>
      <c r="AB71" s="105">
        <v>7.6023668639053277</v>
      </c>
      <c r="AC71" s="105">
        <v>1395.794556213018</v>
      </c>
      <c r="AD71" s="105">
        <v>8.7600000000000016</v>
      </c>
      <c r="AE71" s="105">
        <v>1608.3360000000002</v>
      </c>
      <c r="AF71" s="105">
        <v>7.050731707317075</v>
      </c>
      <c r="AG71" s="105">
        <v>1294.5143414634149</v>
      </c>
      <c r="AH71" s="105">
        <v>7.4351851851851869</v>
      </c>
      <c r="AI71" s="105">
        <v>1365.1000000000004</v>
      </c>
      <c r="AJ71" s="105">
        <v>7.6023668639053277</v>
      </c>
      <c r="AK71" s="105">
        <v>1395.794556213018</v>
      </c>
      <c r="AL71" s="105">
        <v>6</v>
      </c>
      <c r="AM71" s="105">
        <v>1101.5999999999999</v>
      </c>
      <c r="AN71" s="105">
        <v>7</v>
      </c>
      <c r="AO71" s="105">
        <v>1285.2</v>
      </c>
      <c r="AP71" s="105">
        <v>7.7070707070707121</v>
      </c>
      <c r="AQ71" s="105">
        <v>1415.0181818181827</v>
      </c>
      <c r="AR71" s="105">
        <v>0</v>
      </c>
      <c r="AS71" s="105">
        <v>0</v>
      </c>
      <c r="AT71" s="105">
        <v>0</v>
      </c>
      <c r="AU71" s="105">
        <v>0</v>
      </c>
      <c r="AV71" s="105">
        <v>9.0487641619356936</v>
      </c>
      <c r="AW71" s="105">
        <v>1661.3531001313934</v>
      </c>
      <c r="AX71" s="105">
        <v>7</v>
      </c>
      <c r="AY71" s="105">
        <v>1285.2</v>
      </c>
      <c r="AZ71" s="105">
        <v>7.7333333333333378</v>
      </c>
      <c r="BA71" s="105">
        <v>1419.8400000000008</v>
      </c>
      <c r="BB71" s="105">
        <v>7.6146551724137952</v>
      </c>
      <c r="BC71" s="105">
        <v>1398.0506896551728</v>
      </c>
      <c r="BD71" s="105">
        <v>7.3924050632911404</v>
      </c>
      <c r="BE71" s="105">
        <v>1357.2455696202533</v>
      </c>
      <c r="BF71" s="105">
        <v>7.1656441717791424</v>
      </c>
      <c r="BG71" s="105">
        <v>1315.6122699386506</v>
      </c>
      <c r="BH71" s="105">
        <v>6.9523809523809534</v>
      </c>
      <c r="BI71" s="105">
        <v>1276.457142857143</v>
      </c>
      <c r="BJ71" s="105">
        <v>6.9194312796208539</v>
      </c>
      <c r="BK71" s="105">
        <v>1270.4075829383887</v>
      </c>
      <c r="BL71" s="105">
        <v>5.336040609137056</v>
      </c>
      <c r="BM71" s="105">
        <v>979.69705583756343</v>
      </c>
      <c r="BN71" s="105">
        <v>5.9727272727272736</v>
      </c>
      <c r="BO71" s="105">
        <v>1096.5927272727274</v>
      </c>
      <c r="BP71" s="105">
        <v>5.3167630057803468</v>
      </c>
      <c r="BQ71" s="105">
        <v>976.1576878612716</v>
      </c>
      <c r="BR71" s="105">
        <v>6.5402714932126695</v>
      </c>
      <c r="BS71" s="105">
        <v>1200.7938461538461</v>
      </c>
      <c r="BT71" s="105">
        <v>7.7397590361445809</v>
      </c>
      <c r="BU71" s="105">
        <v>1421.0197590361449</v>
      </c>
      <c r="BV71" s="105">
        <v>8.2358974358974386</v>
      </c>
      <c r="BW71" s="105">
        <v>1512.1107692307696</v>
      </c>
      <c r="BX71" s="105">
        <v>6.2110497237569078</v>
      </c>
      <c r="BY71" s="105">
        <v>1140.3487292817683</v>
      </c>
      <c r="BZ71" s="105">
        <v>7.0852941176470612</v>
      </c>
      <c r="CA71" s="105">
        <v>1300.8600000000004</v>
      </c>
      <c r="CB71" s="105">
        <v>7.5399061032863868</v>
      </c>
      <c r="CC71" s="105">
        <v>1384.3267605633805</v>
      </c>
      <c r="CD71" s="105">
        <v>6.9856459330143554</v>
      </c>
      <c r="CE71" s="105">
        <v>1282.5645933014357</v>
      </c>
      <c r="CF71" s="105">
        <v>7.6113744075829395</v>
      </c>
      <c r="CG71" s="105">
        <v>1397.4483412322277</v>
      </c>
      <c r="CH71" s="105">
        <v>6.9523809523809534</v>
      </c>
      <c r="CI71" s="105">
        <v>1276.457142857143</v>
      </c>
      <c r="CJ71" s="105">
        <v>6.7592592592592604</v>
      </c>
      <c r="CK71" s="105">
        <v>1241.0000000000002</v>
      </c>
      <c r="CL71" s="105">
        <v>5.6699029126213603</v>
      </c>
      <c r="CM71" s="105">
        <v>1040.9941747572816</v>
      </c>
      <c r="CN71" s="105">
        <v>6.4240000000000013</v>
      </c>
      <c r="CO71" s="105">
        <v>1179.4464000000003</v>
      </c>
      <c r="CP71" s="105">
        <v>5.5443037974683556</v>
      </c>
      <c r="CQ71" s="105">
        <v>1017.9341772151901</v>
      </c>
      <c r="CR71" s="105">
        <v>6.8050847457627137</v>
      </c>
      <c r="CS71" s="105">
        <v>1249.4135593220342</v>
      </c>
      <c r="CT71" s="105">
        <v>7.1027027027027048</v>
      </c>
      <c r="CU71" s="105">
        <v>1304.0562162162166</v>
      </c>
    </row>
    <row r="72" spans="2:99" x14ac:dyDescent="0.2">
      <c r="C72" s="104" t="s">
        <v>238</v>
      </c>
      <c r="D72" s="105">
        <v>5.7631578947368425</v>
      </c>
      <c r="E72" s="105">
        <v>2821.6421052631581</v>
      </c>
      <c r="F72" s="105">
        <v>7.400921658986177</v>
      </c>
      <c r="G72" s="105">
        <v>3623.4912442396321</v>
      </c>
      <c r="H72" s="105">
        <v>6.5988700564971765</v>
      </c>
      <c r="I72" s="105">
        <v>3230.8067796610176</v>
      </c>
      <c r="J72" s="105">
        <v>6.3135135135135148</v>
      </c>
      <c r="K72" s="105">
        <v>3091.0962162162168</v>
      </c>
      <c r="L72" s="105">
        <v>5.8400000000000016</v>
      </c>
      <c r="M72" s="105">
        <v>2859.2640000000006</v>
      </c>
      <c r="N72" s="105">
        <v>7.5257731958762895</v>
      </c>
      <c r="O72" s="105">
        <v>3684.6185567010311</v>
      </c>
      <c r="P72" s="105">
        <v>7.0748898678414109</v>
      </c>
      <c r="Q72" s="105">
        <v>3463.8660792951546</v>
      </c>
      <c r="R72" s="105">
        <v>6.7040816326530628</v>
      </c>
      <c r="S72" s="105">
        <v>3282.3183673469393</v>
      </c>
      <c r="T72" s="105">
        <v>6.2931034482758639</v>
      </c>
      <c r="U72" s="105">
        <v>3081.1034482758628</v>
      </c>
      <c r="V72" s="105">
        <v>7.1803278688524603</v>
      </c>
      <c r="W72" s="105">
        <v>3515.4885245901642</v>
      </c>
      <c r="X72" s="105">
        <v>7.0207650273224065</v>
      </c>
      <c r="Y72" s="105">
        <v>3437.36655737705</v>
      </c>
      <c r="Z72" s="105">
        <v>6.4888888888888916</v>
      </c>
      <c r="AA72" s="105">
        <v>3176.9600000000009</v>
      </c>
      <c r="AB72" s="105">
        <v>6.6520710059171622</v>
      </c>
      <c r="AC72" s="105">
        <v>3256.8539644970424</v>
      </c>
      <c r="AD72" s="105">
        <v>7.7866666666666688</v>
      </c>
      <c r="AE72" s="105">
        <v>3812.3520000000008</v>
      </c>
      <c r="AF72" s="105">
        <v>6.2673170731707337</v>
      </c>
      <c r="AG72" s="105">
        <v>3068.4784390243908</v>
      </c>
      <c r="AH72" s="105">
        <v>6.6916666666666682</v>
      </c>
      <c r="AI72" s="105">
        <v>3276.2400000000007</v>
      </c>
      <c r="AJ72" s="105">
        <v>7.6023668639053277</v>
      </c>
      <c r="AK72" s="105">
        <v>3722.1188165680483</v>
      </c>
      <c r="AL72" s="105">
        <v>6</v>
      </c>
      <c r="AM72" s="105">
        <v>2937.6</v>
      </c>
      <c r="AN72" s="105">
        <v>6</v>
      </c>
      <c r="AO72" s="105">
        <v>2937.6</v>
      </c>
      <c r="AP72" s="105">
        <v>7.7070707070707121</v>
      </c>
      <c r="AQ72" s="105">
        <v>3773.3818181818206</v>
      </c>
      <c r="AR72" s="105">
        <v>0</v>
      </c>
      <c r="AS72" s="105">
        <v>0</v>
      </c>
      <c r="AT72" s="105">
        <v>0</v>
      </c>
      <c r="AU72" s="105">
        <v>0</v>
      </c>
      <c r="AV72" s="105">
        <v>8.1438877457421253</v>
      </c>
      <c r="AW72" s="105">
        <v>3987.2474403153442</v>
      </c>
      <c r="AX72" s="105">
        <v>7</v>
      </c>
      <c r="AY72" s="105">
        <v>3427.2</v>
      </c>
      <c r="AZ72" s="105">
        <v>7.7333333333333378</v>
      </c>
      <c r="BA72" s="105">
        <v>3786.2400000000021</v>
      </c>
      <c r="BB72" s="105">
        <v>6.9224137931034511</v>
      </c>
      <c r="BC72" s="105">
        <v>3389.2137931034495</v>
      </c>
      <c r="BD72" s="105">
        <v>6.7763713080168797</v>
      </c>
      <c r="BE72" s="105">
        <v>3317.7113924050641</v>
      </c>
      <c r="BF72" s="105">
        <v>7.1656441717791424</v>
      </c>
      <c r="BG72" s="105">
        <v>3508.299386503068</v>
      </c>
      <c r="BH72" s="105">
        <v>6.257142857142858</v>
      </c>
      <c r="BI72" s="105">
        <v>3063.497142857143</v>
      </c>
      <c r="BJ72" s="105">
        <v>6.9194312796208539</v>
      </c>
      <c r="BK72" s="105">
        <v>3387.7535545023698</v>
      </c>
      <c r="BL72" s="105">
        <v>6.0030456852791882</v>
      </c>
      <c r="BM72" s="105">
        <v>2939.0911675126904</v>
      </c>
      <c r="BN72" s="105">
        <v>5.9727272727272736</v>
      </c>
      <c r="BO72" s="105">
        <v>2924.247272727273</v>
      </c>
      <c r="BP72" s="105">
        <v>6.0763005780346822</v>
      </c>
      <c r="BQ72" s="105">
        <v>2974.95676300578</v>
      </c>
      <c r="BR72" s="105">
        <v>5.3511312217194575</v>
      </c>
      <c r="BS72" s="105">
        <v>2619.9138461538464</v>
      </c>
      <c r="BT72" s="105">
        <v>5.804819277108435</v>
      </c>
      <c r="BU72" s="105">
        <v>2842.0395180722894</v>
      </c>
      <c r="BV72" s="105">
        <v>7.4123076923076949</v>
      </c>
      <c r="BW72" s="105">
        <v>3629.0658461538474</v>
      </c>
      <c r="BX72" s="105">
        <v>6.2110497237569078</v>
      </c>
      <c r="BY72" s="105">
        <v>3040.9299447513818</v>
      </c>
      <c r="BZ72" s="105">
        <v>6.2980392156862761</v>
      </c>
      <c r="CA72" s="105">
        <v>3083.5200000000004</v>
      </c>
      <c r="CB72" s="105">
        <v>6.1690140845070429</v>
      </c>
      <c r="CC72" s="105">
        <v>3020.349295774648</v>
      </c>
      <c r="CD72" s="105">
        <v>6.9856459330143554</v>
      </c>
      <c r="CE72" s="105">
        <v>3420.1722488038281</v>
      </c>
      <c r="CF72" s="105">
        <v>7.6113744075829395</v>
      </c>
      <c r="CG72" s="105">
        <v>3726.5289099526071</v>
      </c>
      <c r="CH72" s="105">
        <v>6.9523809523809534</v>
      </c>
      <c r="CI72" s="105">
        <v>3403.8857142857146</v>
      </c>
      <c r="CJ72" s="105">
        <v>5.4074074074074083</v>
      </c>
      <c r="CK72" s="105">
        <v>2647.4666666666672</v>
      </c>
      <c r="CL72" s="105">
        <v>5.6699029126213603</v>
      </c>
      <c r="CM72" s="105">
        <v>2775.9844660194176</v>
      </c>
      <c r="CN72" s="105">
        <v>7.0080000000000018</v>
      </c>
      <c r="CO72" s="105">
        <v>3431.1168000000007</v>
      </c>
      <c r="CP72" s="105">
        <v>6.4683544303797484</v>
      </c>
      <c r="CQ72" s="105">
        <v>3166.9063291139246</v>
      </c>
      <c r="CR72" s="105">
        <v>6.8050847457627137</v>
      </c>
      <c r="CS72" s="105">
        <v>3331.7694915254242</v>
      </c>
      <c r="CT72" s="105">
        <v>6.3135135135135148</v>
      </c>
      <c r="CU72" s="105">
        <v>3091.0962162162168</v>
      </c>
    </row>
    <row r="73" spans="2:99" x14ac:dyDescent="0.2">
      <c r="C73" s="104" t="s">
        <v>239</v>
      </c>
      <c r="D73" s="105">
        <v>5.7631578947368425</v>
      </c>
      <c r="E73" s="105">
        <v>3271.1684210526319</v>
      </c>
      <c r="F73" s="105">
        <v>6.7281105990783425</v>
      </c>
      <c r="G73" s="105">
        <v>3818.8755760368672</v>
      </c>
      <c r="H73" s="105">
        <v>6.5988700564971765</v>
      </c>
      <c r="I73" s="105">
        <v>3745.5186440677976</v>
      </c>
      <c r="J73" s="105">
        <v>6.3135135135135148</v>
      </c>
      <c r="K73" s="105">
        <v>3583.5502702702711</v>
      </c>
      <c r="L73" s="105">
        <v>4.8666666666666671</v>
      </c>
      <c r="M73" s="105">
        <v>2762.32</v>
      </c>
      <c r="N73" s="105">
        <v>6.7731958762886615</v>
      </c>
      <c r="O73" s="105">
        <v>3844.4659793814444</v>
      </c>
      <c r="P73" s="105">
        <v>6.4317180616740108</v>
      </c>
      <c r="Q73" s="105">
        <v>3650.6431718061685</v>
      </c>
      <c r="R73" s="105">
        <v>7.4489795918367365</v>
      </c>
      <c r="S73" s="105">
        <v>4228.040816326532</v>
      </c>
      <c r="T73" s="105">
        <v>6.2931034482758639</v>
      </c>
      <c r="U73" s="105">
        <v>3571.9655172413804</v>
      </c>
      <c r="V73" s="105">
        <v>7.1803278688524603</v>
      </c>
      <c r="W73" s="105">
        <v>4075.5540983606566</v>
      </c>
      <c r="X73" s="105">
        <v>7.0207650273224065</v>
      </c>
      <c r="Y73" s="105">
        <v>3984.986229508198</v>
      </c>
      <c r="Z73" s="105">
        <v>7.3000000000000025</v>
      </c>
      <c r="AA73" s="105">
        <v>4143.4800000000014</v>
      </c>
      <c r="AB73" s="105">
        <v>6.6520710059171622</v>
      </c>
      <c r="AC73" s="105">
        <v>3775.7155029585815</v>
      </c>
      <c r="AD73" s="105">
        <v>7.7866666666666688</v>
      </c>
      <c r="AE73" s="105">
        <v>4419.7120000000014</v>
      </c>
      <c r="AF73" s="105">
        <v>7.050731707317075</v>
      </c>
      <c r="AG73" s="105">
        <v>4001.9953170731719</v>
      </c>
      <c r="AH73" s="105">
        <v>7.4351851851851869</v>
      </c>
      <c r="AI73" s="105">
        <v>4220.2111111111126</v>
      </c>
      <c r="AJ73" s="105">
        <v>6.6520710059171622</v>
      </c>
      <c r="AK73" s="105">
        <v>3775.7155029585815</v>
      </c>
      <c r="AL73" s="105">
        <v>5</v>
      </c>
      <c r="AM73" s="105">
        <v>2838</v>
      </c>
      <c r="AN73" s="105">
        <v>6</v>
      </c>
      <c r="AO73" s="105">
        <v>3405.6000000000004</v>
      </c>
      <c r="AP73" s="105">
        <v>6.9363636363636418</v>
      </c>
      <c r="AQ73" s="105">
        <v>3937.0800000000031</v>
      </c>
      <c r="AR73" s="105">
        <v>0</v>
      </c>
      <c r="AS73" s="105">
        <v>0</v>
      </c>
      <c r="AT73" s="105">
        <v>0</v>
      </c>
      <c r="AU73" s="105">
        <v>0</v>
      </c>
      <c r="AV73" s="105">
        <v>9.0487641619356936</v>
      </c>
      <c r="AW73" s="105">
        <v>5136.0785383146995</v>
      </c>
      <c r="AX73" s="105">
        <v>6</v>
      </c>
      <c r="AY73" s="105">
        <v>3405.6000000000004</v>
      </c>
      <c r="AZ73" s="105">
        <v>7.7333333333333378</v>
      </c>
      <c r="BA73" s="105">
        <v>4389.4400000000023</v>
      </c>
      <c r="BB73" s="105">
        <v>6.9224137931034511</v>
      </c>
      <c r="BC73" s="105">
        <v>3929.1620689655188</v>
      </c>
      <c r="BD73" s="105">
        <v>6.7763713080168797</v>
      </c>
      <c r="BE73" s="105">
        <v>3846.2683544303809</v>
      </c>
      <c r="BF73" s="105">
        <v>7.1656441717791424</v>
      </c>
      <c r="BG73" s="105">
        <v>4067.2196319018412</v>
      </c>
      <c r="BH73" s="105">
        <v>6.9523809523809534</v>
      </c>
      <c r="BI73" s="105">
        <v>3946.1714285714293</v>
      </c>
      <c r="BJ73" s="105">
        <v>6.2274881516587692</v>
      </c>
      <c r="BK73" s="105">
        <v>3534.7222748815175</v>
      </c>
      <c r="BL73" s="105">
        <v>6.0030456852791882</v>
      </c>
      <c r="BM73" s="105">
        <v>3407.3287309644675</v>
      </c>
      <c r="BN73" s="105">
        <v>5.1194805194805193</v>
      </c>
      <c r="BO73" s="105">
        <v>2905.8171428571427</v>
      </c>
      <c r="BP73" s="105">
        <v>5.3167630057803468</v>
      </c>
      <c r="BQ73" s="105">
        <v>3017.7946820809248</v>
      </c>
      <c r="BR73" s="105">
        <v>5.9457013574660635</v>
      </c>
      <c r="BS73" s="105">
        <v>3374.780090497738</v>
      </c>
      <c r="BT73" s="105">
        <v>6.772289156626508</v>
      </c>
      <c r="BU73" s="105">
        <v>3843.951325301206</v>
      </c>
      <c r="BV73" s="105">
        <v>7.4123076923076949</v>
      </c>
      <c r="BW73" s="105">
        <v>4207.2258461538477</v>
      </c>
      <c r="BX73" s="105">
        <v>6.2110497237569078</v>
      </c>
      <c r="BY73" s="105">
        <v>3525.3918232044211</v>
      </c>
      <c r="BZ73" s="105">
        <v>7.0852941176470612</v>
      </c>
      <c r="CA73" s="105">
        <v>4021.6129411764723</v>
      </c>
      <c r="CB73" s="105">
        <v>6.8544600938967148</v>
      </c>
      <c r="CC73" s="105">
        <v>3890.5915492957756</v>
      </c>
      <c r="CD73" s="105">
        <v>6.9856459330143554</v>
      </c>
      <c r="CE73" s="105">
        <v>3965.0526315789484</v>
      </c>
      <c r="CF73" s="105">
        <v>6.2274881516587692</v>
      </c>
      <c r="CG73" s="105">
        <v>3534.7222748815175</v>
      </c>
      <c r="CH73" s="105">
        <v>6.257142857142858</v>
      </c>
      <c r="CI73" s="105">
        <v>3551.5542857142864</v>
      </c>
      <c r="CJ73" s="105">
        <v>6.7592592592592604</v>
      </c>
      <c r="CK73" s="105">
        <v>3836.5555555555566</v>
      </c>
      <c r="CL73" s="105">
        <v>6.3786407766990303</v>
      </c>
      <c r="CM73" s="105">
        <v>3620.5165048543699</v>
      </c>
      <c r="CN73" s="105">
        <v>7.0080000000000018</v>
      </c>
      <c r="CO73" s="105">
        <v>3977.7408000000009</v>
      </c>
      <c r="CP73" s="105">
        <v>6.4683544303797484</v>
      </c>
      <c r="CQ73" s="105">
        <v>3671.4379746835452</v>
      </c>
      <c r="CR73" s="105">
        <v>8.0423728813559343</v>
      </c>
      <c r="CS73" s="105">
        <v>4564.8508474576283</v>
      </c>
      <c r="CT73" s="105">
        <v>7.1027027027027048</v>
      </c>
      <c r="CU73" s="105">
        <v>4031.4940540540556</v>
      </c>
    </row>
    <row r="74" spans="2:99" x14ac:dyDescent="0.2">
      <c r="C74" s="104" t="s">
        <v>240</v>
      </c>
      <c r="D74" s="105">
        <v>5.7631578947368425</v>
      </c>
      <c r="E74" s="105">
        <v>1811.9368421052632</v>
      </c>
      <c r="F74" s="105">
        <v>7.400921658986177</v>
      </c>
      <c r="G74" s="105">
        <v>2326.8497695852539</v>
      </c>
      <c r="H74" s="105">
        <v>7.4237288135593236</v>
      </c>
      <c r="I74" s="105">
        <v>2334.0203389830513</v>
      </c>
      <c r="J74" s="105">
        <v>6.3135135135135148</v>
      </c>
      <c r="K74" s="105">
        <v>1984.9686486486489</v>
      </c>
      <c r="L74" s="105">
        <v>5.8400000000000016</v>
      </c>
      <c r="M74" s="105">
        <v>1836.0960000000005</v>
      </c>
      <c r="N74" s="105">
        <v>6.7731958762886615</v>
      </c>
      <c r="O74" s="105">
        <v>2129.4927835051549</v>
      </c>
      <c r="P74" s="105">
        <v>6.4317180616740108</v>
      </c>
      <c r="Q74" s="105">
        <v>2022.1321585903088</v>
      </c>
      <c r="R74" s="105">
        <v>7.4489795918367365</v>
      </c>
      <c r="S74" s="105">
        <v>2341.9591836734699</v>
      </c>
      <c r="T74" s="105">
        <v>6.2931034482758639</v>
      </c>
      <c r="U74" s="105">
        <v>1978.5517241379314</v>
      </c>
      <c r="V74" s="105">
        <v>7.1803278688524603</v>
      </c>
      <c r="W74" s="105">
        <v>2257.4950819672135</v>
      </c>
      <c r="X74" s="105">
        <v>7.8983606557377071</v>
      </c>
      <c r="Y74" s="105">
        <v>2483.2445901639348</v>
      </c>
      <c r="Z74" s="105">
        <v>7.3000000000000025</v>
      </c>
      <c r="AA74" s="105">
        <v>2295.1200000000008</v>
      </c>
      <c r="AB74" s="105">
        <v>6.6520710059171622</v>
      </c>
      <c r="AC74" s="105">
        <v>2091.4111242603558</v>
      </c>
      <c r="AD74" s="105">
        <v>7.7866666666666688</v>
      </c>
      <c r="AE74" s="105">
        <v>2448.1280000000006</v>
      </c>
      <c r="AF74" s="105">
        <v>7.8341463414634172</v>
      </c>
      <c r="AG74" s="105">
        <v>2463.055609756098</v>
      </c>
      <c r="AH74" s="105">
        <v>6.6916666666666682</v>
      </c>
      <c r="AI74" s="105">
        <v>2103.86</v>
      </c>
      <c r="AJ74" s="105">
        <v>6.6520710059171622</v>
      </c>
      <c r="AK74" s="105">
        <v>2091.4111242603558</v>
      </c>
      <c r="AL74" s="105">
        <v>6</v>
      </c>
      <c r="AM74" s="105">
        <v>1886.3999999999999</v>
      </c>
      <c r="AN74" s="105">
        <v>6</v>
      </c>
      <c r="AO74" s="105">
        <v>1886.3999999999999</v>
      </c>
      <c r="AP74" s="105">
        <v>7.7070707070707121</v>
      </c>
      <c r="AQ74" s="105">
        <v>2423.1030303030316</v>
      </c>
      <c r="AR74" s="105">
        <v>0</v>
      </c>
      <c r="AS74" s="105">
        <v>0</v>
      </c>
      <c r="AT74" s="105">
        <v>0</v>
      </c>
      <c r="AU74" s="105">
        <v>0</v>
      </c>
      <c r="AV74" s="105">
        <v>8.1438877457421253</v>
      </c>
      <c r="AW74" s="105">
        <v>2560.4383072613241</v>
      </c>
      <c r="AX74" s="105">
        <v>7</v>
      </c>
      <c r="AY74" s="105">
        <v>2200.7999999999997</v>
      </c>
      <c r="AZ74" s="105">
        <v>7.7333333333333378</v>
      </c>
      <c r="BA74" s="105">
        <v>2431.360000000001</v>
      </c>
      <c r="BB74" s="105">
        <v>7.6146551724137952</v>
      </c>
      <c r="BC74" s="105">
        <v>2394.047586206897</v>
      </c>
      <c r="BD74" s="105">
        <v>6.1603375527426172</v>
      </c>
      <c r="BE74" s="105">
        <v>1936.8101265822786</v>
      </c>
      <c r="BF74" s="105">
        <v>6.2699386503067496</v>
      </c>
      <c r="BG74" s="105">
        <v>1971.2687116564418</v>
      </c>
      <c r="BH74" s="105">
        <v>6.9523809523809534</v>
      </c>
      <c r="BI74" s="105">
        <v>2185.8285714285716</v>
      </c>
      <c r="BJ74" s="105">
        <v>7.6113744075829395</v>
      </c>
      <c r="BK74" s="105">
        <v>2393.0161137440759</v>
      </c>
      <c r="BL74" s="105">
        <v>5.336040609137056</v>
      </c>
      <c r="BM74" s="105">
        <v>1677.6511675126903</v>
      </c>
      <c r="BN74" s="105">
        <v>5.1194805194805193</v>
      </c>
      <c r="BO74" s="105">
        <v>1609.5646753246751</v>
      </c>
      <c r="BP74" s="105">
        <v>6.0763005780346822</v>
      </c>
      <c r="BQ74" s="105">
        <v>1910.3889017341039</v>
      </c>
      <c r="BR74" s="105">
        <v>5.9457013574660635</v>
      </c>
      <c r="BS74" s="105">
        <v>1869.3285067873303</v>
      </c>
      <c r="BT74" s="105">
        <v>6.772289156626508</v>
      </c>
      <c r="BU74" s="105">
        <v>2129.2077108433741</v>
      </c>
      <c r="BV74" s="105">
        <v>8.2358974358974386</v>
      </c>
      <c r="BW74" s="105">
        <v>2589.3661538461547</v>
      </c>
      <c r="BX74" s="105">
        <v>7.098342541436466</v>
      </c>
      <c r="BY74" s="105">
        <v>2231.718895027625</v>
      </c>
      <c r="BZ74" s="105">
        <v>7.0852941176470612</v>
      </c>
      <c r="CA74" s="105">
        <v>2227.6164705882361</v>
      </c>
      <c r="CB74" s="105">
        <v>6.1690140845070429</v>
      </c>
      <c r="CC74" s="105">
        <v>1939.5380281690141</v>
      </c>
      <c r="CD74" s="105">
        <v>6.9856459330143554</v>
      </c>
      <c r="CE74" s="105">
        <v>2196.287081339713</v>
      </c>
      <c r="CF74" s="105">
        <v>6.9194312796208539</v>
      </c>
      <c r="CG74" s="105">
        <v>2175.4691943127964</v>
      </c>
      <c r="CH74" s="105">
        <v>6.257142857142858</v>
      </c>
      <c r="CI74" s="105">
        <v>1967.2457142857145</v>
      </c>
      <c r="CJ74" s="105">
        <v>6.7592592592592604</v>
      </c>
      <c r="CK74" s="105">
        <v>2125.1111111111113</v>
      </c>
      <c r="CL74" s="105">
        <v>7.0873786407767003</v>
      </c>
      <c r="CM74" s="105">
        <v>2228.2718446601943</v>
      </c>
      <c r="CN74" s="105">
        <v>7.5920000000000014</v>
      </c>
      <c r="CO74" s="105">
        <v>2386.9248000000002</v>
      </c>
      <c r="CP74" s="105">
        <v>6.4683544303797484</v>
      </c>
      <c r="CQ74" s="105">
        <v>2033.6506329113927</v>
      </c>
      <c r="CR74" s="105">
        <v>7.4237288135593236</v>
      </c>
      <c r="CS74" s="105">
        <v>2334.0203389830513</v>
      </c>
      <c r="CT74" s="105">
        <v>7.1027027027027048</v>
      </c>
      <c r="CU74" s="105">
        <v>2233.0897297297302</v>
      </c>
    </row>
    <row r="75" spans="2:99" x14ac:dyDescent="0.2">
      <c r="C75" s="104" t="s">
        <v>241</v>
      </c>
      <c r="D75" s="105">
        <v>5.7631578947368425</v>
      </c>
      <c r="E75" s="105">
        <v>3450.9789473684209</v>
      </c>
      <c r="F75" s="105">
        <v>7.400921658986177</v>
      </c>
      <c r="G75" s="105">
        <v>4431.6718894009227</v>
      </c>
      <c r="H75" s="105">
        <v>7.4237288135593236</v>
      </c>
      <c r="I75" s="105">
        <v>4445.328813559323</v>
      </c>
      <c r="J75" s="105">
        <v>6.3135135135135148</v>
      </c>
      <c r="K75" s="105">
        <v>3780.5318918918924</v>
      </c>
      <c r="L75" s="105">
        <v>5.8400000000000016</v>
      </c>
      <c r="M75" s="105">
        <v>3496.9920000000006</v>
      </c>
      <c r="N75" s="105">
        <v>6.7731958762886615</v>
      </c>
      <c r="O75" s="105">
        <v>4055.78969072165</v>
      </c>
      <c r="P75" s="105">
        <v>6.4317180616740108</v>
      </c>
      <c r="Q75" s="105">
        <v>3851.3127753303975</v>
      </c>
      <c r="R75" s="105">
        <v>6.7040816326530628</v>
      </c>
      <c r="S75" s="105">
        <v>4014.4040816326537</v>
      </c>
      <c r="T75" s="105">
        <v>6.9224137931034493</v>
      </c>
      <c r="U75" s="105">
        <v>4145.1413793103447</v>
      </c>
      <c r="V75" s="105">
        <v>7.1803278688524603</v>
      </c>
      <c r="W75" s="105">
        <v>4299.5803278688527</v>
      </c>
      <c r="X75" s="105">
        <v>7.8983606557377071</v>
      </c>
      <c r="Y75" s="105">
        <v>4729.5383606557389</v>
      </c>
      <c r="Z75" s="105">
        <v>7.3000000000000025</v>
      </c>
      <c r="AA75" s="105">
        <v>4371.2400000000016</v>
      </c>
      <c r="AB75" s="105">
        <v>6.6520710059171622</v>
      </c>
      <c r="AC75" s="105">
        <v>3983.2601183431966</v>
      </c>
      <c r="AD75" s="105">
        <v>8.7600000000000016</v>
      </c>
      <c r="AE75" s="105">
        <v>5245.4880000000003</v>
      </c>
      <c r="AF75" s="105">
        <v>7.050731707317075</v>
      </c>
      <c r="AG75" s="105">
        <v>4221.9781463414638</v>
      </c>
      <c r="AH75" s="105">
        <v>7.4351851851851869</v>
      </c>
      <c r="AI75" s="105">
        <v>4452.1888888888898</v>
      </c>
      <c r="AJ75" s="105">
        <v>6.6520710059171622</v>
      </c>
      <c r="AK75" s="105">
        <v>3983.2601183431966</v>
      </c>
      <c r="AL75" s="105">
        <v>6</v>
      </c>
      <c r="AM75" s="105">
        <v>3592.7999999999997</v>
      </c>
      <c r="AN75" s="105">
        <v>6</v>
      </c>
      <c r="AO75" s="105">
        <v>3592.7999999999997</v>
      </c>
      <c r="AP75" s="105">
        <v>6.9363636363636418</v>
      </c>
      <c r="AQ75" s="105">
        <v>4153.4945454545486</v>
      </c>
      <c r="AR75" s="105">
        <v>0</v>
      </c>
      <c r="AS75" s="105">
        <v>0</v>
      </c>
      <c r="AT75" s="105">
        <v>0</v>
      </c>
      <c r="AU75" s="105">
        <v>0</v>
      </c>
      <c r="AV75" s="105">
        <v>8.1438877457421253</v>
      </c>
      <c r="AW75" s="105">
        <v>4876.5599821503838</v>
      </c>
      <c r="AX75" s="105">
        <v>7</v>
      </c>
      <c r="AY75" s="105">
        <v>4191.5999999999995</v>
      </c>
      <c r="AZ75" s="105">
        <v>7.7333333333333378</v>
      </c>
      <c r="BA75" s="105">
        <v>4630.7200000000021</v>
      </c>
      <c r="BB75" s="105">
        <v>8.3068965517241402</v>
      </c>
      <c r="BC75" s="105">
        <v>4974.1696551724144</v>
      </c>
      <c r="BD75" s="105">
        <v>6.7763713080168797</v>
      </c>
      <c r="BE75" s="105">
        <v>4057.6911392405073</v>
      </c>
      <c r="BF75" s="105">
        <v>7.1656441717791424</v>
      </c>
      <c r="BG75" s="105">
        <v>4290.78773006135</v>
      </c>
      <c r="BH75" s="105">
        <v>6.257142857142858</v>
      </c>
      <c r="BI75" s="105">
        <v>3746.7771428571432</v>
      </c>
      <c r="BJ75" s="105">
        <v>7.6113744075829395</v>
      </c>
      <c r="BK75" s="105">
        <v>4557.6909952606638</v>
      </c>
      <c r="BL75" s="105">
        <v>5.336040609137056</v>
      </c>
      <c r="BM75" s="105">
        <v>3195.2211167512687</v>
      </c>
      <c r="BN75" s="105">
        <v>5.1194805194805193</v>
      </c>
      <c r="BO75" s="105">
        <v>3065.5449350649346</v>
      </c>
      <c r="BP75" s="105">
        <v>6.8358381502890175</v>
      </c>
      <c r="BQ75" s="105">
        <v>4093.2998843930632</v>
      </c>
      <c r="BR75" s="105">
        <v>5.9457013574660635</v>
      </c>
      <c r="BS75" s="105">
        <v>3560.2859728506787</v>
      </c>
      <c r="BT75" s="105">
        <v>6.772289156626508</v>
      </c>
      <c r="BU75" s="105">
        <v>4055.2467469879525</v>
      </c>
      <c r="BV75" s="105">
        <v>7.4123076923076949</v>
      </c>
      <c r="BW75" s="105">
        <v>4438.4898461538478</v>
      </c>
      <c r="BX75" s="105">
        <v>6.2110497237569078</v>
      </c>
      <c r="BY75" s="105">
        <v>3719.176574585636</v>
      </c>
      <c r="BZ75" s="105">
        <v>6.2980392156862761</v>
      </c>
      <c r="CA75" s="105">
        <v>3771.2658823529418</v>
      </c>
      <c r="CB75" s="105">
        <v>6.8544600938967148</v>
      </c>
      <c r="CC75" s="105">
        <v>4104.4507042253526</v>
      </c>
      <c r="CD75" s="105">
        <v>6.9856459330143554</v>
      </c>
      <c r="CE75" s="105">
        <v>4183.0047846889956</v>
      </c>
      <c r="CF75" s="105">
        <v>7.6113744075829395</v>
      </c>
      <c r="CG75" s="105">
        <v>4557.6909952606638</v>
      </c>
      <c r="CH75" s="105">
        <v>6.9523809523809534</v>
      </c>
      <c r="CI75" s="105">
        <v>4163.0857142857149</v>
      </c>
      <c r="CJ75" s="105">
        <v>6.0833333333333339</v>
      </c>
      <c r="CK75" s="105">
        <v>3642.7000000000003</v>
      </c>
      <c r="CL75" s="105">
        <v>7.0873786407767003</v>
      </c>
      <c r="CM75" s="105">
        <v>4243.922330097088</v>
      </c>
      <c r="CN75" s="105">
        <v>6.4240000000000013</v>
      </c>
      <c r="CO75" s="105">
        <v>3846.6912000000007</v>
      </c>
      <c r="CP75" s="105">
        <v>6.4683544303797484</v>
      </c>
      <c r="CQ75" s="105">
        <v>3873.250632911393</v>
      </c>
      <c r="CR75" s="105">
        <v>7.4237288135593236</v>
      </c>
      <c r="CS75" s="105">
        <v>4445.328813559323</v>
      </c>
      <c r="CT75" s="105">
        <v>6.3135135135135148</v>
      </c>
      <c r="CU75" s="105">
        <v>3780.5318918918924</v>
      </c>
    </row>
    <row r="76" spans="2:99" x14ac:dyDescent="0.2">
      <c r="C76" s="104" t="s">
        <v>242</v>
      </c>
      <c r="D76" s="105">
        <v>4.802631578947369</v>
      </c>
      <c r="E76" s="105">
        <v>4143.71052631579</v>
      </c>
      <c r="F76" s="105">
        <v>6.7281105990783425</v>
      </c>
      <c r="G76" s="105">
        <v>5805.0138248847934</v>
      </c>
      <c r="H76" s="105">
        <v>6.5988700564971765</v>
      </c>
      <c r="I76" s="105">
        <v>5693.5050847457633</v>
      </c>
      <c r="J76" s="105">
        <v>7.1027027027027048</v>
      </c>
      <c r="K76" s="105">
        <v>6128.2118918918932</v>
      </c>
      <c r="L76" s="105">
        <v>4.8666666666666671</v>
      </c>
      <c r="M76" s="105">
        <v>4198.96</v>
      </c>
      <c r="N76" s="105">
        <v>7.5257731958762895</v>
      </c>
      <c r="O76" s="105">
        <v>6493.2371134020623</v>
      </c>
      <c r="P76" s="105">
        <v>7.0748898678414109</v>
      </c>
      <c r="Q76" s="105">
        <v>6104.2149779735691</v>
      </c>
      <c r="R76" s="105">
        <v>5.9591836734693882</v>
      </c>
      <c r="S76" s="105">
        <v>5141.5836734693876</v>
      </c>
      <c r="T76" s="105">
        <v>6.9224137931034493</v>
      </c>
      <c r="U76" s="105">
        <v>5972.6586206896554</v>
      </c>
      <c r="V76" s="105">
        <v>7.1803278688524603</v>
      </c>
      <c r="W76" s="105">
        <v>6195.1868852459029</v>
      </c>
      <c r="X76" s="105">
        <v>7.0207650273224065</v>
      </c>
      <c r="Y76" s="105">
        <v>6057.5160655737718</v>
      </c>
      <c r="Z76" s="105">
        <v>6.4888888888888916</v>
      </c>
      <c r="AA76" s="105">
        <v>5598.6133333333355</v>
      </c>
      <c r="AB76" s="105">
        <v>7.6023668639053277</v>
      </c>
      <c r="AC76" s="105">
        <v>6559.3221301775166</v>
      </c>
      <c r="AD76" s="105">
        <v>7.7866666666666688</v>
      </c>
      <c r="AE76" s="105">
        <v>6718.3360000000011</v>
      </c>
      <c r="AF76" s="105">
        <v>7.8341463414634172</v>
      </c>
      <c r="AG76" s="105">
        <v>6759.3014634146357</v>
      </c>
      <c r="AH76" s="105">
        <v>6.6916666666666682</v>
      </c>
      <c r="AI76" s="105">
        <v>5773.5700000000006</v>
      </c>
      <c r="AJ76" s="105">
        <v>6.6520710059171622</v>
      </c>
      <c r="AK76" s="105">
        <v>5739.4068639053276</v>
      </c>
      <c r="AL76" s="105">
        <v>5</v>
      </c>
      <c r="AM76" s="105">
        <v>4314</v>
      </c>
      <c r="AN76" s="105">
        <v>6</v>
      </c>
      <c r="AO76" s="105">
        <v>5176.7999999999993</v>
      </c>
      <c r="AP76" s="105">
        <v>7.7070707070707121</v>
      </c>
      <c r="AQ76" s="105">
        <v>6649.66060606061</v>
      </c>
      <c r="AR76" s="105">
        <v>0</v>
      </c>
      <c r="AS76" s="105">
        <v>0</v>
      </c>
      <c r="AT76" s="105">
        <v>0</v>
      </c>
      <c r="AU76" s="105">
        <v>0</v>
      </c>
      <c r="AV76" s="105">
        <v>9.0487641619356936</v>
      </c>
      <c r="AW76" s="105">
        <v>7807.2737189181162</v>
      </c>
      <c r="AX76" s="105">
        <v>7</v>
      </c>
      <c r="AY76" s="105">
        <v>6039.5999999999995</v>
      </c>
      <c r="AZ76" s="105">
        <v>7.7333333333333378</v>
      </c>
      <c r="BA76" s="105">
        <v>6672.3200000000033</v>
      </c>
      <c r="BB76" s="105">
        <v>7.6146551724137952</v>
      </c>
      <c r="BC76" s="105">
        <v>6569.9244827586217</v>
      </c>
      <c r="BD76" s="105">
        <v>6.7763713080168797</v>
      </c>
      <c r="BE76" s="105">
        <v>5846.6531645569639</v>
      </c>
      <c r="BF76" s="105">
        <v>7.1656441717791424</v>
      </c>
      <c r="BG76" s="105">
        <v>6182.5177914110436</v>
      </c>
      <c r="BH76" s="105">
        <v>6.257142857142858</v>
      </c>
      <c r="BI76" s="105">
        <v>5398.6628571428573</v>
      </c>
      <c r="BJ76" s="105">
        <v>6.2274881516587692</v>
      </c>
      <c r="BK76" s="105">
        <v>5373.0767772511854</v>
      </c>
      <c r="BL76" s="105">
        <v>5.336040609137056</v>
      </c>
      <c r="BM76" s="105">
        <v>4603.935837563452</v>
      </c>
      <c r="BN76" s="105">
        <v>5.9727272727272736</v>
      </c>
      <c r="BO76" s="105">
        <v>5153.2690909090916</v>
      </c>
      <c r="BP76" s="105">
        <v>5.3167630057803468</v>
      </c>
      <c r="BQ76" s="105">
        <v>4587.3031213872828</v>
      </c>
      <c r="BR76" s="105">
        <v>5.9457013574660635</v>
      </c>
      <c r="BS76" s="105">
        <v>5129.9511312217192</v>
      </c>
      <c r="BT76" s="105">
        <v>5.804819277108435</v>
      </c>
      <c r="BU76" s="105">
        <v>5008.3980722891574</v>
      </c>
      <c r="BV76" s="105">
        <v>6.5887179487179512</v>
      </c>
      <c r="BW76" s="105">
        <v>5684.7458461538481</v>
      </c>
      <c r="BX76" s="105">
        <v>6.2110497237569078</v>
      </c>
      <c r="BY76" s="105">
        <v>5358.89370165746</v>
      </c>
      <c r="BZ76" s="105">
        <v>6.2980392156862761</v>
      </c>
      <c r="CA76" s="105">
        <v>5433.9482352941186</v>
      </c>
      <c r="CB76" s="105">
        <v>6.1690140845070429</v>
      </c>
      <c r="CC76" s="105">
        <v>5322.6253521126764</v>
      </c>
      <c r="CD76" s="105">
        <v>6.9856459330143554</v>
      </c>
      <c r="CE76" s="105">
        <v>6027.2153110047857</v>
      </c>
      <c r="CF76" s="105">
        <v>6.2274881516587692</v>
      </c>
      <c r="CG76" s="105">
        <v>5373.0767772511854</v>
      </c>
      <c r="CH76" s="105">
        <v>6.9523809523809534</v>
      </c>
      <c r="CI76" s="105">
        <v>5998.5142857142864</v>
      </c>
      <c r="CJ76" s="105">
        <v>6.0833333333333339</v>
      </c>
      <c r="CK76" s="105">
        <v>5248.7</v>
      </c>
      <c r="CL76" s="105">
        <v>6.3786407766990303</v>
      </c>
      <c r="CM76" s="105">
        <v>5503.4912621359226</v>
      </c>
      <c r="CN76" s="105">
        <v>6.4240000000000013</v>
      </c>
      <c r="CO76" s="105">
        <v>5542.6272000000008</v>
      </c>
      <c r="CP76" s="105">
        <v>5.5443037974683556</v>
      </c>
      <c r="CQ76" s="105">
        <v>4783.6253164556965</v>
      </c>
      <c r="CR76" s="105">
        <v>6.8050847457627137</v>
      </c>
      <c r="CS76" s="105">
        <v>5871.4271186440692</v>
      </c>
      <c r="CT76" s="105">
        <v>7.1027027027027048</v>
      </c>
      <c r="CU76" s="105">
        <v>6128.2118918918932</v>
      </c>
    </row>
    <row r="77" spans="2:99" x14ac:dyDescent="0.2">
      <c r="C77" s="104" t="s">
        <v>243</v>
      </c>
      <c r="D77" s="105">
        <v>4.802631578947369</v>
      </c>
      <c r="E77" s="105">
        <v>3313.8157894736846</v>
      </c>
      <c r="F77" s="105">
        <v>6.7281105990783425</v>
      </c>
      <c r="G77" s="105">
        <v>4642.3963133640564</v>
      </c>
      <c r="H77" s="105">
        <v>6.5988700564971765</v>
      </c>
      <c r="I77" s="105">
        <v>4553.220338983052</v>
      </c>
      <c r="J77" s="105">
        <v>7.1027027027027048</v>
      </c>
      <c r="K77" s="105">
        <v>4900.8648648648659</v>
      </c>
      <c r="L77" s="105">
        <v>5.8400000000000016</v>
      </c>
      <c r="M77" s="105">
        <v>4029.6000000000013</v>
      </c>
      <c r="N77" s="105">
        <v>6.7731958762886615</v>
      </c>
      <c r="O77" s="105">
        <v>4673.505154639176</v>
      </c>
      <c r="P77" s="105">
        <v>7.0748898678414109</v>
      </c>
      <c r="Q77" s="105">
        <v>4881.6740088105735</v>
      </c>
      <c r="R77" s="105">
        <v>7.4489795918367365</v>
      </c>
      <c r="S77" s="105">
        <v>5139.7959183673483</v>
      </c>
      <c r="T77" s="105">
        <v>6.2931034482758639</v>
      </c>
      <c r="U77" s="105">
        <v>4342.241379310346</v>
      </c>
      <c r="V77" s="105">
        <v>6.3825136612021867</v>
      </c>
      <c r="W77" s="105">
        <v>4403.934426229509</v>
      </c>
      <c r="X77" s="105">
        <v>7.0207650273224065</v>
      </c>
      <c r="Y77" s="105">
        <v>4844.3278688524606</v>
      </c>
      <c r="Z77" s="105">
        <v>7.3000000000000025</v>
      </c>
      <c r="AA77" s="105">
        <v>5037.0000000000018</v>
      </c>
      <c r="AB77" s="105">
        <v>6.6520710059171622</v>
      </c>
      <c r="AC77" s="105">
        <v>4589.9289940828421</v>
      </c>
      <c r="AD77" s="105">
        <v>7.7866666666666688</v>
      </c>
      <c r="AE77" s="105">
        <v>5372.8000000000011</v>
      </c>
      <c r="AF77" s="105">
        <v>6.2673170731707337</v>
      </c>
      <c r="AG77" s="105">
        <v>4324.4487804878063</v>
      </c>
      <c r="AH77" s="105">
        <v>6.6916666666666682</v>
      </c>
      <c r="AI77" s="105">
        <v>4617.2500000000009</v>
      </c>
      <c r="AJ77" s="105">
        <v>6.6520710059171622</v>
      </c>
      <c r="AK77" s="105">
        <v>4589.9289940828421</v>
      </c>
      <c r="AL77" s="105">
        <v>6</v>
      </c>
      <c r="AM77" s="105">
        <v>4140</v>
      </c>
      <c r="AN77" s="105">
        <v>6</v>
      </c>
      <c r="AO77" s="105">
        <v>4140</v>
      </c>
      <c r="AP77" s="105">
        <v>7.7070707070707121</v>
      </c>
      <c r="AQ77" s="105">
        <v>5317.8787878787916</v>
      </c>
      <c r="AR77" s="105">
        <v>0</v>
      </c>
      <c r="AS77" s="105">
        <v>0</v>
      </c>
      <c r="AT77" s="105">
        <v>0</v>
      </c>
      <c r="AU77" s="105">
        <v>0</v>
      </c>
      <c r="AV77" s="105">
        <v>8.1438877457421253</v>
      </c>
      <c r="AW77" s="105">
        <v>5619.2825445620665</v>
      </c>
      <c r="AX77" s="105">
        <v>7</v>
      </c>
      <c r="AY77" s="105">
        <v>4830</v>
      </c>
      <c r="AZ77" s="105">
        <v>6.766666666666671</v>
      </c>
      <c r="BA77" s="105">
        <v>4669.0000000000027</v>
      </c>
      <c r="BB77" s="105">
        <v>7.6146551724137952</v>
      </c>
      <c r="BC77" s="105">
        <v>5254.112068965519</v>
      </c>
      <c r="BD77" s="105">
        <v>6.1603375527426172</v>
      </c>
      <c r="BE77" s="105">
        <v>4250.6329113924057</v>
      </c>
      <c r="BF77" s="105">
        <v>7.1656441717791424</v>
      </c>
      <c r="BG77" s="105">
        <v>4944.2944785276086</v>
      </c>
      <c r="BH77" s="105">
        <v>6.9523809523809534</v>
      </c>
      <c r="BI77" s="105">
        <v>4797.1428571428578</v>
      </c>
      <c r="BJ77" s="105">
        <v>6.9194312796208539</v>
      </c>
      <c r="BK77" s="105">
        <v>4774.4075829383892</v>
      </c>
      <c r="BL77" s="105">
        <v>5.336040609137056</v>
      </c>
      <c r="BM77" s="105">
        <v>3681.8680203045687</v>
      </c>
      <c r="BN77" s="105">
        <v>5.1194805194805193</v>
      </c>
      <c r="BO77" s="105">
        <v>3532.4415584415583</v>
      </c>
      <c r="BP77" s="105">
        <v>6.8358381502890175</v>
      </c>
      <c r="BQ77" s="105">
        <v>4716.7283236994217</v>
      </c>
      <c r="BR77" s="105">
        <v>5.9457013574660635</v>
      </c>
      <c r="BS77" s="105">
        <v>4102.5339366515836</v>
      </c>
      <c r="BT77" s="105">
        <v>6.772289156626508</v>
      </c>
      <c r="BU77" s="105">
        <v>4672.8795180722909</v>
      </c>
      <c r="BV77" s="105">
        <v>7.4123076923076949</v>
      </c>
      <c r="BW77" s="105">
        <v>5114.4923076923096</v>
      </c>
      <c r="BX77" s="105">
        <v>6.2110497237569078</v>
      </c>
      <c r="BY77" s="105">
        <v>4285.6243093922667</v>
      </c>
      <c r="BZ77" s="105">
        <v>7.0852941176470612</v>
      </c>
      <c r="CA77" s="105">
        <v>4888.8529411764721</v>
      </c>
      <c r="CB77" s="105">
        <v>6.1690140845070429</v>
      </c>
      <c r="CC77" s="105">
        <v>4256.6197183098593</v>
      </c>
      <c r="CD77" s="105">
        <v>6.9856459330143554</v>
      </c>
      <c r="CE77" s="105">
        <v>4820.0956937799056</v>
      </c>
      <c r="CF77" s="105">
        <v>6.9194312796208539</v>
      </c>
      <c r="CG77" s="105">
        <v>4774.4075829383892</v>
      </c>
      <c r="CH77" s="105">
        <v>7.6476190476190489</v>
      </c>
      <c r="CI77" s="105">
        <v>5276.857142857144</v>
      </c>
      <c r="CJ77" s="105">
        <v>6.0833333333333339</v>
      </c>
      <c r="CK77" s="105">
        <v>4197.5</v>
      </c>
      <c r="CL77" s="105">
        <v>7.0873786407767003</v>
      </c>
      <c r="CM77" s="105">
        <v>4890.2912621359228</v>
      </c>
      <c r="CN77" s="105">
        <v>6.4240000000000013</v>
      </c>
      <c r="CO77" s="105">
        <v>4432.5600000000013</v>
      </c>
      <c r="CP77" s="105">
        <v>6.4683544303797484</v>
      </c>
      <c r="CQ77" s="105">
        <v>4463.1645569620268</v>
      </c>
      <c r="CR77" s="105">
        <v>7.4237288135593236</v>
      </c>
      <c r="CS77" s="105">
        <v>5122.3728813559337</v>
      </c>
      <c r="CT77" s="105">
        <v>6.3135135135135148</v>
      </c>
      <c r="CU77" s="105">
        <v>4356.3243243243251</v>
      </c>
    </row>
    <row r="78" spans="2:99" x14ac:dyDescent="0.2">
      <c r="C78" s="104" t="s">
        <v>244</v>
      </c>
      <c r="D78" s="105">
        <v>4.802631578947369</v>
      </c>
      <c r="E78" s="105">
        <v>622.42105263157896</v>
      </c>
      <c r="F78" s="105">
        <v>7.400921658986177</v>
      </c>
      <c r="G78" s="105">
        <v>959.15944700460852</v>
      </c>
      <c r="H78" s="105">
        <v>7.4237288135593236</v>
      </c>
      <c r="I78" s="105">
        <v>962.11525423728824</v>
      </c>
      <c r="J78" s="105">
        <v>7.1027027027027048</v>
      </c>
      <c r="K78" s="105">
        <v>920.51027027027055</v>
      </c>
      <c r="L78" s="105">
        <v>5.8400000000000016</v>
      </c>
      <c r="M78" s="105">
        <v>756.86400000000015</v>
      </c>
      <c r="N78" s="105">
        <v>7.5257731958762895</v>
      </c>
      <c r="O78" s="105">
        <v>975.34020618556713</v>
      </c>
      <c r="P78" s="105">
        <v>7.0748898678414109</v>
      </c>
      <c r="Q78" s="105">
        <v>916.90572687224687</v>
      </c>
      <c r="R78" s="105">
        <v>7.4489795918367365</v>
      </c>
      <c r="S78" s="105">
        <v>965.38775510204096</v>
      </c>
      <c r="T78" s="105">
        <v>7.5517241379310356</v>
      </c>
      <c r="U78" s="105">
        <v>978.70344827586212</v>
      </c>
      <c r="V78" s="105">
        <v>7.1803278688524603</v>
      </c>
      <c r="W78" s="105">
        <v>930.57049180327886</v>
      </c>
      <c r="X78" s="105">
        <v>7.8983606557377071</v>
      </c>
      <c r="Y78" s="105">
        <v>1023.6275409836068</v>
      </c>
      <c r="Z78" s="105">
        <v>8.1111111111111143</v>
      </c>
      <c r="AA78" s="105">
        <v>1051.2000000000003</v>
      </c>
      <c r="AB78" s="105">
        <v>7.6023668639053277</v>
      </c>
      <c r="AC78" s="105">
        <v>985.26674556213038</v>
      </c>
      <c r="AD78" s="105">
        <v>7.7866666666666688</v>
      </c>
      <c r="AE78" s="105">
        <v>1009.1520000000003</v>
      </c>
      <c r="AF78" s="105">
        <v>7.8341463414634172</v>
      </c>
      <c r="AG78" s="105">
        <v>1015.3053658536588</v>
      </c>
      <c r="AH78" s="105">
        <v>7.4351851851851869</v>
      </c>
      <c r="AI78" s="105">
        <v>963.60000000000014</v>
      </c>
      <c r="AJ78" s="105">
        <v>7.6023668639053277</v>
      </c>
      <c r="AK78" s="105">
        <v>985.26674556213038</v>
      </c>
      <c r="AL78" s="105">
        <v>5</v>
      </c>
      <c r="AM78" s="105">
        <v>648</v>
      </c>
      <c r="AN78" s="105">
        <v>6</v>
      </c>
      <c r="AO78" s="105">
        <v>777.59999999999991</v>
      </c>
      <c r="AP78" s="105">
        <v>8.4777777777777832</v>
      </c>
      <c r="AQ78" s="105">
        <v>1098.7200000000007</v>
      </c>
      <c r="AR78" s="105">
        <v>0</v>
      </c>
      <c r="AS78" s="105">
        <v>0</v>
      </c>
      <c r="AT78" s="105">
        <v>0</v>
      </c>
      <c r="AU78" s="105">
        <v>0</v>
      </c>
      <c r="AV78" s="105">
        <v>9.9536405781292618</v>
      </c>
      <c r="AW78" s="105">
        <v>1289.9918189255523</v>
      </c>
      <c r="AX78" s="105">
        <v>7</v>
      </c>
      <c r="AY78" s="105">
        <v>907.19999999999993</v>
      </c>
      <c r="AZ78" s="105">
        <v>7.7333333333333378</v>
      </c>
      <c r="BA78" s="105">
        <v>1002.2400000000006</v>
      </c>
      <c r="BB78" s="105">
        <v>6.9224137931034511</v>
      </c>
      <c r="BC78" s="105">
        <v>897.14482758620727</v>
      </c>
      <c r="BD78" s="105">
        <v>6.7763713080168797</v>
      </c>
      <c r="BE78" s="105">
        <v>878.21772151898756</v>
      </c>
      <c r="BF78" s="105">
        <v>7.1656441717791424</v>
      </c>
      <c r="BG78" s="105">
        <v>928.66748466257684</v>
      </c>
      <c r="BH78" s="105">
        <v>6.9523809523809534</v>
      </c>
      <c r="BI78" s="105">
        <v>901.02857142857158</v>
      </c>
      <c r="BJ78" s="105">
        <v>6.9194312796208539</v>
      </c>
      <c r="BK78" s="105">
        <v>896.75829383886264</v>
      </c>
      <c r="BL78" s="105">
        <v>6.0030456852791882</v>
      </c>
      <c r="BM78" s="105">
        <v>777.99472081218278</v>
      </c>
      <c r="BN78" s="105">
        <v>5.1194805194805193</v>
      </c>
      <c r="BO78" s="105">
        <v>663.48467532467532</v>
      </c>
      <c r="BP78" s="105">
        <v>6.8358381502890175</v>
      </c>
      <c r="BQ78" s="105">
        <v>885.92462427745659</v>
      </c>
      <c r="BR78" s="105">
        <v>5.9457013574660635</v>
      </c>
      <c r="BS78" s="105">
        <v>770.56289592760186</v>
      </c>
      <c r="BT78" s="105">
        <v>6.772289156626508</v>
      </c>
      <c r="BU78" s="105">
        <v>877.68867469879535</v>
      </c>
      <c r="BV78" s="105">
        <v>8.2358974358974386</v>
      </c>
      <c r="BW78" s="105">
        <v>1067.3723076923079</v>
      </c>
      <c r="BX78" s="105">
        <v>6.2110497237569078</v>
      </c>
      <c r="BY78" s="105">
        <v>804.95204419889524</v>
      </c>
      <c r="BZ78" s="105">
        <v>7.0852941176470612</v>
      </c>
      <c r="CA78" s="105">
        <v>918.25411764705905</v>
      </c>
      <c r="CB78" s="105">
        <v>7.5399061032863868</v>
      </c>
      <c r="CC78" s="105">
        <v>977.17183098591568</v>
      </c>
      <c r="CD78" s="105">
        <v>6.2870813397129206</v>
      </c>
      <c r="CE78" s="105">
        <v>814.80574162679443</v>
      </c>
      <c r="CF78" s="105">
        <v>7.6113744075829395</v>
      </c>
      <c r="CG78" s="105">
        <v>986.43412322274889</v>
      </c>
      <c r="CH78" s="105">
        <v>6.9523809523809534</v>
      </c>
      <c r="CI78" s="105">
        <v>901.02857142857158</v>
      </c>
      <c r="CJ78" s="105">
        <v>5.4074074074074083</v>
      </c>
      <c r="CK78" s="105">
        <v>700.80000000000007</v>
      </c>
      <c r="CL78" s="105">
        <v>6.3786407766990303</v>
      </c>
      <c r="CM78" s="105">
        <v>826.67184466019432</v>
      </c>
      <c r="CN78" s="105">
        <v>7.0080000000000018</v>
      </c>
      <c r="CO78" s="105">
        <v>908.23680000000024</v>
      </c>
      <c r="CP78" s="105">
        <v>5.5443037974683556</v>
      </c>
      <c r="CQ78" s="105">
        <v>718.54177215189884</v>
      </c>
      <c r="CR78" s="105">
        <v>8.0423728813559343</v>
      </c>
      <c r="CS78" s="105">
        <v>1042.2915254237291</v>
      </c>
      <c r="CT78" s="105">
        <v>7.1027027027027048</v>
      </c>
      <c r="CU78" s="105">
        <v>920.51027027027055</v>
      </c>
    </row>
    <row r="79" spans="2:99" x14ac:dyDescent="0.2">
      <c r="C79" s="104" t="s">
        <v>245</v>
      </c>
      <c r="D79" s="105">
        <v>5.7631578947368425</v>
      </c>
      <c r="E79" s="105">
        <v>2766.3157894736842</v>
      </c>
      <c r="F79" s="105">
        <v>8.0737327188940107</v>
      </c>
      <c r="G79" s="105">
        <v>3875.3917050691252</v>
      </c>
      <c r="H79" s="105">
        <v>7.4237288135593236</v>
      </c>
      <c r="I79" s="105">
        <v>3563.3898305084754</v>
      </c>
      <c r="J79" s="105">
        <v>6.3135135135135148</v>
      </c>
      <c r="K79" s="105">
        <v>3030.4864864864871</v>
      </c>
      <c r="L79" s="105">
        <v>5.8400000000000016</v>
      </c>
      <c r="M79" s="105">
        <v>2803.2000000000007</v>
      </c>
      <c r="N79" s="105">
        <v>6.7731958762886615</v>
      </c>
      <c r="O79" s="105">
        <v>3251.1340206185573</v>
      </c>
      <c r="P79" s="105">
        <v>7.7180616740088119</v>
      </c>
      <c r="Q79" s="105">
        <v>3704.6696035242298</v>
      </c>
      <c r="R79" s="105">
        <v>6.7040816326530628</v>
      </c>
      <c r="S79" s="105">
        <v>3217.9591836734703</v>
      </c>
      <c r="T79" s="105">
        <v>6.9224137931034493</v>
      </c>
      <c r="U79" s="105">
        <v>3322.7586206896558</v>
      </c>
      <c r="V79" s="105">
        <v>6.3825136612021867</v>
      </c>
      <c r="W79" s="105">
        <v>3063.6065573770497</v>
      </c>
      <c r="X79" s="105">
        <v>7.8983606557377071</v>
      </c>
      <c r="Y79" s="105">
        <v>3791.2131147540995</v>
      </c>
      <c r="Z79" s="105">
        <v>6.4888888888888916</v>
      </c>
      <c r="AA79" s="105">
        <v>3114.6666666666679</v>
      </c>
      <c r="AB79" s="105">
        <v>7.6023668639053277</v>
      </c>
      <c r="AC79" s="105">
        <v>3649.1360946745572</v>
      </c>
      <c r="AD79" s="105">
        <v>8.7600000000000016</v>
      </c>
      <c r="AE79" s="105">
        <v>4204.8000000000011</v>
      </c>
      <c r="AF79" s="105">
        <v>7.050731707317075</v>
      </c>
      <c r="AG79" s="105">
        <v>3384.3512195121962</v>
      </c>
      <c r="AH79" s="105">
        <v>6.6916666666666682</v>
      </c>
      <c r="AI79" s="105">
        <v>3212.0000000000009</v>
      </c>
      <c r="AJ79" s="105">
        <v>6.6520710059171622</v>
      </c>
      <c r="AK79" s="105">
        <v>3192.9940828402378</v>
      </c>
      <c r="AL79" s="105">
        <v>6</v>
      </c>
      <c r="AM79" s="105">
        <v>2880</v>
      </c>
      <c r="AN79" s="105">
        <v>6</v>
      </c>
      <c r="AO79" s="105">
        <v>2880</v>
      </c>
      <c r="AP79" s="105">
        <v>6.9363636363636418</v>
      </c>
      <c r="AQ79" s="105">
        <v>3329.4545454545482</v>
      </c>
      <c r="AR79" s="105">
        <v>0</v>
      </c>
      <c r="AS79" s="105">
        <v>0</v>
      </c>
      <c r="AT79" s="105">
        <v>0</v>
      </c>
      <c r="AU79" s="105">
        <v>0</v>
      </c>
      <c r="AV79" s="105">
        <v>8.1438877457421253</v>
      </c>
      <c r="AW79" s="105">
        <v>3909.0661179562203</v>
      </c>
      <c r="AX79" s="105">
        <v>6</v>
      </c>
      <c r="AY79" s="105">
        <v>2880</v>
      </c>
      <c r="AZ79" s="105">
        <v>6.766666666666671</v>
      </c>
      <c r="BA79" s="105">
        <v>3248.0000000000023</v>
      </c>
      <c r="BB79" s="105">
        <v>6.9224137931034511</v>
      </c>
      <c r="BC79" s="105">
        <v>3322.7586206896567</v>
      </c>
      <c r="BD79" s="105">
        <v>6.1603375527426172</v>
      </c>
      <c r="BE79" s="105">
        <v>2956.9620253164562</v>
      </c>
      <c r="BF79" s="105">
        <v>7.1656441717791424</v>
      </c>
      <c r="BG79" s="105">
        <v>3439.5092024539881</v>
      </c>
      <c r="BH79" s="105">
        <v>6.9523809523809534</v>
      </c>
      <c r="BI79" s="105">
        <v>3337.1428571428578</v>
      </c>
      <c r="BJ79" s="105">
        <v>7.6113744075829395</v>
      </c>
      <c r="BK79" s="105">
        <v>3653.4597156398108</v>
      </c>
      <c r="BL79" s="105">
        <v>6.0030456852791882</v>
      </c>
      <c r="BM79" s="105">
        <v>2881.4619289340103</v>
      </c>
      <c r="BN79" s="105">
        <v>5.9727272727272736</v>
      </c>
      <c r="BO79" s="105">
        <v>2866.9090909090914</v>
      </c>
      <c r="BP79" s="105">
        <v>6.8358381502890175</v>
      </c>
      <c r="BQ79" s="105">
        <v>3281.2023121387283</v>
      </c>
      <c r="BR79" s="105">
        <v>6.5402714932126695</v>
      </c>
      <c r="BS79" s="105">
        <v>3139.3303167420813</v>
      </c>
      <c r="BT79" s="105">
        <v>7.7397590361445809</v>
      </c>
      <c r="BU79" s="105">
        <v>3715.084337349399</v>
      </c>
      <c r="BV79" s="105">
        <v>8.2358974358974386</v>
      </c>
      <c r="BW79" s="105">
        <v>3953.2307692307704</v>
      </c>
      <c r="BX79" s="105">
        <v>6.2110497237569078</v>
      </c>
      <c r="BY79" s="105">
        <v>2981.303867403316</v>
      </c>
      <c r="BZ79" s="105">
        <v>7.0852941176470612</v>
      </c>
      <c r="CA79" s="105">
        <v>3400.9411764705892</v>
      </c>
      <c r="CB79" s="105">
        <v>6.1690140845070429</v>
      </c>
      <c r="CC79" s="105">
        <v>2961.1267605633807</v>
      </c>
      <c r="CD79" s="105">
        <v>6.2870813397129206</v>
      </c>
      <c r="CE79" s="105">
        <v>3017.7990430622017</v>
      </c>
      <c r="CF79" s="105">
        <v>7.6113744075829395</v>
      </c>
      <c r="CG79" s="105">
        <v>3653.4597156398108</v>
      </c>
      <c r="CH79" s="105">
        <v>6.9523809523809534</v>
      </c>
      <c r="CI79" s="105">
        <v>3337.1428571428578</v>
      </c>
      <c r="CJ79" s="105">
        <v>6.0833333333333339</v>
      </c>
      <c r="CK79" s="105">
        <v>2920.0000000000005</v>
      </c>
      <c r="CL79" s="105">
        <v>6.3786407766990303</v>
      </c>
      <c r="CM79" s="105">
        <v>3061.7475728155346</v>
      </c>
      <c r="CN79" s="105">
        <v>7.0080000000000018</v>
      </c>
      <c r="CO79" s="105">
        <v>3363.8400000000011</v>
      </c>
      <c r="CP79" s="105">
        <v>6.4683544303797484</v>
      </c>
      <c r="CQ79" s="105">
        <v>3104.8101265822793</v>
      </c>
      <c r="CR79" s="105">
        <v>7.4237288135593236</v>
      </c>
      <c r="CS79" s="105">
        <v>3563.3898305084754</v>
      </c>
      <c r="CT79" s="105">
        <v>6.3135135135135148</v>
      </c>
      <c r="CU79" s="105">
        <v>3030.4864864864871</v>
      </c>
    </row>
    <row r="80" spans="2:99" x14ac:dyDescent="0.2">
      <c r="C80" s="104" t="s">
        <v>246</v>
      </c>
      <c r="D80" s="105">
        <v>5.7631578947368425</v>
      </c>
      <c r="E80" s="105">
        <v>4391.5263157894742</v>
      </c>
      <c r="F80" s="105">
        <v>6.7281105990783425</v>
      </c>
      <c r="G80" s="105">
        <v>5126.8202764976968</v>
      </c>
      <c r="H80" s="105">
        <v>7.4237288135593236</v>
      </c>
      <c r="I80" s="105">
        <v>5656.8813559322043</v>
      </c>
      <c r="J80" s="105">
        <v>5.5243243243243256</v>
      </c>
      <c r="K80" s="105">
        <v>4209.5351351351364</v>
      </c>
      <c r="L80" s="105">
        <v>5.8400000000000016</v>
      </c>
      <c r="M80" s="105">
        <v>4450.0800000000008</v>
      </c>
      <c r="N80" s="105">
        <v>7.5257731958762895</v>
      </c>
      <c r="O80" s="105">
        <v>5734.6391752577329</v>
      </c>
      <c r="P80" s="105">
        <v>6.4317180616740108</v>
      </c>
      <c r="Q80" s="105">
        <v>4900.969162995596</v>
      </c>
      <c r="R80" s="105">
        <v>6.7040816326530628</v>
      </c>
      <c r="S80" s="105">
        <v>5108.5102040816337</v>
      </c>
      <c r="T80" s="105">
        <v>6.2931034482758639</v>
      </c>
      <c r="U80" s="105">
        <v>4795.3448275862083</v>
      </c>
      <c r="V80" s="105">
        <v>7.1803278688524603</v>
      </c>
      <c r="W80" s="105">
        <v>5471.4098360655744</v>
      </c>
      <c r="X80" s="105">
        <v>7.0207650273224065</v>
      </c>
      <c r="Y80" s="105">
        <v>5349.8229508196737</v>
      </c>
      <c r="Z80" s="105">
        <v>7.3000000000000025</v>
      </c>
      <c r="AA80" s="105">
        <v>5562.6000000000022</v>
      </c>
      <c r="AB80" s="105">
        <v>7.6023668639053277</v>
      </c>
      <c r="AC80" s="105">
        <v>5793.0035502958599</v>
      </c>
      <c r="AD80" s="105">
        <v>7.7866666666666688</v>
      </c>
      <c r="AE80" s="105">
        <v>5933.4400000000014</v>
      </c>
      <c r="AF80" s="105">
        <v>6.2673170731707337</v>
      </c>
      <c r="AG80" s="105">
        <v>4775.6956097560987</v>
      </c>
      <c r="AH80" s="105">
        <v>6.6916666666666682</v>
      </c>
      <c r="AI80" s="105">
        <v>5099.0500000000011</v>
      </c>
      <c r="AJ80" s="105">
        <v>5.7017751479289958</v>
      </c>
      <c r="AK80" s="105">
        <v>4344.7526627218949</v>
      </c>
      <c r="AL80" s="105">
        <v>6</v>
      </c>
      <c r="AM80" s="105">
        <v>4572</v>
      </c>
      <c r="AN80" s="105">
        <v>6</v>
      </c>
      <c r="AO80" s="105">
        <v>4572</v>
      </c>
      <c r="AP80" s="105">
        <v>7.7070707070707121</v>
      </c>
      <c r="AQ80" s="105">
        <v>5872.7878787878826</v>
      </c>
      <c r="AR80" s="105">
        <v>0</v>
      </c>
      <c r="AS80" s="105">
        <v>0</v>
      </c>
      <c r="AT80" s="105">
        <v>0</v>
      </c>
      <c r="AU80" s="105">
        <v>0</v>
      </c>
      <c r="AV80" s="105">
        <v>8.1438877457421253</v>
      </c>
      <c r="AW80" s="105">
        <v>6205.6424622554996</v>
      </c>
      <c r="AX80" s="105">
        <v>6</v>
      </c>
      <c r="AY80" s="105">
        <v>4572</v>
      </c>
      <c r="AZ80" s="105">
        <v>7.7333333333333378</v>
      </c>
      <c r="BA80" s="105">
        <v>5892.8000000000038</v>
      </c>
      <c r="BB80" s="105">
        <v>7.6146551724137952</v>
      </c>
      <c r="BC80" s="105">
        <v>5802.367241379312</v>
      </c>
      <c r="BD80" s="105">
        <v>6.7763713080168797</v>
      </c>
      <c r="BE80" s="105">
        <v>5163.5949367088624</v>
      </c>
      <c r="BF80" s="105">
        <v>7.1656441717791424</v>
      </c>
      <c r="BG80" s="105">
        <v>5460.2208588957064</v>
      </c>
      <c r="BH80" s="105">
        <v>6.257142857142858</v>
      </c>
      <c r="BI80" s="105">
        <v>4767.942857142858</v>
      </c>
      <c r="BJ80" s="105">
        <v>6.9194312796208539</v>
      </c>
      <c r="BK80" s="105">
        <v>5272.6066350710907</v>
      </c>
      <c r="BL80" s="105">
        <v>6.0030456852791882</v>
      </c>
      <c r="BM80" s="105">
        <v>4574.3208121827411</v>
      </c>
      <c r="BN80" s="105">
        <v>5.9727272727272736</v>
      </c>
      <c r="BO80" s="105">
        <v>4551.2181818181825</v>
      </c>
      <c r="BP80" s="105">
        <v>6.0763005780346822</v>
      </c>
      <c r="BQ80" s="105">
        <v>4630.1410404624276</v>
      </c>
      <c r="BR80" s="105">
        <v>5.9457013574660635</v>
      </c>
      <c r="BS80" s="105">
        <v>4530.6244343891403</v>
      </c>
      <c r="BT80" s="105">
        <v>6.772289156626508</v>
      </c>
      <c r="BU80" s="105">
        <v>5160.4843373493995</v>
      </c>
      <c r="BV80" s="105">
        <v>8.2358974358974386</v>
      </c>
      <c r="BW80" s="105">
        <v>6275.7538461538479</v>
      </c>
      <c r="BX80" s="105">
        <v>6.2110497237569078</v>
      </c>
      <c r="BY80" s="105">
        <v>4732.8198895027635</v>
      </c>
      <c r="BZ80" s="105">
        <v>6.2980392156862761</v>
      </c>
      <c r="CA80" s="105">
        <v>4799.105882352942</v>
      </c>
      <c r="CB80" s="105">
        <v>6.8544600938967148</v>
      </c>
      <c r="CC80" s="105">
        <v>5223.0985915492965</v>
      </c>
      <c r="CD80" s="105">
        <v>6.2870813397129206</v>
      </c>
      <c r="CE80" s="105">
        <v>4790.7559808612459</v>
      </c>
      <c r="CF80" s="105">
        <v>7.6113744075829395</v>
      </c>
      <c r="CG80" s="105">
        <v>5799.8672985781996</v>
      </c>
      <c r="CH80" s="105">
        <v>7.6476190476190489</v>
      </c>
      <c r="CI80" s="105">
        <v>5827.4857142857154</v>
      </c>
      <c r="CJ80" s="105">
        <v>6.7592592592592604</v>
      </c>
      <c r="CK80" s="105">
        <v>5150.5555555555566</v>
      </c>
      <c r="CL80" s="105">
        <v>5.6699029126213603</v>
      </c>
      <c r="CM80" s="105">
        <v>4320.4660194174767</v>
      </c>
      <c r="CN80" s="105">
        <v>6.4240000000000013</v>
      </c>
      <c r="CO80" s="105">
        <v>4895.0880000000006</v>
      </c>
      <c r="CP80" s="105">
        <v>5.5443037974683556</v>
      </c>
      <c r="CQ80" s="105">
        <v>4224.7594936708865</v>
      </c>
      <c r="CR80" s="105">
        <v>8.0423728813559343</v>
      </c>
      <c r="CS80" s="105">
        <v>6128.2881355932223</v>
      </c>
      <c r="CT80" s="105">
        <v>7.1027027027027048</v>
      </c>
      <c r="CU80" s="105">
        <v>5412.2594594594611</v>
      </c>
    </row>
    <row r="81" spans="2:99" x14ac:dyDescent="0.2">
      <c r="C81" s="104" t="s">
        <v>247</v>
      </c>
      <c r="D81" s="105">
        <v>5.7631578947368425</v>
      </c>
      <c r="E81" s="105">
        <v>3596.2105263157896</v>
      </c>
      <c r="F81" s="105">
        <v>7.400921658986177</v>
      </c>
      <c r="G81" s="105">
        <v>4618.1751152073748</v>
      </c>
      <c r="H81" s="105">
        <v>7.4237288135593236</v>
      </c>
      <c r="I81" s="105">
        <v>4632.4067796610179</v>
      </c>
      <c r="J81" s="105">
        <v>6.3135135135135148</v>
      </c>
      <c r="K81" s="105">
        <v>3939.6324324324332</v>
      </c>
      <c r="L81" s="105">
        <v>5.8400000000000016</v>
      </c>
      <c r="M81" s="105">
        <v>3644.1600000000012</v>
      </c>
      <c r="N81" s="105">
        <v>7.5257731958762895</v>
      </c>
      <c r="O81" s="105">
        <v>4696.0824742268051</v>
      </c>
      <c r="P81" s="105">
        <v>7.0748898678414109</v>
      </c>
      <c r="Q81" s="105">
        <v>4414.7312775330402</v>
      </c>
      <c r="R81" s="105">
        <v>6.7040816326530628</v>
      </c>
      <c r="S81" s="105">
        <v>4183.3469387755113</v>
      </c>
      <c r="T81" s="105">
        <v>6.2931034482758639</v>
      </c>
      <c r="U81" s="105">
        <v>3926.896551724139</v>
      </c>
      <c r="V81" s="105">
        <v>7.1803278688524603</v>
      </c>
      <c r="W81" s="105">
        <v>4480.5245901639355</v>
      </c>
      <c r="X81" s="105">
        <v>7.0207650273224065</v>
      </c>
      <c r="Y81" s="105">
        <v>4380.9573770491816</v>
      </c>
      <c r="Z81" s="105">
        <v>8.1111111111111143</v>
      </c>
      <c r="AA81" s="105">
        <v>5061.3333333333358</v>
      </c>
      <c r="AB81" s="105">
        <v>7.6023668639053277</v>
      </c>
      <c r="AC81" s="105">
        <v>4743.8769230769249</v>
      </c>
      <c r="AD81" s="105">
        <v>7.7866666666666688</v>
      </c>
      <c r="AE81" s="105">
        <v>4858.880000000001</v>
      </c>
      <c r="AF81" s="105">
        <v>7.8341463414634172</v>
      </c>
      <c r="AG81" s="105">
        <v>4888.5073170731721</v>
      </c>
      <c r="AH81" s="105">
        <v>6.6916666666666682</v>
      </c>
      <c r="AI81" s="105">
        <v>4175.6000000000013</v>
      </c>
      <c r="AJ81" s="105">
        <v>7.6023668639053277</v>
      </c>
      <c r="AK81" s="105">
        <v>4743.8769230769249</v>
      </c>
      <c r="AL81" s="105">
        <v>6</v>
      </c>
      <c r="AM81" s="105">
        <v>3744</v>
      </c>
      <c r="AN81" s="105">
        <v>6</v>
      </c>
      <c r="AO81" s="105">
        <v>3744</v>
      </c>
      <c r="AP81" s="105">
        <v>6.9363636363636418</v>
      </c>
      <c r="AQ81" s="105">
        <v>4328.2909090909125</v>
      </c>
      <c r="AR81" s="105">
        <v>0</v>
      </c>
      <c r="AS81" s="105">
        <v>0</v>
      </c>
      <c r="AT81" s="105">
        <v>0</v>
      </c>
      <c r="AU81" s="105">
        <v>0</v>
      </c>
      <c r="AV81" s="105">
        <v>9.0487641619356936</v>
      </c>
      <c r="AW81" s="105">
        <v>5646.4288370478725</v>
      </c>
      <c r="AX81" s="105">
        <v>7</v>
      </c>
      <c r="AY81" s="105">
        <v>4368</v>
      </c>
      <c r="AZ81" s="105">
        <v>7.7333333333333378</v>
      </c>
      <c r="BA81" s="105">
        <v>4825.6000000000031</v>
      </c>
      <c r="BB81" s="105">
        <v>6.9224137931034511</v>
      </c>
      <c r="BC81" s="105">
        <v>4319.5862068965534</v>
      </c>
      <c r="BD81" s="105">
        <v>6.7763713080168797</v>
      </c>
      <c r="BE81" s="105">
        <v>4228.4556962025326</v>
      </c>
      <c r="BF81" s="105">
        <v>7.1656441717791424</v>
      </c>
      <c r="BG81" s="105">
        <v>4471.3619631901847</v>
      </c>
      <c r="BH81" s="105">
        <v>6.9523809523809534</v>
      </c>
      <c r="BI81" s="105">
        <v>4338.2857142857147</v>
      </c>
      <c r="BJ81" s="105">
        <v>7.6113744075829395</v>
      </c>
      <c r="BK81" s="105">
        <v>4749.4976303317544</v>
      </c>
      <c r="BL81" s="105">
        <v>5.336040609137056</v>
      </c>
      <c r="BM81" s="105">
        <v>3329.6893401015232</v>
      </c>
      <c r="BN81" s="105">
        <v>5.1194805194805193</v>
      </c>
      <c r="BO81" s="105">
        <v>3194.5558441558442</v>
      </c>
      <c r="BP81" s="105">
        <v>6.0763005780346822</v>
      </c>
      <c r="BQ81" s="105">
        <v>3791.6115606936419</v>
      </c>
      <c r="BR81" s="105">
        <v>6.5402714932126695</v>
      </c>
      <c r="BS81" s="105">
        <v>4081.1294117647058</v>
      </c>
      <c r="BT81" s="105">
        <v>5.804819277108435</v>
      </c>
      <c r="BU81" s="105">
        <v>3622.2072289156636</v>
      </c>
      <c r="BV81" s="105">
        <v>8.2358974358974386</v>
      </c>
      <c r="BW81" s="105">
        <v>5139.2000000000016</v>
      </c>
      <c r="BX81" s="105">
        <v>7.098342541436466</v>
      </c>
      <c r="BY81" s="105">
        <v>4429.3657458563548</v>
      </c>
      <c r="BZ81" s="105">
        <v>6.2980392156862761</v>
      </c>
      <c r="CA81" s="105">
        <v>3929.9764705882362</v>
      </c>
      <c r="CB81" s="105">
        <v>6.1690140845070429</v>
      </c>
      <c r="CC81" s="105">
        <v>3849.4647887323949</v>
      </c>
      <c r="CD81" s="105">
        <v>6.2870813397129206</v>
      </c>
      <c r="CE81" s="105">
        <v>3923.1387559808622</v>
      </c>
      <c r="CF81" s="105">
        <v>6.9194312796208539</v>
      </c>
      <c r="CG81" s="105">
        <v>4317.7251184834131</v>
      </c>
      <c r="CH81" s="105">
        <v>6.9523809523809534</v>
      </c>
      <c r="CI81" s="105">
        <v>4338.2857142857147</v>
      </c>
      <c r="CJ81" s="105">
        <v>6.7592592592592604</v>
      </c>
      <c r="CK81" s="105">
        <v>4217.7777777777783</v>
      </c>
      <c r="CL81" s="105">
        <v>6.3786407766990303</v>
      </c>
      <c r="CM81" s="105">
        <v>3980.2718446601948</v>
      </c>
      <c r="CN81" s="105">
        <v>6.4240000000000013</v>
      </c>
      <c r="CO81" s="105">
        <v>4008.5760000000009</v>
      </c>
      <c r="CP81" s="105">
        <v>5.5443037974683556</v>
      </c>
      <c r="CQ81" s="105">
        <v>3459.6455696202538</v>
      </c>
      <c r="CR81" s="105">
        <v>6.8050847457627137</v>
      </c>
      <c r="CS81" s="105">
        <v>4246.3728813559337</v>
      </c>
      <c r="CT81" s="105">
        <v>7.1027027027027048</v>
      </c>
      <c r="CU81" s="105">
        <v>4432.086486486488</v>
      </c>
    </row>
    <row r="82" spans="2:99" x14ac:dyDescent="0.2">
      <c r="C82" s="104" t="s">
        <v>248</v>
      </c>
      <c r="D82" s="105">
        <v>4.802631578947369</v>
      </c>
      <c r="E82" s="105">
        <v>1717.421052631579</v>
      </c>
      <c r="F82" s="105">
        <v>7.400921658986177</v>
      </c>
      <c r="G82" s="105">
        <v>2646.5695852534568</v>
      </c>
      <c r="H82" s="105">
        <v>6.5988700564971765</v>
      </c>
      <c r="I82" s="105">
        <v>2359.7559322033899</v>
      </c>
      <c r="J82" s="105">
        <v>6.3135135135135148</v>
      </c>
      <c r="K82" s="105">
        <v>2257.7124324324327</v>
      </c>
      <c r="L82" s="105">
        <v>4.8666666666666671</v>
      </c>
      <c r="M82" s="105">
        <v>1740.32</v>
      </c>
      <c r="N82" s="105">
        <v>7.5257731958762895</v>
      </c>
      <c r="O82" s="105">
        <v>2691.216494845361</v>
      </c>
      <c r="P82" s="105">
        <v>6.4317180616740108</v>
      </c>
      <c r="Q82" s="105">
        <v>2299.9823788546259</v>
      </c>
      <c r="R82" s="105">
        <v>7.4489795918367365</v>
      </c>
      <c r="S82" s="105">
        <v>2663.7551020408168</v>
      </c>
      <c r="T82" s="105">
        <v>6.2931034482758639</v>
      </c>
      <c r="U82" s="105">
        <v>2250.4137931034488</v>
      </c>
      <c r="V82" s="105">
        <v>6.3825136612021867</v>
      </c>
      <c r="W82" s="105">
        <v>2282.3868852459018</v>
      </c>
      <c r="X82" s="105">
        <v>7.0207650273224065</v>
      </c>
      <c r="Y82" s="105">
        <v>2510.6255737704923</v>
      </c>
      <c r="Z82" s="105">
        <v>7.3000000000000025</v>
      </c>
      <c r="AA82" s="105">
        <v>2610.4800000000005</v>
      </c>
      <c r="AB82" s="105">
        <v>6.6520710059171622</v>
      </c>
      <c r="AC82" s="105">
        <v>2378.7805917159772</v>
      </c>
      <c r="AD82" s="105">
        <v>7.7866666666666688</v>
      </c>
      <c r="AE82" s="105">
        <v>2784.5120000000006</v>
      </c>
      <c r="AF82" s="105">
        <v>7.8341463414634172</v>
      </c>
      <c r="AG82" s="105">
        <v>2801.4907317073175</v>
      </c>
      <c r="AH82" s="105">
        <v>6.6916666666666682</v>
      </c>
      <c r="AI82" s="105">
        <v>2392.9400000000005</v>
      </c>
      <c r="AJ82" s="105">
        <v>6.6520710059171622</v>
      </c>
      <c r="AK82" s="105">
        <v>2378.7805917159772</v>
      </c>
      <c r="AL82" s="105">
        <v>6</v>
      </c>
      <c r="AM82" s="105">
        <v>2145.6</v>
      </c>
      <c r="AN82" s="105">
        <v>7</v>
      </c>
      <c r="AO82" s="105">
        <v>2503.1999999999998</v>
      </c>
      <c r="AP82" s="105">
        <v>7.7070707070707121</v>
      </c>
      <c r="AQ82" s="105">
        <v>2756.0484848484862</v>
      </c>
      <c r="AR82" s="105">
        <v>0</v>
      </c>
      <c r="AS82" s="105">
        <v>0</v>
      </c>
      <c r="AT82" s="105">
        <v>0</v>
      </c>
      <c r="AU82" s="105">
        <v>0</v>
      </c>
      <c r="AV82" s="105">
        <v>9.0487641619356936</v>
      </c>
      <c r="AW82" s="105">
        <v>3235.8380643082037</v>
      </c>
      <c r="AX82" s="105">
        <v>7</v>
      </c>
      <c r="AY82" s="105">
        <v>2503.1999999999998</v>
      </c>
      <c r="AZ82" s="105">
        <v>7.7333333333333378</v>
      </c>
      <c r="BA82" s="105">
        <v>2765.4400000000014</v>
      </c>
      <c r="BB82" s="105">
        <v>7.6146551724137952</v>
      </c>
      <c r="BC82" s="105">
        <v>2723.0006896551731</v>
      </c>
      <c r="BD82" s="105">
        <v>6.7763713080168797</v>
      </c>
      <c r="BE82" s="105">
        <v>2423.2303797468358</v>
      </c>
      <c r="BF82" s="105">
        <v>6.2699386503067496</v>
      </c>
      <c r="BG82" s="105">
        <v>2242.1300613496933</v>
      </c>
      <c r="BH82" s="105">
        <v>6.9523809523809534</v>
      </c>
      <c r="BI82" s="105">
        <v>2486.1714285714288</v>
      </c>
      <c r="BJ82" s="105">
        <v>6.9194312796208539</v>
      </c>
      <c r="BK82" s="105">
        <v>2474.3886255924172</v>
      </c>
      <c r="BL82" s="105">
        <v>6.0030456852791882</v>
      </c>
      <c r="BM82" s="105">
        <v>2146.6891370558374</v>
      </c>
      <c r="BN82" s="105">
        <v>5.9727272727272736</v>
      </c>
      <c r="BO82" s="105">
        <v>2135.8472727272729</v>
      </c>
      <c r="BP82" s="105">
        <v>6.0763005780346822</v>
      </c>
      <c r="BQ82" s="105">
        <v>2172.885086705202</v>
      </c>
      <c r="BR82" s="105">
        <v>5.3511312217194575</v>
      </c>
      <c r="BS82" s="105">
        <v>1913.5645248868777</v>
      </c>
      <c r="BT82" s="105">
        <v>6.772289156626508</v>
      </c>
      <c r="BU82" s="105">
        <v>2421.7706024096392</v>
      </c>
      <c r="BV82" s="105">
        <v>8.2358974358974386</v>
      </c>
      <c r="BW82" s="105">
        <v>2945.1569230769237</v>
      </c>
      <c r="BX82" s="105">
        <v>6.2110497237569078</v>
      </c>
      <c r="BY82" s="105">
        <v>2221.07138121547</v>
      </c>
      <c r="BZ82" s="105">
        <v>6.2980392156862761</v>
      </c>
      <c r="CA82" s="105">
        <v>2252.1788235294121</v>
      </c>
      <c r="CB82" s="105">
        <v>6.1690140845070429</v>
      </c>
      <c r="CC82" s="105">
        <v>2206.0394366197183</v>
      </c>
      <c r="CD82" s="105">
        <v>6.9856459330143554</v>
      </c>
      <c r="CE82" s="105">
        <v>2498.0669856459331</v>
      </c>
      <c r="CF82" s="105">
        <v>6.9194312796208539</v>
      </c>
      <c r="CG82" s="105">
        <v>2474.3886255924172</v>
      </c>
      <c r="CH82" s="105">
        <v>6.9523809523809534</v>
      </c>
      <c r="CI82" s="105">
        <v>2486.1714285714288</v>
      </c>
      <c r="CJ82" s="105">
        <v>6.7592592592592604</v>
      </c>
      <c r="CK82" s="105">
        <v>2417.1111111111113</v>
      </c>
      <c r="CL82" s="105">
        <v>7.0873786407767003</v>
      </c>
      <c r="CM82" s="105">
        <v>2534.4466019417478</v>
      </c>
      <c r="CN82" s="105">
        <v>6.4240000000000013</v>
      </c>
      <c r="CO82" s="105">
        <v>2297.2224000000001</v>
      </c>
      <c r="CP82" s="105">
        <v>6.4683544303797484</v>
      </c>
      <c r="CQ82" s="105">
        <v>2313.0835443037977</v>
      </c>
      <c r="CR82" s="105">
        <v>8.0423728813559343</v>
      </c>
      <c r="CS82" s="105">
        <v>2875.9525423728819</v>
      </c>
      <c r="CT82" s="105">
        <v>7.8918918918918939</v>
      </c>
      <c r="CU82" s="105">
        <v>2822.1405405405408</v>
      </c>
    </row>
    <row r="83" spans="2:99" x14ac:dyDescent="0.2">
      <c r="C83" s="104" t="s">
        <v>249</v>
      </c>
      <c r="D83" s="105">
        <v>5.7631578947368425</v>
      </c>
      <c r="E83" s="105">
        <v>3444.0631578947373</v>
      </c>
      <c r="F83" s="105">
        <v>7.400921658986177</v>
      </c>
      <c r="G83" s="105">
        <v>4422.7907834101397</v>
      </c>
      <c r="H83" s="105">
        <v>7.4237288135593236</v>
      </c>
      <c r="I83" s="105">
        <v>4436.4203389830518</v>
      </c>
      <c r="J83" s="105">
        <v>6.3135135135135148</v>
      </c>
      <c r="K83" s="105">
        <v>3772.9556756756765</v>
      </c>
      <c r="L83" s="105">
        <v>5.8400000000000016</v>
      </c>
      <c r="M83" s="105">
        <v>3489.9840000000013</v>
      </c>
      <c r="N83" s="105">
        <v>7.5257731958762895</v>
      </c>
      <c r="O83" s="105">
        <v>4497.4020618556706</v>
      </c>
      <c r="P83" s="105">
        <v>6.4317180616740108</v>
      </c>
      <c r="Q83" s="105">
        <v>3843.5947136563891</v>
      </c>
      <c r="R83" s="105">
        <v>6.7040816326530628</v>
      </c>
      <c r="S83" s="105">
        <v>4006.3591836734704</v>
      </c>
      <c r="T83" s="105">
        <v>6.9224137931034493</v>
      </c>
      <c r="U83" s="105">
        <v>4136.8344827586216</v>
      </c>
      <c r="V83" s="105">
        <v>7.1803278688524603</v>
      </c>
      <c r="W83" s="105">
        <v>4290.9639344262305</v>
      </c>
      <c r="X83" s="105">
        <v>7.8983606557377071</v>
      </c>
      <c r="Y83" s="105">
        <v>4720.0603278688541</v>
      </c>
      <c r="Z83" s="105">
        <v>7.3000000000000025</v>
      </c>
      <c r="AA83" s="105">
        <v>4362.4800000000014</v>
      </c>
      <c r="AB83" s="105">
        <v>6.6520710059171622</v>
      </c>
      <c r="AC83" s="105">
        <v>3975.2776331360965</v>
      </c>
      <c r="AD83" s="105">
        <v>7.7866666666666688</v>
      </c>
      <c r="AE83" s="105">
        <v>4653.3120000000017</v>
      </c>
      <c r="AF83" s="105">
        <v>6.2673170731707337</v>
      </c>
      <c r="AG83" s="105">
        <v>3745.3486829268304</v>
      </c>
      <c r="AH83" s="105">
        <v>6.6916666666666682</v>
      </c>
      <c r="AI83" s="105">
        <v>3998.940000000001</v>
      </c>
      <c r="AJ83" s="105">
        <v>6.6520710059171622</v>
      </c>
      <c r="AK83" s="105">
        <v>3975.2776331360965</v>
      </c>
      <c r="AL83" s="105">
        <v>6</v>
      </c>
      <c r="AM83" s="105">
        <v>3585.6000000000004</v>
      </c>
      <c r="AN83" s="105">
        <v>6</v>
      </c>
      <c r="AO83" s="105">
        <v>3585.6000000000004</v>
      </c>
      <c r="AP83" s="105">
        <v>7.7070707070707121</v>
      </c>
      <c r="AQ83" s="105">
        <v>4605.7454545454575</v>
      </c>
      <c r="AR83" s="105">
        <v>0</v>
      </c>
      <c r="AS83" s="105">
        <v>0</v>
      </c>
      <c r="AT83" s="105">
        <v>0</v>
      </c>
      <c r="AU83" s="105">
        <v>0</v>
      </c>
      <c r="AV83" s="105">
        <v>8.1438877457421253</v>
      </c>
      <c r="AW83" s="105">
        <v>4866.7873168554943</v>
      </c>
      <c r="AX83" s="105">
        <v>7</v>
      </c>
      <c r="AY83" s="105">
        <v>4183.2</v>
      </c>
      <c r="AZ83" s="105">
        <v>7.7333333333333378</v>
      </c>
      <c r="BA83" s="105">
        <v>4621.4400000000032</v>
      </c>
      <c r="BB83" s="105">
        <v>6.9224137931034511</v>
      </c>
      <c r="BC83" s="105">
        <v>4136.8344827586225</v>
      </c>
      <c r="BD83" s="105">
        <v>6.7763713080168797</v>
      </c>
      <c r="BE83" s="105">
        <v>4049.5594936708876</v>
      </c>
      <c r="BF83" s="105">
        <v>7.1656441717791424</v>
      </c>
      <c r="BG83" s="105">
        <v>4282.1889570552157</v>
      </c>
      <c r="BH83" s="105">
        <v>6.9523809523809534</v>
      </c>
      <c r="BI83" s="105">
        <v>4154.7428571428582</v>
      </c>
      <c r="BJ83" s="105">
        <v>7.6113744075829395</v>
      </c>
      <c r="BK83" s="105">
        <v>4548.5573459715652</v>
      </c>
      <c r="BL83" s="105">
        <v>5.336040609137056</v>
      </c>
      <c r="BM83" s="105">
        <v>3188.817868020305</v>
      </c>
      <c r="BN83" s="105">
        <v>5.9727272727272736</v>
      </c>
      <c r="BO83" s="105">
        <v>3569.3018181818188</v>
      </c>
      <c r="BP83" s="105">
        <v>6.0763005780346822</v>
      </c>
      <c r="BQ83" s="105">
        <v>3631.197225433526</v>
      </c>
      <c r="BR83" s="105">
        <v>5.9457013574660635</v>
      </c>
      <c r="BS83" s="105">
        <v>3553.1511312217199</v>
      </c>
      <c r="BT83" s="105">
        <v>6.772289156626508</v>
      </c>
      <c r="BU83" s="105">
        <v>4047.1200000000013</v>
      </c>
      <c r="BV83" s="105">
        <v>7.4123076923076949</v>
      </c>
      <c r="BW83" s="105">
        <v>4429.5950769230785</v>
      </c>
      <c r="BX83" s="105">
        <v>6.2110497237569078</v>
      </c>
      <c r="BY83" s="105">
        <v>3711.7233149171284</v>
      </c>
      <c r="BZ83" s="105">
        <v>7.0852941176470612</v>
      </c>
      <c r="CA83" s="105">
        <v>4234.171764705884</v>
      </c>
      <c r="CB83" s="105">
        <v>6.8544600938967148</v>
      </c>
      <c r="CC83" s="105">
        <v>4096.2253521126768</v>
      </c>
      <c r="CD83" s="105">
        <v>6.2870813397129206</v>
      </c>
      <c r="CE83" s="105">
        <v>3757.1598086124413</v>
      </c>
      <c r="CF83" s="105">
        <v>6.2274881516587692</v>
      </c>
      <c r="CG83" s="105">
        <v>3721.5469194312805</v>
      </c>
      <c r="CH83" s="105">
        <v>6.9523809523809534</v>
      </c>
      <c r="CI83" s="105">
        <v>4154.7428571428582</v>
      </c>
      <c r="CJ83" s="105">
        <v>6.7592592592592604</v>
      </c>
      <c r="CK83" s="105">
        <v>4039.3333333333344</v>
      </c>
      <c r="CL83" s="105">
        <v>6.3786407766990303</v>
      </c>
      <c r="CM83" s="105">
        <v>3811.8757281553408</v>
      </c>
      <c r="CN83" s="105">
        <v>7.0080000000000018</v>
      </c>
      <c r="CO83" s="105">
        <v>4187.9808000000012</v>
      </c>
      <c r="CP83" s="105">
        <v>6.4683544303797484</v>
      </c>
      <c r="CQ83" s="105">
        <v>3865.488607594938</v>
      </c>
      <c r="CR83" s="105">
        <v>6.8050847457627137</v>
      </c>
      <c r="CS83" s="105">
        <v>4066.7186440677979</v>
      </c>
      <c r="CT83" s="105">
        <v>7.1027027027027048</v>
      </c>
      <c r="CU83" s="105">
        <v>4244.5751351351364</v>
      </c>
    </row>
    <row r="84" spans="2:99" x14ac:dyDescent="0.2">
      <c r="C84" s="104" t="s">
        <v>250</v>
      </c>
      <c r="D84" s="105">
        <v>5.7631578947368425</v>
      </c>
      <c r="E84" s="105">
        <v>2946.1263157894737</v>
      </c>
      <c r="F84" s="105">
        <v>6.7281105990783425</v>
      </c>
      <c r="G84" s="105">
        <v>3439.4101382488484</v>
      </c>
      <c r="H84" s="105">
        <v>6.5988700564971765</v>
      </c>
      <c r="I84" s="105">
        <v>3373.3423728813564</v>
      </c>
      <c r="J84" s="105">
        <v>6.3135135135135148</v>
      </c>
      <c r="K84" s="105">
        <v>3227.4681081081085</v>
      </c>
      <c r="L84" s="105">
        <v>5.8400000000000016</v>
      </c>
      <c r="M84" s="105">
        <v>2985.4080000000008</v>
      </c>
      <c r="N84" s="105">
        <v>8.2783505154639183</v>
      </c>
      <c r="O84" s="105">
        <v>4231.8927835051545</v>
      </c>
      <c r="P84" s="105">
        <v>7.0748898678414109</v>
      </c>
      <c r="Q84" s="105">
        <v>3616.6837004405293</v>
      </c>
      <c r="R84" s="105">
        <v>7.4489795918367365</v>
      </c>
      <c r="S84" s="105">
        <v>3807.9183673469397</v>
      </c>
      <c r="T84" s="105">
        <v>6.2931034482758639</v>
      </c>
      <c r="U84" s="105">
        <v>3217.0344827586214</v>
      </c>
      <c r="V84" s="105">
        <v>7.1803278688524603</v>
      </c>
      <c r="W84" s="105">
        <v>3670.5836065573776</v>
      </c>
      <c r="X84" s="105">
        <v>7.0207650273224065</v>
      </c>
      <c r="Y84" s="105">
        <v>3589.015081967214</v>
      </c>
      <c r="Z84" s="105">
        <v>7.3000000000000025</v>
      </c>
      <c r="AA84" s="105">
        <v>3731.7600000000011</v>
      </c>
      <c r="AB84" s="105">
        <v>7.6023668639053277</v>
      </c>
      <c r="AC84" s="105">
        <v>3886.3299408284033</v>
      </c>
      <c r="AD84" s="105">
        <v>7.7866666666666688</v>
      </c>
      <c r="AE84" s="105">
        <v>3980.5440000000012</v>
      </c>
      <c r="AF84" s="105">
        <v>7.8341463414634172</v>
      </c>
      <c r="AG84" s="105">
        <v>4004.8156097560986</v>
      </c>
      <c r="AH84" s="105">
        <v>6.6916666666666682</v>
      </c>
      <c r="AI84" s="105">
        <v>3420.7800000000007</v>
      </c>
      <c r="AJ84" s="105">
        <v>5.7017751479289958</v>
      </c>
      <c r="AK84" s="105">
        <v>2914.7474556213024</v>
      </c>
      <c r="AL84" s="105">
        <v>5</v>
      </c>
      <c r="AM84" s="105">
        <v>2556</v>
      </c>
      <c r="AN84" s="105">
        <v>7</v>
      </c>
      <c r="AO84" s="105">
        <v>3578.4</v>
      </c>
      <c r="AP84" s="105">
        <v>7.7070707070707121</v>
      </c>
      <c r="AQ84" s="105">
        <v>3939.8545454545479</v>
      </c>
      <c r="AR84" s="105">
        <v>0</v>
      </c>
      <c r="AS84" s="105">
        <v>0</v>
      </c>
      <c r="AT84" s="105">
        <v>0</v>
      </c>
      <c r="AU84" s="105">
        <v>0</v>
      </c>
      <c r="AV84" s="105">
        <v>9.0487641619356936</v>
      </c>
      <c r="AW84" s="105">
        <v>4625.7282395815264</v>
      </c>
      <c r="AX84" s="105">
        <v>7</v>
      </c>
      <c r="AY84" s="105">
        <v>3578.4</v>
      </c>
      <c r="AZ84" s="105">
        <v>7.7333333333333378</v>
      </c>
      <c r="BA84" s="105">
        <v>3953.280000000002</v>
      </c>
      <c r="BB84" s="105">
        <v>8.3068965517241402</v>
      </c>
      <c r="BC84" s="105">
        <v>4246.48551724138</v>
      </c>
      <c r="BD84" s="105">
        <v>6.1603375527426172</v>
      </c>
      <c r="BE84" s="105">
        <v>3149.1645569620259</v>
      </c>
      <c r="BF84" s="105">
        <v>6.2699386503067496</v>
      </c>
      <c r="BG84" s="105">
        <v>3205.1926380368104</v>
      </c>
      <c r="BH84" s="105">
        <v>6.257142857142858</v>
      </c>
      <c r="BI84" s="105">
        <v>3198.6514285714288</v>
      </c>
      <c r="BJ84" s="105">
        <v>7.6113744075829395</v>
      </c>
      <c r="BK84" s="105">
        <v>3890.9345971563985</v>
      </c>
      <c r="BL84" s="105">
        <v>6.0030456852791882</v>
      </c>
      <c r="BM84" s="105">
        <v>3068.756954314721</v>
      </c>
      <c r="BN84" s="105">
        <v>5.1194805194805193</v>
      </c>
      <c r="BO84" s="105">
        <v>2617.0784415584412</v>
      </c>
      <c r="BP84" s="105">
        <v>6.0763005780346822</v>
      </c>
      <c r="BQ84" s="105">
        <v>3106.2048554913295</v>
      </c>
      <c r="BR84" s="105">
        <v>6.5402714932126695</v>
      </c>
      <c r="BS84" s="105">
        <v>3343.3867873303166</v>
      </c>
      <c r="BT84" s="105">
        <v>6.772289156626508</v>
      </c>
      <c r="BU84" s="105">
        <v>3461.9942168674706</v>
      </c>
      <c r="BV84" s="105">
        <v>8.2358974358974386</v>
      </c>
      <c r="BW84" s="105">
        <v>4210.1907692307705</v>
      </c>
      <c r="BX84" s="105">
        <v>7.098342541436466</v>
      </c>
      <c r="BY84" s="105">
        <v>3628.6727071823216</v>
      </c>
      <c r="BZ84" s="105">
        <v>6.2980392156862761</v>
      </c>
      <c r="CA84" s="105">
        <v>3219.5576470588244</v>
      </c>
      <c r="CB84" s="105">
        <v>6.8544600938967148</v>
      </c>
      <c r="CC84" s="105">
        <v>3504.0000000000005</v>
      </c>
      <c r="CD84" s="105">
        <v>6.9856459330143554</v>
      </c>
      <c r="CE84" s="105">
        <v>3571.0622009569383</v>
      </c>
      <c r="CF84" s="105">
        <v>6.9194312796208539</v>
      </c>
      <c r="CG84" s="105">
        <v>3537.2132701421806</v>
      </c>
      <c r="CH84" s="105">
        <v>6.9523809523809534</v>
      </c>
      <c r="CI84" s="105">
        <v>3554.0571428571434</v>
      </c>
      <c r="CJ84" s="105">
        <v>6.0833333333333339</v>
      </c>
      <c r="CK84" s="105">
        <v>3109.8</v>
      </c>
      <c r="CL84" s="105">
        <v>7.0873786407767003</v>
      </c>
      <c r="CM84" s="105">
        <v>3623.0679611650489</v>
      </c>
      <c r="CN84" s="105">
        <v>5.8400000000000016</v>
      </c>
      <c r="CO84" s="105">
        <v>2985.4080000000008</v>
      </c>
      <c r="CP84" s="105">
        <v>5.5443037974683556</v>
      </c>
      <c r="CQ84" s="105">
        <v>2834.2481012658232</v>
      </c>
      <c r="CR84" s="105">
        <v>7.4237288135593236</v>
      </c>
      <c r="CS84" s="105">
        <v>3795.0101694915261</v>
      </c>
      <c r="CT84" s="105">
        <v>6.3135135135135148</v>
      </c>
      <c r="CU84" s="105">
        <v>3227.4681081081085</v>
      </c>
    </row>
    <row r="85" spans="2:99" x14ac:dyDescent="0.2">
      <c r="C85" s="104" t="s">
        <v>251</v>
      </c>
      <c r="D85" s="105">
        <v>4.802631578947369</v>
      </c>
      <c r="E85" s="105">
        <v>1308.2368421052631</v>
      </c>
      <c r="F85" s="105">
        <v>6.7281105990783425</v>
      </c>
      <c r="G85" s="105">
        <v>1832.7373271889403</v>
      </c>
      <c r="H85" s="105">
        <v>6.5988700564971765</v>
      </c>
      <c r="I85" s="105">
        <v>1797.5322033898308</v>
      </c>
      <c r="J85" s="105">
        <v>7.1027027027027048</v>
      </c>
      <c r="K85" s="105">
        <v>1934.7762162162167</v>
      </c>
      <c r="L85" s="105">
        <v>5.8400000000000016</v>
      </c>
      <c r="M85" s="105">
        <v>1590.8160000000003</v>
      </c>
      <c r="N85" s="105">
        <v>6.7731958762886615</v>
      </c>
      <c r="O85" s="105">
        <v>1845.0185567010312</v>
      </c>
      <c r="P85" s="105">
        <v>6.4317180616740108</v>
      </c>
      <c r="Q85" s="105">
        <v>1752.0000000000005</v>
      </c>
      <c r="R85" s="105">
        <v>6.7040816326530628</v>
      </c>
      <c r="S85" s="105">
        <v>1826.1918367346941</v>
      </c>
      <c r="T85" s="105">
        <v>6.9224137931034493</v>
      </c>
      <c r="U85" s="105">
        <v>1885.6655172413793</v>
      </c>
      <c r="V85" s="105">
        <v>7.1803278688524603</v>
      </c>
      <c r="W85" s="105">
        <v>1955.92131147541</v>
      </c>
      <c r="X85" s="105">
        <v>7.0207650273224065</v>
      </c>
      <c r="Y85" s="105">
        <v>1912.4563934426233</v>
      </c>
      <c r="Z85" s="105">
        <v>7.3000000000000025</v>
      </c>
      <c r="AA85" s="105">
        <v>1988.5200000000004</v>
      </c>
      <c r="AB85" s="105">
        <v>7.6023668639053277</v>
      </c>
      <c r="AC85" s="105">
        <v>2070.8847337278112</v>
      </c>
      <c r="AD85" s="105">
        <v>7.7866666666666688</v>
      </c>
      <c r="AE85" s="105">
        <v>2121.0880000000002</v>
      </c>
      <c r="AF85" s="105">
        <v>7.050731707317075</v>
      </c>
      <c r="AG85" s="105">
        <v>1920.619317073171</v>
      </c>
      <c r="AH85" s="105">
        <v>7.4351851851851869</v>
      </c>
      <c r="AI85" s="105">
        <v>2025.3444444444447</v>
      </c>
      <c r="AJ85" s="105">
        <v>6.6520710059171622</v>
      </c>
      <c r="AK85" s="105">
        <v>1812.0241420118348</v>
      </c>
      <c r="AL85" s="105">
        <v>6</v>
      </c>
      <c r="AM85" s="105">
        <v>1634.3999999999999</v>
      </c>
      <c r="AN85" s="105">
        <v>6</v>
      </c>
      <c r="AO85" s="105">
        <v>1634.3999999999999</v>
      </c>
      <c r="AP85" s="105">
        <v>7.7070707070707121</v>
      </c>
      <c r="AQ85" s="105">
        <v>2099.4060606060616</v>
      </c>
      <c r="AR85" s="105">
        <v>0</v>
      </c>
      <c r="AS85" s="105">
        <v>0</v>
      </c>
      <c r="AT85" s="105">
        <v>0</v>
      </c>
      <c r="AU85" s="105">
        <v>0</v>
      </c>
      <c r="AV85" s="105">
        <v>9.0487641619356936</v>
      </c>
      <c r="AW85" s="105">
        <v>2464.8833577112828</v>
      </c>
      <c r="AX85" s="105">
        <v>7</v>
      </c>
      <c r="AY85" s="105">
        <v>1906.7999999999997</v>
      </c>
      <c r="AZ85" s="105">
        <v>6.766666666666671</v>
      </c>
      <c r="BA85" s="105">
        <v>1843.2400000000011</v>
      </c>
      <c r="BB85" s="105">
        <v>6.9224137931034511</v>
      </c>
      <c r="BC85" s="105">
        <v>1885.6655172413798</v>
      </c>
      <c r="BD85" s="105">
        <v>6.7763713080168797</v>
      </c>
      <c r="BE85" s="105">
        <v>1845.8835443037979</v>
      </c>
      <c r="BF85" s="105">
        <v>7.1656441717791424</v>
      </c>
      <c r="BG85" s="105">
        <v>1951.9214723926382</v>
      </c>
      <c r="BH85" s="105">
        <v>6.9523809523809534</v>
      </c>
      <c r="BI85" s="105">
        <v>1893.8285714285716</v>
      </c>
      <c r="BJ85" s="105">
        <v>7.6113744075829395</v>
      </c>
      <c r="BK85" s="105">
        <v>2073.3383886255924</v>
      </c>
      <c r="BL85" s="105">
        <v>6.0030456852791882</v>
      </c>
      <c r="BM85" s="105">
        <v>1635.2296446700507</v>
      </c>
      <c r="BN85" s="105">
        <v>5.9727272727272736</v>
      </c>
      <c r="BO85" s="105">
        <v>1626.9709090909091</v>
      </c>
      <c r="BP85" s="105">
        <v>6.0763005780346822</v>
      </c>
      <c r="BQ85" s="105">
        <v>1655.1842774566474</v>
      </c>
      <c r="BR85" s="105">
        <v>5.3511312217194575</v>
      </c>
      <c r="BS85" s="105">
        <v>1457.6481447963802</v>
      </c>
      <c r="BT85" s="105">
        <v>6.772289156626508</v>
      </c>
      <c r="BU85" s="105">
        <v>1844.7715662650605</v>
      </c>
      <c r="BV85" s="105">
        <v>8.2358974358974386</v>
      </c>
      <c r="BW85" s="105">
        <v>2243.458461538462</v>
      </c>
      <c r="BX85" s="105">
        <v>7.098342541436466</v>
      </c>
      <c r="BY85" s="105">
        <v>1933.5885082872933</v>
      </c>
      <c r="BZ85" s="105">
        <v>7.0852941176470612</v>
      </c>
      <c r="CA85" s="105">
        <v>1930.0341176470592</v>
      </c>
      <c r="CB85" s="105">
        <v>7.5399061032863868</v>
      </c>
      <c r="CC85" s="105">
        <v>2053.8704225352117</v>
      </c>
      <c r="CD85" s="105">
        <v>6.9856459330143554</v>
      </c>
      <c r="CE85" s="105">
        <v>1902.8899521531102</v>
      </c>
      <c r="CF85" s="105">
        <v>6.9194312796208539</v>
      </c>
      <c r="CG85" s="105">
        <v>1884.8530805687205</v>
      </c>
      <c r="CH85" s="105">
        <v>7.6476190476190489</v>
      </c>
      <c r="CI85" s="105">
        <v>2083.2114285714288</v>
      </c>
      <c r="CJ85" s="105">
        <v>6.7592592592592604</v>
      </c>
      <c r="CK85" s="105">
        <v>1841.2222222222224</v>
      </c>
      <c r="CL85" s="105">
        <v>5.6699029126213603</v>
      </c>
      <c r="CM85" s="105">
        <v>1544.4815533980584</v>
      </c>
      <c r="CN85" s="105">
        <v>6.4240000000000013</v>
      </c>
      <c r="CO85" s="105">
        <v>1749.8976000000002</v>
      </c>
      <c r="CP85" s="105">
        <v>6.4683544303797484</v>
      </c>
      <c r="CQ85" s="105">
        <v>1761.9797468354434</v>
      </c>
      <c r="CR85" s="105">
        <v>8.0423728813559343</v>
      </c>
      <c r="CS85" s="105">
        <v>2190.7423728813565</v>
      </c>
      <c r="CT85" s="105">
        <v>6.3135135135135148</v>
      </c>
      <c r="CU85" s="105">
        <v>1719.8010810810813</v>
      </c>
    </row>
    <row r="86" spans="2:99" x14ac:dyDescent="0.2">
      <c r="C86" s="104" t="s">
        <v>252</v>
      </c>
      <c r="D86" s="105">
        <v>5.7631578947368425</v>
      </c>
      <c r="E86" s="105">
        <v>2856.2210526315789</v>
      </c>
      <c r="F86" s="105">
        <v>7.400921658986177</v>
      </c>
      <c r="G86" s="105">
        <v>3667.8967741935489</v>
      </c>
      <c r="H86" s="105">
        <v>7.4237288135593236</v>
      </c>
      <c r="I86" s="105">
        <v>3679.2000000000007</v>
      </c>
      <c r="J86" s="105">
        <v>6.3135135135135148</v>
      </c>
      <c r="K86" s="105">
        <v>3128.9772972972978</v>
      </c>
      <c r="L86" s="105">
        <v>5.8400000000000016</v>
      </c>
      <c r="M86" s="105">
        <v>2894.3040000000005</v>
      </c>
      <c r="N86" s="105">
        <v>6.7731958762886615</v>
      </c>
      <c r="O86" s="105">
        <v>3356.7958762886606</v>
      </c>
      <c r="P86" s="105">
        <v>6.4317180616740108</v>
      </c>
      <c r="Q86" s="105">
        <v>3187.5594713656396</v>
      </c>
      <c r="R86" s="105">
        <v>7.4489795918367365</v>
      </c>
      <c r="S86" s="105">
        <v>3691.7142857142862</v>
      </c>
      <c r="T86" s="105">
        <v>6.9224137931034493</v>
      </c>
      <c r="U86" s="105">
        <v>3430.748275862069</v>
      </c>
      <c r="V86" s="105">
        <v>7.1803278688524603</v>
      </c>
      <c r="W86" s="105">
        <v>3558.5704918032793</v>
      </c>
      <c r="X86" s="105">
        <v>7.0207650273224065</v>
      </c>
      <c r="Y86" s="105">
        <v>3479.4911475409845</v>
      </c>
      <c r="Z86" s="105">
        <v>7.3000000000000025</v>
      </c>
      <c r="AA86" s="105">
        <v>3617.880000000001</v>
      </c>
      <c r="AB86" s="105">
        <v>6.6520710059171622</v>
      </c>
      <c r="AC86" s="105">
        <v>3296.7663905325453</v>
      </c>
      <c r="AD86" s="105">
        <v>7.7866666666666688</v>
      </c>
      <c r="AE86" s="105">
        <v>3859.072000000001</v>
      </c>
      <c r="AF86" s="105">
        <v>7.8341463414634172</v>
      </c>
      <c r="AG86" s="105">
        <v>3882.6029268292691</v>
      </c>
      <c r="AH86" s="105">
        <v>6.6916666666666682</v>
      </c>
      <c r="AI86" s="105">
        <v>3316.3900000000003</v>
      </c>
      <c r="AJ86" s="105">
        <v>6.6520710059171622</v>
      </c>
      <c r="AK86" s="105">
        <v>3296.7663905325453</v>
      </c>
      <c r="AL86" s="105">
        <v>6</v>
      </c>
      <c r="AM86" s="105">
        <v>2973.6</v>
      </c>
      <c r="AN86" s="105">
        <v>6</v>
      </c>
      <c r="AO86" s="105">
        <v>2973.6</v>
      </c>
      <c r="AP86" s="105">
        <v>7.7070707070707121</v>
      </c>
      <c r="AQ86" s="105">
        <v>3819.6242424242446</v>
      </c>
      <c r="AR86" s="105">
        <v>0</v>
      </c>
      <c r="AS86" s="105">
        <v>0</v>
      </c>
      <c r="AT86" s="105">
        <v>0</v>
      </c>
      <c r="AU86" s="105">
        <v>0</v>
      </c>
      <c r="AV86" s="105">
        <v>9.0487641619356936</v>
      </c>
      <c r="AW86" s="105">
        <v>4484.567518655329</v>
      </c>
      <c r="AX86" s="105">
        <v>6</v>
      </c>
      <c r="AY86" s="105">
        <v>2973.6</v>
      </c>
      <c r="AZ86" s="105">
        <v>7.7333333333333378</v>
      </c>
      <c r="BA86" s="105">
        <v>3832.6400000000021</v>
      </c>
      <c r="BB86" s="105">
        <v>7.6146551724137952</v>
      </c>
      <c r="BC86" s="105">
        <v>3773.8231034482765</v>
      </c>
      <c r="BD86" s="105">
        <v>6.1603375527426172</v>
      </c>
      <c r="BE86" s="105">
        <v>3053.0632911392408</v>
      </c>
      <c r="BF86" s="105">
        <v>7.1656441717791424</v>
      </c>
      <c r="BG86" s="105">
        <v>3551.2932515337429</v>
      </c>
      <c r="BH86" s="105">
        <v>6.257142857142858</v>
      </c>
      <c r="BI86" s="105">
        <v>3101.0400000000004</v>
      </c>
      <c r="BJ86" s="105">
        <v>7.6113744075829395</v>
      </c>
      <c r="BK86" s="105">
        <v>3772.1971563981047</v>
      </c>
      <c r="BL86" s="105">
        <v>5.336040609137056</v>
      </c>
      <c r="BM86" s="105">
        <v>2644.5417258883249</v>
      </c>
      <c r="BN86" s="105">
        <v>5.9727272727272736</v>
      </c>
      <c r="BO86" s="105">
        <v>2960.0836363636367</v>
      </c>
      <c r="BP86" s="105">
        <v>6.0763005780346822</v>
      </c>
      <c r="BQ86" s="105">
        <v>3011.4145664739881</v>
      </c>
      <c r="BR86" s="105">
        <v>5.9457013574660635</v>
      </c>
      <c r="BS86" s="105">
        <v>2946.6895927601809</v>
      </c>
      <c r="BT86" s="105">
        <v>5.804819277108435</v>
      </c>
      <c r="BU86" s="105">
        <v>2876.86843373494</v>
      </c>
      <c r="BV86" s="105">
        <v>7.4123076923076949</v>
      </c>
      <c r="BW86" s="105">
        <v>3673.5396923076933</v>
      </c>
      <c r="BX86" s="105">
        <v>6.2110497237569078</v>
      </c>
      <c r="BY86" s="105">
        <v>3078.1962430939234</v>
      </c>
      <c r="BZ86" s="105">
        <v>6.2980392156862761</v>
      </c>
      <c r="CA86" s="105">
        <v>3121.3082352941183</v>
      </c>
      <c r="CB86" s="105">
        <v>7.5399061032863868</v>
      </c>
      <c r="CC86" s="105">
        <v>3736.7774647887331</v>
      </c>
      <c r="CD86" s="105">
        <v>6.9856459330143554</v>
      </c>
      <c r="CE86" s="105">
        <v>3462.0861244019143</v>
      </c>
      <c r="CF86" s="105">
        <v>6.2274881516587692</v>
      </c>
      <c r="CG86" s="105">
        <v>3086.3431279620859</v>
      </c>
      <c r="CH86" s="105">
        <v>6.257142857142858</v>
      </c>
      <c r="CI86" s="105">
        <v>3101.0400000000004</v>
      </c>
      <c r="CJ86" s="105">
        <v>6.0833333333333339</v>
      </c>
      <c r="CK86" s="105">
        <v>3014.9</v>
      </c>
      <c r="CL86" s="105">
        <v>6.3786407766990303</v>
      </c>
      <c r="CM86" s="105">
        <v>3161.2543689320391</v>
      </c>
      <c r="CN86" s="105">
        <v>7.0080000000000018</v>
      </c>
      <c r="CO86" s="105">
        <v>3473.1648000000005</v>
      </c>
      <c r="CP86" s="105">
        <v>6.4683544303797484</v>
      </c>
      <c r="CQ86" s="105">
        <v>3205.716455696203</v>
      </c>
      <c r="CR86" s="105">
        <v>7.4237288135593236</v>
      </c>
      <c r="CS86" s="105">
        <v>3679.2000000000007</v>
      </c>
      <c r="CT86" s="105">
        <v>7.8918918918918939</v>
      </c>
      <c r="CU86" s="105">
        <v>3911.2216216216225</v>
      </c>
    </row>
    <row r="87" spans="2:99" x14ac:dyDescent="0.2">
      <c r="B87" s="104" t="s">
        <v>131</v>
      </c>
      <c r="C87" s="104" t="s">
        <v>253</v>
      </c>
      <c r="D87" s="105">
        <v>0</v>
      </c>
      <c r="E87" s="105">
        <v>0</v>
      </c>
      <c r="F87" s="105">
        <v>0</v>
      </c>
      <c r="G87" s="105">
        <v>0</v>
      </c>
      <c r="H87" s="105">
        <v>0</v>
      </c>
      <c r="I87" s="105">
        <v>0</v>
      </c>
      <c r="J87" s="105">
        <v>3.3165715620177032</v>
      </c>
      <c r="K87" s="105">
        <v>3120.2305255462552</v>
      </c>
      <c r="L87" s="105">
        <v>0.27688610738648795</v>
      </c>
      <c r="M87" s="105">
        <v>260.49444982920784</v>
      </c>
      <c r="N87" s="105">
        <v>2.7664040289172243</v>
      </c>
      <c r="O87" s="105">
        <v>2602.6329104053243</v>
      </c>
      <c r="P87" s="105">
        <v>1.9254788901569562</v>
      </c>
      <c r="Q87" s="105">
        <v>1811.4905398596643</v>
      </c>
      <c r="R87" s="105">
        <v>0</v>
      </c>
      <c r="S87" s="105">
        <v>0</v>
      </c>
      <c r="T87" s="105">
        <v>0</v>
      </c>
      <c r="U87" s="105">
        <v>0</v>
      </c>
      <c r="V87" s="105">
        <v>0.29670764821240087</v>
      </c>
      <c r="W87" s="105">
        <v>279.14255543822674</v>
      </c>
      <c r="X87" s="105">
        <v>2.001345061998276</v>
      </c>
      <c r="Y87" s="105">
        <v>1882.8654343279779</v>
      </c>
      <c r="Z87" s="105">
        <v>2.7624729932464795</v>
      </c>
      <c r="AA87" s="105">
        <v>2598.9345920462879</v>
      </c>
      <c r="AB87" s="105">
        <v>0.72139823466152952</v>
      </c>
      <c r="AC87" s="105">
        <v>678.691459169567</v>
      </c>
      <c r="AD87" s="105">
        <v>1.6212462284966669</v>
      </c>
      <c r="AE87" s="105">
        <v>1525.2684517696641</v>
      </c>
      <c r="AF87" s="105">
        <v>1.3061535637339761</v>
      </c>
      <c r="AG87" s="105">
        <v>1228.8292727609246</v>
      </c>
      <c r="AH87" s="105">
        <v>0.56234358569261311</v>
      </c>
      <c r="AI87" s="105">
        <v>529.05284541961043</v>
      </c>
      <c r="AJ87" s="105">
        <v>0.98345297187684244</v>
      </c>
      <c r="AK87" s="105">
        <v>925.23255594173338</v>
      </c>
      <c r="AL87" s="105">
        <v>2.3895821781008287E-2</v>
      </c>
      <c r="AM87" s="105">
        <v>22.481189131572595</v>
      </c>
      <c r="AN87" s="105">
        <v>1.5612684538849799</v>
      </c>
      <c r="AO87" s="105">
        <v>1468.841361414989</v>
      </c>
      <c r="AP87" s="105">
        <v>1.1413116333813811</v>
      </c>
      <c r="AQ87" s="105">
        <v>1073.7459846852032</v>
      </c>
      <c r="AR87" s="105">
        <v>1.4249067591808211</v>
      </c>
      <c r="AS87" s="105">
        <v>1340.5522790373163</v>
      </c>
      <c r="AT87" s="105">
        <v>1.3445663402856807</v>
      </c>
      <c r="AU87" s="105">
        <v>1264.9680129407684</v>
      </c>
      <c r="AV87" s="105">
        <v>1.955833560968379</v>
      </c>
      <c r="AW87" s="105">
        <v>1840.048214159051</v>
      </c>
      <c r="AX87" s="105">
        <v>2.0950971922890385</v>
      </c>
      <c r="AY87" s="105">
        <v>1971.0674385055272</v>
      </c>
      <c r="AZ87" s="105">
        <v>0</v>
      </c>
      <c r="BA87" s="105">
        <v>0</v>
      </c>
      <c r="BB87" s="105">
        <v>1.6691618373192363</v>
      </c>
      <c r="BC87" s="105">
        <v>1570.3474565499375</v>
      </c>
      <c r="BD87" s="105">
        <v>2.0631391954382825</v>
      </c>
      <c r="BE87" s="105">
        <v>1941.0013550683361</v>
      </c>
      <c r="BF87" s="105">
        <v>0.88855431154114373</v>
      </c>
      <c r="BG87" s="105">
        <v>835.95189629790798</v>
      </c>
      <c r="BH87" s="105">
        <v>1.9625686284059151E-2</v>
      </c>
      <c r="BI87" s="105">
        <v>18.463845656042849</v>
      </c>
      <c r="BJ87" s="105">
        <v>2.869907656995196</v>
      </c>
      <c r="BK87" s="105">
        <v>2700.0091237010802</v>
      </c>
      <c r="BL87" s="105">
        <v>1.2525509735121858</v>
      </c>
      <c r="BM87" s="105">
        <v>1178.3999558802643</v>
      </c>
      <c r="BN87" s="105">
        <v>1.5516805017822712</v>
      </c>
      <c r="BO87" s="105">
        <v>1459.8210160767608</v>
      </c>
      <c r="BP87" s="105">
        <v>1.7668591788235581</v>
      </c>
      <c r="BQ87" s="105">
        <v>1662.2611154372034</v>
      </c>
      <c r="BR87" s="105">
        <v>1.9150982470472084</v>
      </c>
      <c r="BS87" s="105">
        <v>1801.7244308220136</v>
      </c>
      <c r="BT87" s="105">
        <v>2.4537431101798695</v>
      </c>
      <c r="BU87" s="105">
        <v>2308.4815180572209</v>
      </c>
      <c r="BV87" s="105">
        <v>1.824872709173768</v>
      </c>
      <c r="BW87" s="105">
        <v>1716.8402447906808</v>
      </c>
      <c r="BX87" s="105">
        <v>0</v>
      </c>
      <c r="BY87" s="105">
        <v>0</v>
      </c>
      <c r="BZ87" s="105">
        <v>0.45317196003573673</v>
      </c>
      <c r="CA87" s="105">
        <v>426.34418000162111</v>
      </c>
      <c r="CB87" s="105">
        <v>0</v>
      </c>
      <c r="CC87" s="105">
        <v>0</v>
      </c>
      <c r="CD87" s="105">
        <v>0</v>
      </c>
      <c r="CE87" s="105">
        <v>0</v>
      </c>
      <c r="CF87" s="105">
        <v>0</v>
      </c>
      <c r="CG87" s="105">
        <v>0</v>
      </c>
      <c r="CH87" s="105">
        <v>0.22639817140757909</v>
      </c>
      <c r="CI87" s="105">
        <v>212.9953996602504</v>
      </c>
      <c r="CJ87" s="105">
        <v>0</v>
      </c>
      <c r="CK87" s="105">
        <v>0</v>
      </c>
      <c r="CL87" s="105">
        <v>1.5594875753891804</v>
      </c>
      <c r="CM87" s="105">
        <v>1467.1659109261409</v>
      </c>
      <c r="CN87" s="105">
        <v>1.8222175209837321</v>
      </c>
      <c r="CO87" s="105">
        <v>1714.3422437414952</v>
      </c>
      <c r="CP87" s="105">
        <v>1.5067584120774065</v>
      </c>
      <c r="CQ87" s="105">
        <v>1417.558314082424</v>
      </c>
      <c r="CR87" s="105">
        <v>1.3504160112218335</v>
      </c>
      <c r="CS87" s="105">
        <v>1270.4713833575008</v>
      </c>
      <c r="CT87" s="105">
        <v>1.775522581231229</v>
      </c>
      <c r="CU87" s="105">
        <v>1670.41164442234</v>
      </c>
    </row>
    <row r="88" spans="2:99" x14ac:dyDescent="0.2">
      <c r="C88" s="104" t="s">
        <v>254</v>
      </c>
      <c r="D88" s="105">
        <v>0</v>
      </c>
      <c r="E88" s="105">
        <v>0</v>
      </c>
      <c r="F88" s="105">
        <v>0</v>
      </c>
      <c r="G88" s="105">
        <v>0</v>
      </c>
      <c r="H88" s="105">
        <v>0</v>
      </c>
      <c r="I88" s="105">
        <v>0</v>
      </c>
      <c r="J88" s="105">
        <v>3.9798858744212438</v>
      </c>
      <c r="K88" s="105">
        <v>3486.3800259930094</v>
      </c>
      <c r="L88" s="105">
        <v>0.27688610738648795</v>
      </c>
      <c r="M88" s="105">
        <v>242.55223007056344</v>
      </c>
      <c r="N88" s="105">
        <v>2.9393042807245506</v>
      </c>
      <c r="O88" s="105">
        <v>2574.8305499147064</v>
      </c>
      <c r="P88" s="105">
        <v>2.1180267791726521</v>
      </c>
      <c r="Q88" s="105">
        <v>1855.3914585552434</v>
      </c>
      <c r="R88" s="105">
        <v>0</v>
      </c>
      <c r="S88" s="105">
        <v>0</v>
      </c>
      <c r="T88" s="105">
        <v>0</v>
      </c>
      <c r="U88" s="105">
        <v>0</v>
      </c>
      <c r="V88" s="105">
        <v>0.29670764821240087</v>
      </c>
      <c r="W88" s="105">
        <v>259.91589983406317</v>
      </c>
      <c r="X88" s="105">
        <v>1.7344990537318394</v>
      </c>
      <c r="Y88" s="105">
        <v>1519.4211710690913</v>
      </c>
      <c r="Z88" s="105">
        <v>2.7624729932464795</v>
      </c>
      <c r="AA88" s="105">
        <v>2419.9263420839161</v>
      </c>
      <c r="AB88" s="105">
        <v>0.72139823466152952</v>
      </c>
      <c r="AC88" s="105">
        <v>631.94485356349992</v>
      </c>
      <c r="AD88" s="105">
        <v>1.8914539332461118</v>
      </c>
      <c r="AE88" s="105">
        <v>1656.9136455235939</v>
      </c>
      <c r="AF88" s="105">
        <v>1.5071002658468955</v>
      </c>
      <c r="AG88" s="105">
        <v>1320.2198328818804</v>
      </c>
      <c r="AH88" s="105">
        <v>0.5327465548666861</v>
      </c>
      <c r="AI88" s="105">
        <v>466.68598206321701</v>
      </c>
      <c r="AJ88" s="105">
        <v>1.0302840657757397</v>
      </c>
      <c r="AK88" s="105">
        <v>902.52884161954796</v>
      </c>
      <c r="AL88" s="105">
        <v>2.3895821781008287E-2</v>
      </c>
      <c r="AM88" s="105">
        <v>20.932739880163258</v>
      </c>
      <c r="AN88" s="105">
        <v>1.4790964299962968</v>
      </c>
      <c r="AO88" s="105">
        <v>1295.688472676756</v>
      </c>
      <c r="AP88" s="105">
        <v>1.2450672364160522</v>
      </c>
      <c r="AQ88" s="105">
        <v>1090.6788991004616</v>
      </c>
      <c r="AR88" s="105">
        <v>1.6763608931539073</v>
      </c>
      <c r="AS88" s="105">
        <v>1468.4921424028228</v>
      </c>
      <c r="AT88" s="105">
        <v>1.4406067931632294</v>
      </c>
      <c r="AU88" s="105">
        <v>1261.9715508109889</v>
      </c>
      <c r="AV88" s="105">
        <v>1.7780305099712537</v>
      </c>
      <c r="AW88" s="105">
        <v>1557.5547267348181</v>
      </c>
      <c r="AX88" s="105">
        <v>1.7957975933906043</v>
      </c>
      <c r="AY88" s="105">
        <v>1573.1186918101694</v>
      </c>
      <c r="AZ88" s="105">
        <v>0</v>
      </c>
      <c r="BA88" s="105">
        <v>0</v>
      </c>
      <c r="BB88" s="105">
        <v>1.5932908447138163</v>
      </c>
      <c r="BC88" s="105">
        <v>1395.722779969303</v>
      </c>
      <c r="BD88" s="105">
        <v>1.8204169371514258</v>
      </c>
      <c r="BE88" s="105">
        <v>1594.685236944649</v>
      </c>
      <c r="BF88" s="105">
        <v>1.036646696798001</v>
      </c>
      <c r="BG88" s="105">
        <v>908.10250639504886</v>
      </c>
      <c r="BH88" s="105">
        <v>2.2645022635452865E-2</v>
      </c>
      <c r="BI88" s="105">
        <v>19.83703982865671</v>
      </c>
      <c r="BJ88" s="105">
        <v>2.7188598855743962</v>
      </c>
      <c r="BK88" s="105">
        <v>2381.721259763171</v>
      </c>
      <c r="BL88" s="105">
        <v>1.3184747089601956</v>
      </c>
      <c r="BM88" s="105">
        <v>1154.9838450491313</v>
      </c>
      <c r="BN88" s="105">
        <v>1.5516805017822712</v>
      </c>
      <c r="BO88" s="105">
        <v>1359.2721195612696</v>
      </c>
      <c r="BP88" s="105">
        <v>1.6564304801470859</v>
      </c>
      <c r="BQ88" s="105">
        <v>1451.0331006088472</v>
      </c>
      <c r="BR88" s="105">
        <v>2.0974885562897998</v>
      </c>
      <c r="BS88" s="105">
        <v>1837.3999753098647</v>
      </c>
      <c r="BT88" s="105">
        <v>2.2200532901627392</v>
      </c>
      <c r="BU88" s="105">
        <v>1944.7666821825596</v>
      </c>
      <c r="BV88" s="105">
        <v>1.824872709173768</v>
      </c>
      <c r="BW88" s="105">
        <v>1598.5884932362208</v>
      </c>
      <c r="BX88" s="105">
        <v>0</v>
      </c>
      <c r="BY88" s="105">
        <v>0</v>
      </c>
      <c r="BZ88" s="105">
        <v>0.49848915603931043</v>
      </c>
      <c r="CA88" s="105">
        <v>436.67650069043594</v>
      </c>
      <c r="CB88" s="105">
        <v>0</v>
      </c>
      <c r="CC88" s="105">
        <v>0</v>
      </c>
      <c r="CD88" s="105">
        <v>0</v>
      </c>
      <c r="CE88" s="105">
        <v>0</v>
      </c>
      <c r="CF88" s="105">
        <v>0</v>
      </c>
      <c r="CG88" s="105">
        <v>0</v>
      </c>
      <c r="CH88" s="105">
        <v>0.25022955787153478</v>
      </c>
      <c r="CI88" s="105">
        <v>219.20109269546447</v>
      </c>
      <c r="CJ88" s="105">
        <v>0</v>
      </c>
      <c r="CK88" s="105">
        <v>0</v>
      </c>
      <c r="CL88" s="105">
        <v>1.4815131966197213</v>
      </c>
      <c r="CM88" s="105">
        <v>1297.8055602388758</v>
      </c>
      <c r="CN88" s="105">
        <v>1.8222175209837321</v>
      </c>
      <c r="CO88" s="105">
        <v>1596.2625483817494</v>
      </c>
      <c r="CP88" s="105">
        <v>1.5953912598466657</v>
      </c>
      <c r="CQ88" s="105">
        <v>1397.5627436256791</v>
      </c>
      <c r="CR88" s="105">
        <v>1.21537441009965</v>
      </c>
      <c r="CS88" s="105">
        <v>1064.6679832472935</v>
      </c>
      <c r="CT88" s="105">
        <v>1.9728028680346992</v>
      </c>
      <c r="CU88" s="105">
        <v>1728.1753123983965</v>
      </c>
    </row>
    <row r="89" spans="2:99" x14ac:dyDescent="0.2">
      <c r="C89" s="104" t="s">
        <v>255</v>
      </c>
      <c r="D89" s="105">
        <v>0</v>
      </c>
      <c r="E89" s="105">
        <v>0</v>
      </c>
      <c r="F89" s="105">
        <v>0</v>
      </c>
      <c r="G89" s="105">
        <v>0</v>
      </c>
      <c r="H89" s="105">
        <v>0</v>
      </c>
      <c r="I89" s="105">
        <v>0</v>
      </c>
      <c r="J89" s="105">
        <v>3.7587811036200636</v>
      </c>
      <c r="K89" s="105">
        <v>2192.121139631221</v>
      </c>
      <c r="L89" s="105">
        <v>0.24774020134580499</v>
      </c>
      <c r="M89" s="105">
        <v>144.48208542487345</v>
      </c>
      <c r="N89" s="105">
        <v>3.2851047843392038</v>
      </c>
      <c r="O89" s="105">
        <v>1915.8731102266233</v>
      </c>
      <c r="P89" s="105">
        <v>2.1180267791726521</v>
      </c>
      <c r="Q89" s="105">
        <v>1235.2332176134905</v>
      </c>
      <c r="R89" s="105">
        <v>0</v>
      </c>
      <c r="S89" s="105">
        <v>0</v>
      </c>
      <c r="T89" s="105">
        <v>0</v>
      </c>
      <c r="U89" s="105">
        <v>0</v>
      </c>
      <c r="V89" s="105">
        <v>0.29670764821240087</v>
      </c>
      <c r="W89" s="105">
        <v>173.03990043747217</v>
      </c>
      <c r="X89" s="105">
        <v>2.001345061998276</v>
      </c>
      <c r="Y89" s="105">
        <v>1167.1844401573944</v>
      </c>
      <c r="Z89" s="105">
        <v>2.5999745818790396</v>
      </c>
      <c r="AA89" s="105">
        <v>1516.3051761518557</v>
      </c>
      <c r="AB89" s="105">
        <v>0.77689040655857022</v>
      </c>
      <c r="AC89" s="105">
        <v>453.0824851049581</v>
      </c>
      <c r="AD89" s="105">
        <v>1.7113154634131489</v>
      </c>
      <c r="AE89" s="105">
        <v>998.03917826254826</v>
      </c>
      <c r="AF89" s="105">
        <v>1.6075736169033552</v>
      </c>
      <c r="AG89" s="105">
        <v>937.53693337803668</v>
      </c>
      <c r="AH89" s="105">
        <v>0.59194061651854013</v>
      </c>
      <c r="AI89" s="105">
        <v>345.21976755361254</v>
      </c>
      <c r="AJ89" s="105">
        <v>1.0302840657757397</v>
      </c>
      <c r="AK89" s="105">
        <v>600.86166716041134</v>
      </c>
      <c r="AL89" s="105">
        <v>2.5090612870058704E-2</v>
      </c>
      <c r="AM89" s="105">
        <v>14.632845425818234</v>
      </c>
      <c r="AN89" s="105">
        <v>1.7256125016623465</v>
      </c>
      <c r="AO89" s="105">
        <v>1006.3772109694803</v>
      </c>
      <c r="AP89" s="105">
        <v>1.2450672364160522</v>
      </c>
      <c r="AQ89" s="105">
        <v>726.12321227784162</v>
      </c>
      <c r="AR89" s="105">
        <v>1.5925428484962121</v>
      </c>
      <c r="AS89" s="105">
        <v>928.77098924299082</v>
      </c>
      <c r="AT89" s="105">
        <v>1.4406067931632294</v>
      </c>
      <c r="AU89" s="105">
        <v>840.16188177279525</v>
      </c>
      <c r="AV89" s="105">
        <v>1.8669320354698165</v>
      </c>
      <c r="AW89" s="105">
        <v>1088.7947630859969</v>
      </c>
      <c r="AX89" s="105">
        <v>1.7957975933906043</v>
      </c>
      <c r="AY89" s="105">
        <v>1047.3091564654003</v>
      </c>
      <c r="AZ89" s="105">
        <v>0</v>
      </c>
      <c r="BA89" s="105">
        <v>0</v>
      </c>
      <c r="BB89" s="105">
        <v>1.5174198521083964</v>
      </c>
      <c r="BC89" s="105">
        <v>884.95925774961665</v>
      </c>
      <c r="BD89" s="105">
        <v>2.0631391954382825</v>
      </c>
      <c r="BE89" s="105">
        <v>1203.2227787796062</v>
      </c>
      <c r="BF89" s="105">
        <v>1.1106928894264296</v>
      </c>
      <c r="BG89" s="105">
        <v>647.75609311349365</v>
      </c>
      <c r="BH89" s="105">
        <v>2.113535445975601E-2</v>
      </c>
      <c r="BI89" s="105">
        <v>12.326138720929704</v>
      </c>
      <c r="BJ89" s="105">
        <v>2.869907656995196</v>
      </c>
      <c r="BK89" s="105">
        <v>1673.7301455595982</v>
      </c>
      <c r="BL89" s="105">
        <v>1.3184747089601956</v>
      </c>
      <c r="BM89" s="105">
        <v>768.93445026558595</v>
      </c>
      <c r="BN89" s="105">
        <v>1.5516805017822712</v>
      </c>
      <c r="BO89" s="105">
        <v>904.94006863942047</v>
      </c>
      <c r="BP89" s="105">
        <v>1.5460017814706133</v>
      </c>
      <c r="BQ89" s="105">
        <v>901.62823895366159</v>
      </c>
      <c r="BR89" s="105">
        <v>2.0062934016685041</v>
      </c>
      <c r="BS89" s="105">
        <v>1170.0703118530714</v>
      </c>
      <c r="BT89" s="105">
        <v>2.4537431101798695</v>
      </c>
      <c r="BU89" s="105">
        <v>1431.0229818568996</v>
      </c>
      <c r="BV89" s="105">
        <v>1.7234908919974479</v>
      </c>
      <c r="BW89" s="105">
        <v>1005.1398882129115</v>
      </c>
      <c r="BX89" s="105">
        <v>0</v>
      </c>
      <c r="BY89" s="105">
        <v>0</v>
      </c>
      <c r="BZ89" s="105">
        <v>0.45317196003573673</v>
      </c>
      <c r="CA89" s="105">
        <v>264.28988709284164</v>
      </c>
      <c r="CB89" s="105">
        <v>0</v>
      </c>
      <c r="CC89" s="105">
        <v>0</v>
      </c>
      <c r="CD89" s="105">
        <v>0</v>
      </c>
      <c r="CE89" s="105">
        <v>0</v>
      </c>
      <c r="CF89" s="105">
        <v>0</v>
      </c>
      <c r="CG89" s="105">
        <v>0</v>
      </c>
      <c r="CH89" s="105">
        <v>0.23831386463955692</v>
      </c>
      <c r="CI89" s="105">
        <v>138.98464585778959</v>
      </c>
      <c r="CJ89" s="105">
        <v>0</v>
      </c>
      <c r="CK89" s="105">
        <v>0</v>
      </c>
      <c r="CL89" s="105">
        <v>1.4035388178502621</v>
      </c>
      <c r="CM89" s="105">
        <v>818.54383857027278</v>
      </c>
      <c r="CN89" s="105">
        <v>2.1437853188043907</v>
      </c>
      <c r="CO89" s="105">
        <v>1250.2555979267206</v>
      </c>
      <c r="CP89" s="105">
        <v>1.5953912598466657</v>
      </c>
      <c r="CQ89" s="105">
        <v>930.43218274257538</v>
      </c>
      <c r="CR89" s="105">
        <v>1.3504160112218335</v>
      </c>
      <c r="CS89" s="105">
        <v>787.56261774457323</v>
      </c>
      <c r="CT89" s="105">
        <v>1.9728028680346992</v>
      </c>
      <c r="CU89" s="105">
        <v>1150.5386326378364</v>
      </c>
    </row>
    <row r="90" spans="2:99" x14ac:dyDescent="0.2">
      <c r="C90" s="104" t="s">
        <v>256</v>
      </c>
      <c r="D90" s="105">
        <v>0</v>
      </c>
      <c r="E90" s="105">
        <v>0</v>
      </c>
      <c r="F90" s="105">
        <v>0</v>
      </c>
      <c r="G90" s="105">
        <v>0</v>
      </c>
      <c r="H90" s="105">
        <v>0</v>
      </c>
      <c r="I90" s="105">
        <v>0</v>
      </c>
      <c r="J90" s="105">
        <v>3.7587811036200636</v>
      </c>
      <c r="K90" s="105">
        <v>3076.18645520266</v>
      </c>
      <c r="L90" s="105">
        <v>0.29145906040682945</v>
      </c>
      <c r="M90" s="105">
        <v>238.53009503694921</v>
      </c>
      <c r="N90" s="105">
        <v>2.9393042807245506</v>
      </c>
      <c r="O90" s="105">
        <v>2405.526623344972</v>
      </c>
      <c r="P90" s="105">
        <v>2.3105746681883472</v>
      </c>
      <c r="Q90" s="105">
        <v>1890.9743084453432</v>
      </c>
      <c r="R90" s="105">
        <v>0</v>
      </c>
      <c r="S90" s="105">
        <v>0</v>
      </c>
      <c r="T90" s="105">
        <v>0</v>
      </c>
      <c r="U90" s="105">
        <v>0</v>
      </c>
      <c r="V90" s="105">
        <v>0.25714662845074743</v>
      </c>
      <c r="W90" s="105">
        <v>210.44880072409168</v>
      </c>
      <c r="X90" s="105">
        <v>2.001345061998276</v>
      </c>
      <c r="Y90" s="105">
        <v>1637.9007987393891</v>
      </c>
      <c r="Z90" s="105">
        <v>2.9249714046139195</v>
      </c>
      <c r="AA90" s="105">
        <v>2393.7965975360316</v>
      </c>
      <c r="AB90" s="105">
        <v>0.77689040655857022</v>
      </c>
      <c r="AC90" s="105">
        <v>635.80710872753389</v>
      </c>
      <c r="AD90" s="105">
        <v>1.8013846983296302</v>
      </c>
      <c r="AE90" s="105">
        <v>1474.2532371129694</v>
      </c>
      <c r="AF90" s="105">
        <v>1.3061535637339761</v>
      </c>
      <c r="AG90" s="105">
        <v>1068.956076559886</v>
      </c>
      <c r="AH90" s="105">
        <v>0.62153764734446715</v>
      </c>
      <c r="AI90" s="105">
        <v>508.66641058671189</v>
      </c>
      <c r="AJ90" s="105">
        <v>0.98345297187684244</v>
      </c>
      <c r="AK90" s="105">
        <v>804.85791218400789</v>
      </c>
      <c r="AL90" s="105">
        <v>2.6285403959109117E-2</v>
      </c>
      <c r="AM90" s="105">
        <v>21.511974600134902</v>
      </c>
      <c r="AN90" s="105">
        <v>1.5612684538849799</v>
      </c>
      <c r="AO90" s="105">
        <v>1277.7421026594675</v>
      </c>
      <c r="AP90" s="105">
        <v>1.3488228394507231</v>
      </c>
      <c r="AQ90" s="105">
        <v>1103.8766118064718</v>
      </c>
      <c r="AR90" s="105">
        <v>1.5925428484962121</v>
      </c>
      <c r="AS90" s="105">
        <v>1303.3370672092999</v>
      </c>
      <c r="AT90" s="105">
        <v>1.3445663402856807</v>
      </c>
      <c r="AU90" s="105">
        <v>1100.393092889801</v>
      </c>
      <c r="AV90" s="105">
        <v>1.955833560968379</v>
      </c>
      <c r="AW90" s="105">
        <v>1600.6541862965214</v>
      </c>
      <c r="AX90" s="105">
        <v>1.9454473928398215</v>
      </c>
      <c r="AY90" s="105">
        <v>1592.1541463001099</v>
      </c>
      <c r="AZ90" s="105">
        <v>0</v>
      </c>
      <c r="BA90" s="105">
        <v>0</v>
      </c>
      <c r="BB90" s="105">
        <v>1.3656778668975569</v>
      </c>
      <c r="BC90" s="105">
        <v>1117.6707662689605</v>
      </c>
      <c r="BD90" s="105">
        <v>1.9417780662948543</v>
      </c>
      <c r="BE90" s="105">
        <v>1589.1511694557087</v>
      </c>
      <c r="BF90" s="105">
        <v>0.88855431154114373</v>
      </c>
      <c r="BG90" s="105">
        <v>727.19284856527202</v>
      </c>
      <c r="BH90" s="105">
        <v>1.8116018108362296E-2</v>
      </c>
      <c r="BI90" s="105">
        <v>14.826149219883703</v>
      </c>
      <c r="BJ90" s="105">
        <v>2.4167643427327961</v>
      </c>
      <c r="BK90" s="105">
        <v>1977.8799380925202</v>
      </c>
      <c r="BL90" s="105">
        <v>1.3184747089601956</v>
      </c>
      <c r="BM90" s="105">
        <v>1079.0397018130241</v>
      </c>
      <c r="BN90" s="105">
        <v>1.5516805017822712</v>
      </c>
      <c r="BO90" s="105">
        <v>1269.8953226586107</v>
      </c>
      <c r="BP90" s="105">
        <v>1.5460017814706133</v>
      </c>
      <c r="BQ90" s="105">
        <v>1265.24785795555</v>
      </c>
      <c r="BR90" s="105">
        <v>2.0062934016685041</v>
      </c>
      <c r="BS90" s="105">
        <v>1641.9505199255036</v>
      </c>
      <c r="BT90" s="105">
        <v>2.5705880201884352</v>
      </c>
      <c r="BU90" s="105">
        <v>2103.7692357222154</v>
      </c>
      <c r="BV90" s="105">
        <v>1.824872709173768</v>
      </c>
      <c r="BW90" s="105">
        <v>1493.4758251878118</v>
      </c>
      <c r="BX90" s="105">
        <v>0</v>
      </c>
      <c r="BY90" s="105">
        <v>0</v>
      </c>
      <c r="BZ90" s="105">
        <v>0.45317196003573673</v>
      </c>
      <c r="CA90" s="105">
        <v>370.87593209324694</v>
      </c>
      <c r="CB90" s="105">
        <v>0</v>
      </c>
      <c r="CC90" s="105">
        <v>0</v>
      </c>
      <c r="CD90" s="105">
        <v>0</v>
      </c>
      <c r="CE90" s="105">
        <v>0</v>
      </c>
      <c r="CF90" s="105">
        <v>0</v>
      </c>
      <c r="CG90" s="105">
        <v>0</v>
      </c>
      <c r="CH90" s="105">
        <v>0.26214525110351267</v>
      </c>
      <c r="CI90" s="105">
        <v>214.53967350311476</v>
      </c>
      <c r="CJ90" s="105">
        <v>0</v>
      </c>
      <c r="CK90" s="105">
        <v>0</v>
      </c>
      <c r="CL90" s="105">
        <v>1.4815131966197213</v>
      </c>
      <c r="CM90" s="105">
        <v>1212.4704001135799</v>
      </c>
      <c r="CN90" s="105">
        <v>1.9294067869239515</v>
      </c>
      <c r="CO90" s="105">
        <v>1579.0265144185619</v>
      </c>
      <c r="CP90" s="105">
        <v>1.4181255643081474</v>
      </c>
      <c r="CQ90" s="105">
        <v>1160.5939618297878</v>
      </c>
      <c r="CR90" s="105">
        <v>1.21537441009965</v>
      </c>
      <c r="CS90" s="105">
        <v>994.66241722555355</v>
      </c>
      <c r="CT90" s="105">
        <v>1.775522581231229</v>
      </c>
      <c r="CU90" s="105">
        <v>1453.0876804796378</v>
      </c>
    </row>
    <row r="91" spans="2:99" x14ac:dyDescent="0.2">
      <c r="C91" s="104" t="s">
        <v>257</v>
      </c>
      <c r="D91" s="105">
        <v>0</v>
      </c>
      <c r="E91" s="105">
        <v>0</v>
      </c>
      <c r="F91" s="105">
        <v>0</v>
      </c>
      <c r="G91" s="105">
        <v>0</v>
      </c>
      <c r="H91" s="105">
        <v>0</v>
      </c>
      <c r="I91" s="105">
        <v>0</v>
      </c>
      <c r="J91" s="105">
        <v>3.9798858744212438</v>
      </c>
      <c r="K91" s="105">
        <v>3128.1902972950975</v>
      </c>
      <c r="L91" s="105">
        <v>0.24774020134580499</v>
      </c>
      <c r="M91" s="105">
        <v>194.72379825780271</v>
      </c>
      <c r="N91" s="105">
        <v>3.2851047843392038</v>
      </c>
      <c r="O91" s="105">
        <v>2582.0923604906143</v>
      </c>
      <c r="P91" s="105">
        <v>1.9254788901569562</v>
      </c>
      <c r="Q91" s="105">
        <v>1513.4264076633676</v>
      </c>
      <c r="R91" s="105">
        <v>0</v>
      </c>
      <c r="S91" s="105">
        <v>0</v>
      </c>
      <c r="T91" s="105">
        <v>0</v>
      </c>
      <c r="U91" s="105">
        <v>0</v>
      </c>
      <c r="V91" s="105">
        <v>0.31648815809322756</v>
      </c>
      <c r="W91" s="105">
        <v>248.75969226127685</v>
      </c>
      <c r="X91" s="105">
        <v>1.8679220578650577</v>
      </c>
      <c r="Y91" s="105">
        <v>1468.1867374819353</v>
      </c>
      <c r="Z91" s="105">
        <v>2.9249714046139195</v>
      </c>
      <c r="AA91" s="105">
        <v>2299.0275240265405</v>
      </c>
      <c r="AB91" s="105">
        <v>0.72139823466152952</v>
      </c>
      <c r="AC91" s="105">
        <v>567.0190124439622</v>
      </c>
      <c r="AD91" s="105">
        <v>1.8914539332461118</v>
      </c>
      <c r="AE91" s="105">
        <v>1486.6827915314439</v>
      </c>
      <c r="AF91" s="105">
        <v>1.4066269147904358</v>
      </c>
      <c r="AG91" s="105">
        <v>1105.6087550252826</v>
      </c>
      <c r="AH91" s="105">
        <v>0.56234358569261311</v>
      </c>
      <c r="AI91" s="105">
        <v>442.00205835439391</v>
      </c>
      <c r="AJ91" s="105">
        <v>0.93662187797794516</v>
      </c>
      <c r="AK91" s="105">
        <v>736.18479609066492</v>
      </c>
      <c r="AL91" s="105">
        <v>2.5090612870058704E-2</v>
      </c>
      <c r="AM91" s="105">
        <v>19.72122171586614</v>
      </c>
      <c r="AN91" s="105">
        <v>1.6434404777736631</v>
      </c>
      <c r="AO91" s="105">
        <v>1291.7442155300992</v>
      </c>
      <c r="AP91" s="105">
        <v>1.2450672364160522</v>
      </c>
      <c r="AQ91" s="105">
        <v>978.62284782301708</v>
      </c>
      <c r="AR91" s="105">
        <v>1.6763608931539073</v>
      </c>
      <c r="AS91" s="105">
        <v>1317.6196620189712</v>
      </c>
      <c r="AT91" s="105">
        <v>1.4406067931632294</v>
      </c>
      <c r="AU91" s="105">
        <v>1132.3169394262982</v>
      </c>
      <c r="AV91" s="105">
        <v>1.955833560968379</v>
      </c>
      <c r="AW91" s="105">
        <v>1537.2851789211459</v>
      </c>
      <c r="AX91" s="105">
        <v>1.9454473928398215</v>
      </c>
      <c r="AY91" s="105">
        <v>1529.1216507720997</v>
      </c>
      <c r="AZ91" s="105">
        <v>0</v>
      </c>
      <c r="BA91" s="105">
        <v>0</v>
      </c>
      <c r="BB91" s="105">
        <v>1.5174198521083964</v>
      </c>
      <c r="BC91" s="105">
        <v>1192.6920037571995</v>
      </c>
      <c r="BD91" s="105">
        <v>2.1845003245817112</v>
      </c>
      <c r="BE91" s="105">
        <v>1717.0172551212249</v>
      </c>
      <c r="BF91" s="105">
        <v>0.96260050416957244</v>
      </c>
      <c r="BG91" s="105">
        <v>756.60399627728395</v>
      </c>
      <c r="BH91" s="105">
        <v>1.9625686284059151E-2</v>
      </c>
      <c r="BI91" s="105">
        <v>15.425789419270492</v>
      </c>
      <c r="BJ91" s="105">
        <v>2.4167643427327961</v>
      </c>
      <c r="BK91" s="105">
        <v>1899.5767733879777</v>
      </c>
      <c r="BL91" s="105">
        <v>1.3843984444082054</v>
      </c>
      <c r="BM91" s="105">
        <v>1088.1371773048495</v>
      </c>
      <c r="BN91" s="105">
        <v>1.3300118586705181</v>
      </c>
      <c r="BO91" s="105">
        <v>1045.3893209150272</v>
      </c>
      <c r="BP91" s="105">
        <v>1.5460017814706133</v>
      </c>
      <c r="BQ91" s="105">
        <v>1215.1574002359021</v>
      </c>
      <c r="BR91" s="105">
        <v>2.0974885562897998</v>
      </c>
      <c r="BS91" s="105">
        <v>1648.6260052437826</v>
      </c>
      <c r="BT91" s="105">
        <v>2.3368982001713046</v>
      </c>
      <c r="BU91" s="105">
        <v>1836.8019853346455</v>
      </c>
      <c r="BV91" s="105">
        <v>1.824872709173768</v>
      </c>
      <c r="BW91" s="105">
        <v>1434.3499494105815</v>
      </c>
      <c r="BX91" s="105">
        <v>0</v>
      </c>
      <c r="BY91" s="105">
        <v>0</v>
      </c>
      <c r="BZ91" s="105">
        <v>0.45317196003573673</v>
      </c>
      <c r="CA91" s="105">
        <v>356.19316058808909</v>
      </c>
      <c r="CB91" s="105">
        <v>0</v>
      </c>
      <c r="CC91" s="105">
        <v>0</v>
      </c>
      <c r="CD91" s="105">
        <v>0</v>
      </c>
      <c r="CE91" s="105">
        <v>0</v>
      </c>
      <c r="CF91" s="105">
        <v>0</v>
      </c>
      <c r="CG91" s="105">
        <v>0</v>
      </c>
      <c r="CH91" s="105">
        <v>0.25022955787153478</v>
      </c>
      <c r="CI91" s="105">
        <v>196.68043248702634</v>
      </c>
      <c r="CJ91" s="105">
        <v>0</v>
      </c>
      <c r="CK91" s="105">
        <v>0</v>
      </c>
      <c r="CL91" s="105">
        <v>1.4035388178502621</v>
      </c>
      <c r="CM91" s="105">
        <v>1103.181510830306</v>
      </c>
      <c r="CN91" s="105">
        <v>2.0365960528641711</v>
      </c>
      <c r="CO91" s="105">
        <v>1600.7644975512385</v>
      </c>
      <c r="CP91" s="105">
        <v>1.5953912598466657</v>
      </c>
      <c r="CQ91" s="105">
        <v>1253.9775302394792</v>
      </c>
      <c r="CR91" s="105">
        <v>1.3504160112218335</v>
      </c>
      <c r="CS91" s="105">
        <v>1061.4269848203612</v>
      </c>
      <c r="CT91" s="105">
        <v>1.874162724632964</v>
      </c>
      <c r="CU91" s="105">
        <v>1473.0919015615098</v>
      </c>
    </row>
    <row r="92" spans="2:99" x14ac:dyDescent="0.2">
      <c r="C92" s="104" t="s">
        <v>258</v>
      </c>
      <c r="D92" s="105">
        <v>0</v>
      </c>
      <c r="E92" s="105">
        <v>0</v>
      </c>
      <c r="F92" s="105">
        <v>0</v>
      </c>
      <c r="G92" s="105">
        <v>0</v>
      </c>
      <c r="H92" s="105">
        <v>0</v>
      </c>
      <c r="I92" s="105">
        <v>0</v>
      </c>
      <c r="J92" s="105">
        <v>3.7587811036200636</v>
      </c>
      <c r="K92" s="105">
        <v>3522.7296503127232</v>
      </c>
      <c r="L92" s="105">
        <v>0.26231315436614649</v>
      </c>
      <c r="M92" s="105">
        <v>245.83988827195247</v>
      </c>
      <c r="N92" s="105">
        <v>3.112204532531877</v>
      </c>
      <c r="O92" s="105">
        <v>2916.7580878888748</v>
      </c>
      <c r="P92" s="105">
        <v>1.9254788901569562</v>
      </c>
      <c r="Q92" s="105">
        <v>1804.5588158550993</v>
      </c>
      <c r="R92" s="105">
        <v>0</v>
      </c>
      <c r="S92" s="105">
        <v>0</v>
      </c>
      <c r="T92" s="105">
        <v>0</v>
      </c>
      <c r="U92" s="105">
        <v>0</v>
      </c>
      <c r="V92" s="105">
        <v>0.31648815809322756</v>
      </c>
      <c r="W92" s="105">
        <v>296.61270176497283</v>
      </c>
      <c r="X92" s="105">
        <v>2.001345061998276</v>
      </c>
      <c r="Y92" s="105">
        <v>1875.6605921047842</v>
      </c>
      <c r="Z92" s="105">
        <v>2.4374761705115997</v>
      </c>
      <c r="AA92" s="105">
        <v>2284.4026670034709</v>
      </c>
      <c r="AB92" s="105">
        <v>0.72139823466152952</v>
      </c>
      <c r="AC92" s="105">
        <v>676.09442552478538</v>
      </c>
      <c r="AD92" s="105">
        <v>1.8914539332461118</v>
      </c>
      <c r="AE92" s="105">
        <v>1772.6706262382559</v>
      </c>
      <c r="AF92" s="105">
        <v>1.5071002658468955</v>
      </c>
      <c r="AG92" s="105">
        <v>1412.4543691517104</v>
      </c>
      <c r="AH92" s="105">
        <v>0.56234358569261311</v>
      </c>
      <c r="AI92" s="105">
        <v>527.02840851111694</v>
      </c>
      <c r="AJ92" s="105">
        <v>0.88979078407904788</v>
      </c>
      <c r="AK92" s="105">
        <v>833.91192283888358</v>
      </c>
      <c r="AL92" s="105">
        <v>2.5090612870058704E-2</v>
      </c>
      <c r="AM92" s="105">
        <v>23.514922381819016</v>
      </c>
      <c r="AN92" s="105">
        <v>1.7256125016623465</v>
      </c>
      <c r="AO92" s="105">
        <v>1617.2440365579509</v>
      </c>
      <c r="AP92" s="105">
        <v>1.1413116333813811</v>
      </c>
      <c r="AQ92" s="105">
        <v>1069.6372628050303</v>
      </c>
      <c r="AR92" s="105">
        <v>1.5925428484962121</v>
      </c>
      <c r="AS92" s="105">
        <v>1492.5311576106499</v>
      </c>
      <c r="AT92" s="105">
        <v>1.4406067931632294</v>
      </c>
      <c r="AU92" s="105">
        <v>1350.1366865525786</v>
      </c>
      <c r="AV92" s="105">
        <v>1.6891289844726911</v>
      </c>
      <c r="AW92" s="105">
        <v>1583.051684247806</v>
      </c>
      <c r="AX92" s="105">
        <v>1.9454473928398215</v>
      </c>
      <c r="AY92" s="105">
        <v>1823.2732965694806</v>
      </c>
      <c r="AZ92" s="105">
        <v>0</v>
      </c>
      <c r="BA92" s="105">
        <v>0</v>
      </c>
      <c r="BB92" s="105">
        <v>1.5932908447138163</v>
      </c>
      <c r="BC92" s="105">
        <v>1493.2321796657886</v>
      </c>
      <c r="BD92" s="105">
        <v>2.0631391954382825</v>
      </c>
      <c r="BE92" s="105">
        <v>1933.5740539647581</v>
      </c>
      <c r="BF92" s="105">
        <v>1.036646696798001</v>
      </c>
      <c r="BG92" s="105">
        <v>971.54528423908653</v>
      </c>
      <c r="BH92" s="105">
        <v>2.113535445975601E-2</v>
      </c>
      <c r="BI92" s="105">
        <v>19.80805419968333</v>
      </c>
      <c r="BJ92" s="105">
        <v>2.2657165713119967</v>
      </c>
      <c r="BK92" s="105">
        <v>2123.4295706336029</v>
      </c>
      <c r="BL92" s="105">
        <v>1.2525509735121858</v>
      </c>
      <c r="BM92" s="105">
        <v>1173.8907723756204</v>
      </c>
      <c r="BN92" s="105">
        <v>1.5516805017822712</v>
      </c>
      <c r="BO92" s="105">
        <v>1454.2349662703446</v>
      </c>
      <c r="BP92" s="105">
        <v>1.4355730827941409</v>
      </c>
      <c r="BQ92" s="105">
        <v>1345.4190931946687</v>
      </c>
      <c r="BR92" s="105">
        <v>1.7327079378046173</v>
      </c>
      <c r="BS92" s="105">
        <v>1623.8938793104871</v>
      </c>
      <c r="BT92" s="105">
        <v>2.1032083801541743</v>
      </c>
      <c r="BU92" s="105">
        <v>1971.1268938804919</v>
      </c>
      <c r="BV92" s="105">
        <v>1.6221090748211273</v>
      </c>
      <c r="BW92" s="105">
        <v>1520.2406249223604</v>
      </c>
      <c r="BX92" s="105">
        <v>0</v>
      </c>
      <c r="BY92" s="105">
        <v>0</v>
      </c>
      <c r="BZ92" s="105">
        <v>0.47583055803752361</v>
      </c>
      <c r="CA92" s="105">
        <v>445.94839899276707</v>
      </c>
      <c r="CB92" s="105">
        <v>0</v>
      </c>
      <c r="CC92" s="105">
        <v>0</v>
      </c>
      <c r="CD92" s="105">
        <v>0</v>
      </c>
      <c r="CE92" s="105">
        <v>0</v>
      </c>
      <c r="CF92" s="105">
        <v>0</v>
      </c>
      <c r="CG92" s="105">
        <v>0</v>
      </c>
      <c r="CH92" s="105">
        <v>0.21448247817560123</v>
      </c>
      <c r="CI92" s="105">
        <v>201.01297854617346</v>
      </c>
      <c r="CJ92" s="105">
        <v>0</v>
      </c>
      <c r="CK92" s="105">
        <v>0</v>
      </c>
      <c r="CL92" s="105">
        <v>1.325564439080803</v>
      </c>
      <c r="CM92" s="105">
        <v>1242.3189923065286</v>
      </c>
      <c r="CN92" s="105">
        <v>1.9294067869239515</v>
      </c>
      <c r="CO92" s="105">
        <v>1808.2400407051273</v>
      </c>
      <c r="CP92" s="105">
        <v>1.6840241076159248</v>
      </c>
      <c r="CQ92" s="105">
        <v>1578.2673936576446</v>
      </c>
      <c r="CR92" s="105">
        <v>1.4179368117829252</v>
      </c>
      <c r="CS92" s="105">
        <v>1328.8903800029575</v>
      </c>
      <c r="CT92" s="105">
        <v>1.9728028680346992</v>
      </c>
      <c r="CU92" s="105">
        <v>1848.91084792212</v>
      </c>
    </row>
    <row r="93" spans="2:99" x14ac:dyDescent="0.2">
      <c r="C93" s="104" t="s">
        <v>259</v>
      </c>
      <c r="D93" s="105">
        <v>0</v>
      </c>
      <c r="E93" s="105">
        <v>0</v>
      </c>
      <c r="F93" s="105">
        <v>0</v>
      </c>
      <c r="G93" s="105">
        <v>0</v>
      </c>
      <c r="H93" s="105">
        <v>0</v>
      </c>
      <c r="I93" s="105">
        <v>0</v>
      </c>
      <c r="J93" s="105">
        <v>3.7587811036200636</v>
      </c>
      <c r="K93" s="105">
        <v>2196.6316769555651</v>
      </c>
      <c r="L93" s="105">
        <v>0.29145906040682945</v>
      </c>
      <c r="M93" s="105">
        <v>170.32867490175113</v>
      </c>
      <c r="N93" s="105">
        <v>3.2851047843392038</v>
      </c>
      <c r="O93" s="105">
        <v>1919.8152359678306</v>
      </c>
      <c r="P93" s="105">
        <v>1.9254788901569562</v>
      </c>
      <c r="Q93" s="105">
        <v>1125.2498634077251</v>
      </c>
      <c r="R93" s="105">
        <v>0</v>
      </c>
      <c r="S93" s="105">
        <v>0</v>
      </c>
      <c r="T93" s="105">
        <v>0</v>
      </c>
      <c r="U93" s="105">
        <v>0</v>
      </c>
      <c r="V93" s="105">
        <v>0.29670764821240087</v>
      </c>
      <c r="W93" s="105">
        <v>173.39594961532705</v>
      </c>
      <c r="X93" s="105">
        <v>1.7344990537318394</v>
      </c>
      <c r="Y93" s="105">
        <v>1013.6412470008869</v>
      </c>
      <c r="Z93" s="105">
        <v>2.7624729932464795</v>
      </c>
      <c r="AA93" s="105">
        <v>1614.3892172532426</v>
      </c>
      <c r="AB93" s="105">
        <v>0.77689040655857022</v>
      </c>
      <c r="AC93" s="105">
        <v>454.01475359282841</v>
      </c>
      <c r="AD93" s="105">
        <v>1.8914539332461118</v>
      </c>
      <c r="AE93" s="105">
        <v>1105.3656785890278</v>
      </c>
      <c r="AF93" s="105">
        <v>1.5071002658468955</v>
      </c>
      <c r="AG93" s="105">
        <v>880.74939536092575</v>
      </c>
      <c r="AH93" s="105">
        <v>0.65113467817039417</v>
      </c>
      <c r="AI93" s="105">
        <v>380.52310592277831</v>
      </c>
      <c r="AJ93" s="105">
        <v>0.88979078407904788</v>
      </c>
      <c r="AK93" s="105">
        <v>519.9937342157956</v>
      </c>
      <c r="AL93" s="105">
        <v>2.6285403959109117E-2</v>
      </c>
      <c r="AM93" s="105">
        <v>15.361190073703368</v>
      </c>
      <c r="AN93" s="105">
        <v>1.6434404777736631</v>
      </c>
      <c r="AO93" s="105">
        <v>960.42661521092862</v>
      </c>
      <c r="AP93" s="105">
        <v>1.2450672364160522</v>
      </c>
      <c r="AQ93" s="105">
        <v>727.6172929615409</v>
      </c>
      <c r="AR93" s="105">
        <v>1.4249067591808211</v>
      </c>
      <c r="AS93" s="105">
        <v>832.71551006527181</v>
      </c>
      <c r="AT93" s="105">
        <v>1.4406067931632294</v>
      </c>
      <c r="AU93" s="105">
        <v>841.89060992459122</v>
      </c>
      <c r="AV93" s="105">
        <v>2.0447350864669418</v>
      </c>
      <c r="AW93" s="105">
        <v>1194.9431845312808</v>
      </c>
      <c r="AX93" s="105">
        <v>1.7957975933906043</v>
      </c>
      <c r="AY93" s="105">
        <v>1049.4641135774691</v>
      </c>
      <c r="AZ93" s="105">
        <v>0</v>
      </c>
      <c r="BA93" s="105">
        <v>0</v>
      </c>
      <c r="BB93" s="105">
        <v>1.5174198521083964</v>
      </c>
      <c r="BC93" s="105">
        <v>886.78016157214677</v>
      </c>
      <c r="BD93" s="105">
        <v>2.0631391954382825</v>
      </c>
      <c r="BE93" s="105">
        <v>1205.6985458141323</v>
      </c>
      <c r="BF93" s="105">
        <v>1.036646696798001</v>
      </c>
      <c r="BG93" s="105">
        <v>605.81632960875174</v>
      </c>
      <c r="BH93" s="105">
        <v>1.9625686284059151E-2</v>
      </c>
      <c r="BI93" s="105">
        <v>11.469251064404167</v>
      </c>
      <c r="BJ93" s="105">
        <v>2.5678121141535959</v>
      </c>
      <c r="BK93" s="105">
        <v>1500.6293995113613</v>
      </c>
      <c r="BL93" s="105">
        <v>1.3843984444082054</v>
      </c>
      <c r="BM93" s="105">
        <v>809.04245091215523</v>
      </c>
      <c r="BN93" s="105">
        <v>1.4408461802263945</v>
      </c>
      <c r="BO93" s="105">
        <v>842.03050772430493</v>
      </c>
      <c r="BP93" s="105">
        <v>1.6564304801470859</v>
      </c>
      <c r="BQ93" s="105">
        <v>968.01797259795694</v>
      </c>
      <c r="BR93" s="105">
        <v>2.0974885562897998</v>
      </c>
      <c r="BS93" s="105">
        <v>1225.7723122957589</v>
      </c>
      <c r="BT93" s="105">
        <v>2.2200532901627392</v>
      </c>
      <c r="BU93" s="105">
        <v>1297.3991427711048</v>
      </c>
      <c r="BV93" s="105">
        <v>1.9262545263500885</v>
      </c>
      <c r="BW93" s="105">
        <v>1125.7031451989917</v>
      </c>
      <c r="BX93" s="105">
        <v>0</v>
      </c>
      <c r="BY93" s="105">
        <v>0</v>
      </c>
      <c r="BZ93" s="105">
        <v>0.45317196003573673</v>
      </c>
      <c r="CA93" s="105">
        <v>264.83369344488455</v>
      </c>
      <c r="CB93" s="105">
        <v>0</v>
      </c>
      <c r="CC93" s="105">
        <v>0</v>
      </c>
      <c r="CD93" s="105">
        <v>0</v>
      </c>
      <c r="CE93" s="105">
        <v>0</v>
      </c>
      <c r="CF93" s="105">
        <v>0</v>
      </c>
      <c r="CG93" s="105">
        <v>0</v>
      </c>
      <c r="CH93" s="105">
        <v>0.25022955787153478</v>
      </c>
      <c r="CI93" s="105">
        <v>146.23415362012491</v>
      </c>
      <c r="CJ93" s="105">
        <v>0</v>
      </c>
      <c r="CK93" s="105">
        <v>0</v>
      </c>
      <c r="CL93" s="105">
        <v>1.325564439080803</v>
      </c>
      <c r="CM93" s="105">
        <v>774.65985819882121</v>
      </c>
      <c r="CN93" s="105">
        <v>1.9294067869239515</v>
      </c>
      <c r="CO93" s="105">
        <v>1127.5453262783572</v>
      </c>
      <c r="CP93" s="105">
        <v>1.5953912598466657</v>
      </c>
      <c r="CQ93" s="105">
        <v>932.34665225439142</v>
      </c>
      <c r="CR93" s="105">
        <v>1.4179368117829252</v>
      </c>
      <c r="CS93" s="105">
        <v>828.6422728059415</v>
      </c>
      <c r="CT93" s="105">
        <v>2.0714430114364339</v>
      </c>
      <c r="CU93" s="105">
        <v>1210.551295883452</v>
      </c>
    </row>
    <row r="94" spans="2:99" x14ac:dyDescent="0.2">
      <c r="C94" s="104" t="s">
        <v>260</v>
      </c>
      <c r="D94" s="105">
        <v>0</v>
      </c>
      <c r="E94" s="105">
        <v>0</v>
      </c>
      <c r="F94" s="105">
        <v>0</v>
      </c>
      <c r="G94" s="105">
        <v>0</v>
      </c>
      <c r="H94" s="105">
        <v>0</v>
      </c>
      <c r="I94" s="105">
        <v>0</v>
      </c>
      <c r="J94" s="105">
        <v>3.7587811036200636</v>
      </c>
      <c r="K94" s="105">
        <v>3013.0389326618429</v>
      </c>
      <c r="L94" s="105">
        <v>0.26231315436614649</v>
      </c>
      <c r="M94" s="105">
        <v>210.27022453990304</v>
      </c>
      <c r="N94" s="105">
        <v>2.9393042807245506</v>
      </c>
      <c r="O94" s="105">
        <v>2356.1463114287999</v>
      </c>
      <c r="P94" s="105">
        <v>2.3105746681883472</v>
      </c>
      <c r="Q94" s="105">
        <v>1852.1566540197791</v>
      </c>
      <c r="R94" s="105">
        <v>0</v>
      </c>
      <c r="S94" s="105">
        <v>0</v>
      </c>
      <c r="T94" s="105">
        <v>0</v>
      </c>
      <c r="U94" s="105">
        <v>0</v>
      </c>
      <c r="V94" s="105">
        <v>0.27692713833157412</v>
      </c>
      <c r="W94" s="105">
        <v>221.98479408658983</v>
      </c>
      <c r="X94" s="105">
        <v>1.7344990537318394</v>
      </c>
      <c r="Y94" s="105">
        <v>1390.3744414714424</v>
      </c>
      <c r="Z94" s="105">
        <v>2.5999745818790396</v>
      </c>
      <c r="AA94" s="105">
        <v>2084.139624834238</v>
      </c>
      <c r="AB94" s="105">
        <v>0.66590606276448883</v>
      </c>
      <c r="AC94" s="105">
        <v>533.79029991201423</v>
      </c>
      <c r="AD94" s="105">
        <v>1.6212462284966669</v>
      </c>
      <c r="AE94" s="105">
        <v>1299.5909767629282</v>
      </c>
      <c r="AF94" s="105">
        <v>1.4066269147904358</v>
      </c>
      <c r="AG94" s="105">
        <v>1127.5521348960133</v>
      </c>
      <c r="AH94" s="105">
        <v>0.56234358569261311</v>
      </c>
      <c r="AI94" s="105">
        <v>450.77461829119869</v>
      </c>
      <c r="AJ94" s="105">
        <v>0.98345297187684244</v>
      </c>
      <c r="AK94" s="105">
        <v>788.33590225647697</v>
      </c>
      <c r="AL94" s="105">
        <v>2.6285403959109117E-2</v>
      </c>
      <c r="AM94" s="105">
        <v>21.070379813621869</v>
      </c>
      <c r="AN94" s="105">
        <v>1.3969244061076136</v>
      </c>
      <c r="AO94" s="105">
        <v>1119.7746039358631</v>
      </c>
      <c r="AP94" s="105">
        <v>1.2450672364160522</v>
      </c>
      <c r="AQ94" s="105">
        <v>998.0458967111075</v>
      </c>
      <c r="AR94" s="105">
        <v>1.5087248038385166</v>
      </c>
      <c r="AS94" s="105">
        <v>1209.393802756955</v>
      </c>
      <c r="AT94" s="105">
        <v>1.3445663402856807</v>
      </c>
      <c r="AU94" s="105">
        <v>1077.8043783730016</v>
      </c>
      <c r="AV94" s="105">
        <v>2.0447350864669418</v>
      </c>
      <c r="AW94" s="105">
        <v>1639.0596453119006</v>
      </c>
      <c r="AX94" s="105">
        <v>2.0950971922890385</v>
      </c>
      <c r="AY94" s="105">
        <v>1679.4299093388934</v>
      </c>
      <c r="AZ94" s="105">
        <v>0</v>
      </c>
      <c r="BA94" s="105">
        <v>0</v>
      </c>
      <c r="BB94" s="105">
        <v>1.4415488595029768</v>
      </c>
      <c r="BC94" s="105">
        <v>1155.5455657775863</v>
      </c>
      <c r="BD94" s="105">
        <v>1.9417780662948543</v>
      </c>
      <c r="BE94" s="105">
        <v>1556.5292979419553</v>
      </c>
      <c r="BF94" s="105">
        <v>0.88855431154114373</v>
      </c>
      <c r="BG94" s="105">
        <v>712.26513613138081</v>
      </c>
      <c r="BH94" s="105">
        <v>1.9625686284059151E-2</v>
      </c>
      <c r="BI94" s="105">
        <v>15.731950125301816</v>
      </c>
      <c r="BJ94" s="105">
        <v>2.4167643427327961</v>
      </c>
      <c r="BK94" s="105">
        <v>1937.2782971346094</v>
      </c>
      <c r="BL94" s="105">
        <v>1.2525509735121858</v>
      </c>
      <c r="BM94" s="105">
        <v>1004.0448603673682</v>
      </c>
      <c r="BN94" s="105">
        <v>1.5516805017822712</v>
      </c>
      <c r="BO94" s="105">
        <v>1243.8270902286686</v>
      </c>
      <c r="BP94" s="105">
        <v>1.5460017814706133</v>
      </c>
      <c r="BQ94" s="105">
        <v>1239.2750280268438</v>
      </c>
      <c r="BR94" s="105">
        <v>1.8239030924259128</v>
      </c>
      <c r="BS94" s="105">
        <v>1462.0407188886118</v>
      </c>
      <c r="BT94" s="105">
        <v>2.2200532901627392</v>
      </c>
      <c r="BU94" s="105">
        <v>1779.5947173944519</v>
      </c>
      <c r="BV94" s="105">
        <v>1.9262545263500885</v>
      </c>
      <c r="BW94" s="105">
        <v>1544.0856283222311</v>
      </c>
      <c r="BX94" s="105">
        <v>0</v>
      </c>
      <c r="BY94" s="105">
        <v>0</v>
      </c>
      <c r="BZ94" s="105">
        <v>0.49848915603931043</v>
      </c>
      <c r="CA94" s="105">
        <v>399.58890748111128</v>
      </c>
      <c r="CB94" s="105">
        <v>0</v>
      </c>
      <c r="CC94" s="105">
        <v>0</v>
      </c>
      <c r="CD94" s="105">
        <v>0</v>
      </c>
      <c r="CE94" s="105">
        <v>0</v>
      </c>
      <c r="CF94" s="105">
        <v>0</v>
      </c>
      <c r="CG94" s="105">
        <v>0</v>
      </c>
      <c r="CH94" s="105">
        <v>0.23831386463955692</v>
      </c>
      <c r="CI94" s="105">
        <v>191.03239389506882</v>
      </c>
      <c r="CJ94" s="105">
        <v>0</v>
      </c>
      <c r="CK94" s="105">
        <v>0</v>
      </c>
      <c r="CL94" s="105">
        <v>1.325564439080803</v>
      </c>
      <c r="CM94" s="105">
        <v>1062.5724543671718</v>
      </c>
      <c r="CN94" s="105">
        <v>1.8222175209837321</v>
      </c>
      <c r="CO94" s="105">
        <v>1460.6895648205598</v>
      </c>
      <c r="CP94" s="105">
        <v>1.6840241076159248</v>
      </c>
      <c r="CQ94" s="105">
        <v>1349.9137246649254</v>
      </c>
      <c r="CR94" s="105">
        <v>1.21537441009965</v>
      </c>
      <c r="CS94" s="105">
        <v>974.24412713587947</v>
      </c>
      <c r="CT94" s="105">
        <v>1.775522581231229</v>
      </c>
      <c r="CU94" s="105">
        <v>1423.2589011149532</v>
      </c>
    </row>
    <row r="95" spans="2:99" x14ac:dyDescent="0.2">
      <c r="B95" s="104" t="s">
        <v>132</v>
      </c>
      <c r="C95" s="104" t="s">
        <v>261</v>
      </c>
      <c r="D95" s="105">
        <v>0</v>
      </c>
      <c r="E95" s="105">
        <v>0</v>
      </c>
      <c r="F95" s="105">
        <v>0</v>
      </c>
      <c r="G95" s="105">
        <v>0</v>
      </c>
      <c r="H95" s="105">
        <v>0</v>
      </c>
      <c r="I95" s="105">
        <v>0</v>
      </c>
      <c r="J95" s="105">
        <v>4.4220954160236037</v>
      </c>
      <c r="K95" s="105">
        <v>1698.0846397530638</v>
      </c>
      <c r="L95" s="105">
        <v>0.3351779194678538</v>
      </c>
      <c r="M95" s="105">
        <v>128.70832107565587</v>
      </c>
      <c r="N95" s="105">
        <v>2.4206035253025711</v>
      </c>
      <c r="O95" s="105">
        <v>929.51175371618729</v>
      </c>
      <c r="P95" s="105">
        <v>3.4658620022825213</v>
      </c>
      <c r="Q95" s="105">
        <v>1330.8910088764883</v>
      </c>
      <c r="R95" s="105">
        <v>0</v>
      </c>
      <c r="S95" s="105">
        <v>0</v>
      </c>
      <c r="T95" s="105">
        <v>0</v>
      </c>
      <c r="U95" s="105">
        <v>0</v>
      </c>
      <c r="V95" s="105">
        <v>0.27692713833157412</v>
      </c>
      <c r="W95" s="105">
        <v>106.34002111932446</v>
      </c>
      <c r="X95" s="105">
        <v>2.5350370785311496</v>
      </c>
      <c r="Y95" s="105">
        <v>973.45423815596143</v>
      </c>
      <c r="Z95" s="105">
        <v>2.9249714046139195</v>
      </c>
      <c r="AA95" s="105">
        <v>1123.189019371745</v>
      </c>
      <c r="AB95" s="105">
        <v>0.72139823466152952</v>
      </c>
      <c r="AC95" s="105">
        <v>277.01692211002734</v>
      </c>
      <c r="AD95" s="105">
        <v>1.1709000539142596</v>
      </c>
      <c r="AE95" s="105">
        <v>449.6256207030757</v>
      </c>
      <c r="AF95" s="105">
        <v>2.3108870742985732</v>
      </c>
      <c r="AG95" s="105">
        <v>887.38063653065205</v>
      </c>
      <c r="AH95" s="105">
        <v>0.71032873982224809</v>
      </c>
      <c r="AI95" s="105">
        <v>272.76623609174328</v>
      </c>
      <c r="AJ95" s="105">
        <v>0.88979078407904788</v>
      </c>
      <c r="AK95" s="105">
        <v>341.67966108635437</v>
      </c>
      <c r="AL95" s="105">
        <v>2.3895821781008287E-2</v>
      </c>
      <c r="AM95" s="105">
        <v>9.1759955639071826</v>
      </c>
      <c r="AN95" s="105">
        <v>1.3969244061076136</v>
      </c>
      <c r="AO95" s="105">
        <v>536.41897194532362</v>
      </c>
      <c r="AP95" s="105">
        <v>1.3488228394507231</v>
      </c>
      <c r="AQ95" s="105">
        <v>517.94797034907765</v>
      </c>
      <c r="AR95" s="105">
        <v>1.7601789378116024</v>
      </c>
      <c r="AS95" s="105">
        <v>675.90871211965532</v>
      </c>
      <c r="AT95" s="105">
        <v>2.0168495104285213</v>
      </c>
      <c r="AU95" s="105">
        <v>774.4702120045522</v>
      </c>
      <c r="AV95" s="105">
        <v>1.7780305099712537</v>
      </c>
      <c r="AW95" s="105">
        <v>682.76371582896138</v>
      </c>
      <c r="AX95" s="105">
        <v>2.2447469917382556</v>
      </c>
      <c r="AY95" s="105">
        <v>861.98284482749023</v>
      </c>
      <c r="AZ95" s="105">
        <v>0</v>
      </c>
      <c r="BA95" s="105">
        <v>0</v>
      </c>
      <c r="BB95" s="105">
        <v>1.5932908447138163</v>
      </c>
      <c r="BC95" s="105">
        <v>611.82368437010541</v>
      </c>
      <c r="BD95" s="105">
        <v>2.9126670994422814</v>
      </c>
      <c r="BE95" s="105">
        <v>1118.4641661858361</v>
      </c>
      <c r="BF95" s="105">
        <v>0.88855431154114373</v>
      </c>
      <c r="BG95" s="105">
        <v>341.20485563179921</v>
      </c>
      <c r="BH95" s="105">
        <v>3.0193363513937158E-2</v>
      </c>
      <c r="BI95" s="105">
        <v>11.594251589351869</v>
      </c>
      <c r="BJ95" s="105">
        <v>2.2657165713119967</v>
      </c>
      <c r="BK95" s="105">
        <v>870.03516338380678</v>
      </c>
      <c r="BL95" s="105">
        <v>1.7140171216482543</v>
      </c>
      <c r="BM95" s="105">
        <v>658.18257471292964</v>
      </c>
      <c r="BN95" s="105">
        <v>2.105852109561654</v>
      </c>
      <c r="BO95" s="105">
        <v>808.64721007167509</v>
      </c>
      <c r="BP95" s="105">
        <v>2.0981452748529756</v>
      </c>
      <c r="BQ95" s="105">
        <v>805.68778554354265</v>
      </c>
      <c r="BR95" s="105">
        <v>1.9150982470472084</v>
      </c>
      <c r="BS95" s="105">
        <v>735.3977268661281</v>
      </c>
      <c r="BT95" s="105">
        <v>2.4537431101798695</v>
      </c>
      <c r="BU95" s="105">
        <v>942.23735430906981</v>
      </c>
      <c r="BV95" s="105">
        <v>1.5207272576448068</v>
      </c>
      <c r="BW95" s="105">
        <v>583.9592669356058</v>
      </c>
      <c r="BX95" s="105">
        <v>0</v>
      </c>
      <c r="BY95" s="105">
        <v>0</v>
      </c>
      <c r="BZ95" s="105">
        <v>0.54380635204288408</v>
      </c>
      <c r="CA95" s="105">
        <v>208.82163918446747</v>
      </c>
      <c r="CB95" s="105">
        <v>0</v>
      </c>
      <c r="CC95" s="105">
        <v>0</v>
      </c>
      <c r="CD95" s="105">
        <v>0</v>
      </c>
      <c r="CE95" s="105">
        <v>0</v>
      </c>
      <c r="CF95" s="105">
        <v>0</v>
      </c>
      <c r="CG95" s="105">
        <v>0</v>
      </c>
      <c r="CH95" s="105">
        <v>0.2025667849436234</v>
      </c>
      <c r="CI95" s="105">
        <v>77.785645418351379</v>
      </c>
      <c r="CJ95" s="105">
        <v>0</v>
      </c>
      <c r="CK95" s="105">
        <v>0</v>
      </c>
      <c r="CL95" s="105">
        <v>1.9493594692364753</v>
      </c>
      <c r="CM95" s="105">
        <v>748.55403618680657</v>
      </c>
      <c r="CN95" s="105">
        <v>2.8941101803859275</v>
      </c>
      <c r="CO95" s="105">
        <v>1111.3383092681961</v>
      </c>
      <c r="CP95" s="105">
        <v>2.0385554986929617</v>
      </c>
      <c r="CQ95" s="105">
        <v>782.80531149809735</v>
      </c>
      <c r="CR95" s="105">
        <v>1.0803328089774669</v>
      </c>
      <c r="CS95" s="105">
        <v>414.8477986473473</v>
      </c>
      <c r="CT95" s="105">
        <v>1.5782422944277592</v>
      </c>
      <c r="CU95" s="105">
        <v>606.04504106025956</v>
      </c>
    </row>
    <row r="96" spans="2:99" x14ac:dyDescent="0.2">
      <c r="C96" s="104" t="s">
        <v>262</v>
      </c>
      <c r="D96" s="105">
        <v>21.131578947368425</v>
      </c>
      <c r="E96" s="105">
        <v>17674.452631578952</v>
      </c>
      <c r="F96" s="105">
        <v>9.4193548387096797</v>
      </c>
      <c r="G96" s="105">
        <v>7878.3483870967757</v>
      </c>
      <c r="H96" s="105">
        <v>12.372881355932206</v>
      </c>
      <c r="I96" s="105">
        <v>10348.677966101697</v>
      </c>
      <c r="J96" s="105">
        <v>15.783783783783788</v>
      </c>
      <c r="K96" s="105">
        <v>13201.55675675676</v>
      </c>
      <c r="L96" s="105">
        <v>18.493333333333339</v>
      </c>
      <c r="M96" s="105">
        <v>15467.824000000004</v>
      </c>
      <c r="N96" s="105">
        <v>9.783505154639176</v>
      </c>
      <c r="O96" s="105">
        <v>8182.9237113402069</v>
      </c>
      <c r="P96" s="105">
        <v>12.863436123348022</v>
      </c>
      <c r="Q96" s="105">
        <v>10758.977973568284</v>
      </c>
      <c r="R96" s="105">
        <v>13.408163265306126</v>
      </c>
      <c r="S96" s="105">
        <v>11214.587755102044</v>
      </c>
      <c r="T96" s="105">
        <v>14.474137931034486</v>
      </c>
      <c r="U96" s="105">
        <v>12106.168965517243</v>
      </c>
      <c r="V96" s="105">
        <v>11.169398907103828</v>
      </c>
      <c r="W96" s="105">
        <v>9342.0852459016405</v>
      </c>
      <c r="X96" s="105">
        <v>16.674316939890716</v>
      </c>
      <c r="Y96" s="105">
        <v>13946.398688524594</v>
      </c>
      <c r="Z96" s="105">
        <v>15.411111111111115</v>
      </c>
      <c r="AA96" s="105">
        <v>12889.853333333336</v>
      </c>
      <c r="AB96" s="105">
        <v>14.254437869822489</v>
      </c>
      <c r="AC96" s="105">
        <v>11922.41183431953</v>
      </c>
      <c r="AD96" s="105">
        <v>11.680000000000003</v>
      </c>
      <c r="AE96" s="105">
        <v>9769.1520000000019</v>
      </c>
      <c r="AF96" s="105">
        <v>15.668292682926834</v>
      </c>
      <c r="AG96" s="105">
        <v>13104.960000000005</v>
      </c>
      <c r="AH96" s="105">
        <v>19.331481481481486</v>
      </c>
      <c r="AI96" s="105">
        <v>16168.851111111115</v>
      </c>
      <c r="AJ96" s="105">
        <v>18.055621301775155</v>
      </c>
      <c r="AK96" s="105">
        <v>15101.721656804739</v>
      </c>
      <c r="AL96" s="105">
        <v>20</v>
      </c>
      <c r="AM96" s="105">
        <v>16728</v>
      </c>
      <c r="AN96" s="105">
        <v>17</v>
      </c>
      <c r="AO96" s="105">
        <v>14218.8</v>
      </c>
      <c r="AP96" s="105">
        <v>10.789898989898997</v>
      </c>
      <c r="AQ96" s="105">
        <v>9024.6715151515218</v>
      </c>
      <c r="AR96" s="105">
        <v>0</v>
      </c>
      <c r="AS96" s="105">
        <v>0</v>
      </c>
      <c r="AT96" s="105">
        <v>0</v>
      </c>
      <c r="AU96" s="105">
        <v>0</v>
      </c>
      <c r="AV96" s="105">
        <v>17.192651907677817</v>
      </c>
      <c r="AW96" s="105">
        <v>14379.934055581725</v>
      </c>
      <c r="AX96" s="105">
        <v>16</v>
      </c>
      <c r="AY96" s="105">
        <v>13382.4</v>
      </c>
      <c r="AZ96" s="105">
        <v>18.366666666666678</v>
      </c>
      <c r="BA96" s="105">
        <v>15361.880000000008</v>
      </c>
      <c r="BB96" s="105">
        <v>14.537068965517246</v>
      </c>
      <c r="BC96" s="105">
        <v>12158.804482758624</v>
      </c>
      <c r="BD96" s="105">
        <v>16.016877637130804</v>
      </c>
      <c r="BE96" s="105">
        <v>13396.516455696205</v>
      </c>
      <c r="BF96" s="105">
        <v>12.539877300613499</v>
      </c>
      <c r="BG96" s="105">
        <v>10488.353374233131</v>
      </c>
      <c r="BH96" s="105">
        <v>12.514285714285716</v>
      </c>
      <c r="BI96" s="105">
        <v>10466.948571428573</v>
      </c>
      <c r="BJ96" s="105">
        <v>11.763033175355453</v>
      </c>
      <c r="BK96" s="105">
        <v>9838.6009478673004</v>
      </c>
      <c r="BL96" s="105">
        <v>16.00812182741117</v>
      </c>
      <c r="BM96" s="105">
        <v>13389.193096446703</v>
      </c>
      <c r="BN96" s="105">
        <v>15.358441558441559</v>
      </c>
      <c r="BO96" s="105">
        <v>12845.800519480519</v>
      </c>
      <c r="BP96" s="105">
        <v>12.912138728323701</v>
      </c>
      <c r="BQ96" s="105">
        <v>10799.712832369943</v>
      </c>
      <c r="BR96" s="105">
        <v>13.675113122171947</v>
      </c>
      <c r="BS96" s="105">
        <v>11437.864615384617</v>
      </c>
      <c r="BT96" s="105">
        <v>20.316867469879522</v>
      </c>
      <c r="BU96" s="105">
        <v>16993.027951807231</v>
      </c>
      <c r="BV96" s="105">
        <v>11.530256410256413</v>
      </c>
      <c r="BW96" s="105">
        <v>9643.9064615384632</v>
      </c>
      <c r="BX96" s="105">
        <v>20.407734806629843</v>
      </c>
      <c r="BY96" s="105">
        <v>17069.029392265202</v>
      </c>
      <c r="BZ96" s="105">
        <v>19.681372549019613</v>
      </c>
      <c r="CA96" s="105">
        <v>16461.500000000004</v>
      </c>
      <c r="CB96" s="105">
        <v>13.70892018779343</v>
      </c>
      <c r="CC96" s="105">
        <v>11466.140845070424</v>
      </c>
      <c r="CD96" s="105">
        <v>12.574162679425841</v>
      </c>
      <c r="CE96" s="105">
        <v>10517.029665071774</v>
      </c>
      <c r="CF96" s="105">
        <v>11.763033175355453</v>
      </c>
      <c r="CG96" s="105">
        <v>9838.6009478673004</v>
      </c>
      <c r="CH96" s="105">
        <v>11.819047619047621</v>
      </c>
      <c r="CI96" s="105">
        <v>9885.4514285714304</v>
      </c>
      <c r="CJ96" s="105">
        <v>16.898148148148152</v>
      </c>
      <c r="CK96" s="105">
        <v>14133.611111111115</v>
      </c>
      <c r="CL96" s="105">
        <v>15.592233009708741</v>
      </c>
      <c r="CM96" s="105">
        <v>13041.343689320391</v>
      </c>
      <c r="CN96" s="105">
        <v>15.184000000000003</v>
      </c>
      <c r="CO96" s="105">
        <v>12699.897600000002</v>
      </c>
      <c r="CP96" s="105">
        <v>19.405063291139243</v>
      </c>
      <c r="CQ96" s="105">
        <v>16230.394936708863</v>
      </c>
      <c r="CR96" s="105">
        <v>9.279661016949154</v>
      </c>
      <c r="CS96" s="105">
        <v>7761.5084745762724</v>
      </c>
      <c r="CT96" s="105">
        <v>11.83783783783784</v>
      </c>
      <c r="CU96" s="105">
        <v>9901.1675675675688</v>
      </c>
    </row>
    <row r="97" spans="2:99" x14ac:dyDescent="0.2">
      <c r="C97" s="104" t="s">
        <v>263</v>
      </c>
      <c r="D97" s="105">
        <v>0</v>
      </c>
      <c r="E97" s="105">
        <v>0</v>
      </c>
      <c r="F97" s="105">
        <v>0</v>
      </c>
      <c r="G97" s="105">
        <v>0</v>
      </c>
      <c r="H97" s="105">
        <v>0</v>
      </c>
      <c r="I97" s="105">
        <v>0</v>
      </c>
      <c r="J97" s="105">
        <v>5.0854097284271447</v>
      </c>
      <c r="K97" s="105">
        <v>1281.5232515636405</v>
      </c>
      <c r="L97" s="105">
        <v>0.3351779194678538</v>
      </c>
      <c r="M97" s="105">
        <v>84.464835705899162</v>
      </c>
      <c r="N97" s="105">
        <v>2.2477032734952447</v>
      </c>
      <c r="O97" s="105">
        <v>566.42122492080171</v>
      </c>
      <c r="P97" s="105">
        <v>3.8509577803139123</v>
      </c>
      <c r="Q97" s="105">
        <v>970.44136063910594</v>
      </c>
      <c r="R97" s="105">
        <v>0</v>
      </c>
      <c r="S97" s="105">
        <v>0</v>
      </c>
      <c r="T97" s="105">
        <v>0</v>
      </c>
      <c r="U97" s="105">
        <v>0</v>
      </c>
      <c r="V97" s="105">
        <v>0.27692713833157412</v>
      </c>
      <c r="W97" s="105">
        <v>69.785638859556684</v>
      </c>
      <c r="X97" s="105">
        <v>2.5350370785311496</v>
      </c>
      <c r="Y97" s="105">
        <v>638.82934378984964</v>
      </c>
      <c r="Z97" s="105">
        <v>2.9249714046139195</v>
      </c>
      <c r="AA97" s="105">
        <v>737.09279396270767</v>
      </c>
      <c r="AB97" s="105">
        <v>0.77689040655857022</v>
      </c>
      <c r="AC97" s="105">
        <v>195.77638245275969</v>
      </c>
      <c r="AD97" s="105">
        <v>1.3510385237472227</v>
      </c>
      <c r="AE97" s="105">
        <v>340.46170798430012</v>
      </c>
      <c r="AF97" s="105">
        <v>2.4113604253550327</v>
      </c>
      <c r="AG97" s="105">
        <v>607.6628271894682</v>
      </c>
      <c r="AH97" s="105">
        <v>0.82871686312595616</v>
      </c>
      <c r="AI97" s="105">
        <v>208.83664950774096</v>
      </c>
      <c r="AJ97" s="105">
        <v>0.84295969018015071</v>
      </c>
      <c r="AK97" s="105">
        <v>212.42584192539798</v>
      </c>
      <c r="AL97" s="105">
        <v>2.3895821781008287E-2</v>
      </c>
      <c r="AM97" s="105">
        <v>6.021747088814088</v>
      </c>
      <c r="AN97" s="105">
        <v>1.3969244061076136</v>
      </c>
      <c r="AO97" s="105">
        <v>352.02495033911862</v>
      </c>
      <c r="AP97" s="105">
        <v>1.3488228394507231</v>
      </c>
      <c r="AQ97" s="105">
        <v>339.90335554158224</v>
      </c>
      <c r="AR97" s="105">
        <v>1.8439969824692979</v>
      </c>
      <c r="AS97" s="105">
        <v>464.68723958226309</v>
      </c>
      <c r="AT97" s="105">
        <v>1.9208090575509724</v>
      </c>
      <c r="AU97" s="105">
        <v>484.04388250284507</v>
      </c>
      <c r="AV97" s="105">
        <v>1.7780305099712537</v>
      </c>
      <c r="AW97" s="105">
        <v>448.0636885127559</v>
      </c>
      <c r="AX97" s="105">
        <v>2.2447469917382556</v>
      </c>
      <c r="AY97" s="105">
        <v>565.67624191804043</v>
      </c>
      <c r="AZ97" s="105">
        <v>0</v>
      </c>
      <c r="BA97" s="105">
        <v>0</v>
      </c>
      <c r="BB97" s="105">
        <v>1.5932908447138163</v>
      </c>
      <c r="BC97" s="105">
        <v>401.5092928678817</v>
      </c>
      <c r="BD97" s="105">
        <v>2.9126670994422814</v>
      </c>
      <c r="BE97" s="105">
        <v>733.99210905945495</v>
      </c>
      <c r="BF97" s="105">
        <v>1.036646696798001</v>
      </c>
      <c r="BG97" s="105">
        <v>261.23496759309626</v>
      </c>
      <c r="BH97" s="105">
        <v>2.8683695338240299E-2</v>
      </c>
      <c r="BI97" s="105">
        <v>7.2282912252365552</v>
      </c>
      <c r="BJ97" s="105">
        <v>2.4167643427327961</v>
      </c>
      <c r="BK97" s="105">
        <v>609.02461436866463</v>
      </c>
      <c r="BL97" s="105">
        <v>1.5162459153042249</v>
      </c>
      <c r="BM97" s="105">
        <v>382.09397065666468</v>
      </c>
      <c r="BN97" s="105">
        <v>1.7733491448940242</v>
      </c>
      <c r="BO97" s="105">
        <v>446.88398451329408</v>
      </c>
      <c r="BP97" s="105">
        <v>2.2085739735294481</v>
      </c>
      <c r="BQ97" s="105">
        <v>556.56064132942095</v>
      </c>
      <c r="BR97" s="105">
        <v>1.9150982470472084</v>
      </c>
      <c r="BS97" s="105">
        <v>482.60475825589651</v>
      </c>
      <c r="BT97" s="105">
        <v>2.4537431101798695</v>
      </c>
      <c r="BU97" s="105">
        <v>618.34326376532715</v>
      </c>
      <c r="BV97" s="105">
        <v>1.6221090748211273</v>
      </c>
      <c r="BW97" s="105">
        <v>408.77148685492409</v>
      </c>
      <c r="BX97" s="105">
        <v>0</v>
      </c>
      <c r="BY97" s="105">
        <v>0</v>
      </c>
      <c r="BZ97" s="105">
        <v>0.5664649500446709</v>
      </c>
      <c r="CA97" s="105">
        <v>142.74916741125708</v>
      </c>
      <c r="CB97" s="105">
        <v>0</v>
      </c>
      <c r="CC97" s="105">
        <v>0</v>
      </c>
      <c r="CD97" s="105">
        <v>0</v>
      </c>
      <c r="CE97" s="105">
        <v>0</v>
      </c>
      <c r="CF97" s="105">
        <v>0</v>
      </c>
      <c r="CG97" s="105">
        <v>0</v>
      </c>
      <c r="CH97" s="105">
        <v>0.22639817140757909</v>
      </c>
      <c r="CI97" s="105">
        <v>57.05233919470993</v>
      </c>
      <c r="CJ97" s="105">
        <v>0</v>
      </c>
      <c r="CK97" s="105">
        <v>0</v>
      </c>
      <c r="CL97" s="105">
        <v>1.8713850904670162</v>
      </c>
      <c r="CM97" s="105">
        <v>471.58904279768808</v>
      </c>
      <c r="CN97" s="105">
        <v>2.6797316485054883</v>
      </c>
      <c r="CO97" s="105">
        <v>675.29237542338308</v>
      </c>
      <c r="CP97" s="105">
        <v>1.6840241076159248</v>
      </c>
      <c r="CQ97" s="105">
        <v>424.37407511921305</v>
      </c>
      <c r="CR97" s="105">
        <v>0.94529120785528353</v>
      </c>
      <c r="CS97" s="105">
        <v>238.21338437953145</v>
      </c>
      <c r="CT97" s="105">
        <v>1.4796021510260242</v>
      </c>
      <c r="CU97" s="105">
        <v>372.85974205855808</v>
      </c>
    </row>
    <row r="98" spans="2:99" x14ac:dyDescent="0.2">
      <c r="C98" s="104" t="s">
        <v>264</v>
      </c>
      <c r="D98" s="105">
        <v>0</v>
      </c>
      <c r="E98" s="105">
        <v>0</v>
      </c>
      <c r="F98" s="105">
        <v>0</v>
      </c>
      <c r="G98" s="105">
        <v>0</v>
      </c>
      <c r="H98" s="105">
        <v>0</v>
      </c>
      <c r="I98" s="105">
        <v>0</v>
      </c>
      <c r="J98" s="105">
        <v>4.4220954160236037</v>
      </c>
      <c r="K98" s="105">
        <v>3597.8168304768042</v>
      </c>
      <c r="L98" s="105">
        <v>0.3351779194678538</v>
      </c>
      <c r="M98" s="105">
        <v>272.70075527904584</v>
      </c>
      <c r="N98" s="105">
        <v>2.0748030216879183</v>
      </c>
      <c r="O98" s="105">
        <v>1688.0597384452903</v>
      </c>
      <c r="P98" s="105">
        <v>3.4658620022825213</v>
      </c>
      <c r="Q98" s="105">
        <v>2819.8253250570592</v>
      </c>
      <c r="R98" s="105">
        <v>0</v>
      </c>
      <c r="S98" s="105">
        <v>0</v>
      </c>
      <c r="T98" s="105">
        <v>0</v>
      </c>
      <c r="U98" s="105">
        <v>0</v>
      </c>
      <c r="V98" s="105">
        <v>0.29670764821240087</v>
      </c>
      <c r="W98" s="105">
        <v>241.40134258560934</v>
      </c>
      <c r="X98" s="105">
        <v>2.5350370785311496</v>
      </c>
      <c r="Y98" s="105">
        <v>2062.5061670929435</v>
      </c>
      <c r="Z98" s="105">
        <v>2.7624729932464795</v>
      </c>
      <c r="AA98" s="105">
        <v>2247.5480273053358</v>
      </c>
      <c r="AB98" s="105">
        <v>0.66590606276448883</v>
      </c>
      <c r="AC98" s="105">
        <v>541.78117266518814</v>
      </c>
      <c r="AD98" s="105">
        <v>1.1709000539142596</v>
      </c>
      <c r="AE98" s="105">
        <v>952.64428386464158</v>
      </c>
      <c r="AF98" s="105">
        <v>2.2104137232421133</v>
      </c>
      <c r="AG98" s="105">
        <v>1798.3926052297834</v>
      </c>
      <c r="AH98" s="105">
        <v>0.68073170899632107</v>
      </c>
      <c r="AI98" s="105">
        <v>553.84331843940686</v>
      </c>
      <c r="AJ98" s="105">
        <v>0.84295969018015071</v>
      </c>
      <c r="AK98" s="105">
        <v>685.83200393057064</v>
      </c>
      <c r="AL98" s="105">
        <v>2.2701030691957873E-2</v>
      </c>
      <c r="AM98" s="105">
        <v>18.469558570976925</v>
      </c>
      <c r="AN98" s="105">
        <v>1.3147523822189306</v>
      </c>
      <c r="AO98" s="105">
        <v>1069.682538173322</v>
      </c>
      <c r="AP98" s="105">
        <v>1.2450672364160522</v>
      </c>
      <c r="AQ98" s="105">
        <v>1012.9867035481001</v>
      </c>
      <c r="AR98" s="105">
        <v>1.7601789378116024</v>
      </c>
      <c r="AS98" s="105">
        <v>1432.0815838035198</v>
      </c>
      <c r="AT98" s="105">
        <v>1.8247686046734239</v>
      </c>
      <c r="AU98" s="105">
        <v>1484.6317367622978</v>
      </c>
      <c r="AV98" s="105">
        <v>1.8669320354698165</v>
      </c>
      <c r="AW98" s="105">
        <v>1518.9359040582426</v>
      </c>
      <c r="AX98" s="105">
        <v>2.2447469917382556</v>
      </c>
      <c r="AY98" s="105">
        <v>1826.3261524782449</v>
      </c>
      <c r="AZ98" s="105">
        <v>0</v>
      </c>
      <c r="BA98" s="105">
        <v>0</v>
      </c>
      <c r="BB98" s="105">
        <v>1.6691618373192363</v>
      </c>
      <c r="BC98" s="105">
        <v>1358.0300708429306</v>
      </c>
      <c r="BD98" s="105">
        <v>3.0340282285857096</v>
      </c>
      <c r="BE98" s="105">
        <v>2468.4853667773336</v>
      </c>
      <c r="BF98" s="105">
        <v>1.036646696798001</v>
      </c>
      <c r="BG98" s="105">
        <v>843.41575251485369</v>
      </c>
      <c r="BH98" s="105">
        <v>2.8683695338240299E-2</v>
      </c>
      <c r="BI98" s="105">
        <v>23.337054527192308</v>
      </c>
      <c r="BJ98" s="105">
        <v>2.5678121141535959</v>
      </c>
      <c r="BK98" s="105">
        <v>2089.1719360753655</v>
      </c>
      <c r="BL98" s="105">
        <v>1.5162459153042249</v>
      </c>
      <c r="BM98" s="105">
        <v>1233.6176766915175</v>
      </c>
      <c r="BN98" s="105">
        <v>1.7733491448940242</v>
      </c>
      <c r="BO98" s="105">
        <v>1442.7968642857782</v>
      </c>
      <c r="BP98" s="105">
        <v>2.0981452748529756</v>
      </c>
      <c r="BQ98" s="105">
        <v>1707.0509956203809</v>
      </c>
      <c r="BR98" s="105">
        <v>2.0974885562897998</v>
      </c>
      <c r="BS98" s="105">
        <v>1706.5166893973812</v>
      </c>
      <c r="BT98" s="105">
        <v>2.3368982001713046</v>
      </c>
      <c r="BU98" s="105">
        <v>1901.3003756593735</v>
      </c>
      <c r="BV98" s="105">
        <v>1.5207272576448068</v>
      </c>
      <c r="BW98" s="105">
        <v>1237.2636968198149</v>
      </c>
      <c r="BX98" s="105">
        <v>0</v>
      </c>
      <c r="BY98" s="105">
        <v>0</v>
      </c>
      <c r="BZ98" s="105">
        <v>0.54380635204288408</v>
      </c>
      <c r="CA98" s="105">
        <v>442.44084802209051</v>
      </c>
      <c r="CB98" s="105">
        <v>0</v>
      </c>
      <c r="CC98" s="105">
        <v>0</v>
      </c>
      <c r="CD98" s="105">
        <v>0</v>
      </c>
      <c r="CE98" s="105">
        <v>0</v>
      </c>
      <c r="CF98" s="105">
        <v>0</v>
      </c>
      <c r="CG98" s="105">
        <v>0</v>
      </c>
      <c r="CH98" s="105">
        <v>0.21448247817560123</v>
      </c>
      <c r="CI98" s="105">
        <v>174.50294424366916</v>
      </c>
      <c r="CJ98" s="105">
        <v>0</v>
      </c>
      <c r="CK98" s="105">
        <v>0</v>
      </c>
      <c r="CL98" s="105">
        <v>1.6374619541586393</v>
      </c>
      <c r="CM98" s="105">
        <v>1332.2390459034689</v>
      </c>
      <c r="CN98" s="105">
        <v>2.5725423825652687</v>
      </c>
      <c r="CO98" s="105">
        <v>2093.0204824551029</v>
      </c>
      <c r="CP98" s="105">
        <v>1.8612898031544431</v>
      </c>
      <c r="CQ98" s="105">
        <v>1514.345383846455</v>
      </c>
      <c r="CR98" s="105">
        <v>0.94529120785528353</v>
      </c>
      <c r="CS98" s="105">
        <v>769.08892671105866</v>
      </c>
      <c r="CT98" s="105">
        <v>1.5782422944277592</v>
      </c>
      <c r="CU98" s="105">
        <v>1284.057930746425</v>
      </c>
    </row>
    <row r="99" spans="2:99" x14ac:dyDescent="0.2">
      <c r="C99" s="104" t="s">
        <v>265</v>
      </c>
      <c r="D99" s="105">
        <v>0</v>
      </c>
      <c r="E99" s="105">
        <v>0</v>
      </c>
      <c r="F99" s="105">
        <v>0</v>
      </c>
      <c r="G99" s="105">
        <v>0</v>
      </c>
      <c r="H99" s="105">
        <v>0</v>
      </c>
      <c r="I99" s="105">
        <v>0</v>
      </c>
      <c r="J99" s="105">
        <v>3.0954667912165226</v>
      </c>
      <c r="K99" s="105">
        <v>12020.316643652</v>
      </c>
      <c r="L99" s="105">
        <v>0.24774020134580499</v>
      </c>
      <c r="M99" s="105">
        <v>962.02474986602988</v>
      </c>
      <c r="N99" s="105">
        <v>1.9019027698805917</v>
      </c>
      <c r="O99" s="105">
        <v>7385.4688360003138</v>
      </c>
      <c r="P99" s="105">
        <v>2.5031225572040432</v>
      </c>
      <c r="Q99" s="105">
        <v>9720.1255141347392</v>
      </c>
      <c r="R99" s="105">
        <v>0</v>
      </c>
      <c r="S99" s="105">
        <v>0</v>
      </c>
      <c r="T99" s="105">
        <v>0</v>
      </c>
      <c r="U99" s="105">
        <v>0</v>
      </c>
      <c r="V99" s="105">
        <v>0.23736611856992068</v>
      </c>
      <c r="W99" s="105">
        <v>921.740111630716</v>
      </c>
      <c r="X99" s="105">
        <v>2.001345061998276</v>
      </c>
      <c r="Y99" s="105">
        <v>7771.6231447517048</v>
      </c>
      <c r="Z99" s="105">
        <v>2.2749777591441598</v>
      </c>
      <c r="AA99" s="105">
        <v>8834.1936343086018</v>
      </c>
      <c r="AB99" s="105">
        <v>0.55492171897040732</v>
      </c>
      <c r="AC99" s="105">
        <v>2154.8720191058856</v>
      </c>
      <c r="AD99" s="105">
        <v>0.99076158408129655</v>
      </c>
      <c r="AE99" s="105">
        <v>3847.3253833044905</v>
      </c>
      <c r="AF99" s="105">
        <v>1.8085203190162746</v>
      </c>
      <c r="AG99" s="105">
        <v>7022.8461028039974</v>
      </c>
      <c r="AH99" s="105">
        <v>0.50314952404075908</v>
      </c>
      <c r="AI99" s="105">
        <v>1953.8302317550756</v>
      </c>
      <c r="AJ99" s="105">
        <v>0.60880422068566431</v>
      </c>
      <c r="AK99" s="105">
        <v>2364.1085497665717</v>
      </c>
      <c r="AL99" s="105">
        <v>1.7921866335756216E-2</v>
      </c>
      <c r="AM99" s="105">
        <v>69.594191355008533</v>
      </c>
      <c r="AN99" s="105">
        <v>0.98606428666419799</v>
      </c>
      <c r="AO99" s="105">
        <v>3829.0848379744134</v>
      </c>
      <c r="AP99" s="105">
        <v>0.93380042731203927</v>
      </c>
      <c r="AQ99" s="105">
        <v>3626.1338193381107</v>
      </c>
      <c r="AR99" s="105">
        <v>1.2572706698654306</v>
      </c>
      <c r="AS99" s="105">
        <v>4882.2334652214395</v>
      </c>
      <c r="AT99" s="105">
        <v>1.5366472460407781</v>
      </c>
      <c r="AU99" s="105">
        <v>5967.1085858255492</v>
      </c>
      <c r="AV99" s="105">
        <v>1.3335228824784402</v>
      </c>
      <c r="AW99" s="105">
        <v>5178.3360572402789</v>
      </c>
      <c r="AX99" s="105">
        <v>1.7957975933906043</v>
      </c>
      <c r="AY99" s="105">
        <v>6973.4412146543946</v>
      </c>
      <c r="AZ99" s="105">
        <v>0</v>
      </c>
      <c r="BA99" s="105">
        <v>0</v>
      </c>
      <c r="BB99" s="105">
        <v>1.0621938964758775</v>
      </c>
      <c r="BC99" s="105">
        <v>4124.7113387951276</v>
      </c>
      <c r="BD99" s="105">
        <v>2.4272225828685681</v>
      </c>
      <c r="BE99" s="105">
        <v>9425.3907337952223</v>
      </c>
      <c r="BF99" s="105">
        <v>0.74046192628428642</v>
      </c>
      <c r="BG99" s="105">
        <v>2875.361752147141</v>
      </c>
      <c r="BH99" s="105">
        <v>1.9625686284059151E-2</v>
      </c>
      <c r="BI99" s="105">
        <v>76.210464978258486</v>
      </c>
      <c r="BJ99" s="105">
        <v>1.6615254856287975</v>
      </c>
      <c r="BK99" s="105">
        <v>6452.0357657937466</v>
      </c>
      <c r="BL99" s="105">
        <v>1.2525509735121858</v>
      </c>
      <c r="BM99" s="105">
        <v>4863.9059403425199</v>
      </c>
      <c r="BN99" s="105">
        <v>1.4408461802263945</v>
      </c>
      <c r="BO99" s="105">
        <v>5595.0938870551354</v>
      </c>
      <c r="BP99" s="105">
        <v>1.6564304801470859</v>
      </c>
      <c r="BQ99" s="105">
        <v>6432.250840507164</v>
      </c>
      <c r="BR99" s="105">
        <v>1.3679273193194346</v>
      </c>
      <c r="BS99" s="105">
        <v>5311.9353663812281</v>
      </c>
      <c r="BT99" s="105">
        <v>1.7526736501284785</v>
      </c>
      <c r="BU99" s="105">
        <v>6805.9823181789079</v>
      </c>
      <c r="BV99" s="105">
        <v>1.115199988939525</v>
      </c>
      <c r="BW99" s="105">
        <v>4330.5445970499632</v>
      </c>
      <c r="BX99" s="105">
        <v>0</v>
      </c>
      <c r="BY99" s="105">
        <v>0</v>
      </c>
      <c r="BZ99" s="105">
        <v>0.45317196003573673</v>
      </c>
      <c r="CA99" s="105">
        <v>1759.7573552107729</v>
      </c>
      <c r="CB99" s="105">
        <v>0</v>
      </c>
      <c r="CC99" s="105">
        <v>0</v>
      </c>
      <c r="CD99" s="105">
        <v>0</v>
      </c>
      <c r="CE99" s="105">
        <v>0</v>
      </c>
      <c r="CF99" s="105">
        <v>0</v>
      </c>
      <c r="CG99" s="105">
        <v>0</v>
      </c>
      <c r="CH99" s="105">
        <v>0.14298831878373416</v>
      </c>
      <c r="CI99" s="105">
        <v>555.25223950099644</v>
      </c>
      <c r="CJ99" s="105">
        <v>0</v>
      </c>
      <c r="CK99" s="105">
        <v>0</v>
      </c>
      <c r="CL99" s="105">
        <v>1.4035388178502621</v>
      </c>
      <c r="CM99" s="105">
        <v>5450.221937476138</v>
      </c>
      <c r="CN99" s="105">
        <v>1.8222175209837321</v>
      </c>
      <c r="CO99" s="105">
        <v>7076.0350774840281</v>
      </c>
      <c r="CP99" s="105">
        <v>1.5067584120774065</v>
      </c>
      <c r="CQ99" s="105">
        <v>5851.0442657789845</v>
      </c>
      <c r="CR99" s="105">
        <v>0.74272880617200843</v>
      </c>
      <c r="CS99" s="105">
        <v>2884.1645001271431</v>
      </c>
      <c r="CT99" s="105">
        <v>1.0850415774190845</v>
      </c>
      <c r="CU99" s="105">
        <v>4213.4334534337886</v>
      </c>
    </row>
    <row r="100" spans="2:99" x14ac:dyDescent="0.2">
      <c r="C100" s="104" t="s">
        <v>266</v>
      </c>
      <c r="D100" s="105">
        <v>0</v>
      </c>
      <c r="E100" s="105">
        <v>0</v>
      </c>
      <c r="F100" s="105">
        <v>0</v>
      </c>
      <c r="G100" s="105">
        <v>0</v>
      </c>
      <c r="H100" s="105">
        <v>0</v>
      </c>
      <c r="I100" s="105">
        <v>0</v>
      </c>
      <c r="J100" s="105">
        <v>3.9798858744212438</v>
      </c>
      <c r="K100" s="105">
        <v>2201.6728657298318</v>
      </c>
      <c r="L100" s="105">
        <v>0.29145906040682945</v>
      </c>
      <c r="M100" s="105">
        <v>161.23515221705804</v>
      </c>
      <c r="N100" s="105">
        <v>2.2477032734952447</v>
      </c>
      <c r="O100" s="105">
        <v>1243.4294508975693</v>
      </c>
      <c r="P100" s="105">
        <v>3.8509577803139123</v>
      </c>
      <c r="Q100" s="105">
        <v>2130.3498440696562</v>
      </c>
      <c r="R100" s="105">
        <v>0</v>
      </c>
      <c r="S100" s="105">
        <v>0</v>
      </c>
      <c r="T100" s="105">
        <v>0</v>
      </c>
      <c r="U100" s="105">
        <v>0</v>
      </c>
      <c r="V100" s="105">
        <v>0.27692713833157412</v>
      </c>
      <c r="W100" s="105">
        <v>153.19609292502679</v>
      </c>
      <c r="X100" s="105">
        <v>2.5350370785311496</v>
      </c>
      <c r="Y100" s="105">
        <v>1402.3825118434318</v>
      </c>
      <c r="Z100" s="105">
        <v>2.7624729932464795</v>
      </c>
      <c r="AA100" s="105">
        <v>1528.2000598639522</v>
      </c>
      <c r="AB100" s="105">
        <v>0.72139823466152952</v>
      </c>
      <c r="AC100" s="105">
        <v>399.0775034147581</v>
      </c>
      <c r="AD100" s="105">
        <v>1.2609692888307411</v>
      </c>
      <c r="AE100" s="105">
        <v>697.56821058116589</v>
      </c>
      <c r="AF100" s="105">
        <v>2.2104137232421133</v>
      </c>
      <c r="AG100" s="105">
        <v>1222.8008716975369</v>
      </c>
      <c r="AH100" s="105">
        <v>0.73992577064817522</v>
      </c>
      <c r="AI100" s="105">
        <v>409.32693632257048</v>
      </c>
      <c r="AJ100" s="105">
        <v>0.88979078407904788</v>
      </c>
      <c r="AK100" s="105">
        <v>492.23226175252921</v>
      </c>
      <c r="AL100" s="105">
        <v>2.2701030691957873E-2</v>
      </c>
      <c r="AM100" s="105">
        <v>12.558210178791095</v>
      </c>
      <c r="AN100" s="105">
        <v>1.4790964299962968</v>
      </c>
      <c r="AO100" s="105">
        <v>818.23614507395132</v>
      </c>
      <c r="AP100" s="105">
        <v>1.4525784424853945</v>
      </c>
      <c r="AQ100" s="105">
        <v>803.56639438292007</v>
      </c>
      <c r="AR100" s="105">
        <v>1.5925428484962121</v>
      </c>
      <c r="AS100" s="105">
        <v>880.9947037881044</v>
      </c>
      <c r="AT100" s="105">
        <v>1.9208090575509724</v>
      </c>
      <c r="AU100" s="105">
        <v>1062.5915706371977</v>
      </c>
      <c r="AV100" s="105">
        <v>1.8669320354698165</v>
      </c>
      <c r="AW100" s="105">
        <v>1032.7868020219023</v>
      </c>
      <c r="AX100" s="105">
        <v>2.3943967911874724</v>
      </c>
      <c r="AY100" s="105">
        <v>1324.5803048849095</v>
      </c>
      <c r="AZ100" s="105">
        <v>0</v>
      </c>
      <c r="BA100" s="105">
        <v>0</v>
      </c>
      <c r="BB100" s="105">
        <v>1.5174198521083964</v>
      </c>
      <c r="BC100" s="105">
        <v>839.43666218636474</v>
      </c>
      <c r="BD100" s="105">
        <v>3.2767504868725665</v>
      </c>
      <c r="BE100" s="105">
        <v>1812.6983693379036</v>
      </c>
      <c r="BF100" s="105">
        <v>0.96260050416957244</v>
      </c>
      <c r="BG100" s="105">
        <v>532.51059890660736</v>
      </c>
      <c r="BH100" s="105">
        <v>2.8683695338240299E-2</v>
      </c>
      <c r="BI100" s="105">
        <v>15.867820261114531</v>
      </c>
      <c r="BJ100" s="105">
        <v>2.7188598855743962</v>
      </c>
      <c r="BK100" s="105">
        <v>1504.0732886997557</v>
      </c>
      <c r="BL100" s="105">
        <v>1.5162459153042249</v>
      </c>
      <c r="BM100" s="105">
        <v>838.78724034629715</v>
      </c>
      <c r="BN100" s="105">
        <v>1.8841834664499004</v>
      </c>
      <c r="BO100" s="105">
        <v>1042.3302936400848</v>
      </c>
      <c r="BP100" s="105">
        <v>1.987716576176503</v>
      </c>
      <c r="BQ100" s="105">
        <v>1099.6048099408413</v>
      </c>
      <c r="BR100" s="105">
        <v>1.9150982470472084</v>
      </c>
      <c r="BS100" s="105">
        <v>1059.4323502665156</v>
      </c>
      <c r="BT100" s="105">
        <v>2.3368982001713046</v>
      </c>
      <c r="BU100" s="105">
        <v>1292.7720843347656</v>
      </c>
      <c r="BV100" s="105">
        <v>1.4193454404684864</v>
      </c>
      <c r="BW100" s="105">
        <v>785.1818976671666</v>
      </c>
      <c r="BX100" s="105">
        <v>0</v>
      </c>
      <c r="BY100" s="105">
        <v>0</v>
      </c>
      <c r="BZ100" s="105">
        <v>0.58912354804645772</v>
      </c>
      <c r="CA100" s="105">
        <v>325.90314677930036</v>
      </c>
      <c r="CB100" s="105">
        <v>0</v>
      </c>
      <c r="CC100" s="105">
        <v>0</v>
      </c>
      <c r="CD100" s="105">
        <v>0</v>
      </c>
      <c r="CE100" s="105">
        <v>0</v>
      </c>
      <c r="CF100" s="105">
        <v>0</v>
      </c>
      <c r="CG100" s="105">
        <v>0</v>
      </c>
      <c r="CH100" s="105">
        <v>0.22639817140757909</v>
      </c>
      <c r="CI100" s="105">
        <v>125.24346842267273</v>
      </c>
      <c r="CJ100" s="105">
        <v>0</v>
      </c>
      <c r="CK100" s="105">
        <v>0</v>
      </c>
      <c r="CL100" s="105">
        <v>1.8713850904670162</v>
      </c>
      <c r="CM100" s="105">
        <v>1035.2502320463532</v>
      </c>
      <c r="CN100" s="105">
        <v>2.8941101803859275</v>
      </c>
      <c r="CO100" s="105">
        <v>1601.0217517894948</v>
      </c>
      <c r="CP100" s="105">
        <v>1.7726569553851841</v>
      </c>
      <c r="CQ100" s="105">
        <v>980.63382771908368</v>
      </c>
      <c r="CR100" s="105">
        <v>0.94529120785528353</v>
      </c>
      <c r="CS100" s="105">
        <v>522.93509618554276</v>
      </c>
      <c r="CT100" s="105">
        <v>1.5782422944277592</v>
      </c>
      <c r="CU100" s="105">
        <v>873.08363727743631</v>
      </c>
    </row>
    <row r="101" spans="2:99" x14ac:dyDescent="0.2">
      <c r="C101" s="104" t="s">
        <v>267</v>
      </c>
      <c r="D101" s="105">
        <v>20.171052631578952</v>
      </c>
      <c r="E101" s="105">
        <v>17185.736842105267</v>
      </c>
      <c r="F101" s="105">
        <v>10.092165898617514</v>
      </c>
      <c r="G101" s="105">
        <v>8598.5253456221217</v>
      </c>
      <c r="H101" s="105">
        <v>12.372881355932206</v>
      </c>
      <c r="I101" s="105">
        <v>10541.69491525424</v>
      </c>
      <c r="J101" s="105">
        <v>15.783783783783788</v>
      </c>
      <c r="K101" s="105">
        <v>13447.783783783787</v>
      </c>
      <c r="L101" s="105">
        <v>21.413333333333338</v>
      </c>
      <c r="M101" s="105">
        <v>18244.160000000003</v>
      </c>
      <c r="N101" s="105">
        <v>9.783505154639176</v>
      </c>
      <c r="O101" s="105">
        <v>8335.5463917525776</v>
      </c>
      <c r="P101" s="105">
        <v>12.863436123348022</v>
      </c>
      <c r="Q101" s="105">
        <v>10959.647577092515</v>
      </c>
      <c r="R101" s="105">
        <v>12.663265306122451</v>
      </c>
      <c r="S101" s="105">
        <v>10789.102040816328</v>
      </c>
      <c r="T101" s="105">
        <v>12.586206896551728</v>
      </c>
      <c r="U101" s="105">
        <v>10723.448275862072</v>
      </c>
      <c r="V101" s="105">
        <v>11.967213114754101</v>
      </c>
      <c r="W101" s="105">
        <v>10196.065573770493</v>
      </c>
      <c r="X101" s="105">
        <v>15.796721311475414</v>
      </c>
      <c r="Y101" s="105">
        <v>13458.806557377053</v>
      </c>
      <c r="Z101" s="105">
        <v>15.411111111111115</v>
      </c>
      <c r="AA101" s="105">
        <v>13130.26666666667</v>
      </c>
      <c r="AB101" s="105">
        <v>14.254437869822489</v>
      </c>
      <c r="AC101" s="105">
        <v>12144.78106508876</v>
      </c>
      <c r="AD101" s="105">
        <v>11.680000000000003</v>
      </c>
      <c r="AE101" s="105">
        <v>9951.3600000000024</v>
      </c>
      <c r="AF101" s="105">
        <v>16.451707317073176</v>
      </c>
      <c r="AG101" s="105">
        <v>14016.854634146346</v>
      </c>
      <c r="AH101" s="105">
        <v>19.331481481481486</v>
      </c>
      <c r="AI101" s="105">
        <v>16470.422222222227</v>
      </c>
      <c r="AJ101" s="105">
        <v>18.055621301775155</v>
      </c>
      <c r="AK101" s="105">
        <v>15383.389349112431</v>
      </c>
      <c r="AL101" s="105">
        <v>19</v>
      </c>
      <c r="AM101" s="105">
        <v>16188</v>
      </c>
      <c r="AN101" s="105">
        <v>16</v>
      </c>
      <c r="AO101" s="105">
        <v>13632</v>
      </c>
      <c r="AP101" s="105">
        <v>9.2484848484848552</v>
      </c>
      <c r="AQ101" s="105">
        <v>7879.7090909090966</v>
      </c>
      <c r="AR101" s="105">
        <v>0</v>
      </c>
      <c r="AS101" s="105">
        <v>0</v>
      </c>
      <c r="AT101" s="105">
        <v>0</v>
      </c>
      <c r="AU101" s="105">
        <v>0</v>
      </c>
      <c r="AV101" s="105">
        <v>17.192651907677817</v>
      </c>
      <c r="AW101" s="105">
        <v>14648.1394253415</v>
      </c>
      <c r="AX101" s="105">
        <v>14</v>
      </c>
      <c r="AY101" s="105">
        <v>11928</v>
      </c>
      <c r="AZ101" s="105">
        <v>17.400000000000009</v>
      </c>
      <c r="BA101" s="105">
        <v>14824.800000000008</v>
      </c>
      <c r="BB101" s="105">
        <v>14.537068965517246</v>
      </c>
      <c r="BC101" s="105">
        <v>12385.582758620694</v>
      </c>
      <c r="BD101" s="105">
        <v>14.784810126582281</v>
      </c>
      <c r="BE101" s="105">
        <v>12596.658227848104</v>
      </c>
      <c r="BF101" s="105">
        <v>12.539877300613499</v>
      </c>
      <c r="BG101" s="105">
        <v>10683.975460122701</v>
      </c>
      <c r="BH101" s="105">
        <v>13.209523809523812</v>
      </c>
      <c r="BI101" s="105">
        <v>11254.514285714287</v>
      </c>
      <c r="BJ101" s="105">
        <v>11.763033175355453</v>
      </c>
      <c r="BK101" s="105">
        <v>10022.104265402846</v>
      </c>
      <c r="BL101" s="105">
        <v>17.342131979695434</v>
      </c>
      <c r="BM101" s="105">
        <v>14775.49644670051</v>
      </c>
      <c r="BN101" s="105">
        <v>13.651948051948054</v>
      </c>
      <c r="BO101" s="105">
        <v>11631.459740259741</v>
      </c>
      <c r="BP101" s="105">
        <v>12.152601156069364</v>
      </c>
      <c r="BQ101" s="105">
        <v>10354.016184971098</v>
      </c>
      <c r="BR101" s="105">
        <v>14.269683257918553</v>
      </c>
      <c r="BS101" s="105">
        <v>12157.770135746607</v>
      </c>
      <c r="BT101" s="105">
        <v>22.25180722891567</v>
      </c>
      <c r="BU101" s="105">
        <v>18958.53975903615</v>
      </c>
      <c r="BV101" s="105">
        <v>12.353846153846158</v>
      </c>
      <c r="BW101" s="105">
        <v>10525.476923076927</v>
      </c>
      <c r="BX101" s="105">
        <v>20.407734806629843</v>
      </c>
      <c r="BY101" s="105">
        <v>17387.390055248627</v>
      </c>
      <c r="BZ101" s="105">
        <v>18.894117647058831</v>
      </c>
      <c r="CA101" s="105">
        <v>16097.788235294123</v>
      </c>
      <c r="CB101" s="105">
        <v>13.023474178403758</v>
      </c>
      <c r="CC101" s="105">
        <v>11096.000000000002</v>
      </c>
      <c r="CD101" s="105">
        <v>12.574162679425841</v>
      </c>
      <c r="CE101" s="105">
        <v>10713.186602870817</v>
      </c>
      <c r="CF101" s="105">
        <v>10.379146919431282</v>
      </c>
      <c r="CG101" s="105">
        <v>8843.0331753554528</v>
      </c>
      <c r="CH101" s="105">
        <v>13.209523809523812</v>
      </c>
      <c r="CI101" s="105">
        <v>11254.514285714287</v>
      </c>
      <c r="CJ101" s="105">
        <v>15.546296296296299</v>
      </c>
      <c r="CK101" s="105">
        <v>13245.444444444447</v>
      </c>
      <c r="CL101" s="105">
        <v>16.300970873786412</v>
      </c>
      <c r="CM101" s="105">
        <v>13888.427184466023</v>
      </c>
      <c r="CN101" s="105">
        <v>14.600000000000003</v>
      </c>
      <c r="CO101" s="105">
        <v>12439.200000000003</v>
      </c>
      <c r="CP101" s="105">
        <v>19.405063291139243</v>
      </c>
      <c r="CQ101" s="105">
        <v>16533.113924050635</v>
      </c>
      <c r="CR101" s="105">
        <v>8.0423728813559343</v>
      </c>
      <c r="CS101" s="105">
        <v>6852.1016949152563</v>
      </c>
      <c r="CT101" s="105">
        <v>10.259459459459462</v>
      </c>
      <c r="CU101" s="105">
        <v>8741.0594594594622</v>
      </c>
    </row>
    <row r="102" spans="2:99" x14ac:dyDescent="0.2">
      <c r="C102" s="104" t="s">
        <v>268</v>
      </c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0</v>
      </c>
      <c r="J102" s="105">
        <v>4.4220954160236037</v>
      </c>
      <c r="K102" s="105">
        <v>270.63223946064454</v>
      </c>
      <c r="L102" s="105">
        <v>0.3060320134271709</v>
      </c>
      <c r="M102" s="105">
        <v>18.729159221742858</v>
      </c>
      <c r="N102" s="105">
        <v>2.2477032734952447</v>
      </c>
      <c r="O102" s="105">
        <v>137.55944033790897</v>
      </c>
      <c r="P102" s="105">
        <v>3.8509577803139123</v>
      </c>
      <c r="Q102" s="105">
        <v>235.67861615521142</v>
      </c>
      <c r="R102" s="105">
        <v>0</v>
      </c>
      <c r="S102" s="105">
        <v>0</v>
      </c>
      <c r="T102" s="105">
        <v>0</v>
      </c>
      <c r="U102" s="105">
        <v>0</v>
      </c>
      <c r="V102" s="105">
        <v>0.29670764821240087</v>
      </c>
      <c r="W102" s="105">
        <v>18.158508070598931</v>
      </c>
      <c r="X102" s="105">
        <v>2.6684600826643678</v>
      </c>
      <c r="Y102" s="105">
        <v>163.30975705905931</v>
      </c>
      <c r="Z102" s="105">
        <v>3.0874698159813589</v>
      </c>
      <c r="AA102" s="105">
        <v>188.95315273805915</v>
      </c>
      <c r="AB102" s="105">
        <v>0.77689040655857022</v>
      </c>
      <c r="AC102" s="105">
        <v>47.545692881384497</v>
      </c>
      <c r="AD102" s="105">
        <v>1.2609692888307411</v>
      </c>
      <c r="AE102" s="105">
        <v>77.171320476441352</v>
      </c>
      <c r="AF102" s="105">
        <v>2.4113604253550327</v>
      </c>
      <c r="AG102" s="105">
        <v>147.575258031728</v>
      </c>
      <c r="AH102" s="105">
        <v>0.82871686312595616</v>
      </c>
      <c r="AI102" s="105">
        <v>50.717472023308517</v>
      </c>
      <c r="AJ102" s="105">
        <v>0.84295969018015071</v>
      </c>
      <c r="AK102" s="105">
        <v>51.589133039025221</v>
      </c>
      <c r="AL102" s="105">
        <v>2.3895821781008287E-2</v>
      </c>
      <c r="AM102" s="105">
        <v>1.4624242929977072</v>
      </c>
      <c r="AN102" s="105">
        <v>1.3969244061076136</v>
      </c>
      <c r="AO102" s="105">
        <v>85.491773653785941</v>
      </c>
      <c r="AP102" s="105">
        <v>1.3488228394507231</v>
      </c>
      <c r="AQ102" s="105">
        <v>82.547957774384244</v>
      </c>
      <c r="AR102" s="105">
        <v>1.7601789378116024</v>
      </c>
      <c r="AS102" s="105">
        <v>107.72295099407006</v>
      </c>
      <c r="AT102" s="105">
        <v>2.1128899633060696</v>
      </c>
      <c r="AU102" s="105">
        <v>129.30886575433146</v>
      </c>
      <c r="AV102" s="105">
        <v>1.6891289844726911</v>
      </c>
      <c r="AW102" s="105">
        <v>103.37469384972869</v>
      </c>
      <c r="AX102" s="105">
        <v>2.2447469917382556</v>
      </c>
      <c r="AY102" s="105">
        <v>137.37851589438122</v>
      </c>
      <c r="AZ102" s="105">
        <v>0</v>
      </c>
      <c r="BA102" s="105">
        <v>0</v>
      </c>
      <c r="BB102" s="105">
        <v>1.5174198521083964</v>
      </c>
      <c r="BC102" s="105">
        <v>92.866094949033851</v>
      </c>
      <c r="BD102" s="105">
        <v>3.3981116160159952</v>
      </c>
      <c r="BE102" s="105">
        <v>207.96443090017888</v>
      </c>
      <c r="BF102" s="105">
        <v>0.96260050416957244</v>
      </c>
      <c r="BG102" s="105">
        <v>58.91115085517783</v>
      </c>
      <c r="BH102" s="105">
        <v>2.717402716254344E-2</v>
      </c>
      <c r="BI102" s="105">
        <v>1.6630504623476585</v>
      </c>
      <c r="BJ102" s="105">
        <v>2.5678121141535959</v>
      </c>
      <c r="BK102" s="105">
        <v>157.15010138620005</v>
      </c>
      <c r="BL102" s="105">
        <v>1.5821696507522347</v>
      </c>
      <c r="BM102" s="105">
        <v>96.828782626036755</v>
      </c>
      <c r="BN102" s="105">
        <v>1.7733491448940242</v>
      </c>
      <c r="BO102" s="105">
        <v>108.52896766751427</v>
      </c>
      <c r="BP102" s="105">
        <v>2.31900267220592</v>
      </c>
      <c r="BQ102" s="105">
        <v>141.9229635390023</v>
      </c>
      <c r="BR102" s="105">
        <v>2.0974885562897998</v>
      </c>
      <c r="BS102" s="105">
        <v>128.36629964493574</v>
      </c>
      <c r="BT102" s="105">
        <v>2.5705880201884352</v>
      </c>
      <c r="BU102" s="105">
        <v>157.31998683553223</v>
      </c>
      <c r="BV102" s="105">
        <v>1.6221090748211273</v>
      </c>
      <c r="BW102" s="105">
        <v>99.273075379052983</v>
      </c>
      <c r="BX102" s="105">
        <v>0</v>
      </c>
      <c r="BY102" s="105">
        <v>0</v>
      </c>
      <c r="BZ102" s="105">
        <v>0.63444074405003137</v>
      </c>
      <c r="CA102" s="105">
        <v>38.827773535861915</v>
      </c>
      <c r="CB102" s="105">
        <v>0</v>
      </c>
      <c r="CC102" s="105">
        <v>0</v>
      </c>
      <c r="CD102" s="105">
        <v>0</v>
      </c>
      <c r="CE102" s="105">
        <v>0</v>
      </c>
      <c r="CF102" s="105">
        <v>0</v>
      </c>
      <c r="CG102" s="105">
        <v>0</v>
      </c>
      <c r="CH102" s="105">
        <v>0.21448247817560123</v>
      </c>
      <c r="CI102" s="105">
        <v>13.126327664346794</v>
      </c>
      <c r="CJ102" s="105">
        <v>0</v>
      </c>
      <c r="CK102" s="105">
        <v>0</v>
      </c>
      <c r="CL102" s="105">
        <v>1.9493594692364753</v>
      </c>
      <c r="CM102" s="105">
        <v>119.30079951727228</v>
      </c>
      <c r="CN102" s="105">
        <v>2.5725423825652687</v>
      </c>
      <c r="CO102" s="105">
        <v>157.43959381299445</v>
      </c>
      <c r="CP102" s="105">
        <v>2.0385554986929617</v>
      </c>
      <c r="CQ102" s="105">
        <v>124.75959652000925</v>
      </c>
      <c r="CR102" s="105">
        <v>1.0128120084163752</v>
      </c>
      <c r="CS102" s="105">
        <v>61.98409491508216</v>
      </c>
      <c r="CT102" s="105">
        <v>1.4796021510260242</v>
      </c>
      <c r="CU102" s="105">
        <v>90.551651642792677</v>
      </c>
    </row>
    <row r="103" spans="2:99" x14ac:dyDescent="0.2">
      <c r="C103" s="104" t="s">
        <v>269</v>
      </c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4.864304957625964</v>
      </c>
      <c r="K103" s="105">
        <v>607.06525871172028</v>
      </c>
      <c r="L103" s="105">
        <v>0.3351779194678538</v>
      </c>
      <c r="M103" s="105">
        <v>41.830204349588151</v>
      </c>
      <c r="N103" s="105">
        <v>2.4206035253025711</v>
      </c>
      <c r="O103" s="105">
        <v>302.09131995776085</v>
      </c>
      <c r="P103" s="105">
        <v>3.6584098912982168</v>
      </c>
      <c r="Q103" s="105">
        <v>456.56955443401745</v>
      </c>
      <c r="R103" s="105">
        <v>0</v>
      </c>
      <c r="S103" s="105">
        <v>0</v>
      </c>
      <c r="T103" s="105">
        <v>0</v>
      </c>
      <c r="U103" s="105">
        <v>0</v>
      </c>
      <c r="V103" s="105">
        <v>0.31648815809322756</v>
      </c>
      <c r="W103" s="105">
        <v>39.497722130034795</v>
      </c>
      <c r="X103" s="105">
        <v>2.8018830867975861</v>
      </c>
      <c r="Y103" s="105">
        <v>349.67500923233877</v>
      </c>
      <c r="Z103" s="105">
        <v>3.2499682273487998</v>
      </c>
      <c r="AA103" s="105">
        <v>405.59603477313021</v>
      </c>
      <c r="AB103" s="105">
        <v>0.83238257845561103</v>
      </c>
      <c r="AC103" s="105">
        <v>103.88134579126026</v>
      </c>
      <c r="AD103" s="105">
        <v>1.3510385237472227</v>
      </c>
      <c r="AE103" s="105">
        <v>168.60960776365337</v>
      </c>
      <c r="AF103" s="105">
        <v>2.5118337764114926</v>
      </c>
      <c r="AG103" s="105">
        <v>313.47685529615427</v>
      </c>
      <c r="AH103" s="105">
        <v>0.71032873982224809</v>
      </c>
      <c r="AI103" s="105">
        <v>88.649026729816555</v>
      </c>
      <c r="AJ103" s="105">
        <v>0.93662187797794516</v>
      </c>
      <c r="AK103" s="105">
        <v>116.89041037164755</v>
      </c>
      <c r="AL103" s="105">
        <v>2.2701030691957873E-2</v>
      </c>
      <c r="AM103" s="105">
        <v>2.8330886303563427</v>
      </c>
      <c r="AN103" s="105">
        <v>1.4790964299962968</v>
      </c>
      <c r="AO103" s="105">
        <v>184.59123446353783</v>
      </c>
      <c r="AP103" s="105">
        <v>1.4525784424853945</v>
      </c>
      <c r="AQ103" s="105">
        <v>181.28178962217723</v>
      </c>
      <c r="AR103" s="105">
        <v>1.8439969824692979</v>
      </c>
      <c r="AS103" s="105">
        <v>230.13082341216838</v>
      </c>
      <c r="AT103" s="105">
        <v>2.2089304161836183</v>
      </c>
      <c r="AU103" s="105">
        <v>275.67451593971555</v>
      </c>
      <c r="AV103" s="105">
        <v>1.955833560968379</v>
      </c>
      <c r="AW103" s="105">
        <v>244.08802840885369</v>
      </c>
      <c r="AX103" s="105">
        <v>2.5440465906366896</v>
      </c>
      <c r="AY103" s="105">
        <v>317.49701451145887</v>
      </c>
      <c r="AZ103" s="105">
        <v>0</v>
      </c>
      <c r="BA103" s="105">
        <v>0</v>
      </c>
      <c r="BB103" s="105">
        <v>1.745032829924656</v>
      </c>
      <c r="BC103" s="105">
        <v>217.78009717459707</v>
      </c>
      <c r="BD103" s="105">
        <v>3.1553893577291383</v>
      </c>
      <c r="BE103" s="105">
        <v>393.79259184459647</v>
      </c>
      <c r="BF103" s="105">
        <v>1.1106928894264296</v>
      </c>
      <c r="BG103" s="105">
        <v>138.61447260041842</v>
      </c>
      <c r="BH103" s="105">
        <v>3.1703031689634016E-2</v>
      </c>
      <c r="BI103" s="105">
        <v>3.9565383548663253</v>
      </c>
      <c r="BJ103" s="105">
        <v>2.869907656995196</v>
      </c>
      <c r="BK103" s="105">
        <v>358.16447559300047</v>
      </c>
      <c r="BL103" s="105">
        <v>1.7140171216482543</v>
      </c>
      <c r="BM103" s="105">
        <v>213.90933678170214</v>
      </c>
      <c r="BN103" s="105">
        <v>1.8841834664499004</v>
      </c>
      <c r="BO103" s="105">
        <v>235.14609661294756</v>
      </c>
      <c r="BP103" s="105">
        <v>1.987716576176503</v>
      </c>
      <c r="BQ103" s="105">
        <v>248.06702870682756</v>
      </c>
      <c r="BR103" s="105">
        <v>2.0974885562897998</v>
      </c>
      <c r="BS103" s="105">
        <v>261.766571824967</v>
      </c>
      <c r="BT103" s="105">
        <v>2.5705880201884352</v>
      </c>
      <c r="BU103" s="105">
        <v>320.80938491951673</v>
      </c>
      <c r="BV103" s="105">
        <v>1.7234908919974479</v>
      </c>
      <c r="BW103" s="105">
        <v>215.09166332128149</v>
      </c>
      <c r="BX103" s="105">
        <v>0</v>
      </c>
      <c r="BY103" s="105">
        <v>0</v>
      </c>
      <c r="BZ103" s="105">
        <v>0.58912354804645772</v>
      </c>
      <c r="CA103" s="105">
        <v>73.522618796197918</v>
      </c>
      <c r="CB103" s="105">
        <v>0</v>
      </c>
      <c r="CC103" s="105">
        <v>0</v>
      </c>
      <c r="CD103" s="105">
        <v>0</v>
      </c>
      <c r="CE103" s="105">
        <v>0</v>
      </c>
      <c r="CF103" s="105">
        <v>0</v>
      </c>
      <c r="CG103" s="105">
        <v>0</v>
      </c>
      <c r="CH103" s="105">
        <v>0.22639817140757909</v>
      </c>
      <c r="CI103" s="105">
        <v>28.25449179166587</v>
      </c>
      <c r="CJ103" s="105">
        <v>0</v>
      </c>
      <c r="CK103" s="105">
        <v>0</v>
      </c>
      <c r="CL103" s="105">
        <v>1.9493594692364753</v>
      </c>
      <c r="CM103" s="105">
        <v>243.2800617607121</v>
      </c>
      <c r="CN103" s="105">
        <v>2.7869209144457074</v>
      </c>
      <c r="CO103" s="105">
        <v>347.8077301228243</v>
      </c>
      <c r="CP103" s="105">
        <v>2.127188346462221</v>
      </c>
      <c r="CQ103" s="105">
        <v>265.47310563848515</v>
      </c>
      <c r="CR103" s="105">
        <v>0.87777040729419176</v>
      </c>
      <c r="CS103" s="105">
        <v>109.54574683031512</v>
      </c>
      <c r="CT103" s="105">
        <v>1.5782422944277592</v>
      </c>
      <c r="CU103" s="105">
        <v>196.96463834458436</v>
      </c>
    </row>
    <row r="104" spans="2:99" x14ac:dyDescent="0.2">
      <c r="C104" s="104" t="s">
        <v>270</v>
      </c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4.4220954160236037</v>
      </c>
      <c r="K104" s="105">
        <v>1050.6898708472081</v>
      </c>
      <c r="L104" s="105">
        <v>0.3351779194678538</v>
      </c>
      <c r="M104" s="105">
        <v>79.638273665562068</v>
      </c>
      <c r="N104" s="105">
        <v>2.4206035253025711</v>
      </c>
      <c r="O104" s="105">
        <v>575.13539761189088</v>
      </c>
      <c r="P104" s="105">
        <v>3.6584098912982168</v>
      </c>
      <c r="Q104" s="105">
        <v>869.23819017245626</v>
      </c>
      <c r="R104" s="105">
        <v>0</v>
      </c>
      <c r="S104" s="105">
        <v>0</v>
      </c>
      <c r="T104" s="105">
        <v>0</v>
      </c>
      <c r="U104" s="105">
        <v>0</v>
      </c>
      <c r="V104" s="105">
        <v>0.31648815809322756</v>
      </c>
      <c r="W104" s="105">
        <v>75.197586362950872</v>
      </c>
      <c r="X104" s="105">
        <v>2.5350370785311496</v>
      </c>
      <c r="Y104" s="105">
        <v>602.32480985900111</v>
      </c>
      <c r="Z104" s="105">
        <v>2.7624729932464795</v>
      </c>
      <c r="AA104" s="105">
        <v>656.3635831953635</v>
      </c>
      <c r="AB104" s="105">
        <v>0.88787475035265184</v>
      </c>
      <c r="AC104" s="105">
        <v>210.95904068379008</v>
      </c>
      <c r="AD104" s="105">
        <v>1.3510385237472227</v>
      </c>
      <c r="AE104" s="105">
        <v>321.0067532423401</v>
      </c>
      <c r="AF104" s="105">
        <v>2.4113604253550327</v>
      </c>
      <c r="AG104" s="105">
        <v>572.93923706435578</v>
      </c>
      <c r="AH104" s="105">
        <v>0.79911983230002914</v>
      </c>
      <c r="AI104" s="105">
        <v>189.87087215448693</v>
      </c>
      <c r="AJ104" s="105">
        <v>0.84295969018015071</v>
      </c>
      <c r="AK104" s="105">
        <v>200.28722238680379</v>
      </c>
      <c r="AL104" s="105">
        <v>2.3895821781008287E-2</v>
      </c>
      <c r="AM104" s="105">
        <v>5.6776472551675692</v>
      </c>
      <c r="AN104" s="105">
        <v>1.3969244061076136</v>
      </c>
      <c r="AO104" s="105">
        <v>331.90923889116897</v>
      </c>
      <c r="AP104" s="105">
        <v>1.5563340455200654</v>
      </c>
      <c r="AQ104" s="105">
        <v>369.78496921556751</v>
      </c>
      <c r="AR104" s="105">
        <v>1.5925428484962121</v>
      </c>
      <c r="AS104" s="105">
        <v>378.38818080269999</v>
      </c>
      <c r="AT104" s="105">
        <v>1.8247686046734239</v>
      </c>
      <c r="AU104" s="105">
        <v>433.5650204704055</v>
      </c>
      <c r="AV104" s="105">
        <v>1.8669320354698165</v>
      </c>
      <c r="AW104" s="105">
        <v>443.58305162762838</v>
      </c>
      <c r="AX104" s="105">
        <v>2.3943967911874724</v>
      </c>
      <c r="AY104" s="105">
        <v>568.90867758614343</v>
      </c>
      <c r="AZ104" s="105">
        <v>0</v>
      </c>
      <c r="BA104" s="105">
        <v>0</v>
      </c>
      <c r="BB104" s="105">
        <v>1.5932908447138163</v>
      </c>
      <c r="BC104" s="105">
        <v>378.56590470400278</v>
      </c>
      <c r="BD104" s="105">
        <v>3.3981116160159952</v>
      </c>
      <c r="BE104" s="105">
        <v>807.3913199654005</v>
      </c>
      <c r="BF104" s="105">
        <v>1.1106928894264296</v>
      </c>
      <c r="BG104" s="105">
        <v>263.90063052771967</v>
      </c>
      <c r="BH104" s="105">
        <v>2.717402716254344E-2</v>
      </c>
      <c r="BI104" s="105">
        <v>6.4565488538203217</v>
      </c>
      <c r="BJ104" s="105">
        <v>2.2657165713119967</v>
      </c>
      <c r="BK104" s="105">
        <v>538.33425734373043</v>
      </c>
      <c r="BL104" s="105">
        <v>1.5821696507522347</v>
      </c>
      <c r="BM104" s="105">
        <v>375.92350901873095</v>
      </c>
      <c r="BN104" s="105">
        <v>1.9950177880057771</v>
      </c>
      <c r="BO104" s="105">
        <v>474.01622643017265</v>
      </c>
      <c r="BP104" s="105">
        <v>2.0981452748529756</v>
      </c>
      <c r="BQ104" s="105">
        <v>498.51931730506698</v>
      </c>
      <c r="BR104" s="105">
        <v>2.0974885562897998</v>
      </c>
      <c r="BS104" s="105">
        <v>498.36328097445642</v>
      </c>
      <c r="BT104" s="105">
        <v>2.5705880201884352</v>
      </c>
      <c r="BU104" s="105">
        <v>610.7717135967722</v>
      </c>
      <c r="BV104" s="105">
        <v>1.6221090748211273</v>
      </c>
      <c r="BW104" s="105">
        <v>385.41311617749983</v>
      </c>
      <c r="BX104" s="105">
        <v>0</v>
      </c>
      <c r="BY104" s="105">
        <v>0</v>
      </c>
      <c r="BZ104" s="105">
        <v>0.58912354804645772</v>
      </c>
      <c r="CA104" s="105">
        <v>139.97575501583836</v>
      </c>
      <c r="CB104" s="105">
        <v>0</v>
      </c>
      <c r="CC104" s="105">
        <v>0</v>
      </c>
      <c r="CD104" s="105">
        <v>0</v>
      </c>
      <c r="CE104" s="105">
        <v>0</v>
      </c>
      <c r="CF104" s="105">
        <v>0</v>
      </c>
      <c r="CG104" s="105">
        <v>0</v>
      </c>
      <c r="CH104" s="105">
        <v>0.22639817140757909</v>
      </c>
      <c r="CI104" s="105">
        <v>53.792205526440789</v>
      </c>
      <c r="CJ104" s="105">
        <v>0</v>
      </c>
      <c r="CK104" s="105">
        <v>0</v>
      </c>
      <c r="CL104" s="105">
        <v>2.0273338480059344</v>
      </c>
      <c r="CM104" s="105">
        <v>481.69452228621003</v>
      </c>
      <c r="CN104" s="105">
        <v>2.7869209144457074</v>
      </c>
      <c r="CO104" s="105">
        <v>662.17240927230011</v>
      </c>
      <c r="CP104" s="105">
        <v>2.0385554986929617</v>
      </c>
      <c r="CQ104" s="105">
        <v>484.36078648944772</v>
      </c>
      <c r="CR104" s="105">
        <v>1.0128120084163752</v>
      </c>
      <c r="CS104" s="105">
        <v>240.64413319973073</v>
      </c>
      <c r="CT104" s="105">
        <v>1.3809620076242894</v>
      </c>
      <c r="CU104" s="105">
        <v>328.11657301153116</v>
      </c>
    </row>
    <row r="105" spans="2:99" x14ac:dyDescent="0.2">
      <c r="C105" s="104" t="s">
        <v>271</v>
      </c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4.2009906452224239</v>
      </c>
      <c r="K105" s="105">
        <v>725.93118349443478</v>
      </c>
      <c r="L105" s="105">
        <v>0.29145906040682945</v>
      </c>
      <c r="M105" s="105">
        <v>50.364125638300123</v>
      </c>
      <c r="N105" s="105">
        <v>2.4206035253025711</v>
      </c>
      <c r="O105" s="105">
        <v>418.28028917228426</v>
      </c>
      <c r="P105" s="105">
        <v>3.4658620022825213</v>
      </c>
      <c r="Q105" s="105">
        <v>598.90095399441964</v>
      </c>
      <c r="R105" s="105">
        <v>0</v>
      </c>
      <c r="S105" s="105">
        <v>0</v>
      </c>
      <c r="T105" s="105">
        <v>0</v>
      </c>
      <c r="U105" s="105">
        <v>0</v>
      </c>
      <c r="V105" s="105">
        <v>0.3362686679740543</v>
      </c>
      <c r="W105" s="105">
        <v>58.107225825916579</v>
      </c>
      <c r="X105" s="105">
        <v>2.8018830867975861</v>
      </c>
      <c r="Y105" s="105">
        <v>484.16539739862282</v>
      </c>
      <c r="Z105" s="105">
        <v>3.0874698159813589</v>
      </c>
      <c r="AA105" s="105">
        <v>533.51478420157878</v>
      </c>
      <c r="AB105" s="105">
        <v>0.77689040655857022</v>
      </c>
      <c r="AC105" s="105">
        <v>134.24666225332092</v>
      </c>
      <c r="AD105" s="105">
        <v>1.2609692888307411</v>
      </c>
      <c r="AE105" s="105">
        <v>217.89549310995204</v>
      </c>
      <c r="AF105" s="105">
        <v>2.2104137232421133</v>
      </c>
      <c r="AG105" s="105">
        <v>381.95949137623711</v>
      </c>
      <c r="AH105" s="105">
        <v>0.71032873982224809</v>
      </c>
      <c r="AI105" s="105">
        <v>122.74480624128445</v>
      </c>
      <c r="AJ105" s="105">
        <v>0.84295969018015071</v>
      </c>
      <c r="AK105" s="105">
        <v>145.66343446313002</v>
      </c>
      <c r="AL105" s="105">
        <v>2.2701030691957873E-2</v>
      </c>
      <c r="AM105" s="105">
        <v>3.9227381035703202</v>
      </c>
      <c r="AN105" s="105">
        <v>1.3147523822189306</v>
      </c>
      <c r="AO105" s="105">
        <v>227.18921164743119</v>
      </c>
      <c r="AP105" s="105">
        <v>1.3488228394507231</v>
      </c>
      <c r="AQ105" s="105">
        <v>233.07658665708493</v>
      </c>
      <c r="AR105" s="105">
        <v>1.7601789378116024</v>
      </c>
      <c r="AS105" s="105">
        <v>304.15892045384487</v>
      </c>
      <c r="AT105" s="105">
        <v>2.2089304161836183</v>
      </c>
      <c r="AU105" s="105">
        <v>381.70317591652918</v>
      </c>
      <c r="AV105" s="105">
        <v>1.955833560968379</v>
      </c>
      <c r="AW105" s="105">
        <v>337.96803933533585</v>
      </c>
      <c r="AX105" s="105">
        <v>2.5440465906366896</v>
      </c>
      <c r="AY105" s="105">
        <v>439.61125086201992</v>
      </c>
      <c r="AZ105" s="105">
        <v>0</v>
      </c>
      <c r="BA105" s="105">
        <v>0</v>
      </c>
      <c r="BB105" s="105">
        <v>1.820903822530076</v>
      </c>
      <c r="BC105" s="105">
        <v>314.65218053319711</v>
      </c>
      <c r="BD105" s="105">
        <v>3.3981116160159952</v>
      </c>
      <c r="BE105" s="105">
        <v>587.19368724756396</v>
      </c>
      <c r="BF105" s="105">
        <v>1.1106928894264296</v>
      </c>
      <c r="BG105" s="105">
        <v>191.92773129288702</v>
      </c>
      <c r="BH105" s="105">
        <v>2.8683695338240299E-2</v>
      </c>
      <c r="BI105" s="105">
        <v>4.9565425544479229</v>
      </c>
      <c r="BJ105" s="105">
        <v>2.5678121141535959</v>
      </c>
      <c r="BK105" s="105">
        <v>443.71793332574134</v>
      </c>
      <c r="BL105" s="105">
        <v>1.845864592544274</v>
      </c>
      <c r="BM105" s="105">
        <v>318.9654015916505</v>
      </c>
      <c r="BN105" s="105">
        <v>1.9950177880057771</v>
      </c>
      <c r="BO105" s="105">
        <v>344.73907376739822</v>
      </c>
      <c r="BP105" s="105">
        <v>1.8772878775000306</v>
      </c>
      <c r="BQ105" s="105">
        <v>324.39534523200524</v>
      </c>
      <c r="BR105" s="105">
        <v>2.0062934016685041</v>
      </c>
      <c r="BS105" s="105">
        <v>346.68749980831745</v>
      </c>
      <c r="BT105" s="105">
        <v>2.5705880201884352</v>
      </c>
      <c r="BU105" s="105">
        <v>444.19760988856154</v>
      </c>
      <c r="BV105" s="105">
        <v>1.7234908919974479</v>
      </c>
      <c r="BW105" s="105">
        <v>297.81922613715898</v>
      </c>
      <c r="BX105" s="105">
        <v>0</v>
      </c>
      <c r="BY105" s="105">
        <v>0</v>
      </c>
      <c r="BZ105" s="105">
        <v>0.58912354804645772</v>
      </c>
      <c r="CA105" s="105">
        <v>101.80054910242788</v>
      </c>
      <c r="CB105" s="105">
        <v>0</v>
      </c>
      <c r="CC105" s="105">
        <v>0</v>
      </c>
      <c r="CD105" s="105">
        <v>0</v>
      </c>
      <c r="CE105" s="105">
        <v>0</v>
      </c>
      <c r="CF105" s="105">
        <v>0</v>
      </c>
      <c r="CG105" s="105">
        <v>0</v>
      </c>
      <c r="CH105" s="105">
        <v>0.22639817140757909</v>
      </c>
      <c r="CI105" s="105">
        <v>39.121604019229665</v>
      </c>
      <c r="CJ105" s="105">
        <v>0</v>
      </c>
      <c r="CK105" s="105">
        <v>0</v>
      </c>
      <c r="CL105" s="105">
        <v>1.8713850904670162</v>
      </c>
      <c r="CM105" s="105">
        <v>323.37534363270038</v>
      </c>
      <c r="CN105" s="105">
        <v>2.5725423825652687</v>
      </c>
      <c r="CO105" s="105">
        <v>444.53532370727839</v>
      </c>
      <c r="CP105" s="105">
        <v>1.8612898031544431</v>
      </c>
      <c r="CQ105" s="105">
        <v>321.63087798508775</v>
      </c>
      <c r="CR105" s="105">
        <v>0.94529120785528353</v>
      </c>
      <c r="CS105" s="105">
        <v>163.34632071739298</v>
      </c>
      <c r="CT105" s="105">
        <v>1.5782422944277592</v>
      </c>
      <c r="CU105" s="105">
        <v>272.72026847711675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262.71565360803146</v>
      </c>
      <c r="E109" s="105">
        <f>SUM(L$6:L$19)+SUM(N$6:N$19)+SUM(P$6:P$19)+SUM(R$6:R$19)</f>
        <v>241.71364248622027</v>
      </c>
      <c r="F109" s="105">
        <f>SUM(T$6:T$19)+SUM(V$6:V$19)+SUM(X$6:X$19)+SUM(Z$6:Z$19)</f>
        <v>283.96419437026719</v>
      </c>
      <c r="G109" s="105">
        <f>SUM(AB$6:AB$19)+SUM(AD$6:AD$19)+SUM(AF$6:AF$19)+SUM(AH$6:AH$19)</f>
        <v>118.4182005384032</v>
      </c>
      <c r="H109" s="105">
        <f>SUM(AJ$6:AJ$19)+SUM(AL$6:AL$19)+SUM(AN$6:AN$19)+SUM(AP$6:AP$19)</f>
        <v>217.16476786643665</v>
      </c>
      <c r="I109" s="105">
        <f>SUM(AR$6:AR$19)+SUM(AT$6:AT$19)+SUM(AV$6:AV$19)+SUM(AX$6:AX$19)</f>
        <v>161.43668023165444</v>
      </c>
      <c r="J109" s="105">
        <f>SUM(AZ$6:AZ$19)+SUM(BB$6:BB$19)+SUM(BD$6:BD$19)+SUM(BF$6:BF$19)</f>
        <v>200.74068557072604</v>
      </c>
      <c r="K109" s="105">
        <f>SUM(BH$6:BH$19)+SUM(BJ$6:BJ$19)+SUM(BL$6:BL$19)+SUM(BN$6:BN$19)</f>
        <v>253.73122606010284</v>
      </c>
      <c r="L109" s="105">
        <f>SUM(BP$6:BP$19)+SUM(BR$6:BR$19)+SUM(BT$6:BT$19)+SUM(BV$6:BV$19)</f>
        <v>101.37811310484152</v>
      </c>
      <c r="M109" s="105">
        <f>SUM(BX$6:BX$19)+SUM(BZ$6:BZ$19)+SUM(CB$6:CB$19)+SUM(CD$6:CD$19)</f>
        <v>164.30304110126511</v>
      </c>
      <c r="N109" s="105">
        <f>SUM(CF$6:CF$19)+SUM(CH$6:CH$19)+SUM(CJ$6:CJ$19)+SUM(CL$6:CL$19)</f>
        <v>216.81727666756007</v>
      </c>
      <c r="O109" s="105">
        <f>SUM(CN$6:CN$19)+SUM(CP$6:CP$19)+SUM(CR$6:CR$19)+SUM(CT$6:CT$19)</f>
        <v>290.54660062421232</v>
      </c>
    </row>
    <row r="110" spans="2:99" x14ac:dyDescent="0.2">
      <c r="C110" s="104" t="s">
        <v>127</v>
      </c>
      <c r="D110" s="105">
        <f>SUM(D$20:D$36)+SUM(F$20:F$36)+SUM(H$20:H$36)+SUM(J$20:J$36)</f>
        <v>530.85208570825682</v>
      </c>
      <c r="E110" s="105">
        <f>SUM(L$20:L$36)+SUM(N$20:N$36)+SUM(P$20:P$36)+SUM(R$20:R$36)</f>
        <v>758.40473685442794</v>
      </c>
      <c r="F110" s="105">
        <f>SUM(T$20:T$36)+SUM(V$20:V$36)+SUM(X$20:X$36)+SUM(Z$20:Z$36)</f>
        <v>658.16447649541203</v>
      </c>
      <c r="G110" s="105">
        <f>SUM(AB$20:AB$36)+SUM(AD$20:AD$36)+SUM(AF$20:AF$36)+SUM(AH$20:AH$36)</f>
        <v>500.97015782055689</v>
      </c>
      <c r="H110" s="105">
        <f>SUM(AJ$20:AJ$36)+SUM(AL$20:AL$36)+SUM(AN$20:AN$36)+SUM(AP$20:AP$36)</f>
        <v>487.32700766443349</v>
      </c>
      <c r="I110" s="105">
        <f>SUM(AR$20:AR$36)+SUM(AT$20:AT$36)+SUM(AV$20:AV$36)+SUM(AX$20:AX$36)</f>
        <v>511.13025829881428</v>
      </c>
      <c r="J110" s="105">
        <f>SUM(AZ$20:AZ$36)+SUM(BB$20:BB$36)+SUM(BD$20:BD$36)+SUM(BF$20:BF$36)</f>
        <v>639.06882946444739</v>
      </c>
      <c r="K110" s="105">
        <f>SUM(BH$20:BH$36)+SUM(BJ$20:BJ$36)+SUM(BL$20:BL$36)+SUM(BN$20:BN$36)</f>
        <v>774.82934343456043</v>
      </c>
      <c r="L110" s="105">
        <f>SUM(BP$20:BP$36)+SUM(BR$20:BR$36)+SUM(BT$20:BT$36)+SUM(BV$20:BV$36)</f>
        <v>391.07653637153851</v>
      </c>
      <c r="M110" s="105">
        <f>SUM(BX$20:BX$36)+SUM(BZ$20:BZ$36)+SUM(CB$20:CB$36)+SUM(CD$20:CD$36)</f>
        <v>417.05086435816077</v>
      </c>
      <c r="N110" s="105">
        <f>SUM(CF$20:CF$36)+SUM(CH$20:CH$36)+SUM(CJ$20:CJ$36)+SUM(CL$20:CL$36)</f>
        <v>634.13887200355498</v>
      </c>
      <c r="O110" s="105">
        <f>SUM(CN$20:CN$36)+SUM(CP$20:CP$36)+SUM(CR$20:CR$36)+SUM(CT$20:CT$36)</f>
        <v>768.59166975839003</v>
      </c>
    </row>
    <row r="111" spans="2:99" x14ac:dyDescent="0.2">
      <c r="C111" s="104" t="s">
        <v>128</v>
      </c>
      <c r="D111" s="105">
        <f>SUM(D$37:D$48)+SUM(F$37:F$48)+SUM(H$37:H$48)+SUM(J$37:J$48)</f>
        <v>226.53129672714817</v>
      </c>
      <c r="E111" s="105">
        <f>SUM(L$37:L$48)+SUM(N$37:N$48)+SUM(P$37:P$48)+SUM(R$37:R$48)</f>
        <v>292.39199815978969</v>
      </c>
      <c r="F111" s="105">
        <f>SUM(T$37:T$48)+SUM(V$37:V$48)+SUM(X$37:X$48)+SUM(Z$37:Z$48)</f>
        <v>273.20327628471387</v>
      </c>
      <c r="G111" s="105">
        <f>SUM(AB$37:AB$48)+SUM(AD$37:AD$48)+SUM(AF$37:AF$48)+SUM(AH$37:AH$48)</f>
        <v>175.33731007788603</v>
      </c>
      <c r="H111" s="105">
        <f>SUM(AJ$37:AJ$48)+SUM(AL$37:AL$48)+SUM(AN$37:AN$48)+SUM(AP$37:AP$48)</f>
        <v>212.29771409004866</v>
      </c>
      <c r="I111" s="105">
        <f>SUM(AR$37:AR$48)+SUM(AT$37:AT$48)+SUM(AV$37:AV$48)+SUM(AX$37:AX$48)</f>
        <v>104.78260610313788</v>
      </c>
      <c r="J111" s="105">
        <f>SUM(AZ$37:AZ$48)+SUM(BB$37:BB$48)+SUM(BD$37:BD$48)+SUM(BF$37:BF$48)</f>
        <v>213.71048416065264</v>
      </c>
      <c r="K111" s="105">
        <f>SUM(BH$37:BH$48)+SUM(BJ$37:BJ$48)+SUM(BL$37:BL$48)+SUM(BN$37:BN$48)</f>
        <v>290.92517637412442</v>
      </c>
      <c r="L111" s="105">
        <f>SUM(BP$37:BP$48)+SUM(BR$37:BR$48)+SUM(BT$37:BT$48)+SUM(BV$37:BV$48)</f>
        <v>102.18717603976758</v>
      </c>
      <c r="M111" s="105">
        <f>SUM(BX$37:BX$48)+SUM(BZ$37:BZ$48)+SUM(CB$37:CB$48)+SUM(CD$37:CD$48)</f>
        <v>110.92218083248559</v>
      </c>
      <c r="N111" s="105">
        <f>SUM(CF$37:CF$48)+SUM(CH$37:CH$48)+SUM(CJ$37:CJ$48)+SUM(CL$37:CL$48)</f>
        <v>195.71462488180669</v>
      </c>
      <c r="O111" s="105">
        <f>SUM(CN$37:CN$48)+SUM(CP$37:CP$48)+SUM(CR$37:CR$48)+SUM(CT$37:CT$48)</f>
        <v>310.50160659532219</v>
      </c>
    </row>
    <row r="112" spans="2:99" x14ac:dyDescent="0.2">
      <c r="C112" s="104" t="s">
        <v>129</v>
      </c>
      <c r="D112" s="105">
        <f>SUM(D$49:D$70)+SUM(F$49:F$70)+SUM(H$49:H$70)+SUM(J$49:J$70)</f>
        <v>69.950986261273925</v>
      </c>
      <c r="E112" s="105">
        <f>SUM(L$49:L$70)+SUM(N$49:N$70)+SUM(P$49:P$70)+SUM(R$49:R$70)</f>
        <v>224.28774315158353</v>
      </c>
      <c r="F112" s="105">
        <f>SUM(T$49:T$70)+SUM(V$49:V$70)+SUM(X$49:X$70)+SUM(Z$49:Z$70)</f>
        <v>287.42310479333617</v>
      </c>
      <c r="G112" s="105">
        <f>SUM(AB$49:AB$70)+SUM(AD$49:AD$70)+SUM(AF$49:AF$70)+SUM(AH$49:AH$70)</f>
        <v>284.86344344697943</v>
      </c>
      <c r="H112" s="105">
        <f>SUM(AJ$49:AJ$70)+SUM(AL$49:AL$70)+SUM(AN$49:AN$70)+SUM(AP$49:AP$70)</f>
        <v>318.62609406718718</v>
      </c>
      <c r="I112" s="105">
        <f>SUM(AR$49:AR$70)+SUM(AT$49:AT$70)+SUM(AV$49:AV$70)+SUM(AX$49:AX$70)</f>
        <v>264.10273533119346</v>
      </c>
      <c r="J112" s="105">
        <f>SUM(AZ$49:AZ$70)+SUM(BB$49:BB$70)+SUM(BD$49:BD$70)+SUM(BF$49:BF$70)</f>
        <v>280.02593699454115</v>
      </c>
      <c r="K112" s="105">
        <f>SUM(BH$49:BH$70)+SUM(BJ$49:BJ$70)+SUM(BL$49:BL$70)+SUM(BN$49:BN$70)</f>
        <v>277.13691334330287</v>
      </c>
      <c r="L112" s="105">
        <f>SUM(BP$49:BP$70)+SUM(BR$49:BR$70)+SUM(BT$49:BT$70)+SUM(BV$49:BV$70)</f>
        <v>203.67840652191296</v>
      </c>
      <c r="M112" s="105">
        <f>SUM(BX$49:BX$70)+SUM(BZ$49:BZ$70)+SUM(CB$49:CB$70)+SUM(CD$49:CD$70)</f>
        <v>307.94484992754485</v>
      </c>
      <c r="N112" s="105">
        <f>SUM(CF$49:CF$70)+SUM(CH$49:CH$70)+SUM(CJ$49:CJ$70)+SUM(CL$49:CL$70)</f>
        <v>284.66219223541361</v>
      </c>
      <c r="O112" s="105">
        <f>SUM(CN$49:CN$70)+SUM(CP$49:CP$70)+SUM(CR$49:CR$70)+SUM(CT$49:CT$70)</f>
        <v>302.58492040568126</v>
      </c>
    </row>
    <row r="113" spans="2:15" x14ac:dyDescent="0.2">
      <c r="C113" s="104" t="s">
        <v>130</v>
      </c>
      <c r="D113" s="105">
        <f>SUM(D$71:D$86)+SUM(F$71:F$86)+SUM(H$71:H$86)+SUM(J$71:J$86)</f>
        <v>418.17520842247188</v>
      </c>
      <c r="E113" s="105">
        <f>SUM(L$71:L$86)+SUM(N$71:N$86)+SUM(P$71:P$86)+SUM(R$71:R$86)</f>
        <v>425.45188721058162</v>
      </c>
      <c r="F113" s="105">
        <f>SUM(T$71:T$86)+SUM(V$71:V$86)+SUM(X$71:X$86)+SUM(Z$71:Z$86)</f>
        <v>452.26345078826716</v>
      </c>
      <c r="G113" s="105">
        <f>SUM(AB$71:AB$86)+SUM(AD$71:AD$86)+SUM(AF$71:AF$86)+SUM(AH$71:AH$86)</f>
        <v>467.48838010401818</v>
      </c>
      <c r="H113" s="105">
        <f>SUM(AJ$71:AJ$86)+SUM(AL$71:AL$86)+SUM(AN$71:AN$86)+SUM(AP$71:AP$86)</f>
        <v>420.33473791166114</v>
      </c>
      <c r="I113" s="105">
        <f>SUM(AR$71:AR$86)+SUM(AT$71:AT$86)+SUM(AV$71:AV$86)+SUM(AX$71:AX$86)</f>
        <v>247.35096809380968</v>
      </c>
      <c r="J113" s="105">
        <f>SUM(AZ$71:AZ$86)+SUM(BB$71:BB$86)+SUM(BD$71:BD$86)+SUM(BF$71:BF$86)</f>
        <v>457.12760528662443</v>
      </c>
      <c r="K113" s="105">
        <f>SUM(BH$71:BH$86)+SUM(BJ$71:BJ$86)+SUM(BL$71:BL$86)+SUM(BN$71:BN$86)</f>
        <v>402.23282535461186</v>
      </c>
      <c r="L113" s="105">
        <f>SUM(BP$71:BP$86)+SUM(BR$71:BR$86)+SUM(BT$71:BT$86)+SUM(BV$71:BV$86)</f>
        <v>425.31346644864198</v>
      </c>
      <c r="M113" s="105">
        <f>SUM(BX$71:BX$86)+SUM(BZ$71:BZ$86)+SUM(CB$71:CB$86)+SUM(CD$71:CD$86)</f>
        <v>425.88516895339632</v>
      </c>
      <c r="N113" s="105">
        <f>SUM(CF$71:CF$86)+SUM(CH$71:CH$86)+SUM(CJ$71:CJ$86)+SUM(CL$71:CL$86)</f>
        <v>427.48876114810412</v>
      </c>
      <c r="O113" s="105">
        <f>SUM(CN$71:CN$86)+SUM(CP$71:CP$86)+SUM(CR$71:CR$86)+SUM(CT$71:CT$86)</f>
        <v>434.08751459204325</v>
      </c>
    </row>
    <row r="114" spans="2:15" x14ac:dyDescent="0.2">
      <c r="C114" s="104" t="s">
        <v>131</v>
      </c>
      <c r="D114" s="105">
        <f>SUM(D$87:D$94)+SUM(F$87:F$94)+SUM(H$87:H$94)+SUM(J$87:J$94)</f>
        <v>30.070248828960505</v>
      </c>
      <c r="E114" s="105">
        <f>SUM(L$87:L$94)+SUM(N$87:N$94)+SUM(P$87:P$94)+SUM(R$87:R$94)</f>
        <v>43.267751259000732</v>
      </c>
      <c r="F114" s="105">
        <f>SUM(T$87:T$94)+SUM(V$87:V$94)+SUM(X$87:X$94)+SUM(Z$87:Z$94)</f>
        <v>39.205467266109018</v>
      </c>
      <c r="G114" s="105">
        <f>SUM(AB$87:AB$94)+SUM(AD$87:AD$94)+SUM(AF$87:AF$94)+SUM(AH$87:AH$94)</f>
        <v>36.40434778397028</v>
      </c>
      <c r="H114" s="105">
        <f>SUM(AJ$87:AJ$94)+SUM(AL$87:AL$94)+SUM(AN$87:AN$94)+SUM(AP$87:AP$94)</f>
        <v>30.522496178407202</v>
      </c>
      <c r="I114" s="105">
        <f>SUM(AR$87:AR$94)+SUM(AT$87:AT$94)+SUM(AV$87:AV$94)+SUM(AX$87:AX$94)</f>
        <v>54.430613369691933</v>
      </c>
      <c r="J114" s="105">
        <f>SUM(AZ$87:AZ$94)+SUM(BB$87:BB$94)+SUM(BD$87:BD$94)+SUM(BF$87:BF$94)</f>
        <v>36.205156404162004</v>
      </c>
      <c r="K114" s="105">
        <f>SUM(BH$87:BH$94)+SUM(BJ$87:BJ$94)+SUM(BL$87:BL$94)+SUM(BN$87:BN$94)</f>
        <v>43.266846393852425</v>
      </c>
      <c r="L114" s="105">
        <f>SUM(BP$87:BP$94)+SUM(BR$87:BR$94)+SUM(BT$87:BT$94)+SUM(BV$87:BV$94)</f>
        <v>61.55200264485417</v>
      </c>
      <c r="M114" s="105">
        <f>SUM(BX$87:BX$94)+SUM(BZ$87:BZ$94)+SUM(CB$87:CB$94)+SUM(CD$87:CD$94)</f>
        <v>3.7386686702948282</v>
      </c>
      <c r="N114" s="105">
        <f>SUM(CF$87:CF$94)+SUM(CH$87:CH$94)+SUM(CJ$87:CJ$94)+SUM(CL$87:CL$94)</f>
        <v>13.23662722515197</v>
      </c>
      <c r="O114" s="105">
        <f>SUM(CN$87:CN$94)+SUM(CP$87:CP$94)+SUM(CR$87:CR$94)+SUM(CT$87:CT$94)</f>
        <v>53.83357849779317</v>
      </c>
    </row>
    <row r="115" spans="2:15" x14ac:dyDescent="0.2">
      <c r="C115" s="104" t="s">
        <v>132</v>
      </c>
      <c r="D115" s="105">
        <f>SUM(D$95:D$105)+SUM(F$95:F$105)+SUM(H$95:H$105)+SUM(J$95:J$105)</f>
        <v>156.04192225671426</v>
      </c>
      <c r="E115" s="105">
        <f>SUM(L$95:L$105)+SUM(N$95:N$105)+SUM(P$95:P$105)+SUM(R$95:R$105)</f>
        <v>166.25718912784987</v>
      </c>
      <c r="F115" s="105">
        <f>SUM(T$95:T$105)+SUM(V$95:V$105)+SUM(X$95:X$105)+SUM(Z$95:Z$105)</f>
        <v>164.90702925551898</v>
      </c>
      <c r="G115" s="105">
        <f>SUM(AB$95:AB$105)+SUM(AD$95:AD$105)+SUM(AF$95:AF$105)+SUM(AH$95:AH$105)</f>
        <v>167.5428870290153</v>
      </c>
      <c r="H115" s="105">
        <f>SUM(AJ$95:AJ$105)+SUM(AL$95:AL$105)+SUM(AN$95:AN$105)+SUM(AP$95:AP$105)</f>
        <v>160.0908513234312</v>
      </c>
      <c r="I115" s="105">
        <f>SUM(AR$95:AR$105)+SUM(AT$95:AT$105)+SUM(AV$95:AV$105)+SUM(AX$95:AX$105)</f>
        <v>133.87462121422169</v>
      </c>
      <c r="J115" s="105">
        <f>SUM(AZ$95:AZ$105)+SUM(BB$95:BB$105)+SUM(BD$95:BD$105)+SUM(BF$95:BF$105)</f>
        <v>171.70690059827777</v>
      </c>
      <c r="K115" s="105">
        <f>SUM(BH$95:BH$105)+SUM(BJ$95:BJ$105)+SUM(BL$95:BL$105)+SUM(BN$95:BN$105)</f>
        <v>164.6277261553499</v>
      </c>
      <c r="L115" s="105">
        <f>SUM(BP$95:BP$105)+SUM(BR$95:BR$105)+SUM(BT$95:BT$105)+SUM(BV$95:BV$105)</f>
        <v>190.80856449970497</v>
      </c>
      <c r="M115" s="105">
        <f>SUM(BX$95:BX$105)+SUM(BZ$95:BZ$105)+SUM(CB$95:CB$105)+SUM(CD$95:CD$105)</f>
        <v>136.36986408478904</v>
      </c>
      <c r="N115" s="105">
        <f>SUM(CF$95:CF$105)+SUM(CH$95:CH$105)+SUM(CJ$95:CJ$105)+SUM(CL$95:CL$105)</f>
        <v>129.94547906753954</v>
      </c>
      <c r="O115" s="105">
        <f>SUM(CN$95:CN$105)+SUM(CP$95:CP$105)+SUM(CR$95:CR$105)+SUM(CT$95:CT$105)</f>
        <v>170.34801043858948</v>
      </c>
    </row>
    <row r="116" spans="2:15" x14ac:dyDescent="0.2">
      <c r="C116" s="104" t="s">
        <v>278</v>
      </c>
      <c r="D116" s="105">
        <f t="shared" ref="D116:O116" si="0">SUM(D$109:D$115)</f>
        <v>1694.3374018128573</v>
      </c>
      <c r="E116" s="105">
        <f t="shared" si="0"/>
        <v>2151.7749482494537</v>
      </c>
      <c r="F116" s="105">
        <f t="shared" si="0"/>
        <v>2159.1309992536244</v>
      </c>
      <c r="G116" s="105">
        <f t="shared" si="0"/>
        <v>1751.0247268008293</v>
      </c>
      <c r="H116" s="105">
        <f t="shared" si="0"/>
        <v>1846.3636691016056</v>
      </c>
      <c r="I116" s="105">
        <f t="shared" si="0"/>
        <v>1477.1084826425233</v>
      </c>
      <c r="J116" s="105">
        <f t="shared" si="0"/>
        <v>1998.5855984794314</v>
      </c>
      <c r="K116" s="105">
        <f t="shared" si="0"/>
        <v>2206.7500571159048</v>
      </c>
      <c r="L116" s="105">
        <f t="shared" si="0"/>
        <v>1475.9942656312617</v>
      </c>
      <c r="M116" s="105">
        <f t="shared" si="0"/>
        <v>1566.2146379279366</v>
      </c>
      <c r="N116" s="105">
        <f t="shared" si="0"/>
        <v>1902.003833229131</v>
      </c>
      <c r="O116" s="105">
        <f t="shared" si="0"/>
        <v>2330.4939009120312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D109*pricing!D15*2000</f>
        <v>1313578.2680401574</v>
      </c>
      <c r="E120" s="105">
        <f>E109*pricing!E15*2000</f>
        <v>1208568.2124311014</v>
      </c>
      <c r="F120" s="105">
        <f>F109*pricing!F15*2000</f>
        <v>1419820.9718513361</v>
      </c>
      <c r="G120" s="105">
        <f>G109*pricing!G15*2000</f>
        <v>592091.00269201596</v>
      </c>
      <c r="H120" s="105">
        <f>H109*pricing!H15*2000</f>
        <v>1085823.8393321834</v>
      </c>
      <c r="I120" s="105">
        <f>I109*pricing!I15*2000</f>
        <v>807183.40115827217</v>
      </c>
      <c r="J120" s="105">
        <f>J109*pricing!J15*2000</f>
        <v>1003703.4278536303</v>
      </c>
      <c r="K120" s="105">
        <f>K109*pricing!K15*2000</f>
        <v>1268656.1303005142</v>
      </c>
      <c r="L120" s="105">
        <f>L109*pricing!L15*2000</f>
        <v>506890.5655242076</v>
      </c>
      <c r="M120" s="105">
        <f>M109*pricing!M15*2000</f>
        <v>821515.20550632547</v>
      </c>
      <c r="N120" s="105">
        <f>N109*pricing!N15*2000</f>
        <v>1084086.3833378002</v>
      </c>
      <c r="O120" s="105">
        <f>O109*pricing!O15*2000</f>
        <v>1452733.0031210615</v>
      </c>
    </row>
    <row r="121" spans="2:15" x14ac:dyDescent="0.2">
      <c r="C121" s="104" t="s">
        <v>127</v>
      </c>
      <c r="D121" s="105">
        <f>D110*pricing!D16*2000</f>
        <v>2601175.2199704587</v>
      </c>
      <c r="E121" s="105">
        <f>E110*pricing!E16*2000</f>
        <v>3716183.2105866969</v>
      </c>
      <c r="F121" s="105">
        <f>F110*pricing!F16*2000</f>
        <v>3225005.9348275191</v>
      </c>
      <c r="G121" s="105">
        <f>G110*pricing!G16*2000</f>
        <v>2454753.7733207289</v>
      </c>
      <c r="H121" s="105">
        <f>H110*pricing!H16*2000</f>
        <v>2387902.3375557247</v>
      </c>
      <c r="I121" s="105">
        <f>I110*pricing!I16*2000</f>
        <v>2504538.2656641901</v>
      </c>
      <c r="J121" s="105">
        <f>J110*pricing!J16*2000</f>
        <v>3131437.2643757924</v>
      </c>
      <c r="K121" s="105">
        <f>K110*pricing!K16*2000</f>
        <v>3796663.7828293466</v>
      </c>
      <c r="L121" s="105">
        <f>L110*pricing!L16*2000</f>
        <v>1916275.0282205387</v>
      </c>
      <c r="M121" s="105">
        <f>M110*pricing!M16*2000</f>
        <v>2043549.2353549879</v>
      </c>
      <c r="N121" s="105">
        <f>N110*pricing!N16*2000</f>
        <v>3107280.4728174196</v>
      </c>
      <c r="O121" s="105">
        <f>O110*pricing!O16*2000</f>
        <v>3766099.1818161113</v>
      </c>
    </row>
    <row r="122" spans="2:15" x14ac:dyDescent="0.2">
      <c r="C122" s="104" t="s">
        <v>128</v>
      </c>
      <c r="D122" s="105">
        <f>D111*pricing!D17*2000</f>
        <v>1200615.8726538853</v>
      </c>
      <c r="E122" s="105">
        <f>E111*pricing!E17*2000</f>
        <v>1549677.5902468853</v>
      </c>
      <c r="F122" s="105">
        <f>F111*pricing!F17*2000</f>
        <v>1447977.3643089833</v>
      </c>
      <c r="G122" s="105">
        <f>G111*pricing!G17*2000</f>
        <v>929287.74341279594</v>
      </c>
      <c r="H122" s="105">
        <f>H111*pricing!H17*2000</f>
        <v>1125177.8846772579</v>
      </c>
      <c r="I122" s="105">
        <f>I111*pricing!I17*2000</f>
        <v>555347.81234663073</v>
      </c>
      <c r="J122" s="105">
        <f>J111*pricing!J17*2000</f>
        <v>1132665.5660514589</v>
      </c>
      <c r="K122" s="105">
        <f>K111*pricing!K17*2000</f>
        <v>1541903.4347828594</v>
      </c>
      <c r="L122" s="105">
        <f>L111*pricing!L17*2000</f>
        <v>541592.03301076824</v>
      </c>
      <c r="M122" s="105">
        <f>M111*pricing!M17*2000</f>
        <v>587887.55841217353</v>
      </c>
      <c r="N122" s="105">
        <f>N111*pricing!N17*2000</f>
        <v>1037287.5118735754</v>
      </c>
      <c r="O122" s="105">
        <f>O111*pricing!O17*2000</f>
        <v>1645658.5149552075</v>
      </c>
    </row>
    <row r="123" spans="2:15" x14ac:dyDescent="0.2">
      <c r="C123" s="104" t="s">
        <v>129</v>
      </c>
      <c r="D123" s="105">
        <f>D112*pricing!D18*2000</f>
        <v>538622.59421180922</v>
      </c>
      <c r="E123" s="105">
        <f>E112*pricing!E18*2000</f>
        <v>1727015.6222671934</v>
      </c>
      <c r="F123" s="105">
        <f>F112*pricing!F18*2000</f>
        <v>2213157.9069086881</v>
      </c>
      <c r="G123" s="105">
        <f>G112*pricing!G18*2000</f>
        <v>2193448.5145417415</v>
      </c>
      <c r="H123" s="105">
        <f>H112*pricing!H18*2000</f>
        <v>2453420.9243173413</v>
      </c>
      <c r="I123" s="105">
        <f>I112*pricing!I18*2000</f>
        <v>2033591.0620501898</v>
      </c>
      <c r="J123" s="105">
        <f>J112*pricing!J18*2000</f>
        <v>2156199.7148579671</v>
      </c>
      <c r="K123" s="105">
        <f>K112*pricing!K18*2000</f>
        <v>2133954.2327434318</v>
      </c>
      <c r="L123" s="105">
        <f>L112*pricing!L18*2000</f>
        <v>1568323.7302187299</v>
      </c>
      <c r="M123" s="105">
        <f>M112*pricing!M18*2000</f>
        <v>2371175.3444420956</v>
      </c>
      <c r="N123" s="105">
        <f>N112*pricing!N18*2000</f>
        <v>2191898.8802126851</v>
      </c>
      <c r="O123" s="105">
        <f>O112*pricing!O18*2000</f>
        <v>2329903.8871237459</v>
      </c>
    </row>
    <row r="124" spans="2:15" x14ac:dyDescent="0.2">
      <c r="C124" s="104" t="s">
        <v>130</v>
      </c>
      <c r="D124" s="105">
        <f>D113*pricing!D19*2000</f>
        <v>2885408.9381150561</v>
      </c>
      <c r="E124" s="105">
        <f>E113*pricing!E19*2000</f>
        <v>2935618.0217530131</v>
      </c>
      <c r="F124" s="105">
        <f>F113*pricing!F19*2000</f>
        <v>3120617.8104390437</v>
      </c>
      <c r="G124" s="105">
        <f>G113*pricing!G19*2000</f>
        <v>3225669.8227177258</v>
      </c>
      <c r="H124" s="105">
        <f>H113*pricing!H19*2000</f>
        <v>2900309.6915904619</v>
      </c>
      <c r="I124" s="105">
        <f>I113*pricing!I19*2000</f>
        <v>1706721.6798472868</v>
      </c>
      <c r="J124" s="105">
        <f>J113*pricing!J19*2000</f>
        <v>3154180.4764777091</v>
      </c>
      <c r="K124" s="105">
        <f>K113*pricing!K19*2000</f>
        <v>2775406.4949468221</v>
      </c>
      <c r="L124" s="105">
        <f>L113*pricing!L19*2000</f>
        <v>2934662.9184956294</v>
      </c>
      <c r="M124" s="105">
        <f>M113*pricing!M19*2000</f>
        <v>2938607.6657784348</v>
      </c>
      <c r="N124" s="105">
        <f>N113*pricing!N19*2000</f>
        <v>2949672.4519219189</v>
      </c>
      <c r="O124" s="105">
        <f>O113*pricing!O19*2000</f>
        <v>2995203.8506850987</v>
      </c>
    </row>
    <row r="125" spans="2:15" x14ac:dyDescent="0.2">
      <c r="C125" s="104" t="s">
        <v>131</v>
      </c>
      <c r="D125" s="105">
        <f>D114*pricing!D20*2000</f>
        <v>135316.11973032227</v>
      </c>
      <c r="E125" s="105">
        <f>E114*pricing!E20*2000</f>
        <v>194704.8806655033</v>
      </c>
      <c r="F125" s="105">
        <f>F114*pricing!F20*2000</f>
        <v>176424.60269749057</v>
      </c>
      <c r="G125" s="105">
        <f>G114*pricing!G20*2000</f>
        <v>163819.56502786625</v>
      </c>
      <c r="H125" s="105">
        <f>H114*pricing!H20*2000</f>
        <v>137351.23280283241</v>
      </c>
      <c r="I125" s="105">
        <f>I114*pricing!I20*2000</f>
        <v>244937.76016361368</v>
      </c>
      <c r="J125" s="105">
        <f>J114*pricing!J20*2000</f>
        <v>162923.203818729</v>
      </c>
      <c r="K125" s="105">
        <f>K114*pricing!K20*2000</f>
        <v>194700.80877233591</v>
      </c>
      <c r="L125" s="105">
        <f>L114*pricing!L20*2000</f>
        <v>276984.01190184377</v>
      </c>
      <c r="M125" s="105">
        <f>M114*pricing!M20*2000</f>
        <v>16824.009016326727</v>
      </c>
      <c r="N125" s="105">
        <f>N114*pricing!N20*2000</f>
        <v>59564.82251318387</v>
      </c>
      <c r="O125" s="105">
        <f>O114*pricing!O20*2000</f>
        <v>242251.10324006926</v>
      </c>
    </row>
    <row r="126" spans="2:15" x14ac:dyDescent="0.2">
      <c r="C126" s="104" t="s">
        <v>132</v>
      </c>
      <c r="D126" s="105">
        <f>D115*pricing!D21*2000</f>
        <v>705309.48860034836</v>
      </c>
      <c r="E126" s="105">
        <f>E115*pricing!E21*2000</f>
        <v>751482.49485788133</v>
      </c>
      <c r="F126" s="105">
        <f>F115*pricing!F21*2000</f>
        <v>745379.77223494567</v>
      </c>
      <c r="G126" s="105">
        <f>G115*pricing!G21*2000</f>
        <v>757293.84937114909</v>
      </c>
      <c r="H126" s="105">
        <f>H115*pricing!H21*2000</f>
        <v>723610.64798190899</v>
      </c>
      <c r="I126" s="105">
        <f>I115*pricing!I21*2000</f>
        <v>605113.28788828198</v>
      </c>
      <c r="J126" s="105">
        <f>J115*pricing!J21*2000</f>
        <v>776115.19070421543</v>
      </c>
      <c r="K126" s="105">
        <f>K115*pricing!K21*2000</f>
        <v>744117.3222221816</v>
      </c>
      <c r="L126" s="105">
        <f>L115*pricing!L21*2000</f>
        <v>862454.71153866639</v>
      </c>
      <c r="M126" s="105">
        <f>M115*pricing!M21*2000</f>
        <v>616391.78566324641</v>
      </c>
      <c r="N126" s="105">
        <f>N115*pricing!N21*2000</f>
        <v>587353.56538527866</v>
      </c>
      <c r="O126" s="105">
        <f>O115*pricing!O21*2000</f>
        <v>769973.00718242431</v>
      </c>
    </row>
    <row r="127" spans="2:15" x14ac:dyDescent="0.2">
      <c r="C127" s="104" t="s">
        <v>278</v>
      </c>
      <c r="D127" s="105">
        <f t="shared" ref="D127:O127" si="1">SUM(D$120:D$126)</f>
        <v>9380026.5013220385</v>
      </c>
      <c r="E127" s="105">
        <f t="shared" si="1"/>
        <v>12083250.032808274</v>
      </c>
      <c r="F127" s="105">
        <f t="shared" si="1"/>
        <v>12348384.363268007</v>
      </c>
      <c r="G127" s="105">
        <f t="shared" si="1"/>
        <v>10316364.271084024</v>
      </c>
      <c r="H127" s="105">
        <f t="shared" si="1"/>
        <v>10813596.55825771</v>
      </c>
      <c r="I127" s="105">
        <f t="shared" si="1"/>
        <v>8457433.2691184655</v>
      </c>
      <c r="J127" s="105">
        <f t="shared" si="1"/>
        <v>11517224.844139501</v>
      </c>
      <c r="K127" s="105">
        <f t="shared" si="1"/>
        <v>12455402.206597492</v>
      </c>
      <c r="L127" s="105">
        <f t="shared" si="1"/>
        <v>8607182.9989103824</v>
      </c>
      <c r="M127" s="105">
        <f t="shared" si="1"/>
        <v>9395950.8041735925</v>
      </c>
      <c r="N127" s="105">
        <f t="shared" si="1"/>
        <v>11017144.088061862</v>
      </c>
      <c r="O127" s="105">
        <f t="shared" si="1"/>
        <v>13201822.548123719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151354.69679439114</v>
      </c>
      <c r="E131" s="111">
        <f>SUM(M$6:M$19)+SUM(O$6:O$19)+SUM(Q$6:Q$19)+SUM(S$6:S$19)</f>
        <v>137606.21294217044</v>
      </c>
      <c r="F131" s="111">
        <f>SUM(U$6:U$19)+SUM(W$6:W$19)+SUM(Y$6:Y$19)+SUM(AA$6:AA$19)</f>
        <v>161863.36361976937</v>
      </c>
      <c r="G131" s="111">
        <f>SUM(AC$6:AC$19)+SUM(AE$6:AE$19)+SUM(AG$6:AG$19)+SUM(AI$6:AI$19)</f>
        <v>67773.998980397824</v>
      </c>
      <c r="H131" s="111">
        <f>SUM(AK$6:AK$19)+SUM(AM$6:AM$19)+SUM(AO$6:AO$19)+SUM(AQ$6:AQ$19)</f>
        <v>124172.88886180968</v>
      </c>
      <c r="I131" s="111">
        <f>SUM(AS$6:AS$19)+SUM(AU$6:AU$19)+SUM(AW$6:AW$19)+SUM(AY$6:AY$19)</f>
        <v>92272.740248403512</v>
      </c>
      <c r="J131" s="111">
        <f>SUM(BA$6:BA$19)+SUM(BC$6:BC$19)+SUM(BE$6:BE$19)+SUM(BG$6:BG$19)</f>
        <v>114885.35654564278</v>
      </c>
      <c r="K131" s="111">
        <f>SUM(BI$6:BI$19)+SUM(BK$6:BK$19)+SUM(BM$6:BM$19)+SUM(BO$6:BO$19)</f>
        <v>144921.77035499481</v>
      </c>
      <c r="L131" s="111">
        <f>SUM(BQ$6:BQ$19)+SUM(BS$6:BS$19)+SUM(BU$6:BU$19)+SUM(BW$6:BW$19)</f>
        <v>58291.745200502373</v>
      </c>
      <c r="M131" s="111">
        <f>SUM(BY$6:BY$19)+SUM(CA$6:CA$19)+SUM(CC$6:CC$19)+SUM(CE$6:CE$19)</f>
        <v>93284.109264767467</v>
      </c>
      <c r="N131" s="111">
        <f>SUM(CG$6:CG$19)+SUM(CI$6:CI$19)+SUM(CK$6:CK$19)+SUM(CM$6:CM$19)</f>
        <v>123845.3798659938</v>
      </c>
      <c r="O131" s="111">
        <f>SUM(CO$6:CO$19)+SUM(CQ$6:CQ$19)+SUM(CS$6:CS$19)+SUM(CU$6:CU$19)</f>
        <v>165978.93705333848</v>
      </c>
    </row>
    <row r="132" spans="2:15" x14ac:dyDescent="0.2">
      <c r="C132" s="110" t="s">
        <v>127</v>
      </c>
      <c r="D132" s="111">
        <f>SUM(E$20:E$36)+SUM(G$20:G$36)+SUM(I$20:I$36)+SUM(K$20:K$36)</f>
        <v>138583.6337003388</v>
      </c>
      <c r="E132" s="111">
        <f>SUM(M$20:M$36)+SUM(O$20:O$36)+SUM(Q$20:Q$36)+SUM(S$20:S$36)</f>
        <v>244067.73226771224</v>
      </c>
      <c r="F132" s="111">
        <f>SUM(U$20:U$36)+SUM(W$20:W$36)+SUM(Y$20:Y$36)+SUM(AA$20:AA$36)</f>
        <v>230340.99792348634</v>
      </c>
      <c r="G132" s="111">
        <f>SUM(AC$20:AC$36)+SUM(AE$20:AE$36)+SUM(AG$20:AG$36)+SUM(AI$20:AI$36)</f>
        <v>195146.4948011924</v>
      </c>
      <c r="H132" s="111">
        <f>SUM(AK$20:AK$36)+SUM(AM$20:AM$36)+SUM(AO$20:AO$36)+SUM(AQ$20:AQ$36)</f>
        <v>179655.10269268361</v>
      </c>
      <c r="I132" s="111">
        <f>SUM(AS$20:AS$36)+SUM(AU$20:AU$36)+SUM(AW$20:AW$36)+SUM(AY$20:AY$36)</f>
        <v>197695.94872707588</v>
      </c>
      <c r="J132" s="111">
        <f>SUM(BA$20:BA$36)+SUM(BC$20:BC$36)+SUM(BE$20:BE$36)+SUM(BG$20:BG$36)</f>
        <v>236965.56338478834</v>
      </c>
      <c r="K132" s="111">
        <f>SUM(BI$20:BI$36)+SUM(BK$20:BK$36)+SUM(BM$20:BM$36)+SUM(BO$20:BO$36)</f>
        <v>268087.8102627761</v>
      </c>
      <c r="L132" s="111">
        <f>SUM(BQ$20:BQ$36)+SUM(BS$20:BS$36)+SUM(BU$20:BU$36)+SUM(BW$20:BW$36)</f>
        <v>162989.58292107232</v>
      </c>
      <c r="M132" s="111">
        <f>SUM(BY$20:BY$36)+SUM(CA$20:CA$36)+SUM(CC$20:CC$36)+SUM(CE$20:CE$36)</f>
        <v>161370.42171530169</v>
      </c>
      <c r="N132" s="111">
        <f>SUM(CG$20:CG$36)+SUM(CI$20:CI$36)+SUM(CK$20:CK$36)+SUM(CM$20:CM$36)</f>
        <v>230040.55920911842</v>
      </c>
      <c r="O132" s="111">
        <f>SUM(CO$20:CO$36)+SUM(CQ$20:CQ$36)+SUM(CS$20:CS$36)+SUM(CU$20:CU$36)</f>
        <v>267506.47660995193</v>
      </c>
    </row>
    <row r="133" spans="2:15" x14ac:dyDescent="0.2">
      <c r="C133" s="110" t="s">
        <v>128</v>
      </c>
      <c r="D133" s="111">
        <f>SUM(E$37:E$48)+SUM(G$37:G$48)+SUM(I$37:I$48)+SUM(K$37:K$48)</f>
        <v>192118.47391616637</v>
      </c>
      <c r="E133" s="111">
        <f>SUM(M$37:M$48)+SUM(O$37:O$48)+SUM(Q$37:Q$48)+SUM(S$37:S$48)</f>
        <v>248813.91875779454</v>
      </c>
      <c r="F133" s="111">
        <f>SUM(U$37:U$48)+SUM(W$37:W$48)+SUM(Y$37:Y$48)+SUM(AA$37:AA$48)</f>
        <v>231424.58501192977</v>
      </c>
      <c r="G133" s="111">
        <f>SUM(AC$37:AC$48)+SUM(AE$37:AE$48)+SUM(AG$37:AG$48)+SUM(AI$37:AI$48)</f>
        <v>149412.82164901949</v>
      </c>
      <c r="H133" s="111">
        <f>SUM(AK$37:AK$48)+SUM(AM$37:AM$48)+SUM(AO$37:AO$48)+SUM(AQ$37:AQ$48)</f>
        <v>179659.58493552607</v>
      </c>
      <c r="I133" s="111">
        <f>SUM(AS$37:AS$48)+SUM(AU$37:AU$48)+SUM(AW$37:AW$48)+SUM(AY$37:AY$48)</f>
        <v>89125.857356341498</v>
      </c>
      <c r="J133" s="111">
        <f>SUM(BA$37:BA$48)+SUM(BC$37:BC$48)+SUM(BE$37:BE$48)+SUM(BG$37:BG$48)</f>
        <v>181579.88572004577</v>
      </c>
      <c r="K133" s="111">
        <f>SUM(BI$37:BI$48)+SUM(BK$37:BK$48)+SUM(BM$37:BM$48)+SUM(BO$37:BO$48)</f>
        <v>247863.41920145717</v>
      </c>
      <c r="L133" s="111">
        <f>SUM(BQ$37:BQ$48)+SUM(BS$37:BS$48)+SUM(BU$37:BU$48)+SUM(BW$37:BW$48)</f>
        <v>86388.308757984953</v>
      </c>
      <c r="M133" s="111">
        <f>SUM(BY$37:BY$48)+SUM(CA$37:CA$48)+SUM(CC$37:CC$48)+SUM(CE$37:CE$48)</f>
        <v>93879.987353674936</v>
      </c>
      <c r="N133" s="111">
        <f>SUM(CG$37:CG$48)+SUM(CI$37:CI$48)+SUM(CK$37:CK$48)+SUM(CM$37:CM$48)</f>
        <v>165442.09640208347</v>
      </c>
      <c r="O133" s="111">
        <f>SUM(CO$37:CO$48)+SUM(CQ$37:CQ$48)+SUM(CS$37:CS$48)+SUM(CU$37:CU$48)</f>
        <v>264051.8528619564</v>
      </c>
    </row>
    <row r="134" spans="2:15" x14ac:dyDescent="0.2">
      <c r="C134" s="110" t="s">
        <v>129</v>
      </c>
      <c r="D134" s="111">
        <f>SUM(E$49:E$70)+SUM(G$49:G$70)+SUM(I$49:I$70)+SUM(K$49:K$70)</f>
        <v>42929.275406844106</v>
      </c>
      <c r="E134" s="111">
        <f>SUM(M$49:M$70)+SUM(O$49:O$70)+SUM(Q$49:Q$70)+SUM(S$49:S$70)</f>
        <v>96108.390644735686</v>
      </c>
      <c r="F134" s="111">
        <f>SUM(U$49:U$70)+SUM(W$49:W$70)+SUM(Y$49:Y$70)+SUM(AA$49:AA$70)</f>
        <v>118145.48300248809</v>
      </c>
      <c r="G134" s="111">
        <f>SUM(AC$49:AC$70)+SUM(AE$49:AE$70)+SUM(AG$49:AG$70)+SUM(AI$49:AI$70)</f>
        <v>117305.15231332197</v>
      </c>
      <c r="H134" s="111">
        <f>SUM(AK$49:AK$70)+SUM(AM$49:AM$70)+SUM(AO$49:AO$70)+SUM(AQ$49:AQ$70)</f>
        <v>134530.67686741054</v>
      </c>
      <c r="I134" s="111">
        <f>SUM(AS$49:AS$70)+SUM(AU$49:AU$70)+SUM(AW$49:AW$70)+SUM(AY$49:AY$70)</f>
        <v>102283.42227082443</v>
      </c>
      <c r="J134" s="111">
        <f>SUM(BA$49:BA$70)+SUM(BC$49:BC$70)+SUM(BE$49:BE$70)+SUM(BG$49:BG$70)</f>
        <v>114134.67062224371</v>
      </c>
      <c r="K134" s="111">
        <f>SUM(BI$49:BI$70)+SUM(BK$49:BK$70)+SUM(BM$49:BM$70)+SUM(BO$49:BO$70)</f>
        <v>112170.60621706524</v>
      </c>
      <c r="L134" s="111">
        <f>SUM(BQ$49:BQ$70)+SUM(BS$49:BS$70)+SUM(BU$49:BU$70)+SUM(BW$49:BW$70)</f>
        <v>85664.592504613131</v>
      </c>
      <c r="M134" s="111">
        <f>SUM(BY$49:BY$70)+SUM(CA$49:CA$70)+SUM(CC$49:CC$70)+SUM(CE$49:CE$70)</f>
        <v>127897.17312707167</v>
      </c>
      <c r="N134" s="111">
        <f>SUM(CG$49:CG$70)+SUM(CI$49:CI$70)+SUM(CK$49:CK$70)+SUM(CM$49:CM$70)</f>
        <v>115573.05806385295</v>
      </c>
      <c r="O134" s="111">
        <f>SUM(CO$49:CO$70)+SUM(CQ$49:CQ$70)+SUM(CS$49:CS$70)+SUM(CU$49:CU$70)</f>
        <v>121787.24827610874</v>
      </c>
    </row>
    <row r="135" spans="2:15" x14ac:dyDescent="0.2">
      <c r="C135" s="110" t="s">
        <v>130</v>
      </c>
      <c r="D135" s="111">
        <f>SUM(E$71:E$86)+SUM(G$71:G$86)+SUM(I$71:I$86)+SUM(K$71:K$86)</f>
        <v>206869.32099877688</v>
      </c>
      <c r="E135" s="111">
        <f>SUM(M$71:M$86)+SUM(O$71:O$86)+SUM(Q$71:Q$86)+SUM(S$71:S$86)</f>
        <v>210656.69861960778</v>
      </c>
      <c r="F135" s="111">
        <f>SUM(U$71:U$86)+SUM(W$71:W$86)+SUM(Y$71:Y$86)+SUM(AA$71:AA$86)</f>
        <v>222854.16670812143</v>
      </c>
      <c r="G135" s="111">
        <f>SUM(AC$71:AC$86)+SUM(AE$71:AE$86)+SUM(AG$71:AG$86)+SUM(AI$71:AI$86)</f>
        <v>230427.13431657615</v>
      </c>
      <c r="H135" s="111">
        <f>SUM(AK$71:AK$86)+SUM(AM$71:AM$86)+SUM(AO$71:AO$86)+SUM(AQ$71:AQ$86)</f>
        <v>206684.47169445944</v>
      </c>
      <c r="I135" s="111">
        <f>SUM(AS$71:AS$86)+SUM(AU$71:AU$86)+SUM(AW$71:AW$86)+SUM(AY$71:AY$86)</f>
        <v>121629.56736495032</v>
      </c>
      <c r="J135" s="111">
        <f>SUM(BA$71:BA$86)+SUM(BC$71:BC$86)+SUM(BE$71:BE$86)+SUM(BG$71:BG$86)</f>
        <v>227173.5767450922</v>
      </c>
      <c r="K135" s="111">
        <f>SUM(BI$71:BI$86)+SUM(BK$71:BK$86)+SUM(BM$71:BM$86)+SUM(BO$71:BO$86)</f>
        <v>198421.4071998673</v>
      </c>
      <c r="L135" s="111">
        <f>SUM(BQ$71:BQ$86)+SUM(BS$71:BS$86)+SUM(BU$71:BU$86)+SUM(BW$71:BW$86)</f>
        <v>209149.79599316182</v>
      </c>
      <c r="M135" s="111">
        <f>SUM(BY$71:BY$86)+SUM(CA$71:CA$86)+SUM(CC$71:CC$86)+SUM(CE$71:CE$86)</f>
        <v>209515.41537957749</v>
      </c>
      <c r="N135" s="111">
        <f>SUM(CG$71:CG$86)+SUM(CI$71:CI$86)+SUM(CK$71:CK$86)+SUM(CM$71:CM$86)</f>
        <v>211940.22974287512</v>
      </c>
      <c r="O135" s="111">
        <f>SUM(CO$71:CO$86)+SUM(CQ$71:CQ$86)+SUM(CS$71:CS$86)+SUM(CU$71:CU$86)</f>
        <v>214317.26730403063</v>
      </c>
    </row>
    <row r="136" spans="2:15" x14ac:dyDescent="0.2">
      <c r="C136" s="110" t="s">
        <v>131</v>
      </c>
      <c r="D136" s="111">
        <f>SUM(E$87:E$94)+SUM(G$87:G$94)+SUM(I$87:I$94)+SUM(K$87:K$94)</f>
        <v>23735.508703598371</v>
      </c>
      <c r="E136" s="111">
        <f>SUM(M$87:M$94)+SUM(O$87:O$94)+SUM(Q$87:Q$94)+SUM(S$87:S$94)</f>
        <v>34069.377901420463</v>
      </c>
      <c r="F136" s="111">
        <f>SUM(U$87:U$94)+SUM(W$87:W$94)+SUM(Y$87:Y$94)+SUM(AA$87:AA$94)</f>
        <v>31029.456897450505</v>
      </c>
      <c r="G136" s="111">
        <f>SUM(AC$87:AC$94)+SUM(AE$87:AE$94)+SUM(AG$87:AG$94)+SUM(AI$87:AI$94)</f>
        <v>28681.08895054688</v>
      </c>
      <c r="H136" s="111">
        <f>SUM(AK$87:AK$94)+SUM(AM$87:AM$94)+SUM(AO$87:AO$94)+SUM(AQ$87:AQ$94)</f>
        <v>24077.320422456429</v>
      </c>
      <c r="I136" s="111">
        <f>SUM(AS$87:AS$94)+SUM(AU$87:AU$94)+SUM(AW$87:AW$94)+SUM(AY$87:AY$94)</f>
        <v>43069.385749662775</v>
      </c>
      <c r="J136" s="111">
        <f>SUM(BA$87:BA$94)+SUM(BC$87:BC$94)+SUM(BE$87:BE$94)+SUM(BG$87:BG$94)</f>
        <v>28603.063955029134</v>
      </c>
      <c r="K136" s="111">
        <f>SUM(BI$87:BI$94)+SUM(BK$87:BK$94)+SUM(BM$87:BM$94)+SUM(BO$87:BO$94)</f>
        <v>34158.0263520605</v>
      </c>
      <c r="L136" s="111">
        <f>SUM(BQ$87:BQ$94)+SUM(BS$87:BS$94)+SUM(BU$87:BU$94)+SUM(BW$87:BW$94)</f>
        <v>48570.90491714111</v>
      </c>
      <c r="M136" s="111">
        <f>SUM(BY$87:BY$94)+SUM(CA$87:CA$94)+SUM(CC$87:CC$94)+SUM(CE$87:CE$94)</f>
        <v>2964.7506603849974</v>
      </c>
      <c r="N136" s="111">
        <f>SUM(CG$87:CG$94)+SUM(CI$87:CI$94)+SUM(CK$87:CK$94)+SUM(CM$87:CM$94)</f>
        <v>10499.399295816709</v>
      </c>
      <c r="O136" s="111">
        <f>SUM(CO$87:CO$94)+SUM(CQ$87:CQ$94)+SUM(CS$87:CS$94)+SUM(CU$87:CU$94)</f>
        <v>42426.373219681031</v>
      </c>
    </row>
    <row r="137" spans="2:15" x14ac:dyDescent="0.2">
      <c r="C137" s="110" t="s">
        <v>132</v>
      </c>
      <c r="D137" s="111">
        <f>SUM(E$95:E$105)+SUM(G$95:G$105)+SUM(I$95:I$105)+SUM(K$95:K$105)</f>
        <v>122330.50941198897</v>
      </c>
      <c r="E137" s="111">
        <f>SUM(M$95:M$105)+SUM(O$95:O$105)+SUM(Q$95:Q$105)+SUM(S$95:S$105)</f>
        <v>128130.44284528399</v>
      </c>
      <c r="F137" s="111">
        <f>SUM(U$95:U$105)+SUM(W$95:W$105)+SUM(Y$95:Y$105)+SUM(AA$95:AA$105)</f>
        <v>128179.43902536624</v>
      </c>
      <c r="G137" s="111">
        <f>SUM(AC$95:AC$105)+SUM(AE$95:AE$105)+SUM(AG$95:AG$105)+SUM(AI$95:AI$105)</f>
        <v>131491.87742376176</v>
      </c>
      <c r="H137" s="111">
        <f>SUM(AK$95:AK$105)+SUM(AM$95:AM$105)+SUM(AO$95:AO$105)+SUM(AQ$95:AQ$105)</f>
        <v>127498.57418033046</v>
      </c>
      <c r="I137" s="111">
        <f>SUM(AS$95:AS$105)+SUM(AU$95:AU$105)+SUM(AW$95:AW$105)+SUM(AY$95:AY$105)</f>
        <v>97693.179825415195</v>
      </c>
      <c r="J137" s="111">
        <f>SUM(BA$95:BA$105)+SUM(BC$95:BC$105)+SUM(BE$95:BE$105)+SUM(BG$95:BG$105)</f>
        <v>133298.40077288591</v>
      </c>
      <c r="K137" s="111">
        <f>SUM(BI$95:BI$105)+SUM(BK$95:BK$105)+SUM(BM$95:BM$105)+SUM(BO$95:BO$105)</f>
        <v>126877.49300888917</v>
      </c>
      <c r="L137" s="111">
        <f>SUM(BQ$95:BQ$105)+SUM(BS$95:BS$105)+SUM(BU$95:BU$105)+SUM(BW$95:BW$105)</f>
        <v>144652.49725290539</v>
      </c>
      <c r="M137" s="111">
        <f>SUM(BY$95:BY$105)+SUM(CA$95:CA$105)+SUM(CC$95:CC$105)+SUM(CE$95:CE$105)</f>
        <v>114041.8636488792</v>
      </c>
      <c r="N137" s="111">
        <f>SUM(CG$95:CG$105)+SUM(CI$95:CI$105)+SUM(CK$95:CK$105)+SUM(CM$95:CM$105)</f>
        <v>105460.06255423989</v>
      </c>
      <c r="O137" s="111">
        <f>SUM(CO$95:CO$105)+SUM(CQ$95:CQ$105)+SUM(CS$95:CS$105)+SUM(CU$95:CU$105)</f>
        <v>129719.13687897417</v>
      </c>
    </row>
    <row r="138" spans="2:15" x14ac:dyDescent="0.2">
      <c r="C138" s="110" t="s">
        <v>278</v>
      </c>
      <c r="D138" s="105">
        <f t="shared" ref="D138:O138" si="2">SUM(D$131:D$137)</f>
        <v>877921.4189321046</v>
      </c>
      <c r="E138" s="105">
        <f t="shared" si="2"/>
        <v>1099452.7739787251</v>
      </c>
      <c r="F138" s="105">
        <f t="shared" si="2"/>
        <v>1123837.4921886118</v>
      </c>
      <c r="G138" s="105">
        <f t="shared" si="2"/>
        <v>920238.56843481655</v>
      </c>
      <c r="H138" s="105">
        <f t="shared" si="2"/>
        <v>976278.61965467641</v>
      </c>
      <c r="I138" s="105">
        <f t="shared" si="2"/>
        <v>743770.10154267354</v>
      </c>
      <c r="J138" s="105">
        <f t="shared" si="2"/>
        <v>1036640.5177457277</v>
      </c>
      <c r="K138" s="105">
        <f t="shared" si="2"/>
        <v>1132500.5325971104</v>
      </c>
      <c r="L138" s="105">
        <f t="shared" si="2"/>
        <v>795707.42754738103</v>
      </c>
      <c r="M138" s="105">
        <f t="shared" si="2"/>
        <v>802953.7211496575</v>
      </c>
      <c r="N138" s="105">
        <f t="shared" si="2"/>
        <v>962800.78513398033</v>
      </c>
      <c r="O138" s="105">
        <f t="shared" si="2"/>
        <v>1205787.2922040415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5"/>
  </cols>
  <sheetData>
    <row r="2" spans="1:99" x14ac:dyDescent="0.2">
      <c r="B2" s="107" t="s">
        <v>272</v>
      </c>
    </row>
    <row r="3" spans="1:99" x14ac:dyDescent="0.2">
      <c r="B3" s="108" t="s">
        <v>281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6</v>
      </c>
      <c r="E6" s="105">
        <v>4096.7999999999993</v>
      </c>
      <c r="F6" s="105">
        <v>6</v>
      </c>
      <c r="G6" s="105">
        <v>4096.7999999999993</v>
      </c>
      <c r="H6" s="105">
        <v>5</v>
      </c>
      <c r="I6" s="105">
        <v>3414</v>
      </c>
      <c r="J6" s="105">
        <v>4</v>
      </c>
      <c r="K6" s="105">
        <v>2731.2</v>
      </c>
      <c r="L6" s="105">
        <v>6</v>
      </c>
      <c r="M6" s="105">
        <v>4096.7999999999993</v>
      </c>
      <c r="N6" s="105">
        <v>5</v>
      </c>
      <c r="O6" s="105">
        <v>3414</v>
      </c>
      <c r="P6" s="105">
        <v>5</v>
      </c>
      <c r="Q6" s="105">
        <v>3414</v>
      </c>
      <c r="R6" s="105">
        <v>5</v>
      </c>
      <c r="S6" s="105">
        <v>3414</v>
      </c>
      <c r="T6" s="105">
        <v>6</v>
      </c>
      <c r="U6" s="105">
        <v>4096.7999999999993</v>
      </c>
      <c r="V6" s="105">
        <v>4</v>
      </c>
      <c r="W6" s="105">
        <v>2731.2</v>
      </c>
      <c r="X6" s="105">
        <v>7</v>
      </c>
      <c r="Y6" s="105">
        <v>4779.5999999999995</v>
      </c>
      <c r="Z6" s="105">
        <v>7</v>
      </c>
      <c r="AA6" s="105">
        <v>4779.5999999999995</v>
      </c>
      <c r="AB6" s="105">
        <v>5</v>
      </c>
      <c r="AC6" s="105">
        <v>3414</v>
      </c>
      <c r="AD6" s="105">
        <v>5</v>
      </c>
      <c r="AE6" s="105">
        <v>3414</v>
      </c>
      <c r="AF6" s="105">
        <v>6</v>
      </c>
      <c r="AG6" s="105">
        <v>4096.7999999999993</v>
      </c>
      <c r="AH6" s="105">
        <v>8</v>
      </c>
      <c r="AI6" s="105">
        <v>5462.4</v>
      </c>
      <c r="AJ6" s="105">
        <v>6</v>
      </c>
      <c r="AK6" s="105">
        <v>4096.7999999999993</v>
      </c>
      <c r="AL6" s="105">
        <v>4</v>
      </c>
      <c r="AM6" s="105">
        <v>2731.2</v>
      </c>
      <c r="AN6" s="105">
        <v>5</v>
      </c>
      <c r="AO6" s="105">
        <v>3414</v>
      </c>
      <c r="AP6" s="105">
        <v>8</v>
      </c>
      <c r="AQ6" s="105">
        <v>5462.4</v>
      </c>
      <c r="AR6" s="105">
        <v>6</v>
      </c>
      <c r="AS6" s="105">
        <v>4096.7999999999993</v>
      </c>
      <c r="AT6" s="105">
        <v>5</v>
      </c>
      <c r="AU6" s="105">
        <v>3414</v>
      </c>
      <c r="AV6" s="105">
        <v>6</v>
      </c>
      <c r="AW6" s="105">
        <v>4096.7999999999993</v>
      </c>
      <c r="AX6" s="105">
        <v>7</v>
      </c>
      <c r="AY6" s="105">
        <v>4779.5999999999995</v>
      </c>
      <c r="AZ6" s="105">
        <v>6</v>
      </c>
      <c r="BA6" s="105">
        <v>4096.7999999999993</v>
      </c>
      <c r="BB6" s="105">
        <v>5</v>
      </c>
      <c r="BC6" s="105">
        <v>3414</v>
      </c>
      <c r="BD6" s="105">
        <v>6</v>
      </c>
      <c r="BE6" s="105">
        <v>4096.7999999999993</v>
      </c>
      <c r="BF6" s="105">
        <v>5</v>
      </c>
      <c r="BG6" s="105">
        <v>3414</v>
      </c>
      <c r="BH6" s="105">
        <v>7</v>
      </c>
      <c r="BI6" s="105">
        <v>4779.5999999999995</v>
      </c>
      <c r="BJ6" s="105">
        <v>7</v>
      </c>
      <c r="BK6" s="105">
        <v>4779.5999999999995</v>
      </c>
      <c r="BL6" s="105">
        <v>5</v>
      </c>
      <c r="BM6" s="105">
        <v>3414</v>
      </c>
      <c r="BN6" s="105">
        <v>6</v>
      </c>
      <c r="BO6" s="105">
        <v>4096.7999999999993</v>
      </c>
      <c r="BP6" s="105">
        <v>6</v>
      </c>
      <c r="BQ6" s="105">
        <v>4096.7999999999993</v>
      </c>
      <c r="BR6" s="105">
        <v>5</v>
      </c>
      <c r="BS6" s="105">
        <v>3414</v>
      </c>
      <c r="BT6" s="105">
        <v>8</v>
      </c>
      <c r="BU6" s="105">
        <v>5462.4</v>
      </c>
      <c r="BV6" s="105">
        <v>7</v>
      </c>
      <c r="BW6" s="105">
        <v>4779.5999999999995</v>
      </c>
      <c r="BX6" s="105">
        <v>9</v>
      </c>
      <c r="BY6" s="105">
        <v>6145.2</v>
      </c>
      <c r="BZ6" s="105">
        <v>5</v>
      </c>
      <c r="CA6" s="105">
        <v>3414</v>
      </c>
      <c r="CB6" s="105">
        <v>8</v>
      </c>
      <c r="CC6" s="105">
        <v>5462.4</v>
      </c>
      <c r="CD6" s="105">
        <v>6</v>
      </c>
      <c r="CE6" s="105">
        <v>4096.7999999999993</v>
      </c>
      <c r="CF6" s="105">
        <v>6</v>
      </c>
      <c r="CG6" s="105">
        <v>4096.7999999999993</v>
      </c>
      <c r="CH6" s="105">
        <v>7</v>
      </c>
      <c r="CI6" s="105">
        <v>4779.5999999999995</v>
      </c>
      <c r="CJ6" s="105">
        <v>6</v>
      </c>
      <c r="CK6" s="105">
        <v>4096.7999999999993</v>
      </c>
      <c r="CL6" s="105">
        <v>8</v>
      </c>
      <c r="CM6" s="105">
        <v>5462.4</v>
      </c>
      <c r="CN6" s="105">
        <v>6</v>
      </c>
      <c r="CO6" s="105">
        <v>4096.7999999999993</v>
      </c>
      <c r="CP6" s="105">
        <v>4</v>
      </c>
      <c r="CQ6" s="105">
        <v>2731.2</v>
      </c>
      <c r="CR6" s="105">
        <v>6</v>
      </c>
      <c r="CS6" s="105">
        <v>4096.7999999999993</v>
      </c>
      <c r="CT6" s="105">
        <v>6</v>
      </c>
      <c r="CU6" s="105">
        <v>4096.7999999999993</v>
      </c>
    </row>
    <row r="7" spans="1:99" x14ac:dyDescent="0.2">
      <c r="C7" s="104" t="s">
        <v>173</v>
      </c>
      <c r="D7" s="105">
        <v>6</v>
      </c>
      <c r="E7" s="105">
        <v>5176.7999999999993</v>
      </c>
      <c r="F7" s="105">
        <v>5</v>
      </c>
      <c r="G7" s="105">
        <v>4314</v>
      </c>
      <c r="H7" s="105">
        <v>5</v>
      </c>
      <c r="I7" s="105">
        <v>4314</v>
      </c>
      <c r="J7" s="105">
        <v>4</v>
      </c>
      <c r="K7" s="105">
        <v>3451.2</v>
      </c>
      <c r="L7" s="105">
        <v>7</v>
      </c>
      <c r="M7" s="105">
        <v>6039.5999999999995</v>
      </c>
      <c r="N7" s="105">
        <v>5</v>
      </c>
      <c r="O7" s="105">
        <v>4314</v>
      </c>
      <c r="P7" s="105">
        <v>5</v>
      </c>
      <c r="Q7" s="105">
        <v>4314</v>
      </c>
      <c r="R7" s="105">
        <v>5</v>
      </c>
      <c r="S7" s="105">
        <v>4314</v>
      </c>
      <c r="T7" s="105">
        <v>6</v>
      </c>
      <c r="U7" s="105">
        <v>5176.7999999999993</v>
      </c>
      <c r="V7" s="105">
        <v>4</v>
      </c>
      <c r="W7" s="105">
        <v>3451.2</v>
      </c>
      <c r="X7" s="105">
        <v>7</v>
      </c>
      <c r="Y7" s="105">
        <v>6039.5999999999995</v>
      </c>
      <c r="Z7" s="105">
        <v>7</v>
      </c>
      <c r="AA7" s="105">
        <v>6039.5999999999995</v>
      </c>
      <c r="AB7" s="105">
        <v>5</v>
      </c>
      <c r="AC7" s="105">
        <v>4314</v>
      </c>
      <c r="AD7" s="105">
        <v>5</v>
      </c>
      <c r="AE7" s="105">
        <v>4314</v>
      </c>
      <c r="AF7" s="105">
        <v>6</v>
      </c>
      <c r="AG7" s="105">
        <v>5176.7999999999993</v>
      </c>
      <c r="AH7" s="105">
        <v>8</v>
      </c>
      <c r="AI7" s="105">
        <v>6902.4</v>
      </c>
      <c r="AJ7" s="105">
        <v>6</v>
      </c>
      <c r="AK7" s="105">
        <v>5176.7999999999993</v>
      </c>
      <c r="AL7" s="105">
        <v>4</v>
      </c>
      <c r="AM7" s="105">
        <v>3451.2</v>
      </c>
      <c r="AN7" s="105">
        <v>6</v>
      </c>
      <c r="AO7" s="105">
        <v>5176.7999999999993</v>
      </c>
      <c r="AP7" s="105">
        <v>8</v>
      </c>
      <c r="AQ7" s="105">
        <v>6902.4</v>
      </c>
      <c r="AR7" s="105">
        <v>6</v>
      </c>
      <c r="AS7" s="105">
        <v>5176.7999999999993</v>
      </c>
      <c r="AT7" s="105">
        <v>6</v>
      </c>
      <c r="AU7" s="105">
        <v>5176.7999999999993</v>
      </c>
      <c r="AV7" s="105">
        <v>6</v>
      </c>
      <c r="AW7" s="105">
        <v>5176.7999999999993</v>
      </c>
      <c r="AX7" s="105">
        <v>6</v>
      </c>
      <c r="AY7" s="105">
        <v>5176.7999999999993</v>
      </c>
      <c r="AZ7" s="105">
        <v>6</v>
      </c>
      <c r="BA7" s="105">
        <v>5176.7999999999993</v>
      </c>
      <c r="BB7" s="105">
        <v>4</v>
      </c>
      <c r="BC7" s="105">
        <v>3451.2</v>
      </c>
      <c r="BD7" s="105">
        <v>5</v>
      </c>
      <c r="BE7" s="105">
        <v>4314</v>
      </c>
      <c r="BF7" s="105">
        <v>6</v>
      </c>
      <c r="BG7" s="105">
        <v>5176.7999999999993</v>
      </c>
      <c r="BH7" s="105">
        <v>8</v>
      </c>
      <c r="BI7" s="105">
        <v>6902.4</v>
      </c>
      <c r="BJ7" s="105">
        <v>5</v>
      </c>
      <c r="BK7" s="105">
        <v>4314</v>
      </c>
      <c r="BL7" s="105">
        <v>5</v>
      </c>
      <c r="BM7" s="105">
        <v>4314</v>
      </c>
      <c r="BN7" s="105">
        <v>5</v>
      </c>
      <c r="BO7" s="105">
        <v>4314</v>
      </c>
      <c r="BP7" s="105">
        <v>6</v>
      </c>
      <c r="BQ7" s="105">
        <v>5176.7999999999993</v>
      </c>
      <c r="BR7" s="105">
        <v>5</v>
      </c>
      <c r="BS7" s="105">
        <v>4314</v>
      </c>
      <c r="BT7" s="105">
        <v>7</v>
      </c>
      <c r="BU7" s="105">
        <v>6039.5999999999995</v>
      </c>
      <c r="BV7" s="105">
        <v>6</v>
      </c>
      <c r="BW7" s="105">
        <v>5176.7999999999993</v>
      </c>
      <c r="BX7" s="105">
        <v>8</v>
      </c>
      <c r="BY7" s="105">
        <v>6902.4</v>
      </c>
      <c r="BZ7" s="105">
        <v>5</v>
      </c>
      <c r="CA7" s="105">
        <v>4314</v>
      </c>
      <c r="CB7" s="105">
        <v>8</v>
      </c>
      <c r="CC7" s="105">
        <v>6902.4</v>
      </c>
      <c r="CD7" s="105">
        <v>6</v>
      </c>
      <c r="CE7" s="105">
        <v>5176.7999999999993</v>
      </c>
      <c r="CF7" s="105">
        <v>7</v>
      </c>
      <c r="CG7" s="105">
        <v>6039.5999999999995</v>
      </c>
      <c r="CH7" s="105">
        <v>9</v>
      </c>
      <c r="CI7" s="105">
        <v>7765.2</v>
      </c>
      <c r="CJ7" s="105">
        <v>6</v>
      </c>
      <c r="CK7" s="105">
        <v>5176.7999999999993</v>
      </c>
      <c r="CL7" s="105">
        <v>9</v>
      </c>
      <c r="CM7" s="105">
        <v>7765.2</v>
      </c>
      <c r="CN7" s="105">
        <v>6</v>
      </c>
      <c r="CO7" s="105">
        <v>5176.7999999999993</v>
      </c>
      <c r="CP7" s="105">
        <v>4</v>
      </c>
      <c r="CQ7" s="105">
        <v>3451.2</v>
      </c>
      <c r="CR7" s="105">
        <v>6</v>
      </c>
      <c r="CS7" s="105">
        <v>5176.7999999999993</v>
      </c>
      <c r="CT7" s="105">
        <v>6</v>
      </c>
      <c r="CU7" s="105">
        <v>5176.7999999999993</v>
      </c>
    </row>
    <row r="8" spans="1:99" x14ac:dyDescent="0.2">
      <c r="C8" s="104" t="s">
        <v>174</v>
      </c>
      <c r="D8" s="105">
        <v>8</v>
      </c>
      <c r="E8" s="105">
        <v>2620.7999999999997</v>
      </c>
      <c r="F8" s="105">
        <v>5</v>
      </c>
      <c r="G8" s="105">
        <v>1637.9999999999998</v>
      </c>
      <c r="H8" s="105">
        <v>5</v>
      </c>
      <c r="I8" s="105">
        <v>1637.9999999999998</v>
      </c>
      <c r="J8" s="105">
        <v>4</v>
      </c>
      <c r="K8" s="105">
        <v>1310.3999999999999</v>
      </c>
      <c r="L8" s="105">
        <v>6</v>
      </c>
      <c r="M8" s="105">
        <v>1965.6</v>
      </c>
      <c r="N8" s="105">
        <v>5</v>
      </c>
      <c r="O8" s="105">
        <v>1637.9999999999998</v>
      </c>
      <c r="P8" s="105">
        <v>6</v>
      </c>
      <c r="Q8" s="105">
        <v>1965.6</v>
      </c>
      <c r="R8" s="105">
        <v>5</v>
      </c>
      <c r="S8" s="105">
        <v>1637.9999999999998</v>
      </c>
      <c r="T8" s="105">
        <v>6</v>
      </c>
      <c r="U8" s="105">
        <v>1965.6</v>
      </c>
      <c r="V8" s="105">
        <v>4</v>
      </c>
      <c r="W8" s="105">
        <v>1310.3999999999999</v>
      </c>
      <c r="X8" s="105">
        <v>8</v>
      </c>
      <c r="Y8" s="105">
        <v>2620.7999999999997</v>
      </c>
      <c r="Z8" s="105">
        <v>6</v>
      </c>
      <c r="AA8" s="105">
        <v>1965.6</v>
      </c>
      <c r="AB8" s="105">
        <v>5</v>
      </c>
      <c r="AC8" s="105">
        <v>1637.9999999999998</v>
      </c>
      <c r="AD8" s="105">
        <v>6</v>
      </c>
      <c r="AE8" s="105">
        <v>1965.6</v>
      </c>
      <c r="AF8" s="105">
        <v>7</v>
      </c>
      <c r="AG8" s="105">
        <v>2293.1999999999998</v>
      </c>
      <c r="AH8" s="105">
        <v>8</v>
      </c>
      <c r="AI8" s="105">
        <v>2620.7999999999997</v>
      </c>
      <c r="AJ8" s="105">
        <v>6</v>
      </c>
      <c r="AK8" s="105">
        <v>1965.6</v>
      </c>
      <c r="AL8" s="105">
        <v>5</v>
      </c>
      <c r="AM8" s="105">
        <v>1637.9999999999998</v>
      </c>
      <c r="AN8" s="105">
        <v>5</v>
      </c>
      <c r="AO8" s="105">
        <v>1637.9999999999998</v>
      </c>
      <c r="AP8" s="105">
        <v>8</v>
      </c>
      <c r="AQ8" s="105">
        <v>2620.7999999999997</v>
      </c>
      <c r="AR8" s="105">
        <v>7</v>
      </c>
      <c r="AS8" s="105">
        <v>2293.1999999999998</v>
      </c>
      <c r="AT8" s="105">
        <v>5</v>
      </c>
      <c r="AU8" s="105">
        <v>1637.9999999999998</v>
      </c>
      <c r="AV8" s="105">
        <v>6</v>
      </c>
      <c r="AW8" s="105">
        <v>1965.6</v>
      </c>
      <c r="AX8" s="105">
        <v>7</v>
      </c>
      <c r="AY8" s="105">
        <v>2293.1999999999998</v>
      </c>
      <c r="AZ8" s="105">
        <v>5</v>
      </c>
      <c r="BA8" s="105">
        <v>1637.9999999999998</v>
      </c>
      <c r="BB8" s="105">
        <v>5</v>
      </c>
      <c r="BC8" s="105">
        <v>1637.9999999999998</v>
      </c>
      <c r="BD8" s="105">
        <v>5</v>
      </c>
      <c r="BE8" s="105">
        <v>1637.9999999999998</v>
      </c>
      <c r="BF8" s="105">
        <v>6</v>
      </c>
      <c r="BG8" s="105">
        <v>1965.6</v>
      </c>
      <c r="BH8" s="105">
        <v>7</v>
      </c>
      <c r="BI8" s="105">
        <v>2293.1999999999998</v>
      </c>
      <c r="BJ8" s="105">
        <v>6</v>
      </c>
      <c r="BK8" s="105">
        <v>1965.6</v>
      </c>
      <c r="BL8" s="105">
        <v>6</v>
      </c>
      <c r="BM8" s="105">
        <v>1965.6</v>
      </c>
      <c r="BN8" s="105">
        <v>5</v>
      </c>
      <c r="BO8" s="105">
        <v>1637.9999999999998</v>
      </c>
      <c r="BP8" s="105">
        <v>6</v>
      </c>
      <c r="BQ8" s="105">
        <v>1965.6</v>
      </c>
      <c r="BR8" s="105">
        <v>6</v>
      </c>
      <c r="BS8" s="105">
        <v>1965.6</v>
      </c>
      <c r="BT8" s="105">
        <v>8</v>
      </c>
      <c r="BU8" s="105">
        <v>2620.7999999999997</v>
      </c>
      <c r="BV8" s="105">
        <v>6</v>
      </c>
      <c r="BW8" s="105">
        <v>1965.6</v>
      </c>
      <c r="BX8" s="105">
        <v>9</v>
      </c>
      <c r="BY8" s="105">
        <v>2948.3999999999996</v>
      </c>
      <c r="BZ8" s="105">
        <v>5</v>
      </c>
      <c r="CA8" s="105">
        <v>1637.9999999999998</v>
      </c>
      <c r="CB8" s="105">
        <v>9</v>
      </c>
      <c r="CC8" s="105">
        <v>2948.3999999999996</v>
      </c>
      <c r="CD8" s="105">
        <v>6</v>
      </c>
      <c r="CE8" s="105">
        <v>1965.6</v>
      </c>
      <c r="CF8" s="105">
        <v>7</v>
      </c>
      <c r="CG8" s="105">
        <v>2293.1999999999998</v>
      </c>
      <c r="CH8" s="105">
        <v>9</v>
      </c>
      <c r="CI8" s="105">
        <v>2948.3999999999996</v>
      </c>
      <c r="CJ8" s="105">
        <v>7</v>
      </c>
      <c r="CK8" s="105">
        <v>2293.1999999999998</v>
      </c>
      <c r="CL8" s="105">
        <v>9</v>
      </c>
      <c r="CM8" s="105">
        <v>2948.3999999999996</v>
      </c>
      <c r="CN8" s="105">
        <v>6</v>
      </c>
      <c r="CO8" s="105">
        <v>1965.6</v>
      </c>
      <c r="CP8" s="105">
        <v>5</v>
      </c>
      <c r="CQ8" s="105">
        <v>1637.9999999999998</v>
      </c>
      <c r="CR8" s="105">
        <v>6</v>
      </c>
      <c r="CS8" s="105">
        <v>1965.6</v>
      </c>
      <c r="CT8" s="105">
        <v>7</v>
      </c>
      <c r="CU8" s="105">
        <v>2293.1999999999998</v>
      </c>
    </row>
    <row r="9" spans="1:99" x14ac:dyDescent="0.2">
      <c r="C9" s="104" t="s">
        <v>175</v>
      </c>
      <c r="D9" s="105">
        <v>6</v>
      </c>
      <c r="E9" s="105">
        <v>4816.7999999999993</v>
      </c>
      <c r="F9" s="105">
        <v>5</v>
      </c>
      <c r="G9" s="105">
        <v>4014</v>
      </c>
      <c r="H9" s="105">
        <v>5</v>
      </c>
      <c r="I9" s="105">
        <v>4014</v>
      </c>
      <c r="J9" s="105">
        <v>4</v>
      </c>
      <c r="K9" s="105">
        <v>3211.2</v>
      </c>
      <c r="L9" s="105">
        <v>6</v>
      </c>
      <c r="M9" s="105">
        <v>4816.7999999999993</v>
      </c>
      <c r="N9" s="105">
        <v>5</v>
      </c>
      <c r="O9" s="105">
        <v>4014</v>
      </c>
      <c r="P9" s="105">
        <v>5</v>
      </c>
      <c r="Q9" s="105">
        <v>4014</v>
      </c>
      <c r="R9" s="105">
        <v>5</v>
      </c>
      <c r="S9" s="105">
        <v>4014</v>
      </c>
      <c r="T9" s="105">
        <v>6</v>
      </c>
      <c r="U9" s="105">
        <v>4816.7999999999993</v>
      </c>
      <c r="V9" s="105">
        <v>4</v>
      </c>
      <c r="W9" s="105">
        <v>3211.2</v>
      </c>
      <c r="X9" s="105">
        <v>7</v>
      </c>
      <c r="Y9" s="105">
        <v>5619.5999999999995</v>
      </c>
      <c r="Z9" s="105">
        <v>6</v>
      </c>
      <c r="AA9" s="105">
        <v>4816.7999999999993</v>
      </c>
      <c r="AB9" s="105">
        <v>5</v>
      </c>
      <c r="AC9" s="105">
        <v>4014</v>
      </c>
      <c r="AD9" s="105">
        <v>5</v>
      </c>
      <c r="AE9" s="105">
        <v>4014</v>
      </c>
      <c r="AF9" s="105">
        <v>7</v>
      </c>
      <c r="AG9" s="105">
        <v>5619.5999999999995</v>
      </c>
      <c r="AH9" s="105">
        <v>7</v>
      </c>
      <c r="AI9" s="105">
        <v>5619.5999999999995</v>
      </c>
      <c r="AJ9" s="105">
        <v>5</v>
      </c>
      <c r="AK9" s="105">
        <v>4014</v>
      </c>
      <c r="AL9" s="105">
        <v>4</v>
      </c>
      <c r="AM9" s="105">
        <v>3211.2</v>
      </c>
      <c r="AN9" s="105">
        <v>5</v>
      </c>
      <c r="AO9" s="105">
        <v>4014</v>
      </c>
      <c r="AP9" s="105">
        <v>8</v>
      </c>
      <c r="AQ9" s="105">
        <v>6422.4</v>
      </c>
      <c r="AR9" s="105">
        <v>6</v>
      </c>
      <c r="AS9" s="105">
        <v>4816.7999999999993</v>
      </c>
      <c r="AT9" s="105">
        <v>5</v>
      </c>
      <c r="AU9" s="105">
        <v>4014</v>
      </c>
      <c r="AV9" s="105">
        <v>6</v>
      </c>
      <c r="AW9" s="105">
        <v>4816.7999999999993</v>
      </c>
      <c r="AX9" s="105">
        <v>7</v>
      </c>
      <c r="AY9" s="105">
        <v>5619.5999999999995</v>
      </c>
      <c r="AZ9" s="105">
        <v>5</v>
      </c>
      <c r="BA9" s="105">
        <v>4014</v>
      </c>
      <c r="BB9" s="105">
        <v>5</v>
      </c>
      <c r="BC9" s="105">
        <v>4014</v>
      </c>
      <c r="BD9" s="105">
        <v>5</v>
      </c>
      <c r="BE9" s="105">
        <v>4014</v>
      </c>
      <c r="BF9" s="105">
        <v>5</v>
      </c>
      <c r="BG9" s="105">
        <v>4014</v>
      </c>
      <c r="BH9" s="105">
        <v>7</v>
      </c>
      <c r="BI9" s="105">
        <v>5619.5999999999995</v>
      </c>
      <c r="BJ9" s="105">
        <v>6</v>
      </c>
      <c r="BK9" s="105">
        <v>4816.7999999999993</v>
      </c>
      <c r="BL9" s="105">
        <v>6</v>
      </c>
      <c r="BM9" s="105">
        <v>4816.7999999999993</v>
      </c>
      <c r="BN9" s="105">
        <v>6</v>
      </c>
      <c r="BO9" s="105">
        <v>4816.7999999999993</v>
      </c>
      <c r="BP9" s="105">
        <v>6</v>
      </c>
      <c r="BQ9" s="105">
        <v>4816.7999999999993</v>
      </c>
      <c r="BR9" s="105">
        <v>6</v>
      </c>
      <c r="BS9" s="105">
        <v>4816.7999999999993</v>
      </c>
      <c r="BT9" s="105">
        <v>8</v>
      </c>
      <c r="BU9" s="105">
        <v>6422.4</v>
      </c>
      <c r="BV9" s="105">
        <v>6</v>
      </c>
      <c r="BW9" s="105">
        <v>4816.7999999999993</v>
      </c>
      <c r="BX9" s="105">
        <v>8</v>
      </c>
      <c r="BY9" s="105">
        <v>6422.4</v>
      </c>
      <c r="BZ9" s="105">
        <v>5</v>
      </c>
      <c r="CA9" s="105">
        <v>4014</v>
      </c>
      <c r="CB9" s="105">
        <v>8</v>
      </c>
      <c r="CC9" s="105">
        <v>6422.4</v>
      </c>
      <c r="CD9" s="105">
        <v>6</v>
      </c>
      <c r="CE9" s="105">
        <v>4816.7999999999993</v>
      </c>
      <c r="CF9" s="105">
        <v>6</v>
      </c>
      <c r="CG9" s="105">
        <v>4816.7999999999993</v>
      </c>
      <c r="CH9" s="105">
        <v>8</v>
      </c>
      <c r="CI9" s="105">
        <v>6422.4</v>
      </c>
      <c r="CJ9" s="105">
        <v>6</v>
      </c>
      <c r="CK9" s="105">
        <v>4816.7999999999993</v>
      </c>
      <c r="CL9" s="105">
        <v>9</v>
      </c>
      <c r="CM9" s="105">
        <v>7225.2</v>
      </c>
      <c r="CN9" s="105">
        <v>6</v>
      </c>
      <c r="CO9" s="105">
        <v>4816.7999999999993</v>
      </c>
      <c r="CP9" s="105">
        <v>5</v>
      </c>
      <c r="CQ9" s="105">
        <v>4014</v>
      </c>
      <c r="CR9" s="105">
        <v>6</v>
      </c>
      <c r="CS9" s="105">
        <v>4816.7999999999993</v>
      </c>
      <c r="CT9" s="105">
        <v>6</v>
      </c>
      <c r="CU9" s="105">
        <v>4816.7999999999993</v>
      </c>
    </row>
    <row r="10" spans="1:99" x14ac:dyDescent="0.2">
      <c r="C10" s="104" t="s">
        <v>176</v>
      </c>
      <c r="D10" s="105">
        <v>7</v>
      </c>
      <c r="E10" s="105">
        <v>3897.5999999999995</v>
      </c>
      <c r="F10" s="105">
        <v>6</v>
      </c>
      <c r="G10" s="105">
        <v>3340.7999999999997</v>
      </c>
      <c r="H10" s="105">
        <v>5</v>
      </c>
      <c r="I10" s="105">
        <v>2784</v>
      </c>
      <c r="J10" s="105">
        <v>4</v>
      </c>
      <c r="K10" s="105">
        <v>2227.1999999999998</v>
      </c>
      <c r="L10" s="105">
        <v>6</v>
      </c>
      <c r="M10" s="105">
        <v>3340.7999999999997</v>
      </c>
      <c r="N10" s="105">
        <v>5</v>
      </c>
      <c r="O10" s="105">
        <v>2784</v>
      </c>
      <c r="P10" s="105">
        <v>6</v>
      </c>
      <c r="Q10" s="105">
        <v>3340.7999999999997</v>
      </c>
      <c r="R10" s="105">
        <v>4</v>
      </c>
      <c r="S10" s="105">
        <v>2227.1999999999998</v>
      </c>
      <c r="T10" s="105">
        <v>6</v>
      </c>
      <c r="U10" s="105">
        <v>3340.7999999999997</v>
      </c>
      <c r="V10" s="105">
        <v>4</v>
      </c>
      <c r="W10" s="105">
        <v>2227.1999999999998</v>
      </c>
      <c r="X10" s="105">
        <v>7</v>
      </c>
      <c r="Y10" s="105">
        <v>3897.5999999999995</v>
      </c>
      <c r="Z10" s="105">
        <v>7</v>
      </c>
      <c r="AA10" s="105">
        <v>3897.5999999999995</v>
      </c>
      <c r="AB10" s="105">
        <v>5</v>
      </c>
      <c r="AC10" s="105">
        <v>2784</v>
      </c>
      <c r="AD10" s="105">
        <v>5</v>
      </c>
      <c r="AE10" s="105">
        <v>2784</v>
      </c>
      <c r="AF10" s="105">
        <v>6</v>
      </c>
      <c r="AG10" s="105">
        <v>3340.7999999999997</v>
      </c>
      <c r="AH10" s="105">
        <v>7</v>
      </c>
      <c r="AI10" s="105">
        <v>3897.5999999999995</v>
      </c>
      <c r="AJ10" s="105">
        <v>6</v>
      </c>
      <c r="AK10" s="105">
        <v>3340.7999999999997</v>
      </c>
      <c r="AL10" s="105">
        <v>4</v>
      </c>
      <c r="AM10" s="105">
        <v>2227.1999999999998</v>
      </c>
      <c r="AN10" s="105">
        <v>5</v>
      </c>
      <c r="AO10" s="105">
        <v>2784</v>
      </c>
      <c r="AP10" s="105">
        <v>8</v>
      </c>
      <c r="AQ10" s="105">
        <v>4454.3999999999996</v>
      </c>
      <c r="AR10" s="105">
        <v>6</v>
      </c>
      <c r="AS10" s="105">
        <v>3340.7999999999997</v>
      </c>
      <c r="AT10" s="105">
        <v>5</v>
      </c>
      <c r="AU10" s="105">
        <v>2784</v>
      </c>
      <c r="AV10" s="105">
        <v>6</v>
      </c>
      <c r="AW10" s="105">
        <v>3340.7999999999997</v>
      </c>
      <c r="AX10" s="105">
        <v>7</v>
      </c>
      <c r="AY10" s="105">
        <v>3897.5999999999995</v>
      </c>
      <c r="AZ10" s="105">
        <v>5</v>
      </c>
      <c r="BA10" s="105">
        <v>2784</v>
      </c>
      <c r="BB10" s="105">
        <v>4</v>
      </c>
      <c r="BC10" s="105">
        <v>2227.1999999999998</v>
      </c>
      <c r="BD10" s="105">
        <v>5</v>
      </c>
      <c r="BE10" s="105">
        <v>2784</v>
      </c>
      <c r="BF10" s="105">
        <v>6</v>
      </c>
      <c r="BG10" s="105">
        <v>3340.7999999999997</v>
      </c>
      <c r="BH10" s="105">
        <v>7</v>
      </c>
      <c r="BI10" s="105">
        <v>3897.5999999999995</v>
      </c>
      <c r="BJ10" s="105">
        <v>6</v>
      </c>
      <c r="BK10" s="105">
        <v>3340.7999999999997</v>
      </c>
      <c r="BL10" s="105">
        <v>6</v>
      </c>
      <c r="BM10" s="105">
        <v>3340.7999999999997</v>
      </c>
      <c r="BN10" s="105">
        <v>6</v>
      </c>
      <c r="BO10" s="105">
        <v>3340.7999999999997</v>
      </c>
      <c r="BP10" s="105">
        <v>6</v>
      </c>
      <c r="BQ10" s="105">
        <v>3340.7999999999997</v>
      </c>
      <c r="BR10" s="105">
        <v>5</v>
      </c>
      <c r="BS10" s="105">
        <v>2784</v>
      </c>
      <c r="BT10" s="105">
        <v>9</v>
      </c>
      <c r="BU10" s="105">
        <v>5011.2</v>
      </c>
      <c r="BV10" s="105">
        <v>7</v>
      </c>
      <c r="BW10" s="105">
        <v>3897.5999999999995</v>
      </c>
      <c r="BX10" s="105">
        <v>8</v>
      </c>
      <c r="BY10" s="105">
        <v>4454.3999999999996</v>
      </c>
      <c r="BZ10" s="105">
        <v>5</v>
      </c>
      <c r="CA10" s="105">
        <v>2784</v>
      </c>
      <c r="CB10" s="105">
        <v>9</v>
      </c>
      <c r="CC10" s="105">
        <v>5011.2</v>
      </c>
      <c r="CD10" s="105">
        <v>6</v>
      </c>
      <c r="CE10" s="105">
        <v>3340.7999999999997</v>
      </c>
      <c r="CF10" s="105">
        <v>7</v>
      </c>
      <c r="CG10" s="105">
        <v>3897.5999999999995</v>
      </c>
      <c r="CH10" s="105">
        <v>8</v>
      </c>
      <c r="CI10" s="105">
        <v>4454.3999999999996</v>
      </c>
      <c r="CJ10" s="105">
        <v>6</v>
      </c>
      <c r="CK10" s="105">
        <v>3340.7999999999997</v>
      </c>
      <c r="CL10" s="105">
        <v>9</v>
      </c>
      <c r="CM10" s="105">
        <v>5011.2</v>
      </c>
      <c r="CN10" s="105">
        <v>6</v>
      </c>
      <c r="CO10" s="105">
        <v>3340.7999999999997</v>
      </c>
      <c r="CP10" s="105">
        <v>5</v>
      </c>
      <c r="CQ10" s="105">
        <v>2784</v>
      </c>
      <c r="CR10" s="105">
        <v>6</v>
      </c>
      <c r="CS10" s="105">
        <v>3340.7999999999997</v>
      </c>
      <c r="CT10" s="105">
        <v>6</v>
      </c>
      <c r="CU10" s="105">
        <v>3340.7999999999997</v>
      </c>
    </row>
    <row r="11" spans="1:99" x14ac:dyDescent="0.2">
      <c r="C11" s="104" t="s">
        <v>177</v>
      </c>
      <c r="D11" s="105">
        <v>7</v>
      </c>
      <c r="E11" s="105">
        <v>4191.5999999999995</v>
      </c>
      <c r="F11" s="105">
        <v>5</v>
      </c>
      <c r="G11" s="105">
        <v>2994</v>
      </c>
      <c r="H11" s="105">
        <v>5</v>
      </c>
      <c r="I11" s="105">
        <v>2994</v>
      </c>
      <c r="J11" s="105">
        <v>4</v>
      </c>
      <c r="K11" s="105">
        <v>2395.1999999999998</v>
      </c>
      <c r="L11" s="105">
        <v>6</v>
      </c>
      <c r="M11" s="105">
        <v>3592.7999999999997</v>
      </c>
      <c r="N11" s="105">
        <v>5</v>
      </c>
      <c r="O11" s="105">
        <v>2994</v>
      </c>
      <c r="P11" s="105">
        <v>6</v>
      </c>
      <c r="Q11" s="105">
        <v>3592.7999999999997</v>
      </c>
      <c r="R11" s="105">
        <v>5</v>
      </c>
      <c r="S11" s="105">
        <v>2994</v>
      </c>
      <c r="T11" s="105">
        <v>7</v>
      </c>
      <c r="U11" s="105">
        <v>4191.5999999999995</v>
      </c>
      <c r="V11" s="105">
        <v>4</v>
      </c>
      <c r="W11" s="105">
        <v>2395.1999999999998</v>
      </c>
      <c r="X11" s="105">
        <v>7</v>
      </c>
      <c r="Y11" s="105">
        <v>4191.5999999999995</v>
      </c>
      <c r="Z11" s="105">
        <v>7</v>
      </c>
      <c r="AA11" s="105">
        <v>4191.5999999999995</v>
      </c>
      <c r="AB11" s="105">
        <v>5</v>
      </c>
      <c r="AC11" s="105">
        <v>2994</v>
      </c>
      <c r="AD11" s="105">
        <v>5</v>
      </c>
      <c r="AE11" s="105">
        <v>2994</v>
      </c>
      <c r="AF11" s="105">
        <v>7</v>
      </c>
      <c r="AG11" s="105">
        <v>4191.5999999999995</v>
      </c>
      <c r="AH11" s="105">
        <v>7</v>
      </c>
      <c r="AI11" s="105">
        <v>4191.5999999999995</v>
      </c>
      <c r="AJ11" s="105">
        <v>6</v>
      </c>
      <c r="AK11" s="105">
        <v>3592.7999999999997</v>
      </c>
      <c r="AL11" s="105">
        <v>4</v>
      </c>
      <c r="AM11" s="105">
        <v>2395.1999999999998</v>
      </c>
      <c r="AN11" s="105">
        <v>5</v>
      </c>
      <c r="AO11" s="105">
        <v>2994</v>
      </c>
      <c r="AP11" s="105">
        <v>8</v>
      </c>
      <c r="AQ11" s="105">
        <v>4790.3999999999996</v>
      </c>
      <c r="AR11" s="105">
        <v>6</v>
      </c>
      <c r="AS11" s="105">
        <v>3592.7999999999997</v>
      </c>
      <c r="AT11" s="105">
        <v>6</v>
      </c>
      <c r="AU11" s="105">
        <v>3592.7999999999997</v>
      </c>
      <c r="AV11" s="105">
        <v>7</v>
      </c>
      <c r="AW11" s="105">
        <v>4191.5999999999995</v>
      </c>
      <c r="AX11" s="105">
        <v>7</v>
      </c>
      <c r="AY11" s="105">
        <v>4191.5999999999995</v>
      </c>
      <c r="AZ11" s="105">
        <v>5</v>
      </c>
      <c r="BA11" s="105">
        <v>2994</v>
      </c>
      <c r="BB11" s="105">
        <v>4</v>
      </c>
      <c r="BC11" s="105">
        <v>2395.1999999999998</v>
      </c>
      <c r="BD11" s="105">
        <v>5</v>
      </c>
      <c r="BE11" s="105">
        <v>2994</v>
      </c>
      <c r="BF11" s="105">
        <v>6</v>
      </c>
      <c r="BG11" s="105">
        <v>3592.7999999999997</v>
      </c>
      <c r="BH11" s="105">
        <v>8</v>
      </c>
      <c r="BI11" s="105">
        <v>4790.3999999999996</v>
      </c>
      <c r="BJ11" s="105">
        <v>6</v>
      </c>
      <c r="BK11" s="105">
        <v>3592.7999999999997</v>
      </c>
      <c r="BL11" s="105">
        <v>5</v>
      </c>
      <c r="BM11" s="105">
        <v>2994</v>
      </c>
      <c r="BN11" s="105">
        <v>5</v>
      </c>
      <c r="BO11" s="105">
        <v>2994</v>
      </c>
      <c r="BP11" s="105">
        <v>6</v>
      </c>
      <c r="BQ11" s="105">
        <v>3592.7999999999997</v>
      </c>
      <c r="BR11" s="105">
        <v>5</v>
      </c>
      <c r="BS11" s="105">
        <v>2994</v>
      </c>
      <c r="BT11" s="105">
        <v>9</v>
      </c>
      <c r="BU11" s="105">
        <v>5389.2</v>
      </c>
      <c r="BV11" s="105">
        <v>7</v>
      </c>
      <c r="BW11" s="105">
        <v>4191.5999999999995</v>
      </c>
      <c r="BX11" s="105">
        <v>8</v>
      </c>
      <c r="BY11" s="105">
        <v>4790.3999999999996</v>
      </c>
      <c r="BZ11" s="105">
        <v>5</v>
      </c>
      <c r="CA11" s="105">
        <v>2994</v>
      </c>
      <c r="CB11" s="105">
        <v>8</v>
      </c>
      <c r="CC11" s="105">
        <v>4790.3999999999996</v>
      </c>
      <c r="CD11" s="105">
        <v>6</v>
      </c>
      <c r="CE11" s="105">
        <v>3592.7999999999997</v>
      </c>
      <c r="CF11" s="105">
        <v>7</v>
      </c>
      <c r="CG11" s="105">
        <v>4191.5999999999995</v>
      </c>
      <c r="CH11" s="105">
        <v>8</v>
      </c>
      <c r="CI11" s="105">
        <v>4790.3999999999996</v>
      </c>
      <c r="CJ11" s="105">
        <v>6</v>
      </c>
      <c r="CK11" s="105">
        <v>3592.7999999999997</v>
      </c>
      <c r="CL11" s="105">
        <v>9</v>
      </c>
      <c r="CM11" s="105">
        <v>5389.2</v>
      </c>
      <c r="CN11" s="105">
        <v>6</v>
      </c>
      <c r="CO11" s="105">
        <v>3592.7999999999997</v>
      </c>
      <c r="CP11" s="105">
        <v>5</v>
      </c>
      <c r="CQ11" s="105">
        <v>2994</v>
      </c>
      <c r="CR11" s="105">
        <v>6</v>
      </c>
      <c r="CS11" s="105">
        <v>3592.7999999999997</v>
      </c>
      <c r="CT11" s="105">
        <v>6</v>
      </c>
      <c r="CU11" s="105">
        <v>3592.7999999999997</v>
      </c>
    </row>
    <row r="12" spans="1:99" x14ac:dyDescent="0.2">
      <c r="C12" s="104" t="s">
        <v>178</v>
      </c>
      <c r="D12" s="105">
        <v>7</v>
      </c>
      <c r="E12" s="105">
        <v>4233.5999999999995</v>
      </c>
      <c r="F12" s="105">
        <v>6</v>
      </c>
      <c r="G12" s="105">
        <v>3628.7999999999997</v>
      </c>
      <c r="H12" s="105">
        <v>6</v>
      </c>
      <c r="I12" s="105">
        <v>3628.7999999999997</v>
      </c>
      <c r="J12" s="105">
        <v>4</v>
      </c>
      <c r="K12" s="105">
        <v>2419.1999999999998</v>
      </c>
      <c r="L12" s="105">
        <v>6</v>
      </c>
      <c r="M12" s="105">
        <v>3628.7999999999997</v>
      </c>
      <c r="N12" s="105">
        <v>5</v>
      </c>
      <c r="O12" s="105">
        <v>3024</v>
      </c>
      <c r="P12" s="105">
        <v>6</v>
      </c>
      <c r="Q12" s="105">
        <v>3628.7999999999997</v>
      </c>
      <c r="R12" s="105">
        <v>5</v>
      </c>
      <c r="S12" s="105">
        <v>3024</v>
      </c>
      <c r="T12" s="105">
        <v>6</v>
      </c>
      <c r="U12" s="105">
        <v>3628.7999999999997</v>
      </c>
      <c r="V12" s="105">
        <v>4</v>
      </c>
      <c r="W12" s="105">
        <v>2419.1999999999998</v>
      </c>
      <c r="X12" s="105">
        <v>7</v>
      </c>
      <c r="Y12" s="105">
        <v>4233.5999999999995</v>
      </c>
      <c r="Z12" s="105">
        <v>7</v>
      </c>
      <c r="AA12" s="105">
        <v>4233.5999999999995</v>
      </c>
      <c r="AB12" s="105">
        <v>5</v>
      </c>
      <c r="AC12" s="105">
        <v>3024</v>
      </c>
      <c r="AD12" s="105">
        <v>5</v>
      </c>
      <c r="AE12" s="105">
        <v>3024</v>
      </c>
      <c r="AF12" s="105">
        <v>6</v>
      </c>
      <c r="AG12" s="105">
        <v>3628.7999999999997</v>
      </c>
      <c r="AH12" s="105">
        <v>7</v>
      </c>
      <c r="AI12" s="105">
        <v>4233.5999999999995</v>
      </c>
      <c r="AJ12" s="105">
        <v>6</v>
      </c>
      <c r="AK12" s="105">
        <v>3628.7999999999997</v>
      </c>
      <c r="AL12" s="105">
        <v>4</v>
      </c>
      <c r="AM12" s="105">
        <v>2419.1999999999998</v>
      </c>
      <c r="AN12" s="105">
        <v>5</v>
      </c>
      <c r="AO12" s="105">
        <v>3024</v>
      </c>
      <c r="AP12" s="105">
        <v>7</v>
      </c>
      <c r="AQ12" s="105">
        <v>4233.5999999999995</v>
      </c>
      <c r="AR12" s="105">
        <v>6</v>
      </c>
      <c r="AS12" s="105">
        <v>3628.7999999999997</v>
      </c>
      <c r="AT12" s="105">
        <v>5</v>
      </c>
      <c r="AU12" s="105">
        <v>3024</v>
      </c>
      <c r="AV12" s="105">
        <v>7</v>
      </c>
      <c r="AW12" s="105">
        <v>4233.5999999999995</v>
      </c>
      <c r="AX12" s="105">
        <v>7</v>
      </c>
      <c r="AY12" s="105">
        <v>4233.5999999999995</v>
      </c>
      <c r="AZ12" s="105">
        <v>5</v>
      </c>
      <c r="BA12" s="105">
        <v>3024</v>
      </c>
      <c r="BB12" s="105">
        <v>4</v>
      </c>
      <c r="BC12" s="105">
        <v>2419.1999999999998</v>
      </c>
      <c r="BD12" s="105">
        <v>5</v>
      </c>
      <c r="BE12" s="105">
        <v>3024</v>
      </c>
      <c r="BF12" s="105">
        <v>6</v>
      </c>
      <c r="BG12" s="105">
        <v>3628.7999999999997</v>
      </c>
      <c r="BH12" s="105">
        <v>7</v>
      </c>
      <c r="BI12" s="105">
        <v>4233.5999999999995</v>
      </c>
      <c r="BJ12" s="105">
        <v>7</v>
      </c>
      <c r="BK12" s="105">
        <v>4233.5999999999995</v>
      </c>
      <c r="BL12" s="105">
        <v>5</v>
      </c>
      <c r="BM12" s="105">
        <v>3024</v>
      </c>
      <c r="BN12" s="105">
        <v>6</v>
      </c>
      <c r="BO12" s="105">
        <v>3628.7999999999997</v>
      </c>
      <c r="BP12" s="105">
        <v>5</v>
      </c>
      <c r="BQ12" s="105">
        <v>3024</v>
      </c>
      <c r="BR12" s="105">
        <v>5</v>
      </c>
      <c r="BS12" s="105">
        <v>3024</v>
      </c>
      <c r="BT12" s="105">
        <v>8</v>
      </c>
      <c r="BU12" s="105">
        <v>4838.3999999999996</v>
      </c>
      <c r="BV12" s="105">
        <v>7</v>
      </c>
      <c r="BW12" s="105">
        <v>4233.5999999999995</v>
      </c>
      <c r="BX12" s="105">
        <v>7</v>
      </c>
      <c r="BY12" s="105">
        <v>4233.5999999999995</v>
      </c>
      <c r="BZ12" s="105">
        <v>6</v>
      </c>
      <c r="CA12" s="105">
        <v>3628.7999999999997</v>
      </c>
      <c r="CB12" s="105">
        <v>8</v>
      </c>
      <c r="CC12" s="105">
        <v>4838.3999999999996</v>
      </c>
      <c r="CD12" s="105">
        <v>6</v>
      </c>
      <c r="CE12" s="105">
        <v>3628.7999999999997</v>
      </c>
      <c r="CF12" s="105">
        <v>7</v>
      </c>
      <c r="CG12" s="105">
        <v>4233.5999999999995</v>
      </c>
      <c r="CH12" s="105">
        <v>8</v>
      </c>
      <c r="CI12" s="105">
        <v>4838.3999999999996</v>
      </c>
      <c r="CJ12" s="105">
        <v>6</v>
      </c>
      <c r="CK12" s="105">
        <v>3628.7999999999997</v>
      </c>
      <c r="CL12" s="105">
        <v>9</v>
      </c>
      <c r="CM12" s="105">
        <v>5443.2</v>
      </c>
      <c r="CN12" s="105">
        <v>6</v>
      </c>
      <c r="CO12" s="105">
        <v>3628.7999999999997</v>
      </c>
      <c r="CP12" s="105">
        <v>5</v>
      </c>
      <c r="CQ12" s="105">
        <v>3024</v>
      </c>
      <c r="CR12" s="105">
        <v>6</v>
      </c>
      <c r="CS12" s="105">
        <v>3628.7999999999997</v>
      </c>
      <c r="CT12" s="105">
        <v>6</v>
      </c>
      <c r="CU12" s="105">
        <v>3628.7999999999997</v>
      </c>
    </row>
    <row r="13" spans="1:99" x14ac:dyDescent="0.2">
      <c r="C13" s="104" t="s">
        <v>179</v>
      </c>
      <c r="D13" s="105">
        <v>7</v>
      </c>
      <c r="E13" s="105">
        <v>1167.5999999999999</v>
      </c>
      <c r="F13" s="105">
        <v>6</v>
      </c>
      <c r="G13" s="105">
        <v>1000.8</v>
      </c>
      <c r="H13" s="105">
        <v>6</v>
      </c>
      <c r="I13" s="105">
        <v>1000.8</v>
      </c>
      <c r="J13" s="105">
        <v>4</v>
      </c>
      <c r="K13" s="105">
        <v>667.19999999999993</v>
      </c>
      <c r="L13" s="105">
        <v>7</v>
      </c>
      <c r="M13" s="105">
        <v>1167.5999999999999</v>
      </c>
      <c r="N13" s="105">
        <v>5</v>
      </c>
      <c r="O13" s="105">
        <v>833.99999999999989</v>
      </c>
      <c r="P13" s="105">
        <v>6</v>
      </c>
      <c r="Q13" s="105">
        <v>1000.8</v>
      </c>
      <c r="R13" s="105">
        <v>5</v>
      </c>
      <c r="S13" s="105">
        <v>833.99999999999989</v>
      </c>
      <c r="T13" s="105">
        <v>6</v>
      </c>
      <c r="U13" s="105">
        <v>1000.8</v>
      </c>
      <c r="V13" s="105">
        <v>4</v>
      </c>
      <c r="W13" s="105">
        <v>667.19999999999993</v>
      </c>
      <c r="X13" s="105">
        <v>8</v>
      </c>
      <c r="Y13" s="105">
        <v>1334.3999999999999</v>
      </c>
      <c r="Z13" s="105">
        <v>8</v>
      </c>
      <c r="AA13" s="105">
        <v>1334.3999999999999</v>
      </c>
      <c r="AB13" s="105">
        <v>5</v>
      </c>
      <c r="AC13" s="105">
        <v>833.99999999999989</v>
      </c>
      <c r="AD13" s="105">
        <v>5</v>
      </c>
      <c r="AE13" s="105">
        <v>833.99999999999989</v>
      </c>
      <c r="AF13" s="105">
        <v>6</v>
      </c>
      <c r="AG13" s="105">
        <v>1000.8</v>
      </c>
      <c r="AH13" s="105">
        <v>8</v>
      </c>
      <c r="AI13" s="105">
        <v>1334.3999999999999</v>
      </c>
      <c r="AJ13" s="105">
        <v>6</v>
      </c>
      <c r="AK13" s="105">
        <v>1000.8</v>
      </c>
      <c r="AL13" s="105">
        <v>5</v>
      </c>
      <c r="AM13" s="105">
        <v>833.99999999999989</v>
      </c>
      <c r="AN13" s="105">
        <v>5</v>
      </c>
      <c r="AO13" s="105">
        <v>833.99999999999989</v>
      </c>
      <c r="AP13" s="105">
        <v>8</v>
      </c>
      <c r="AQ13" s="105">
        <v>1334.3999999999999</v>
      </c>
      <c r="AR13" s="105">
        <v>6</v>
      </c>
      <c r="AS13" s="105">
        <v>1000.8</v>
      </c>
      <c r="AT13" s="105">
        <v>6</v>
      </c>
      <c r="AU13" s="105">
        <v>1000.8</v>
      </c>
      <c r="AV13" s="105">
        <v>7</v>
      </c>
      <c r="AW13" s="105">
        <v>1167.5999999999999</v>
      </c>
      <c r="AX13" s="105">
        <v>8</v>
      </c>
      <c r="AY13" s="105">
        <v>1334.3999999999999</v>
      </c>
      <c r="AZ13" s="105">
        <v>5</v>
      </c>
      <c r="BA13" s="105">
        <v>833.99999999999989</v>
      </c>
      <c r="BB13" s="105">
        <v>5</v>
      </c>
      <c r="BC13" s="105">
        <v>833.99999999999989</v>
      </c>
      <c r="BD13" s="105">
        <v>6</v>
      </c>
      <c r="BE13" s="105">
        <v>1000.8</v>
      </c>
      <c r="BF13" s="105">
        <v>7</v>
      </c>
      <c r="BG13" s="105">
        <v>1167.5999999999999</v>
      </c>
      <c r="BH13" s="105">
        <v>8</v>
      </c>
      <c r="BI13" s="105">
        <v>1334.3999999999999</v>
      </c>
      <c r="BJ13" s="105">
        <v>6</v>
      </c>
      <c r="BK13" s="105">
        <v>1000.8</v>
      </c>
      <c r="BL13" s="105">
        <v>5</v>
      </c>
      <c r="BM13" s="105">
        <v>833.99999999999989</v>
      </c>
      <c r="BN13" s="105">
        <v>6</v>
      </c>
      <c r="BO13" s="105">
        <v>1000.8</v>
      </c>
      <c r="BP13" s="105">
        <v>6</v>
      </c>
      <c r="BQ13" s="105">
        <v>1000.8</v>
      </c>
      <c r="BR13" s="105">
        <v>5</v>
      </c>
      <c r="BS13" s="105">
        <v>833.99999999999989</v>
      </c>
      <c r="BT13" s="105">
        <v>9</v>
      </c>
      <c r="BU13" s="105">
        <v>1501.1999999999998</v>
      </c>
      <c r="BV13" s="105">
        <v>7</v>
      </c>
      <c r="BW13" s="105">
        <v>1167.5999999999999</v>
      </c>
      <c r="BX13" s="105">
        <v>9</v>
      </c>
      <c r="BY13" s="105">
        <v>1501.1999999999998</v>
      </c>
      <c r="BZ13" s="105">
        <v>6</v>
      </c>
      <c r="CA13" s="105">
        <v>1000.8</v>
      </c>
      <c r="CB13" s="105">
        <v>9</v>
      </c>
      <c r="CC13" s="105">
        <v>1501.1999999999998</v>
      </c>
      <c r="CD13" s="105">
        <v>6</v>
      </c>
      <c r="CE13" s="105">
        <v>1000.8</v>
      </c>
      <c r="CF13" s="105">
        <v>7</v>
      </c>
      <c r="CG13" s="105">
        <v>1167.5999999999999</v>
      </c>
      <c r="CH13" s="105">
        <v>8</v>
      </c>
      <c r="CI13" s="105">
        <v>1334.3999999999999</v>
      </c>
      <c r="CJ13" s="105">
        <v>7</v>
      </c>
      <c r="CK13" s="105">
        <v>1167.5999999999999</v>
      </c>
      <c r="CL13" s="105">
        <v>8</v>
      </c>
      <c r="CM13" s="105">
        <v>1334.3999999999999</v>
      </c>
      <c r="CN13" s="105">
        <v>6</v>
      </c>
      <c r="CO13" s="105">
        <v>1000.8</v>
      </c>
      <c r="CP13" s="105">
        <v>5</v>
      </c>
      <c r="CQ13" s="105">
        <v>833.99999999999989</v>
      </c>
      <c r="CR13" s="105">
        <v>6</v>
      </c>
      <c r="CS13" s="105">
        <v>1000.8</v>
      </c>
      <c r="CT13" s="105">
        <v>6</v>
      </c>
      <c r="CU13" s="105">
        <v>1000.8</v>
      </c>
    </row>
    <row r="14" spans="1:99" x14ac:dyDescent="0.2">
      <c r="C14" s="104" t="s">
        <v>180</v>
      </c>
      <c r="D14" s="105">
        <v>7</v>
      </c>
      <c r="E14" s="105">
        <v>3494.4</v>
      </c>
      <c r="F14" s="105">
        <v>6</v>
      </c>
      <c r="G14" s="105">
        <v>2995.2</v>
      </c>
      <c r="H14" s="105">
        <v>5</v>
      </c>
      <c r="I14" s="105">
        <v>2496</v>
      </c>
      <c r="J14" s="105">
        <v>4</v>
      </c>
      <c r="K14" s="105">
        <v>1996.8</v>
      </c>
      <c r="L14" s="105">
        <v>7</v>
      </c>
      <c r="M14" s="105">
        <v>3494.4</v>
      </c>
      <c r="N14" s="105">
        <v>5</v>
      </c>
      <c r="O14" s="105">
        <v>2496</v>
      </c>
      <c r="P14" s="105">
        <v>5</v>
      </c>
      <c r="Q14" s="105">
        <v>2496</v>
      </c>
      <c r="R14" s="105">
        <v>5</v>
      </c>
      <c r="S14" s="105">
        <v>2496</v>
      </c>
      <c r="T14" s="105">
        <v>6</v>
      </c>
      <c r="U14" s="105">
        <v>2995.2</v>
      </c>
      <c r="V14" s="105">
        <v>4</v>
      </c>
      <c r="W14" s="105">
        <v>1996.8</v>
      </c>
      <c r="X14" s="105">
        <v>7</v>
      </c>
      <c r="Y14" s="105">
        <v>3494.4</v>
      </c>
      <c r="Z14" s="105">
        <v>6</v>
      </c>
      <c r="AA14" s="105">
        <v>2995.2</v>
      </c>
      <c r="AB14" s="105">
        <v>5</v>
      </c>
      <c r="AC14" s="105">
        <v>2496</v>
      </c>
      <c r="AD14" s="105">
        <v>5</v>
      </c>
      <c r="AE14" s="105">
        <v>2496</v>
      </c>
      <c r="AF14" s="105">
        <v>6</v>
      </c>
      <c r="AG14" s="105">
        <v>2995.2</v>
      </c>
      <c r="AH14" s="105">
        <v>7</v>
      </c>
      <c r="AI14" s="105">
        <v>3494.4</v>
      </c>
      <c r="AJ14" s="105">
        <v>5</v>
      </c>
      <c r="AK14" s="105">
        <v>2496</v>
      </c>
      <c r="AL14" s="105">
        <v>4</v>
      </c>
      <c r="AM14" s="105">
        <v>1996.8</v>
      </c>
      <c r="AN14" s="105">
        <v>5</v>
      </c>
      <c r="AO14" s="105">
        <v>2496</v>
      </c>
      <c r="AP14" s="105">
        <v>8</v>
      </c>
      <c r="AQ14" s="105">
        <v>3993.6</v>
      </c>
      <c r="AR14" s="105">
        <v>6</v>
      </c>
      <c r="AS14" s="105">
        <v>2995.2</v>
      </c>
      <c r="AT14" s="105">
        <v>5</v>
      </c>
      <c r="AU14" s="105">
        <v>2496</v>
      </c>
      <c r="AV14" s="105">
        <v>6</v>
      </c>
      <c r="AW14" s="105">
        <v>2995.2</v>
      </c>
      <c r="AX14" s="105">
        <v>8</v>
      </c>
      <c r="AY14" s="105">
        <v>3993.6</v>
      </c>
      <c r="AZ14" s="105">
        <v>5</v>
      </c>
      <c r="BA14" s="105">
        <v>2496</v>
      </c>
      <c r="BB14" s="105">
        <v>5</v>
      </c>
      <c r="BC14" s="105">
        <v>2496</v>
      </c>
      <c r="BD14" s="105">
        <v>5</v>
      </c>
      <c r="BE14" s="105">
        <v>2496</v>
      </c>
      <c r="BF14" s="105">
        <v>6</v>
      </c>
      <c r="BG14" s="105">
        <v>2995.2</v>
      </c>
      <c r="BH14" s="105">
        <v>7</v>
      </c>
      <c r="BI14" s="105">
        <v>3494.4</v>
      </c>
      <c r="BJ14" s="105">
        <v>7</v>
      </c>
      <c r="BK14" s="105">
        <v>3494.4</v>
      </c>
      <c r="BL14" s="105">
        <v>6</v>
      </c>
      <c r="BM14" s="105">
        <v>2995.2</v>
      </c>
      <c r="BN14" s="105">
        <v>5</v>
      </c>
      <c r="BO14" s="105">
        <v>2496</v>
      </c>
      <c r="BP14" s="105">
        <v>6</v>
      </c>
      <c r="BQ14" s="105">
        <v>2995.2</v>
      </c>
      <c r="BR14" s="105">
        <v>5</v>
      </c>
      <c r="BS14" s="105">
        <v>2496</v>
      </c>
      <c r="BT14" s="105">
        <v>8</v>
      </c>
      <c r="BU14" s="105">
        <v>3993.6</v>
      </c>
      <c r="BV14" s="105">
        <v>7</v>
      </c>
      <c r="BW14" s="105">
        <v>3494.4</v>
      </c>
      <c r="BX14" s="105">
        <v>8</v>
      </c>
      <c r="BY14" s="105">
        <v>3993.6</v>
      </c>
      <c r="BZ14" s="105">
        <v>6</v>
      </c>
      <c r="CA14" s="105">
        <v>2995.2</v>
      </c>
      <c r="CB14" s="105">
        <v>7</v>
      </c>
      <c r="CC14" s="105">
        <v>3494.4</v>
      </c>
      <c r="CD14" s="105">
        <v>6</v>
      </c>
      <c r="CE14" s="105">
        <v>2995.2</v>
      </c>
      <c r="CF14" s="105">
        <v>7</v>
      </c>
      <c r="CG14" s="105">
        <v>3494.4</v>
      </c>
      <c r="CH14" s="105">
        <v>8</v>
      </c>
      <c r="CI14" s="105">
        <v>3993.6</v>
      </c>
      <c r="CJ14" s="105">
        <v>6</v>
      </c>
      <c r="CK14" s="105">
        <v>2995.2</v>
      </c>
      <c r="CL14" s="105">
        <v>9</v>
      </c>
      <c r="CM14" s="105">
        <v>4492.8</v>
      </c>
      <c r="CN14" s="105">
        <v>6</v>
      </c>
      <c r="CO14" s="105">
        <v>2995.2</v>
      </c>
      <c r="CP14" s="105">
        <v>5</v>
      </c>
      <c r="CQ14" s="105">
        <v>2496</v>
      </c>
      <c r="CR14" s="105">
        <v>6</v>
      </c>
      <c r="CS14" s="105">
        <v>2995.2</v>
      </c>
      <c r="CT14" s="105">
        <v>7</v>
      </c>
      <c r="CU14" s="105">
        <v>3494.4</v>
      </c>
    </row>
    <row r="15" spans="1:99" x14ac:dyDescent="0.2">
      <c r="C15" s="104" t="s">
        <v>181</v>
      </c>
      <c r="D15" s="105">
        <v>6</v>
      </c>
      <c r="E15" s="105">
        <v>4946.3999999999996</v>
      </c>
      <c r="F15" s="105">
        <v>6</v>
      </c>
      <c r="G15" s="105">
        <v>4946.3999999999996</v>
      </c>
      <c r="H15" s="105">
        <v>6</v>
      </c>
      <c r="I15" s="105">
        <v>4946.3999999999996</v>
      </c>
      <c r="J15" s="105">
        <v>4</v>
      </c>
      <c r="K15" s="105">
        <v>3297.6</v>
      </c>
      <c r="L15" s="105">
        <v>7</v>
      </c>
      <c r="M15" s="105">
        <v>5770.8</v>
      </c>
      <c r="N15" s="105">
        <v>5</v>
      </c>
      <c r="O15" s="105">
        <v>4122</v>
      </c>
      <c r="P15" s="105">
        <v>6</v>
      </c>
      <c r="Q15" s="105">
        <v>4946.3999999999996</v>
      </c>
      <c r="R15" s="105">
        <v>5</v>
      </c>
      <c r="S15" s="105">
        <v>4122</v>
      </c>
      <c r="T15" s="105">
        <v>7</v>
      </c>
      <c r="U15" s="105">
        <v>5770.8</v>
      </c>
      <c r="V15" s="105">
        <v>4</v>
      </c>
      <c r="W15" s="105">
        <v>3297.6</v>
      </c>
      <c r="X15" s="105">
        <v>7</v>
      </c>
      <c r="Y15" s="105">
        <v>5770.8</v>
      </c>
      <c r="Z15" s="105">
        <v>7</v>
      </c>
      <c r="AA15" s="105">
        <v>5770.8</v>
      </c>
      <c r="AB15" s="105">
        <v>5</v>
      </c>
      <c r="AC15" s="105">
        <v>4122</v>
      </c>
      <c r="AD15" s="105">
        <v>6</v>
      </c>
      <c r="AE15" s="105">
        <v>4946.3999999999996</v>
      </c>
      <c r="AF15" s="105">
        <v>6</v>
      </c>
      <c r="AG15" s="105">
        <v>4946.3999999999996</v>
      </c>
      <c r="AH15" s="105">
        <v>8</v>
      </c>
      <c r="AI15" s="105">
        <v>6595.2</v>
      </c>
      <c r="AJ15" s="105">
        <v>6</v>
      </c>
      <c r="AK15" s="105">
        <v>4946.3999999999996</v>
      </c>
      <c r="AL15" s="105">
        <v>4</v>
      </c>
      <c r="AM15" s="105">
        <v>3297.6</v>
      </c>
      <c r="AN15" s="105">
        <v>5</v>
      </c>
      <c r="AO15" s="105">
        <v>4122</v>
      </c>
      <c r="AP15" s="105">
        <v>8</v>
      </c>
      <c r="AQ15" s="105">
        <v>6595.2</v>
      </c>
      <c r="AR15" s="105">
        <v>6</v>
      </c>
      <c r="AS15" s="105">
        <v>4946.3999999999996</v>
      </c>
      <c r="AT15" s="105">
        <v>5</v>
      </c>
      <c r="AU15" s="105">
        <v>4122</v>
      </c>
      <c r="AV15" s="105">
        <v>6</v>
      </c>
      <c r="AW15" s="105">
        <v>4946.3999999999996</v>
      </c>
      <c r="AX15" s="105">
        <v>7</v>
      </c>
      <c r="AY15" s="105">
        <v>5770.8</v>
      </c>
      <c r="AZ15" s="105">
        <v>5</v>
      </c>
      <c r="BA15" s="105">
        <v>4122</v>
      </c>
      <c r="BB15" s="105">
        <v>5</v>
      </c>
      <c r="BC15" s="105">
        <v>4122</v>
      </c>
      <c r="BD15" s="105">
        <v>5</v>
      </c>
      <c r="BE15" s="105">
        <v>4122</v>
      </c>
      <c r="BF15" s="105">
        <v>6</v>
      </c>
      <c r="BG15" s="105">
        <v>4946.3999999999996</v>
      </c>
      <c r="BH15" s="105">
        <v>7</v>
      </c>
      <c r="BI15" s="105">
        <v>5770.8</v>
      </c>
      <c r="BJ15" s="105">
        <v>6</v>
      </c>
      <c r="BK15" s="105">
        <v>4946.3999999999996</v>
      </c>
      <c r="BL15" s="105">
        <v>6</v>
      </c>
      <c r="BM15" s="105">
        <v>4946.3999999999996</v>
      </c>
      <c r="BN15" s="105">
        <v>6</v>
      </c>
      <c r="BO15" s="105">
        <v>4946.3999999999996</v>
      </c>
      <c r="BP15" s="105">
        <v>6</v>
      </c>
      <c r="BQ15" s="105">
        <v>4946.3999999999996</v>
      </c>
      <c r="BR15" s="105">
        <v>5</v>
      </c>
      <c r="BS15" s="105">
        <v>4122</v>
      </c>
      <c r="BT15" s="105">
        <v>9</v>
      </c>
      <c r="BU15" s="105">
        <v>7419.5999999999995</v>
      </c>
      <c r="BV15" s="105">
        <v>6</v>
      </c>
      <c r="BW15" s="105">
        <v>4946.3999999999996</v>
      </c>
      <c r="BX15" s="105">
        <v>9</v>
      </c>
      <c r="BY15" s="105">
        <v>7419.5999999999995</v>
      </c>
      <c r="BZ15" s="105">
        <v>5</v>
      </c>
      <c r="CA15" s="105">
        <v>4122</v>
      </c>
      <c r="CB15" s="105">
        <v>8</v>
      </c>
      <c r="CC15" s="105">
        <v>6595.2</v>
      </c>
      <c r="CD15" s="105">
        <v>6</v>
      </c>
      <c r="CE15" s="105">
        <v>4946.3999999999996</v>
      </c>
      <c r="CF15" s="105">
        <v>7</v>
      </c>
      <c r="CG15" s="105">
        <v>5770.8</v>
      </c>
      <c r="CH15" s="105">
        <v>8</v>
      </c>
      <c r="CI15" s="105">
        <v>6595.2</v>
      </c>
      <c r="CJ15" s="105">
        <v>6</v>
      </c>
      <c r="CK15" s="105">
        <v>4946.3999999999996</v>
      </c>
      <c r="CL15" s="105">
        <v>9</v>
      </c>
      <c r="CM15" s="105">
        <v>7419.5999999999995</v>
      </c>
      <c r="CN15" s="105">
        <v>6</v>
      </c>
      <c r="CO15" s="105">
        <v>4946.3999999999996</v>
      </c>
      <c r="CP15" s="105">
        <v>5</v>
      </c>
      <c r="CQ15" s="105">
        <v>4122</v>
      </c>
      <c r="CR15" s="105">
        <v>5</v>
      </c>
      <c r="CS15" s="105">
        <v>4122</v>
      </c>
      <c r="CT15" s="105">
        <v>6</v>
      </c>
      <c r="CU15" s="105">
        <v>4946.3999999999996</v>
      </c>
    </row>
    <row r="16" spans="1:99" x14ac:dyDescent="0.2">
      <c r="C16" s="104" t="s">
        <v>182</v>
      </c>
      <c r="D16" s="105">
        <v>7</v>
      </c>
      <c r="E16" s="105">
        <v>3561.5999999999995</v>
      </c>
      <c r="F16" s="105">
        <v>6</v>
      </c>
      <c r="G16" s="105">
        <v>3052.7999999999993</v>
      </c>
      <c r="H16" s="105">
        <v>5</v>
      </c>
      <c r="I16" s="105">
        <v>2543.9999999999995</v>
      </c>
      <c r="J16" s="105">
        <v>4</v>
      </c>
      <c r="K16" s="105">
        <v>2035.1999999999996</v>
      </c>
      <c r="L16" s="105">
        <v>7</v>
      </c>
      <c r="M16" s="105">
        <v>3561.5999999999995</v>
      </c>
      <c r="N16" s="105">
        <v>5</v>
      </c>
      <c r="O16" s="105">
        <v>2543.9999999999995</v>
      </c>
      <c r="P16" s="105">
        <v>6</v>
      </c>
      <c r="Q16" s="105">
        <v>3052.7999999999993</v>
      </c>
      <c r="R16" s="105">
        <v>4</v>
      </c>
      <c r="S16" s="105">
        <v>2035.1999999999996</v>
      </c>
      <c r="T16" s="105">
        <v>6</v>
      </c>
      <c r="U16" s="105">
        <v>3052.7999999999993</v>
      </c>
      <c r="V16" s="105">
        <v>4</v>
      </c>
      <c r="W16" s="105">
        <v>2035.1999999999996</v>
      </c>
      <c r="X16" s="105">
        <v>8</v>
      </c>
      <c r="Y16" s="105">
        <v>4070.3999999999992</v>
      </c>
      <c r="Z16" s="105">
        <v>6</v>
      </c>
      <c r="AA16" s="105">
        <v>3052.7999999999993</v>
      </c>
      <c r="AB16" s="105">
        <v>5</v>
      </c>
      <c r="AC16" s="105">
        <v>2543.9999999999995</v>
      </c>
      <c r="AD16" s="105">
        <v>5</v>
      </c>
      <c r="AE16" s="105">
        <v>2543.9999999999995</v>
      </c>
      <c r="AF16" s="105">
        <v>7</v>
      </c>
      <c r="AG16" s="105">
        <v>3561.5999999999995</v>
      </c>
      <c r="AH16" s="105">
        <v>7</v>
      </c>
      <c r="AI16" s="105">
        <v>3561.5999999999995</v>
      </c>
      <c r="AJ16" s="105">
        <v>6</v>
      </c>
      <c r="AK16" s="105">
        <v>3052.7999999999993</v>
      </c>
      <c r="AL16" s="105">
        <v>4</v>
      </c>
      <c r="AM16" s="105">
        <v>2035.1999999999996</v>
      </c>
      <c r="AN16" s="105">
        <v>5</v>
      </c>
      <c r="AO16" s="105">
        <v>2543.9999999999995</v>
      </c>
      <c r="AP16" s="105">
        <v>8</v>
      </c>
      <c r="AQ16" s="105">
        <v>4070.3999999999992</v>
      </c>
      <c r="AR16" s="105">
        <v>7</v>
      </c>
      <c r="AS16" s="105">
        <v>3561.5999999999995</v>
      </c>
      <c r="AT16" s="105">
        <v>5</v>
      </c>
      <c r="AU16" s="105">
        <v>2543.9999999999995</v>
      </c>
      <c r="AV16" s="105">
        <v>7</v>
      </c>
      <c r="AW16" s="105">
        <v>3561.5999999999995</v>
      </c>
      <c r="AX16" s="105">
        <v>7</v>
      </c>
      <c r="AY16" s="105">
        <v>3561.5999999999995</v>
      </c>
      <c r="AZ16" s="105">
        <v>6</v>
      </c>
      <c r="BA16" s="105">
        <v>3052.7999999999993</v>
      </c>
      <c r="BB16" s="105">
        <v>4</v>
      </c>
      <c r="BC16" s="105">
        <v>2035.1999999999996</v>
      </c>
      <c r="BD16" s="105">
        <v>5</v>
      </c>
      <c r="BE16" s="105">
        <v>2543.9999999999995</v>
      </c>
      <c r="BF16" s="105">
        <v>6</v>
      </c>
      <c r="BG16" s="105">
        <v>3052.7999999999993</v>
      </c>
      <c r="BH16" s="105">
        <v>7</v>
      </c>
      <c r="BI16" s="105">
        <v>3561.5999999999995</v>
      </c>
      <c r="BJ16" s="105">
        <v>6</v>
      </c>
      <c r="BK16" s="105">
        <v>3052.7999999999993</v>
      </c>
      <c r="BL16" s="105">
        <v>5</v>
      </c>
      <c r="BM16" s="105">
        <v>2543.9999999999995</v>
      </c>
      <c r="BN16" s="105">
        <v>5</v>
      </c>
      <c r="BO16" s="105">
        <v>2543.9999999999995</v>
      </c>
      <c r="BP16" s="105">
        <v>6</v>
      </c>
      <c r="BQ16" s="105">
        <v>3052.7999999999993</v>
      </c>
      <c r="BR16" s="105">
        <v>6</v>
      </c>
      <c r="BS16" s="105">
        <v>3052.7999999999993</v>
      </c>
      <c r="BT16" s="105">
        <v>8</v>
      </c>
      <c r="BU16" s="105">
        <v>4070.3999999999992</v>
      </c>
      <c r="BV16" s="105">
        <v>7</v>
      </c>
      <c r="BW16" s="105">
        <v>3561.5999999999995</v>
      </c>
      <c r="BX16" s="105">
        <v>8</v>
      </c>
      <c r="BY16" s="105">
        <v>4070.3999999999992</v>
      </c>
      <c r="BZ16" s="105">
        <v>5</v>
      </c>
      <c r="CA16" s="105">
        <v>2543.9999999999995</v>
      </c>
      <c r="CB16" s="105">
        <v>8</v>
      </c>
      <c r="CC16" s="105">
        <v>4070.3999999999992</v>
      </c>
      <c r="CD16" s="105">
        <v>6</v>
      </c>
      <c r="CE16" s="105">
        <v>3052.7999999999993</v>
      </c>
      <c r="CF16" s="105">
        <v>7</v>
      </c>
      <c r="CG16" s="105">
        <v>3561.5999999999995</v>
      </c>
      <c r="CH16" s="105">
        <v>8</v>
      </c>
      <c r="CI16" s="105">
        <v>4070.3999999999992</v>
      </c>
      <c r="CJ16" s="105">
        <v>6</v>
      </c>
      <c r="CK16" s="105">
        <v>3052.7999999999993</v>
      </c>
      <c r="CL16" s="105">
        <v>9</v>
      </c>
      <c r="CM16" s="105">
        <v>4579.1999999999989</v>
      </c>
      <c r="CN16" s="105">
        <v>6</v>
      </c>
      <c r="CO16" s="105">
        <v>3052.7999999999993</v>
      </c>
      <c r="CP16" s="105">
        <v>5</v>
      </c>
      <c r="CQ16" s="105">
        <v>2543.9999999999995</v>
      </c>
      <c r="CR16" s="105">
        <v>6</v>
      </c>
      <c r="CS16" s="105">
        <v>3052.7999999999993</v>
      </c>
      <c r="CT16" s="105">
        <v>6</v>
      </c>
      <c r="CU16" s="105">
        <v>3052.7999999999993</v>
      </c>
    </row>
    <row r="17" spans="2:99" x14ac:dyDescent="0.2">
      <c r="C17" s="104" t="s">
        <v>183</v>
      </c>
      <c r="D17" s="105">
        <v>7</v>
      </c>
      <c r="E17" s="105">
        <v>3477.5999999999995</v>
      </c>
      <c r="F17" s="105">
        <v>5</v>
      </c>
      <c r="G17" s="105">
        <v>2484</v>
      </c>
      <c r="H17" s="105">
        <v>6</v>
      </c>
      <c r="I17" s="105">
        <v>2980.7999999999997</v>
      </c>
      <c r="J17" s="105">
        <v>4</v>
      </c>
      <c r="K17" s="105">
        <v>1987.1999999999998</v>
      </c>
      <c r="L17" s="105">
        <v>6</v>
      </c>
      <c r="M17" s="105">
        <v>2980.7999999999997</v>
      </c>
      <c r="N17" s="105">
        <v>5</v>
      </c>
      <c r="O17" s="105">
        <v>2484</v>
      </c>
      <c r="P17" s="105">
        <v>6</v>
      </c>
      <c r="Q17" s="105">
        <v>2980.7999999999997</v>
      </c>
      <c r="R17" s="105">
        <v>5</v>
      </c>
      <c r="S17" s="105">
        <v>2484</v>
      </c>
      <c r="T17" s="105">
        <v>6</v>
      </c>
      <c r="U17" s="105">
        <v>2980.7999999999997</v>
      </c>
      <c r="V17" s="105">
        <v>4</v>
      </c>
      <c r="W17" s="105">
        <v>1987.1999999999998</v>
      </c>
      <c r="X17" s="105">
        <v>7</v>
      </c>
      <c r="Y17" s="105">
        <v>3477.5999999999995</v>
      </c>
      <c r="Z17" s="105">
        <v>7</v>
      </c>
      <c r="AA17" s="105">
        <v>3477.5999999999995</v>
      </c>
      <c r="AB17" s="105">
        <v>5</v>
      </c>
      <c r="AC17" s="105">
        <v>2484</v>
      </c>
      <c r="AD17" s="105">
        <v>5</v>
      </c>
      <c r="AE17" s="105">
        <v>2484</v>
      </c>
      <c r="AF17" s="105">
        <v>6</v>
      </c>
      <c r="AG17" s="105">
        <v>2980.7999999999997</v>
      </c>
      <c r="AH17" s="105">
        <v>7</v>
      </c>
      <c r="AI17" s="105">
        <v>3477.5999999999995</v>
      </c>
      <c r="AJ17" s="105">
        <v>6</v>
      </c>
      <c r="AK17" s="105">
        <v>2980.7999999999997</v>
      </c>
      <c r="AL17" s="105">
        <v>4</v>
      </c>
      <c r="AM17" s="105">
        <v>1987.1999999999998</v>
      </c>
      <c r="AN17" s="105">
        <v>5</v>
      </c>
      <c r="AO17" s="105">
        <v>2484</v>
      </c>
      <c r="AP17" s="105">
        <v>8</v>
      </c>
      <c r="AQ17" s="105">
        <v>3974.3999999999996</v>
      </c>
      <c r="AR17" s="105">
        <v>6</v>
      </c>
      <c r="AS17" s="105">
        <v>2980.7999999999997</v>
      </c>
      <c r="AT17" s="105">
        <v>6</v>
      </c>
      <c r="AU17" s="105">
        <v>2980.7999999999997</v>
      </c>
      <c r="AV17" s="105">
        <v>7</v>
      </c>
      <c r="AW17" s="105">
        <v>3477.5999999999995</v>
      </c>
      <c r="AX17" s="105">
        <v>8</v>
      </c>
      <c r="AY17" s="105">
        <v>3974.3999999999996</v>
      </c>
      <c r="AZ17" s="105">
        <v>5</v>
      </c>
      <c r="BA17" s="105">
        <v>2484</v>
      </c>
      <c r="BB17" s="105">
        <v>5</v>
      </c>
      <c r="BC17" s="105">
        <v>2484</v>
      </c>
      <c r="BD17" s="105">
        <v>5</v>
      </c>
      <c r="BE17" s="105">
        <v>2484</v>
      </c>
      <c r="BF17" s="105">
        <v>6</v>
      </c>
      <c r="BG17" s="105">
        <v>2980.7999999999997</v>
      </c>
      <c r="BH17" s="105">
        <v>7</v>
      </c>
      <c r="BI17" s="105">
        <v>3477.5999999999995</v>
      </c>
      <c r="BJ17" s="105">
        <v>6</v>
      </c>
      <c r="BK17" s="105">
        <v>2980.7999999999997</v>
      </c>
      <c r="BL17" s="105">
        <v>6</v>
      </c>
      <c r="BM17" s="105">
        <v>2980.7999999999997</v>
      </c>
      <c r="BN17" s="105">
        <v>5</v>
      </c>
      <c r="BO17" s="105">
        <v>2484</v>
      </c>
      <c r="BP17" s="105">
        <v>6</v>
      </c>
      <c r="BQ17" s="105">
        <v>2980.7999999999997</v>
      </c>
      <c r="BR17" s="105">
        <v>6</v>
      </c>
      <c r="BS17" s="105">
        <v>2980.7999999999997</v>
      </c>
      <c r="BT17" s="105">
        <v>9</v>
      </c>
      <c r="BU17" s="105">
        <v>4471.2</v>
      </c>
      <c r="BV17" s="105">
        <v>6</v>
      </c>
      <c r="BW17" s="105">
        <v>2980.7999999999997</v>
      </c>
      <c r="BX17" s="105">
        <v>7</v>
      </c>
      <c r="BY17" s="105">
        <v>3477.5999999999995</v>
      </c>
      <c r="BZ17" s="105">
        <v>5</v>
      </c>
      <c r="CA17" s="105">
        <v>2484</v>
      </c>
      <c r="CB17" s="105">
        <v>7</v>
      </c>
      <c r="CC17" s="105">
        <v>3477.5999999999995</v>
      </c>
      <c r="CD17" s="105">
        <v>6</v>
      </c>
      <c r="CE17" s="105">
        <v>2980.7999999999997</v>
      </c>
      <c r="CF17" s="105">
        <v>7</v>
      </c>
      <c r="CG17" s="105">
        <v>3477.5999999999995</v>
      </c>
      <c r="CH17" s="105">
        <v>7</v>
      </c>
      <c r="CI17" s="105">
        <v>3477.5999999999995</v>
      </c>
      <c r="CJ17" s="105">
        <v>6</v>
      </c>
      <c r="CK17" s="105">
        <v>2980.7999999999997</v>
      </c>
      <c r="CL17" s="105">
        <v>8</v>
      </c>
      <c r="CM17" s="105">
        <v>3974.3999999999996</v>
      </c>
      <c r="CN17" s="105">
        <v>6</v>
      </c>
      <c r="CO17" s="105">
        <v>2980.7999999999997</v>
      </c>
      <c r="CP17" s="105">
        <v>5</v>
      </c>
      <c r="CQ17" s="105">
        <v>2484</v>
      </c>
      <c r="CR17" s="105">
        <v>6</v>
      </c>
      <c r="CS17" s="105">
        <v>2980.7999999999997</v>
      </c>
      <c r="CT17" s="105">
        <v>6</v>
      </c>
      <c r="CU17" s="105">
        <v>2980.7999999999997</v>
      </c>
    </row>
    <row r="18" spans="2:99" x14ac:dyDescent="0.2">
      <c r="C18" s="104" t="s">
        <v>184</v>
      </c>
      <c r="D18" s="105">
        <v>7</v>
      </c>
      <c r="E18" s="105">
        <v>5115.5999999999995</v>
      </c>
      <c r="F18" s="105">
        <v>5</v>
      </c>
      <c r="G18" s="105">
        <v>3654</v>
      </c>
      <c r="H18" s="105">
        <v>5</v>
      </c>
      <c r="I18" s="105">
        <v>3654</v>
      </c>
      <c r="J18" s="105">
        <v>4</v>
      </c>
      <c r="K18" s="105">
        <v>2923.2</v>
      </c>
      <c r="L18" s="105">
        <v>6</v>
      </c>
      <c r="M18" s="105">
        <v>4384.7999999999993</v>
      </c>
      <c r="N18" s="105">
        <v>5</v>
      </c>
      <c r="O18" s="105">
        <v>3654</v>
      </c>
      <c r="P18" s="105">
        <v>6</v>
      </c>
      <c r="Q18" s="105">
        <v>4384.7999999999993</v>
      </c>
      <c r="R18" s="105">
        <v>5</v>
      </c>
      <c r="S18" s="105">
        <v>3654</v>
      </c>
      <c r="T18" s="105">
        <v>6</v>
      </c>
      <c r="U18" s="105">
        <v>4384.7999999999993</v>
      </c>
      <c r="V18" s="105">
        <v>4</v>
      </c>
      <c r="W18" s="105">
        <v>2923.2</v>
      </c>
      <c r="X18" s="105">
        <v>7</v>
      </c>
      <c r="Y18" s="105">
        <v>5115.5999999999995</v>
      </c>
      <c r="Z18" s="105">
        <v>6</v>
      </c>
      <c r="AA18" s="105">
        <v>4384.7999999999993</v>
      </c>
      <c r="AB18" s="105">
        <v>5</v>
      </c>
      <c r="AC18" s="105">
        <v>3654</v>
      </c>
      <c r="AD18" s="105">
        <v>5</v>
      </c>
      <c r="AE18" s="105">
        <v>3654</v>
      </c>
      <c r="AF18" s="105">
        <v>6</v>
      </c>
      <c r="AG18" s="105">
        <v>4384.7999999999993</v>
      </c>
      <c r="AH18" s="105">
        <v>7</v>
      </c>
      <c r="AI18" s="105">
        <v>5115.5999999999995</v>
      </c>
      <c r="AJ18" s="105">
        <v>6</v>
      </c>
      <c r="AK18" s="105">
        <v>4384.7999999999993</v>
      </c>
      <c r="AL18" s="105">
        <v>4</v>
      </c>
      <c r="AM18" s="105">
        <v>2923.2</v>
      </c>
      <c r="AN18" s="105">
        <v>6</v>
      </c>
      <c r="AO18" s="105">
        <v>4384.7999999999993</v>
      </c>
      <c r="AP18" s="105">
        <v>7</v>
      </c>
      <c r="AQ18" s="105">
        <v>5115.5999999999995</v>
      </c>
      <c r="AR18" s="105">
        <v>6</v>
      </c>
      <c r="AS18" s="105">
        <v>4384.7999999999993</v>
      </c>
      <c r="AT18" s="105">
        <v>5</v>
      </c>
      <c r="AU18" s="105">
        <v>3654</v>
      </c>
      <c r="AV18" s="105">
        <v>6</v>
      </c>
      <c r="AW18" s="105">
        <v>4384.7999999999993</v>
      </c>
      <c r="AX18" s="105">
        <v>7</v>
      </c>
      <c r="AY18" s="105">
        <v>5115.5999999999995</v>
      </c>
      <c r="AZ18" s="105">
        <v>5</v>
      </c>
      <c r="BA18" s="105">
        <v>3654</v>
      </c>
      <c r="BB18" s="105">
        <v>5</v>
      </c>
      <c r="BC18" s="105">
        <v>3654</v>
      </c>
      <c r="BD18" s="105">
        <v>6</v>
      </c>
      <c r="BE18" s="105">
        <v>4384.7999999999993</v>
      </c>
      <c r="BF18" s="105">
        <v>6</v>
      </c>
      <c r="BG18" s="105">
        <v>4384.7999999999993</v>
      </c>
      <c r="BH18" s="105">
        <v>8</v>
      </c>
      <c r="BI18" s="105">
        <v>5846.4</v>
      </c>
      <c r="BJ18" s="105">
        <v>6</v>
      </c>
      <c r="BK18" s="105">
        <v>4384.7999999999993</v>
      </c>
      <c r="BL18" s="105">
        <v>5</v>
      </c>
      <c r="BM18" s="105">
        <v>3654</v>
      </c>
      <c r="BN18" s="105">
        <v>6</v>
      </c>
      <c r="BO18" s="105">
        <v>4384.7999999999993</v>
      </c>
      <c r="BP18" s="105">
        <v>6</v>
      </c>
      <c r="BQ18" s="105">
        <v>4384.7999999999993</v>
      </c>
      <c r="BR18" s="105">
        <v>5</v>
      </c>
      <c r="BS18" s="105">
        <v>3654</v>
      </c>
      <c r="BT18" s="105">
        <v>8</v>
      </c>
      <c r="BU18" s="105">
        <v>5846.4</v>
      </c>
      <c r="BV18" s="105">
        <v>6</v>
      </c>
      <c r="BW18" s="105">
        <v>4384.7999999999993</v>
      </c>
      <c r="BX18" s="105">
        <v>8</v>
      </c>
      <c r="BY18" s="105">
        <v>5846.4</v>
      </c>
      <c r="BZ18" s="105">
        <v>5</v>
      </c>
      <c r="CA18" s="105">
        <v>3654</v>
      </c>
      <c r="CB18" s="105">
        <v>8</v>
      </c>
      <c r="CC18" s="105">
        <v>5846.4</v>
      </c>
      <c r="CD18" s="105">
        <v>5</v>
      </c>
      <c r="CE18" s="105">
        <v>3654</v>
      </c>
      <c r="CF18" s="105">
        <v>6</v>
      </c>
      <c r="CG18" s="105">
        <v>4384.7999999999993</v>
      </c>
      <c r="CH18" s="105">
        <v>8</v>
      </c>
      <c r="CI18" s="105">
        <v>5846.4</v>
      </c>
      <c r="CJ18" s="105">
        <v>7</v>
      </c>
      <c r="CK18" s="105">
        <v>5115.5999999999995</v>
      </c>
      <c r="CL18" s="105">
        <v>8</v>
      </c>
      <c r="CM18" s="105">
        <v>5846.4</v>
      </c>
      <c r="CN18" s="105">
        <v>6</v>
      </c>
      <c r="CO18" s="105">
        <v>4384.7999999999993</v>
      </c>
      <c r="CP18" s="105">
        <v>5</v>
      </c>
      <c r="CQ18" s="105">
        <v>3654</v>
      </c>
      <c r="CR18" s="105">
        <v>6</v>
      </c>
      <c r="CS18" s="105">
        <v>4384.7999999999993</v>
      </c>
      <c r="CT18" s="105">
        <v>6</v>
      </c>
      <c r="CU18" s="105">
        <v>4384.7999999999993</v>
      </c>
    </row>
    <row r="19" spans="2:99" x14ac:dyDescent="0.2">
      <c r="C19" s="104" t="s">
        <v>185</v>
      </c>
      <c r="D19" s="105">
        <v>7</v>
      </c>
      <c r="E19" s="105">
        <v>2704.7999999999997</v>
      </c>
      <c r="F19" s="105">
        <v>6</v>
      </c>
      <c r="G19" s="105">
        <v>2318.3999999999996</v>
      </c>
      <c r="H19" s="105">
        <v>5</v>
      </c>
      <c r="I19" s="105">
        <v>1932</v>
      </c>
      <c r="J19" s="105">
        <v>4</v>
      </c>
      <c r="K19" s="105">
        <v>1545.6</v>
      </c>
      <c r="L19" s="105">
        <v>6</v>
      </c>
      <c r="M19" s="105">
        <v>2318.3999999999996</v>
      </c>
      <c r="N19" s="105">
        <v>6</v>
      </c>
      <c r="O19" s="105">
        <v>2318.3999999999996</v>
      </c>
      <c r="P19" s="105">
        <v>6</v>
      </c>
      <c r="Q19" s="105">
        <v>2318.3999999999996</v>
      </c>
      <c r="R19" s="105">
        <v>5</v>
      </c>
      <c r="S19" s="105">
        <v>1932</v>
      </c>
      <c r="T19" s="105">
        <v>6</v>
      </c>
      <c r="U19" s="105">
        <v>2318.3999999999996</v>
      </c>
      <c r="V19" s="105">
        <v>4</v>
      </c>
      <c r="W19" s="105">
        <v>1545.6</v>
      </c>
      <c r="X19" s="105">
        <v>7</v>
      </c>
      <c r="Y19" s="105">
        <v>2704.7999999999997</v>
      </c>
      <c r="Z19" s="105">
        <v>6</v>
      </c>
      <c r="AA19" s="105">
        <v>2318.3999999999996</v>
      </c>
      <c r="AB19" s="105">
        <v>5</v>
      </c>
      <c r="AC19" s="105">
        <v>1932</v>
      </c>
      <c r="AD19" s="105">
        <v>5</v>
      </c>
      <c r="AE19" s="105">
        <v>1932</v>
      </c>
      <c r="AF19" s="105">
        <v>6</v>
      </c>
      <c r="AG19" s="105">
        <v>2318.3999999999996</v>
      </c>
      <c r="AH19" s="105">
        <v>8</v>
      </c>
      <c r="AI19" s="105">
        <v>3091.2</v>
      </c>
      <c r="AJ19" s="105">
        <v>6</v>
      </c>
      <c r="AK19" s="105">
        <v>2318.3999999999996</v>
      </c>
      <c r="AL19" s="105">
        <v>4</v>
      </c>
      <c r="AM19" s="105">
        <v>1545.6</v>
      </c>
      <c r="AN19" s="105">
        <v>5</v>
      </c>
      <c r="AO19" s="105">
        <v>1932</v>
      </c>
      <c r="AP19" s="105">
        <v>7</v>
      </c>
      <c r="AQ19" s="105">
        <v>2704.7999999999997</v>
      </c>
      <c r="AR19" s="105">
        <v>6</v>
      </c>
      <c r="AS19" s="105">
        <v>2318.3999999999996</v>
      </c>
      <c r="AT19" s="105">
        <v>5</v>
      </c>
      <c r="AU19" s="105">
        <v>1932</v>
      </c>
      <c r="AV19" s="105">
        <v>7</v>
      </c>
      <c r="AW19" s="105">
        <v>2704.7999999999997</v>
      </c>
      <c r="AX19" s="105">
        <v>8</v>
      </c>
      <c r="AY19" s="105">
        <v>3091.2</v>
      </c>
      <c r="AZ19" s="105">
        <v>5</v>
      </c>
      <c r="BA19" s="105">
        <v>1932</v>
      </c>
      <c r="BB19" s="105">
        <v>5</v>
      </c>
      <c r="BC19" s="105">
        <v>1932</v>
      </c>
      <c r="BD19" s="105">
        <v>5</v>
      </c>
      <c r="BE19" s="105">
        <v>1932</v>
      </c>
      <c r="BF19" s="105">
        <v>5</v>
      </c>
      <c r="BG19" s="105">
        <v>1932</v>
      </c>
      <c r="BH19" s="105">
        <v>7</v>
      </c>
      <c r="BI19" s="105">
        <v>2704.7999999999997</v>
      </c>
      <c r="BJ19" s="105">
        <v>6</v>
      </c>
      <c r="BK19" s="105">
        <v>2318.3999999999996</v>
      </c>
      <c r="BL19" s="105">
        <v>5</v>
      </c>
      <c r="BM19" s="105">
        <v>1932</v>
      </c>
      <c r="BN19" s="105">
        <v>6</v>
      </c>
      <c r="BO19" s="105">
        <v>2318.3999999999996</v>
      </c>
      <c r="BP19" s="105">
        <v>6</v>
      </c>
      <c r="BQ19" s="105">
        <v>2318.3999999999996</v>
      </c>
      <c r="BR19" s="105">
        <v>6</v>
      </c>
      <c r="BS19" s="105">
        <v>2318.3999999999996</v>
      </c>
      <c r="BT19" s="105">
        <v>9</v>
      </c>
      <c r="BU19" s="105">
        <v>3477.6</v>
      </c>
      <c r="BV19" s="105">
        <v>7</v>
      </c>
      <c r="BW19" s="105">
        <v>2704.7999999999997</v>
      </c>
      <c r="BX19" s="105">
        <v>8</v>
      </c>
      <c r="BY19" s="105">
        <v>3091.2</v>
      </c>
      <c r="BZ19" s="105">
        <v>5</v>
      </c>
      <c r="CA19" s="105">
        <v>1932</v>
      </c>
      <c r="CB19" s="105">
        <v>7</v>
      </c>
      <c r="CC19" s="105">
        <v>2704.7999999999997</v>
      </c>
      <c r="CD19" s="105">
        <v>6</v>
      </c>
      <c r="CE19" s="105">
        <v>2318.3999999999996</v>
      </c>
      <c r="CF19" s="105">
        <v>7</v>
      </c>
      <c r="CG19" s="105">
        <v>2704.7999999999997</v>
      </c>
      <c r="CH19" s="105">
        <v>8</v>
      </c>
      <c r="CI19" s="105">
        <v>3091.2</v>
      </c>
      <c r="CJ19" s="105">
        <v>6</v>
      </c>
      <c r="CK19" s="105">
        <v>2318.3999999999996</v>
      </c>
      <c r="CL19" s="105">
        <v>9</v>
      </c>
      <c r="CM19" s="105">
        <v>3477.6</v>
      </c>
      <c r="CN19" s="105">
        <v>6</v>
      </c>
      <c r="CO19" s="105">
        <v>2318.3999999999996</v>
      </c>
      <c r="CP19" s="105">
        <v>4</v>
      </c>
      <c r="CQ19" s="105">
        <v>1545.6</v>
      </c>
      <c r="CR19" s="105">
        <v>6</v>
      </c>
      <c r="CS19" s="105">
        <v>2318.3999999999996</v>
      </c>
      <c r="CT19" s="105">
        <v>6</v>
      </c>
      <c r="CU19" s="105">
        <v>2318.3999999999996</v>
      </c>
    </row>
    <row r="20" spans="2:99" x14ac:dyDescent="0.2">
      <c r="B20" s="104" t="s">
        <v>127</v>
      </c>
      <c r="C20" s="104" t="s">
        <v>186</v>
      </c>
      <c r="D20" s="105">
        <v>10</v>
      </c>
      <c r="E20" s="105">
        <v>960</v>
      </c>
      <c r="F20" s="105">
        <v>8</v>
      </c>
      <c r="G20" s="105">
        <v>768</v>
      </c>
      <c r="H20" s="105">
        <v>9</v>
      </c>
      <c r="I20" s="105">
        <v>864</v>
      </c>
      <c r="J20" s="105">
        <v>12</v>
      </c>
      <c r="K20" s="105">
        <v>1152</v>
      </c>
      <c r="L20" s="105">
        <v>9</v>
      </c>
      <c r="M20" s="105">
        <v>864</v>
      </c>
      <c r="N20" s="105">
        <v>10</v>
      </c>
      <c r="O20" s="105">
        <v>960</v>
      </c>
      <c r="P20" s="105">
        <v>8</v>
      </c>
      <c r="Q20" s="105">
        <v>768</v>
      </c>
      <c r="R20" s="105">
        <v>9</v>
      </c>
      <c r="S20" s="105">
        <v>864</v>
      </c>
      <c r="T20" s="105">
        <v>9</v>
      </c>
      <c r="U20" s="105">
        <v>864</v>
      </c>
      <c r="V20" s="105">
        <v>11</v>
      </c>
      <c r="W20" s="105">
        <v>1056</v>
      </c>
      <c r="X20" s="105">
        <v>8</v>
      </c>
      <c r="Y20" s="105">
        <v>768</v>
      </c>
      <c r="Z20" s="105">
        <v>12</v>
      </c>
      <c r="AA20" s="105">
        <v>1152</v>
      </c>
      <c r="AB20" s="105">
        <v>8</v>
      </c>
      <c r="AC20" s="105">
        <v>768</v>
      </c>
      <c r="AD20" s="105">
        <v>11</v>
      </c>
      <c r="AE20" s="105">
        <v>1056</v>
      </c>
      <c r="AF20" s="105">
        <v>9</v>
      </c>
      <c r="AG20" s="105">
        <v>864</v>
      </c>
      <c r="AH20" s="105">
        <v>7</v>
      </c>
      <c r="AI20" s="105">
        <v>672</v>
      </c>
      <c r="AJ20" s="105">
        <v>12</v>
      </c>
      <c r="AK20" s="105">
        <v>1152</v>
      </c>
      <c r="AL20" s="105">
        <v>7</v>
      </c>
      <c r="AM20" s="105">
        <v>672</v>
      </c>
      <c r="AN20" s="105">
        <v>7</v>
      </c>
      <c r="AO20" s="105">
        <v>672</v>
      </c>
      <c r="AP20" s="105">
        <v>7</v>
      </c>
      <c r="AQ20" s="105">
        <v>672</v>
      </c>
      <c r="AR20" s="105">
        <v>7</v>
      </c>
      <c r="AS20" s="105">
        <v>672</v>
      </c>
      <c r="AT20" s="105">
        <v>12</v>
      </c>
      <c r="AU20" s="105">
        <v>1152</v>
      </c>
      <c r="AV20" s="105">
        <v>8</v>
      </c>
      <c r="AW20" s="105">
        <v>768</v>
      </c>
      <c r="AX20" s="105">
        <v>10</v>
      </c>
      <c r="AY20" s="105">
        <v>960</v>
      </c>
      <c r="AZ20" s="105">
        <v>10</v>
      </c>
      <c r="BA20" s="105">
        <v>960</v>
      </c>
      <c r="BB20" s="105">
        <v>7</v>
      </c>
      <c r="BC20" s="105">
        <v>672</v>
      </c>
      <c r="BD20" s="105">
        <v>9</v>
      </c>
      <c r="BE20" s="105">
        <v>864</v>
      </c>
      <c r="BF20" s="105">
        <v>10</v>
      </c>
      <c r="BG20" s="105">
        <v>960</v>
      </c>
      <c r="BH20" s="105">
        <v>9</v>
      </c>
      <c r="BI20" s="105">
        <v>864</v>
      </c>
      <c r="BJ20" s="105">
        <v>13</v>
      </c>
      <c r="BK20" s="105">
        <v>1248</v>
      </c>
      <c r="BL20" s="105">
        <v>13</v>
      </c>
      <c r="BM20" s="105">
        <v>1248</v>
      </c>
      <c r="BN20" s="105">
        <v>9</v>
      </c>
      <c r="BO20" s="105">
        <v>864</v>
      </c>
      <c r="BP20" s="105">
        <v>11</v>
      </c>
      <c r="BQ20" s="105">
        <v>1056</v>
      </c>
      <c r="BR20" s="105">
        <v>8</v>
      </c>
      <c r="BS20" s="105">
        <v>768</v>
      </c>
      <c r="BT20" s="105">
        <v>12</v>
      </c>
      <c r="BU20" s="105">
        <v>1152</v>
      </c>
      <c r="BV20" s="105">
        <v>11</v>
      </c>
      <c r="BW20" s="105">
        <v>1056</v>
      </c>
      <c r="BX20" s="105">
        <v>10</v>
      </c>
      <c r="BY20" s="105">
        <v>960</v>
      </c>
      <c r="BZ20" s="105">
        <v>12</v>
      </c>
      <c r="CA20" s="105">
        <v>1152</v>
      </c>
      <c r="CB20" s="105">
        <v>8</v>
      </c>
      <c r="CC20" s="105">
        <v>768</v>
      </c>
      <c r="CD20" s="105">
        <v>12</v>
      </c>
      <c r="CE20" s="105">
        <v>1152</v>
      </c>
      <c r="CF20" s="105">
        <v>11</v>
      </c>
      <c r="CG20" s="105">
        <v>1056</v>
      </c>
      <c r="CH20" s="105">
        <v>11</v>
      </c>
      <c r="CI20" s="105">
        <v>1056</v>
      </c>
      <c r="CJ20" s="105">
        <v>8</v>
      </c>
      <c r="CK20" s="105">
        <v>768</v>
      </c>
      <c r="CL20" s="105">
        <v>9</v>
      </c>
      <c r="CM20" s="105">
        <v>864</v>
      </c>
      <c r="CN20" s="105">
        <v>11</v>
      </c>
      <c r="CO20" s="105">
        <v>1056</v>
      </c>
      <c r="CP20" s="105">
        <v>11</v>
      </c>
      <c r="CQ20" s="105">
        <v>1056</v>
      </c>
      <c r="CR20" s="105">
        <v>14</v>
      </c>
      <c r="CS20" s="105">
        <v>1344</v>
      </c>
      <c r="CT20" s="105">
        <v>13</v>
      </c>
      <c r="CU20" s="105">
        <v>1248</v>
      </c>
    </row>
    <row r="21" spans="2:99" x14ac:dyDescent="0.2">
      <c r="C21" s="104" t="s">
        <v>187</v>
      </c>
      <c r="D21" s="105">
        <v>9</v>
      </c>
      <c r="E21" s="105">
        <v>2181.6</v>
      </c>
      <c r="F21" s="105">
        <v>9</v>
      </c>
      <c r="G21" s="105">
        <v>2181.6</v>
      </c>
      <c r="H21" s="105">
        <v>9</v>
      </c>
      <c r="I21" s="105">
        <v>2181.6</v>
      </c>
      <c r="J21" s="105">
        <v>10</v>
      </c>
      <c r="K21" s="105">
        <v>2424</v>
      </c>
      <c r="L21" s="105">
        <v>9</v>
      </c>
      <c r="M21" s="105">
        <v>2181.6</v>
      </c>
      <c r="N21" s="105">
        <v>8</v>
      </c>
      <c r="O21" s="105">
        <v>1939.1999999999998</v>
      </c>
      <c r="P21" s="105">
        <v>8</v>
      </c>
      <c r="Q21" s="105">
        <v>1939.1999999999998</v>
      </c>
      <c r="R21" s="105">
        <v>9</v>
      </c>
      <c r="S21" s="105">
        <v>2181.6</v>
      </c>
      <c r="T21" s="105">
        <v>9</v>
      </c>
      <c r="U21" s="105">
        <v>2181.6</v>
      </c>
      <c r="V21" s="105">
        <v>11</v>
      </c>
      <c r="W21" s="105">
        <v>2666.3999999999996</v>
      </c>
      <c r="X21" s="105">
        <v>8</v>
      </c>
      <c r="Y21" s="105">
        <v>1939.1999999999998</v>
      </c>
      <c r="Z21" s="105">
        <v>13</v>
      </c>
      <c r="AA21" s="105">
        <v>3151.2</v>
      </c>
      <c r="AB21" s="105">
        <v>8</v>
      </c>
      <c r="AC21" s="105">
        <v>1939.1999999999998</v>
      </c>
      <c r="AD21" s="105">
        <v>11</v>
      </c>
      <c r="AE21" s="105">
        <v>2666.3999999999996</v>
      </c>
      <c r="AF21" s="105">
        <v>9</v>
      </c>
      <c r="AG21" s="105">
        <v>2181.6</v>
      </c>
      <c r="AH21" s="105">
        <v>6</v>
      </c>
      <c r="AI21" s="105">
        <v>1454.3999999999999</v>
      </c>
      <c r="AJ21" s="105">
        <v>11</v>
      </c>
      <c r="AK21" s="105">
        <v>2666.3999999999996</v>
      </c>
      <c r="AL21" s="105">
        <v>7</v>
      </c>
      <c r="AM21" s="105">
        <v>1696.7999999999997</v>
      </c>
      <c r="AN21" s="105">
        <v>7</v>
      </c>
      <c r="AO21" s="105">
        <v>1696.7999999999997</v>
      </c>
      <c r="AP21" s="105">
        <v>7</v>
      </c>
      <c r="AQ21" s="105">
        <v>1696.7999999999997</v>
      </c>
      <c r="AR21" s="105">
        <v>7</v>
      </c>
      <c r="AS21" s="105">
        <v>1696.7999999999997</v>
      </c>
      <c r="AT21" s="105">
        <v>11</v>
      </c>
      <c r="AU21" s="105">
        <v>2666.3999999999996</v>
      </c>
      <c r="AV21" s="105">
        <v>7</v>
      </c>
      <c r="AW21" s="105">
        <v>1696.7999999999997</v>
      </c>
      <c r="AX21" s="105">
        <v>10</v>
      </c>
      <c r="AY21" s="105">
        <v>2424</v>
      </c>
      <c r="AZ21" s="105">
        <v>11</v>
      </c>
      <c r="BA21" s="105">
        <v>2666.3999999999996</v>
      </c>
      <c r="BB21" s="105">
        <v>6</v>
      </c>
      <c r="BC21" s="105">
        <v>1454.3999999999999</v>
      </c>
      <c r="BD21" s="105">
        <v>9</v>
      </c>
      <c r="BE21" s="105">
        <v>2181.6</v>
      </c>
      <c r="BF21" s="105">
        <v>10</v>
      </c>
      <c r="BG21" s="105">
        <v>2424</v>
      </c>
      <c r="BH21" s="105">
        <v>9</v>
      </c>
      <c r="BI21" s="105">
        <v>2181.6</v>
      </c>
      <c r="BJ21" s="105">
        <v>11</v>
      </c>
      <c r="BK21" s="105">
        <v>2666.3999999999996</v>
      </c>
      <c r="BL21" s="105">
        <v>12</v>
      </c>
      <c r="BM21" s="105">
        <v>2908.7999999999997</v>
      </c>
      <c r="BN21" s="105">
        <v>9</v>
      </c>
      <c r="BO21" s="105">
        <v>2181.6</v>
      </c>
      <c r="BP21" s="105">
        <v>11</v>
      </c>
      <c r="BQ21" s="105">
        <v>2666.3999999999996</v>
      </c>
      <c r="BR21" s="105">
        <v>7</v>
      </c>
      <c r="BS21" s="105">
        <v>1696.7999999999997</v>
      </c>
      <c r="BT21" s="105">
        <v>11</v>
      </c>
      <c r="BU21" s="105">
        <v>2666.3999999999996</v>
      </c>
      <c r="BV21" s="105">
        <v>11</v>
      </c>
      <c r="BW21" s="105">
        <v>2666.3999999999996</v>
      </c>
      <c r="BX21" s="105">
        <v>10</v>
      </c>
      <c r="BY21" s="105">
        <v>2424</v>
      </c>
      <c r="BZ21" s="105">
        <v>12</v>
      </c>
      <c r="CA21" s="105">
        <v>2908.7999999999997</v>
      </c>
      <c r="CB21" s="105">
        <v>9</v>
      </c>
      <c r="CC21" s="105">
        <v>2181.6</v>
      </c>
      <c r="CD21" s="105">
        <v>11</v>
      </c>
      <c r="CE21" s="105">
        <v>2666.3999999999996</v>
      </c>
      <c r="CF21" s="105">
        <v>10</v>
      </c>
      <c r="CG21" s="105">
        <v>2424</v>
      </c>
      <c r="CH21" s="105">
        <v>12</v>
      </c>
      <c r="CI21" s="105">
        <v>2908.7999999999997</v>
      </c>
      <c r="CJ21" s="105">
        <v>9</v>
      </c>
      <c r="CK21" s="105">
        <v>2181.6</v>
      </c>
      <c r="CL21" s="105">
        <v>9</v>
      </c>
      <c r="CM21" s="105">
        <v>2181.6</v>
      </c>
      <c r="CN21" s="105">
        <v>10</v>
      </c>
      <c r="CO21" s="105">
        <v>2424</v>
      </c>
      <c r="CP21" s="105">
        <v>11</v>
      </c>
      <c r="CQ21" s="105">
        <v>2666.3999999999996</v>
      </c>
      <c r="CR21" s="105">
        <v>12</v>
      </c>
      <c r="CS21" s="105">
        <v>2908.7999999999997</v>
      </c>
      <c r="CT21" s="105">
        <v>13</v>
      </c>
      <c r="CU21" s="105">
        <v>3151.2</v>
      </c>
    </row>
    <row r="22" spans="2:99" x14ac:dyDescent="0.2">
      <c r="C22" s="104" t="s">
        <v>188</v>
      </c>
      <c r="D22" s="105">
        <v>10</v>
      </c>
      <c r="E22" s="105">
        <v>624</v>
      </c>
      <c r="F22" s="105">
        <v>8</v>
      </c>
      <c r="G22" s="105">
        <v>499.2</v>
      </c>
      <c r="H22" s="105">
        <v>10</v>
      </c>
      <c r="I22" s="105">
        <v>624</v>
      </c>
      <c r="J22" s="105">
        <v>10</v>
      </c>
      <c r="K22" s="105">
        <v>624</v>
      </c>
      <c r="L22" s="105">
        <v>8</v>
      </c>
      <c r="M22" s="105">
        <v>499.2</v>
      </c>
      <c r="N22" s="105">
        <v>9</v>
      </c>
      <c r="O22" s="105">
        <v>561.6</v>
      </c>
      <c r="P22" s="105">
        <v>8</v>
      </c>
      <c r="Q22" s="105">
        <v>499.2</v>
      </c>
      <c r="R22" s="105">
        <v>9</v>
      </c>
      <c r="S22" s="105">
        <v>561.6</v>
      </c>
      <c r="T22" s="105">
        <v>9</v>
      </c>
      <c r="U22" s="105">
        <v>561.6</v>
      </c>
      <c r="V22" s="105">
        <v>10</v>
      </c>
      <c r="W22" s="105">
        <v>624</v>
      </c>
      <c r="X22" s="105">
        <v>8</v>
      </c>
      <c r="Y22" s="105">
        <v>499.2</v>
      </c>
      <c r="Z22" s="105">
        <v>13</v>
      </c>
      <c r="AA22" s="105">
        <v>811.19999999999993</v>
      </c>
      <c r="AB22" s="105">
        <v>8</v>
      </c>
      <c r="AC22" s="105">
        <v>499.2</v>
      </c>
      <c r="AD22" s="105">
        <v>11</v>
      </c>
      <c r="AE22" s="105">
        <v>686.4</v>
      </c>
      <c r="AF22" s="105">
        <v>9</v>
      </c>
      <c r="AG22" s="105">
        <v>561.6</v>
      </c>
      <c r="AH22" s="105">
        <v>6</v>
      </c>
      <c r="AI22" s="105">
        <v>374.4</v>
      </c>
      <c r="AJ22" s="105">
        <v>11</v>
      </c>
      <c r="AK22" s="105">
        <v>686.4</v>
      </c>
      <c r="AL22" s="105">
        <v>7</v>
      </c>
      <c r="AM22" s="105">
        <v>436.8</v>
      </c>
      <c r="AN22" s="105">
        <v>7</v>
      </c>
      <c r="AO22" s="105">
        <v>436.8</v>
      </c>
      <c r="AP22" s="105">
        <v>7</v>
      </c>
      <c r="AQ22" s="105">
        <v>436.8</v>
      </c>
      <c r="AR22" s="105">
        <v>8</v>
      </c>
      <c r="AS22" s="105">
        <v>499.2</v>
      </c>
      <c r="AT22" s="105">
        <v>11</v>
      </c>
      <c r="AU22" s="105">
        <v>686.4</v>
      </c>
      <c r="AV22" s="105">
        <v>8</v>
      </c>
      <c r="AW22" s="105">
        <v>499.2</v>
      </c>
      <c r="AX22" s="105">
        <v>9</v>
      </c>
      <c r="AY22" s="105">
        <v>561.6</v>
      </c>
      <c r="AZ22" s="105">
        <v>11</v>
      </c>
      <c r="BA22" s="105">
        <v>686.4</v>
      </c>
      <c r="BB22" s="105">
        <v>7</v>
      </c>
      <c r="BC22" s="105">
        <v>436.8</v>
      </c>
      <c r="BD22" s="105">
        <v>9</v>
      </c>
      <c r="BE22" s="105">
        <v>561.6</v>
      </c>
      <c r="BF22" s="105">
        <v>10</v>
      </c>
      <c r="BG22" s="105">
        <v>624</v>
      </c>
      <c r="BH22" s="105">
        <v>9</v>
      </c>
      <c r="BI22" s="105">
        <v>561.6</v>
      </c>
      <c r="BJ22" s="105">
        <v>14</v>
      </c>
      <c r="BK22" s="105">
        <v>873.6</v>
      </c>
      <c r="BL22" s="105">
        <v>11</v>
      </c>
      <c r="BM22" s="105">
        <v>686.4</v>
      </c>
      <c r="BN22" s="105">
        <v>9</v>
      </c>
      <c r="BO22" s="105">
        <v>561.6</v>
      </c>
      <c r="BP22" s="105">
        <v>10</v>
      </c>
      <c r="BQ22" s="105">
        <v>624</v>
      </c>
      <c r="BR22" s="105">
        <v>8</v>
      </c>
      <c r="BS22" s="105">
        <v>499.2</v>
      </c>
      <c r="BT22" s="105">
        <v>12</v>
      </c>
      <c r="BU22" s="105">
        <v>748.8</v>
      </c>
      <c r="BV22" s="105">
        <v>10</v>
      </c>
      <c r="BW22" s="105">
        <v>624</v>
      </c>
      <c r="BX22" s="105">
        <v>10</v>
      </c>
      <c r="BY22" s="105">
        <v>624</v>
      </c>
      <c r="BZ22" s="105">
        <v>12</v>
      </c>
      <c r="CA22" s="105">
        <v>748.8</v>
      </c>
      <c r="CB22" s="105">
        <v>8</v>
      </c>
      <c r="CC22" s="105">
        <v>499.2</v>
      </c>
      <c r="CD22" s="105">
        <v>13</v>
      </c>
      <c r="CE22" s="105">
        <v>811.19999999999993</v>
      </c>
      <c r="CF22" s="105">
        <v>10</v>
      </c>
      <c r="CG22" s="105">
        <v>624</v>
      </c>
      <c r="CH22" s="105">
        <v>13</v>
      </c>
      <c r="CI22" s="105">
        <v>811.19999999999993</v>
      </c>
      <c r="CJ22" s="105">
        <v>8</v>
      </c>
      <c r="CK22" s="105">
        <v>499.2</v>
      </c>
      <c r="CL22" s="105">
        <v>9</v>
      </c>
      <c r="CM22" s="105">
        <v>561.6</v>
      </c>
      <c r="CN22" s="105">
        <v>10</v>
      </c>
      <c r="CO22" s="105">
        <v>624</v>
      </c>
      <c r="CP22" s="105">
        <v>11</v>
      </c>
      <c r="CQ22" s="105">
        <v>686.4</v>
      </c>
      <c r="CR22" s="105">
        <v>14</v>
      </c>
      <c r="CS22" s="105">
        <v>873.6</v>
      </c>
      <c r="CT22" s="105">
        <v>12</v>
      </c>
      <c r="CU22" s="105">
        <v>748.8</v>
      </c>
    </row>
    <row r="23" spans="2:99" x14ac:dyDescent="0.2">
      <c r="C23" s="104" t="s">
        <v>189</v>
      </c>
      <c r="D23" s="105">
        <v>10</v>
      </c>
      <c r="E23" s="105">
        <v>2795.9999999999995</v>
      </c>
      <c r="F23" s="105">
        <v>9</v>
      </c>
      <c r="G23" s="105">
        <v>2516.3999999999996</v>
      </c>
      <c r="H23" s="105">
        <v>10</v>
      </c>
      <c r="I23" s="105">
        <v>2795.9999999999995</v>
      </c>
      <c r="J23" s="105">
        <v>11</v>
      </c>
      <c r="K23" s="105">
        <v>3075.5999999999995</v>
      </c>
      <c r="L23" s="105">
        <v>8</v>
      </c>
      <c r="M23" s="105">
        <v>2236.7999999999997</v>
      </c>
      <c r="N23" s="105">
        <v>9</v>
      </c>
      <c r="O23" s="105">
        <v>2516.3999999999996</v>
      </c>
      <c r="P23" s="105">
        <v>7</v>
      </c>
      <c r="Q23" s="105">
        <v>1957.1999999999998</v>
      </c>
      <c r="R23" s="105">
        <v>9</v>
      </c>
      <c r="S23" s="105">
        <v>2516.3999999999996</v>
      </c>
      <c r="T23" s="105">
        <v>8</v>
      </c>
      <c r="U23" s="105">
        <v>2236.7999999999997</v>
      </c>
      <c r="V23" s="105">
        <v>9</v>
      </c>
      <c r="W23" s="105">
        <v>2516.3999999999996</v>
      </c>
      <c r="X23" s="105">
        <v>7</v>
      </c>
      <c r="Y23" s="105">
        <v>1957.1999999999998</v>
      </c>
      <c r="Z23" s="105">
        <v>12</v>
      </c>
      <c r="AA23" s="105">
        <v>3355.2</v>
      </c>
      <c r="AB23" s="105">
        <v>8</v>
      </c>
      <c r="AC23" s="105">
        <v>2236.7999999999997</v>
      </c>
      <c r="AD23" s="105">
        <v>10</v>
      </c>
      <c r="AE23" s="105">
        <v>2795.9999999999995</v>
      </c>
      <c r="AF23" s="105">
        <v>8</v>
      </c>
      <c r="AG23" s="105">
        <v>2236.7999999999997</v>
      </c>
      <c r="AH23" s="105">
        <v>7</v>
      </c>
      <c r="AI23" s="105">
        <v>1957.1999999999998</v>
      </c>
      <c r="AJ23" s="105">
        <v>13</v>
      </c>
      <c r="AK23" s="105">
        <v>3634.7999999999997</v>
      </c>
      <c r="AL23" s="105">
        <v>6</v>
      </c>
      <c r="AM23" s="105">
        <v>1677.6</v>
      </c>
      <c r="AN23" s="105">
        <v>6</v>
      </c>
      <c r="AO23" s="105">
        <v>1677.6</v>
      </c>
      <c r="AP23" s="105">
        <v>7</v>
      </c>
      <c r="AQ23" s="105">
        <v>1957.1999999999998</v>
      </c>
      <c r="AR23" s="105">
        <v>7</v>
      </c>
      <c r="AS23" s="105">
        <v>1957.1999999999998</v>
      </c>
      <c r="AT23" s="105">
        <v>11</v>
      </c>
      <c r="AU23" s="105">
        <v>3075.5999999999995</v>
      </c>
      <c r="AV23" s="105">
        <v>7</v>
      </c>
      <c r="AW23" s="105">
        <v>1957.1999999999998</v>
      </c>
      <c r="AX23" s="105">
        <v>9</v>
      </c>
      <c r="AY23" s="105">
        <v>2516.3999999999996</v>
      </c>
      <c r="AZ23" s="105">
        <v>11</v>
      </c>
      <c r="BA23" s="105">
        <v>3075.5999999999995</v>
      </c>
      <c r="BB23" s="105">
        <v>7</v>
      </c>
      <c r="BC23" s="105">
        <v>1957.1999999999998</v>
      </c>
      <c r="BD23" s="105">
        <v>10</v>
      </c>
      <c r="BE23" s="105">
        <v>2795.9999999999995</v>
      </c>
      <c r="BF23" s="105">
        <v>9</v>
      </c>
      <c r="BG23" s="105">
        <v>2516.3999999999996</v>
      </c>
      <c r="BH23" s="105">
        <v>9</v>
      </c>
      <c r="BI23" s="105">
        <v>2516.3999999999996</v>
      </c>
      <c r="BJ23" s="105">
        <v>12</v>
      </c>
      <c r="BK23" s="105">
        <v>3355.2</v>
      </c>
      <c r="BL23" s="105">
        <v>13</v>
      </c>
      <c r="BM23" s="105">
        <v>3634.7999999999997</v>
      </c>
      <c r="BN23" s="105">
        <v>9</v>
      </c>
      <c r="BO23" s="105">
        <v>2516.3999999999996</v>
      </c>
      <c r="BP23" s="105">
        <v>11</v>
      </c>
      <c r="BQ23" s="105">
        <v>3075.5999999999995</v>
      </c>
      <c r="BR23" s="105">
        <v>8</v>
      </c>
      <c r="BS23" s="105">
        <v>2236.7999999999997</v>
      </c>
      <c r="BT23" s="105">
        <v>11</v>
      </c>
      <c r="BU23" s="105">
        <v>3075.5999999999995</v>
      </c>
      <c r="BV23" s="105">
        <v>11</v>
      </c>
      <c r="BW23" s="105">
        <v>3075.5999999999995</v>
      </c>
      <c r="BX23" s="105">
        <v>9</v>
      </c>
      <c r="BY23" s="105">
        <v>2516.3999999999996</v>
      </c>
      <c r="BZ23" s="105">
        <v>11</v>
      </c>
      <c r="CA23" s="105">
        <v>3075.5999999999995</v>
      </c>
      <c r="CB23" s="105">
        <v>9</v>
      </c>
      <c r="CC23" s="105">
        <v>2516.3999999999996</v>
      </c>
      <c r="CD23" s="105">
        <v>11</v>
      </c>
      <c r="CE23" s="105">
        <v>3075.5999999999995</v>
      </c>
      <c r="CF23" s="105">
        <v>10</v>
      </c>
      <c r="CG23" s="105">
        <v>2795.9999999999995</v>
      </c>
      <c r="CH23" s="105">
        <v>12</v>
      </c>
      <c r="CI23" s="105">
        <v>3355.2</v>
      </c>
      <c r="CJ23" s="105">
        <v>8</v>
      </c>
      <c r="CK23" s="105">
        <v>2236.7999999999997</v>
      </c>
      <c r="CL23" s="105">
        <v>9</v>
      </c>
      <c r="CM23" s="105">
        <v>2516.3999999999996</v>
      </c>
      <c r="CN23" s="105">
        <v>11</v>
      </c>
      <c r="CO23" s="105">
        <v>3075.5999999999995</v>
      </c>
      <c r="CP23" s="105">
        <v>12</v>
      </c>
      <c r="CQ23" s="105">
        <v>3355.2</v>
      </c>
      <c r="CR23" s="105">
        <v>12</v>
      </c>
      <c r="CS23" s="105">
        <v>3355.2</v>
      </c>
      <c r="CT23" s="105">
        <v>12</v>
      </c>
      <c r="CU23" s="105">
        <v>3355.2</v>
      </c>
    </row>
    <row r="24" spans="2:99" x14ac:dyDescent="0.2">
      <c r="C24" s="104" t="s">
        <v>190</v>
      </c>
      <c r="D24" s="105">
        <v>9</v>
      </c>
      <c r="E24" s="105">
        <v>2743.2000000000003</v>
      </c>
      <c r="F24" s="105">
        <v>7</v>
      </c>
      <c r="G24" s="105">
        <v>2133.6</v>
      </c>
      <c r="H24" s="105">
        <v>9</v>
      </c>
      <c r="I24" s="105">
        <v>2743.2000000000003</v>
      </c>
      <c r="J24" s="105">
        <v>10</v>
      </c>
      <c r="K24" s="105">
        <v>3048</v>
      </c>
      <c r="L24" s="105">
        <v>9</v>
      </c>
      <c r="M24" s="105">
        <v>2743.2000000000003</v>
      </c>
      <c r="N24" s="105">
        <v>9</v>
      </c>
      <c r="O24" s="105">
        <v>2743.2000000000003</v>
      </c>
      <c r="P24" s="105">
        <v>7</v>
      </c>
      <c r="Q24" s="105">
        <v>2133.6</v>
      </c>
      <c r="R24" s="105">
        <v>9</v>
      </c>
      <c r="S24" s="105">
        <v>2743.2000000000003</v>
      </c>
      <c r="T24" s="105">
        <v>8</v>
      </c>
      <c r="U24" s="105">
        <v>2438.4</v>
      </c>
      <c r="V24" s="105">
        <v>10</v>
      </c>
      <c r="W24" s="105">
        <v>3048</v>
      </c>
      <c r="X24" s="105">
        <v>8</v>
      </c>
      <c r="Y24" s="105">
        <v>2438.4</v>
      </c>
      <c r="Z24" s="105">
        <v>11</v>
      </c>
      <c r="AA24" s="105">
        <v>3352.8</v>
      </c>
      <c r="AB24" s="105">
        <v>8</v>
      </c>
      <c r="AC24" s="105">
        <v>2438.4</v>
      </c>
      <c r="AD24" s="105">
        <v>10</v>
      </c>
      <c r="AE24" s="105">
        <v>3048</v>
      </c>
      <c r="AF24" s="105">
        <v>9</v>
      </c>
      <c r="AG24" s="105">
        <v>2743.2000000000003</v>
      </c>
      <c r="AH24" s="105">
        <v>7</v>
      </c>
      <c r="AI24" s="105">
        <v>2133.6</v>
      </c>
      <c r="AJ24" s="105">
        <v>11</v>
      </c>
      <c r="AK24" s="105">
        <v>3352.8</v>
      </c>
      <c r="AL24" s="105">
        <v>7</v>
      </c>
      <c r="AM24" s="105">
        <v>2133.6</v>
      </c>
      <c r="AN24" s="105">
        <v>7</v>
      </c>
      <c r="AO24" s="105">
        <v>2133.6</v>
      </c>
      <c r="AP24" s="105">
        <v>7</v>
      </c>
      <c r="AQ24" s="105">
        <v>2133.6</v>
      </c>
      <c r="AR24" s="105">
        <v>7</v>
      </c>
      <c r="AS24" s="105">
        <v>2133.6</v>
      </c>
      <c r="AT24" s="105">
        <v>11</v>
      </c>
      <c r="AU24" s="105">
        <v>3352.8</v>
      </c>
      <c r="AV24" s="105">
        <v>8</v>
      </c>
      <c r="AW24" s="105">
        <v>2438.4</v>
      </c>
      <c r="AX24" s="105">
        <v>9</v>
      </c>
      <c r="AY24" s="105">
        <v>2743.2000000000003</v>
      </c>
      <c r="AZ24" s="105">
        <v>11</v>
      </c>
      <c r="BA24" s="105">
        <v>3352.8</v>
      </c>
      <c r="BB24" s="105">
        <v>6</v>
      </c>
      <c r="BC24" s="105">
        <v>1828.8000000000002</v>
      </c>
      <c r="BD24" s="105">
        <v>10</v>
      </c>
      <c r="BE24" s="105">
        <v>3048</v>
      </c>
      <c r="BF24" s="105">
        <v>9</v>
      </c>
      <c r="BG24" s="105">
        <v>2743.2000000000003</v>
      </c>
      <c r="BH24" s="105">
        <v>8</v>
      </c>
      <c r="BI24" s="105">
        <v>2438.4</v>
      </c>
      <c r="BJ24" s="105">
        <v>13</v>
      </c>
      <c r="BK24" s="105">
        <v>3962.4</v>
      </c>
      <c r="BL24" s="105">
        <v>13</v>
      </c>
      <c r="BM24" s="105">
        <v>3962.4</v>
      </c>
      <c r="BN24" s="105">
        <v>9</v>
      </c>
      <c r="BO24" s="105">
        <v>2743.2000000000003</v>
      </c>
      <c r="BP24" s="105">
        <v>11</v>
      </c>
      <c r="BQ24" s="105">
        <v>3352.8</v>
      </c>
      <c r="BR24" s="105">
        <v>8</v>
      </c>
      <c r="BS24" s="105">
        <v>2438.4</v>
      </c>
      <c r="BT24" s="105">
        <v>10</v>
      </c>
      <c r="BU24" s="105">
        <v>3048</v>
      </c>
      <c r="BV24" s="105">
        <v>11</v>
      </c>
      <c r="BW24" s="105">
        <v>3352.8</v>
      </c>
      <c r="BX24" s="105">
        <v>9</v>
      </c>
      <c r="BY24" s="105">
        <v>2743.2000000000003</v>
      </c>
      <c r="BZ24" s="105">
        <v>11</v>
      </c>
      <c r="CA24" s="105">
        <v>3352.8</v>
      </c>
      <c r="CB24" s="105">
        <v>8</v>
      </c>
      <c r="CC24" s="105">
        <v>2438.4</v>
      </c>
      <c r="CD24" s="105">
        <v>13</v>
      </c>
      <c r="CE24" s="105">
        <v>3962.4</v>
      </c>
      <c r="CF24" s="105">
        <v>11</v>
      </c>
      <c r="CG24" s="105">
        <v>3352.8</v>
      </c>
      <c r="CH24" s="105">
        <v>11</v>
      </c>
      <c r="CI24" s="105">
        <v>3352.8</v>
      </c>
      <c r="CJ24" s="105">
        <v>7</v>
      </c>
      <c r="CK24" s="105">
        <v>2133.6</v>
      </c>
      <c r="CL24" s="105">
        <v>8</v>
      </c>
      <c r="CM24" s="105">
        <v>2438.4</v>
      </c>
      <c r="CN24" s="105">
        <v>11</v>
      </c>
      <c r="CO24" s="105">
        <v>3352.8</v>
      </c>
      <c r="CP24" s="105">
        <v>10</v>
      </c>
      <c r="CQ24" s="105">
        <v>3048</v>
      </c>
      <c r="CR24" s="105">
        <v>13</v>
      </c>
      <c r="CS24" s="105">
        <v>3962.4</v>
      </c>
      <c r="CT24" s="105">
        <v>12</v>
      </c>
      <c r="CU24" s="105">
        <v>3657.6000000000004</v>
      </c>
    </row>
    <row r="25" spans="2:99" x14ac:dyDescent="0.2">
      <c r="C25" s="104" t="s">
        <v>191</v>
      </c>
      <c r="D25" s="105">
        <v>9</v>
      </c>
      <c r="E25" s="105">
        <v>2926.7999999999997</v>
      </c>
      <c r="F25" s="105">
        <v>9</v>
      </c>
      <c r="G25" s="105">
        <v>2926.7999999999997</v>
      </c>
      <c r="H25" s="105">
        <v>8</v>
      </c>
      <c r="I25" s="105">
        <v>2601.6</v>
      </c>
      <c r="J25" s="105">
        <v>10</v>
      </c>
      <c r="K25" s="105">
        <v>3252</v>
      </c>
      <c r="L25" s="105">
        <v>9</v>
      </c>
      <c r="M25" s="105">
        <v>2926.7999999999997</v>
      </c>
      <c r="N25" s="105">
        <v>9</v>
      </c>
      <c r="O25" s="105">
        <v>2926.7999999999997</v>
      </c>
      <c r="P25" s="105">
        <v>7</v>
      </c>
      <c r="Q25" s="105">
        <v>2276.4</v>
      </c>
      <c r="R25" s="105">
        <v>8</v>
      </c>
      <c r="S25" s="105">
        <v>2601.6</v>
      </c>
      <c r="T25" s="105">
        <v>9</v>
      </c>
      <c r="U25" s="105">
        <v>2926.7999999999997</v>
      </c>
      <c r="V25" s="105">
        <v>9</v>
      </c>
      <c r="W25" s="105">
        <v>2926.7999999999997</v>
      </c>
      <c r="X25" s="105">
        <v>8</v>
      </c>
      <c r="Y25" s="105">
        <v>2601.6</v>
      </c>
      <c r="Z25" s="105">
        <v>11</v>
      </c>
      <c r="AA25" s="105">
        <v>3577.2</v>
      </c>
      <c r="AB25" s="105">
        <v>7</v>
      </c>
      <c r="AC25" s="105">
        <v>2276.4</v>
      </c>
      <c r="AD25" s="105">
        <v>11</v>
      </c>
      <c r="AE25" s="105">
        <v>3577.2</v>
      </c>
      <c r="AF25" s="105">
        <v>8</v>
      </c>
      <c r="AG25" s="105">
        <v>2601.6</v>
      </c>
      <c r="AH25" s="105">
        <v>6</v>
      </c>
      <c r="AI25" s="105">
        <v>1951.1999999999998</v>
      </c>
      <c r="AJ25" s="105">
        <v>11</v>
      </c>
      <c r="AK25" s="105">
        <v>3577.2</v>
      </c>
      <c r="AL25" s="105">
        <v>7</v>
      </c>
      <c r="AM25" s="105">
        <v>2276.4</v>
      </c>
      <c r="AN25" s="105">
        <v>6</v>
      </c>
      <c r="AO25" s="105">
        <v>1951.1999999999998</v>
      </c>
      <c r="AP25" s="105">
        <v>6</v>
      </c>
      <c r="AQ25" s="105">
        <v>1951.1999999999998</v>
      </c>
      <c r="AR25" s="105">
        <v>7</v>
      </c>
      <c r="AS25" s="105">
        <v>2276.4</v>
      </c>
      <c r="AT25" s="105">
        <v>12</v>
      </c>
      <c r="AU25" s="105">
        <v>3902.3999999999996</v>
      </c>
      <c r="AV25" s="105">
        <v>7</v>
      </c>
      <c r="AW25" s="105">
        <v>2276.4</v>
      </c>
      <c r="AX25" s="105">
        <v>8</v>
      </c>
      <c r="AY25" s="105">
        <v>2601.6</v>
      </c>
      <c r="AZ25" s="105">
        <v>11</v>
      </c>
      <c r="BA25" s="105">
        <v>3577.2</v>
      </c>
      <c r="BB25" s="105">
        <v>7</v>
      </c>
      <c r="BC25" s="105">
        <v>2276.4</v>
      </c>
      <c r="BD25" s="105">
        <v>9</v>
      </c>
      <c r="BE25" s="105">
        <v>2926.7999999999997</v>
      </c>
      <c r="BF25" s="105">
        <v>10</v>
      </c>
      <c r="BG25" s="105">
        <v>3252</v>
      </c>
      <c r="BH25" s="105">
        <v>10</v>
      </c>
      <c r="BI25" s="105">
        <v>3252</v>
      </c>
      <c r="BJ25" s="105">
        <v>13</v>
      </c>
      <c r="BK25" s="105">
        <v>4227.5999999999995</v>
      </c>
      <c r="BL25" s="105">
        <v>12</v>
      </c>
      <c r="BM25" s="105">
        <v>3902.3999999999996</v>
      </c>
      <c r="BN25" s="105">
        <v>10</v>
      </c>
      <c r="BO25" s="105">
        <v>3252</v>
      </c>
      <c r="BP25" s="105">
        <v>11</v>
      </c>
      <c r="BQ25" s="105">
        <v>3577.2</v>
      </c>
      <c r="BR25" s="105">
        <v>8</v>
      </c>
      <c r="BS25" s="105">
        <v>2601.6</v>
      </c>
      <c r="BT25" s="105">
        <v>10</v>
      </c>
      <c r="BU25" s="105">
        <v>3252</v>
      </c>
      <c r="BV25" s="105">
        <v>10</v>
      </c>
      <c r="BW25" s="105">
        <v>3252</v>
      </c>
      <c r="BX25" s="105">
        <v>9</v>
      </c>
      <c r="BY25" s="105">
        <v>2926.7999999999997</v>
      </c>
      <c r="BZ25" s="105">
        <v>11</v>
      </c>
      <c r="CA25" s="105">
        <v>3577.2</v>
      </c>
      <c r="CB25" s="105">
        <v>8</v>
      </c>
      <c r="CC25" s="105">
        <v>2601.6</v>
      </c>
      <c r="CD25" s="105">
        <v>12</v>
      </c>
      <c r="CE25" s="105">
        <v>3902.3999999999996</v>
      </c>
      <c r="CF25" s="105">
        <v>11</v>
      </c>
      <c r="CG25" s="105">
        <v>3577.2</v>
      </c>
      <c r="CH25" s="105">
        <v>12</v>
      </c>
      <c r="CI25" s="105">
        <v>3902.3999999999996</v>
      </c>
      <c r="CJ25" s="105">
        <v>8</v>
      </c>
      <c r="CK25" s="105">
        <v>2601.6</v>
      </c>
      <c r="CL25" s="105">
        <v>10</v>
      </c>
      <c r="CM25" s="105">
        <v>3252</v>
      </c>
      <c r="CN25" s="105">
        <v>10</v>
      </c>
      <c r="CO25" s="105">
        <v>3252</v>
      </c>
      <c r="CP25" s="105">
        <v>12</v>
      </c>
      <c r="CQ25" s="105">
        <v>3902.3999999999996</v>
      </c>
      <c r="CR25" s="105">
        <v>12</v>
      </c>
      <c r="CS25" s="105">
        <v>3902.3999999999996</v>
      </c>
      <c r="CT25" s="105">
        <v>11</v>
      </c>
      <c r="CU25" s="105">
        <v>3577.2</v>
      </c>
    </row>
    <row r="26" spans="2:99" x14ac:dyDescent="0.2">
      <c r="C26" s="104" t="s">
        <v>192</v>
      </c>
      <c r="D26" s="105">
        <v>10</v>
      </c>
      <c r="E26" s="105">
        <v>2868</v>
      </c>
      <c r="F26" s="105">
        <v>8</v>
      </c>
      <c r="G26" s="105">
        <v>2294.4</v>
      </c>
      <c r="H26" s="105">
        <v>9</v>
      </c>
      <c r="I26" s="105">
        <v>2581.2000000000003</v>
      </c>
      <c r="J26" s="105">
        <v>11</v>
      </c>
      <c r="K26" s="105">
        <v>3154.8</v>
      </c>
      <c r="L26" s="105">
        <v>8</v>
      </c>
      <c r="M26" s="105">
        <v>2294.4</v>
      </c>
      <c r="N26" s="105">
        <v>9</v>
      </c>
      <c r="O26" s="105">
        <v>2581.2000000000003</v>
      </c>
      <c r="P26" s="105">
        <v>7</v>
      </c>
      <c r="Q26" s="105">
        <v>2007.6000000000001</v>
      </c>
      <c r="R26" s="105">
        <v>8</v>
      </c>
      <c r="S26" s="105">
        <v>2294.4</v>
      </c>
      <c r="T26" s="105">
        <v>9</v>
      </c>
      <c r="U26" s="105">
        <v>2581.2000000000003</v>
      </c>
      <c r="V26" s="105">
        <v>9</v>
      </c>
      <c r="W26" s="105">
        <v>2581.2000000000003</v>
      </c>
      <c r="X26" s="105">
        <v>7</v>
      </c>
      <c r="Y26" s="105">
        <v>2007.6000000000001</v>
      </c>
      <c r="Z26" s="105">
        <v>11</v>
      </c>
      <c r="AA26" s="105">
        <v>3154.8</v>
      </c>
      <c r="AB26" s="105">
        <v>8</v>
      </c>
      <c r="AC26" s="105">
        <v>2294.4</v>
      </c>
      <c r="AD26" s="105">
        <v>11</v>
      </c>
      <c r="AE26" s="105">
        <v>3154.8</v>
      </c>
      <c r="AF26" s="105">
        <v>8</v>
      </c>
      <c r="AG26" s="105">
        <v>2294.4</v>
      </c>
      <c r="AH26" s="105">
        <v>6</v>
      </c>
      <c r="AI26" s="105">
        <v>1720.8000000000002</v>
      </c>
      <c r="AJ26" s="105">
        <v>13</v>
      </c>
      <c r="AK26" s="105">
        <v>3728.4</v>
      </c>
      <c r="AL26" s="105">
        <v>7</v>
      </c>
      <c r="AM26" s="105">
        <v>2007.6000000000001</v>
      </c>
      <c r="AN26" s="105">
        <v>7</v>
      </c>
      <c r="AO26" s="105">
        <v>2007.6000000000001</v>
      </c>
      <c r="AP26" s="105">
        <v>6</v>
      </c>
      <c r="AQ26" s="105">
        <v>1720.8000000000002</v>
      </c>
      <c r="AR26" s="105">
        <v>7</v>
      </c>
      <c r="AS26" s="105">
        <v>2007.6000000000001</v>
      </c>
      <c r="AT26" s="105">
        <v>11</v>
      </c>
      <c r="AU26" s="105">
        <v>3154.8</v>
      </c>
      <c r="AV26" s="105">
        <v>7</v>
      </c>
      <c r="AW26" s="105">
        <v>2007.6000000000001</v>
      </c>
      <c r="AX26" s="105">
        <v>9</v>
      </c>
      <c r="AY26" s="105">
        <v>2581.2000000000003</v>
      </c>
      <c r="AZ26" s="105">
        <v>12</v>
      </c>
      <c r="BA26" s="105">
        <v>3441.6000000000004</v>
      </c>
      <c r="BB26" s="105">
        <v>7</v>
      </c>
      <c r="BC26" s="105">
        <v>2007.6000000000001</v>
      </c>
      <c r="BD26" s="105">
        <v>9</v>
      </c>
      <c r="BE26" s="105">
        <v>2581.2000000000003</v>
      </c>
      <c r="BF26" s="105">
        <v>9</v>
      </c>
      <c r="BG26" s="105">
        <v>2581.2000000000003</v>
      </c>
      <c r="BH26" s="105">
        <v>9</v>
      </c>
      <c r="BI26" s="105">
        <v>2581.2000000000003</v>
      </c>
      <c r="BJ26" s="105">
        <v>11</v>
      </c>
      <c r="BK26" s="105">
        <v>3154.8</v>
      </c>
      <c r="BL26" s="105">
        <v>14</v>
      </c>
      <c r="BM26" s="105">
        <v>4015.2000000000003</v>
      </c>
      <c r="BN26" s="105">
        <v>9</v>
      </c>
      <c r="BO26" s="105">
        <v>2581.2000000000003</v>
      </c>
      <c r="BP26" s="105">
        <v>11</v>
      </c>
      <c r="BQ26" s="105">
        <v>3154.8</v>
      </c>
      <c r="BR26" s="105">
        <v>8</v>
      </c>
      <c r="BS26" s="105">
        <v>2294.4</v>
      </c>
      <c r="BT26" s="105">
        <v>11</v>
      </c>
      <c r="BU26" s="105">
        <v>3154.8</v>
      </c>
      <c r="BV26" s="105">
        <v>11</v>
      </c>
      <c r="BW26" s="105">
        <v>3154.8</v>
      </c>
      <c r="BX26" s="105">
        <v>10</v>
      </c>
      <c r="BY26" s="105">
        <v>2868</v>
      </c>
      <c r="BZ26" s="105">
        <v>11</v>
      </c>
      <c r="CA26" s="105">
        <v>3154.8</v>
      </c>
      <c r="CB26" s="105">
        <v>8</v>
      </c>
      <c r="CC26" s="105">
        <v>2294.4</v>
      </c>
      <c r="CD26" s="105">
        <v>12</v>
      </c>
      <c r="CE26" s="105">
        <v>3441.6000000000004</v>
      </c>
      <c r="CF26" s="105">
        <v>11</v>
      </c>
      <c r="CG26" s="105">
        <v>3154.8</v>
      </c>
      <c r="CH26" s="105">
        <v>11</v>
      </c>
      <c r="CI26" s="105">
        <v>3154.8</v>
      </c>
      <c r="CJ26" s="105">
        <v>8</v>
      </c>
      <c r="CK26" s="105">
        <v>2294.4</v>
      </c>
      <c r="CL26" s="105">
        <v>8</v>
      </c>
      <c r="CM26" s="105">
        <v>2294.4</v>
      </c>
      <c r="CN26" s="105">
        <v>11</v>
      </c>
      <c r="CO26" s="105">
        <v>3154.8</v>
      </c>
      <c r="CP26" s="105">
        <v>10</v>
      </c>
      <c r="CQ26" s="105">
        <v>2868</v>
      </c>
      <c r="CR26" s="105">
        <v>14</v>
      </c>
      <c r="CS26" s="105">
        <v>4015.2000000000003</v>
      </c>
      <c r="CT26" s="105">
        <v>13</v>
      </c>
      <c r="CU26" s="105">
        <v>3728.4</v>
      </c>
    </row>
    <row r="27" spans="2:99" x14ac:dyDescent="0.2">
      <c r="C27" s="104" t="s">
        <v>193</v>
      </c>
      <c r="D27" s="105">
        <v>11</v>
      </c>
      <c r="E27" s="105">
        <v>3471.5999999999995</v>
      </c>
      <c r="F27" s="105">
        <v>8</v>
      </c>
      <c r="G27" s="105">
        <v>2524.7999999999997</v>
      </c>
      <c r="H27" s="105">
        <v>9</v>
      </c>
      <c r="I27" s="105">
        <v>2840.3999999999996</v>
      </c>
      <c r="J27" s="105">
        <v>11</v>
      </c>
      <c r="K27" s="105">
        <v>3471.5999999999995</v>
      </c>
      <c r="L27" s="105">
        <v>8</v>
      </c>
      <c r="M27" s="105">
        <v>2524.7999999999997</v>
      </c>
      <c r="N27" s="105">
        <v>9</v>
      </c>
      <c r="O27" s="105">
        <v>2840.3999999999996</v>
      </c>
      <c r="P27" s="105">
        <v>7</v>
      </c>
      <c r="Q27" s="105">
        <v>2209.1999999999998</v>
      </c>
      <c r="R27" s="105">
        <v>8</v>
      </c>
      <c r="S27" s="105">
        <v>2524.7999999999997</v>
      </c>
      <c r="T27" s="105">
        <v>9</v>
      </c>
      <c r="U27" s="105">
        <v>2840.3999999999996</v>
      </c>
      <c r="V27" s="105">
        <v>10</v>
      </c>
      <c r="W27" s="105">
        <v>3155.9999999999995</v>
      </c>
      <c r="X27" s="105">
        <v>7</v>
      </c>
      <c r="Y27" s="105">
        <v>2209.1999999999998</v>
      </c>
      <c r="Z27" s="105">
        <v>11</v>
      </c>
      <c r="AA27" s="105">
        <v>3471.5999999999995</v>
      </c>
      <c r="AB27" s="105">
        <v>8</v>
      </c>
      <c r="AC27" s="105">
        <v>2524.7999999999997</v>
      </c>
      <c r="AD27" s="105">
        <v>11</v>
      </c>
      <c r="AE27" s="105">
        <v>3471.5999999999995</v>
      </c>
      <c r="AF27" s="105">
        <v>9</v>
      </c>
      <c r="AG27" s="105">
        <v>2840.3999999999996</v>
      </c>
      <c r="AH27" s="105">
        <v>6</v>
      </c>
      <c r="AI27" s="105">
        <v>1893.6</v>
      </c>
      <c r="AJ27" s="105">
        <v>11</v>
      </c>
      <c r="AK27" s="105">
        <v>3471.5999999999995</v>
      </c>
      <c r="AL27" s="105">
        <v>7</v>
      </c>
      <c r="AM27" s="105">
        <v>2209.1999999999998</v>
      </c>
      <c r="AN27" s="105">
        <v>7</v>
      </c>
      <c r="AO27" s="105">
        <v>2209.1999999999998</v>
      </c>
      <c r="AP27" s="105">
        <v>7</v>
      </c>
      <c r="AQ27" s="105">
        <v>2209.1999999999998</v>
      </c>
      <c r="AR27" s="105">
        <v>7</v>
      </c>
      <c r="AS27" s="105">
        <v>2209.1999999999998</v>
      </c>
      <c r="AT27" s="105">
        <v>12</v>
      </c>
      <c r="AU27" s="105">
        <v>3787.2</v>
      </c>
      <c r="AV27" s="105">
        <v>7</v>
      </c>
      <c r="AW27" s="105">
        <v>2209.1999999999998</v>
      </c>
      <c r="AX27" s="105">
        <v>9</v>
      </c>
      <c r="AY27" s="105">
        <v>2840.3999999999996</v>
      </c>
      <c r="AZ27" s="105">
        <v>11</v>
      </c>
      <c r="BA27" s="105">
        <v>3471.5999999999995</v>
      </c>
      <c r="BB27" s="105">
        <v>7</v>
      </c>
      <c r="BC27" s="105">
        <v>2209.1999999999998</v>
      </c>
      <c r="BD27" s="105">
        <v>9</v>
      </c>
      <c r="BE27" s="105">
        <v>2840.3999999999996</v>
      </c>
      <c r="BF27" s="105">
        <v>10</v>
      </c>
      <c r="BG27" s="105">
        <v>3155.9999999999995</v>
      </c>
      <c r="BH27" s="105">
        <v>9</v>
      </c>
      <c r="BI27" s="105">
        <v>2840.3999999999996</v>
      </c>
      <c r="BJ27" s="105">
        <v>13</v>
      </c>
      <c r="BK27" s="105">
        <v>4102.7999999999993</v>
      </c>
      <c r="BL27" s="105">
        <v>13</v>
      </c>
      <c r="BM27" s="105">
        <v>4102.7999999999993</v>
      </c>
      <c r="BN27" s="105">
        <v>10</v>
      </c>
      <c r="BO27" s="105">
        <v>3155.9999999999995</v>
      </c>
      <c r="BP27" s="105">
        <v>9</v>
      </c>
      <c r="BQ27" s="105">
        <v>2840.3999999999996</v>
      </c>
      <c r="BR27" s="105">
        <v>7</v>
      </c>
      <c r="BS27" s="105">
        <v>2209.1999999999998</v>
      </c>
      <c r="BT27" s="105">
        <v>11</v>
      </c>
      <c r="BU27" s="105">
        <v>3471.5999999999995</v>
      </c>
      <c r="BV27" s="105">
        <v>10</v>
      </c>
      <c r="BW27" s="105">
        <v>3155.9999999999995</v>
      </c>
      <c r="BX27" s="105">
        <v>9</v>
      </c>
      <c r="BY27" s="105">
        <v>2840.3999999999996</v>
      </c>
      <c r="BZ27" s="105">
        <v>11</v>
      </c>
      <c r="CA27" s="105">
        <v>3471.5999999999995</v>
      </c>
      <c r="CB27" s="105">
        <v>9</v>
      </c>
      <c r="CC27" s="105">
        <v>2840.3999999999996</v>
      </c>
      <c r="CD27" s="105">
        <v>11</v>
      </c>
      <c r="CE27" s="105">
        <v>3471.5999999999995</v>
      </c>
      <c r="CF27" s="105">
        <v>11</v>
      </c>
      <c r="CG27" s="105">
        <v>3471.5999999999995</v>
      </c>
      <c r="CH27" s="105">
        <v>11</v>
      </c>
      <c r="CI27" s="105">
        <v>3471.5999999999995</v>
      </c>
      <c r="CJ27" s="105">
        <v>8</v>
      </c>
      <c r="CK27" s="105">
        <v>2524.7999999999997</v>
      </c>
      <c r="CL27" s="105">
        <v>9</v>
      </c>
      <c r="CM27" s="105">
        <v>2840.3999999999996</v>
      </c>
      <c r="CN27" s="105">
        <v>11</v>
      </c>
      <c r="CO27" s="105">
        <v>3471.5999999999995</v>
      </c>
      <c r="CP27" s="105">
        <v>11</v>
      </c>
      <c r="CQ27" s="105">
        <v>3471.5999999999995</v>
      </c>
      <c r="CR27" s="105">
        <v>14</v>
      </c>
      <c r="CS27" s="105">
        <v>4418.3999999999996</v>
      </c>
      <c r="CT27" s="105">
        <v>12</v>
      </c>
      <c r="CU27" s="105">
        <v>3787.2</v>
      </c>
    </row>
    <row r="28" spans="2:99" x14ac:dyDescent="0.2">
      <c r="C28" s="104" t="s">
        <v>194</v>
      </c>
      <c r="D28" s="105">
        <v>0</v>
      </c>
      <c r="E28" s="105">
        <v>0</v>
      </c>
      <c r="F28" s="105">
        <v>0</v>
      </c>
      <c r="G28" s="105">
        <v>0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9</v>
      </c>
      <c r="O28" s="105">
        <v>5162.4000000000005</v>
      </c>
      <c r="P28" s="105">
        <v>7</v>
      </c>
      <c r="Q28" s="105">
        <v>4015.2000000000003</v>
      </c>
      <c r="R28" s="105">
        <v>8</v>
      </c>
      <c r="S28" s="105">
        <v>4588.8</v>
      </c>
      <c r="T28" s="105">
        <v>9</v>
      </c>
      <c r="U28" s="105">
        <v>5162.4000000000005</v>
      </c>
      <c r="V28" s="105">
        <v>10.780748854091643</v>
      </c>
      <c r="W28" s="105">
        <v>6183.8375427069668</v>
      </c>
      <c r="X28" s="105">
        <v>7</v>
      </c>
      <c r="Y28" s="105">
        <v>4015.2000000000003</v>
      </c>
      <c r="Z28" s="105">
        <v>11</v>
      </c>
      <c r="AA28" s="105">
        <v>6309.6</v>
      </c>
      <c r="AB28" s="105">
        <v>7</v>
      </c>
      <c r="AC28" s="105">
        <v>4015.2000000000003</v>
      </c>
      <c r="AD28" s="105">
        <v>8.158807454968855</v>
      </c>
      <c r="AE28" s="105">
        <v>4679.891956170135</v>
      </c>
      <c r="AF28" s="105">
        <v>7.6163466670492257</v>
      </c>
      <c r="AG28" s="105">
        <v>4368.7364482194362</v>
      </c>
      <c r="AH28" s="105">
        <v>6.9106805153578499</v>
      </c>
      <c r="AI28" s="105">
        <v>3963.9663436092628</v>
      </c>
      <c r="AJ28" s="105">
        <v>10.933737361440562</v>
      </c>
      <c r="AK28" s="105">
        <v>6271.591750522306</v>
      </c>
      <c r="AL28" s="105">
        <v>7.7488972130138647</v>
      </c>
      <c r="AM28" s="105">
        <v>4444.7674413847526</v>
      </c>
      <c r="AN28" s="105">
        <v>8.0719526334323017</v>
      </c>
      <c r="AO28" s="105">
        <v>4630.0720305367686</v>
      </c>
      <c r="AP28" s="105">
        <v>6.8754194870745025</v>
      </c>
      <c r="AQ28" s="105">
        <v>3943.7406177859348</v>
      </c>
      <c r="AR28" s="105">
        <v>7.4496858275981834</v>
      </c>
      <c r="AS28" s="105">
        <v>4273.1397907103183</v>
      </c>
      <c r="AT28" s="105">
        <v>11.276321440473291</v>
      </c>
      <c r="AU28" s="105">
        <v>6468.0979782554796</v>
      </c>
      <c r="AV28" s="105">
        <v>6.3711201480245823</v>
      </c>
      <c r="AW28" s="105">
        <v>3654.4745169069006</v>
      </c>
      <c r="AX28" s="105">
        <v>8.4262668139691321</v>
      </c>
      <c r="AY28" s="105">
        <v>4833.3066444926944</v>
      </c>
      <c r="AZ28" s="105">
        <v>8.9054824684495806</v>
      </c>
      <c r="BA28" s="105">
        <v>5108.1847439026797</v>
      </c>
      <c r="BB28" s="105">
        <v>6</v>
      </c>
      <c r="BC28" s="105">
        <v>3441.6000000000004</v>
      </c>
      <c r="BD28" s="105">
        <v>10.289526547263627</v>
      </c>
      <c r="BE28" s="105">
        <v>5902.0724275104167</v>
      </c>
      <c r="BF28" s="105">
        <v>10</v>
      </c>
      <c r="BG28" s="105">
        <v>5736</v>
      </c>
      <c r="BH28" s="105">
        <v>10.59795411810204</v>
      </c>
      <c r="BI28" s="105">
        <v>6078.9864821433302</v>
      </c>
      <c r="BJ28" s="105">
        <v>10.668899795860328</v>
      </c>
      <c r="BK28" s="105">
        <v>6119.6809229054843</v>
      </c>
      <c r="BL28" s="105">
        <v>12</v>
      </c>
      <c r="BM28" s="105">
        <v>6883.2000000000007</v>
      </c>
      <c r="BN28" s="105">
        <v>9.689345791437475</v>
      </c>
      <c r="BO28" s="105">
        <v>5557.8087459685357</v>
      </c>
      <c r="BP28" s="105">
        <v>10.339677769202661</v>
      </c>
      <c r="BQ28" s="105">
        <v>5930.8391684146463</v>
      </c>
      <c r="BR28" s="105">
        <v>8</v>
      </c>
      <c r="BS28" s="105">
        <v>4588.8</v>
      </c>
      <c r="BT28" s="105">
        <v>11</v>
      </c>
      <c r="BU28" s="105">
        <v>6309.6</v>
      </c>
      <c r="BV28" s="105">
        <v>11.512635177242167</v>
      </c>
      <c r="BW28" s="105">
        <v>6603.6475376661074</v>
      </c>
      <c r="BX28" s="105">
        <v>9.5935771335161206</v>
      </c>
      <c r="BY28" s="105">
        <v>5502.8758437848473</v>
      </c>
      <c r="BZ28" s="105">
        <v>10.076929488819538</v>
      </c>
      <c r="CA28" s="105">
        <v>5780.1267547868865</v>
      </c>
      <c r="CB28" s="105">
        <v>8.2122170321772323</v>
      </c>
      <c r="CC28" s="105">
        <v>4710.5276896568603</v>
      </c>
      <c r="CD28" s="105">
        <v>11.977590193262325</v>
      </c>
      <c r="CE28" s="105">
        <v>6870.3457348552693</v>
      </c>
      <c r="CF28" s="105">
        <v>11</v>
      </c>
      <c r="CG28" s="105">
        <v>6309.6</v>
      </c>
      <c r="CH28" s="105">
        <v>12.980084841736421</v>
      </c>
      <c r="CI28" s="105">
        <v>7445.3766652200111</v>
      </c>
      <c r="CJ28" s="105">
        <v>8.7999154484471838</v>
      </c>
      <c r="CK28" s="105">
        <v>5047.6315012293044</v>
      </c>
      <c r="CL28" s="105">
        <v>8.8848409408689566</v>
      </c>
      <c r="CM28" s="105">
        <v>5096.3447636824339</v>
      </c>
      <c r="CN28" s="105">
        <v>10</v>
      </c>
      <c r="CO28" s="105">
        <v>5736</v>
      </c>
      <c r="CP28" s="105">
        <v>10.55402278430091</v>
      </c>
      <c r="CQ28" s="105">
        <v>6053.7874690750023</v>
      </c>
      <c r="CR28" s="105">
        <v>14.29882233835351</v>
      </c>
      <c r="CS28" s="105">
        <v>8201.8044932795729</v>
      </c>
      <c r="CT28" s="105">
        <v>11.637502167338807</v>
      </c>
      <c r="CU28" s="105">
        <v>6675.2712431855398</v>
      </c>
    </row>
    <row r="29" spans="2:99" x14ac:dyDescent="0.2">
      <c r="C29" s="104" t="s">
        <v>195</v>
      </c>
      <c r="D29" s="105">
        <v>9</v>
      </c>
      <c r="E29" s="105">
        <v>2116.7999999999997</v>
      </c>
      <c r="F29" s="105">
        <v>8</v>
      </c>
      <c r="G29" s="105">
        <v>1881.6</v>
      </c>
      <c r="H29" s="105">
        <v>10</v>
      </c>
      <c r="I29" s="105">
        <v>2352</v>
      </c>
      <c r="J29" s="105">
        <v>11</v>
      </c>
      <c r="K29" s="105">
        <v>2587.1999999999998</v>
      </c>
      <c r="L29" s="105">
        <v>9</v>
      </c>
      <c r="M29" s="105">
        <v>2116.7999999999997</v>
      </c>
      <c r="N29" s="105">
        <v>9</v>
      </c>
      <c r="O29" s="105">
        <v>2116.7999999999997</v>
      </c>
      <c r="P29" s="105">
        <v>8</v>
      </c>
      <c r="Q29" s="105">
        <v>1881.6</v>
      </c>
      <c r="R29" s="105">
        <v>8</v>
      </c>
      <c r="S29" s="105">
        <v>1881.6</v>
      </c>
      <c r="T29" s="105">
        <v>8</v>
      </c>
      <c r="U29" s="105">
        <v>1881.6</v>
      </c>
      <c r="V29" s="105">
        <v>10</v>
      </c>
      <c r="W29" s="105">
        <v>2352</v>
      </c>
      <c r="X29" s="105">
        <v>8</v>
      </c>
      <c r="Y29" s="105">
        <v>1881.6</v>
      </c>
      <c r="Z29" s="105">
        <v>11</v>
      </c>
      <c r="AA29" s="105">
        <v>2587.1999999999998</v>
      </c>
      <c r="AB29" s="105">
        <v>7</v>
      </c>
      <c r="AC29" s="105">
        <v>1646.3999999999999</v>
      </c>
      <c r="AD29" s="105">
        <v>10</v>
      </c>
      <c r="AE29" s="105">
        <v>2352</v>
      </c>
      <c r="AF29" s="105">
        <v>9</v>
      </c>
      <c r="AG29" s="105">
        <v>2116.7999999999997</v>
      </c>
      <c r="AH29" s="105">
        <v>7</v>
      </c>
      <c r="AI29" s="105">
        <v>1646.3999999999999</v>
      </c>
      <c r="AJ29" s="105">
        <v>11</v>
      </c>
      <c r="AK29" s="105">
        <v>2587.1999999999998</v>
      </c>
      <c r="AL29" s="105">
        <v>7</v>
      </c>
      <c r="AM29" s="105">
        <v>1646.3999999999999</v>
      </c>
      <c r="AN29" s="105">
        <v>7</v>
      </c>
      <c r="AO29" s="105">
        <v>1646.3999999999999</v>
      </c>
      <c r="AP29" s="105">
        <v>7</v>
      </c>
      <c r="AQ29" s="105">
        <v>1646.3999999999999</v>
      </c>
      <c r="AR29" s="105">
        <v>7</v>
      </c>
      <c r="AS29" s="105">
        <v>1646.3999999999999</v>
      </c>
      <c r="AT29" s="105">
        <v>12</v>
      </c>
      <c r="AU29" s="105">
        <v>2822.3999999999996</v>
      </c>
      <c r="AV29" s="105">
        <v>9</v>
      </c>
      <c r="AW29" s="105">
        <v>2116.7999999999997</v>
      </c>
      <c r="AX29" s="105">
        <v>9</v>
      </c>
      <c r="AY29" s="105">
        <v>2116.7999999999997</v>
      </c>
      <c r="AZ29" s="105">
        <v>10</v>
      </c>
      <c r="BA29" s="105">
        <v>2352</v>
      </c>
      <c r="BB29" s="105">
        <v>7</v>
      </c>
      <c r="BC29" s="105">
        <v>1646.3999999999999</v>
      </c>
      <c r="BD29" s="105">
        <v>9</v>
      </c>
      <c r="BE29" s="105">
        <v>2116.7999999999997</v>
      </c>
      <c r="BF29" s="105">
        <v>9</v>
      </c>
      <c r="BG29" s="105">
        <v>2116.7999999999997</v>
      </c>
      <c r="BH29" s="105">
        <v>8</v>
      </c>
      <c r="BI29" s="105">
        <v>1881.6</v>
      </c>
      <c r="BJ29" s="105">
        <v>13</v>
      </c>
      <c r="BK29" s="105">
        <v>3057.6</v>
      </c>
      <c r="BL29" s="105">
        <v>13</v>
      </c>
      <c r="BM29" s="105">
        <v>3057.6</v>
      </c>
      <c r="BN29" s="105">
        <v>9</v>
      </c>
      <c r="BO29" s="105">
        <v>2116.7999999999997</v>
      </c>
      <c r="BP29" s="105">
        <v>9</v>
      </c>
      <c r="BQ29" s="105">
        <v>2116.7999999999997</v>
      </c>
      <c r="BR29" s="105">
        <v>7</v>
      </c>
      <c r="BS29" s="105">
        <v>1646.3999999999999</v>
      </c>
      <c r="BT29" s="105">
        <v>10</v>
      </c>
      <c r="BU29" s="105">
        <v>2352</v>
      </c>
      <c r="BV29" s="105">
        <v>10</v>
      </c>
      <c r="BW29" s="105">
        <v>2352</v>
      </c>
      <c r="BX29" s="105">
        <v>9</v>
      </c>
      <c r="BY29" s="105">
        <v>2116.7999999999997</v>
      </c>
      <c r="BZ29" s="105">
        <v>10</v>
      </c>
      <c r="CA29" s="105">
        <v>2352</v>
      </c>
      <c r="CB29" s="105">
        <v>8</v>
      </c>
      <c r="CC29" s="105">
        <v>1881.6</v>
      </c>
      <c r="CD29" s="105">
        <v>12</v>
      </c>
      <c r="CE29" s="105">
        <v>2822.3999999999996</v>
      </c>
      <c r="CF29" s="105">
        <v>10</v>
      </c>
      <c r="CG29" s="105">
        <v>2352</v>
      </c>
      <c r="CH29" s="105">
        <v>13</v>
      </c>
      <c r="CI29" s="105">
        <v>3057.6</v>
      </c>
      <c r="CJ29" s="105">
        <v>8</v>
      </c>
      <c r="CK29" s="105">
        <v>1881.6</v>
      </c>
      <c r="CL29" s="105">
        <v>8</v>
      </c>
      <c r="CM29" s="105">
        <v>1881.6</v>
      </c>
      <c r="CN29" s="105">
        <v>10</v>
      </c>
      <c r="CO29" s="105">
        <v>2352</v>
      </c>
      <c r="CP29" s="105">
        <v>12</v>
      </c>
      <c r="CQ29" s="105">
        <v>2822.3999999999996</v>
      </c>
      <c r="CR29" s="105">
        <v>12</v>
      </c>
      <c r="CS29" s="105">
        <v>2822.3999999999996</v>
      </c>
      <c r="CT29" s="105">
        <v>12</v>
      </c>
      <c r="CU29" s="105">
        <v>2822.3999999999996</v>
      </c>
    </row>
    <row r="30" spans="2:99" x14ac:dyDescent="0.2">
      <c r="C30" s="104" t="s">
        <v>196</v>
      </c>
      <c r="D30" s="105">
        <v>9</v>
      </c>
      <c r="E30" s="105">
        <v>2084.4</v>
      </c>
      <c r="F30" s="105">
        <v>8</v>
      </c>
      <c r="G30" s="105">
        <v>1852.8</v>
      </c>
      <c r="H30" s="105">
        <v>9</v>
      </c>
      <c r="I30" s="105">
        <v>2084.4</v>
      </c>
      <c r="J30" s="105">
        <v>12</v>
      </c>
      <c r="K30" s="105">
        <v>2779.2</v>
      </c>
      <c r="L30" s="105">
        <v>8</v>
      </c>
      <c r="M30" s="105">
        <v>1852.8</v>
      </c>
      <c r="N30" s="105">
        <v>9</v>
      </c>
      <c r="O30" s="105">
        <v>2084.4</v>
      </c>
      <c r="P30" s="105">
        <v>8</v>
      </c>
      <c r="Q30" s="105">
        <v>1852.8</v>
      </c>
      <c r="R30" s="105">
        <v>8</v>
      </c>
      <c r="S30" s="105">
        <v>1852.8</v>
      </c>
      <c r="T30" s="105">
        <v>9</v>
      </c>
      <c r="U30" s="105">
        <v>2084.4</v>
      </c>
      <c r="V30" s="105">
        <v>10</v>
      </c>
      <c r="W30" s="105">
        <v>2316</v>
      </c>
      <c r="X30" s="105">
        <v>8</v>
      </c>
      <c r="Y30" s="105">
        <v>1852.8</v>
      </c>
      <c r="Z30" s="105">
        <v>11</v>
      </c>
      <c r="AA30" s="105">
        <v>2547.6</v>
      </c>
      <c r="AB30" s="105">
        <v>7</v>
      </c>
      <c r="AC30" s="105">
        <v>1621.2</v>
      </c>
      <c r="AD30" s="105">
        <v>10</v>
      </c>
      <c r="AE30" s="105">
        <v>2316</v>
      </c>
      <c r="AF30" s="105">
        <v>9</v>
      </c>
      <c r="AG30" s="105">
        <v>2084.4</v>
      </c>
      <c r="AH30" s="105">
        <v>7</v>
      </c>
      <c r="AI30" s="105">
        <v>1621.2</v>
      </c>
      <c r="AJ30" s="105">
        <v>13</v>
      </c>
      <c r="AK30" s="105">
        <v>3010.7999999999997</v>
      </c>
      <c r="AL30" s="105">
        <v>7</v>
      </c>
      <c r="AM30" s="105">
        <v>1621.2</v>
      </c>
      <c r="AN30" s="105">
        <v>7</v>
      </c>
      <c r="AO30" s="105">
        <v>1621.2</v>
      </c>
      <c r="AP30" s="105">
        <v>7</v>
      </c>
      <c r="AQ30" s="105">
        <v>1621.2</v>
      </c>
      <c r="AR30" s="105">
        <v>7</v>
      </c>
      <c r="AS30" s="105">
        <v>1621.2</v>
      </c>
      <c r="AT30" s="105">
        <v>11</v>
      </c>
      <c r="AU30" s="105">
        <v>2547.6</v>
      </c>
      <c r="AV30" s="105">
        <v>8</v>
      </c>
      <c r="AW30" s="105">
        <v>1852.8</v>
      </c>
      <c r="AX30" s="105">
        <v>8</v>
      </c>
      <c r="AY30" s="105">
        <v>1852.8</v>
      </c>
      <c r="AZ30" s="105">
        <v>12</v>
      </c>
      <c r="BA30" s="105">
        <v>2779.2</v>
      </c>
      <c r="BB30" s="105">
        <v>7</v>
      </c>
      <c r="BC30" s="105">
        <v>1621.2</v>
      </c>
      <c r="BD30" s="105">
        <v>9</v>
      </c>
      <c r="BE30" s="105">
        <v>2084.4</v>
      </c>
      <c r="BF30" s="105">
        <v>10</v>
      </c>
      <c r="BG30" s="105">
        <v>2316</v>
      </c>
      <c r="BH30" s="105">
        <v>9</v>
      </c>
      <c r="BI30" s="105">
        <v>2084.4</v>
      </c>
      <c r="BJ30" s="105">
        <v>12</v>
      </c>
      <c r="BK30" s="105">
        <v>2779.2</v>
      </c>
      <c r="BL30" s="105">
        <v>13</v>
      </c>
      <c r="BM30" s="105">
        <v>3010.7999999999997</v>
      </c>
      <c r="BN30" s="105">
        <v>10</v>
      </c>
      <c r="BO30" s="105">
        <v>2316</v>
      </c>
      <c r="BP30" s="105">
        <v>11</v>
      </c>
      <c r="BQ30" s="105">
        <v>2547.6</v>
      </c>
      <c r="BR30" s="105">
        <v>8</v>
      </c>
      <c r="BS30" s="105">
        <v>1852.8</v>
      </c>
      <c r="BT30" s="105">
        <v>10</v>
      </c>
      <c r="BU30" s="105">
        <v>2316</v>
      </c>
      <c r="BV30" s="105">
        <v>11</v>
      </c>
      <c r="BW30" s="105">
        <v>2547.6</v>
      </c>
      <c r="BX30" s="105">
        <v>10</v>
      </c>
      <c r="BY30" s="105">
        <v>2316</v>
      </c>
      <c r="BZ30" s="105">
        <v>12</v>
      </c>
      <c r="CA30" s="105">
        <v>2779.2</v>
      </c>
      <c r="CB30" s="105">
        <v>8</v>
      </c>
      <c r="CC30" s="105">
        <v>1852.8</v>
      </c>
      <c r="CD30" s="105">
        <v>13</v>
      </c>
      <c r="CE30" s="105">
        <v>3010.7999999999997</v>
      </c>
      <c r="CF30" s="105">
        <v>10</v>
      </c>
      <c r="CG30" s="105">
        <v>2316</v>
      </c>
      <c r="CH30" s="105">
        <v>12</v>
      </c>
      <c r="CI30" s="105">
        <v>2779.2</v>
      </c>
      <c r="CJ30" s="105">
        <v>7</v>
      </c>
      <c r="CK30" s="105">
        <v>1621.2</v>
      </c>
      <c r="CL30" s="105">
        <v>10</v>
      </c>
      <c r="CM30" s="105">
        <v>2316</v>
      </c>
      <c r="CN30" s="105">
        <v>12</v>
      </c>
      <c r="CO30" s="105">
        <v>2779.2</v>
      </c>
      <c r="CP30" s="105">
        <v>12</v>
      </c>
      <c r="CQ30" s="105">
        <v>2779.2</v>
      </c>
      <c r="CR30" s="105">
        <v>15</v>
      </c>
      <c r="CS30" s="105">
        <v>3474</v>
      </c>
      <c r="CT30" s="105">
        <v>12</v>
      </c>
      <c r="CU30" s="105">
        <v>2779.2</v>
      </c>
    </row>
    <row r="31" spans="2:99" x14ac:dyDescent="0.2">
      <c r="C31" s="104" t="s">
        <v>197</v>
      </c>
      <c r="D31" s="105">
        <v>9</v>
      </c>
      <c r="E31" s="105">
        <v>1598.3999999999999</v>
      </c>
      <c r="F31" s="105">
        <v>9</v>
      </c>
      <c r="G31" s="105">
        <v>1598.3999999999999</v>
      </c>
      <c r="H31" s="105">
        <v>9</v>
      </c>
      <c r="I31" s="105">
        <v>1598.3999999999999</v>
      </c>
      <c r="J31" s="105">
        <v>11</v>
      </c>
      <c r="K31" s="105">
        <v>1953.6</v>
      </c>
      <c r="L31" s="105">
        <v>9</v>
      </c>
      <c r="M31" s="105">
        <v>1598.3999999999999</v>
      </c>
      <c r="N31" s="105">
        <v>9</v>
      </c>
      <c r="O31" s="105">
        <v>1598.3999999999999</v>
      </c>
      <c r="P31" s="105">
        <v>7</v>
      </c>
      <c r="Q31" s="105">
        <v>1243.2</v>
      </c>
      <c r="R31" s="105">
        <v>9</v>
      </c>
      <c r="S31" s="105">
        <v>1598.3999999999999</v>
      </c>
      <c r="T31" s="105">
        <v>8</v>
      </c>
      <c r="U31" s="105">
        <v>1420.8</v>
      </c>
      <c r="V31" s="105">
        <v>10</v>
      </c>
      <c r="W31" s="105">
        <v>1776</v>
      </c>
      <c r="X31" s="105">
        <v>7</v>
      </c>
      <c r="Y31" s="105">
        <v>1243.2</v>
      </c>
      <c r="Z31" s="105">
        <v>11</v>
      </c>
      <c r="AA31" s="105">
        <v>1953.6</v>
      </c>
      <c r="AB31" s="105">
        <v>8</v>
      </c>
      <c r="AC31" s="105">
        <v>1420.8</v>
      </c>
      <c r="AD31" s="105">
        <v>11</v>
      </c>
      <c r="AE31" s="105">
        <v>1953.6</v>
      </c>
      <c r="AF31" s="105">
        <v>9</v>
      </c>
      <c r="AG31" s="105">
        <v>1598.3999999999999</v>
      </c>
      <c r="AH31" s="105">
        <v>7</v>
      </c>
      <c r="AI31" s="105">
        <v>1243.2</v>
      </c>
      <c r="AJ31" s="105">
        <v>11</v>
      </c>
      <c r="AK31" s="105">
        <v>1953.6</v>
      </c>
      <c r="AL31" s="105">
        <v>7</v>
      </c>
      <c r="AM31" s="105">
        <v>1243.2</v>
      </c>
      <c r="AN31" s="105">
        <v>7</v>
      </c>
      <c r="AO31" s="105">
        <v>1243.2</v>
      </c>
      <c r="AP31" s="105">
        <v>7</v>
      </c>
      <c r="AQ31" s="105">
        <v>1243.2</v>
      </c>
      <c r="AR31" s="105">
        <v>7</v>
      </c>
      <c r="AS31" s="105">
        <v>1243.2</v>
      </c>
      <c r="AT31" s="105">
        <v>11</v>
      </c>
      <c r="AU31" s="105">
        <v>1953.6</v>
      </c>
      <c r="AV31" s="105">
        <v>9</v>
      </c>
      <c r="AW31" s="105">
        <v>1598.3999999999999</v>
      </c>
      <c r="AX31" s="105">
        <v>10</v>
      </c>
      <c r="AY31" s="105">
        <v>1776</v>
      </c>
      <c r="AZ31" s="105">
        <v>11</v>
      </c>
      <c r="BA31" s="105">
        <v>1953.6</v>
      </c>
      <c r="BB31" s="105">
        <v>7</v>
      </c>
      <c r="BC31" s="105">
        <v>1243.2</v>
      </c>
      <c r="BD31" s="105">
        <v>10</v>
      </c>
      <c r="BE31" s="105">
        <v>1776</v>
      </c>
      <c r="BF31" s="105">
        <v>10</v>
      </c>
      <c r="BG31" s="105">
        <v>1776</v>
      </c>
      <c r="BH31" s="105">
        <v>10</v>
      </c>
      <c r="BI31" s="105">
        <v>1776</v>
      </c>
      <c r="BJ31" s="105">
        <v>12</v>
      </c>
      <c r="BK31" s="105">
        <v>2131.1999999999998</v>
      </c>
      <c r="BL31" s="105">
        <v>12</v>
      </c>
      <c r="BM31" s="105">
        <v>2131.1999999999998</v>
      </c>
      <c r="BN31" s="105">
        <v>9</v>
      </c>
      <c r="BO31" s="105">
        <v>1598.3999999999999</v>
      </c>
      <c r="BP31" s="105">
        <v>11</v>
      </c>
      <c r="BQ31" s="105">
        <v>1953.6</v>
      </c>
      <c r="BR31" s="105">
        <v>7</v>
      </c>
      <c r="BS31" s="105">
        <v>1243.2</v>
      </c>
      <c r="BT31" s="105">
        <v>12</v>
      </c>
      <c r="BU31" s="105">
        <v>2131.1999999999998</v>
      </c>
      <c r="BV31" s="105">
        <v>11</v>
      </c>
      <c r="BW31" s="105">
        <v>1953.6</v>
      </c>
      <c r="BX31" s="105">
        <v>9</v>
      </c>
      <c r="BY31" s="105">
        <v>1598.3999999999999</v>
      </c>
      <c r="BZ31" s="105">
        <v>11</v>
      </c>
      <c r="CA31" s="105">
        <v>1953.6</v>
      </c>
      <c r="CB31" s="105">
        <v>9</v>
      </c>
      <c r="CC31" s="105">
        <v>1598.3999999999999</v>
      </c>
      <c r="CD31" s="105">
        <v>11</v>
      </c>
      <c r="CE31" s="105">
        <v>1953.6</v>
      </c>
      <c r="CF31" s="105">
        <v>10</v>
      </c>
      <c r="CG31" s="105">
        <v>1776</v>
      </c>
      <c r="CH31" s="105">
        <v>12</v>
      </c>
      <c r="CI31" s="105">
        <v>2131.1999999999998</v>
      </c>
      <c r="CJ31" s="105">
        <v>8</v>
      </c>
      <c r="CK31" s="105">
        <v>1420.8</v>
      </c>
      <c r="CL31" s="105">
        <v>9</v>
      </c>
      <c r="CM31" s="105">
        <v>1598.3999999999999</v>
      </c>
      <c r="CN31" s="105">
        <v>10</v>
      </c>
      <c r="CO31" s="105">
        <v>1776</v>
      </c>
      <c r="CP31" s="105">
        <v>12</v>
      </c>
      <c r="CQ31" s="105">
        <v>2131.1999999999998</v>
      </c>
      <c r="CR31" s="105">
        <v>14</v>
      </c>
      <c r="CS31" s="105">
        <v>2486.4</v>
      </c>
      <c r="CT31" s="105">
        <v>12</v>
      </c>
      <c r="CU31" s="105">
        <v>2131.1999999999998</v>
      </c>
    </row>
    <row r="32" spans="2:99" x14ac:dyDescent="0.2">
      <c r="C32" s="104" t="s">
        <v>198</v>
      </c>
      <c r="D32" s="105">
        <v>0</v>
      </c>
      <c r="E32" s="105">
        <v>0</v>
      </c>
      <c r="F32" s="105">
        <v>0</v>
      </c>
      <c r="G32" s="105">
        <v>0</v>
      </c>
      <c r="H32" s="105">
        <v>0</v>
      </c>
      <c r="I32" s="105">
        <v>0</v>
      </c>
      <c r="J32" s="105">
        <v>0</v>
      </c>
      <c r="K32" s="105">
        <v>0</v>
      </c>
      <c r="L32" s="105">
        <v>0</v>
      </c>
      <c r="M32" s="105">
        <v>0</v>
      </c>
      <c r="N32" s="105">
        <v>8</v>
      </c>
      <c r="O32" s="105">
        <v>5308.8</v>
      </c>
      <c r="P32" s="105">
        <v>9.2427061326800519</v>
      </c>
      <c r="Q32" s="105">
        <v>6133.4597896464829</v>
      </c>
      <c r="R32" s="105">
        <v>8</v>
      </c>
      <c r="S32" s="105">
        <v>5308.8</v>
      </c>
      <c r="T32" s="105">
        <v>9.2427061326800519</v>
      </c>
      <c r="U32" s="105">
        <v>6133.4597896464829</v>
      </c>
      <c r="V32" s="105">
        <v>9.8218408990438348</v>
      </c>
      <c r="W32" s="105">
        <v>6517.7736206054888</v>
      </c>
      <c r="X32" s="105">
        <v>7</v>
      </c>
      <c r="Y32" s="105">
        <v>4645.2</v>
      </c>
      <c r="Z32" s="105">
        <v>13.304831572550313</v>
      </c>
      <c r="AA32" s="105">
        <v>8829.0862315443883</v>
      </c>
      <c r="AB32" s="105">
        <v>7</v>
      </c>
      <c r="AC32" s="105">
        <v>4645.2</v>
      </c>
      <c r="AD32" s="105">
        <v>8.5567207371760361</v>
      </c>
      <c r="AE32" s="105">
        <v>5678.2398811900175</v>
      </c>
      <c r="AF32" s="105">
        <v>8.7149163085449945</v>
      </c>
      <c r="AG32" s="105">
        <v>5783.2184623504581</v>
      </c>
      <c r="AH32" s="105">
        <v>7.9106805153578499</v>
      </c>
      <c r="AI32" s="105">
        <v>5249.5275899914695</v>
      </c>
      <c r="AJ32" s="105">
        <v>11.725027698806935</v>
      </c>
      <c r="AK32" s="105">
        <v>7780.7283809282826</v>
      </c>
      <c r="AL32" s="105">
        <v>7.7088337634484851</v>
      </c>
      <c r="AM32" s="105">
        <v>5115.5820854244148</v>
      </c>
      <c r="AN32" s="105">
        <v>6.9745023940293649</v>
      </c>
      <c r="AO32" s="105">
        <v>4628.2797886778872</v>
      </c>
      <c r="AP32" s="105">
        <v>7.8316485127207773</v>
      </c>
      <c r="AQ32" s="105">
        <v>5197.0819530415083</v>
      </c>
      <c r="AR32" s="105">
        <v>8.3996966611292816</v>
      </c>
      <c r="AS32" s="105">
        <v>5574.0387043253913</v>
      </c>
      <c r="AT32" s="105">
        <v>12.60928841143526</v>
      </c>
      <c r="AU32" s="105">
        <v>8367.5237898284395</v>
      </c>
      <c r="AV32" s="105">
        <v>6.4051986605433697</v>
      </c>
      <c r="AW32" s="105">
        <v>4250.4898311365805</v>
      </c>
      <c r="AX32" s="105">
        <v>9.4499483036340841</v>
      </c>
      <c r="AY32" s="105">
        <v>6270.9856942915785</v>
      </c>
      <c r="AZ32" s="105">
        <v>8.9054824684495806</v>
      </c>
      <c r="BA32" s="105">
        <v>5909.6781660631423</v>
      </c>
      <c r="BB32" s="105">
        <v>6</v>
      </c>
      <c r="BC32" s="105">
        <v>3981.6000000000004</v>
      </c>
      <c r="BD32" s="105">
        <v>10.381635586353886</v>
      </c>
      <c r="BE32" s="105">
        <v>6889.2533751044384</v>
      </c>
      <c r="BF32" s="105">
        <v>10.199267141596913</v>
      </c>
      <c r="BG32" s="105">
        <v>6768.2336751637113</v>
      </c>
      <c r="BH32" s="105">
        <v>10.847634449055484</v>
      </c>
      <c r="BI32" s="105">
        <v>7198.4902203932188</v>
      </c>
      <c r="BJ32" s="105">
        <v>12.007680557103573</v>
      </c>
      <c r="BK32" s="105">
        <v>7968.2968176939312</v>
      </c>
      <c r="BL32" s="105">
        <v>13</v>
      </c>
      <c r="BM32" s="105">
        <v>8626.8000000000011</v>
      </c>
      <c r="BN32" s="105">
        <v>10.689345791437475</v>
      </c>
      <c r="BO32" s="105">
        <v>7093.449867197909</v>
      </c>
      <c r="BP32" s="105">
        <v>10.377419743558512</v>
      </c>
      <c r="BQ32" s="105">
        <v>6886.455741825429</v>
      </c>
      <c r="BR32" s="105">
        <v>8</v>
      </c>
      <c r="BS32" s="105">
        <v>5308.8</v>
      </c>
      <c r="BT32" s="105">
        <v>10</v>
      </c>
      <c r="BU32" s="105">
        <v>6636</v>
      </c>
      <c r="BV32" s="105">
        <v>11.415392827497366</v>
      </c>
      <c r="BW32" s="105">
        <v>7575.2546803272517</v>
      </c>
      <c r="BX32" s="105">
        <v>10.587409687433713</v>
      </c>
      <c r="BY32" s="105">
        <v>7025.8050685810122</v>
      </c>
      <c r="BZ32" s="105">
        <v>10.159338676470341</v>
      </c>
      <c r="CA32" s="105">
        <v>6741.7371457057188</v>
      </c>
      <c r="CB32" s="105">
        <v>8.3345456846240307</v>
      </c>
      <c r="CC32" s="105">
        <v>5530.804516316507</v>
      </c>
      <c r="CD32" s="105">
        <v>10.140606254214616</v>
      </c>
      <c r="CE32" s="105">
        <v>6729.306310296819</v>
      </c>
      <c r="CF32" s="105">
        <v>11</v>
      </c>
      <c r="CG32" s="105">
        <v>7299.6</v>
      </c>
      <c r="CH32" s="105">
        <v>10.98314871223851</v>
      </c>
      <c r="CI32" s="105">
        <v>7288.417485441475</v>
      </c>
      <c r="CJ32" s="105">
        <v>7</v>
      </c>
      <c r="CK32" s="105">
        <v>4645.2</v>
      </c>
      <c r="CL32" s="105">
        <v>8.9691115066659997</v>
      </c>
      <c r="CM32" s="105">
        <v>5951.9023958235575</v>
      </c>
      <c r="CN32" s="105">
        <v>10</v>
      </c>
      <c r="CO32" s="105">
        <v>6636</v>
      </c>
      <c r="CP32" s="105">
        <v>12.604388491964631</v>
      </c>
      <c r="CQ32" s="105">
        <v>8364.2722032677302</v>
      </c>
      <c r="CR32" s="105">
        <v>14</v>
      </c>
      <c r="CS32" s="105">
        <v>9290.4</v>
      </c>
      <c r="CT32" s="105">
        <v>10.656690035586188</v>
      </c>
      <c r="CU32" s="105">
        <v>7071.7795076149941</v>
      </c>
    </row>
    <row r="33" spans="2:99" x14ac:dyDescent="0.2">
      <c r="C33" s="104" t="s">
        <v>199</v>
      </c>
      <c r="D33" s="105">
        <v>10</v>
      </c>
      <c r="E33" s="105">
        <v>3348</v>
      </c>
      <c r="F33" s="105">
        <v>8</v>
      </c>
      <c r="G33" s="105">
        <v>2678.4</v>
      </c>
      <c r="H33" s="105">
        <v>9</v>
      </c>
      <c r="I33" s="105">
        <v>3013.2000000000003</v>
      </c>
      <c r="J33" s="105">
        <v>11</v>
      </c>
      <c r="K33" s="105">
        <v>3682.8</v>
      </c>
      <c r="L33" s="105">
        <v>9</v>
      </c>
      <c r="M33" s="105">
        <v>3013.2000000000003</v>
      </c>
      <c r="N33" s="105">
        <v>10</v>
      </c>
      <c r="O33" s="105">
        <v>3348</v>
      </c>
      <c r="P33" s="105">
        <v>7</v>
      </c>
      <c r="Q33" s="105">
        <v>2343.6</v>
      </c>
      <c r="R33" s="105">
        <v>9</v>
      </c>
      <c r="S33" s="105">
        <v>3013.2000000000003</v>
      </c>
      <c r="T33" s="105">
        <v>9</v>
      </c>
      <c r="U33" s="105">
        <v>3013.2000000000003</v>
      </c>
      <c r="V33" s="105">
        <v>11</v>
      </c>
      <c r="W33" s="105">
        <v>3682.8</v>
      </c>
      <c r="X33" s="105">
        <v>8</v>
      </c>
      <c r="Y33" s="105">
        <v>2678.4</v>
      </c>
      <c r="Z33" s="105">
        <v>11</v>
      </c>
      <c r="AA33" s="105">
        <v>3682.8</v>
      </c>
      <c r="AB33" s="105">
        <v>8</v>
      </c>
      <c r="AC33" s="105">
        <v>2678.4</v>
      </c>
      <c r="AD33" s="105">
        <v>10</v>
      </c>
      <c r="AE33" s="105">
        <v>3348</v>
      </c>
      <c r="AF33" s="105">
        <v>8</v>
      </c>
      <c r="AG33" s="105">
        <v>2678.4</v>
      </c>
      <c r="AH33" s="105">
        <v>7</v>
      </c>
      <c r="AI33" s="105">
        <v>2343.6</v>
      </c>
      <c r="AJ33" s="105">
        <v>11</v>
      </c>
      <c r="AK33" s="105">
        <v>3682.8</v>
      </c>
      <c r="AL33" s="105">
        <v>8</v>
      </c>
      <c r="AM33" s="105">
        <v>2678.4</v>
      </c>
      <c r="AN33" s="105">
        <v>6</v>
      </c>
      <c r="AO33" s="105">
        <v>2008.8000000000002</v>
      </c>
      <c r="AP33" s="105">
        <v>6</v>
      </c>
      <c r="AQ33" s="105">
        <v>2008.8000000000002</v>
      </c>
      <c r="AR33" s="105">
        <v>7</v>
      </c>
      <c r="AS33" s="105">
        <v>2343.6</v>
      </c>
      <c r="AT33" s="105">
        <v>11</v>
      </c>
      <c r="AU33" s="105">
        <v>3682.8</v>
      </c>
      <c r="AV33" s="105">
        <v>8</v>
      </c>
      <c r="AW33" s="105">
        <v>2678.4</v>
      </c>
      <c r="AX33" s="105">
        <v>9</v>
      </c>
      <c r="AY33" s="105">
        <v>3013.2000000000003</v>
      </c>
      <c r="AZ33" s="105">
        <v>11</v>
      </c>
      <c r="BA33" s="105">
        <v>3682.8</v>
      </c>
      <c r="BB33" s="105">
        <v>6</v>
      </c>
      <c r="BC33" s="105">
        <v>2008.8000000000002</v>
      </c>
      <c r="BD33" s="105">
        <v>8</v>
      </c>
      <c r="BE33" s="105">
        <v>2678.4</v>
      </c>
      <c r="BF33" s="105">
        <v>9</v>
      </c>
      <c r="BG33" s="105">
        <v>3013.2000000000003</v>
      </c>
      <c r="BH33" s="105">
        <v>9</v>
      </c>
      <c r="BI33" s="105">
        <v>3013.2000000000003</v>
      </c>
      <c r="BJ33" s="105">
        <v>11</v>
      </c>
      <c r="BK33" s="105">
        <v>3682.8</v>
      </c>
      <c r="BL33" s="105">
        <v>14</v>
      </c>
      <c r="BM33" s="105">
        <v>4687.2</v>
      </c>
      <c r="BN33" s="105">
        <v>9</v>
      </c>
      <c r="BO33" s="105">
        <v>3013.2000000000003</v>
      </c>
      <c r="BP33" s="105">
        <v>10</v>
      </c>
      <c r="BQ33" s="105">
        <v>3348</v>
      </c>
      <c r="BR33" s="105">
        <v>8</v>
      </c>
      <c r="BS33" s="105">
        <v>2678.4</v>
      </c>
      <c r="BT33" s="105">
        <v>11</v>
      </c>
      <c r="BU33" s="105">
        <v>3682.8</v>
      </c>
      <c r="BV33" s="105">
        <v>11</v>
      </c>
      <c r="BW33" s="105">
        <v>3682.8</v>
      </c>
      <c r="BX33" s="105">
        <v>10</v>
      </c>
      <c r="BY33" s="105">
        <v>3348</v>
      </c>
      <c r="BZ33" s="105">
        <v>11</v>
      </c>
      <c r="CA33" s="105">
        <v>3682.8</v>
      </c>
      <c r="CB33" s="105">
        <v>8</v>
      </c>
      <c r="CC33" s="105">
        <v>2678.4</v>
      </c>
      <c r="CD33" s="105">
        <v>12</v>
      </c>
      <c r="CE33" s="105">
        <v>4017.6000000000004</v>
      </c>
      <c r="CF33" s="105">
        <v>11</v>
      </c>
      <c r="CG33" s="105">
        <v>3682.8</v>
      </c>
      <c r="CH33" s="105">
        <v>12</v>
      </c>
      <c r="CI33" s="105">
        <v>4017.6000000000004</v>
      </c>
      <c r="CJ33" s="105">
        <v>8</v>
      </c>
      <c r="CK33" s="105">
        <v>2678.4</v>
      </c>
      <c r="CL33" s="105">
        <v>9</v>
      </c>
      <c r="CM33" s="105">
        <v>3013.2000000000003</v>
      </c>
      <c r="CN33" s="105">
        <v>10</v>
      </c>
      <c r="CO33" s="105">
        <v>3348</v>
      </c>
      <c r="CP33" s="105">
        <v>10</v>
      </c>
      <c r="CQ33" s="105">
        <v>3348</v>
      </c>
      <c r="CR33" s="105">
        <v>12</v>
      </c>
      <c r="CS33" s="105">
        <v>4017.6000000000004</v>
      </c>
      <c r="CT33" s="105">
        <v>12</v>
      </c>
      <c r="CU33" s="105">
        <v>4017.6000000000004</v>
      </c>
    </row>
    <row r="34" spans="2:99" x14ac:dyDescent="0.2">
      <c r="C34" s="104" t="s">
        <v>200</v>
      </c>
      <c r="D34" s="105">
        <v>10</v>
      </c>
      <c r="E34" s="105">
        <v>3804</v>
      </c>
      <c r="F34" s="105">
        <v>8</v>
      </c>
      <c r="G34" s="105">
        <v>3043.2</v>
      </c>
      <c r="H34" s="105">
        <v>10</v>
      </c>
      <c r="I34" s="105">
        <v>3804</v>
      </c>
      <c r="J34" s="105">
        <v>11</v>
      </c>
      <c r="K34" s="105">
        <v>4184.3999999999996</v>
      </c>
      <c r="L34" s="105">
        <v>9</v>
      </c>
      <c r="M34" s="105">
        <v>3423.6</v>
      </c>
      <c r="N34" s="105">
        <v>8</v>
      </c>
      <c r="O34" s="105">
        <v>3043.2</v>
      </c>
      <c r="P34" s="105">
        <v>7</v>
      </c>
      <c r="Q34" s="105">
        <v>2662.7999999999997</v>
      </c>
      <c r="R34" s="105">
        <v>9</v>
      </c>
      <c r="S34" s="105">
        <v>3423.6</v>
      </c>
      <c r="T34" s="105">
        <v>8</v>
      </c>
      <c r="U34" s="105">
        <v>3043.2</v>
      </c>
      <c r="V34" s="105">
        <v>10</v>
      </c>
      <c r="W34" s="105">
        <v>3804</v>
      </c>
      <c r="X34" s="105">
        <v>8</v>
      </c>
      <c r="Y34" s="105">
        <v>3043.2</v>
      </c>
      <c r="Z34" s="105">
        <v>11</v>
      </c>
      <c r="AA34" s="105">
        <v>4184.3999999999996</v>
      </c>
      <c r="AB34" s="105">
        <v>7</v>
      </c>
      <c r="AC34" s="105">
        <v>2662.7999999999997</v>
      </c>
      <c r="AD34" s="105">
        <v>9</v>
      </c>
      <c r="AE34" s="105">
        <v>3423.6</v>
      </c>
      <c r="AF34" s="105">
        <v>8</v>
      </c>
      <c r="AG34" s="105">
        <v>3043.2</v>
      </c>
      <c r="AH34" s="105">
        <v>6</v>
      </c>
      <c r="AI34" s="105">
        <v>2282.3999999999996</v>
      </c>
      <c r="AJ34" s="105">
        <v>11</v>
      </c>
      <c r="AK34" s="105">
        <v>4184.3999999999996</v>
      </c>
      <c r="AL34" s="105">
        <v>7</v>
      </c>
      <c r="AM34" s="105">
        <v>2662.7999999999997</v>
      </c>
      <c r="AN34" s="105">
        <v>6</v>
      </c>
      <c r="AO34" s="105">
        <v>2282.3999999999996</v>
      </c>
      <c r="AP34" s="105">
        <v>6</v>
      </c>
      <c r="AQ34" s="105">
        <v>2282.3999999999996</v>
      </c>
      <c r="AR34" s="105">
        <v>7</v>
      </c>
      <c r="AS34" s="105">
        <v>2662.7999999999997</v>
      </c>
      <c r="AT34" s="105">
        <v>12</v>
      </c>
      <c r="AU34" s="105">
        <v>4564.7999999999993</v>
      </c>
      <c r="AV34" s="105">
        <v>8</v>
      </c>
      <c r="AW34" s="105">
        <v>3043.2</v>
      </c>
      <c r="AX34" s="105">
        <v>9</v>
      </c>
      <c r="AY34" s="105">
        <v>3423.6</v>
      </c>
      <c r="AZ34" s="105">
        <v>10</v>
      </c>
      <c r="BA34" s="105">
        <v>3804</v>
      </c>
      <c r="BB34" s="105">
        <v>7</v>
      </c>
      <c r="BC34" s="105">
        <v>2662.7999999999997</v>
      </c>
      <c r="BD34" s="105">
        <v>10</v>
      </c>
      <c r="BE34" s="105">
        <v>3804</v>
      </c>
      <c r="BF34" s="105">
        <v>9</v>
      </c>
      <c r="BG34" s="105">
        <v>3423.6</v>
      </c>
      <c r="BH34" s="105">
        <v>8</v>
      </c>
      <c r="BI34" s="105">
        <v>3043.2</v>
      </c>
      <c r="BJ34" s="105">
        <v>13</v>
      </c>
      <c r="BK34" s="105">
        <v>4945.2</v>
      </c>
      <c r="BL34" s="105">
        <v>11</v>
      </c>
      <c r="BM34" s="105">
        <v>4184.3999999999996</v>
      </c>
      <c r="BN34" s="105">
        <v>8</v>
      </c>
      <c r="BO34" s="105">
        <v>3043.2</v>
      </c>
      <c r="BP34" s="105">
        <v>11</v>
      </c>
      <c r="BQ34" s="105">
        <v>4184.3999999999996</v>
      </c>
      <c r="BR34" s="105">
        <v>8</v>
      </c>
      <c r="BS34" s="105">
        <v>3043.2</v>
      </c>
      <c r="BT34" s="105">
        <v>11</v>
      </c>
      <c r="BU34" s="105">
        <v>4184.3999999999996</v>
      </c>
      <c r="BV34" s="105">
        <v>10</v>
      </c>
      <c r="BW34" s="105">
        <v>3804</v>
      </c>
      <c r="BX34" s="105">
        <v>9</v>
      </c>
      <c r="BY34" s="105">
        <v>3423.6</v>
      </c>
      <c r="BZ34" s="105">
        <v>12</v>
      </c>
      <c r="CA34" s="105">
        <v>4564.7999999999993</v>
      </c>
      <c r="CB34" s="105">
        <v>8</v>
      </c>
      <c r="CC34" s="105">
        <v>3043.2</v>
      </c>
      <c r="CD34" s="105">
        <v>12</v>
      </c>
      <c r="CE34" s="105">
        <v>4564.7999999999993</v>
      </c>
      <c r="CF34" s="105">
        <v>10</v>
      </c>
      <c r="CG34" s="105">
        <v>3804</v>
      </c>
      <c r="CH34" s="105">
        <v>12</v>
      </c>
      <c r="CI34" s="105">
        <v>4564.7999999999993</v>
      </c>
      <c r="CJ34" s="105">
        <v>7</v>
      </c>
      <c r="CK34" s="105">
        <v>2662.7999999999997</v>
      </c>
      <c r="CL34" s="105">
        <v>8</v>
      </c>
      <c r="CM34" s="105">
        <v>3043.2</v>
      </c>
      <c r="CN34" s="105">
        <v>11</v>
      </c>
      <c r="CO34" s="105">
        <v>4184.3999999999996</v>
      </c>
      <c r="CP34" s="105">
        <v>11</v>
      </c>
      <c r="CQ34" s="105">
        <v>4184.3999999999996</v>
      </c>
      <c r="CR34" s="105">
        <v>13</v>
      </c>
      <c r="CS34" s="105">
        <v>4945.2</v>
      </c>
      <c r="CT34" s="105">
        <v>12</v>
      </c>
      <c r="CU34" s="105">
        <v>4564.7999999999993</v>
      </c>
    </row>
    <row r="35" spans="2:99" x14ac:dyDescent="0.2">
      <c r="C35" s="104" t="s">
        <v>201</v>
      </c>
      <c r="D35" s="105">
        <v>10</v>
      </c>
      <c r="E35" s="105">
        <v>4104</v>
      </c>
      <c r="F35" s="105">
        <v>8</v>
      </c>
      <c r="G35" s="105">
        <v>3283.2</v>
      </c>
      <c r="H35" s="105">
        <v>10</v>
      </c>
      <c r="I35" s="105">
        <v>4104</v>
      </c>
      <c r="J35" s="105">
        <v>12</v>
      </c>
      <c r="K35" s="105">
        <v>4924.7999999999993</v>
      </c>
      <c r="L35" s="105">
        <v>8</v>
      </c>
      <c r="M35" s="105">
        <v>3283.2</v>
      </c>
      <c r="N35" s="105">
        <v>9</v>
      </c>
      <c r="O35" s="105">
        <v>3693.6</v>
      </c>
      <c r="P35" s="105">
        <v>7</v>
      </c>
      <c r="Q35" s="105">
        <v>2872.7999999999997</v>
      </c>
      <c r="R35" s="105">
        <v>8</v>
      </c>
      <c r="S35" s="105">
        <v>3283.2</v>
      </c>
      <c r="T35" s="105">
        <v>8</v>
      </c>
      <c r="U35" s="105">
        <v>3283.2</v>
      </c>
      <c r="V35" s="105">
        <v>9</v>
      </c>
      <c r="W35" s="105">
        <v>3693.6</v>
      </c>
      <c r="X35" s="105">
        <v>7</v>
      </c>
      <c r="Y35" s="105">
        <v>2872.7999999999997</v>
      </c>
      <c r="Z35" s="105">
        <v>12</v>
      </c>
      <c r="AA35" s="105">
        <v>4924.7999999999993</v>
      </c>
      <c r="AB35" s="105">
        <v>8</v>
      </c>
      <c r="AC35" s="105">
        <v>3283.2</v>
      </c>
      <c r="AD35" s="105">
        <v>10</v>
      </c>
      <c r="AE35" s="105">
        <v>4104</v>
      </c>
      <c r="AF35" s="105">
        <v>9</v>
      </c>
      <c r="AG35" s="105">
        <v>3693.6</v>
      </c>
      <c r="AH35" s="105">
        <v>6</v>
      </c>
      <c r="AI35" s="105">
        <v>2462.3999999999996</v>
      </c>
      <c r="AJ35" s="105">
        <v>12</v>
      </c>
      <c r="AK35" s="105">
        <v>4924.7999999999993</v>
      </c>
      <c r="AL35" s="105">
        <v>7</v>
      </c>
      <c r="AM35" s="105">
        <v>2872.7999999999997</v>
      </c>
      <c r="AN35" s="105">
        <v>7</v>
      </c>
      <c r="AO35" s="105">
        <v>2872.7999999999997</v>
      </c>
      <c r="AP35" s="105">
        <v>7</v>
      </c>
      <c r="AQ35" s="105">
        <v>2872.7999999999997</v>
      </c>
      <c r="AR35" s="105">
        <v>6</v>
      </c>
      <c r="AS35" s="105">
        <v>2462.3999999999996</v>
      </c>
      <c r="AT35" s="105">
        <v>12</v>
      </c>
      <c r="AU35" s="105">
        <v>4924.7999999999993</v>
      </c>
      <c r="AV35" s="105">
        <v>7</v>
      </c>
      <c r="AW35" s="105">
        <v>2872.7999999999997</v>
      </c>
      <c r="AX35" s="105">
        <v>8</v>
      </c>
      <c r="AY35" s="105">
        <v>3283.2</v>
      </c>
      <c r="AZ35" s="105">
        <v>12</v>
      </c>
      <c r="BA35" s="105">
        <v>4924.7999999999993</v>
      </c>
      <c r="BB35" s="105">
        <v>6</v>
      </c>
      <c r="BC35" s="105">
        <v>2462.3999999999996</v>
      </c>
      <c r="BD35" s="105">
        <v>9</v>
      </c>
      <c r="BE35" s="105">
        <v>3693.6</v>
      </c>
      <c r="BF35" s="105">
        <v>9</v>
      </c>
      <c r="BG35" s="105">
        <v>3693.6</v>
      </c>
      <c r="BH35" s="105">
        <v>9</v>
      </c>
      <c r="BI35" s="105">
        <v>3693.6</v>
      </c>
      <c r="BJ35" s="105">
        <v>12</v>
      </c>
      <c r="BK35" s="105">
        <v>4924.7999999999993</v>
      </c>
      <c r="BL35" s="105">
        <v>14</v>
      </c>
      <c r="BM35" s="105">
        <v>5745.5999999999995</v>
      </c>
      <c r="BN35" s="105">
        <v>9</v>
      </c>
      <c r="BO35" s="105">
        <v>3693.6</v>
      </c>
      <c r="BP35" s="105">
        <v>10</v>
      </c>
      <c r="BQ35" s="105">
        <v>4104</v>
      </c>
      <c r="BR35" s="105">
        <v>8</v>
      </c>
      <c r="BS35" s="105">
        <v>3283.2</v>
      </c>
      <c r="BT35" s="105">
        <v>11</v>
      </c>
      <c r="BU35" s="105">
        <v>4514.3999999999996</v>
      </c>
      <c r="BV35" s="105">
        <v>11</v>
      </c>
      <c r="BW35" s="105">
        <v>4514.3999999999996</v>
      </c>
      <c r="BX35" s="105">
        <v>9</v>
      </c>
      <c r="BY35" s="105">
        <v>3693.6</v>
      </c>
      <c r="BZ35" s="105">
        <v>11</v>
      </c>
      <c r="CA35" s="105">
        <v>4514.3999999999996</v>
      </c>
      <c r="CB35" s="105">
        <v>8</v>
      </c>
      <c r="CC35" s="105">
        <v>3283.2</v>
      </c>
      <c r="CD35" s="105">
        <v>12</v>
      </c>
      <c r="CE35" s="105">
        <v>4924.7999999999993</v>
      </c>
      <c r="CF35" s="105">
        <v>10</v>
      </c>
      <c r="CG35" s="105">
        <v>4104</v>
      </c>
      <c r="CH35" s="105">
        <v>13</v>
      </c>
      <c r="CI35" s="105">
        <v>5335.2</v>
      </c>
      <c r="CJ35" s="105">
        <v>8</v>
      </c>
      <c r="CK35" s="105">
        <v>3283.2</v>
      </c>
      <c r="CL35" s="105">
        <v>9</v>
      </c>
      <c r="CM35" s="105">
        <v>3693.6</v>
      </c>
      <c r="CN35" s="105">
        <v>11</v>
      </c>
      <c r="CO35" s="105">
        <v>4514.3999999999996</v>
      </c>
      <c r="CP35" s="105">
        <v>12</v>
      </c>
      <c r="CQ35" s="105">
        <v>4924.7999999999993</v>
      </c>
      <c r="CR35" s="105">
        <v>14</v>
      </c>
      <c r="CS35" s="105">
        <v>5745.5999999999995</v>
      </c>
      <c r="CT35" s="105">
        <v>11</v>
      </c>
      <c r="CU35" s="105">
        <v>4514.3999999999996</v>
      </c>
    </row>
    <row r="36" spans="2:99" x14ac:dyDescent="0.2">
      <c r="C36" s="104" t="s">
        <v>202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9</v>
      </c>
      <c r="O36" s="105">
        <v>4125.5999999999995</v>
      </c>
      <c r="P36" s="105">
        <v>8.2427061326800519</v>
      </c>
      <c r="Q36" s="105">
        <v>3778.4564912205356</v>
      </c>
      <c r="R36" s="105">
        <v>9</v>
      </c>
      <c r="S36" s="105">
        <v>4125.5999999999995</v>
      </c>
      <c r="T36" s="105">
        <v>9</v>
      </c>
      <c r="U36" s="105">
        <v>4125.5999999999995</v>
      </c>
      <c r="V36" s="105">
        <v>10.739656809139451</v>
      </c>
      <c r="W36" s="105">
        <v>4923.0586813095242</v>
      </c>
      <c r="X36" s="105">
        <v>8</v>
      </c>
      <c r="Y36" s="105">
        <v>3667.2</v>
      </c>
      <c r="Z36" s="105">
        <v>12.401485763109596</v>
      </c>
      <c r="AA36" s="105">
        <v>5684.841073809439</v>
      </c>
      <c r="AB36" s="105">
        <v>8</v>
      </c>
      <c r="AC36" s="105">
        <v>3667.2</v>
      </c>
      <c r="AD36" s="105">
        <v>9.3915497342065972</v>
      </c>
      <c r="AE36" s="105">
        <v>4305.0863981603043</v>
      </c>
      <c r="AF36" s="105">
        <v>6.7700859262659785</v>
      </c>
      <c r="AG36" s="105">
        <v>3103.4073886003243</v>
      </c>
      <c r="AH36" s="105">
        <v>7.9520750842377526</v>
      </c>
      <c r="AI36" s="105">
        <v>3645.2312186145855</v>
      </c>
      <c r="AJ36" s="105">
        <v>10.782581859717817</v>
      </c>
      <c r="AK36" s="105">
        <v>4942.7355244946475</v>
      </c>
      <c r="AL36" s="105">
        <v>8.7757556300279429</v>
      </c>
      <c r="AM36" s="105">
        <v>4022.8063808048087</v>
      </c>
      <c r="AN36" s="105">
        <v>8.0232275137308342</v>
      </c>
      <c r="AO36" s="105">
        <v>3677.8474922942141</v>
      </c>
      <c r="AP36" s="105">
        <v>7</v>
      </c>
      <c r="AQ36" s="105">
        <v>3208.7999999999997</v>
      </c>
      <c r="AR36" s="105">
        <v>7.5996533270048925</v>
      </c>
      <c r="AS36" s="105">
        <v>3483.6810850990423</v>
      </c>
      <c r="AT36" s="105">
        <v>10.336627987100519</v>
      </c>
      <c r="AU36" s="105">
        <v>4738.3102692868779</v>
      </c>
      <c r="AV36" s="105">
        <v>7.1790446316145866</v>
      </c>
      <c r="AW36" s="105">
        <v>3290.8740591321261</v>
      </c>
      <c r="AX36" s="105">
        <v>8.4736297932990361</v>
      </c>
      <c r="AY36" s="105">
        <v>3884.311897248278</v>
      </c>
      <c r="AZ36" s="105">
        <v>9.7960307152945383</v>
      </c>
      <c r="BA36" s="105">
        <v>4490.5004798910159</v>
      </c>
      <c r="BB36" s="105">
        <v>6</v>
      </c>
      <c r="BC36" s="105">
        <v>2750.3999999999996</v>
      </c>
      <c r="BD36" s="105">
        <v>9.5658536645344032</v>
      </c>
      <c r="BE36" s="105">
        <v>4384.9873198225705</v>
      </c>
      <c r="BF36" s="105">
        <v>10</v>
      </c>
      <c r="BG36" s="105">
        <v>4584</v>
      </c>
      <c r="BH36" s="105">
        <v>10.647890184292727</v>
      </c>
      <c r="BI36" s="105">
        <v>4880.992860479786</v>
      </c>
      <c r="BJ36" s="105">
        <v>12.608699758744025</v>
      </c>
      <c r="BK36" s="105">
        <v>5779.8279694082612</v>
      </c>
      <c r="BL36" s="105">
        <v>12</v>
      </c>
      <c r="BM36" s="105">
        <v>5500.7999999999993</v>
      </c>
      <c r="BN36" s="105">
        <v>9.7582803705812218</v>
      </c>
      <c r="BO36" s="105">
        <v>4473.1957218744319</v>
      </c>
      <c r="BP36" s="105">
        <v>10.358548756380587</v>
      </c>
      <c r="BQ36" s="105">
        <v>4748.3587499248606</v>
      </c>
      <c r="BR36" s="105">
        <v>8</v>
      </c>
      <c r="BS36" s="105">
        <v>3667.2</v>
      </c>
      <c r="BT36" s="105">
        <v>11</v>
      </c>
      <c r="BU36" s="105">
        <v>5042.3999999999996</v>
      </c>
      <c r="BV36" s="105">
        <v>11.269529302880166</v>
      </c>
      <c r="BW36" s="105">
        <v>5165.9522324402678</v>
      </c>
      <c r="BX36" s="105">
        <v>10.494683380539742</v>
      </c>
      <c r="BY36" s="105">
        <v>4810.7628616394177</v>
      </c>
      <c r="BZ36" s="105">
        <v>10.200543270295745</v>
      </c>
      <c r="CA36" s="105">
        <v>4675.9290351035688</v>
      </c>
      <c r="CB36" s="105">
        <v>8.2937694671417663</v>
      </c>
      <c r="CC36" s="105">
        <v>3801.8639237377856</v>
      </c>
      <c r="CD36" s="105">
        <v>10.98470904483405</v>
      </c>
      <c r="CE36" s="105">
        <v>5035.3906261519278</v>
      </c>
      <c r="CF36" s="105">
        <v>11</v>
      </c>
      <c r="CG36" s="105">
        <v>5042.3999999999996</v>
      </c>
      <c r="CH36" s="105">
        <v>10.98314871223851</v>
      </c>
      <c r="CI36" s="105">
        <v>5034.6753696901324</v>
      </c>
      <c r="CJ36" s="105">
        <v>7</v>
      </c>
      <c r="CK36" s="105">
        <v>3208.7999999999997</v>
      </c>
      <c r="CL36" s="105">
        <v>9.9691115066659997</v>
      </c>
      <c r="CM36" s="105">
        <v>4569.8407146556938</v>
      </c>
      <c r="CN36" s="105">
        <v>11</v>
      </c>
      <c r="CO36" s="105">
        <v>5042.3999999999996</v>
      </c>
      <c r="CP36" s="105">
        <v>11.62957134579649</v>
      </c>
      <c r="CQ36" s="105">
        <v>5330.9955049131113</v>
      </c>
      <c r="CR36" s="105">
        <v>14</v>
      </c>
      <c r="CS36" s="105">
        <v>6417.5999999999995</v>
      </c>
      <c r="CT36" s="105">
        <v>11.670563020761969</v>
      </c>
      <c r="CU36" s="105">
        <v>5349.7860887172865</v>
      </c>
    </row>
    <row r="37" spans="2:99" x14ac:dyDescent="0.2">
      <c r="B37" s="104" t="s">
        <v>128</v>
      </c>
      <c r="C37" s="104" t="s">
        <v>203</v>
      </c>
      <c r="D37" s="105">
        <v>5</v>
      </c>
      <c r="E37" s="105">
        <v>3258</v>
      </c>
      <c r="F37" s="105">
        <v>3</v>
      </c>
      <c r="G37" s="105">
        <v>1954.8000000000002</v>
      </c>
      <c r="H37" s="105">
        <v>5</v>
      </c>
      <c r="I37" s="105">
        <v>3258</v>
      </c>
      <c r="J37" s="105">
        <v>3</v>
      </c>
      <c r="K37" s="105">
        <v>1954.8000000000002</v>
      </c>
      <c r="L37" s="105">
        <v>4</v>
      </c>
      <c r="M37" s="105">
        <v>2606.4</v>
      </c>
      <c r="N37" s="105">
        <v>4</v>
      </c>
      <c r="O37" s="105">
        <v>2606.4</v>
      </c>
      <c r="P37" s="105">
        <v>6</v>
      </c>
      <c r="Q37" s="105">
        <v>3909.6000000000004</v>
      </c>
      <c r="R37" s="105">
        <v>5</v>
      </c>
      <c r="S37" s="105">
        <v>3258</v>
      </c>
      <c r="T37" s="105">
        <v>5</v>
      </c>
      <c r="U37" s="105">
        <v>3258</v>
      </c>
      <c r="V37" s="105">
        <v>4</v>
      </c>
      <c r="W37" s="105">
        <v>2606.4</v>
      </c>
      <c r="X37" s="105">
        <v>6</v>
      </c>
      <c r="Y37" s="105">
        <v>3909.6000000000004</v>
      </c>
      <c r="Z37" s="105">
        <v>6</v>
      </c>
      <c r="AA37" s="105">
        <v>3909.6000000000004</v>
      </c>
      <c r="AB37" s="105">
        <v>3</v>
      </c>
      <c r="AC37" s="105">
        <v>1954.8000000000002</v>
      </c>
      <c r="AD37" s="105">
        <v>6</v>
      </c>
      <c r="AE37" s="105">
        <v>3909.6000000000004</v>
      </c>
      <c r="AF37" s="105">
        <v>6</v>
      </c>
      <c r="AG37" s="105">
        <v>3909.6000000000004</v>
      </c>
      <c r="AH37" s="105">
        <v>6</v>
      </c>
      <c r="AI37" s="105">
        <v>3909.6000000000004</v>
      </c>
      <c r="AJ37" s="105">
        <v>6</v>
      </c>
      <c r="AK37" s="105">
        <v>3909.6000000000004</v>
      </c>
      <c r="AL37" s="105">
        <v>6</v>
      </c>
      <c r="AM37" s="105">
        <v>3909.6000000000004</v>
      </c>
      <c r="AN37" s="105">
        <v>4</v>
      </c>
      <c r="AO37" s="105">
        <v>2606.4</v>
      </c>
      <c r="AP37" s="105">
        <v>3</v>
      </c>
      <c r="AQ37" s="105">
        <v>1954.8000000000002</v>
      </c>
      <c r="AR37" s="105">
        <v>6</v>
      </c>
      <c r="AS37" s="105">
        <v>3909.6000000000004</v>
      </c>
      <c r="AT37" s="105">
        <v>7</v>
      </c>
      <c r="AU37" s="105">
        <v>4561.2</v>
      </c>
      <c r="AV37" s="105">
        <v>3</v>
      </c>
      <c r="AW37" s="105">
        <v>1954.8000000000002</v>
      </c>
      <c r="AX37" s="105">
        <v>4</v>
      </c>
      <c r="AY37" s="105">
        <v>2606.4</v>
      </c>
      <c r="AZ37" s="105">
        <v>4</v>
      </c>
      <c r="BA37" s="105">
        <v>2606.4</v>
      </c>
      <c r="BB37" s="105">
        <v>6</v>
      </c>
      <c r="BC37" s="105">
        <v>3909.6000000000004</v>
      </c>
      <c r="BD37" s="105">
        <v>3</v>
      </c>
      <c r="BE37" s="105">
        <v>1954.8000000000002</v>
      </c>
      <c r="BF37" s="105">
        <v>6</v>
      </c>
      <c r="BG37" s="105">
        <v>3909.6000000000004</v>
      </c>
      <c r="BH37" s="105">
        <v>6</v>
      </c>
      <c r="BI37" s="105">
        <v>3909.6000000000004</v>
      </c>
      <c r="BJ37" s="105">
        <v>5</v>
      </c>
      <c r="BK37" s="105">
        <v>3258</v>
      </c>
      <c r="BL37" s="105">
        <v>5</v>
      </c>
      <c r="BM37" s="105">
        <v>3258</v>
      </c>
      <c r="BN37" s="105">
        <v>4</v>
      </c>
      <c r="BO37" s="105">
        <v>2606.4</v>
      </c>
      <c r="BP37" s="105">
        <v>5</v>
      </c>
      <c r="BQ37" s="105">
        <v>3258</v>
      </c>
      <c r="BR37" s="105">
        <v>6</v>
      </c>
      <c r="BS37" s="105">
        <v>3909.6000000000004</v>
      </c>
      <c r="BT37" s="105">
        <v>4</v>
      </c>
      <c r="BU37" s="105">
        <v>2606.4</v>
      </c>
      <c r="BV37" s="105">
        <v>3</v>
      </c>
      <c r="BW37" s="105">
        <v>1954.8000000000002</v>
      </c>
      <c r="BX37" s="105">
        <v>5</v>
      </c>
      <c r="BY37" s="105">
        <v>3258</v>
      </c>
      <c r="BZ37" s="105">
        <v>5</v>
      </c>
      <c r="CA37" s="105">
        <v>3258</v>
      </c>
      <c r="CB37" s="105">
        <v>3</v>
      </c>
      <c r="CC37" s="105">
        <v>1954.8000000000002</v>
      </c>
      <c r="CD37" s="105">
        <v>6</v>
      </c>
      <c r="CE37" s="105">
        <v>3909.6000000000004</v>
      </c>
      <c r="CF37" s="105">
        <v>4</v>
      </c>
      <c r="CG37" s="105">
        <v>2606.4</v>
      </c>
      <c r="CH37" s="105">
        <v>5</v>
      </c>
      <c r="CI37" s="105">
        <v>3258</v>
      </c>
      <c r="CJ37" s="105">
        <v>3</v>
      </c>
      <c r="CK37" s="105">
        <v>1954.8000000000002</v>
      </c>
      <c r="CL37" s="105">
        <v>4</v>
      </c>
      <c r="CM37" s="105">
        <v>2606.4</v>
      </c>
      <c r="CN37" s="105">
        <v>3</v>
      </c>
      <c r="CO37" s="105">
        <v>1954.8000000000002</v>
      </c>
      <c r="CP37" s="105">
        <v>5</v>
      </c>
      <c r="CQ37" s="105">
        <v>3258</v>
      </c>
      <c r="CR37" s="105">
        <v>4</v>
      </c>
      <c r="CS37" s="105">
        <v>2606.4</v>
      </c>
      <c r="CT37" s="105">
        <v>5</v>
      </c>
      <c r="CU37" s="105">
        <v>3258</v>
      </c>
    </row>
    <row r="38" spans="2:99" x14ac:dyDescent="0.2">
      <c r="C38" s="104" t="s">
        <v>204</v>
      </c>
      <c r="D38" s="105">
        <v>5</v>
      </c>
      <c r="E38" s="105">
        <v>5160</v>
      </c>
      <c r="F38" s="105">
        <v>4</v>
      </c>
      <c r="G38" s="105">
        <v>4128</v>
      </c>
      <c r="H38" s="105">
        <v>5</v>
      </c>
      <c r="I38" s="105">
        <v>5160</v>
      </c>
      <c r="J38" s="105">
        <v>3</v>
      </c>
      <c r="K38" s="105">
        <v>3096</v>
      </c>
      <c r="L38" s="105">
        <v>4</v>
      </c>
      <c r="M38" s="105">
        <v>4128</v>
      </c>
      <c r="N38" s="105">
        <v>4</v>
      </c>
      <c r="O38" s="105">
        <v>4128</v>
      </c>
      <c r="P38" s="105">
        <v>5</v>
      </c>
      <c r="Q38" s="105">
        <v>5160</v>
      </c>
      <c r="R38" s="105">
        <v>5</v>
      </c>
      <c r="S38" s="105">
        <v>5160</v>
      </c>
      <c r="T38" s="105">
        <v>5</v>
      </c>
      <c r="U38" s="105">
        <v>5160</v>
      </c>
      <c r="V38" s="105">
        <v>3</v>
      </c>
      <c r="W38" s="105">
        <v>3096</v>
      </c>
      <c r="X38" s="105">
        <v>6</v>
      </c>
      <c r="Y38" s="105">
        <v>6192</v>
      </c>
      <c r="Z38" s="105">
        <v>6</v>
      </c>
      <c r="AA38" s="105">
        <v>6192</v>
      </c>
      <c r="AB38" s="105">
        <v>3</v>
      </c>
      <c r="AC38" s="105">
        <v>3096</v>
      </c>
      <c r="AD38" s="105">
        <v>5</v>
      </c>
      <c r="AE38" s="105">
        <v>5160</v>
      </c>
      <c r="AF38" s="105">
        <v>6</v>
      </c>
      <c r="AG38" s="105">
        <v>6192</v>
      </c>
      <c r="AH38" s="105">
        <v>6</v>
      </c>
      <c r="AI38" s="105">
        <v>6192</v>
      </c>
      <c r="AJ38" s="105">
        <v>7</v>
      </c>
      <c r="AK38" s="105">
        <v>7224</v>
      </c>
      <c r="AL38" s="105">
        <v>5</v>
      </c>
      <c r="AM38" s="105">
        <v>5160</v>
      </c>
      <c r="AN38" s="105">
        <v>4</v>
      </c>
      <c r="AO38" s="105">
        <v>4128</v>
      </c>
      <c r="AP38" s="105">
        <v>3</v>
      </c>
      <c r="AQ38" s="105">
        <v>3096</v>
      </c>
      <c r="AR38" s="105">
        <v>6</v>
      </c>
      <c r="AS38" s="105">
        <v>6192</v>
      </c>
      <c r="AT38" s="105">
        <v>6</v>
      </c>
      <c r="AU38" s="105">
        <v>6192</v>
      </c>
      <c r="AV38" s="105">
        <v>3</v>
      </c>
      <c r="AW38" s="105">
        <v>3096</v>
      </c>
      <c r="AX38" s="105">
        <v>4</v>
      </c>
      <c r="AY38" s="105">
        <v>4128</v>
      </c>
      <c r="AZ38" s="105">
        <v>4</v>
      </c>
      <c r="BA38" s="105">
        <v>4128</v>
      </c>
      <c r="BB38" s="105">
        <v>7</v>
      </c>
      <c r="BC38" s="105">
        <v>7224</v>
      </c>
      <c r="BD38" s="105">
        <v>3</v>
      </c>
      <c r="BE38" s="105">
        <v>3096</v>
      </c>
      <c r="BF38" s="105">
        <v>5</v>
      </c>
      <c r="BG38" s="105">
        <v>5160</v>
      </c>
      <c r="BH38" s="105">
        <v>6</v>
      </c>
      <c r="BI38" s="105">
        <v>6192</v>
      </c>
      <c r="BJ38" s="105">
        <v>5</v>
      </c>
      <c r="BK38" s="105">
        <v>5160</v>
      </c>
      <c r="BL38" s="105">
        <v>5</v>
      </c>
      <c r="BM38" s="105">
        <v>5160</v>
      </c>
      <c r="BN38" s="105">
        <v>3</v>
      </c>
      <c r="BO38" s="105">
        <v>3096</v>
      </c>
      <c r="BP38" s="105">
        <v>6</v>
      </c>
      <c r="BQ38" s="105">
        <v>6192</v>
      </c>
      <c r="BR38" s="105">
        <v>6</v>
      </c>
      <c r="BS38" s="105">
        <v>6192</v>
      </c>
      <c r="BT38" s="105">
        <v>5</v>
      </c>
      <c r="BU38" s="105">
        <v>5160</v>
      </c>
      <c r="BV38" s="105">
        <v>3</v>
      </c>
      <c r="BW38" s="105">
        <v>3096</v>
      </c>
      <c r="BX38" s="105">
        <v>6</v>
      </c>
      <c r="BY38" s="105">
        <v>6192</v>
      </c>
      <c r="BZ38" s="105">
        <v>5</v>
      </c>
      <c r="CA38" s="105">
        <v>5160</v>
      </c>
      <c r="CB38" s="105">
        <v>3</v>
      </c>
      <c r="CC38" s="105">
        <v>3096</v>
      </c>
      <c r="CD38" s="105">
        <v>5</v>
      </c>
      <c r="CE38" s="105">
        <v>5160</v>
      </c>
      <c r="CF38" s="105">
        <v>4</v>
      </c>
      <c r="CG38" s="105">
        <v>4128</v>
      </c>
      <c r="CH38" s="105">
        <v>5</v>
      </c>
      <c r="CI38" s="105">
        <v>5160</v>
      </c>
      <c r="CJ38" s="105">
        <v>3</v>
      </c>
      <c r="CK38" s="105">
        <v>3096</v>
      </c>
      <c r="CL38" s="105">
        <v>3</v>
      </c>
      <c r="CM38" s="105">
        <v>3096</v>
      </c>
      <c r="CN38" s="105">
        <v>3</v>
      </c>
      <c r="CO38" s="105">
        <v>3096</v>
      </c>
      <c r="CP38" s="105">
        <v>5</v>
      </c>
      <c r="CQ38" s="105">
        <v>5160</v>
      </c>
      <c r="CR38" s="105">
        <v>4</v>
      </c>
      <c r="CS38" s="105">
        <v>4128</v>
      </c>
      <c r="CT38" s="105">
        <v>5</v>
      </c>
      <c r="CU38" s="105">
        <v>5160</v>
      </c>
    </row>
    <row r="39" spans="2:99" x14ac:dyDescent="0.2">
      <c r="C39" s="104" t="s">
        <v>205</v>
      </c>
      <c r="D39" s="105">
        <v>5</v>
      </c>
      <c r="E39" s="105">
        <v>6060</v>
      </c>
      <c r="F39" s="105">
        <v>4</v>
      </c>
      <c r="G39" s="105">
        <v>4848</v>
      </c>
      <c r="H39" s="105">
        <v>4</v>
      </c>
      <c r="I39" s="105">
        <v>4848</v>
      </c>
      <c r="J39" s="105">
        <v>3</v>
      </c>
      <c r="K39" s="105">
        <v>3636</v>
      </c>
      <c r="L39" s="105">
        <v>4</v>
      </c>
      <c r="M39" s="105">
        <v>4848</v>
      </c>
      <c r="N39" s="105">
        <v>4</v>
      </c>
      <c r="O39" s="105">
        <v>4848</v>
      </c>
      <c r="P39" s="105">
        <v>5</v>
      </c>
      <c r="Q39" s="105">
        <v>6060</v>
      </c>
      <c r="R39" s="105">
        <v>5</v>
      </c>
      <c r="S39" s="105">
        <v>6060</v>
      </c>
      <c r="T39" s="105">
        <v>4</v>
      </c>
      <c r="U39" s="105">
        <v>4848</v>
      </c>
      <c r="V39" s="105">
        <v>4</v>
      </c>
      <c r="W39" s="105">
        <v>4848</v>
      </c>
      <c r="X39" s="105">
        <v>6</v>
      </c>
      <c r="Y39" s="105">
        <v>7272</v>
      </c>
      <c r="Z39" s="105">
        <v>5</v>
      </c>
      <c r="AA39" s="105">
        <v>6060</v>
      </c>
      <c r="AB39" s="105">
        <v>4</v>
      </c>
      <c r="AC39" s="105">
        <v>4848</v>
      </c>
      <c r="AD39" s="105">
        <v>5</v>
      </c>
      <c r="AE39" s="105">
        <v>6060</v>
      </c>
      <c r="AF39" s="105">
        <v>5</v>
      </c>
      <c r="AG39" s="105">
        <v>6060</v>
      </c>
      <c r="AH39" s="105">
        <v>6</v>
      </c>
      <c r="AI39" s="105">
        <v>7272</v>
      </c>
      <c r="AJ39" s="105">
        <v>6</v>
      </c>
      <c r="AK39" s="105">
        <v>7272</v>
      </c>
      <c r="AL39" s="105">
        <v>5</v>
      </c>
      <c r="AM39" s="105">
        <v>6060</v>
      </c>
      <c r="AN39" s="105">
        <v>4</v>
      </c>
      <c r="AO39" s="105">
        <v>4848</v>
      </c>
      <c r="AP39" s="105">
        <v>4</v>
      </c>
      <c r="AQ39" s="105">
        <v>4848</v>
      </c>
      <c r="AR39" s="105">
        <v>6</v>
      </c>
      <c r="AS39" s="105">
        <v>7272</v>
      </c>
      <c r="AT39" s="105">
        <v>6</v>
      </c>
      <c r="AU39" s="105">
        <v>7272</v>
      </c>
      <c r="AV39" s="105">
        <v>4</v>
      </c>
      <c r="AW39" s="105">
        <v>4848</v>
      </c>
      <c r="AX39" s="105">
        <v>4</v>
      </c>
      <c r="AY39" s="105">
        <v>4848</v>
      </c>
      <c r="AZ39" s="105">
        <v>4</v>
      </c>
      <c r="BA39" s="105">
        <v>4848</v>
      </c>
      <c r="BB39" s="105">
        <v>7</v>
      </c>
      <c r="BC39" s="105">
        <v>8484</v>
      </c>
      <c r="BD39" s="105">
        <v>3</v>
      </c>
      <c r="BE39" s="105">
        <v>3636</v>
      </c>
      <c r="BF39" s="105">
        <v>5</v>
      </c>
      <c r="BG39" s="105">
        <v>6060</v>
      </c>
      <c r="BH39" s="105">
        <v>5</v>
      </c>
      <c r="BI39" s="105">
        <v>6060</v>
      </c>
      <c r="BJ39" s="105">
        <v>5</v>
      </c>
      <c r="BK39" s="105">
        <v>6060</v>
      </c>
      <c r="BL39" s="105">
        <v>5</v>
      </c>
      <c r="BM39" s="105">
        <v>6060</v>
      </c>
      <c r="BN39" s="105">
        <v>3</v>
      </c>
      <c r="BO39" s="105">
        <v>3636</v>
      </c>
      <c r="BP39" s="105">
        <v>5</v>
      </c>
      <c r="BQ39" s="105">
        <v>6060</v>
      </c>
      <c r="BR39" s="105">
        <v>6</v>
      </c>
      <c r="BS39" s="105">
        <v>7272</v>
      </c>
      <c r="BT39" s="105">
        <v>4</v>
      </c>
      <c r="BU39" s="105">
        <v>4848</v>
      </c>
      <c r="BV39" s="105">
        <v>3</v>
      </c>
      <c r="BW39" s="105">
        <v>3636</v>
      </c>
      <c r="BX39" s="105">
        <v>5</v>
      </c>
      <c r="BY39" s="105">
        <v>6060</v>
      </c>
      <c r="BZ39" s="105">
        <v>5</v>
      </c>
      <c r="CA39" s="105">
        <v>6060</v>
      </c>
      <c r="CB39" s="105">
        <v>3</v>
      </c>
      <c r="CC39" s="105">
        <v>3636</v>
      </c>
      <c r="CD39" s="105">
        <v>6</v>
      </c>
      <c r="CE39" s="105">
        <v>7272</v>
      </c>
      <c r="CF39" s="105">
        <v>4</v>
      </c>
      <c r="CG39" s="105">
        <v>4848</v>
      </c>
      <c r="CH39" s="105">
        <v>4</v>
      </c>
      <c r="CI39" s="105">
        <v>4848</v>
      </c>
      <c r="CJ39" s="105">
        <v>4</v>
      </c>
      <c r="CK39" s="105">
        <v>4848</v>
      </c>
      <c r="CL39" s="105">
        <v>4</v>
      </c>
      <c r="CM39" s="105">
        <v>4848</v>
      </c>
      <c r="CN39" s="105">
        <v>3</v>
      </c>
      <c r="CO39" s="105">
        <v>3636</v>
      </c>
      <c r="CP39" s="105">
        <v>5</v>
      </c>
      <c r="CQ39" s="105">
        <v>6060</v>
      </c>
      <c r="CR39" s="105">
        <v>4</v>
      </c>
      <c r="CS39" s="105">
        <v>4848</v>
      </c>
      <c r="CT39" s="105">
        <v>4</v>
      </c>
      <c r="CU39" s="105">
        <v>4848</v>
      </c>
    </row>
    <row r="40" spans="2:99" x14ac:dyDescent="0.2">
      <c r="C40" s="104" t="s">
        <v>206</v>
      </c>
      <c r="D40" s="105">
        <v>6</v>
      </c>
      <c r="E40" s="105">
        <v>3103.2</v>
      </c>
      <c r="F40" s="105">
        <v>3</v>
      </c>
      <c r="G40" s="105">
        <v>1551.6</v>
      </c>
      <c r="H40" s="105">
        <v>5</v>
      </c>
      <c r="I40" s="105">
        <v>2585.9999999999995</v>
      </c>
      <c r="J40" s="105">
        <v>3</v>
      </c>
      <c r="K40" s="105">
        <v>1551.6</v>
      </c>
      <c r="L40" s="105">
        <v>4</v>
      </c>
      <c r="M40" s="105">
        <v>2068.7999999999997</v>
      </c>
      <c r="N40" s="105">
        <v>4</v>
      </c>
      <c r="O40" s="105">
        <v>2068.7999999999997</v>
      </c>
      <c r="P40" s="105">
        <v>6</v>
      </c>
      <c r="Q40" s="105">
        <v>3103.2</v>
      </c>
      <c r="R40" s="105">
        <v>6</v>
      </c>
      <c r="S40" s="105">
        <v>3103.2</v>
      </c>
      <c r="T40" s="105">
        <v>4</v>
      </c>
      <c r="U40" s="105">
        <v>2068.7999999999997</v>
      </c>
      <c r="V40" s="105">
        <v>3</v>
      </c>
      <c r="W40" s="105">
        <v>1551.6</v>
      </c>
      <c r="X40" s="105">
        <v>6</v>
      </c>
      <c r="Y40" s="105">
        <v>3103.2</v>
      </c>
      <c r="Z40" s="105">
        <v>5</v>
      </c>
      <c r="AA40" s="105">
        <v>2585.9999999999995</v>
      </c>
      <c r="AB40" s="105">
        <v>4</v>
      </c>
      <c r="AC40" s="105">
        <v>2068.7999999999997</v>
      </c>
      <c r="AD40" s="105">
        <v>6</v>
      </c>
      <c r="AE40" s="105">
        <v>3103.2</v>
      </c>
      <c r="AF40" s="105">
        <v>6</v>
      </c>
      <c r="AG40" s="105">
        <v>3103.2</v>
      </c>
      <c r="AH40" s="105">
        <v>6</v>
      </c>
      <c r="AI40" s="105">
        <v>3103.2</v>
      </c>
      <c r="AJ40" s="105">
        <v>6</v>
      </c>
      <c r="AK40" s="105">
        <v>3103.2</v>
      </c>
      <c r="AL40" s="105">
        <v>5</v>
      </c>
      <c r="AM40" s="105">
        <v>2585.9999999999995</v>
      </c>
      <c r="AN40" s="105">
        <v>5</v>
      </c>
      <c r="AO40" s="105">
        <v>2585.9999999999995</v>
      </c>
      <c r="AP40" s="105">
        <v>4</v>
      </c>
      <c r="AQ40" s="105">
        <v>2068.7999999999997</v>
      </c>
      <c r="AR40" s="105">
        <v>6</v>
      </c>
      <c r="AS40" s="105">
        <v>3103.2</v>
      </c>
      <c r="AT40" s="105">
        <v>7</v>
      </c>
      <c r="AU40" s="105">
        <v>3620.3999999999996</v>
      </c>
      <c r="AV40" s="105">
        <v>3</v>
      </c>
      <c r="AW40" s="105">
        <v>1551.6</v>
      </c>
      <c r="AX40" s="105">
        <v>4</v>
      </c>
      <c r="AY40" s="105">
        <v>2068.7999999999997</v>
      </c>
      <c r="AZ40" s="105">
        <v>5</v>
      </c>
      <c r="BA40" s="105">
        <v>2585.9999999999995</v>
      </c>
      <c r="BB40" s="105">
        <v>7</v>
      </c>
      <c r="BC40" s="105">
        <v>3620.3999999999996</v>
      </c>
      <c r="BD40" s="105">
        <v>4</v>
      </c>
      <c r="BE40" s="105">
        <v>2068.7999999999997</v>
      </c>
      <c r="BF40" s="105">
        <v>5</v>
      </c>
      <c r="BG40" s="105">
        <v>2585.9999999999995</v>
      </c>
      <c r="BH40" s="105">
        <v>5</v>
      </c>
      <c r="BI40" s="105">
        <v>2585.9999999999995</v>
      </c>
      <c r="BJ40" s="105">
        <v>5</v>
      </c>
      <c r="BK40" s="105">
        <v>2585.9999999999995</v>
      </c>
      <c r="BL40" s="105">
        <v>5</v>
      </c>
      <c r="BM40" s="105">
        <v>2585.9999999999995</v>
      </c>
      <c r="BN40" s="105">
        <v>4</v>
      </c>
      <c r="BO40" s="105">
        <v>2068.7999999999997</v>
      </c>
      <c r="BP40" s="105">
        <v>6</v>
      </c>
      <c r="BQ40" s="105">
        <v>3103.2</v>
      </c>
      <c r="BR40" s="105">
        <v>5</v>
      </c>
      <c r="BS40" s="105">
        <v>2585.9999999999995</v>
      </c>
      <c r="BT40" s="105">
        <v>5</v>
      </c>
      <c r="BU40" s="105">
        <v>2585.9999999999995</v>
      </c>
      <c r="BV40" s="105">
        <v>3</v>
      </c>
      <c r="BW40" s="105">
        <v>1551.6</v>
      </c>
      <c r="BX40" s="105">
        <v>6</v>
      </c>
      <c r="BY40" s="105">
        <v>3103.2</v>
      </c>
      <c r="BZ40" s="105">
        <v>5</v>
      </c>
      <c r="CA40" s="105">
        <v>2585.9999999999995</v>
      </c>
      <c r="CB40" s="105">
        <v>3</v>
      </c>
      <c r="CC40" s="105">
        <v>1551.6</v>
      </c>
      <c r="CD40" s="105">
        <v>6</v>
      </c>
      <c r="CE40" s="105">
        <v>3103.2</v>
      </c>
      <c r="CF40" s="105">
        <v>4</v>
      </c>
      <c r="CG40" s="105">
        <v>2068.7999999999997</v>
      </c>
      <c r="CH40" s="105">
        <v>5</v>
      </c>
      <c r="CI40" s="105">
        <v>2585.9999999999995</v>
      </c>
      <c r="CJ40" s="105">
        <v>3</v>
      </c>
      <c r="CK40" s="105">
        <v>1551.6</v>
      </c>
      <c r="CL40" s="105">
        <v>4</v>
      </c>
      <c r="CM40" s="105">
        <v>2068.7999999999997</v>
      </c>
      <c r="CN40" s="105">
        <v>3</v>
      </c>
      <c r="CO40" s="105">
        <v>1551.6</v>
      </c>
      <c r="CP40" s="105">
        <v>5</v>
      </c>
      <c r="CQ40" s="105">
        <v>2585.9999999999995</v>
      </c>
      <c r="CR40" s="105">
        <v>4</v>
      </c>
      <c r="CS40" s="105">
        <v>2068.7999999999997</v>
      </c>
      <c r="CT40" s="105">
        <v>5</v>
      </c>
      <c r="CU40" s="105">
        <v>2585.9999999999995</v>
      </c>
    </row>
    <row r="41" spans="2:99" x14ac:dyDescent="0.2">
      <c r="C41" s="104" t="s">
        <v>207</v>
      </c>
      <c r="D41" s="105">
        <v>5</v>
      </c>
      <c r="E41" s="105">
        <v>2274</v>
      </c>
      <c r="F41" s="105">
        <v>4</v>
      </c>
      <c r="G41" s="105">
        <v>1819.2</v>
      </c>
      <c r="H41" s="105">
        <v>5</v>
      </c>
      <c r="I41" s="105">
        <v>2274</v>
      </c>
      <c r="J41" s="105">
        <v>3</v>
      </c>
      <c r="K41" s="105">
        <v>1364.4</v>
      </c>
      <c r="L41" s="105">
        <v>4</v>
      </c>
      <c r="M41" s="105">
        <v>1819.2</v>
      </c>
      <c r="N41" s="105">
        <v>4</v>
      </c>
      <c r="O41" s="105">
        <v>1819.2</v>
      </c>
      <c r="P41" s="105">
        <v>6</v>
      </c>
      <c r="Q41" s="105">
        <v>2728.8</v>
      </c>
      <c r="R41" s="105">
        <v>6</v>
      </c>
      <c r="S41" s="105">
        <v>2728.8</v>
      </c>
      <c r="T41" s="105">
        <v>5</v>
      </c>
      <c r="U41" s="105">
        <v>2274</v>
      </c>
      <c r="V41" s="105">
        <v>4</v>
      </c>
      <c r="W41" s="105">
        <v>1819.2</v>
      </c>
      <c r="X41" s="105">
        <v>6</v>
      </c>
      <c r="Y41" s="105">
        <v>2728.8</v>
      </c>
      <c r="Z41" s="105">
        <v>5</v>
      </c>
      <c r="AA41" s="105">
        <v>2274</v>
      </c>
      <c r="AB41" s="105">
        <v>3</v>
      </c>
      <c r="AC41" s="105">
        <v>1364.4</v>
      </c>
      <c r="AD41" s="105">
        <v>6</v>
      </c>
      <c r="AE41" s="105">
        <v>2728.8</v>
      </c>
      <c r="AF41" s="105">
        <v>6</v>
      </c>
      <c r="AG41" s="105">
        <v>2728.8</v>
      </c>
      <c r="AH41" s="105">
        <v>6</v>
      </c>
      <c r="AI41" s="105">
        <v>2728.8</v>
      </c>
      <c r="AJ41" s="105">
        <v>6</v>
      </c>
      <c r="AK41" s="105">
        <v>2728.8</v>
      </c>
      <c r="AL41" s="105">
        <v>5</v>
      </c>
      <c r="AM41" s="105">
        <v>2274</v>
      </c>
      <c r="AN41" s="105">
        <v>5</v>
      </c>
      <c r="AO41" s="105">
        <v>2274</v>
      </c>
      <c r="AP41" s="105">
        <v>4</v>
      </c>
      <c r="AQ41" s="105">
        <v>1819.2</v>
      </c>
      <c r="AR41" s="105">
        <v>6</v>
      </c>
      <c r="AS41" s="105">
        <v>2728.8</v>
      </c>
      <c r="AT41" s="105">
        <v>6</v>
      </c>
      <c r="AU41" s="105">
        <v>2728.8</v>
      </c>
      <c r="AV41" s="105">
        <v>3</v>
      </c>
      <c r="AW41" s="105">
        <v>1364.4</v>
      </c>
      <c r="AX41" s="105">
        <v>4</v>
      </c>
      <c r="AY41" s="105">
        <v>1819.2</v>
      </c>
      <c r="AZ41" s="105">
        <v>4</v>
      </c>
      <c r="BA41" s="105">
        <v>1819.2</v>
      </c>
      <c r="BB41" s="105">
        <v>7</v>
      </c>
      <c r="BC41" s="105">
        <v>3183.6</v>
      </c>
      <c r="BD41" s="105">
        <v>3</v>
      </c>
      <c r="BE41" s="105">
        <v>1364.4</v>
      </c>
      <c r="BF41" s="105">
        <v>6</v>
      </c>
      <c r="BG41" s="105">
        <v>2728.8</v>
      </c>
      <c r="BH41" s="105">
        <v>6</v>
      </c>
      <c r="BI41" s="105">
        <v>2728.8</v>
      </c>
      <c r="BJ41" s="105">
        <v>5</v>
      </c>
      <c r="BK41" s="105">
        <v>2274</v>
      </c>
      <c r="BL41" s="105">
        <v>5</v>
      </c>
      <c r="BM41" s="105">
        <v>2274</v>
      </c>
      <c r="BN41" s="105">
        <v>4</v>
      </c>
      <c r="BO41" s="105">
        <v>1819.2</v>
      </c>
      <c r="BP41" s="105">
        <v>5</v>
      </c>
      <c r="BQ41" s="105">
        <v>2274</v>
      </c>
      <c r="BR41" s="105">
        <v>6</v>
      </c>
      <c r="BS41" s="105">
        <v>2728.8</v>
      </c>
      <c r="BT41" s="105">
        <v>4</v>
      </c>
      <c r="BU41" s="105">
        <v>1819.2</v>
      </c>
      <c r="BV41" s="105">
        <v>3</v>
      </c>
      <c r="BW41" s="105">
        <v>1364.4</v>
      </c>
      <c r="BX41" s="105">
        <v>5</v>
      </c>
      <c r="BY41" s="105">
        <v>2274</v>
      </c>
      <c r="BZ41" s="105">
        <v>5</v>
      </c>
      <c r="CA41" s="105">
        <v>2274</v>
      </c>
      <c r="CB41" s="105">
        <v>4</v>
      </c>
      <c r="CC41" s="105">
        <v>1819.2</v>
      </c>
      <c r="CD41" s="105">
        <v>6</v>
      </c>
      <c r="CE41" s="105">
        <v>2728.8</v>
      </c>
      <c r="CF41" s="105">
        <v>4</v>
      </c>
      <c r="CG41" s="105">
        <v>1819.2</v>
      </c>
      <c r="CH41" s="105">
        <v>4</v>
      </c>
      <c r="CI41" s="105">
        <v>1819.2</v>
      </c>
      <c r="CJ41" s="105">
        <v>3</v>
      </c>
      <c r="CK41" s="105">
        <v>1364.4</v>
      </c>
      <c r="CL41" s="105">
        <v>4</v>
      </c>
      <c r="CM41" s="105">
        <v>1819.2</v>
      </c>
      <c r="CN41" s="105">
        <v>4</v>
      </c>
      <c r="CO41" s="105">
        <v>1819.2</v>
      </c>
      <c r="CP41" s="105">
        <v>5</v>
      </c>
      <c r="CQ41" s="105">
        <v>2274</v>
      </c>
      <c r="CR41" s="105">
        <v>5</v>
      </c>
      <c r="CS41" s="105">
        <v>2274</v>
      </c>
      <c r="CT41" s="105">
        <v>4</v>
      </c>
      <c r="CU41" s="105">
        <v>1819.2</v>
      </c>
    </row>
    <row r="42" spans="2:99" x14ac:dyDescent="0.2">
      <c r="C42" s="104" t="s">
        <v>208</v>
      </c>
      <c r="D42" s="105">
        <v>5</v>
      </c>
      <c r="E42" s="105">
        <v>3480</v>
      </c>
      <c r="F42" s="105">
        <v>4</v>
      </c>
      <c r="G42" s="105">
        <v>2784</v>
      </c>
      <c r="H42" s="105">
        <v>4</v>
      </c>
      <c r="I42" s="105">
        <v>2784</v>
      </c>
      <c r="J42" s="105">
        <v>3</v>
      </c>
      <c r="K42" s="105">
        <v>2088</v>
      </c>
      <c r="L42" s="105">
        <v>4</v>
      </c>
      <c r="M42" s="105">
        <v>2784</v>
      </c>
      <c r="N42" s="105">
        <v>4</v>
      </c>
      <c r="O42" s="105">
        <v>2784</v>
      </c>
      <c r="P42" s="105">
        <v>6</v>
      </c>
      <c r="Q42" s="105">
        <v>4176</v>
      </c>
      <c r="R42" s="105">
        <v>5</v>
      </c>
      <c r="S42" s="105">
        <v>3480</v>
      </c>
      <c r="T42" s="105">
        <v>5</v>
      </c>
      <c r="U42" s="105">
        <v>3480</v>
      </c>
      <c r="V42" s="105">
        <v>3</v>
      </c>
      <c r="W42" s="105">
        <v>2088</v>
      </c>
      <c r="X42" s="105">
        <v>6</v>
      </c>
      <c r="Y42" s="105">
        <v>4176</v>
      </c>
      <c r="Z42" s="105">
        <v>5</v>
      </c>
      <c r="AA42" s="105">
        <v>3480</v>
      </c>
      <c r="AB42" s="105">
        <v>4</v>
      </c>
      <c r="AC42" s="105">
        <v>2784</v>
      </c>
      <c r="AD42" s="105">
        <v>5</v>
      </c>
      <c r="AE42" s="105">
        <v>3480</v>
      </c>
      <c r="AF42" s="105">
        <v>6</v>
      </c>
      <c r="AG42" s="105">
        <v>4176</v>
      </c>
      <c r="AH42" s="105">
        <v>5</v>
      </c>
      <c r="AI42" s="105">
        <v>3480</v>
      </c>
      <c r="AJ42" s="105">
        <v>6</v>
      </c>
      <c r="AK42" s="105">
        <v>4176</v>
      </c>
      <c r="AL42" s="105">
        <v>5</v>
      </c>
      <c r="AM42" s="105">
        <v>3480</v>
      </c>
      <c r="AN42" s="105">
        <v>5</v>
      </c>
      <c r="AO42" s="105">
        <v>3480</v>
      </c>
      <c r="AP42" s="105">
        <v>4</v>
      </c>
      <c r="AQ42" s="105">
        <v>2784</v>
      </c>
      <c r="AR42" s="105">
        <v>7</v>
      </c>
      <c r="AS42" s="105">
        <v>4872</v>
      </c>
      <c r="AT42" s="105">
        <v>6</v>
      </c>
      <c r="AU42" s="105">
        <v>4176</v>
      </c>
      <c r="AV42" s="105">
        <v>4</v>
      </c>
      <c r="AW42" s="105">
        <v>2784</v>
      </c>
      <c r="AX42" s="105">
        <v>4</v>
      </c>
      <c r="AY42" s="105">
        <v>2784</v>
      </c>
      <c r="AZ42" s="105">
        <v>5</v>
      </c>
      <c r="BA42" s="105">
        <v>3480</v>
      </c>
      <c r="BB42" s="105">
        <v>6</v>
      </c>
      <c r="BC42" s="105">
        <v>4176</v>
      </c>
      <c r="BD42" s="105">
        <v>3</v>
      </c>
      <c r="BE42" s="105">
        <v>2088</v>
      </c>
      <c r="BF42" s="105">
        <v>6</v>
      </c>
      <c r="BG42" s="105">
        <v>4176</v>
      </c>
      <c r="BH42" s="105">
        <v>5</v>
      </c>
      <c r="BI42" s="105">
        <v>3480</v>
      </c>
      <c r="BJ42" s="105">
        <v>6</v>
      </c>
      <c r="BK42" s="105">
        <v>4176</v>
      </c>
      <c r="BL42" s="105">
        <v>5</v>
      </c>
      <c r="BM42" s="105">
        <v>3480</v>
      </c>
      <c r="BN42" s="105">
        <v>4</v>
      </c>
      <c r="BO42" s="105">
        <v>2784</v>
      </c>
      <c r="BP42" s="105">
        <v>6</v>
      </c>
      <c r="BQ42" s="105">
        <v>4176</v>
      </c>
      <c r="BR42" s="105">
        <v>6</v>
      </c>
      <c r="BS42" s="105">
        <v>4176</v>
      </c>
      <c r="BT42" s="105">
        <v>4</v>
      </c>
      <c r="BU42" s="105">
        <v>2784</v>
      </c>
      <c r="BV42" s="105">
        <v>3</v>
      </c>
      <c r="BW42" s="105">
        <v>2088</v>
      </c>
      <c r="BX42" s="105">
        <v>5</v>
      </c>
      <c r="BY42" s="105">
        <v>3480</v>
      </c>
      <c r="BZ42" s="105">
        <v>5</v>
      </c>
      <c r="CA42" s="105">
        <v>3480</v>
      </c>
      <c r="CB42" s="105">
        <v>3</v>
      </c>
      <c r="CC42" s="105">
        <v>2088</v>
      </c>
      <c r="CD42" s="105">
        <v>6</v>
      </c>
      <c r="CE42" s="105">
        <v>4176</v>
      </c>
      <c r="CF42" s="105">
        <v>3</v>
      </c>
      <c r="CG42" s="105">
        <v>2088</v>
      </c>
      <c r="CH42" s="105">
        <v>4</v>
      </c>
      <c r="CI42" s="105">
        <v>2784</v>
      </c>
      <c r="CJ42" s="105">
        <v>4</v>
      </c>
      <c r="CK42" s="105">
        <v>2784</v>
      </c>
      <c r="CL42" s="105">
        <v>3</v>
      </c>
      <c r="CM42" s="105">
        <v>2088</v>
      </c>
      <c r="CN42" s="105">
        <v>3</v>
      </c>
      <c r="CO42" s="105">
        <v>2088</v>
      </c>
      <c r="CP42" s="105">
        <v>6</v>
      </c>
      <c r="CQ42" s="105">
        <v>4176</v>
      </c>
      <c r="CR42" s="105">
        <v>4</v>
      </c>
      <c r="CS42" s="105">
        <v>2784</v>
      </c>
      <c r="CT42" s="105">
        <v>5</v>
      </c>
      <c r="CU42" s="105">
        <v>3480</v>
      </c>
    </row>
    <row r="43" spans="2:99" x14ac:dyDescent="0.2">
      <c r="C43" s="104" t="s">
        <v>209</v>
      </c>
      <c r="D43" s="105">
        <v>5</v>
      </c>
      <c r="E43" s="105">
        <v>4074</v>
      </c>
      <c r="F43" s="105">
        <v>4</v>
      </c>
      <c r="G43" s="105">
        <v>3259.2</v>
      </c>
      <c r="H43" s="105">
        <v>4</v>
      </c>
      <c r="I43" s="105">
        <v>3259.2</v>
      </c>
      <c r="J43" s="105">
        <v>3</v>
      </c>
      <c r="K43" s="105">
        <v>2444.3999999999996</v>
      </c>
      <c r="L43" s="105">
        <v>4</v>
      </c>
      <c r="M43" s="105">
        <v>3259.2</v>
      </c>
      <c r="N43" s="105">
        <v>4</v>
      </c>
      <c r="O43" s="105">
        <v>3259.2</v>
      </c>
      <c r="P43" s="105">
        <v>6</v>
      </c>
      <c r="Q43" s="105">
        <v>4888.7999999999993</v>
      </c>
      <c r="R43" s="105">
        <v>5</v>
      </c>
      <c r="S43" s="105">
        <v>4074</v>
      </c>
      <c r="T43" s="105">
        <v>5</v>
      </c>
      <c r="U43" s="105">
        <v>4074</v>
      </c>
      <c r="V43" s="105">
        <v>3</v>
      </c>
      <c r="W43" s="105">
        <v>2444.3999999999996</v>
      </c>
      <c r="X43" s="105">
        <v>5</v>
      </c>
      <c r="Y43" s="105">
        <v>4074</v>
      </c>
      <c r="Z43" s="105">
        <v>5</v>
      </c>
      <c r="AA43" s="105">
        <v>4074</v>
      </c>
      <c r="AB43" s="105">
        <v>4</v>
      </c>
      <c r="AC43" s="105">
        <v>3259.2</v>
      </c>
      <c r="AD43" s="105">
        <v>5</v>
      </c>
      <c r="AE43" s="105">
        <v>4074</v>
      </c>
      <c r="AF43" s="105">
        <v>6</v>
      </c>
      <c r="AG43" s="105">
        <v>4888.7999999999993</v>
      </c>
      <c r="AH43" s="105">
        <v>7</v>
      </c>
      <c r="AI43" s="105">
        <v>5703.5999999999995</v>
      </c>
      <c r="AJ43" s="105">
        <v>6</v>
      </c>
      <c r="AK43" s="105">
        <v>4888.7999999999993</v>
      </c>
      <c r="AL43" s="105">
        <v>5</v>
      </c>
      <c r="AM43" s="105">
        <v>4074</v>
      </c>
      <c r="AN43" s="105">
        <v>4</v>
      </c>
      <c r="AO43" s="105">
        <v>3259.2</v>
      </c>
      <c r="AP43" s="105">
        <v>3</v>
      </c>
      <c r="AQ43" s="105">
        <v>2444.3999999999996</v>
      </c>
      <c r="AR43" s="105">
        <v>6</v>
      </c>
      <c r="AS43" s="105">
        <v>4888.7999999999993</v>
      </c>
      <c r="AT43" s="105">
        <v>5</v>
      </c>
      <c r="AU43" s="105">
        <v>4074</v>
      </c>
      <c r="AV43" s="105">
        <v>3</v>
      </c>
      <c r="AW43" s="105">
        <v>2444.3999999999996</v>
      </c>
      <c r="AX43" s="105">
        <v>4</v>
      </c>
      <c r="AY43" s="105">
        <v>3259.2</v>
      </c>
      <c r="AZ43" s="105">
        <v>5</v>
      </c>
      <c r="BA43" s="105">
        <v>4074</v>
      </c>
      <c r="BB43" s="105">
        <v>6</v>
      </c>
      <c r="BC43" s="105">
        <v>4888.7999999999993</v>
      </c>
      <c r="BD43" s="105">
        <v>3</v>
      </c>
      <c r="BE43" s="105">
        <v>2444.3999999999996</v>
      </c>
      <c r="BF43" s="105">
        <v>5</v>
      </c>
      <c r="BG43" s="105">
        <v>4074</v>
      </c>
      <c r="BH43" s="105">
        <v>5</v>
      </c>
      <c r="BI43" s="105">
        <v>4074</v>
      </c>
      <c r="BJ43" s="105">
        <v>5</v>
      </c>
      <c r="BK43" s="105">
        <v>4074</v>
      </c>
      <c r="BL43" s="105">
        <v>5</v>
      </c>
      <c r="BM43" s="105">
        <v>4074</v>
      </c>
      <c r="BN43" s="105">
        <v>3</v>
      </c>
      <c r="BO43" s="105">
        <v>2444.3999999999996</v>
      </c>
      <c r="BP43" s="105">
        <v>6</v>
      </c>
      <c r="BQ43" s="105">
        <v>4888.7999999999993</v>
      </c>
      <c r="BR43" s="105">
        <v>5</v>
      </c>
      <c r="BS43" s="105">
        <v>4074</v>
      </c>
      <c r="BT43" s="105">
        <v>4</v>
      </c>
      <c r="BU43" s="105">
        <v>3259.2</v>
      </c>
      <c r="BV43" s="105">
        <v>3</v>
      </c>
      <c r="BW43" s="105">
        <v>2444.3999999999996</v>
      </c>
      <c r="BX43" s="105">
        <v>6</v>
      </c>
      <c r="BY43" s="105">
        <v>4888.7999999999993</v>
      </c>
      <c r="BZ43" s="105">
        <v>5</v>
      </c>
      <c r="CA43" s="105">
        <v>4074</v>
      </c>
      <c r="CB43" s="105">
        <v>4</v>
      </c>
      <c r="CC43" s="105">
        <v>3259.2</v>
      </c>
      <c r="CD43" s="105">
        <v>6</v>
      </c>
      <c r="CE43" s="105">
        <v>4888.7999999999993</v>
      </c>
      <c r="CF43" s="105">
        <v>4</v>
      </c>
      <c r="CG43" s="105">
        <v>3259.2</v>
      </c>
      <c r="CH43" s="105">
        <v>5</v>
      </c>
      <c r="CI43" s="105">
        <v>4074</v>
      </c>
      <c r="CJ43" s="105">
        <v>3</v>
      </c>
      <c r="CK43" s="105">
        <v>2444.3999999999996</v>
      </c>
      <c r="CL43" s="105">
        <v>4</v>
      </c>
      <c r="CM43" s="105">
        <v>3259.2</v>
      </c>
      <c r="CN43" s="105">
        <v>3</v>
      </c>
      <c r="CO43" s="105">
        <v>2444.3999999999996</v>
      </c>
      <c r="CP43" s="105">
        <v>5</v>
      </c>
      <c r="CQ43" s="105">
        <v>4074</v>
      </c>
      <c r="CR43" s="105">
        <v>4</v>
      </c>
      <c r="CS43" s="105">
        <v>3259.2</v>
      </c>
      <c r="CT43" s="105">
        <v>5</v>
      </c>
      <c r="CU43" s="105">
        <v>4074</v>
      </c>
    </row>
    <row r="44" spans="2:99" x14ac:dyDescent="0.2">
      <c r="C44" s="104" t="s">
        <v>210</v>
      </c>
      <c r="D44" s="105">
        <v>5</v>
      </c>
      <c r="E44" s="105">
        <v>4218</v>
      </c>
      <c r="F44" s="105">
        <v>3</v>
      </c>
      <c r="G44" s="105">
        <v>2530.8000000000002</v>
      </c>
      <c r="H44" s="105">
        <v>5</v>
      </c>
      <c r="I44" s="105">
        <v>4218</v>
      </c>
      <c r="J44" s="105">
        <v>3</v>
      </c>
      <c r="K44" s="105">
        <v>2530.8000000000002</v>
      </c>
      <c r="L44" s="105">
        <v>4</v>
      </c>
      <c r="M44" s="105">
        <v>3374.4</v>
      </c>
      <c r="N44" s="105">
        <v>4</v>
      </c>
      <c r="O44" s="105">
        <v>3374.4</v>
      </c>
      <c r="P44" s="105">
        <v>5</v>
      </c>
      <c r="Q44" s="105">
        <v>4218</v>
      </c>
      <c r="R44" s="105">
        <v>5</v>
      </c>
      <c r="S44" s="105">
        <v>4218</v>
      </c>
      <c r="T44" s="105">
        <v>4</v>
      </c>
      <c r="U44" s="105">
        <v>3374.4</v>
      </c>
      <c r="V44" s="105">
        <v>3</v>
      </c>
      <c r="W44" s="105">
        <v>2530.8000000000002</v>
      </c>
      <c r="X44" s="105">
        <v>6</v>
      </c>
      <c r="Y44" s="105">
        <v>5061.6000000000004</v>
      </c>
      <c r="Z44" s="105">
        <v>5</v>
      </c>
      <c r="AA44" s="105">
        <v>4218</v>
      </c>
      <c r="AB44" s="105">
        <v>4</v>
      </c>
      <c r="AC44" s="105">
        <v>3374.4</v>
      </c>
      <c r="AD44" s="105">
        <v>5</v>
      </c>
      <c r="AE44" s="105">
        <v>4218</v>
      </c>
      <c r="AF44" s="105">
        <v>5</v>
      </c>
      <c r="AG44" s="105">
        <v>4218</v>
      </c>
      <c r="AH44" s="105">
        <v>6</v>
      </c>
      <c r="AI44" s="105">
        <v>5061.6000000000004</v>
      </c>
      <c r="AJ44" s="105">
        <v>6</v>
      </c>
      <c r="AK44" s="105">
        <v>5061.6000000000004</v>
      </c>
      <c r="AL44" s="105">
        <v>5</v>
      </c>
      <c r="AM44" s="105">
        <v>4218</v>
      </c>
      <c r="AN44" s="105">
        <v>4</v>
      </c>
      <c r="AO44" s="105">
        <v>3374.4</v>
      </c>
      <c r="AP44" s="105">
        <v>4</v>
      </c>
      <c r="AQ44" s="105">
        <v>3374.4</v>
      </c>
      <c r="AR44" s="105">
        <v>6</v>
      </c>
      <c r="AS44" s="105">
        <v>5061.6000000000004</v>
      </c>
      <c r="AT44" s="105">
        <v>5</v>
      </c>
      <c r="AU44" s="105">
        <v>4218</v>
      </c>
      <c r="AV44" s="105">
        <v>3</v>
      </c>
      <c r="AW44" s="105">
        <v>2530.8000000000002</v>
      </c>
      <c r="AX44" s="105">
        <v>4</v>
      </c>
      <c r="AY44" s="105">
        <v>3374.4</v>
      </c>
      <c r="AZ44" s="105">
        <v>4</v>
      </c>
      <c r="BA44" s="105">
        <v>3374.4</v>
      </c>
      <c r="BB44" s="105">
        <v>6</v>
      </c>
      <c r="BC44" s="105">
        <v>5061.6000000000004</v>
      </c>
      <c r="BD44" s="105">
        <v>3</v>
      </c>
      <c r="BE44" s="105">
        <v>2530.8000000000002</v>
      </c>
      <c r="BF44" s="105">
        <v>6</v>
      </c>
      <c r="BG44" s="105">
        <v>5061.6000000000004</v>
      </c>
      <c r="BH44" s="105">
        <v>6</v>
      </c>
      <c r="BI44" s="105">
        <v>5061.6000000000004</v>
      </c>
      <c r="BJ44" s="105">
        <v>5</v>
      </c>
      <c r="BK44" s="105">
        <v>4218</v>
      </c>
      <c r="BL44" s="105">
        <v>5</v>
      </c>
      <c r="BM44" s="105">
        <v>4218</v>
      </c>
      <c r="BN44" s="105">
        <v>3</v>
      </c>
      <c r="BO44" s="105">
        <v>2530.8000000000002</v>
      </c>
      <c r="BP44" s="105">
        <v>6</v>
      </c>
      <c r="BQ44" s="105">
        <v>5061.6000000000004</v>
      </c>
      <c r="BR44" s="105">
        <v>6</v>
      </c>
      <c r="BS44" s="105">
        <v>5061.6000000000004</v>
      </c>
      <c r="BT44" s="105">
        <v>5</v>
      </c>
      <c r="BU44" s="105">
        <v>4218</v>
      </c>
      <c r="BV44" s="105">
        <v>3</v>
      </c>
      <c r="BW44" s="105">
        <v>2530.8000000000002</v>
      </c>
      <c r="BX44" s="105">
        <v>6</v>
      </c>
      <c r="BY44" s="105">
        <v>5061.6000000000004</v>
      </c>
      <c r="BZ44" s="105">
        <v>5</v>
      </c>
      <c r="CA44" s="105">
        <v>4218</v>
      </c>
      <c r="CB44" s="105">
        <v>4</v>
      </c>
      <c r="CC44" s="105">
        <v>3374.4</v>
      </c>
      <c r="CD44" s="105">
        <v>6</v>
      </c>
      <c r="CE44" s="105">
        <v>5061.6000000000004</v>
      </c>
      <c r="CF44" s="105">
        <v>4</v>
      </c>
      <c r="CG44" s="105">
        <v>3374.4</v>
      </c>
      <c r="CH44" s="105">
        <v>5</v>
      </c>
      <c r="CI44" s="105">
        <v>4218</v>
      </c>
      <c r="CJ44" s="105">
        <v>3</v>
      </c>
      <c r="CK44" s="105">
        <v>2530.8000000000002</v>
      </c>
      <c r="CL44" s="105">
        <v>4</v>
      </c>
      <c r="CM44" s="105">
        <v>3374.4</v>
      </c>
      <c r="CN44" s="105">
        <v>3</v>
      </c>
      <c r="CO44" s="105">
        <v>2530.8000000000002</v>
      </c>
      <c r="CP44" s="105">
        <v>5</v>
      </c>
      <c r="CQ44" s="105">
        <v>4218</v>
      </c>
      <c r="CR44" s="105">
        <v>4</v>
      </c>
      <c r="CS44" s="105">
        <v>3374.4</v>
      </c>
      <c r="CT44" s="105">
        <v>5</v>
      </c>
      <c r="CU44" s="105">
        <v>4218</v>
      </c>
    </row>
    <row r="45" spans="2:99" x14ac:dyDescent="0.2">
      <c r="C45" s="104" t="s">
        <v>211</v>
      </c>
      <c r="D45" s="105">
        <v>5</v>
      </c>
      <c r="E45" s="105">
        <v>5201.9999999999991</v>
      </c>
      <c r="F45" s="105">
        <v>4</v>
      </c>
      <c r="G45" s="105">
        <v>4161.5999999999995</v>
      </c>
      <c r="H45" s="105">
        <v>5</v>
      </c>
      <c r="I45" s="105">
        <v>5201.9999999999991</v>
      </c>
      <c r="J45" s="105">
        <v>3</v>
      </c>
      <c r="K45" s="105">
        <v>3121.2</v>
      </c>
      <c r="L45" s="105">
        <v>4</v>
      </c>
      <c r="M45" s="105">
        <v>4161.5999999999995</v>
      </c>
      <c r="N45" s="105">
        <v>4</v>
      </c>
      <c r="O45" s="105">
        <v>4161.5999999999995</v>
      </c>
      <c r="P45" s="105">
        <v>5</v>
      </c>
      <c r="Q45" s="105">
        <v>5201.9999999999991</v>
      </c>
      <c r="R45" s="105">
        <v>5</v>
      </c>
      <c r="S45" s="105">
        <v>5201.9999999999991</v>
      </c>
      <c r="T45" s="105">
        <v>5</v>
      </c>
      <c r="U45" s="105">
        <v>5201.9999999999991</v>
      </c>
      <c r="V45" s="105">
        <v>4</v>
      </c>
      <c r="W45" s="105">
        <v>4161.5999999999995</v>
      </c>
      <c r="X45" s="105">
        <v>6</v>
      </c>
      <c r="Y45" s="105">
        <v>6242.4</v>
      </c>
      <c r="Z45" s="105">
        <v>5</v>
      </c>
      <c r="AA45" s="105">
        <v>5201.9999999999991</v>
      </c>
      <c r="AB45" s="105">
        <v>4</v>
      </c>
      <c r="AC45" s="105">
        <v>4161.5999999999995</v>
      </c>
      <c r="AD45" s="105">
        <v>5</v>
      </c>
      <c r="AE45" s="105">
        <v>5201.9999999999991</v>
      </c>
      <c r="AF45" s="105">
        <v>6</v>
      </c>
      <c r="AG45" s="105">
        <v>6242.4</v>
      </c>
      <c r="AH45" s="105">
        <v>5</v>
      </c>
      <c r="AI45" s="105">
        <v>5201.9999999999991</v>
      </c>
      <c r="AJ45" s="105">
        <v>5</v>
      </c>
      <c r="AK45" s="105">
        <v>5201.9999999999991</v>
      </c>
      <c r="AL45" s="105">
        <v>5</v>
      </c>
      <c r="AM45" s="105">
        <v>5201.9999999999991</v>
      </c>
      <c r="AN45" s="105">
        <v>5</v>
      </c>
      <c r="AO45" s="105">
        <v>5201.9999999999991</v>
      </c>
      <c r="AP45" s="105">
        <v>3</v>
      </c>
      <c r="AQ45" s="105">
        <v>3121.2</v>
      </c>
      <c r="AR45" s="105">
        <v>6</v>
      </c>
      <c r="AS45" s="105">
        <v>6242.4</v>
      </c>
      <c r="AT45" s="105">
        <v>6</v>
      </c>
      <c r="AU45" s="105">
        <v>6242.4</v>
      </c>
      <c r="AV45" s="105">
        <v>3</v>
      </c>
      <c r="AW45" s="105">
        <v>3121.2</v>
      </c>
      <c r="AX45" s="105">
        <v>4</v>
      </c>
      <c r="AY45" s="105">
        <v>4161.5999999999995</v>
      </c>
      <c r="AZ45" s="105">
        <v>5</v>
      </c>
      <c r="BA45" s="105">
        <v>5201.9999999999991</v>
      </c>
      <c r="BB45" s="105">
        <v>6</v>
      </c>
      <c r="BC45" s="105">
        <v>6242.4</v>
      </c>
      <c r="BD45" s="105">
        <v>3</v>
      </c>
      <c r="BE45" s="105">
        <v>3121.2</v>
      </c>
      <c r="BF45" s="105">
        <v>5</v>
      </c>
      <c r="BG45" s="105">
        <v>5201.9999999999991</v>
      </c>
      <c r="BH45" s="105">
        <v>5</v>
      </c>
      <c r="BI45" s="105">
        <v>5201.9999999999991</v>
      </c>
      <c r="BJ45" s="105">
        <v>5</v>
      </c>
      <c r="BK45" s="105">
        <v>5201.9999999999991</v>
      </c>
      <c r="BL45" s="105">
        <v>5</v>
      </c>
      <c r="BM45" s="105">
        <v>5201.9999999999991</v>
      </c>
      <c r="BN45" s="105">
        <v>4</v>
      </c>
      <c r="BO45" s="105">
        <v>4161.5999999999995</v>
      </c>
      <c r="BP45" s="105">
        <v>6</v>
      </c>
      <c r="BQ45" s="105">
        <v>6242.4</v>
      </c>
      <c r="BR45" s="105">
        <v>6</v>
      </c>
      <c r="BS45" s="105">
        <v>6242.4</v>
      </c>
      <c r="BT45" s="105">
        <v>5</v>
      </c>
      <c r="BU45" s="105">
        <v>5201.9999999999991</v>
      </c>
      <c r="BV45" s="105">
        <v>3</v>
      </c>
      <c r="BW45" s="105">
        <v>3121.2</v>
      </c>
      <c r="BX45" s="105">
        <v>5</v>
      </c>
      <c r="BY45" s="105">
        <v>5201.9999999999991</v>
      </c>
      <c r="BZ45" s="105">
        <v>5</v>
      </c>
      <c r="CA45" s="105">
        <v>5201.9999999999991</v>
      </c>
      <c r="CB45" s="105">
        <v>3</v>
      </c>
      <c r="CC45" s="105">
        <v>3121.2</v>
      </c>
      <c r="CD45" s="105">
        <v>6</v>
      </c>
      <c r="CE45" s="105">
        <v>6242.4</v>
      </c>
      <c r="CF45" s="105">
        <v>4</v>
      </c>
      <c r="CG45" s="105">
        <v>4161.5999999999995</v>
      </c>
      <c r="CH45" s="105">
        <v>4</v>
      </c>
      <c r="CI45" s="105">
        <v>4161.5999999999995</v>
      </c>
      <c r="CJ45" s="105">
        <v>4</v>
      </c>
      <c r="CK45" s="105">
        <v>4161.5999999999995</v>
      </c>
      <c r="CL45" s="105">
        <v>4</v>
      </c>
      <c r="CM45" s="105">
        <v>4161.5999999999995</v>
      </c>
      <c r="CN45" s="105">
        <v>3</v>
      </c>
      <c r="CO45" s="105">
        <v>3121.2</v>
      </c>
      <c r="CP45" s="105">
        <v>6</v>
      </c>
      <c r="CQ45" s="105">
        <v>6242.4</v>
      </c>
      <c r="CR45" s="105">
        <v>4</v>
      </c>
      <c r="CS45" s="105">
        <v>4161.5999999999995</v>
      </c>
      <c r="CT45" s="105">
        <v>5</v>
      </c>
      <c r="CU45" s="105">
        <v>5201.9999999999991</v>
      </c>
    </row>
    <row r="46" spans="2:99" x14ac:dyDescent="0.2">
      <c r="C46" s="104" t="s">
        <v>212</v>
      </c>
      <c r="D46" s="105">
        <v>5</v>
      </c>
      <c r="E46" s="105">
        <v>5087.9999999999991</v>
      </c>
      <c r="F46" s="105">
        <v>4</v>
      </c>
      <c r="G46" s="105">
        <v>4070.3999999999992</v>
      </c>
      <c r="H46" s="105">
        <v>4</v>
      </c>
      <c r="I46" s="105">
        <v>4070.3999999999992</v>
      </c>
      <c r="J46" s="105">
        <v>3</v>
      </c>
      <c r="K46" s="105">
        <v>3052.7999999999993</v>
      </c>
      <c r="L46" s="105">
        <v>4</v>
      </c>
      <c r="M46" s="105">
        <v>4070.3999999999992</v>
      </c>
      <c r="N46" s="105">
        <v>4</v>
      </c>
      <c r="O46" s="105">
        <v>4070.3999999999992</v>
      </c>
      <c r="P46" s="105">
        <v>6</v>
      </c>
      <c r="Q46" s="105">
        <v>6105.5999999999985</v>
      </c>
      <c r="R46" s="105">
        <v>5</v>
      </c>
      <c r="S46" s="105">
        <v>5087.9999999999991</v>
      </c>
      <c r="T46" s="105">
        <v>4</v>
      </c>
      <c r="U46" s="105">
        <v>4070.3999999999992</v>
      </c>
      <c r="V46" s="105">
        <v>3</v>
      </c>
      <c r="W46" s="105">
        <v>3052.7999999999993</v>
      </c>
      <c r="X46" s="105">
        <v>6</v>
      </c>
      <c r="Y46" s="105">
        <v>6105.5999999999985</v>
      </c>
      <c r="Z46" s="105">
        <v>5</v>
      </c>
      <c r="AA46" s="105">
        <v>5087.9999999999991</v>
      </c>
      <c r="AB46" s="105">
        <v>4</v>
      </c>
      <c r="AC46" s="105">
        <v>4070.3999999999992</v>
      </c>
      <c r="AD46" s="105">
        <v>6</v>
      </c>
      <c r="AE46" s="105">
        <v>6105.5999999999985</v>
      </c>
      <c r="AF46" s="105">
        <v>5</v>
      </c>
      <c r="AG46" s="105">
        <v>5087.9999999999991</v>
      </c>
      <c r="AH46" s="105">
        <v>6</v>
      </c>
      <c r="AI46" s="105">
        <v>6105.5999999999985</v>
      </c>
      <c r="AJ46" s="105">
        <v>6</v>
      </c>
      <c r="AK46" s="105">
        <v>6105.5999999999985</v>
      </c>
      <c r="AL46" s="105">
        <v>6</v>
      </c>
      <c r="AM46" s="105">
        <v>6105.5999999999985</v>
      </c>
      <c r="AN46" s="105">
        <v>4</v>
      </c>
      <c r="AO46" s="105">
        <v>4070.3999999999992</v>
      </c>
      <c r="AP46" s="105">
        <v>3</v>
      </c>
      <c r="AQ46" s="105">
        <v>3052.7999999999993</v>
      </c>
      <c r="AR46" s="105">
        <v>6</v>
      </c>
      <c r="AS46" s="105">
        <v>6105.5999999999985</v>
      </c>
      <c r="AT46" s="105">
        <v>5</v>
      </c>
      <c r="AU46" s="105">
        <v>5087.9999999999991</v>
      </c>
      <c r="AV46" s="105">
        <v>3</v>
      </c>
      <c r="AW46" s="105">
        <v>3052.7999999999993</v>
      </c>
      <c r="AX46" s="105">
        <v>4</v>
      </c>
      <c r="AY46" s="105">
        <v>4070.3999999999992</v>
      </c>
      <c r="AZ46" s="105">
        <v>4</v>
      </c>
      <c r="BA46" s="105">
        <v>4070.3999999999992</v>
      </c>
      <c r="BB46" s="105">
        <v>7</v>
      </c>
      <c r="BC46" s="105">
        <v>7123.1999999999989</v>
      </c>
      <c r="BD46" s="105">
        <v>3</v>
      </c>
      <c r="BE46" s="105">
        <v>3052.7999999999993</v>
      </c>
      <c r="BF46" s="105">
        <v>5</v>
      </c>
      <c r="BG46" s="105">
        <v>5087.9999999999991</v>
      </c>
      <c r="BH46" s="105">
        <v>5</v>
      </c>
      <c r="BI46" s="105">
        <v>5087.9999999999991</v>
      </c>
      <c r="BJ46" s="105">
        <v>5</v>
      </c>
      <c r="BK46" s="105">
        <v>5087.9999999999991</v>
      </c>
      <c r="BL46" s="105">
        <v>5</v>
      </c>
      <c r="BM46" s="105">
        <v>5087.9999999999991</v>
      </c>
      <c r="BN46" s="105">
        <v>3</v>
      </c>
      <c r="BO46" s="105">
        <v>3052.7999999999993</v>
      </c>
      <c r="BP46" s="105">
        <v>6</v>
      </c>
      <c r="BQ46" s="105">
        <v>6105.5999999999985</v>
      </c>
      <c r="BR46" s="105">
        <v>6</v>
      </c>
      <c r="BS46" s="105">
        <v>6105.5999999999985</v>
      </c>
      <c r="BT46" s="105">
        <v>4</v>
      </c>
      <c r="BU46" s="105">
        <v>4070.3999999999992</v>
      </c>
      <c r="BV46" s="105">
        <v>3</v>
      </c>
      <c r="BW46" s="105">
        <v>3052.7999999999993</v>
      </c>
      <c r="BX46" s="105">
        <v>5</v>
      </c>
      <c r="BY46" s="105">
        <v>5087.9999999999991</v>
      </c>
      <c r="BZ46" s="105">
        <v>5</v>
      </c>
      <c r="CA46" s="105">
        <v>5087.9999999999991</v>
      </c>
      <c r="CB46" s="105">
        <v>4</v>
      </c>
      <c r="CC46" s="105">
        <v>4070.3999999999992</v>
      </c>
      <c r="CD46" s="105">
        <v>6</v>
      </c>
      <c r="CE46" s="105">
        <v>6105.5999999999985</v>
      </c>
      <c r="CF46" s="105">
        <v>3</v>
      </c>
      <c r="CG46" s="105">
        <v>3052.7999999999993</v>
      </c>
      <c r="CH46" s="105">
        <v>4</v>
      </c>
      <c r="CI46" s="105">
        <v>4070.3999999999992</v>
      </c>
      <c r="CJ46" s="105">
        <v>3</v>
      </c>
      <c r="CK46" s="105">
        <v>3052.7999999999993</v>
      </c>
      <c r="CL46" s="105">
        <v>4</v>
      </c>
      <c r="CM46" s="105">
        <v>4070.3999999999992</v>
      </c>
      <c r="CN46" s="105">
        <v>3</v>
      </c>
      <c r="CO46" s="105">
        <v>3052.7999999999993</v>
      </c>
      <c r="CP46" s="105">
        <v>5</v>
      </c>
      <c r="CQ46" s="105">
        <v>5087.9999999999991</v>
      </c>
      <c r="CR46" s="105">
        <v>4</v>
      </c>
      <c r="CS46" s="105">
        <v>4070.3999999999992</v>
      </c>
      <c r="CT46" s="105">
        <v>5</v>
      </c>
      <c r="CU46" s="105">
        <v>5087.9999999999991</v>
      </c>
    </row>
    <row r="47" spans="2:99" x14ac:dyDescent="0.2">
      <c r="C47" s="104" t="s">
        <v>213</v>
      </c>
      <c r="D47" s="105">
        <v>5</v>
      </c>
      <c r="E47" s="105">
        <v>6588</v>
      </c>
      <c r="F47" s="105">
        <v>4</v>
      </c>
      <c r="G47" s="105">
        <v>5270.4</v>
      </c>
      <c r="H47" s="105">
        <v>4</v>
      </c>
      <c r="I47" s="105">
        <v>5270.4</v>
      </c>
      <c r="J47" s="105">
        <v>3</v>
      </c>
      <c r="K47" s="105">
        <v>3952.7999999999997</v>
      </c>
      <c r="L47" s="105">
        <v>4</v>
      </c>
      <c r="M47" s="105">
        <v>5270.4</v>
      </c>
      <c r="N47" s="105">
        <v>4</v>
      </c>
      <c r="O47" s="105">
        <v>5270.4</v>
      </c>
      <c r="P47" s="105">
        <v>6</v>
      </c>
      <c r="Q47" s="105">
        <v>7905.5999999999995</v>
      </c>
      <c r="R47" s="105">
        <v>5</v>
      </c>
      <c r="S47" s="105">
        <v>6588</v>
      </c>
      <c r="T47" s="105">
        <v>4</v>
      </c>
      <c r="U47" s="105">
        <v>5270.4</v>
      </c>
      <c r="V47" s="105">
        <v>4</v>
      </c>
      <c r="W47" s="105">
        <v>5270.4</v>
      </c>
      <c r="X47" s="105">
        <v>6</v>
      </c>
      <c r="Y47" s="105">
        <v>7905.5999999999995</v>
      </c>
      <c r="Z47" s="105">
        <v>5</v>
      </c>
      <c r="AA47" s="105">
        <v>6588</v>
      </c>
      <c r="AB47" s="105">
        <v>3</v>
      </c>
      <c r="AC47" s="105">
        <v>3952.7999999999997</v>
      </c>
      <c r="AD47" s="105">
        <v>5</v>
      </c>
      <c r="AE47" s="105">
        <v>6588</v>
      </c>
      <c r="AF47" s="105">
        <v>5</v>
      </c>
      <c r="AG47" s="105">
        <v>6588</v>
      </c>
      <c r="AH47" s="105">
        <v>5</v>
      </c>
      <c r="AI47" s="105">
        <v>6588</v>
      </c>
      <c r="AJ47" s="105">
        <v>6</v>
      </c>
      <c r="AK47" s="105">
        <v>7905.5999999999995</v>
      </c>
      <c r="AL47" s="105">
        <v>6</v>
      </c>
      <c r="AM47" s="105">
        <v>7905.5999999999995</v>
      </c>
      <c r="AN47" s="105">
        <v>4</v>
      </c>
      <c r="AO47" s="105">
        <v>5270.4</v>
      </c>
      <c r="AP47" s="105">
        <v>4</v>
      </c>
      <c r="AQ47" s="105">
        <v>5270.4</v>
      </c>
      <c r="AR47" s="105">
        <v>6</v>
      </c>
      <c r="AS47" s="105">
        <v>7905.5999999999995</v>
      </c>
      <c r="AT47" s="105">
        <v>6</v>
      </c>
      <c r="AU47" s="105">
        <v>7905.5999999999995</v>
      </c>
      <c r="AV47" s="105">
        <v>3</v>
      </c>
      <c r="AW47" s="105">
        <v>3952.7999999999997</v>
      </c>
      <c r="AX47" s="105">
        <v>4</v>
      </c>
      <c r="AY47" s="105">
        <v>5270.4</v>
      </c>
      <c r="AZ47" s="105">
        <v>4</v>
      </c>
      <c r="BA47" s="105">
        <v>5270.4</v>
      </c>
      <c r="BB47" s="105">
        <v>6</v>
      </c>
      <c r="BC47" s="105">
        <v>7905.5999999999995</v>
      </c>
      <c r="BD47" s="105">
        <v>3</v>
      </c>
      <c r="BE47" s="105">
        <v>3952.7999999999997</v>
      </c>
      <c r="BF47" s="105">
        <v>5</v>
      </c>
      <c r="BG47" s="105">
        <v>6588</v>
      </c>
      <c r="BH47" s="105">
        <v>5</v>
      </c>
      <c r="BI47" s="105">
        <v>6588</v>
      </c>
      <c r="BJ47" s="105">
        <v>5</v>
      </c>
      <c r="BK47" s="105">
        <v>6588</v>
      </c>
      <c r="BL47" s="105">
        <v>5</v>
      </c>
      <c r="BM47" s="105">
        <v>6588</v>
      </c>
      <c r="BN47" s="105">
        <v>3</v>
      </c>
      <c r="BO47" s="105">
        <v>3952.7999999999997</v>
      </c>
      <c r="BP47" s="105">
        <v>5</v>
      </c>
      <c r="BQ47" s="105">
        <v>6588</v>
      </c>
      <c r="BR47" s="105">
        <v>5</v>
      </c>
      <c r="BS47" s="105">
        <v>6588</v>
      </c>
      <c r="BT47" s="105">
        <v>4</v>
      </c>
      <c r="BU47" s="105">
        <v>5270.4</v>
      </c>
      <c r="BV47" s="105">
        <v>3</v>
      </c>
      <c r="BW47" s="105">
        <v>3952.7999999999997</v>
      </c>
      <c r="BX47" s="105">
        <v>5</v>
      </c>
      <c r="BY47" s="105">
        <v>6588</v>
      </c>
      <c r="BZ47" s="105">
        <v>5</v>
      </c>
      <c r="CA47" s="105">
        <v>6588</v>
      </c>
      <c r="CB47" s="105">
        <v>3</v>
      </c>
      <c r="CC47" s="105">
        <v>3952.7999999999997</v>
      </c>
      <c r="CD47" s="105">
        <v>6</v>
      </c>
      <c r="CE47" s="105">
        <v>7905.5999999999995</v>
      </c>
      <c r="CF47" s="105">
        <v>3</v>
      </c>
      <c r="CG47" s="105">
        <v>3952.7999999999997</v>
      </c>
      <c r="CH47" s="105">
        <v>5</v>
      </c>
      <c r="CI47" s="105">
        <v>6588</v>
      </c>
      <c r="CJ47" s="105">
        <v>3</v>
      </c>
      <c r="CK47" s="105">
        <v>3952.7999999999997</v>
      </c>
      <c r="CL47" s="105">
        <v>4</v>
      </c>
      <c r="CM47" s="105">
        <v>5270.4</v>
      </c>
      <c r="CN47" s="105">
        <v>3</v>
      </c>
      <c r="CO47" s="105">
        <v>3952.7999999999997</v>
      </c>
      <c r="CP47" s="105">
        <v>5</v>
      </c>
      <c r="CQ47" s="105">
        <v>6588</v>
      </c>
      <c r="CR47" s="105">
        <v>4</v>
      </c>
      <c r="CS47" s="105">
        <v>5270.4</v>
      </c>
      <c r="CT47" s="105">
        <v>4</v>
      </c>
      <c r="CU47" s="105">
        <v>5270.4</v>
      </c>
    </row>
    <row r="48" spans="2:99" x14ac:dyDescent="0.2">
      <c r="C48" s="104" t="s">
        <v>214</v>
      </c>
      <c r="D48" s="105">
        <v>5</v>
      </c>
      <c r="E48" s="105">
        <v>3288</v>
      </c>
      <c r="F48" s="105">
        <v>4</v>
      </c>
      <c r="G48" s="105">
        <v>2630.4</v>
      </c>
      <c r="H48" s="105">
        <v>4</v>
      </c>
      <c r="I48" s="105">
        <v>2630.4</v>
      </c>
      <c r="J48" s="105">
        <v>3</v>
      </c>
      <c r="K48" s="105">
        <v>1972.8000000000002</v>
      </c>
      <c r="L48" s="105">
        <v>4</v>
      </c>
      <c r="M48" s="105">
        <v>2630.4</v>
      </c>
      <c r="N48" s="105">
        <v>5</v>
      </c>
      <c r="O48" s="105">
        <v>3288</v>
      </c>
      <c r="P48" s="105">
        <v>6</v>
      </c>
      <c r="Q48" s="105">
        <v>3945.6000000000004</v>
      </c>
      <c r="R48" s="105">
        <v>5</v>
      </c>
      <c r="S48" s="105">
        <v>3288</v>
      </c>
      <c r="T48" s="105">
        <v>5</v>
      </c>
      <c r="U48" s="105">
        <v>3288</v>
      </c>
      <c r="V48" s="105">
        <v>4</v>
      </c>
      <c r="W48" s="105">
        <v>2630.4</v>
      </c>
      <c r="X48" s="105">
        <v>6</v>
      </c>
      <c r="Y48" s="105">
        <v>3945.6000000000004</v>
      </c>
      <c r="Z48" s="105">
        <v>5</v>
      </c>
      <c r="AA48" s="105">
        <v>3288</v>
      </c>
      <c r="AB48" s="105">
        <v>3</v>
      </c>
      <c r="AC48" s="105">
        <v>1972.8000000000002</v>
      </c>
      <c r="AD48" s="105">
        <v>6</v>
      </c>
      <c r="AE48" s="105">
        <v>3945.6000000000004</v>
      </c>
      <c r="AF48" s="105">
        <v>5</v>
      </c>
      <c r="AG48" s="105">
        <v>3288</v>
      </c>
      <c r="AH48" s="105">
        <v>7</v>
      </c>
      <c r="AI48" s="105">
        <v>4603.2</v>
      </c>
      <c r="AJ48" s="105">
        <v>6</v>
      </c>
      <c r="AK48" s="105">
        <v>3945.6000000000004</v>
      </c>
      <c r="AL48" s="105">
        <v>5</v>
      </c>
      <c r="AM48" s="105">
        <v>3288</v>
      </c>
      <c r="AN48" s="105">
        <v>4</v>
      </c>
      <c r="AO48" s="105">
        <v>2630.4</v>
      </c>
      <c r="AP48" s="105">
        <v>4</v>
      </c>
      <c r="AQ48" s="105">
        <v>2630.4</v>
      </c>
      <c r="AR48" s="105">
        <v>6</v>
      </c>
      <c r="AS48" s="105">
        <v>3945.6000000000004</v>
      </c>
      <c r="AT48" s="105">
        <v>6</v>
      </c>
      <c r="AU48" s="105">
        <v>3945.6000000000004</v>
      </c>
      <c r="AV48" s="105">
        <v>3</v>
      </c>
      <c r="AW48" s="105">
        <v>1972.8000000000002</v>
      </c>
      <c r="AX48" s="105">
        <v>4</v>
      </c>
      <c r="AY48" s="105">
        <v>2630.4</v>
      </c>
      <c r="AZ48" s="105">
        <v>4</v>
      </c>
      <c r="BA48" s="105">
        <v>2630.4</v>
      </c>
      <c r="BB48" s="105">
        <v>6</v>
      </c>
      <c r="BC48" s="105">
        <v>3945.6000000000004</v>
      </c>
      <c r="BD48" s="105">
        <v>3</v>
      </c>
      <c r="BE48" s="105">
        <v>1972.8000000000002</v>
      </c>
      <c r="BF48" s="105">
        <v>6</v>
      </c>
      <c r="BG48" s="105">
        <v>3945.6000000000004</v>
      </c>
      <c r="BH48" s="105">
        <v>5</v>
      </c>
      <c r="BI48" s="105">
        <v>3288</v>
      </c>
      <c r="BJ48" s="105">
        <v>5</v>
      </c>
      <c r="BK48" s="105">
        <v>3288</v>
      </c>
      <c r="BL48" s="105">
        <v>5</v>
      </c>
      <c r="BM48" s="105">
        <v>3288</v>
      </c>
      <c r="BN48" s="105">
        <v>4</v>
      </c>
      <c r="BO48" s="105">
        <v>2630.4</v>
      </c>
      <c r="BP48" s="105">
        <v>5</v>
      </c>
      <c r="BQ48" s="105">
        <v>3288</v>
      </c>
      <c r="BR48" s="105">
        <v>5</v>
      </c>
      <c r="BS48" s="105">
        <v>3288</v>
      </c>
      <c r="BT48" s="105">
        <v>5</v>
      </c>
      <c r="BU48" s="105">
        <v>3288</v>
      </c>
      <c r="BV48" s="105">
        <v>3</v>
      </c>
      <c r="BW48" s="105">
        <v>1972.8000000000002</v>
      </c>
      <c r="BX48" s="105">
        <v>5</v>
      </c>
      <c r="BY48" s="105">
        <v>3288</v>
      </c>
      <c r="BZ48" s="105">
        <v>6</v>
      </c>
      <c r="CA48" s="105">
        <v>3945.6000000000004</v>
      </c>
      <c r="CB48" s="105">
        <v>3</v>
      </c>
      <c r="CC48" s="105">
        <v>1972.8000000000002</v>
      </c>
      <c r="CD48" s="105">
        <v>6</v>
      </c>
      <c r="CE48" s="105">
        <v>3945.6000000000004</v>
      </c>
      <c r="CF48" s="105">
        <v>3</v>
      </c>
      <c r="CG48" s="105">
        <v>1972.8000000000002</v>
      </c>
      <c r="CH48" s="105">
        <v>4</v>
      </c>
      <c r="CI48" s="105">
        <v>2630.4</v>
      </c>
      <c r="CJ48" s="105">
        <v>4</v>
      </c>
      <c r="CK48" s="105">
        <v>2630.4</v>
      </c>
      <c r="CL48" s="105">
        <v>4</v>
      </c>
      <c r="CM48" s="105">
        <v>2630.4</v>
      </c>
      <c r="CN48" s="105">
        <v>3</v>
      </c>
      <c r="CO48" s="105">
        <v>1972.8000000000002</v>
      </c>
      <c r="CP48" s="105">
        <v>5</v>
      </c>
      <c r="CQ48" s="105">
        <v>3288</v>
      </c>
      <c r="CR48" s="105">
        <v>4</v>
      </c>
      <c r="CS48" s="105">
        <v>2630.4</v>
      </c>
      <c r="CT48" s="105">
        <v>5</v>
      </c>
      <c r="CU48" s="105">
        <v>3288</v>
      </c>
    </row>
    <row r="49" spans="2:99" x14ac:dyDescent="0.2">
      <c r="B49" s="104" t="s">
        <v>129</v>
      </c>
      <c r="C49" s="104" t="s">
        <v>215</v>
      </c>
      <c r="D49" s="105">
        <v>2.7955073674008064</v>
      </c>
      <c r="E49" s="105">
        <v>1653.8221585543172</v>
      </c>
      <c r="F49" s="105">
        <v>2.6457233345542339</v>
      </c>
      <c r="G49" s="105">
        <v>1565.2099247222848</v>
      </c>
      <c r="H49" s="105">
        <v>1.9893453989038365</v>
      </c>
      <c r="I49" s="105">
        <v>1176.8967379915098</v>
      </c>
      <c r="J49" s="105">
        <v>1.5639038045015461</v>
      </c>
      <c r="K49" s="105">
        <v>925.20549074311475</v>
      </c>
      <c r="L49" s="105">
        <v>2.2529695725615975</v>
      </c>
      <c r="M49" s="105">
        <v>1332.856799127441</v>
      </c>
      <c r="N49" s="105">
        <v>3.4816017755997604</v>
      </c>
      <c r="O49" s="105">
        <v>2059.7156104448181</v>
      </c>
      <c r="P49" s="105">
        <v>2.2135236298088001</v>
      </c>
      <c r="Q49" s="105">
        <v>1309.5205793948862</v>
      </c>
      <c r="R49" s="105">
        <v>2.4206802349510697</v>
      </c>
      <c r="S49" s="105">
        <v>1432.0744269970528</v>
      </c>
      <c r="T49" s="105">
        <v>3.1445855930961177</v>
      </c>
      <c r="U49" s="105">
        <v>1860.3368368756633</v>
      </c>
      <c r="V49" s="105">
        <v>2.2401498806771363</v>
      </c>
      <c r="W49" s="105">
        <v>1325.2726694085939</v>
      </c>
      <c r="X49" s="105">
        <v>3.1006653144249907</v>
      </c>
      <c r="Y49" s="105">
        <v>1834.3536000138247</v>
      </c>
      <c r="Z49" s="105">
        <v>2.5649541553056858</v>
      </c>
      <c r="AA49" s="105">
        <v>1517.4268782788438</v>
      </c>
      <c r="AB49" s="105">
        <v>2.6091233951996329</v>
      </c>
      <c r="AC49" s="105">
        <v>1543.5574006001029</v>
      </c>
      <c r="AD49" s="105">
        <v>2.5883293310648998</v>
      </c>
      <c r="AE49" s="105">
        <v>1531.2556322579949</v>
      </c>
      <c r="AF49" s="105">
        <v>3.8774484322821259</v>
      </c>
      <c r="AG49" s="105">
        <v>2293.898492538106</v>
      </c>
      <c r="AH49" s="105">
        <v>2.0743799433040171</v>
      </c>
      <c r="AI49" s="105">
        <v>1227.2031744586566</v>
      </c>
      <c r="AJ49" s="105">
        <v>3.7298724545312267</v>
      </c>
      <c r="AK49" s="105">
        <v>2206.5925441006739</v>
      </c>
      <c r="AL49" s="105">
        <v>3.1622064360607132</v>
      </c>
      <c r="AM49" s="105">
        <v>1870.761327573518</v>
      </c>
      <c r="AN49" s="105">
        <v>2.6088203097500884</v>
      </c>
      <c r="AO49" s="105">
        <v>1543.3780952481522</v>
      </c>
      <c r="AP49" s="105">
        <v>2.8843837260316172</v>
      </c>
      <c r="AQ49" s="105">
        <v>1706.4014123203049</v>
      </c>
      <c r="AR49" s="105">
        <v>4</v>
      </c>
      <c r="AS49" s="105">
        <v>2366.4</v>
      </c>
      <c r="AT49" s="105">
        <v>2.4679040891381137</v>
      </c>
      <c r="AU49" s="105">
        <v>1460.0120591341081</v>
      </c>
      <c r="AV49" s="105">
        <v>2.3340078724673869</v>
      </c>
      <c r="AW49" s="105">
        <v>1380.7990573517061</v>
      </c>
      <c r="AX49" s="105">
        <v>2.4505148813795157</v>
      </c>
      <c r="AY49" s="105">
        <v>1449.7246038241215</v>
      </c>
      <c r="AZ49" s="105">
        <v>3.8199678966295063</v>
      </c>
      <c r="BA49" s="105">
        <v>2259.893007646016</v>
      </c>
      <c r="BB49" s="105">
        <v>2.0335293372806951</v>
      </c>
      <c r="BC49" s="105">
        <v>1203.0359559352592</v>
      </c>
      <c r="BD49" s="105">
        <v>2.2867831783734114</v>
      </c>
      <c r="BE49" s="105">
        <v>1352.8609283257101</v>
      </c>
      <c r="BF49" s="105">
        <v>2.149245294615425</v>
      </c>
      <c r="BG49" s="105">
        <v>1271.4935162944855</v>
      </c>
      <c r="BH49" s="105">
        <v>2.82878028788596</v>
      </c>
      <c r="BI49" s="105">
        <v>1673.5064183133341</v>
      </c>
      <c r="BJ49" s="105">
        <v>4.0330497685826776</v>
      </c>
      <c r="BK49" s="105">
        <v>2385.9522430935122</v>
      </c>
      <c r="BL49" s="105">
        <v>1.4908032744686612</v>
      </c>
      <c r="BM49" s="105">
        <v>881.95921717566</v>
      </c>
      <c r="BN49" s="105">
        <v>1.8837067728847281</v>
      </c>
      <c r="BO49" s="105">
        <v>1114.4009268386051</v>
      </c>
      <c r="BP49" s="105">
        <v>2.9054914375784264</v>
      </c>
      <c r="BQ49" s="105">
        <v>1718.8887344713971</v>
      </c>
      <c r="BR49" s="105">
        <v>2.5158616271512755</v>
      </c>
      <c r="BS49" s="105">
        <v>1488.3837386226946</v>
      </c>
      <c r="BT49" s="105">
        <v>2.2216404989789891</v>
      </c>
      <c r="BU49" s="105">
        <v>1314.32251919597</v>
      </c>
      <c r="BV49" s="105">
        <v>2.2957564068472993</v>
      </c>
      <c r="BW49" s="105">
        <v>1358.1694902908623</v>
      </c>
      <c r="BX49" s="105">
        <v>2.956901236809574</v>
      </c>
      <c r="BY49" s="105">
        <v>1749.3027716965439</v>
      </c>
      <c r="BZ49" s="105">
        <v>3.3294419150515244</v>
      </c>
      <c r="CA49" s="105">
        <v>1969.6978369444819</v>
      </c>
      <c r="CB49" s="105">
        <v>3.3630013808800854</v>
      </c>
      <c r="CC49" s="105">
        <v>1989.5516169286586</v>
      </c>
      <c r="CD49" s="105">
        <v>2.5123778302358564</v>
      </c>
      <c r="CE49" s="105">
        <v>1486.3227243675326</v>
      </c>
      <c r="CF49" s="105">
        <v>2.4557632310312041</v>
      </c>
      <c r="CG49" s="105">
        <v>1452.8295274780603</v>
      </c>
      <c r="CH49" s="105">
        <v>2.5948108315866754</v>
      </c>
      <c r="CI49" s="105">
        <v>1535.0900879666772</v>
      </c>
      <c r="CJ49" s="105">
        <v>1.9261121720013907</v>
      </c>
      <c r="CK49" s="105">
        <v>1139.4879609560228</v>
      </c>
      <c r="CL49" s="105">
        <v>1.6150597175861283</v>
      </c>
      <c r="CM49" s="105">
        <v>955.46932892395353</v>
      </c>
      <c r="CN49" s="105">
        <v>2.5229489732816499</v>
      </c>
      <c r="CO49" s="105">
        <v>1492.5766125934242</v>
      </c>
      <c r="CP49" s="105">
        <v>3.0904697915691006</v>
      </c>
      <c r="CQ49" s="105">
        <v>1828.3219286922799</v>
      </c>
      <c r="CR49" s="105">
        <v>2.9176569772805667</v>
      </c>
      <c r="CS49" s="105">
        <v>1726.0858677591834</v>
      </c>
      <c r="CT49" s="105">
        <v>2.9962571013493653</v>
      </c>
      <c r="CU49" s="105">
        <v>1772.5857011582846</v>
      </c>
    </row>
    <row r="50" spans="2:99" x14ac:dyDescent="0.2">
      <c r="C50" s="104" t="s">
        <v>216</v>
      </c>
      <c r="D50" s="105">
        <v>4</v>
      </c>
      <c r="E50" s="105">
        <v>1545.6</v>
      </c>
      <c r="F50" s="105">
        <v>2</v>
      </c>
      <c r="G50" s="105">
        <v>772.8</v>
      </c>
      <c r="H50" s="105">
        <v>3</v>
      </c>
      <c r="I50" s="105">
        <v>1159.1999999999998</v>
      </c>
      <c r="J50" s="105">
        <v>3</v>
      </c>
      <c r="K50" s="105">
        <v>1159.1999999999998</v>
      </c>
      <c r="L50" s="105">
        <v>3</v>
      </c>
      <c r="M50" s="105">
        <v>1159.1999999999998</v>
      </c>
      <c r="N50" s="105">
        <v>4</v>
      </c>
      <c r="O50" s="105">
        <v>1545.6</v>
      </c>
      <c r="P50" s="105">
        <v>3</v>
      </c>
      <c r="Q50" s="105">
        <v>1159.1999999999998</v>
      </c>
      <c r="R50" s="105">
        <v>5</v>
      </c>
      <c r="S50" s="105">
        <v>1932</v>
      </c>
      <c r="T50" s="105">
        <v>5</v>
      </c>
      <c r="U50" s="105">
        <v>1932</v>
      </c>
      <c r="V50" s="105">
        <v>3</v>
      </c>
      <c r="W50" s="105">
        <v>1159.1999999999998</v>
      </c>
      <c r="X50" s="105">
        <v>4</v>
      </c>
      <c r="Y50" s="105">
        <v>1545.6</v>
      </c>
      <c r="Z50" s="105">
        <v>2</v>
      </c>
      <c r="AA50" s="105">
        <v>772.8</v>
      </c>
      <c r="AB50" s="105">
        <v>4</v>
      </c>
      <c r="AC50" s="105">
        <v>1545.6</v>
      </c>
      <c r="AD50" s="105">
        <v>4</v>
      </c>
      <c r="AE50" s="105">
        <v>1545.6</v>
      </c>
      <c r="AF50" s="105">
        <v>4</v>
      </c>
      <c r="AG50" s="105">
        <v>1545.6</v>
      </c>
      <c r="AH50" s="105">
        <v>3</v>
      </c>
      <c r="AI50" s="105">
        <v>1159.1999999999998</v>
      </c>
      <c r="AJ50" s="105">
        <v>5</v>
      </c>
      <c r="AK50" s="105">
        <v>1932</v>
      </c>
      <c r="AL50" s="105">
        <v>3</v>
      </c>
      <c r="AM50" s="105">
        <v>1159.1999999999998</v>
      </c>
      <c r="AN50" s="105">
        <v>2</v>
      </c>
      <c r="AO50" s="105">
        <v>772.8</v>
      </c>
      <c r="AP50" s="105">
        <v>4</v>
      </c>
      <c r="AQ50" s="105">
        <v>1545.6</v>
      </c>
      <c r="AR50" s="105">
        <v>4</v>
      </c>
      <c r="AS50" s="105">
        <v>1545.6</v>
      </c>
      <c r="AT50" s="105">
        <v>3</v>
      </c>
      <c r="AU50" s="105">
        <v>1159.1999999999998</v>
      </c>
      <c r="AV50" s="105">
        <v>4</v>
      </c>
      <c r="AW50" s="105">
        <v>1545.6</v>
      </c>
      <c r="AX50" s="105">
        <v>3</v>
      </c>
      <c r="AY50" s="105">
        <v>1159.1999999999998</v>
      </c>
      <c r="AZ50" s="105">
        <v>4</v>
      </c>
      <c r="BA50" s="105">
        <v>1545.6</v>
      </c>
      <c r="BB50" s="105">
        <v>4</v>
      </c>
      <c r="BC50" s="105">
        <v>1545.6</v>
      </c>
      <c r="BD50" s="105">
        <v>2</v>
      </c>
      <c r="BE50" s="105">
        <v>772.8</v>
      </c>
      <c r="BF50" s="105">
        <v>3</v>
      </c>
      <c r="BG50" s="105">
        <v>1159.1999999999998</v>
      </c>
      <c r="BH50" s="105">
        <v>3</v>
      </c>
      <c r="BI50" s="105">
        <v>1159.1999999999998</v>
      </c>
      <c r="BJ50" s="105">
        <v>4</v>
      </c>
      <c r="BK50" s="105">
        <v>1545.6</v>
      </c>
      <c r="BL50" s="105">
        <v>2</v>
      </c>
      <c r="BM50" s="105">
        <v>772.8</v>
      </c>
      <c r="BN50" s="105">
        <v>3</v>
      </c>
      <c r="BO50" s="105">
        <v>1159.1999999999998</v>
      </c>
      <c r="BP50" s="105">
        <v>4</v>
      </c>
      <c r="BQ50" s="105">
        <v>1545.6</v>
      </c>
      <c r="BR50" s="105">
        <v>3</v>
      </c>
      <c r="BS50" s="105">
        <v>1159.1999999999998</v>
      </c>
      <c r="BT50" s="105">
        <v>3</v>
      </c>
      <c r="BU50" s="105">
        <v>1159.1999999999998</v>
      </c>
      <c r="BV50" s="105">
        <v>3</v>
      </c>
      <c r="BW50" s="105">
        <v>1159.1999999999998</v>
      </c>
      <c r="BX50" s="105">
        <v>4</v>
      </c>
      <c r="BY50" s="105">
        <v>1545.6</v>
      </c>
      <c r="BZ50" s="105">
        <v>4</v>
      </c>
      <c r="CA50" s="105">
        <v>1545.6</v>
      </c>
      <c r="CB50" s="105">
        <v>4</v>
      </c>
      <c r="CC50" s="105">
        <v>1545.6</v>
      </c>
      <c r="CD50" s="105">
        <v>5</v>
      </c>
      <c r="CE50" s="105">
        <v>1932</v>
      </c>
      <c r="CF50" s="105">
        <v>3</v>
      </c>
      <c r="CG50" s="105">
        <v>1159.1999999999998</v>
      </c>
      <c r="CH50" s="105">
        <v>4</v>
      </c>
      <c r="CI50" s="105">
        <v>1545.6</v>
      </c>
      <c r="CJ50" s="105">
        <v>3</v>
      </c>
      <c r="CK50" s="105">
        <v>1159.1999999999998</v>
      </c>
      <c r="CL50" s="105">
        <v>2</v>
      </c>
      <c r="CM50" s="105">
        <v>772.8</v>
      </c>
      <c r="CN50" s="105">
        <v>4</v>
      </c>
      <c r="CO50" s="105">
        <v>1545.6</v>
      </c>
      <c r="CP50" s="105">
        <v>3</v>
      </c>
      <c r="CQ50" s="105">
        <v>1159.1999999999998</v>
      </c>
      <c r="CR50" s="105">
        <v>3</v>
      </c>
      <c r="CS50" s="105">
        <v>1159.1999999999998</v>
      </c>
      <c r="CT50" s="105">
        <v>4</v>
      </c>
      <c r="CU50" s="105">
        <v>1545.6</v>
      </c>
    </row>
    <row r="51" spans="2:99" x14ac:dyDescent="0.2">
      <c r="C51" s="104" t="s">
        <v>217</v>
      </c>
      <c r="D51" s="105">
        <v>0</v>
      </c>
      <c r="E51" s="105">
        <v>0</v>
      </c>
      <c r="F51" s="105">
        <v>0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5</v>
      </c>
      <c r="O51" s="105">
        <v>678</v>
      </c>
      <c r="P51" s="105">
        <v>3.2982494718432123</v>
      </c>
      <c r="Q51" s="105">
        <v>447.24262838193954</v>
      </c>
      <c r="R51" s="105">
        <v>4.1693274384672678</v>
      </c>
      <c r="S51" s="105">
        <v>565.36080065616147</v>
      </c>
      <c r="T51" s="105">
        <v>4.2982494718432118</v>
      </c>
      <c r="U51" s="105">
        <v>582.84262838193945</v>
      </c>
      <c r="V51" s="105">
        <v>3.2054602247609587</v>
      </c>
      <c r="W51" s="105">
        <v>434.66040647758598</v>
      </c>
      <c r="X51" s="105">
        <v>4.1472017055646484</v>
      </c>
      <c r="Y51" s="105">
        <v>562.36055127456632</v>
      </c>
      <c r="Z51" s="105">
        <v>2.2899625716778473</v>
      </c>
      <c r="AA51" s="105">
        <v>310.51892471951606</v>
      </c>
      <c r="AB51" s="105">
        <v>4.2976869922939391</v>
      </c>
      <c r="AC51" s="105">
        <v>582.76635615505813</v>
      </c>
      <c r="AD51" s="105">
        <v>4.1551967336191291</v>
      </c>
      <c r="AE51" s="105">
        <v>563.4446770787539</v>
      </c>
      <c r="AF51" s="105">
        <v>3.6291695501320493</v>
      </c>
      <c r="AG51" s="105">
        <v>492.11539099790588</v>
      </c>
      <c r="AH51" s="105">
        <v>3.2483674132794138</v>
      </c>
      <c r="AI51" s="105">
        <v>440.47862124068848</v>
      </c>
      <c r="AJ51" s="105">
        <v>4.7122291954455795</v>
      </c>
      <c r="AK51" s="105">
        <v>638.97827890242058</v>
      </c>
      <c r="AL51" s="105">
        <v>3.2007655997383755</v>
      </c>
      <c r="AM51" s="105">
        <v>434.0238153245237</v>
      </c>
      <c r="AN51" s="105">
        <v>3.3410758379102776</v>
      </c>
      <c r="AO51" s="105">
        <v>453.04988362063364</v>
      </c>
      <c r="AP51" s="105">
        <v>4.2188548717686256</v>
      </c>
      <c r="AQ51" s="105">
        <v>572.07672061182564</v>
      </c>
      <c r="AR51" s="105">
        <v>3.3499241652823204</v>
      </c>
      <c r="AS51" s="105">
        <v>454.2497168122826</v>
      </c>
      <c r="AT51" s="105">
        <v>2.9968092895799185</v>
      </c>
      <c r="AU51" s="105">
        <v>406.36733966703696</v>
      </c>
      <c r="AV51" s="105">
        <v>4.0737009304688119</v>
      </c>
      <c r="AW51" s="105">
        <v>552.39384617157089</v>
      </c>
      <c r="AX51" s="105">
        <v>3.142088937989711</v>
      </c>
      <c r="AY51" s="105">
        <v>426.0672599914048</v>
      </c>
      <c r="AZ51" s="105">
        <v>3.5621929873798317</v>
      </c>
      <c r="BA51" s="105">
        <v>483.03336908870517</v>
      </c>
      <c r="BB51" s="105">
        <v>4.2883342449430044</v>
      </c>
      <c r="BC51" s="105">
        <v>581.49812361427132</v>
      </c>
      <c r="BD51" s="105">
        <v>3.2302725977256475</v>
      </c>
      <c r="BE51" s="105">
        <v>438.02496425159779</v>
      </c>
      <c r="BF51" s="105">
        <v>3.0332111902661523</v>
      </c>
      <c r="BG51" s="105">
        <v>411.30343740009022</v>
      </c>
      <c r="BH51" s="105">
        <v>3.3495524633348213</v>
      </c>
      <c r="BI51" s="105">
        <v>454.19931402820174</v>
      </c>
      <c r="BJ51" s="105">
        <v>3.9378442594202445</v>
      </c>
      <c r="BK51" s="105">
        <v>533.97168157738508</v>
      </c>
      <c r="BL51" s="105">
        <v>3.151405779405513</v>
      </c>
      <c r="BM51" s="105">
        <v>427.33062368738757</v>
      </c>
      <c r="BN51" s="105">
        <v>3.1723364478593687</v>
      </c>
      <c r="BO51" s="105">
        <v>430.1688223297304</v>
      </c>
      <c r="BP51" s="105">
        <v>4.0754839487117023</v>
      </c>
      <c r="BQ51" s="105">
        <v>552.63562344530681</v>
      </c>
      <c r="BR51" s="105">
        <v>4</v>
      </c>
      <c r="BS51" s="105">
        <v>542.4</v>
      </c>
      <c r="BT51" s="105">
        <v>3.104279504224575</v>
      </c>
      <c r="BU51" s="105">
        <v>420.94030077285237</v>
      </c>
      <c r="BV51" s="105">
        <v>3.230133148759609</v>
      </c>
      <c r="BW51" s="105">
        <v>438.00605497180294</v>
      </c>
      <c r="BX51" s="105">
        <v>4.1144196760113241</v>
      </c>
      <c r="BY51" s="105">
        <v>557.91530806713547</v>
      </c>
      <c r="BZ51" s="105">
        <v>3.5969122969473557</v>
      </c>
      <c r="CA51" s="105">
        <v>487.74130746606141</v>
      </c>
      <c r="CB51" s="105">
        <v>3.8818393199361525</v>
      </c>
      <c r="CC51" s="105">
        <v>526.37741178334227</v>
      </c>
      <c r="CD51" s="105">
        <v>3.5623841097387885</v>
      </c>
      <c r="CE51" s="105">
        <v>483.05928528057967</v>
      </c>
      <c r="CF51" s="105">
        <v>3.278784824347142</v>
      </c>
      <c r="CG51" s="105">
        <v>444.60322218147246</v>
      </c>
      <c r="CH51" s="105">
        <v>4.2152654798174289</v>
      </c>
      <c r="CI51" s="105">
        <v>571.58999906324334</v>
      </c>
      <c r="CJ51" s="105">
        <v>4.349983559420286</v>
      </c>
      <c r="CK51" s="105">
        <v>589.8577706573908</v>
      </c>
      <c r="CL51" s="105">
        <v>2.2528116973911301</v>
      </c>
      <c r="CM51" s="105">
        <v>305.48126616623722</v>
      </c>
      <c r="CN51" s="105">
        <v>4.2736710008966456</v>
      </c>
      <c r="CO51" s="105">
        <v>579.5097877215851</v>
      </c>
      <c r="CP51" s="105">
        <v>4.0755485614955784</v>
      </c>
      <c r="CQ51" s="105">
        <v>552.64438493880039</v>
      </c>
      <c r="CR51" s="105">
        <v>4.2687218631076229</v>
      </c>
      <c r="CS51" s="105">
        <v>578.83868463739361</v>
      </c>
      <c r="CT51" s="105">
        <v>3.8571268201641624</v>
      </c>
      <c r="CU51" s="105">
        <v>523.02639681426035</v>
      </c>
    </row>
    <row r="52" spans="2:99" x14ac:dyDescent="0.2">
      <c r="C52" s="104" t="s">
        <v>218</v>
      </c>
      <c r="D52" s="105">
        <v>0</v>
      </c>
      <c r="E52" s="105">
        <v>0</v>
      </c>
      <c r="F52" s="105">
        <v>0</v>
      </c>
      <c r="G52" s="105">
        <v>0</v>
      </c>
      <c r="H52" s="105">
        <v>0</v>
      </c>
      <c r="I52" s="105">
        <v>0</v>
      </c>
      <c r="J52" s="105">
        <v>0</v>
      </c>
      <c r="K52" s="105">
        <v>0</v>
      </c>
      <c r="L52" s="105">
        <v>0</v>
      </c>
      <c r="M52" s="105">
        <v>0</v>
      </c>
      <c r="N52" s="105">
        <v>4</v>
      </c>
      <c r="O52" s="105">
        <v>1065.5999999999999</v>
      </c>
      <c r="P52" s="105">
        <v>3.3479577171504142</v>
      </c>
      <c r="Q52" s="105">
        <v>891.89593584887029</v>
      </c>
      <c r="R52" s="105">
        <v>4.1269955788504511</v>
      </c>
      <c r="S52" s="105">
        <v>1099.43162220576</v>
      </c>
      <c r="T52" s="105">
        <v>5.3479577171504147</v>
      </c>
      <c r="U52" s="105">
        <v>1424.6959358488702</v>
      </c>
      <c r="V52" s="105">
        <v>3.2054602247609587</v>
      </c>
      <c r="W52" s="105">
        <v>853.93460387631933</v>
      </c>
      <c r="X52" s="105">
        <v>5.1472017055646484</v>
      </c>
      <c r="Y52" s="105">
        <v>1371.2145343624222</v>
      </c>
      <c r="Z52" s="105">
        <v>2.2899625716778473</v>
      </c>
      <c r="AA52" s="105">
        <v>610.04602909497851</v>
      </c>
      <c r="AB52" s="105">
        <v>4.3473014910095964</v>
      </c>
      <c r="AC52" s="105">
        <v>1158.1211172049564</v>
      </c>
      <c r="AD52" s="105">
        <v>4.1551967336191291</v>
      </c>
      <c r="AE52" s="105">
        <v>1106.9444098361359</v>
      </c>
      <c r="AF52" s="105">
        <v>3.6291695501320493</v>
      </c>
      <c r="AG52" s="105">
        <v>966.81076815517781</v>
      </c>
      <c r="AH52" s="105">
        <v>3.2069728443995116</v>
      </c>
      <c r="AI52" s="105">
        <v>854.33756574802976</v>
      </c>
      <c r="AJ52" s="105">
        <v>3.807572231787149</v>
      </c>
      <c r="AK52" s="105">
        <v>1014.3372425480964</v>
      </c>
      <c r="AL52" s="105">
        <v>4.1875605671870746</v>
      </c>
      <c r="AM52" s="105">
        <v>1115.5661350986366</v>
      </c>
      <c r="AN52" s="105">
        <v>3.3410758379102776</v>
      </c>
      <c r="AO52" s="105">
        <v>890.0626032192979</v>
      </c>
      <c r="AP52" s="105">
        <v>4.2188548717686256</v>
      </c>
      <c r="AQ52" s="105">
        <v>1123.9029378391617</v>
      </c>
      <c r="AR52" s="105">
        <v>4.34992416528232</v>
      </c>
      <c r="AS52" s="105">
        <v>1158.8197976312099</v>
      </c>
      <c r="AT52" s="105">
        <v>3.9365027429526931</v>
      </c>
      <c r="AU52" s="105">
        <v>1048.6843307225975</v>
      </c>
      <c r="AV52" s="105">
        <v>4.0737009304688119</v>
      </c>
      <c r="AW52" s="105">
        <v>1085.2339278768914</v>
      </c>
      <c r="AX52" s="105">
        <v>3.118407448324759</v>
      </c>
      <c r="AY52" s="105">
        <v>830.74374423371569</v>
      </c>
      <c r="AZ52" s="105">
        <v>3.5621929873798317</v>
      </c>
      <c r="BA52" s="105">
        <v>948.96821183798704</v>
      </c>
      <c r="BB52" s="105">
        <v>4.2883342449430044</v>
      </c>
      <c r="BC52" s="105">
        <v>1142.4122428528162</v>
      </c>
      <c r="BD52" s="105">
        <v>2.2302725977256475</v>
      </c>
      <c r="BE52" s="105">
        <v>594.14462003411245</v>
      </c>
      <c r="BF52" s="105">
        <v>3.0332111902661523</v>
      </c>
      <c r="BG52" s="105">
        <v>808.0474610869029</v>
      </c>
      <c r="BH52" s="105">
        <v>2.3495524633348213</v>
      </c>
      <c r="BI52" s="105">
        <v>625.92077623239629</v>
      </c>
      <c r="BJ52" s="105">
        <v>3.957259037304528</v>
      </c>
      <c r="BK52" s="105">
        <v>1054.2138075379262</v>
      </c>
      <c r="BL52" s="105">
        <v>2.151405779405513</v>
      </c>
      <c r="BM52" s="105">
        <v>573.13449963362859</v>
      </c>
      <c r="BN52" s="105">
        <v>3.1723364478593687</v>
      </c>
      <c r="BO52" s="105">
        <v>845.11042970973574</v>
      </c>
      <c r="BP52" s="105">
        <v>4.0754839487117023</v>
      </c>
      <c r="BQ52" s="105">
        <v>1085.7089239367974</v>
      </c>
      <c r="BR52" s="105">
        <v>3</v>
      </c>
      <c r="BS52" s="105">
        <v>799.19999999999993</v>
      </c>
      <c r="BT52" s="105">
        <v>2.104279504224575</v>
      </c>
      <c r="BU52" s="105">
        <v>560.58005992542678</v>
      </c>
      <c r="BV52" s="105">
        <v>3.230133148759609</v>
      </c>
      <c r="BW52" s="105">
        <v>860.50747082955979</v>
      </c>
      <c r="BX52" s="105">
        <v>4.0680565225643397</v>
      </c>
      <c r="BY52" s="105">
        <v>1083.7302576111399</v>
      </c>
      <c r="BZ52" s="105">
        <v>3.6381168907727579</v>
      </c>
      <c r="CA52" s="105">
        <v>969.19433970186265</v>
      </c>
      <c r="CB52" s="105">
        <v>3.9226155374184191</v>
      </c>
      <c r="CC52" s="105">
        <v>1044.9847791682666</v>
      </c>
      <c r="CD52" s="105">
        <v>3.5995786991909986</v>
      </c>
      <c r="CE52" s="105">
        <v>958.92776546448192</v>
      </c>
      <c r="CF52" s="105">
        <v>3.278784824347142</v>
      </c>
      <c r="CG52" s="105">
        <v>873.4682772060786</v>
      </c>
      <c r="CH52" s="105">
        <v>4.2152654798174289</v>
      </c>
      <c r="CI52" s="105">
        <v>1122.9467238233631</v>
      </c>
      <c r="CJ52" s="105">
        <v>4.2999859080745306</v>
      </c>
      <c r="CK52" s="105">
        <v>1145.516245911055</v>
      </c>
      <c r="CL52" s="105">
        <v>2.2528116973911301</v>
      </c>
      <c r="CM52" s="105">
        <v>600.14903618499704</v>
      </c>
      <c r="CN52" s="105">
        <v>4.2736710008966456</v>
      </c>
      <c r="CO52" s="105">
        <v>1138.5059546388663</v>
      </c>
      <c r="CP52" s="105">
        <v>4.0755485614955784</v>
      </c>
      <c r="CQ52" s="105">
        <v>1085.7261367824219</v>
      </c>
      <c r="CR52" s="105">
        <v>3.2239348859230188</v>
      </c>
      <c r="CS52" s="105">
        <v>858.85625360989218</v>
      </c>
      <c r="CT52" s="105">
        <v>3.8571268201641624</v>
      </c>
      <c r="CU52" s="105">
        <v>1027.5385848917329</v>
      </c>
    </row>
    <row r="53" spans="2:99" x14ac:dyDescent="0.2">
      <c r="C53" s="104" t="s">
        <v>219</v>
      </c>
      <c r="D53" s="105">
        <v>0</v>
      </c>
      <c r="E53" s="105">
        <v>0</v>
      </c>
      <c r="F53" s="105">
        <v>0</v>
      </c>
      <c r="G53" s="105">
        <v>0</v>
      </c>
      <c r="H53" s="105">
        <v>0</v>
      </c>
      <c r="I53" s="105">
        <v>0</v>
      </c>
      <c r="J53" s="105">
        <v>0</v>
      </c>
      <c r="K53" s="105">
        <v>0</v>
      </c>
      <c r="L53" s="105">
        <v>0</v>
      </c>
      <c r="M53" s="105">
        <v>0</v>
      </c>
      <c r="N53" s="105">
        <v>5</v>
      </c>
      <c r="O53" s="105">
        <v>1962</v>
      </c>
      <c r="P53" s="105">
        <v>3.2982494718432123</v>
      </c>
      <c r="Q53" s="105">
        <v>1294.2330927512764</v>
      </c>
      <c r="R53" s="105">
        <v>4.1693274384672678</v>
      </c>
      <c r="S53" s="105">
        <v>1636.0440868545559</v>
      </c>
      <c r="T53" s="105">
        <v>4.2982494718432118</v>
      </c>
      <c r="U53" s="105">
        <v>1686.6330927512763</v>
      </c>
      <c r="V53" s="105">
        <v>3.2054602247609587</v>
      </c>
      <c r="W53" s="105">
        <v>1257.8225921962</v>
      </c>
      <c r="X53" s="105">
        <v>4.1472017055646484</v>
      </c>
      <c r="Y53" s="105">
        <v>1627.361949263568</v>
      </c>
      <c r="Z53" s="105">
        <v>3.2899625716778473</v>
      </c>
      <c r="AA53" s="105">
        <v>1290.9813131263872</v>
      </c>
      <c r="AB53" s="105">
        <v>4.3473014910095964</v>
      </c>
      <c r="AC53" s="105">
        <v>1705.8811050721656</v>
      </c>
      <c r="AD53" s="105">
        <v>3.3393159881222432</v>
      </c>
      <c r="AE53" s="105">
        <v>1310.3475937391681</v>
      </c>
      <c r="AF53" s="105">
        <v>3.6291695501320493</v>
      </c>
      <c r="AG53" s="105">
        <v>1424.0861314718161</v>
      </c>
      <c r="AH53" s="105">
        <v>3.2483674132794138</v>
      </c>
      <c r="AI53" s="105">
        <v>1274.659372970842</v>
      </c>
      <c r="AJ53" s="105">
        <v>4.7500180708762656</v>
      </c>
      <c r="AK53" s="105">
        <v>1863.9070910118464</v>
      </c>
      <c r="AL53" s="105">
        <v>3.1607021501729964</v>
      </c>
      <c r="AM53" s="105">
        <v>1240.2595237278838</v>
      </c>
      <c r="AN53" s="105">
        <v>3.3410758379102776</v>
      </c>
      <c r="AO53" s="105">
        <v>1311.0381587959928</v>
      </c>
      <c r="AP53" s="105">
        <v>4.2626258461223507</v>
      </c>
      <c r="AQ53" s="105">
        <v>1672.6543820184104</v>
      </c>
      <c r="AR53" s="105">
        <v>3.3499241652823204</v>
      </c>
      <c r="AS53" s="105">
        <v>1314.5102424567824</v>
      </c>
      <c r="AT53" s="105">
        <v>3.9365027429526931</v>
      </c>
      <c r="AU53" s="105">
        <v>1544.6836763346366</v>
      </c>
      <c r="AV53" s="105">
        <v>3.299854959397595</v>
      </c>
      <c r="AW53" s="105">
        <v>1294.8630860676162</v>
      </c>
      <c r="AX53" s="105">
        <v>3.118407448324759</v>
      </c>
      <c r="AY53" s="105">
        <v>1223.6630827226354</v>
      </c>
      <c r="AZ53" s="105">
        <v>3.5621929873798317</v>
      </c>
      <c r="BA53" s="105">
        <v>1397.8045282478458</v>
      </c>
      <c r="BB53" s="105">
        <v>3.2883342449430044</v>
      </c>
      <c r="BC53" s="105">
        <v>1290.3423577156348</v>
      </c>
      <c r="BD53" s="105">
        <v>2.1842180781805181</v>
      </c>
      <c r="BE53" s="105">
        <v>857.08717387803529</v>
      </c>
      <c r="BF53" s="105">
        <v>3.0442815870215361</v>
      </c>
      <c r="BG53" s="105">
        <v>1194.5760947472506</v>
      </c>
      <c r="BH53" s="105">
        <v>2.2996163971441321</v>
      </c>
      <c r="BI53" s="105">
        <v>902.36947423935737</v>
      </c>
      <c r="BJ53" s="105">
        <v>3.957259037304528</v>
      </c>
      <c r="BK53" s="105">
        <v>1552.8284462382967</v>
      </c>
      <c r="BL53" s="105">
        <v>2.151405779405513</v>
      </c>
      <c r="BM53" s="105">
        <v>844.2116278387233</v>
      </c>
      <c r="BN53" s="105">
        <v>3.1378691582874949</v>
      </c>
      <c r="BO53" s="105">
        <v>1231.2998577120129</v>
      </c>
      <c r="BP53" s="105">
        <v>4.0754839487117023</v>
      </c>
      <c r="BQ53" s="105">
        <v>1599.219901474472</v>
      </c>
      <c r="BR53" s="105">
        <v>3</v>
      </c>
      <c r="BS53" s="105">
        <v>1177.1999999999998</v>
      </c>
      <c r="BT53" s="105">
        <v>3.104279504224575</v>
      </c>
      <c r="BU53" s="105">
        <v>1218.1192774577232</v>
      </c>
      <c r="BV53" s="105">
        <v>3.230133148759609</v>
      </c>
      <c r="BW53" s="105">
        <v>1267.5042475732705</v>
      </c>
      <c r="BX53" s="105">
        <v>4.0680565225643397</v>
      </c>
      <c r="BY53" s="105">
        <v>1596.3053794542468</v>
      </c>
      <c r="BZ53" s="105">
        <v>3.6381168907727579</v>
      </c>
      <c r="CA53" s="105">
        <v>1427.5970679392301</v>
      </c>
      <c r="CB53" s="105">
        <v>3.8818393199361525</v>
      </c>
      <c r="CC53" s="105">
        <v>1523.2337491429462</v>
      </c>
      <c r="CD53" s="105">
        <v>4.4436814898104329</v>
      </c>
      <c r="CE53" s="105">
        <v>1743.7006166016138</v>
      </c>
      <c r="CF53" s="105">
        <v>3.2323206869559513</v>
      </c>
      <c r="CG53" s="105">
        <v>1268.3626375615152</v>
      </c>
      <c r="CH53" s="105">
        <v>4.2152654798174289</v>
      </c>
      <c r="CI53" s="105">
        <v>1654.070174280359</v>
      </c>
      <c r="CJ53" s="105">
        <v>4.2999859080745306</v>
      </c>
      <c r="CK53" s="105">
        <v>1687.3144703284456</v>
      </c>
      <c r="CL53" s="105">
        <v>2.2528116973911301</v>
      </c>
      <c r="CM53" s="105">
        <v>884.00331005627936</v>
      </c>
      <c r="CN53" s="105">
        <v>4.2736710008966456</v>
      </c>
      <c r="CO53" s="105">
        <v>1676.9885007518437</v>
      </c>
      <c r="CP53" s="105">
        <v>4.0755485614955784</v>
      </c>
      <c r="CQ53" s="105">
        <v>1599.2452555308648</v>
      </c>
      <c r="CR53" s="105">
        <v>3.2239348859230188</v>
      </c>
      <c r="CS53" s="105">
        <v>1265.0720492361925</v>
      </c>
      <c r="CT53" s="105">
        <v>4.7718172450704639</v>
      </c>
      <c r="CU53" s="105">
        <v>1872.4610869656499</v>
      </c>
    </row>
    <row r="54" spans="2:99" x14ac:dyDescent="0.2">
      <c r="C54" s="104" t="s">
        <v>220</v>
      </c>
      <c r="D54" s="105">
        <v>4</v>
      </c>
      <c r="E54" s="105">
        <v>1632</v>
      </c>
      <c r="F54" s="105">
        <v>2</v>
      </c>
      <c r="G54" s="105">
        <v>816</v>
      </c>
      <c r="H54" s="105">
        <v>3</v>
      </c>
      <c r="I54" s="105">
        <v>1224</v>
      </c>
      <c r="J54" s="105">
        <v>3</v>
      </c>
      <c r="K54" s="105">
        <v>1224</v>
      </c>
      <c r="L54" s="105">
        <v>3</v>
      </c>
      <c r="M54" s="105">
        <v>1224</v>
      </c>
      <c r="N54" s="105">
        <v>4</v>
      </c>
      <c r="O54" s="105">
        <v>1632</v>
      </c>
      <c r="P54" s="105">
        <v>3</v>
      </c>
      <c r="Q54" s="105">
        <v>1224</v>
      </c>
      <c r="R54" s="105">
        <v>4</v>
      </c>
      <c r="S54" s="105">
        <v>1632</v>
      </c>
      <c r="T54" s="105">
        <v>5</v>
      </c>
      <c r="U54" s="105">
        <v>2040</v>
      </c>
      <c r="V54" s="105">
        <v>3</v>
      </c>
      <c r="W54" s="105">
        <v>1224</v>
      </c>
      <c r="X54" s="105">
        <v>4</v>
      </c>
      <c r="Y54" s="105">
        <v>1632</v>
      </c>
      <c r="Z54" s="105">
        <v>3</v>
      </c>
      <c r="AA54" s="105">
        <v>1224</v>
      </c>
      <c r="AB54" s="105">
        <v>4</v>
      </c>
      <c r="AC54" s="105">
        <v>1632</v>
      </c>
      <c r="AD54" s="105">
        <v>4</v>
      </c>
      <c r="AE54" s="105">
        <v>1632</v>
      </c>
      <c r="AF54" s="105">
        <v>4</v>
      </c>
      <c r="AG54" s="105">
        <v>1632</v>
      </c>
      <c r="AH54" s="105">
        <v>3</v>
      </c>
      <c r="AI54" s="105">
        <v>1224</v>
      </c>
      <c r="AJ54" s="105">
        <v>5</v>
      </c>
      <c r="AK54" s="105">
        <v>2040</v>
      </c>
      <c r="AL54" s="105">
        <v>3</v>
      </c>
      <c r="AM54" s="105">
        <v>1224</v>
      </c>
      <c r="AN54" s="105">
        <v>2</v>
      </c>
      <c r="AO54" s="105">
        <v>816</v>
      </c>
      <c r="AP54" s="105">
        <v>4</v>
      </c>
      <c r="AQ54" s="105">
        <v>1632</v>
      </c>
      <c r="AR54" s="105">
        <v>3</v>
      </c>
      <c r="AS54" s="105">
        <v>1224</v>
      </c>
      <c r="AT54" s="105">
        <v>3</v>
      </c>
      <c r="AU54" s="105">
        <v>1224</v>
      </c>
      <c r="AV54" s="105">
        <v>5</v>
      </c>
      <c r="AW54" s="105">
        <v>2040</v>
      </c>
      <c r="AX54" s="105">
        <v>3</v>
      </c>
      <c r="AY54" s="105">
        <v>1224</v>
      </c>
      <c r="AZ54" s="105">
        <v>4</v>
      </c>
      <c r="BA54" s="105">
        <v>1632</v>
      </c>
      <c r="BB54" s="105">
        <v>3</v>
      </c>
      <c r="BC54" s="105">
        <v>1224</v>
      </c>
      <c r="BD54" s="105">
        <v>3</v>
      </c>
      <c r="BE54" s="105">
        <v>1224</v>
      </c>
      <c r="BF54" s="105">
        <v>3</v>
      </c>
      <c r="BG54" s="105">
        <v>1224</v>
      </c>
      <c r="BH54" s="105">
        <v>3</v>
      </c>
      <c r="BI54" s="105">
        <v>1224</v>
      </c>
      <c r="BJ54" s="105">
        <v>4</v>
      </c>
      <c r="BK54" s="105">
        <v>1632</v>
      </c>
      <c r="BL54" s="105">
        <v>2</v>
      </c>
      <c r="BM54" s="105">
        <v>816</v>
      </c>
      <c r="BN54" s="105">
        <v>3</v>
      </c>
      <c r="BO54" s="105">
        <v>1224</v>
      </c>
      <c r="BP54" s="105">
        <v>4</v>
      </c>
      <c r="BQ54" s="105">
        <v>1632</v>
      </c>
      <c r="BR54" s="105">
        <v>3</v>
      </c>
      <c r="BS54" s="105">
        <v>1224</v>
      </c>
      <c r="BT54" s="105">
        <v>2</v>
      </c>
      <c r="BU54" s="105">
        <v>816</v>
      </c>
      <c r="BV54" s="105">
        <v>3</v>
      </c>
      <c r="BW54" s="105">
        <v>1224</v>
      </c>
      <c r="BX54" s="105">
        <v>4</v>
      </c>
      <c r="BY54" s="105">
        <v>1632</v>
      </c>
      <c r="BZ54" s="105">
        <v>4</v>
      </c>
      <c r="CA54" s="105">
        <v>1632</v>
      </c>
      <c r="CB54" s="105">
        <v>4</v>
      </c>
      <c r="CC54" s="105">
        <v>1632</v>
      </c>
      <c r="CD54" s="105">
        <v>4</v>
      </c>
      <c r="CE54" s="105">
        <v>1632</v>
      </c>
      <c r="CF54" s="105">
        <v>3</v>
      </c>
      <c r="CG54" s="105">
        <v>1224</v>
      </c>
      <c r="CH54" s="105">
        <v>4</v>
      </c>
      <c r="CI54" s="105">
        <v>1632</v>
      </c>
      <c r="CJ54" s="105">
        <v>3</v>
      </c>
      <c r="CK54" s="105">
        <v>1224</v>
      </c>
      <c r="CL54" s="105">
        <v>2</v>
      </c>
      <c r="CM54" s="105">
        <v>816</v>
      </c>
      <c r="CN54" s="105">
        <v>4</v>
      </c>
      <c r="CO54" s="105">
        <v>1632</v>
      </c>
      <c r="CP54" s="105">
        <v>3</v>
      </c>
      <c r="CQ54" s="105">
        <v>1224</v>
      </c>
      <c r="CR54" s="105">
        <v>3</v>
      </c>
      <c r="CS54" s="105">
        <v>1224</v>
      </c>
      <c r="CT54" s="105">
        <v>4</v>
      </c>
      <c r="CU54" s="105">
        <v>1632</v>
      </c>
    </row>
    <row r="55" spans="2:99" x14ac:dyDescent="0.2">
      <c r="C55" s="104" t="s">
        <v>221</v>
      </c>
      <c r="D55" s="105">
        <v>0</v>
      </c>
      <c r="E55" s="105">
        <v>0</v>
      </c>
      <c r="F55" s="105">
        <v>0</v>
      </c>
      <c r="G55" s="105">
        <v>0</v>
      </c>
      <c r="H55" s="105">
        <v>0</v>
      </c>
      <c r="I55" s="105">
        <v>0</v>
      </c>
      <c r="J55" s="105">
        <v>0</v>
      </c>
      <c r="K55" s="105">
        <v>0</v>
      </c>
      <c r="L55" s="105">
        <v>0</v>
      </c>
      <c r="M55" s="105">
        <v>0</v>
      </c>
      <c r="N55" s="105">
        <v>4</v>
      </c>
      <c r="O55" s="105">
        <v>1017.5999999999998</v>
      </c>
      <c r="P55" s="105">
        <v>3.2982494718432123</v>
      </c>
      <c r="Q55" s="105">
        <v>839.07466563691298</v>
      </c>
      <c r="R55" s="105">
        <v>4.1269955788504511</v>
      </c>
      <c r="S55" s="105">
        <v>1049.9076752595545</v>
      </c>
      <c r="T55" s="105">
        <v>5.2982494718432118</v>
      </c>
      <c r="U55" s="105">
        <v>1347.8746656369128</v>
      </c>
      <c r="V55" s="105">
        <v>3.2054602247609587</v>
      </c>
      <c r="W55" s="105">
        <v>815.4690811791877</v>
      </c>
      <c r="X55" s="105">
        <v>5.1472017055646484</v>
      </c>
      <c r="Y55" s="105">
        <v>1309.4481138956462</v>
      </c>
      <c r="Z55" s="105">
        <v>3.2899625716778473</v>
      </c>
      <c r="AA55" s="105">
        <v>836.9664782348442</v>
      </c>
      <c r="AB55" s="105">
        <v>4.2976869922939391</v>
      </c>
      <c r="AC55" s="105">
        <v>1093.3315708395778</v>
      </c>
      <c r="AD55" s="105">
        <v>4.1362484820854526</v>
      </c>
      <c r="AE55" s="105">
        <v>1052.261613842539</v>
      </c>
      <c r="AF55" s="105">
        <v>3.6291695501320493</v>
      </c>
      <c r="AG55" s="105">
        <v>923.26073355359313</v>
      </c>
      <c r="AH55" s="105">
        <v>3.2483674132794138</v>
      </c>
      <c r="AI55" s="105">
        <v>826.38466993828274</v>
      </c>
      <c r="AJ55" s="105">
        <v>4.7122291954455795</v>
      </c>
      <c r="AK55" s="105">
        <v>1198.7911073213552</v>
      </c>
      <c r="AL55" s="105">
        <v>3.1607021501729964</v>
      </c>
      <c r="AM55" s="105">
        <v>804.08262700401008</v>
      </c>
      <c r="AN55" s="105">
        <v>2.2923507182088096</v>
      </c>
      <c r="AO55" s="105">
        <v>583.17402271232106</v>
      </c>
      <c r="AP55" s="105">
        <v>4.2188548717686256</v>
      </c>
      <c r="AQ55" s="105">
        <v>1073.2766793779381</v>
      </c>
      <c r="AR55" s="105">
        <v>4.34992416528232</v>
      </c>
      <c r="AS55" s="105">
        <v>1106.620707647822</v>
      </c>
      <c r="AT55" s="105">
        <v>3.9365027429526931</v>
      </c>
      <c r="AU55" s="105">
        <v>1001.4462978071649</v>
      </c>
      <c r="AV55" s="105">
        <v>4.0737009304688119</v>
      </c>
      <c r="AW55" s="105">
        <v>1036.3495167112656</v>
      </c>
      <c r="AX55" s="105">
        <v>3.118407448324759</v>
      </c>
      <c r="AY55" s="105">
        <v>793.32285485381851</v>
      </c>
      <c r="AZ55" s="105">
        <v>4.4527412342247903</v>
      </c>
      <c r="BA55" s="105">
        <v>1132.7773699867864</v>
      </c>
      <c r="BB55" s="105">
        <v>3.2883342449430044</v>
      </c>
      <c r="BC55" s="105">
        <v>836.55223191350012</v>
      </c>
      <c r="BD55" s="105">
        <v>2.2302725977256475</v>
      </c>
      <c r="BE55" s="105">
        <v>567.3813488614046</v>
      </c>
      <c r="BF55" s="105">
        <v>3.0332111902661523</v>
      </c>
      <c r="BG55" s="105">
        <v>771.64892680370895</v>
      </c>
      <c r="BH55" s="105">
        <v>3.2996163971441321</v>
      </c>
      <c r="BI55" s="105">
        <v>839.422411433467</v>
      </c>
      <c r="BJ55" s="105">
        <v>3.9378442594202445</v>
      </c>
      <c r="BK55" s="105">
        <v>1001.78757959651</v>
      </c>
      <c r="BL55" s="105">
        <v>2.151405779405513</v>
      </c>
      <c r="BM55" s="105">
        <v>547.31763028076239</v>
      </c>
      <c r="BN55" s="105">
        <v>3.1723364478593687</v>
      </c>
      <c r="BO55" s="105">
        <v>807.0423923354233</v>
      </c>
      <c r="BP55" s="105">
        <v>4.0754839487117023</v>
      </c>
      <c r="BQ55" s="105">
        <v>1036.8031165522568</v>
      </c>
      <c r="BR55" s="105">
        <v>4</v>
      </c>
      <c r="BS55" s="105">
        <v>1017.5999999999998</v>
      </c>
      <c r="BT55" s="105">
        <v>2.104279504224575</v>
      </c>
      <c r="BU55" s="105">
        <v>535.32870587473178</v>
      </c>
      <c r="BV55" s="105">
        <v>3.230133148759609</v>
      </c>
      <c r="BW55" s="105">
        <v>821.74587304444435</v>
      </c>
      <c r="BX55" s="105">
        <v>4.1144196760113241</v>
      </c>
      <c r="BY55" s="105">
        <v>1046.7083655772806</v>
      </c>
      <c r="BZ55" s="105">
        <v>3.6381168907727579</v>
      </c>
      <c r="CA55" s="105">
        <v>925.53693701258942</v>
      </c>
      <c r="CB55" s="105">
        <v>3.9226155374184191</v>
      </c>
      <c r="CC55" s="105">
        <v>997.91339271924562</v>
      </c>
      <c r="CD55" s="105">
        <v>4.4436814898104329</v>
      </c>
      <c r="CE55" s="105">
        <v>1130.4725710077739</v>
      </c>
      <c r="CF55" s="105">
        <v>3.278784824347142</v>
      </c>
      <c r="CG55" s="105">
        <v>834.12285931391273</v>
      </c>
      <c r="CH55" s="105">
        <v>4.2152654798174289</v>
      </c>
      <c r="CI55" s="105">
        <v>1072.3635380655537</v>
      </c>
      <c r="CJ55" s="105">
        <v>3.2999859080745306</v>
      </c>
      <c r="CK55" s="105">
        <v>839.51641501416043</v>
      </c>
      <c r="CL55" s="105">
        <v>2.2528116973911301</v>
      </c>
      <c r="CM55" s="105">
        <v>573.11529581630339</v>
      </c>
      <c r="CN55" s="105">
        <v>4.2280591674138712</v>
      </c>
      <c r="CO55" s="105">
        <v>1075.6182521900887</v>
      </c>
      <c r="CP55" s="105">
        <v>4.0755485614955784</v>
      </c>
      <c r="CQ55" s="105">
        <v>1036.8195540444749</v>
      </c>
      <c r="CR55" s="105">
        <v>4.2687218631076229</v>
      </c>
      <c r="CS55" s="105">
        <v>1085.9628419745791</v>
      </c>
      <c r="CT55" s="105">
        <v>3.8571268201641624</v>
      </c>
      <c r="CU55" s="105">
        <v>981.25306304976277</v>
      </c>
    </row>
    <row r="56" spans="2:99" x14ac:dyDescent="0.2">
      <c r="C56" s="104" t="s">
        <v>222</v>
      </c>
      <c r="D56" s="105">
        <v>2.7955073674008064</v>
      </c>
      <c r="E56" s="105">
        <v>2120.1127874367717</v>
      </c>
      <c r="F56" s="105">
        <v>1.8351869599589063</v>
      </c>
      <c r="G56" s="105">
        <v>1391.8057904328346</v>
      </c>
      <c r="H56" s="105">
        <v>2.9025098881095941</v>
      </c>
      <c r="I56" s="105">
        <v>2201.263499142316</v>
      </c>
      <c r="J56" s="105">
        <v>2.3214605451396344</v>
      </c>
      <c r="K56" s="105">
        <v>1760.5956774338986</v>
      </c>
      <c r="L56" s="105">
        <v>2.2491111596679776</v>
      </c>
      <c r="M56" s="105">
        <v>1705.7259034921942</v>
      </c>
      <c r="N56" s="105">
        <v>2.8102819996582444</v>
      </c>
      <c r="O56" s="105">
        <v>2131.3178685408125</v>
      </c>
      <c r="P56" s="105">
        <v>2.1829327563703633</v>
      </c>
      <c r="Q56" s="105">
        <v>1655.5362024312835</v>
      </c>
      <c r="R56" s="105">
        <v>2.4430423185672057</v>
      </c>
      <c r="S56" s="105">
        <v>1852.8032944013687</v>
      </c>
      <c r="T56" s="105">
        <v>2.5767996702205536</v>
      </c>
      <c r="U56" s="105">
        <v>1954.2448698952678</v>
      </c>
      <c r="V56" s="105">
        <v>2.2172890060954971</v>
      </c>
      <c r="W56" s="105">
        <v>1681.591982222825</v>
      </c>
      <c r="X56" s="105">
        <v>3.1006653144249907</v>
      </c>
      <c r="Y56" s="105">
        <v>2351.5445744599128</v>
      </c>
      <c r="Z56" s="105">
        <v>1.7593406171588628</v>
      </c>
      <c r="AA56" s="105">
        <v>1334.2839240532815</v>
      </c>
      <c r="AB56" s="105">
        <v>3.2447345442745732</v>
      </c>
      <c r="AC56" s="105">
        <v>2460.8066783778363</v>
      </c>
      <c r="AD56" s="105">
        <v>2.5849876020640203</v>
      </c>
      <c r="AE56" s="105">
        <v>1960.4545974053531</v>
      </c>
      <c r="AF56" s="105">
        <v>2.9550395587842453</v>
      </c>
      <c r="AG56" s="105">
        <v>2241.1020013819716</v>
      </c>
      <c r="AH56" s="105">
        <v>2.0743799433040171</v>
      </c>
      <c r="AI56" s="105">
        <v>1573.2097490017666</v>
      </c>
      <c r="AJ56" s="105">
        <v>2.9922595973120618</v>
      </c>
      <c r="AK56" s="105">
        <v>2269.3296786014675</v>
      </c>
      <c r="AL56" s="105">
        <v>2.3716548270455351</v>
      </c>
      <c r="AM56" s="105">
        <v>1798.6630208313338</v>
      </c>
      <c r="AN56" s="105">
        <v>1.7392135398333923</v>
      </c>
      <c r="AO56" s="105">
        <v>1319.0195486096447</v>
      </c>
      <c r="AP56" s="105">
        <v>2.8843837260316172</v>
      </c>
      <c r="AQ56" s="105">
        <v>2187.5166178223785</v>
      </c>
      <c r="AR56" s="105">
        <v>3</v>
      </c>
      <c r="AS56" s="105">
        <v>2275.1999999999998</v>
      </c>
      <c r="AT56" s="105">
        <v>3.290538785517485</v>
      </c>
      <c r="AU56" s="105">
        <v>2495.5446149364607</v>
      </c>
      <c r="AV56" s="105">
        <v>2.9150514920737671</v>
      </c>
      <c r="AW56" s="105">
        <v>2210.7750515887451</v>
      </c>
      <c r="AX56" s="105">
        <v>2.4505148813795157</v>
      </c>
      <c r="AY56" s="105">
        <v>1858.4704860382246</v>
      </c>
      <c r="AZ56" s="105">
        <v>3.0598929260408623</v>
      </c>
      <c r="BA56" s="105">
        <v>2320.6227951093897</v>
      </c>
      <c r="BB56" s="105">
        <v>2.6238051403605591</v>
      </c>
      <c r="BC56" s="105">
        <v>1989.893818449448</v>
      </c>
      <c r="BD56" s="105">
        <v>1.5802305369292626</v>
      </c>
      <c r="BE56" s="105">
        <v>1198.4468392071528</v>
      </c>
      <c r="BF56" s="105">
        <v>2.149245294615425</v>
      </c>
      <c r="BG56" s="105">
        <v>1629.9876314363382</v>
      </c>
      <c r="BH56" s="105">
        <v>1.9963612556200603</v>
      </c>
      <c r="BI56" s="105">
        <v>1514.0403762622536</v>
      </c>
      <c r="BJ56" s="105">
        <v>4.0330497685826776</v>
      </c>
      <c r="BK56" s="105">
        <v>3058.6649444931027</v>
      </c>
      <c r="BL56" s="105">
        <v>1.4908032744686612</v>
      </c>
      <c r="BM56" s="105">
        <v>1130.6252033570327</v>
      </c>
      <c r="BN56" s="105">
        <v>1.8837067728847281</v>
      </c>
      <c r="BO56" s="105">
        <v>1428.6032165557776</v>
      </c>
      <c r="BP56" s="105">
        <v>2.8798934965205305</v>
      </c>
      <c r="BQ56" s="105">
        <v>2184.1112277611701</v>
      </c>
      <c r="BR56" s="105">
        <v>2.5447901825362207</v>
      </c>
      <c r="BS56" s="105">
        <v>1929.9688744354696</v>
      </c>
      <c r="BT56" s="105">
        <v>1.4872569868075494</v>
      </c>
      <c r="BU56" s="105">
        <v>1127.9356987948454</v>
      </c>
      <c r="BV56" s="105">
        <v>2.317163653569879</v>
      </c>
      <c r="BW56" s="105">
        <v>1757.3369148673962</v>
      </c>
      <c r="BX56" s="105">
        <v>2.956901236809574</v>
      </c>
      <c r="BY56" s="105">
        <v>2242.5138979963808</v>
      </c>
      <c r="BZ56" s="105">
        <v>3.3031043000533362</v>
      </c>
      <c r="CA56" s="105">
        <v>2505.07430116045</v>
      </c>
      <c r="CB56" s="105">
        <v>3.3289491782411842</v>
      </c>
      <c r="CC56" s="105">
        <v>2524.6750567781141</v>
      </c>
      <c r="CD56" s="105">
        <v>3.1031521129860717</v>
      </c>
      <c r="CE56" s="105">
        <v>2353.430562488637</v>
      </c>
      <c r="CF56" s="105">
        <v>2.4236072706549581</v>
      </c>
      <c r="CG56" s="105">
        <v>1838.0637540647201</v>
      </c>
      <c r="CH56" s="105">
        <v>2.5687040260797995</v>
      </c>
      <c r="CI56" s="105">
        <v>1948.1051333789198</v>
      </c>
      <c r="CJ56" s="105">
        <v>2.5164262288153121</v>
      </c>
      <c r="CK56" s="105">
        <v>1908.4576519335326</v>
      </c>
      <c r="CL56" s="105">
        <v>1.5853945260947786</v>
      </c>
      <c r="CM56" s="105">
        <v>1202.36320859028</v>
      </c>
      <c r="CN56" s="105">
        <v>2.5229489732816499</v>
      </c>
      <c r="CO56" s="105">
        <v>1913.4045013368032</v>
      </c>
      <c r="CP56" s="105">
        <v>2.3259010801517679</v>
      </c>
      <c r="CQ56" s="105">
        <v>1763.9633791871006</v>
      </c>
      <c r="CR56" s="105">
        <v>2.2288681172806584</v>
      </c>
      <c r="CS56" s="105">
        <v>1690.3735801456512</v>
      </c>
      <c r="CT56" s="105">
        <v>2.4200143106783072</v>
      </c>
      <c r="CU56" s="105">
        <v>1835.3388532184281</v>
      </c>
    </row>
    <row r="57" spans="2:99" x14ac:dyDescent="0.2">
      <c r="C57" s="104" t="s">
        <v>223</v>
      </c>
      <c r="D57" s="105">
        <v>0</v>
      </c>
      <c r="E57" s="105">
        <v>0</v>
      </c>
      <c r="F57" s="105">
        <v>0</v>
      </c>
      <c r="G57" s="105">
        <v>0</v>
      </c>
      <c r="H57" s="105">
        <v>0</v>
      </c>
      <c r="I57" s="105">
        <v>0</v>
      </c>
      <c r="J57" s="105">
        <v>0</v>
      </c>
      <c r="K57" s="105">
        <v>0</v>
      </c>
      <c r="L57" s="105">
        <v>0</v>
      </c>
      <c r="M57" s="105">
        <v>0</v>
      </c>
      <c r="N57" s="105">
        <v>5</v>
      </c>
      <c r="O57" s="105">
        <v>3498</v>
      </c>
      <c r="P57" s="105">
        <v>3.3479577171504142</v>
      </c>
      <c r="Q57" s="105">
        <v>2342.2312189184299</v>
      </c>
      <c r="R57" s="105">
        <v>4.1269955788504511</v>
      </c>
      <c r="S57" s="105">
        <v>2887.2461069637757</v>
      </c>
      <c r="T57" s="105">
        <v>5.3479577171504147</v>
      </c>
      <c r="U57" s="105">
        <v>3741.4312189184302</v>
      </c>
      <c r="V57" s="105">
        <v>2.1643681798087671</v>
      </c>
      <c r="W57" s="105">
        <v>1514.1919785942134</v>
      </c>
      <c r="X57" s="105">
        <v>4.1472017055646484</v>
      </c>
      <c r="Y57" s="105">
        <v>2901.3823132130283</v>
      </c>
      <c r="Z57" s="105">
        <v>2.2899625716778473</v>
      </c>
      <c r="AA57" s="105">
        <v>1602.0578151458221</v>
      </c>
      <c r="AB57" s="105">
        <v>5.2976869922939391</v>
      </c>
      <c r="AC57" s="105">
        <v>3706.2618198088398</v>
      </c>
      <c r="AD57" s="105">
        <v>3.3393159881222432</v>
      </c>
      <c r="AE57" s="105">
        <v>2336.1854652903212</v>
      </c>
      <c r="AF57" s="105">
        <v>3.6291695501320493</v>
      </c>
      <c r="AG57" s="105">
        <v>2538.9670172723818</v>
      </c>
      <c r="AH57" s="105">
        <v>3.2069728443995116</v>
      </c>
      <c r="AI57" s="105">
        <v>2243.5982019418984</v>
      </c>
      <c r="AJ57" s="105">
        <v>3.807572231787149</v>
      </c>
      <c r="AK57" s="105">
        <v>2663.7775333582895</v>
      </c>
      <c r="AL57" s="105">
        <v>3.1607021501729964</v>
      </c>
      <c r="AM57" s="105">
        <v>2211.2272242610284</v>
      </c>
      <c r="AN57" s="105">
        <v>2.3410758379102776</v>
      </c>
      <c r="AO57" s="105">
        <v>1637.8166562020303</v>
      </c>
      <c r="AP57" s="105">
        <v>4.2188548717686256</v>
      </c>
      <c r="AQ57" s="105">
        <v>2951.5108682893306</v>
      </c>
      <c r="AR57" s="105">
        <v>3.2999349988134172</v>
      </c>
      <c r="AS57" s="105">
        <v>2308.6345251698667</v>
      </c>
      <c r="AT57" s="105">
        <v>3.9365027429526931</v>
      </c>
      <c r="AU57" s="105">
        <v>2753.9773189697044</v>
      </c>
      <c r="AV57" s="105">
        <v>3.2657764468788075</v>
      </c>
      <c r="AW57" s="105">
        <v>2284.7372022364139</v>
      </c>
      <c r="AX57" s="105">
        <v>3.118407448324759</v>
      </c>
      <c r="AY57" s="105">
        <v>2181.6378508480016</v>
      </c>
      <c r="AZ57" s="105">
        <v>3.5621929873798317</v>
      </c>
      <c r="BA57" s="105">
        <v>2492.1102139709305</v>
      </c>
      <c r="BB57" s="105">
        <v>3.2883342449430044</v>
      </c>
      <c r="BC57" s="105">
        <v>2300.5186377621258</v>
      </c>
      <c r="BD57" s="105">
        <v>3.2302725977256475</v>
      </c>
      <c r="BE57" s="105">
        <v>2259.8987093688629</v>
      </c>
      <c r="BF57" s="105">
        <v>3.0332111902661523</v>
      </c>
      <c r="BG57" s="105">
        <v>2122.0345487102004</v>
      </c>
      <c r="BH57" s="105">
        <v>3.2996163971441321</v>
      </c>
      <c r="BI57" s="105">
        <v>2308.4116314420348</v>
      </c>
      <c r="BJ57" s="105">
        <v>3.957259037304528</v>
      </c>
      <c r="BK57" s="105">
        <v>2768.4984224982477</v>
      </c>
      <c r="BL57" s="105">
        <v>2.151405779405513</v>
      </c>
      <c r="BM57" s="105">
        <v>1505.123483272097</v>
      </c>
      <c r="BN57" s="105">
        <v>3.1378691582874949</v>
      </c>
      <c r="BO57" s="105">
        <v>2195.2532631379313</v>
      </c>
      <c r="BP57" s="105">
        <v>4.0754839487117023</v>
      </c>
      <c r="BQ57" s="105">
        <v>2851.2085705187069</v>
      </c>
      <c r="BR57" s="105">
        <v>4</v>
      </c>
      <c r="BS57" s="105">
        <v>2798.4</v>
      </c>
      <c r="BT57" s="105">
        <v>3.104279504224575</v>
      </c>
      <c r="BU57" s="105">
        <v>2171.7539411555126</v>
      </c>
      <c r="BV57" s="105">
        <v>3.230133148759609</v>
      </c>
      <c r="BW57" s="105">
        <v>2259.8011508722225</v>
      </c>
      <c r="BX57" s="105">
        <v>4.0680565225643397</v>
      </c>
      <c r="BY57" s="105">
        <v>2846.012343186012</v>
      </c>
      <c r="BZ57" s="105">
        <v>2.8006957072740217</v>
      </c>
      <c r="CA57" s="105">
        <v>1959.3667168089057</v>
      </c>
      <c r="CB57" s="105">
        <v>3.9226155374184191</v>
      </c>
      <c r="CC57" s="105">
        <v>2744.261829977926</v>
      </c>
      <c r="CD57" s="105">
        <v>4.4064869003582228</v>
      </c>
      <c r="CE57" s="105">
        <v>3082.7782354906126</v>
      </c>
      <c r="CF57" s="105">
        <v>3.278784824347142</v>
      </c>
      <c r="CG57" s="105">
        <v>2293.8378631132605</v>
      </c>
      <c r="CH57" s="105">
        <v>4.1709868356531077</v>
      </c>
      <c r="CI57" s="105">
        <v>2918.0223902229141</v>
      </c>
      <c r="CJ57" s="105">
        <v>4.2999859080745306</v>
      </c>
      <c r="CK57" s="105">
        <v>3008.2701412889419</v>
      </c>
      <c r="CL57" s="105">
        <v>2.2106764144926085</v>
      </c>
      <c r="CM57" s="105">
        <v>1546.5892195790291</v>
      </c>
      <c r="CN57" s="105">
        <v>4.2280591674138712</v>
      </c>
      <c r="CO57" s="105">
        <v>2957.9501935227445</v>
      </c>
      <c r="CP57" s="105">
        <v>3.0755485614955789</v>
      </c>
      <c r="CQ57" s="105">
        <v>2151.6537736223072</v>
      </c>
      <c r="CR57" s="105">
        <v>3.2239348859230188</v>
      </c>
      <c r="CS57" s="105">
        <v>2255.4648461917441</v>
      </c>
      <c r="CT57" s="105">
        <v>3.8571268201641624</v>
      </c>
      <c r="CU57" s="105">
        <v>2698.4459233868483</v>
      </c>
    </row>
    <row r="58" spans="2:99" x14ac:dyDescent="0.2">
      <c r="C58" s="104" t="s">
        <v>224</v>
      </c>
      <c r="D58" s="105">
        <v>2.7955073674008064</v>
      </c>
      <c r="E58" s="105">
        <v>2113.4035697550098</v>
      </c>
      <c r="F58" s="105">
        <v>1.8351869599589063</v>
      </c>
      <c r="G58" s="105">
        <v>1387.4013417289332</v>
      </c>
      <c r="H58" s="105">
        <v>2.9025098881095941</v>
      </c>
      <c r="I58" s="105">
        <v>2194.2974754108532</v>
      </c>
      <c r="J58" s="105">
        <v>2.3214605451396344</v>
      </c>
      <c r="K58" s="105">
        <v>1755.0241721255636</v>
      </c>
      <c r="L58" s="105">
        <v>2.2491111596679776</v>
      </c>
      <c r="M58" s="105">
        <v>1700.328036708991</v>
      </c>
      <c r="N58" s="105">
        <v>2.8102819996582444</v>
      </c>
      <c r="O58" s="105">
        <v>2124.5731917416329</v>
      </c>
      <c r="P58" s="105">
        <v>2.1829327563703633</v>
      </c>
      <c r="Q58" s="105">
        <v>1650.2971638159947</v>
      </c>
      <c r="R58" s="105">
        <v>2.4430423185672057</v>
      </c>
      <c r="S58" s="105">
        <v>1846.9399928368075</v>
      </c>
      <c r="T58" s="105">
        <v>3.1445855930961177</v>
      </c>
      <c r="U58" s="105">
        <v>2377.306708380665</v>
      </c>
      <c r="V58" s="105">
        <v>2.2401498806771363</v>
      </c>
      <c r="W58" s="105">
        <v>1693.5533097919151</v>
      </c>
      <c r="X58" s="105">
        <v>3.1006653144249907</v>
      </c>
      <c r="Y58" s="105">
        <v>2344.1029777052931</v>
      </c>
      <c r="Z58" s="105">
        <v>1.7346550270146606</v>
      </c>
      <c r="AA58" s="105">
        <v>1311.3992004230834</v>
      </c>
      <c r="AB58" s="105">
        <v>2.6030616862087355</v>
      </c>
      <c r="AC58" s="105">
        <v>1967.914634773804</v>
      </c>
      <c r="AD58" s="105">
        <v>2.5849876020640203</v>
      </c>
      <c r="AE58" s="105">
        <v>1954.2506271603993</v>
      </c>
      <c r="AF58" s="105">
        <v>3.8461462759003582</v>
      </c>
      <c r="AG58" s="105">
        <v>2907.6865845806706</v>
      </c>
      <c r="AH58" s="105">
        <v>2.0743799433040171</v>
      </c>
      <c r="AI58" s="105">
        <v>1568.2312371378368</v>
      </c>
      <c r="AJ58" s="105">
        <v>2.9852915692394948</v>
      </c>
      <c r="AK58" s="105">
        <v>2256.8804263450579</v>
      </c>
      <c r="AL58" s="105">
        <v>3.1622064360607132</v>
      </c>
      <c r="AM58" s="105">
        <v>2390.6280656618992</v>
      </c>
      <c r="AN58" s="105">
        <v>2.6088203097500884</v>
      </c>
      <c r="AO58" s="105">
        <v>1972.2681541710667</v>
      </c>
      <c r="AP58" s="105">
        <v>2.8843837260316172</v>
      </c>
      <c r="AQ58" s="105">
        <v>2180.5940968799027</v>
      </c>
      <c r="AR58" s="105">
        <v>3</v>
      </c>
      <c r="AS58" s="105">
        <v>2268</v>
      </c>
      <c r="AT58" s="105">
        <v>3.290538785517485</v>
      </c>
      <c r="AU58" s="105">
        <v>2487.6473218512187</v>
      </c>
      <c r="AV58" s="105">
        <v>2.9150514920737671</v>
      </c>
      <c r="AW58" s="105">
        <v>2203.7789280077682</v>
      </c>
      <c r="AX58" s="105">
        <v>2.4505148813795157</v>
      </c>
      <c r="AY58" s="105">
        <v>1852.5892503229138</v>
      </c>
      <c r="AZ58" s="105">
        <v>3.0598929260408623</v>
      </c>
      <c r="BA58" s="105">
        <v>2313.2790520868921</v>
      </c>
      <c r="BB58" s="105">
        <v>2.0072591444765848</v>
      </c>
      <c r="BC58" s="105">
        <v>1517.4879132242982</v>
      </c>
      <c r="BD58" s="105">
        <v>2.2867831783734114</v>
      </c>
      <c r="BE58" s="105">
        <v>1728.8080828502991</v>
      </c>
      <c r="BF58" s="105">
        <v>2.1623848918409987</v>
      </c>
      <c r="BG58" s="105">
        <v>1634.7629782317949</v>
      </c>
      <c r="BH58" s="105">
        <v>1.9595253454991424</v>
      </c>
      <c r="BI58" s="105">
        <v>1481.4011611973517</v>
      </c>
      <c r="BJ58" s="105">
        <v>3.9918235009941365</v>
      </c>
      <c r="BK58" s="105">
        <v>3017.8185667515672</v>
      </c>
      <c r="BL58" s="105">
        <v>1.4603929160427782</v>
      </c>
      <c r="BM58" s="105">
        <v>1104.0570445283404</v>
      </c>
      <c r="BN58" s="105">
        <v>1.8837067728847281</v>
      </c>
      <c r="BO58" s="105">
        <v>1424.0823203008545</v>
      </c>
      <c r="BP58" s="105">
        <v>2.9054914375784264</v>
      </c>
      <c r="BQ58" s="105">
        <v>2196.5515268092904</v>
      </c>
      <c r="BR58" s="105">
        <v>1.9158247757484019</v>
      </c>
      <c r="BS58" s="105">
        <v>1448.3635304657919</v>
      </c>
      <c r="BT58" s="105">
        <v>1.4872569868075494</v>
      </c>
      <c r="BU58" s="105">
        <v>1124.3662820265074</v>
      </c>
      <c r="BV58" s="105">
        <v>2.317163653569879</v>
      </c>
      <c r="BW58" s="105">
        <v>1751.7757220988285</v>
      </c>
      <c r="BX58" s="105">
        <v>2.9712557218373812</v>
      </c>
      <c r="BY58" s="105">
        <v>2246.26932570906</v>
      </c>
      <c r="BZ58" s="105">
        <v>2.516834647537284</v>
      </c>
      <c r="CA58" s="105">
        <v>1902.7269935381867</v>
      </c>
      <c r="CB58" s="105">
        <v>3.3630013808800854</v>
      </c>
      <c r="CC58" s="105">
        <v>2542.4290439453443</v>
      </c>
      <c r="CD58" s="105">
        <v>2.5123778302358564</v>
      </c>
      <c r="CE58" s="105">
        <v>1899.3576396583073</v>
      </c>
      <c r="CF58" s="105">
        <v>2.4557632310312041</v>
      </c>
      <c r="CG58" s="105">
        <v>1856.5570026595904</v>
      </c>
      <c r="CH58" s="105">
        <v>2.5948108315866754</v>
      </c>
      <c r="CI58" s="105">
        <v>1961.6769886795266</v>
      </c>
      <c r="CJ58" s="105">
        <v>1.9261121720013907</v>
      </c>
      <c r="CK58" s="105">
        <v>1456.1408020330514</v>
      </c>
      <c r="CL58" s="105">
        <v>1.5853945260947786</v>
      </c>
      <c r="CM58" s="105">
        <v>1198.5582617276527</v>
      </c>
      <c r="CN58" s="105">
        <v>1.9572186902025752</v>
      </c>
      <c r="CO58" s="105">
        <v>1479.6573297931468</v>
      </c>
      <c r="CP58" s="105">
        <v>3.1012014402023578</v>
      </c>
      <c r="CQ58" s="105">
        <v>2344.5082887929825</v>
      </c>
      <c r="CR58" s="105">
        <v>2.9501572847367532</v>
      </c>
      <c r="CS58" s="105">
        <v>2230.3189072609853</v>
      </c>
      <c r="CT58" s="105">
        <v>2.4008404526792946</v>
      </c>
      <c r="CU58" s="105">
        <v>1815.0353822255468</v>
      </c>
    </row>
    <row r="59" spans="2:99" x14ac:dyDescent="0.2">
      <c r="C59" s="104" t="s">
        <v>225</v>
      </c>
      <c r="D59" s="105">
        <v>4</v>
      </c>
      <c r="E59" s="105">
        <v>1756.8</v>
      </c>
      <c r="F59" s="105">
        <v>2</v>
      </c>
      <c r="G59" s="105">
        <v>878.4</v>
      </c>
      <c r="H59" s="105">
        <v>2</v>
      </c>
      <c r="I59" s="105">
        <v>878.4</v>
      </c>
      <c r="J59" s="105">
        <v>3</v>
      </c>
      <c r="K59" s="105">
        <v>1317.6</v>
      </c>
      <c r="L59" s="105">
        <v>3</v>
      </c>
      <c r="M59" s="105">
        <v>1317.6</v>
      </c>
      <c r="N59" s="105">
        <v>5</v>
      </c>
      <c r="O59" s="105">
        <v>2196</v>
      </c>
      <c r="P59" s="105">
        <v>3</v>
      </c>
      <c r="Q59" s="105">
        <v>1317.6</v>
      </c>
      <c r="R59" s="105">
        <v>4</v>
      </c>
      <c r="S59" s="105">
        <v>1756.8</v>
      </c>
      <c r="T59" s="105">
        <v>5</v>
      </c>
      <c r="U59" s="105">
        <v>2196</v>
      </c>
      <c r="V59" s="105">
        <v>3</v>
      </c>
      <c r="W59" s="105">
        <v>1317.6</v>
      </c>
      <c r="X59" s="105">
        <v>4</v>
      </c>
      <c r="Y59" s="105">
        <v>1756.8</v>
      </c>
      <c r="Z59" s="105">
        <v>3</v>
      </c>
      <c r="AA59" s="105">
        <v>1317.6</v>
      </c>
      <c r="AB59" s="105">
        <v>4</v>
      </c>
      <c r="AC59" s="105">
        <v>1756.8</v>
      </c>
      <c r="AD59" s="105">
        <v>5</v>
      </c>
      <c r="AE59" s="105">
        <v>2196</v>
      </c>
      <c r="AF59" s="105">
        <v>4</v>
      </c>
      <c r="AG59" s="105">
        <v>1756.8</v>
      </c>
      <c r="AH59" s="105">
        <v>3</v>
      </c>
      <c r="AI59" s="105">
        <v>1317.6</v>
      </c>
      <c r="AJ59" s="105">
        <v>4</v>
      </c>
      <c r="AK59" s="105">
        <v>1756.8</v>
      </c>
      <c r="AL59" s="105">
        <v>4</v>
      </c>
      <c r="AM59" s="105">
        <v>1756.8</v>
      </c>
      <c r="AN59" s="105">
        <v>2</v>
      </c>
      <c r="AO59" s="105">
        <v>878.4</v>
      </c>
      <c r="AP59" s="105">
        <v>4</v>
      </c>
      <c r="AQ59" s="105">
        <v>1756.8</v>
      </c>
      <c r="AR59" s="105">
        <v>4</v>
      </c>
      <c r="AS59" s="105">
        <v>1756.8</v>
      </c>
      <c r="AT59" s="105">
        <v>3</v>
      </c>
      <c r="AU59" s="105">
        <v>1317.6</v>
      </c>
      <c r="AV59" s="105">
        <v>4</v>
      </c>
      <c r="AW59" s="105">
        <v>1756.8</v>
      </c>
      <c r="AX59" s="105">
        <v>3</v>
      </c>
      <c r="AY59" s="105">
        <v>1317.6</v>
      </c>
      <c r="AZ59" s="105">
        <v>4</v>
      </c>
      <c r="BA59" s="105">
        <v>1756.8</v>
      </c>
      <c r="BB59" s="105">
        <v>4</v>
      </c>
      <c r="BC59" s="105">
        <v>1756.8</v>
      </c>
      <c r="BD59" s="105">
        <v>3</v>
      </c>
      <c r="BE59" s="105">
        <v>1317.6</v>
      </c>
      <c r="BF59" s="105">
        <v>3</v>
      </c>
      <c r="BG59" s="105">
        <v>1317.6</v>
      </c>
      <c r="BH59" s="105">
        <v>3</v>
      </c>
      <c r="BI59" s="105">
        <v>1317.6</v>
      </c>
      <c r="BJ59" s="105">
        <v>4</v>
      </c>
      <c r="BK59" s="105">
        <v>1756.8</v>
      </c>
      <c r="BL59" s="105">
        <v>2</v>
      </c>
      <c r="BM59" s="105">
        <v>878.4</v>
      </c>
      <c r="BN59" s="105">
        <v>3</v>
      </c>
      <c r="BO59" s="105">
        <v>1317.6</v>
      </c>
      <c r="BP59" s="105">
        <v>4</v>
      </c>
      <c r="BQ59" s="105">
        <v>1756.8</v>
      </c>
      <c r="BR59" s="105">
        <v>4</v>
      </c>
      <c r="BS59" s="105">
        <v>1756.8</v>
      </c>
      <c r="BT59" s="105">
        <v>3</v>
      </c>
      <c r="BU59" s="105">
        <v>1317.6</v>
      </c>
      <c r="BV59" s="105">
        <v>3</v>
      </c>
      <c r="BW59" s="105">
        <v>1317.6</v>
      </c>
      <c r="BX59" s="105">
        <v>4</v>
      </c>
      <c r="BY59" s="105">
        <v>1756.8</v>
      </c>
      <c r="BZ59" s="105">
        <v>4</v>
      </c>
      <c r="CA59" s="105">
        <v>1756.8</v>
      </c>
      <c r="CB59" s="105">
        <v>4</v>
      </c>
      <c r="CC59" s="105">
        <v>1756.8</v>
      </c>
      <c r="CD59" s="105">
        <v>4</v>
      </c>
      <c r="CE59" s="105">
        <v>1756.8</v>
      </c>
      <c r="CF59" s="105">
        <v>3</v>
      </c>
      <c r="CG59" s="105">
        <v>1317.6</v>
      </c>
      <c r="CH59" s="105">
        <v>4</v>
      </c>
      <c r="CI59" s="105">
        <v>1756.8</v>
      </c>
      <c r="CJ59" s="105">
        <v>3</v>
      </c>
      <c r="CK59" s="105">
        <v>1317.6</v>
      </c>
      <c r="CL59" s="105">
        <v>2</v>
      </c>
      <c r="CM59" s="105">
        <v>878.4</v>
      </c>
      <c r="CN59" s="105">
        <v>4</v>
      </c>
      <c r="CO59" s="105">
        <v>1756.8</v>
      </c>
      <c r="CP59" s="105">
        <v>3</v>
      </c>
      <c r="CQ59" s="105">
        <v>1317.6</v>
      </c>
      <c r="CR59" s="105">
        <v>3</v>
      </c>
      <c r="CS59" s="105">
        <v>1317.6</v>
      </c>
      <c r="CT59" s="105">
        <v>4</v>
      </c>
      <c r="CU59" s="105">
        <v>1756.8</v>
      </c>
    </row>
    <row r="60" spans="2:99" x14ac:dyDescent="0.2">
      <c r="C60" s="104" t="s">
        <v>226</v>
      </c>
      <c r="D60" s="105">
        <v>0</v>
      </c>
      <c r="E60" s="105">
        <v>0</v>
      </c>
      <c r="F60" s="105">
        <v>0</v>
      </c>
      <c r="G60" s="105">
        <v>0</v>
      </c>
      <c r="H60" s="105">
        <v>0</v>
      </c>
      <c r="I60" s="105">
        <v>0</v>
      </c>
      <c r="J60" s="105">
        <v>0</v>
      </c>
      <c r="K60" s="105">
        <v>0</v>
      </c>
      <c r="L60" s="105">
        <v>0</v>
      </c>
      <c r="M60" s="105">
        <v>0</v>
      </c>
      <c r="N60" s="105">
        <v>5</v>
      </c>
      <c r="O60" s="105">
        <v>1050</v>
      </c>
      <c r="P60" s="105">
        <v>3.2982494718432123</v>
      </c>
      <c r="Q60" s="105">
        <v>692.63238908707456</v>
      </c>
      <c r="R60" s="105">
        <v>5.1693274384672678</v>
      </c>
      <c r="S60" s="105">
        <v>1085.5587620781262</v>
      </c>
      <c r="T60" s="105">
        <v>5.2982494718432118</v>
      </c>
      <c r="U60" s="105">
        <v>1112.6323890870744</v>
      </c>
      <c r="V60" s="105">
        <v>3.2054602247609587</v>
      </c>
      <c r="W60" s="105">
        <v>673.14664719980135</v>
      </c>
      <c r="X60" s="105">
        <v>4.1472017055646484</v>
      </c>
      <c r="Y60" s="105">
        <v>870.91235816857613</v>
      </c>
      <c r="Z60" s="105">
        <v>3.2899625716778473</v>
      </c>
      <c r="AA60" s="105">
        <v>690.89214005234794</v>
      </c>
      <c r="AB60" s="105">
        <v>5.3473014910095964</v>
      </c>
      <c r="AC60" s="105">
        <v>1122.9333131120152</v>
      </c>
      <c r="AD60" s="105">
        <v>3.3203677365885671</v>
      </c>
      <c r="AE60" s="105">
        <v>697.27722468359912</v>
      </c>
      <c r="AF60" s="105">
        <v>3.6291695501320493</v>
      </c>
      <c r="AG60" s="105">
        <v>762.12560552773039</v>
      </c>
      <c r="AH60" s="105">
        <v>3.2483674132794138</v>
      </c>
      <c r="AI60" s="105">
        <v>682.15715678867684</v>
      </c>
      <c r="AJ60" s="105">
        <v>4.7500180708762656</v>
      </c>
      <c r="AK60" s="105">
        <v>997.50379488401575</v>
      </c>
      <c r="AL60" s="105">
        <v>4.147497117621695</v>
      </c>
      <c r="AM60" s="105">
        <v>870.97439470055599</v>
      </c>
      <c r="AN60" s="105">
        <v>3.2923507182088096</v>
      </c>
      <c r="AO60" s="105">
        <v>691.39365082385007</v>
      </c>
      <c r="AP60" s="105">
        <v>4.2188548717686256</v>
      </c>
      <c r="AQ60" s="105">
        <v>885.95952307141135</v>
      </c>
      <c r="AR60" s="105">
        <v>4.34992416528232</v>
      </c>
      <c r="AS60" s="105">
        <v>913.48407470928714</v>
      </c>
      <c r="AT60" s="105">
        <v>2.9968092895799185</v>
      </c>
      <c r="AU60" s="105">
        <v>629.32995081178285</v>
      </c>
      <c r="AV60" s="105">
        <v>4.0396224179500244</v>
      </c>
      <c r="AW60" s="105">
        <v>848.32070776950513</v>
      </c>
      <c r="AX60" s="105">
        <v>3.118407448324759</v>
      </c>
      <c r="AY60" s="105">
        <v>654.86556414819938</v>
      </c>
      <c r="AZ60" s="105">
        <v>3.5621929873798317</v>
      </c>
      <c r="BA60" s="105">
        <v>748.0605273497647</v>
      </c>
      <c r="BB60" s="105">
        <v>3.2883342449430044</v>
      </c>
      <c r="BC60" s="105">
        <v>690.55019143803088</v>
      </c>
      <c r="BD60" s="105">
        <v>2.1842180781805181</v>
      </c>
      <c r="BE60" s="105">
        <v>458.68579641790882</v>
      </c>
      <c r="BF60" s="105">
        <v>3.0442815870215361</v>
      </c>
      <c r="BG60" s="105">
        <v>639.29913327452255</v>
      </c>
      <c r="BH60" s="105">
        <v>2.3495524633348213</v>
      </c>
      <c r="BI60" s="105">
        <v>493.40601730031244</v>
      </c>
      <c r="BJ60" s="105">
        <v>3.9378442594202445</v>
      </c>
      <c r="BK60" s="105">
        <v>826.94729447825137</v>
      </c>
      <c r="BL60" s="105">
        <v>2.151405779405513</v>
      </c>
      <c r="BM60" s="105">
        <v>451.79521367515775</v>
      </c>
      <c r="BN60" s="105">
        <v>3.1723364478593687</v>
      </c>
      <c r="BO60" s="105">
        <v>666.1906540504674</v>
      </c>
      <c r="BP60" s="105">
        <v>4.0754839487117023</v>
      </c>
      <c r="BQ60" s="105">
        <v>855.85162922945744</v>
      </c>
      <c r="BR60" s="105">
        <v>3</v>
      </c>
      <c r="BS60" s="105">
        <v>630</v>
      </c>
      <c r="BT60" s="105">
        <v>3.104279504224575</v>
      </c>
      <c r="BU60" s="105">
        <v>651.89869588716078</v>
      </c>
      <c r="BV60" s="105">
        <v>3.230133148759609</v>
      </c>
      <c r="BW60" s="105">
        <v>678.32796123951789</v>
      </c>
      <c r="BX60" s="105">
        <v>4.1144196760113241</v>
      </c>
      <c r="BY60" s="105">
        <v>864.0281319623781</v>
      </c>
      <c r="BZ60" s="105">
        <v>3.5969122969473557</v>
      </c>
      <c r="CA60" s="105">
        <v>755.35158235894471</v>
      </c>
      <c r="CB60" s="105">
        <v>3.9226155374184191</v>
      </c>
      <c r="CC60" s="105">
        <v>823.74926285786796</v>
      </c>
      <c r="CD60" s="105">
        <v>4.4064869003582228</v>
      </c>
      <c r="CE60" s="105">
        <v>925.36224907522683</v>
      </c>
      <c r="CF60" s="105">
        <v>3.278784824347142</v>
      </c>
      <c r="CG60" s="105">
        <v>688.54481311289987</v>
      </c>
      <c r="CH60" s="105">
        <v>4.2152654798174289</v>
      </c>
      <c r="CI60" s="105">
        <v>885.20575076166006</v>
      </c>
      <c r="CJ60" s="105">
        <v>3.2999859080745306</v>
      </c>
      <c r="CK60" s="105">
        <v>692.99704069565144</v>
      </c>
      <c r="CL60" s="105">
        <v>3.2106764144926085</v>
      </c>
      <c r="CM60" s="105">
        <v>674.24204704344777</v>
      </c>
      <c r="CN60" s="105">
        <v>4.2736710008966456</v>
      </c>
      <c r="CO60" s="105">
        <v>897.47091018829553</v>
      </c>
      <c r="CP60" s="105">
        <v>4.1007314153274379</v>
      </c>
      <c r="CQ60" s="105">
        <v>861.153597218762</v>
      </c>
      <c r="CR60" s="105">
        <v>3.2239348859230188</v>
      </c>
      <c r="CS60" s="105">
        <v>677.02632604383393</v>
      </c>
      <c r="CT60" s="105">
        <v>3.8571268201641624</v>
      </c>
      <c r="CU60" s="105">
        <v>809.99663223447408</v>
      </c>
    </row>
    <row r="61" spans="2:99" x14ac:dyDescent="0.2">
      <c r="C61" s="104" t="s">
        <v>227</v>
      </c>
      <c r="D61" s="105">
        <v>0</v>
      </c>
      <c r="E61" s="105">
        <v>0</v>
      </c>
      <c r="F61" s="105">
        <v>0</v>
      </c>
      <c r="G61" s="105">
        <v>0</v>
      </c>
      <c r="H61" s="105">
        <v>0</v>
      </c>
      <c r="I61" s="105">
        <v>0</v>
      </c>
      <c r="J61" s="105">
        <v>0</v>
      </c>
      <c r="K61" s="105">
        <v>0</v>
      </c>
      <c r="L61" s="105">
        <v>0</v>
      </c>
      <c r="M61" s="105">
        <v>0</v>
      </c>
      <c r="N61" s="105">
        <v>4</v>
      </c>
      <c r="O61" s="105">
        <v>792</v>
      </c>
      <c r="P61" s="105">
        <v>3.2982494718432123</v>
      </c>
      <c r="Q61" s="105">
        <v>653.05339542495608</v>
      </c>
      <c r="R61" s="105">
        <v>4.1693274384672678</v>
      </c>
      <c r="S61" s="105">
        <v>825.526832816519</v>
      </c>
      <c r="T61" s="105">
        <v>4.2982494718432118</v>
      </c>
      <c r="U61" s="105">
        <v>851.05339542495597</v>
      </c>
      <c r="V61" s="105">
        <v>3.2054602247609587</v>
      </c>
      <c r="W61" s="105">
        <v>634.68112450266983</v>
      </c>
      <c r="X61" s="105">
        <v>4.1472017055646484</v>
      </c>
      <c r="Y61" s="105">
        <v>821.14593770180034</v>
      </c>
      <c r="Z61" s="105">
        <v>3.2899625716778473</v>
      </c>
      <c r="AA61" s="105">
        <v>651.41258919221377</v>
      </c>
      <c r="AB61" s="105">
        <v>5.3473014910095964</v>
      </c>
      <c r="AC61" s="105">
        <v>1058.7656952199002</v>
      </c>
      <c r="AD61" s="105">
        <v>4.1551967336191291</v>
      </c>
      <c r="AE61" s="105">
        <v>822.7289532565876</v>
      </c>
      <c r="AF61" s="105">
        <v>3.5884817856322053</v>
      </c>
      <c r="AG61" s="105">
        <v>710.51939355517663</v>
      </c>
      <c r="AH61" s="105">
        <v>3.2069728443995116</v>
      </c>
      <c r="AI61" s="105">
        <v>634.98062319110329</v>
      </c>
      <c r="AJ61" s="105">
        <v>3.807572231787149</v>
      </c>
      <c r="AK61" s="105">
        <v>753.89930189385552</v>
      </c>
      <c r="AL61" s="105">
        <v>4.1875605671870746</v>
      </c>
      <c r="AM61" s="105">
        <v>829.13699230304076</v>
      </c>
      <c r="AN61" s="105">
        <v>3.3410758379102776</v>
      </c>
      <c r="AO61" s="105">
        <v>661.53301590623494</v>
      </c>
      <c r="AP61" s="105">
        <v>4.2626258461223507</v>
      </c>
      <c r="AQ61" s="105">
        <v>843.99991753222548</v>
      </c>
      <c r="AR61" s="105">
        <v>4.2999349988134172</v>
      </c>
      <c r="AS61" s="105">
        <v>851.38712976505656</v>
      </c>
      <c r="AT61" s="105">
        <v>3.9365027429526931</v>
      </c>
      <c r="AU61" s="105">
        <v>779.42754310463329</v>
      </c>
      <c r="AV61" s="105">
        <v>3.299854959397595</v>
      </c>
      <c r="AW61" s="105">
        <v>653.37128196072376</v>
      </c>
      <c r="AX61" s="105">
        <v>3.118407448324759</v>
      </c>
      <c r="AY61" s="105">
        <v>617.44467476830232</v>
      </c>
      <c r="AZ61" s="105">
        <v>3.5621929873798317</v>
      </c>
      <c r="BA61" s="105">
        <v>705.31421150120673</v>
      </c>
      <c r="BB61" s="105">
        <v>3.2883342449430044</v>
      </c>
      <c r="BC61" s="105">
        <v>651.09018049871486</v>
      </c>
      <c r="BD61" s="105">
        <v>2.2302725977256475</v>
      </c>
      <c r="BE61" s="105">
        <v>441.59397434967821</v>
      </c>
      <c r="BF61" s="105">
        <v>3.0332111902661523</v>
      </c>
      <c r="BG61" s="105">
        <v>600.57581567269813</v>
      </c>
      <c r="BH61" s="105">
        <v>2.3495524633348213</v>
      </c>
      <c r="BI61" s="105">
        <v>465.21138774029458</v>
      </c>
      <c r="BJ61" s="105">
        <v>3.957259037304528</v>
      </c>
      <c r="BK61" s="105">
        <v>783.53728938629649</v>
      </c>
      <c r="BL61" s="105">
        <v>2.151405779405513</v>
      </c>
      <c r="BM61" s="105">
        <v>425.9783443222916</v>
      </c>
      <c r="BN61" s="105">
        <v>3.1723364478593687</v>
      </c>
      <c r="BO61" s="105">
        <v>628.12261667615496</v>
      </c>
      <c r="BP61" s="105">
        <v>4.0754839487117023</v>
      </c>
      <c r="BQ61" s="105">
        <v>806.94582184491708</v>
      </c>
      <c r="BR61" s="105">
        <v>4</v>
      </c>
      <c r="BS61" s="105">
        <v>792</v>
      </c>
      <c r="BT61" s="105">
        <v>3.104279504224575</v>
      </c>
      <c r="BU61" s="105">
        <v>614.6473418364659</v>
      </c>
      <c r="BV61" s="105">
        <v>3.230133148759609</v>
      </c>
      <c r="BW61" s="105">
        <v>639.56636345440256</v>
      </c>
      <c r="BX61" s="105">
        <v>4.0680565225643397</v>
      </c>
      <c r="BY61" s="105">
        <v>805.47519146773925</v>
      </c>
      <c r="BZ61" s="105">
        <v>3.5969122969473557</v>
      </c>
      <c r="CA61" s="105">
        <v>712.18863479557638</v>
      </c>
      <c r="CB61" s="105">
        <v>3.9226155374184191</v>
      </c>
      <c r="CC61" s="105">
        <v>776.67787640884694</v>
      </c>
      <c r="CD61" s="105">
        <v>3.5995786991909986</v>
      </c>
      <c r="CE61" s="105">
        <v>712.71658243981767</v>
      </c>
      <c r="CF61" s="105">
        <v>3.278784824347142</v>
      </c>
      <c r="CG61" s="105">
        <v>649.19939522073412</v>
      </c>
      <c r="CH61" s="105">
        <v>4.1709868356531077</v>
      </c>
      <c r="CI61" s="105">
        <v>825.85539345931534</v>
      </c>
      <c r="CJ61" s="105">
        <v>3.3499835594202856</v>
      </c>
      <c r="CK61" s="105">
        <v>663.29674476521654</v>
      </c>
      <c r="CL61" s="105">
        <v>2.2528116973911301</v>
      </c>
      <c r="CM61" s="105">
        <v>446.05671608344375</v>
      </c>
      <c r="CN61" s="105">
        <v>4.2736710008966456</v>
      </c>
      <c r="CO61" s="105">
        <v>846.18685817753578</v>
      </c>
      <c r="CP61" s="105">
        <v>3.0755485614955789</v>
      </c>
      <c r="CQ61" s="105">
        <v>608.95861517612457</v>
      </c>
      <c r="CR61" s="105">
        <v>3.2239348859230188</v>
      </c>
      <c r="CS61" s="105">
        <v>638.3391074127577</v>
      </c>
      <c r="CT61" s="105">
        <v>3.8901876735873233</v>
      </c>
      <c r="CU61" s="105">
        <v>770.25715937028997</v>
      </c>
    </row>
    <row r="62" spans="2:99" x14ac:dyDescent="0.2">
      <c r="C62" s="104" t="s">
        <v>228</v>
      </c>
      <c r="D62" s="105">
        <v>0</v>
      </c>
      <c r="E62" s="105">
        <v>0</v>
      </c>
      <c r="F62" s="105">
        <v>0</v>
      </c>
      <c r="G62" s="105">
        <v>0</v>
      </c>
      <c r="H62" s="105">
        <v>0</v>
      </c>
      <c r="I62" s="105">
        <v>0</v>
      </c>
      <c r="J62" s="105">
        <v>0</v>
      </c>
      <c r="K62" s="105">
        <v>0</v>
      </c>
      <c r="L62" s="105">
        <v>0</v>
      </c>
      <c r="M62" s="105">
        <v>0</v>
      </c>
      <c r="N62" s="105">
        <v>5</v>
      </c>
      <c r="O62" s="105">
        <v>4782</v>
      </c>
      <c r="P62" s="105">
        <v>3.2982494718432123</v>
      </c>
      <c r="Q62" s="105">
        <v>3154.4457948708482</v>
      </c>
      <c r="R62" s="105">
        <v>4.1269955788504511</v>
      </c>
      <c r="S62" s="105">
        <v>3947.0585716125715</v>
      </c>
      <c r="T62" s="105">
        <v>4.2982494718432118</v>
      </c>
      <c r="U62" s="105">
        <v>4110.8457948708474</v>
      </c>
      <c r="V62" s="105">
        <v>3.2054602247609587</v>
      </c>
      <c r="W62" s="105">
        <v>3065.702158961381</v>
      </c>
      <c r="X62" s="105">
        <v>4.1472017055646484</v>
      </c>
      <c r="Y62" s="105">
        <v>3966.3837112020296</v>
      </c>
      <c r="Z62" s="105">
        <v>3.2899625716778473</v>
      </c>
      <c r="AA62" s="105">
        <v>3146.5202035526931</v>
      </c>
      <c r="AB62" s="105">
        <v>5.2976869922939391</v>
      </c>
      <c r="AC62" s="105">
        <v>5066.7078394299233</v>
      </c>
      <c r="AD62" s="105">
        <v>4.1362484820854526</v>
      </c>
      <c r="AE62" s="105">
        <v>3955.9080482665267</v>
      </c>
      <c r="AF62" s="105">
        <v>3.6291695501320493</v>
      </c>
      <c r="AG62" s="105">
        <v>3470.9377577462919</v>
      </c>
      <c r="AH62" s="105">
        <v>3.2069728443995116</v>
      </c>
      <c r="AI62" s="105">
        <v>3067.1488283836929</v>
      </c>
      <c r="AJ62" s="105">
        <v>4.7122291954455795</v>
      </c>
      <c r="AK62" s="105">
        <v>4506.7760025241523</v>
      </c>
      <c r="AL62" s="105">
        <v>3.1607021501729964</v>
      </c>
      <c r="AM62" s="105">
        <v>3022.8955364254539</v>
      </c>
      <c r="AN62" s="105">
        <v>3.2923507182088096</v>
      </c>
      <c r="AO62" s="105">
        <v>3148.8042268949057</v>
      </c>
      <c r="AP62" s="105">
        <v>3.2188548717686256</v>
      </c>
      <c r="AQ62" s="105">
        <v>3078.5127993595133</v>
      </c>
      <c r="AR62" s="105">
        <v>3.3499241652823204</v>
      </c>
      <c r="AS62" s="105">
        <v>3203.8674716760111</v>
      </c>
      <c r="AT62" s="105">
        <v>3.8920705105872946</v>
      </c>
      <c r="AU62" s="105">
        <v>3722.3762363256883</v>
      </c>
      <c r="AV62" s="105">
        <v>3.2657764468788075</v>
      </c>
      <c r="AW62" s="105">
        <v>3123.3885937948912</v>
      </c>
      <c r="AX62" s="105">
        <v>3.0947259586598075</v>
      </c>
      <c r="AY62" s="105">
        <v>2959.7959068622399</v>
      </c>
      <c r="AZ62" s="105">
        <v>3.5621929873798317</v>
      </c>
      <c r="BA62" s="105">
        <v>3406.8813731300711</v>
      </c>
      <c r="BB62" s="105">
        <v>4.2883342449430044</v>
      </c>
      <c r="BC62" s="105">
        <v>4101.3628718634891</v>
      </c>
      <c r="BD62" s="105">
        <v>3.2302725977256475</v>
      </c>
      <c r="BE62" s="105">
        <v>3089.4327124648094</v>
      </c>
      <c r="BF62" s="105">
        <v>3.0442815870215361</v>
      </c>
      <c r="BG62" s="105">
        <v>2911.5509098273969</v>
      </c>
      <c r="BH62" s="105">
        <v>2.3495524633348213</v>
      </c>
      <c r="BI62" s="105">
        <v>2247.1119759334229</v>
      </c>
      <c r="BJ62" s="105">
        <v>2.967944277978396</v>
      </c>
      <c r="BK62" s="105">
        <v>2838.5419074585379</v>
      </c>
      <c r="BL62" s="105">
        <v>2.151405779405513</v>
      </c>
      <c r="BM62" s="105">
        <v>2057.6044874234326</v>
      </c>
      <c r="BN62" s="105">
        <v>3.1723364478593687</v>
      </c>
      <c r="BO62" s="105">
        <v>3034.0225787327004</v>
      </c>
      <c r="BP62" s="105">
        <v>4.0754839487117023</v>
      </c>
      <c r="BQ62" s="105">
        <v>3897.7928485478719</v>
      </c>
      <c r="BR62" s="105">
        <v>4</v>
      </c>
      <c r="BS62" s="105">
        <v>3825.6</v>
      </c>
      <c r="BT62" s="105">
        <v>2.104279504224575</v>
      </c>
      <c r="BU62" s="105">
        <v>2012.5329178403836</v>
      </c>
      <c r="BV62" s="105">
        <v>3.230133148759609</v>
      </c>
      <c r="BW62" s="105">
        <v>3089.29934347369</v>
      </c>
      <c r="BX62" s="105">
        <v>4.0680565225643397</v>
      </c>
      <c r="BY62" s="105">
        <v>3890.6892581805346</v>
      </c>
      <c r="BZ62" s="105">
        <v>3.5969122969473557</v>
      </c>
      <c r="CA62" s="105">
        <v>3440.086920800451</v>
      </c>
      <c r="CB62" s="105">
        <v>3.9226155374184191</v>
      </c>
      <c r="CC62" s="105">
        <v>3751.5894999869761</v>
      </c>
      <c r="CD62" s="105">
        <v>4.4064869003582228</v>
      </c>
      <c r="CE62" s="105">
        <v>4214.364071502604</v>
      </c>
      <c r="CF62" s="105">
        <v>3.278784824347142</v>
      </c>
      <c r="CG62" s="105">
        <v>3135.8298060056068</v>
      </c>
      <c r="CH62" s="105">
        <v>4.1709868356531077</v>
      </c>
      <c r="CI62" s="105">
        <v>3989.1318096186319</v>
      </c>
      <c r="CJ62" s="105">
        <v>3.3499835594202856</v>
      </c>
      <c r="CK62" s="105">
        <v>3203.9242762295612</v>
      </c>
      <c r="CL62" s="105">
        <v>2.2528116973911301</v>
      </c>
      <c r="CM62" s="105">
        <v>2154.5891073848766</v>
      </c>
      <c r="CN62" s="105">
        <v>4.2280591674138712</v>
      </c>
      <c r="CO62" s="105">
        <v>4043.7157877146265</v>
      </c>
      <c r="CP62" s="105">
        <v>3.1007314153274383</v>
      </c>
      <c r="CQ62" s="105">
        <v>2965.5395256191619</v>
      </c>
      <c r="CR62" s="105">
        <v>4.2687218631076229</v>
      </c>
      <c r="CS62" s="105">
        <v>4082.6055898761306</v>
      </c>
      <c r="CT62" s="105">
        <v>3.8571268201641624</v>
      </c>
      <c r="CU62" s="105">
        <v>3688.9560908050048</v>
      </c>
    </row>
    <row r="63" spans="2:99" x14ac:dyDescent="0.2">
      <c r="C63" s="104" t="s">
        <v>229</v>
      </c>
      <c r="D63" s="105">
        <v>0</v>
      </c>
      <c r="E63" s="105">
        <v>0</v>
      </c>
      <c r="F63" s="105">
        <v>0</v>
      </c>
      <c r="G63" s="105">
        <v>0</v>
      </c>
      <c r="H63" s="105">
        <v>0</v>
      </c>
      <c r="I63" s="105">
        <v>0</v>
      </c>
      <c r="J63" s="105">
        <v>0</v>
      </c>
      <c r="K63" s="105">
        <v>0</v>
      </c>
      <c r="L63" s="105">
        <v>0</v>
      </c>
      <c r="M63" s="105">
        <v>0</v>
      </c>
      <c r="N63" s="105">
        <v>5</v>
      </c>
      <c r="O63" s="105">
        <v>150</v>
      </c>
      <c r="P63" s="105">
        <v>3.2982494718432123</v>
      </c>
      <c r="Q63" s="105">
        <v>98.947484155296365</v>
      </c>
      <c r="R63" s="105">
        <v>4.1693274384672678</v>
      </c>
      <c r="S63" s="105">
        <v>125.07982315401803</v>
      </c>
      <c r="T63" s="105">
        <v>4.2982494718432118</v>
      </c>
      <c r="U63" s="105">
        <v>128.94748415529637</v>
      </c>
      <c r="V63" s="105">
        <v>3.2465522697131504</v>
      </c>
      <c r="W63" s="105">
        <v>97.396568091394514</v>
      </c>
      <c r="X63" s="105">
        <v>4.1840021319558112</v>
      </c>
      <c r="Y63" s="105">
        <v>125.52006395867434</v>
      </c>
      <c r="Z63" s="105">
        <v>3.2899625716778473</v>
      </c>
      <c r="AA63" s="105">
        <v>98.69887715033542</v>
      </c>
      <c r="AB63" s="105">
        <v>4.3473014910095964</v>
      </c>
      <c r="AC63" s="105">
        <v>130.41904473028788</v>
      </c>
      <c r="AD63" s="105">
        <v>4.1551967336191291</v>
      </c>
      <c r="AE63" s="105">
        <v>124.65590200857388</v>
      </c>
      <c r="AF63" s="105">
        <v>3.6291695501320493</v>
      </c>
      <c r="AG63" s="105">
        <v>108.87508650396148</v>
      </c>
      <c r="AH63" s="105">
        <v>3.2069728443995116</v>
      </c>
      <c r="AI63" s="105">
        <v>96.209185331985353</v>
      </c>
      <c r="AJ63" s="105">
        <v>4.7122291954455795</v>
      </c>
      <c r="AK63" s="105">
        <v>141.3668758633674</v>
      </c>
      <c r="AL63" s="105">
        <v>4.1875605671870746</v>
      </c>
      <c r="AM63" s="105">
        <v>125.62681701561223</v>
      </c>
      <c r="AN63" s="105">
        <v>3.2923507182088096</v>
      </c>
      <c r="AO63" s="105">
        <v>98.770521546264291</v>
      </c>
      <c r="AP63" s="105">
        <v>4.2188548717686256</v>
      </c>
      <c r="AQ63" s="105">
        <v>126.56564615305876</v>
      </c>
      <c r="AR63" s="105">
        <v>4.2999349988134172</v>
      </c>
      <c r="AS63" s="105">
        <v>128.99804996440253</v>
      </c>
      <c r="AT63" s="105">
        <v>3.9365027429526931</v>
      </c>
      <c r="AU63" s="105">
        <v>118.0950822885808</v>
      </c>
      <c r="AV63" s="105">
        <v>4.0737009304688119</v>
      </c>
      <c r="AW63" s="105">
        <v>122.21102791406436</v>
      </c>
      <c r="AX63" s="105">
        <v>3.142088937989711</v>
      </c>
      <c r="AY63" s="105">
        <v>94.262668139691328</v>
      </c>
      <c r="AZ63" s="105">
        <v>3.5621929873798317</v>
      </c>
      <c r="BA63" s="105">
        <v>106.86578962139495</v>
      </c>
      <c r="BB63" s="105">
        <v>4.2883342449430044</v>
      </c>
      <c r="BC63" s="105">
        <v>128.65002734829014</v>
      </c>
      <c r="BD63" s="105">
        <v>3.2302725977256475</v>
      </c>
      <c r="BE63" s="105">
        <v>96.90817793176943</v>
      </c>
      <c r="BF63" s="105">
        <v>3.0332111902661523</v>
      </c>
      <c r="BG63" s="105">
        <v>90.996335707984571</v>
      </c>
      <c r="BH63" s="105">
        <v>3.3495524633348213</v>
      </c>
      <c r="BI63" s="105">
        <v>100.48657390004463</v>
      </c>
      <c r="BJ63" s="105">
        <v>3.957259037304528</v>
      </c>
      <c r="BK63" s="105">
        <v>118.71777111913585</v>
      </c>
      <c r="BL63" s="105">
        <v>3.151405779405513</v>
      </c>
      <c r="BM63" s="105">
        <v>94.542173382165387</v>
      </c>
      <c r="BN63" s="105">
        <v>3.1378691582874949</v>
      </c>
      <c r="BO63" s="105">
        <v>94.13607474862485</v>
      </c>
      <c r="BP63" s="105">
        <v>4.0754839487117023</v>
      </c>
      <c r="BQ63" s="105">
        <v>122.26451846135107</v>
      </c>
      <c r="BR63" s="105">
        <v>3</v>
      </c>
      <c r="BS63" s="105">
        <v>90</v>
      </c>
      <c r="BT63" s="105">
        <v>2.104279504224575</v>
      </c>
      <c r="BU63" s="105">
        <v>63.12838512673725</v>
      </c>
      <c r="BV63" s="105">
        <v>3.230133148759609</v>
      </c>
      <c r="BW63" s="105">
        <v>96.903994462788276</v>
      </c>
      <c r="BX63" s="105">
        <v>4.0680565225643397</v>
      </c>
      <c r="BY63" s="105">
        <v>122.04169567693019</v>
      </c>
      <c r="BZ63" s="105">
        <v>3.5969122969473557</v>
      </c>
      <c r="CA63" s="105">
        <v>107.90736890842066</v>
      </c>
      <c r="CB63" s="105">
        <v>3.9226155374184191</v>
      </c>
      <c r="CC63" s="105">
        <v>117.67846612255258</v>
      </c>
      <c r="CD63" s="105">
        <v>4.4436814898104329</v>
      </c>
      <c r="CE63" s="105">
        <v>133.31044469431299</v>
      </c>
      <c r="CF63" s="105">
        <v>3.278784824347142</v>
      </c>
      <c r="CG63" s="105">
        <v>98.363544730414262</v>
      </c>
      <c r="CH63" s="105">
        <v>4.2152654798174289</v>
      </c>
      <c r="CI63" s="105">
        <v>126.45796439452286</v>
      </c>
      <c r="CJ63" s="105">
        <v>4.2999859080745306</v>
      </c>
      <c r="CK63" s="105">
        <v>128.99957724223592</v>
      </c>
      <c r="CL63" s="105">
        <v>2.2528116973911301</v>
      </c>
      <c r="CM63" s="105">
        <v>67.5843509217339</v>
      </c>
      <c r="CN63" s="105">
        <v>4.2736710008966456</v>
      </c>
      <c r="CO63" s="105">
        <v>128.21013002689938</v>
      </c>
      <c r="CP63" s="105">
        <v>4.1007314153274379</v>
      </c>
      <c r="CQ63" s="105">
        <v>123.02194245982314</v>
      </c>
      <c r="CR63" s="105">
        <v>4.2687218631076229</v>
      </c>
      <c r="CS63" s="105">
        <v>128.06165589322868</v>
      </c>
      <c r="CT63" s="105">
        <v>4.7718172450704639</v>
      </c>
      <c r="CU63" s="105">
        <v>143.15451735211391</v>
      </c>
    </row>
    <row r="64" spans="2:99" x14ac:dyDescent="0.2">
      <c r="C64" s="104" t="s">
        <v>230</v>
      </c>
      <c r="D64" s="105">
        <v>0</v>
      </c>
      <c r="E64" s="105">
        <v>0</v>
      </c>
      <c r="F64" s="105">
        <v>0</v>
      </c>
      <c r="G64" s="105">
        <v>0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5">
        <v>5</v>
      </c>
      <c r="O64" s="105">
        <v>1122</v>
      </c>
      <c r="P64" s="105">
        <v>3.2982494718432123</v>
      </c>
      <c r="Q64" s="105">
        <v>740.12718148161684</v>
      </c>
      <c r="R64" s="105">
        <v>4.1269955788504511</v>
      </c>
      <c r="S64" s="105">
        <v>926.09780789404124</v>
      </c>
      <c r="T64" s="105">
        <v>5.2982494718432118</v>
      </c>
      <c r="U64" s="105">
        <v>1188.9271814816168</v>
      </c>
      <c r="V64" s="105">
        <v>3.2054602247609587</v>
      </c>
      <c r="W64" s="105">
        <v>719.30527443635913</v>
      </c>
      <c r="X64" s="105">
        <v>5.1472017055646484</v>
      </c>
      <c r="Y64" s="105">
        <v>1155.0320627287072</v>
      </c>
      <c r="Z64" s="105">
        <v>3.2899625716778473</v>
      </c>
      <c r="AA64" s="105">
        <v>738.26760108450901</v>
      </c>
      <c r="AB64" s="105">
        <v>5.2976869922939391</v>
      </c>
      <c r="AC64" s="105">
        <v>1188.80096107076</v>
      </c>
      <c r="AD64" s="105">
        <v>4.1551967336191291</v>
      </c>
      <c r="AE64" s="105">
        <v>932.42614702413255</v>
      </c>
      <c r="AF64" s="105">
        <v>3.6291695501320493</v>
      </c>
      <c r="AG64" s="105">
        <v>814.38564704963187</v>
      </c>
      <c r="AH64" s="105">
        <v>3.2483674132794138</v>
      </c>
      <c r="AI64" s="105">
        <v>728.93364753990045</v>
      </c>
      <c r="AJ64" s="105">
        <v>3.807572231787149</v>
      </c>
      <c r="AK64" s="105">
        <v>854.41920881303622</v>
      </c>
      <c r="AL64" s="105">
        <v>3.2007655997383755</v>
      </c>
      <c r="AM64" s="105">
        <v>718.25180058129149</v>
      </c>
      <c r="AN64" s="105">
        <v>2.3410758379102776</v>
      </c>
      <c r="AO64" s="105">
        <v>525.33741802706629</v>
      </c>
      <c r="AP64" s="105">
        <v>4.2188548717686256</v>
      </c>
      <c r="AQ64" s="105">
        <v>946.71103322487966</v>
      </c>
      <c r="AR64" s="105">
        <v>3.2999349988134172</v>
      </c>
      <c r="AS64" s="105">
        <v>740.50541373373085</v>
      </c>
      <c r="AT64" s="105">
        <v>3.9365027429526931</v>
      </c>
      <c r="AU64" s="105">
        <v>883.35121551858435</v>
      </c>
      <c r="AV64" s="105">
        <v>3.299854959397595</v>
      </c>
      <c r="AW64" s="105">
        <v>740.48745288882037</v>
      </c>
      <c r="AX64" s="105">
        <v>3.118407448324759</v>
      </c>
      <c r="AY64" s="105">
        <v>699.77063140407597</v>
      </c>
      <c r="AZ64" s="105">
        <v>3.5621929873798317</v>
      </c>
      <c r="BA64" s="105">
        <v>799.35610636803426</v>
      </c>
      <c r="BB64" s="105">
        <v>4.336389952433505</v>
      </c>
      <c r="BC64" s="105">
        <v>973.08590532607855</v>
      </c>
      <c r="BD64" s="105">
        <v>2.2302725977256475</v>
      </c>
      <c r="BE64" s="105">
        <v>500.47317092963527</v>
      </c>
      <c r="BF64" s="105">
        <v>3.0332111902661523</v>
      </c>
      <c r="BG64" s="105">
        <v>680.65259109572457</v>
      </c>
      <c r="BH64" s="105">
        <v>3.3495524633348213</v>
      </c>
      <c r="BI64" s="105">
        <v>751.63957277233396</v>
      </c>
      <c r="BJ64" s="105">
        <v>3.957259037304528</v>
      </c>
      <c r="BK64" s="105">
        <v>888.00892797113613</v>
      </c>
      <c r="BL64" s="105">
        <v>2.151405779405513</v>
      </c>
      <c r="BM64" s="105">
        <v>482.77545689859716</v>
      </c>
      <c r="BN64" s="105">
        <v>3.1723364478593687</v>
      </c>
      <c r="BO64" s="105">
        <v>711.87229889964237</v>
      </c>
      <c r="BP64" s="105">
        <v>4.0754839487117023</v>
      </c>
      <c r="BQ64" s="105">
        <v>914.53859809090602</v>
      </c>
      <c r="BR64" s="105">
        <v>4</v>
      </c>
      <c r="BS64" s="105">
        <v>897.6</v>
      </c>
      <c r="BT64" s="105">
        <v>3.104279504224575</v>
      </c>
      <c r="BU64" s="105">
        <v>696.6003207479946</v>
      </c>
      <c r="BV64" s="105">
        <v>3.230133148759609</v>
      </c>
      <c r="BW64" s="105">
        <v>724.84187858165626</v>
      </c>
      <c r="BX64" s="105">
        <v>4.1144196760113241</v>
      </c>
      <c r="BY64" s="105">
        <v>923.27577529694111</v>
      </c>
      <c r="BZ64" s="105">
        <v>3.6381168907727579</v>
      </c>
      <c r="CA64" s="105">
        <v>816.39343028940687</v>
      </c>
      <c r="CB64" s="105">
        <v>3.9226155374184191</v>
      </c>
      <c r="CC64" s="105">
        <v>880.2349265966933</v>
      </c>
      <c r="CD64" s="105">
        <v>4.4436814898104329</v>
      </c>
      <c r="CE64" s="105">
        <v>997.16212631346116</v>
      </c>
      <c r="CF64" s="105">
        <v>3.278784824347142</v>
      </c>
      <c r="CG64" s="105">
        <v>735.75931458349874</v>
      </c>
      <c r="CH64" s="105">
        <v>4.2152654798174289</v>
      </c>
      <c r="CI64" s="105">
        <v>945.90557367103111</v>
      </c>
      <c r="CJ64" s="105">
        <v>4.349983559420286</v>
      </c>
      <c r="CK64" s="105">
        <v>976.13631073391218</v>
      </c>
      <c r="CL64" s="105">
        <v>2.2106764144926085</v>
      </c>
      <c r="CM64" s="105">
        <v>496.07578741214138</v>
      </c>
      <c r="CN64" s="105">
        <v>4.2736710008966456</v>
      </c>
      <c r="CO64" s="105">
        <v>959.01177260120733</v>
      </c>
      <c r="CP64" s="105">
        <v>3.1007314153274383</v>
      </c>
      <c r="CQ64" s="105">
        <v>695.80412959947716</v>
      </c>
      <c r="CR64" s="105">
        <v>4.2239348859230184</v>
      </c>
      <c r="CS64" s="105">
        <v>947.85098840112539</v>
      </c>
      <c r="CT64" s="105">
        <v>3.8571268201641624</v>
      </c>
      <c r="CU64" s="105">
        <v>865.53925844483808</v>
      </c>
    </row>
    <row r="65" spans="2:99" x14ac:dyDescent="0.2">
      <c r="C65" s="104" t="s">
        <v>231</v>
      </c>
      <c r="D65" s="105">
        <v>0</v>
      </c>
      <c r="E65" s="105">
        <v>0</v>
      </c>
      <c r="F65" s="105">
        <v>0</v>
      </c>
      <c r="G65" s="105">
        <v>0</v>
      </c>
      <c r="H65" s="105">
        <v>0</v>
      </c>
      <c r="I65" s="105">
        <v>0</v>
      </c>
      <c r="J65" s="105">
        <v>0</v>
      </c>
      <c r="K65" s="105">
        <v>0</v>
      </c>
      <c r="L65" s="105">
        <v>0</v>
      </c>
      <c r="M65" s="105">
        <v>0</v>
      </c>
      <c r="N65" s="105">
        <v>4</v>
      </c>
      <c r="O65" s="105">
        <v>1977.6</v>
      </c>
      <c r="P65" s="105">
        <v>3.3479577171504142</v>
      </c>
      <c r="Q65" s="105">
        <v>1655.2302953591648</v>
      </c>
      <c r="R65" s="105">
        <v>4.1269955788504511</v>
      </c>
      <c r="S65" s="105">
        <v>2040.3866141836629</v>
      </c>
      <c r="T65" s="105">
        <v>4.2982494718432118</v>
      </c>
      <c r="U65" s="105">
        <v>2125.0545388792839</v>
      </c>
      <c r="V65" s="105">
        <v>3.2054602247609587</v>
      </c>
      <c r="W65" s="105">
        <v>1584.7795351218178</v>
      </c>
      <c r="X65" s="105">
        <v>4.1840021319558112</v>
      </c>
      <c r="Y65" s="105">
        <v>2068.5706540389529</v>
      </c>
      <c r="Z65" s="105">
        <v>2.2899625716778473</v>
      </c>
      <c r="AA65" s="105">
        <v>1132.1574954375276</v>
      </c>
      <c r="AB65" s="105">
        <v>5.2976869922939391</v>
      </c>
      <c r="AC65" s="105">
        <v>2619.1764489901234</v>
      </c>
      <c r="AD65" s="105">
        <v>4.1551967336191291</v>
      </c>
      <c r="AE65" s="105">
        <v>2054.3292651012976</v>
      </c>
      <c r="AF65" s="105">
        <v>3.6291695501320493</v>
      </c>
      <c r="AG65" s="105">
        <v>1794.261425585285</v>
      </c>
      <c r="AH65" s="105">
        <v>3.2069728443995116</v>
      </c>
      <c r="AI65" s="105">
        <v>1585.5273742711186</v>
      </c>
      <c r="AJ65" s="105">
        <v>3.807572231787149</v>
      </c>
      <c r="AK65" s="105">
        <v>1882.4637113955664</v>
      </c>
      <c r="AL65" s="105">
        <v>3.2007655997383755</v>
      </c>
      <c r="AM65" s="105">
        <v>1582.4585125106528</v>
      </c>
      <c r="AN65" s="105">
        <v>2.2923507182088096</v>
      </c>
      <c r="AO65" s="105">
        <v>1133.3381950824355</v>
      </c>
      <c r="AP65" s="105">
        <v>4.2188548717686256</v>
      </c>
      <c r="AQ65" s="105">
        <v>2085.8018486024084</v>
      </c>
      <c r="AR65" s="105">
        <v>4.2999349988134172</v>
      </c>
      <c r="AS65" s="105">
        <v>2125.8878634133534</v>
      </c>
      <c r="AT65" s="105">
        <v>3.9365027429526931</v>
      </c>
      <c r="AU65" s="105">
        <v>1946.2069561158114</v>
      </c>
      <c r="AV65" s="105">
        <v>4.0737009304688119</v>
      </c>
      <c r="AW65" s="105">
        <v>2014.0377400237805</v>
      </c>
      <c r="AX65" s="105">
        <v>3.118407448324759</v>
      </c>
      <c r="AY65" s="105">
        <v>1541.7406424517608</v>
      </c>
      <c r="AZ65" s="105">
        <v>3.5621929873798317</v>
      </c>
      <c r="BA65" s="105">
        <v>1761.1482129605888</v>
      </c>
      <c r="BB65" s="105">
        <v>3.2883342449430044</v>
      </c>
      <c r="BC65" s="105">
        <v>1625.7524506998213</v>
      </c>
      <c r="BD65" s="105">
        <v>3.1842180781805181</v>
      </c>
      <c r="BE65" s="105">
        <v>1574.277417852448</v>
      </c>
      <c r="BF65" s="105">
        <v>3.0332111902661523</v>
      </c>
      <c r="BG65" s="105">
        <v>1499.6196124675855</v>
      </c>
      <c r="BH65" s="105">
        <v>3.2996163971441321</v>
      </c>
      <c r="BI65" s="105">
        <v>1631.3303467480589</v>
      </c>
      <c r="BJ65" s="105">
        <v>3.957259037304528</v>
      </c>
      <c r="BK65" s="105">
        <v>1956.4688680433585</v>
      </c>
      <c r="BL65" s="105">
        <v>2.151405779405513</v>
      </c>
      <c r="BM65" s="105">
        <v>1063.6550173380856</v>
      </c>
      <c r="BN65" s="105">
        <v>3.1723364478593687</v>
      </c>
      <c r="BO65" s="105">
        <v>1568.4031398216719</v>
      </c>
      <c r="BP65" s="105">
        <v>4.0754839487117023</v>
      </c>
      <c r="BQ65" s="105">
        <v>2014.9192642430655</v>
      </c>
      <c r="BR65" s="105">
        <v>3</v>
      </c>
      <c r="BS65" s="105">
        <v>1483.1999999999998</v>
      </c>
      <c r="BT65" s="105">
        <v>3.104279504224575</v>
      </c>
      <c r="BU65" s="105">
        <v>1534.7557868886297</v>
      </c>
      <c r="BV65" s="105">
        <v>3.230133148759609</v>
      </c>
      <c r="BW65" s="105">
        <v>1596.9778287467507</v>
      </c>
      <c r="BX65" s="105">
        <v>4.0680565225643397</v>
      </c>
      <c r="BY65" s="105">
        <v>2011.2471447558094</v>
      </c>
      <c r="BZ65" s="105">
        <v>3.6381168907727579</v>
      </c>
      <c r="CA65" s="105">
        <v>1798.6849907980513</v>
      </c>
      <c r="CB65" s="105">
        <v>3.9226155374184191</v>
      </c>
      <c r="CC65" s="105">
        <v>1939.3411216996662</v>
      </c>
      <c r="CD65" s="105">
        <v>3.5623841097387885</v>
      </c>
      <c r="CE65" s="105">
        <v>1761.2427038548569</v>
      </c>
      <c r="CF65" s="105">
        <v>3.278784824347142</v>
      </c>
      <c r="CG65" s="105">
        <v>1621.031217157227</v>
      </c>
      <c r="CH65" s="105">
        <v>4.1709868356531077</v>
      </c>
      <c r="CI65" s="105">
        <v>2062.1358915468963</v>
      </c>
      <c r="CJ65" s="105">
        <v>3.3499835594202856</v>
      </c>
      <c r="CK65" s="105">
        <v>1656.2318717773892</v>
      </c>
      <c r="CL65" s="105">
        <v>2.2106764144926085</v>
      </c>
      <c r="CM65" s="105">
        <v>1092.9584193251455</v>
      </c>
      <c r="CN65" s="105">
        <v>4.2736710008966456</v>
      </c>
      <c r="CO65" s="105">
        <v>2112.9029428433014</v>
      </c>
      <c r="CP65" s="105">
        <v>3.1007314153274383</v>
      </c>
      <c r="CQ65" s="105">
        <v>1533.0016117378855</v>
      </c>
      <c r="CR65" s="105">
        <v>3.2239348859230188</v>
      </c>
      <c r="CS65" s="105">
        <v>1593.9134076003404</v>
      </c>
      <c r="CT65" s="105">
        <v>3.8571268201641624</v>
      </c>
      <c r="CU65" s="105">
        <v>1906.9634998891618</v>
      </c>
    </row>
    <row r="66" spans="2:99" x14ac:dyDescent="0.2">
      <c r="C66" s="104" t="s">
        <v>232</v>
      </c>
      <c r="D66" s="105">
        <v>0</v>
      </c>
      <c r="E66" s="105">
        <v>0</v>
      </c>
      <c r="F66" s="105">
        <v>0</v>
      </c>
      <c r="G66" s="105">
        <v>0</v>
      </c>
      <c r="H66" s="105">
        <v>0</v>
      </c>
      <c r="I66" s="105">
        <v>0</v>
      </c>
      <c r="J66" s="105">
        <v>0</v>
      </c>
      <c r="K66" s="105">
        <v>0</v>
      </c>
      <c r="L66" s="105">
        <v>0</v>
      </c>
      <c r="M66" s="105">
        <v>0</v>
      </c>
      <c r="N66" s="105">
        <v>4</v>
      </c>
      <c r="O66" s="105">
        <v>1593.6</v>
      </c>
      <c r="P66" s="105">
        <v>3.2982494718432123</v>
      </c>
      <c r="Q66" s="105">
        <v>1314.0225895823357</v>
      </c>
      <c r="R66" s="105">
        <v>4.1269955788504511</v>
      </c>
      <c r="S66" s="105">
        <v>1644.1950386140197</v>
      </c>
      <c r="T66" s="105">
        <v>5.3479577171504147</v>
      </c>
      <c r="U66" s="105">
        <v>2130.6263545127249</v>
      </c>
      <c r="V66" s="105">
        <v>3.2054602247609587</v>
      </c>
      <c r="W66" s="105">
        <v>1277.0553535447659</v>
      </c>
      <c r="X66" s="105">
        <v>4.1472017055646484</v>
      </c>
      <c r="Y66" s="105">
        <v>1652.2451594969559</v>
      </c>
      <c r="Z66" s="105">
        <v>2.2899625716778473</v>
      </c>
      <c r="AA66" s="105">
        <v>912.32108855645436</v>
      </c>
      <c r="AB66" s="105">
        <v>5.2976869922939391</v>
      </c>
      <c r="AC66" s="105">
        <v>2110.5984977299054</v>
      </c>
      <c r="AD66" s="105">
        <v>3.3393159881222432</v>
      </c>
      <c r="AE66" s="105">
        <v>1330.3834896679016</v>
      </c>
      <c r="AF66" s="105">
        <v>3.5884817856322053</v>
      </c>
      <c r="AG66" s="105">
        <v>1429.6511433958706</v>
      </c>
      <c r="AH66" s="105">
        <v>3.2069728443995116</v>
      </c>
      <c r="AI66" s="105">
        <v>1277.6579812087652</v>
      </c>
      <c r="AJ66" s="105">
        <v>4.7122291954455795</v>
      </c>
      <c r="AK66" s="105">
        <v>1877.3521114655189</v>
      </c>
      <c r="AL66" s="105">
        <v>4.1875605671870746</v>
      </c>
      <c r="AM66" s="105">
        <v>1668.3241299673305</v>
      </c>
      <c r="AN66" s="105">
        <v>2.3410758379102776</v>
      </c>
      <c r="AO66" s="105">
        <v>932.68461382345458</v>
      </c>
      <c r="AP66" s="105">
        <v>4.2188548717686256</v>
      </c>
      <c r="AQ66" s="105">
        <v>1680.7917809126204</v>
      </c>
      <c r="AR66" s="105">
        <v>4.2999349988134172</v>
      </c>
      <c r="AS66" s="105">
        <v>1713.0941035272654</v>
      </c>
      <c r="AT66" s="105">
        <v>3.9365027429526931</v>
      </c>
      <c r="AU66" s="105">
        <v>1568.3026927923529</v>
      </c>
      <c r="AV66" s="105">
        <v>4.0737009304688119</v>
      </c>
      <c r="AW66" s="105">
        <v>1622.9624506987745</v>
      </c>
      <c r="AX66" s="105">
        <v>3.118407448324759</v>
      </c>
      <c r="AY66" s="105">
        <v>1242.3735274125838</v>
      </c>
      <c r="AZ66" s="105">
        <v>3.5621929873798317</v>
      </c>
      <c r="BA66" s="105">
        <v>1419.1776861721248</v>
      </c>
      <c r="BB66" s="105">
        <v>3.336389952433505</v>
      </c>
      <c r="BC66" s="105">
        <v>1329.2177570495082</v>
      </c>
      <c r="BD66" s="105">
        <v>2.2302725977256475</v>
      </c>
      <c r="BE66" s="105">
        <v>888.54060293389784</v>
      </c>
      <c r="BF66" s="105">
        <v>3.0332111902661523</v>
      </c>
      <c r="BG66" s="105">
        <v>1208.431338202035</v>
      </c>
      <c r="BH66" s="105">
        <v>3.3495524633348213</v>
      </c>
      <c r="BI66" s="105">
        <v>1334.4617013925927</v>
      </c>
      <c r="BJ66" s="105">
        <v>3.9378442594202445</v>
      </c>
      <c r="BK66" s="105">
        <v>1568.8371529530252</v>
      </c>
      <c r="BL66" s="105">
        <v>2.151405779405513</v>
      </c>
      <c r="BM66" s="105">
        <v>857.12006251515629</v>
      </c>
      <c r="BN66" s="105">
        <v>3.1723364478593687</v>
      </c>
      <c r="BO66" s="105">
        <v>1263.8588408271723</v>
      </c>
      <c r="BP66" s="105">
        <v>4.0754839487117023</v>
      </c>
      <c r="BQ66" s="105">
        <v>1623.6728051667421</v>
      </c>
      <c r="BR66" s="105">
        <v>4</v>
      </c>
      <c r="BS66" s="105">
        <v>1593.6</v>
      </c>
      <c r="BT66" s="105">
        <v>2.104279504224575</v>
      </c>
      <c r="BU66" s="105">
        <v>838.34495448307064</v>
      </c>
      <c r="BV66" s="105">
        <v>3.230133148759609</v>
      </c>
      <c r="BW66" s="105">
        <v>1286.8850464658281</v>
      </c>
      <c r="BX66" s="105">
        <v>4.1144196760113241</v>
      </c>
      <c r="BY66" s="105">
        <v>1639.1847989229113</v>
      </c>
      <c r="BZ66" s="105">
        <v>3.6381168907727579</v>
      </c>
      <c r="CA66" s="105">
        <v>1449.4257692838667</v>
      </c>
      <c r="CB66" s="105">
        <v>3.9226155374184191</v>
      </c>
      <c r="CC66" s="105">
        <v>1562.7700301074981</v>
      </c>
      <c r="CD66" s="105">
        <v>3.5623841097387885</v>
      </c>
      <c r="CE66" s="105">
        <v>1419.2538293199332</v>
      </c>
      <c r="CF66" s="105">
        <v>3.2323206869559513</v>
      </c>
      <c r="CG66" s="105">
        <v>1287.756561683251</v>
      </c>
      <c r="CH66" s="105">
        <v>4.2152654798174289</v>
      </c>
      <c r="CI66" s="105">
        <v>1679.3617671592635</v>
      </c>
      <c r="CJ66" s="105">
        <v>4.2999859080745306</v>
      </c>
      <c r="CK66" s="105">
        <v>1713.114385776893</v>
      </c>
      <c r="CL66" s="105">
        <v>2.2106764144926085</v>
      </c>
      <c r="CM66" s="105">
        <v>880.73348353385518</v>
      </c>
      <c r="CN66" s="105">
        <v>4.2736710008966456</v>
      </c>
      <c r="CO66" s="105">
        <v>1702.6305267572236</v>
      </c>
      <c r="CP66" s="105">
        <v>3.0755485614955789</v>
      </c>
      <c r="CQ66" s="105">
        <v>1225.2985468998386</v>
      </c>
      <c r="CR66" s="105">
        <v>4.2239348859230184</v>
      </c>
      <c r="CS66" s="105">
        <v>1682.8156585517304</v>
      </c>
      <c r="CT66" s="105">
        <v>4.7718172450704639</v>
      </c>
      <c r="CU66" s="105">
        <v>1901.0919904360728</v>
      </c>
    </row>
    <row r="67" spans="2:99" x14ac:dyDescent="0.2">
      <c r="C67" s="104" t="s">
        <v>233</v>
      </c>
      <c r="D67" s="105">
        <v>0</v>
      </c>
      <c r="E67" s="105">
        <v>0</v>
      </c>
      <c r="F67" s="105">
        <v>0</v>
      </c>
      <c r="G67" s="105">
        <v>0</v>
      </c>
      <c r="H67" s="105">
        <v>0</v>
      </c>
      <c r="I67" s="105">
        <v>0</v>
      </c>
      <c r="J67" s="105">
        <v>0</v>
      </c>
      <c r="K67" s="105">
        <v>0</v>
      </c>
      <c r="L67" s="105">
        <v>0</v>
      </c>
      <c r="M67" s="105">
        <v>0</v>
      </c>
      <c r="N67" s="105">
        <v>5</v>
      </c>
      <c r="O67" s="105">
        <v>2370</v>
      </c>
      <c r="P67" s="105">
        <v>3.3479577171504142</v>
      </c>
      <c r="Q67" s="105">
        <v>1586.9319579292965</v>
      </c>
      <c r="R67" s="105">
        <v>4.1269955788504511</v>
      </c>
      <c r="S67" s="105">
        <v>1956.1959043751137</v>
      </c>
      <c r="T67" s="105">
        <v>4.2982494718432118</v>
      </c>
      <c r="U67" s="105">
        <v>2037.3702496536823</v>
      </c>
      <c r="V67" s="105">
        <v>3.2054602247609587</v>
      </c>
      <c r="W67" s="105">
        <v>1519.3881465366944</v>
      </c>
      <c r="X67" s="105">
        <v>4.1472017055646484</v>
      </c>
      <c r="Y67" s="105">
        <v>1965.7736084376434</v>
      </c>
      <c r="Z67" s="105">
        <v>2.2899625716778473</v>
      </c>
      <c r="AA67" s="105">
        <v>1085.4422589752996</v>
      </c>
      <c r="AB67" s="105">
        <v>5.2976869922939391</v>
      </c>
      <c r="AC67" s="105">
        <v>2511.103634347327</v>
      </c>
      <c r="AD67" s="105">
        <v>3.3203677365885671</v>
      </c>
      <c r="AE67" s="105">
        <v>1573.8543071429808</v>
      </c>
      <c r="AF67" s="105">
        <v>3.5884817856322053</v>
      </c>
      <c r="AG67" s="105">
        <v>1700.9403663896653</v>
      </c>
      <c r="AH67" s="105">
        <v>3.2069728443995116</v>
      </c>
      <c r="AI67" s="105">
        <v>1520.1051282453684</v>
      </c>
      <c r="AJ67" s="105">
        <v>4.7122291954455795</v>
      </c>
      <c r="AK67" s="105">
        <v>2233.5966386412047</v>
      </c>
      <c r="AL67" s="105">
        <v>3.1607021501729964</v>
      </c>
      <c r="AM67" s="105">
        <v>1498.1728191820002</v>
      </c>
      <c r="AN67" s="105">
        <v>2.2923507182088096</v>
      </c>
      <c r="AO67" s="105">
        <v>1086.5742404309758</v>
      </c>
      <c r="AP67" s="105">
        <v>4.2188548717686256</v>
      </c>
      <c r="AQ67" s="105">
        <v>1999.7372092183286</v>
      </c>
      <c r="AR67" s="105">
        <v>3.3499241652823204</v>
      </c>
      <c r="AS67" s="105">
        <v>1587.8640543438198</v>
      </c>
      <c r="AT67" s="105">
        <v>3.9365027429526931</v>
      </c>
      <c r="AU67" s="105">
        <v>1865.9023001595765</v>
      </c>
      <c r="AV67" s="105">
        <v>4.0396224179500244</v>
      </c>
      <c r="AW67" s="105">
        <v>1914.7810261083116</v>
      </c>
      <c r="AX67" s="105">
        <v>3.118407448324759</v>
      </c>
      <c r="AY67" s="105">
        <v>1478.1251305059359</v>
      </c>
      <c r="AZ67" s="105">
        <v>3.5621929873798317</v>
      </c>
      <c r="BA67" s="105">
        <v>1688.4794760180403</v>
      </c>
      <c r="BB67" s="105">
        <v>4.2883342449430044</v>
      </c>
      <c r="BC67" s="105">
        <v>2032.670432102984</v>
      </c>
      <c r="BD67" s="105">
        <v>3.2302725977256475</v>
      </c>
      <c r="BE67" s="105">
        <v>1531.149211321957</v>
      </c>
      <c r="BF67" s="105">
        <v>3.0332111902661523</v>
      </c>
      <c r="BG67" s="105">
        <v>1437.7421041861562</v>
      </c>
      <c r="BH67" s="105">
        <v>3.3495524633348213</v>
      </c>
      <c r="BI67" s="105">
        <v>1587.6878676207052</v>
      </c>
      <c r="BJ67" s="105">
        <v>3.957259037304528</v>
      </c>
      <c r="BK67" s="105">
        <v>1875.7407836823463</v>
      </c>
      <c r="BL67" s="105">
        <v>2.1135543345541348</v>
      </c>
      <c r="BM67" s="105">
        <v>1001.8247545786598</v>
      </c>
      <c r="BN67" s="105">
        <v>3.1723364478593687</v>
      </c>
      <c r="BO67" s="105">
        <v>1503.6874762853408</v>
      </c>
      <c r="BP67" s="105">
        <v>4.0754839487117023</v>
      </c>
      <c r="BQ67" s="105">
        <v>1931.7793916893468</v>
      </c>
      <c r="BR67" s="105">
        <v>4</v>
      </c>
      <c r="BS67" s="105">
        <v>1896</v>
      </c>
      <c r="BT67" s="105">
        <v>3.104279504224575</v>
      </c>
      <c r="BU67" s="105">
        <v>1471.4284850024485</v>
      </c>
      <c r="BV67" s="105">
        <v>3.230133148759609</v>
      </c>
      <c r="BW67" s="105">
        <v>1531.0831125120546</v>
      </c>
      <c r="BX67" s="105">
        <v>4.0680565225643397</v>
      </c>
      <c r="BY67" s="105">
        <v>1928.2587916954969</v>
      </c>
      <c r="BZ67" s="105">
        <v>3.6381168907727579</v>
      </c>
      <c r="CA67" s="105">
        <v>1724.4674062262873</v>
      </c>
      <c r="CB67" s="105">
        <v>3.9226155374184191</v>
      </c>
      <c r="CC67" s="105">
        <v>1859.3197647363306</v>
      </c>
      <c r="CD67" s="105">
        <v>4.4436814898104329</v>
      </c>
      <c r="CE67" s="105">
        <v>2106.3050261701451</v>
      </c>
      <c r="CF67" s="105">
        <v>3.278784824347142</v>
      </c>
      <c r="CG67" s="105">
        <v>1554.1440067405454</v>
      </c>
      <c r="CH67" s="105">
        <v>4.1709868356531077</v>
      </c>
      <c r="CI67" s="105">
        <v>1977.047760099573</v>
      </c>
      <c r="CJ67" s="105">
        <v>3.2999859080745306</v>
      </c>
      <c r="CK67" s="105">
        <v>1564.1933204273275</v>
      </c>
      <c r="CL67" s="105">
        <v>2.2528116973911301</v>
      </c>
      <c r="CM67" s="105">
        <v>1067.8327445633956</v>
      </c>
      <c r="CN67" s="105">
        <v>4.2736710008966456</v>
      </c>
      <c r="CO67" s="105">
        <v>2025.7200544250099</v>
      </c>
      <c r="CP67" s="105">
        <v>3.0755485614955789</v>
      </c>
      <c r="CQ67" s="105">
        <v>1457.8100181489044</v>
      </c>
      <c r="CR67" s="105">
        <v>3.2239348859230188</v>
      </c>
      <c r="CS67" s="105">
        <v>1528.1451359275109</v>
      </c>
      <c r="CT67" s="105">
        <v>3.8571268201641624</v>
      </c>
      <c r="CU67" s="105">
        <v>1828.278112757813</v>
      </c>
    </row>
    <row r="68" spans="2:99" x14ac:dyDescent="0.2">
      <c r="C68" s="104" t="s">
        <v>234</v>
      </c>
      <c r="D68" s="105">
        <v>0</v>
      </c>
      <c r="E68" s="105">
        <v>0</v>
      </c>
      <c r="F68" s="105">
        <v>0</v>
      </c>
      <c r="G68" s="105">
        <v>0</v>
      </c>
      <c r="H68" s="105">
        <v>0</v>
      </c>
      <c r="I68" s="105">
        <v>0</v>
      </c>
      <c r="J68" s="105">
        <v>0</v>
      </c>
      <c r="K68" s="105">
        <v>0</v>
      </c>
      <c r="L68" s="105">
        <v>0</v>
      </c>
      <c r="M68" s="105">
        <v>0</v>
      </c>
      <c r="N68" s="105">
        <v>5</v>
      </c>
      <c r="O68" s="105">
        <v>1350</v>
      </c>
      <c r="P68" s="105">
        <v>3.2982494718432123</v>
      </c>
      <c r="Q68" s="105">
        <v>890.52735739766729</v>
      </c>
      <c r="R68" s="105">
        <v>4.1269955788504511</v>
      </c>
      <c r="S68" s="105">
        <v>1114.2888062896218</v>
      </c>
      <c r="T68" s="105">
        <v>4.2982494718432118</v>
      </c>
      <c r="U68" s="105">
        <v>1160.5273573976672</v>
      </c>
      <c r="V68" s="105">
        <v>3.2054602247609587</v>
      </c>
      <c r="W68" s="105">
        <v>865.47426068545883</v>
      </c>
      <c r="X68" s="105">
        <v>4.1472017055646484</v>
      </c>
      <c r="Y68" s="105">
        <v>1119.744460502455</v>
      </c>
      <c r="Z68" s="105">
        <v>3.2899625716778473</v>
      </c>
      <c r="AA68" s="105">
        <v>888.28989435301878</v>
      </c>
      <c r="AB68" s="105">
        <v>5.2976869922939391</v>
      </c>
      <c r="AC68" s="105">
        <v>1430.3754879193636</v>
      </c>
      <c r="AD68" s="105">
        <v>3.3203677365885671</v>
      </c>
      <c r="AE68" s="105">
        <v>896.49928887891315</v>
      </c>
      <c r="AF68" s="105">
        <v>3.6291695501320493</v>
      </c>
      <c r="AG68" s="105">
        <v>979.87577853565335</v>
      </c>
      <c r="AH68" s="105">
        <v>3.2069728443995116</v>
      </c>
      <c r="AI68" s="105">
        <v>865.8826679878681</v>
      </c>
      <c r="AJ68" s="105">
        <v>3.807572231787149</v>
      </c>
      <c r="AK68" s="105">
        <v>1028.0445025825302</v>
      </c>
      <c r="AL68" s="105">
        <v>4.147497117621695</v>
      </c>
      <c r="AM68" s="105">
        <v>1119.8242217578577</v>
      </c>
      <c r="AN68" s="105">
        <v>2.2923507182088096</v>
      </c>
      <c r="AO68" s="105">
        <v>618.93469391637859</v>
      </c>
      <c r="AP68" s="105">
        <v>4.2188548717686256</v>
      </c>
      <c r="AQ68" s="105">
        <v>1139.090815377529</v>
      </c>
      <c r="AR68" s="105">
        <v>3.2999349988134172</v>
      </c>
      <c r="AS68" s="105">
        <v>890.98244967962262</v>
      </c>
      <c r="AT68" s="105">
        <v>3.9365027429526931</v>
      </c>
      <c r="AU68" s="105">
        <v>1062.8557405972272</v>
      </c>
      <c r="AV68" s="105">
        <v>4.0737009304688119</v>
      </c>
      <c r="AW68" s="105">
        <v>1099.8992512265793</v>
      </c>
      <c r="AX68" s="105">
        <v>3.118407448324759</v>
      </c>
      <c r="AY68" s="105">
        <v>841.97001104768492</v>
      </c>
      <c r="AZ68" s="105">
        <v>3.5621929873798317</v>
      </c>
      <c r="BA68" s="105">
        <v>961.79210659255455</v>
      </c>
      <c r="BB68" s="105">
        <v>3.2883342449430044</v>
      </c>
      <c r="BC68" s="105">
        <v>887.85024613461121</v>
      </c>
      <c r="BD68" s="105">
        <v>2.2302725977256475</v>
      </c>
      <c r="BE68" s="105">
        <v>602.17360138592483</v>
      </c>
      <c r="BF68" s="105">
        <v>3.0442815870215361</v>
      </c>
      <c r="BG68" s="105">
        <v>821.95602849581473</v>
      </c>
      <c r="BH68" s="105">
        <v>3.3495524633348213</v>
      </c>
      <c r="BI68" s="105">
        <v>904.37916510040179</v>
      </c>
      <c r="BJ68" s="105">
        <v>3.957259037304528</v>
      </c>
      <c r="BK68" s="105">
        <v>1068.4599400722225</v>
      </c>
      <c r="BL68" s="105">
        <v>2.151405779405513</v>
      </c>
      <c r="BM68" s="105">
        <v>580.8795604394885</v>
      </c>
      <c r="BN68" s="105">
        <v>3.1723364478593687</v>
      </c>
      <c r="BO68" s="105">
        <v>856.5308409220296</v>
      </c>
      <c r="BP68" s="105">
        <v>4.0754839487117023</v>
      </c>
      <c r="BQ68" s="105">
        <v>1100.3806661521596</v>
      </c>
      <c r="BR68" s="105">
        <v>4</v>
      </c>
      <c r="BS68" s="105">
        <v>1080</v>
      </c>
      <c r="BT68" s="105">
        <v>3.104279504224575</v>
      </c>
      <c r="BU68" s="105">
        <v>838.15546614063521</v>
      </c>
      <c r="BV68" s="105">
        <v>3.230133148759609</v>
      </c>
      <c r="BW68" s="105">
        <v>872.13595016509441</v>
      </c>
      <c r="BX68" s="105">
        <v>4.0680565225643397</v>
      </c>
      <c r="BY68" s="105">
        <v>1098.3752610923718</v>
      </c>
      <c r="BZ68" s="105">
        <v>3.5969122969473557</v>
      </c>
      <c r="CA68" s="105">
        <v>971.16632017578604</v>
      </c>
      <c r="CB68" s="105">
        <v>3.9226155374184191</v>
      </c>
      <c r="CC68" s="105">
        <v>1059.1061951029731</v>
      </c>
      <c r="CD68" s="105">
        <v>3.5623841097387885</v>
      </c>
      <c r="CE68" s="105">
        <v>961.84370962947287</v>
      </c>
      <c r="CF68" s="105">
        <v>3.278784824347142</v>
      </c>
      <c r="CG68" s="105">
        <v>885.27190257372831</v>
      </c>
      <c r="CH68" s="105">
        <v>4.2152654798174289</v>
      </c>
      <c r="CI68" s="105">
        <v>1138.1216795507057</v>
      </c>
      <c r="CJ68" s="105">
        <v>4.349983559420286</v>
      </c>
      <c r="CK68" s="105">
        <v>1174.4955610434772</v>
      </c>
      <c r="CL68" s="105">
        <v>2.2106764144926085</v>
      </c>
      <c r="CM68" s="105">
        <v>596.88263191300427</v>
      </c>
      <c r="CN68" s="105">
        <v>4.2280591674138712</v>
      </c>
      <c r="CO68" s="105">
        <v>1141.5759752017452</v>
      </c>
      <c r="CP68" s="105">
        <v>3.1007314153274383</v>
      </c>
      <c r="CQ68" s="105">
        <v>837.1974821384083</v>
      </c>
      <c r="CR68" s="105">
        <v>4.2239348859230184</v>
      </c>
      <c r="CS68" s="105">
        <v>1140.462419199215</v>
      </c>
      <c r="CT68" s="105">
        <v>3.8571268201641624</v>
      </c>
      <c r="CU68" s="105">
        <v>1041.4242414443238</v>
      </c>
    </row>
    <row r="69" spans="2:99" x14ac:dyDescent="0.2">
      <c r="C69" s="104" t="s">
        <v>235</v>
      </c>
      <c r="D69" s="105">
        <v>0</v>
      </c>
      <c r="E69" s="105">
        <v>0</v>
      </c>
      <c r="F69" s="105">
        <v>0</v>
      </c>
      <c r="G69" s="105">
        <v>0</v>
      </c>
      <c r="H69" s="105">
        <v>0</v>
      </c>
      <c r="I69" s="105">
        <v>0</v>
      </c>
      <c r="J69" s="105">
        <v>0</v>
      </c>
      <c r="K69" s="105">
        <v>0</v>
      </c>
      <c r="L69" s="105">
        <v>0</v>
      </c>
      <c r="M69" s="105">
        <v>0</v>
      </c>
      <c r="N69" s="105">
        <v>4</v>
      </c>
      <c r="O69" s="105">
        <v>691.19999999999993</v>
      </c>
      <c r="P69" s="105">
        <v>3.3479577171504142</v>
      </c>
      <c r="Q69" s="105">
        <v>578.52709352359147</v>
      </c>
      <c r="R69" s="105">
        <v>4.1269955788504511</v>
      </c>
      <c r="S69" s="105">
        <v>713.1448360253579</v>
      </c>
      <c r="T69" s="105">
        <v>4.2982494718432118</v>
      </c>
      <c r="U69" s="105">
        <v>742.73750873450695</v>
      </c>
      <c r="V69" s="105">
        <v>3.2054602247609587</v>
      </c>
      <c r="W69" s="105">
        <v>553.90352683869367</v>
      </c>
      <c r="X69" s="105">
        <v>4.1840021319558112</v>
      </c>
      <c r="Y69" s="105">
        <v>722.99556840196408</v>
      </c>
      <c r="Z69" s="105">
        <v>3.2899625716778473</v>
      </c>
      <c r="AA69" s="105">
        <v>568.50553238593193</v>
      </c>
      <c r="AB69" s="105">
        <v>5.2976869922939391</v>
      </c>
      <c r="AC69" s="105">
        <v>915.44031226839263</v>
      </c>
      <c r="AD69" s="105">
        <v>4.1551967336191291</v>
      </c>
      <c r="AE69" s="105">
        <v>718.01799556938545</v>
      </c>
      <c r="AF69" s="105">
        <v>3.6291695501320493</v>
      </c>
      <c r="AG69" s="105">
        <v>627.12049826281805</v>
      </c>
      <c r="AH69" s="105">
        <v>3.2483674132794138</v>
      </c>
      <c r="AI69" s="105">
        <v>561.31788901468269</v>
      </c>
      <c r="AJ69" s="105">
        <v>4.7500180708762656</v>
      </c>
      <c r="AK69" s="105">
        <v>820.8031226474186</v>
      </c>
      <c r="AL69" s="105">
        <v>3.1607021501729964</v>
      </c>
      <c r="AM69" s="105">
        <v>546.16933154989374</v>
      </c>
      <c r="AN69" s="105">
        <v>3.3410758379102776</v>
      </c>
      <c r="AO69" s="105">
        <v>577.33790479089589</v>
      </c>
      <c r="AP69" s="105">
        <v>4.2188548717686256</v>
      </c>
      <c r="AQ69" s="105">
        <v>729.01812184161838</v>
      </c>
      <c r="AR69" s="105">
        <v>3.2999349988134172</v>
      </c>
      <c r="AS69" s="105">
        <v>570.22876779495846</v>
      </c>
      <c r="AT69" s="105">
        <v>3.9365027429526931</v>
      </c>
      <c r="AU69" s="105">
        <v>680.22767398222527</v>
      </c>
      <c r="AV69" s="105">
        <v>3.2657764468788075</v>
      </c>
      <c r="AW69" s="105">
        <v>564.32617002065786</v>
      </c>
      <c r="AX69" s="105">
        <v>3.118407448324759</v>
      </c>
      <c r="AY69" s="105">
        <v>538.86080707051826</v>
      </c>
      <c r="AZ69" s="105">
        <v>4.4527412342247903</v>
      </c>
      <c r="BA69" s="105">
        <v>769.43368527404368</v>
      </c>
      <c r="BB69" s="105">
        <v>4.336389952433505</v>
      </c>
      <c r="BC69" s="105">
        <v>749.32818378050956</v>
      </c>
      <c r="BD69" s="105">
        <v>3.2302725977256475</v>
      </c>
      <c r="BE69" s="105">
        <v>558.19110488699187</v>
      </c>
      <c r="BF69" s="105">
        <v>3.0442815870215361</v>
      </c>
      <c r="BG69" s="105">
        <v>526.05185823732143</v>
      </c>
      <c r="BH69" s="105">
        <v>2.3495524633348213</v>
      </c>
      <c r="BI69" s="105">
        <v>406.00266566425705</v>
      </c>
      <c r="BJ69" s="105">
        <v>3.957259037304528</v>
      </c>
      <c r="BK69" s="105">
        <v>683.81436164622232</v>
      </c>
      <c r="BL69" s="105">
        <v>2.151405779405513</v>
      </c>
      <c r="BM69" s="105">
        <v>371.76291868127259</v>
      </c>
      <c r="BN69" s="105">
        <v>3.1723364478593687</v>
      </c>
      <c r="BO69" s="105">
        <v>548.17973819009887</v>
      </c>
      <c r="BP69" s="105">
        <v>4.0754839487117023</v>
      </c>
      <c r="BQ69" s="105">
        <v>704.24362633738212</v>
      </c>
      <c r="BR69" s="105">
        <v>4</v>
      </c>
      <c r="BS69" s="105">
        <v>691.19999999999993</v>
      </c>
      <c r="BT69" s="105">
        <v>3.104279504224575</v>
      </c>
      <c r="BU69" s="105">
        <v>536.41949833000649</v>
      </c>
      <c r="BV69" s="105">
        <v>3.230133148759609</v>
      </c>
      <c r="BW69" s="105">
        <v>558.16700810566033</v>
      </c>
      <c r="BX69" s="105">
        <v>4.0680565225643397</v>
      </c>
      <c r="BY69" s="105">
        <v>702.96016709911783</v>
      </c>
      <c r="BZ69" s="105">
        <v>3.6381168907727579</v>
      </c>
      <c r="CA69" s="105">
        <v>628.66659872553248</v>
      </c>
      <c r="CB69" s="105">
        <v>3.9226155374184191</v>
      </c>
      <c r="CC69" s="105">
        <v>677.8279648659028</v>
      </c>
      <c r="CD69" s="105">
        <v>3.5623841097387885</v>
      </c>
      <c r="CE69" s="105">
        <v>615.57997416286264</v>
      </c>
      <c r="CF69" s="105">
        <v>3.278784824347142</v>
      </c>
      <c r="CG69" s="105">
        <v>566.57401764718611</v>
      </c>
      <c r="CH69" s="105">
        <v>4.2152654798174289</v>
      </c>
      <c r="CI69" s="105">
        <v>728.3978749124517</v>
      </c>
      <c r="CJ69" s="105">
        <v>3.3499835594202856</v>
      </c>
      <c r="CK69" s="105">
        <v>578.87715906782535</v>
      </c>
      <c r="CL69" s="105">
        <v>2.2106764144926085</v>
      </c>
      <c r="CM69" s="105">
        <v>382.00488442432271</v>
      </c>
      <c r="CN69" s="105">
        <v>4.2280591674138712</v>
      </c>
      <c r="CO69" s="105">
        <v>730.60862412911683</v>
      </c>
      <c r="CP69" s="105">
        <v>4.1007314153274379</v>
      </c>
      <c r="CQ69" s="105">
        <v>708.60638856858122</v>
      </c>
      <c r="CR69" s="105">
        <v>4.2239348859230184</v>
      </c>
      <c r="CS69" s="105">
        <v>729.8959482874975</v>
      </c>
      <c r="CT69" s="105">
        <v>3.8571268201641624</v>
      </c>
      <c r="CU69" s="105">
        <v>666.51151452436716</v>
      </c>
    </row>
    <row r="70" spans="2:99" x14ac:dyDescent="0.2">
      <c r="C70" s="104" t="s">
        <v>236</v>
      </c>
      <c r="D70" s="105">
        <v>0</v>
      </c>
      <c r="E70" s="105">
        <v>0</v>
      </c>
      <c r="F70" s="105">
        <v>0</v>
      </c>
      <c r="G70" s="105">
        <v>0</v>
      </c>
      <c r="H70" s="105">
        <v>0</v>
      </c>
      <c r="I70" s="105">
        <v>0</v>
      </c>
      <c r="J70" s="105">
        <v>0</v>
      </c>
      <c r="K70" s="105">
        <v>0</v>
      </c>
      <c r="L70" s="105">
        <v>0</v>
      </c>
      <c r="M70" s="105">
        <v>0</v>
      </c>
      <c r="N70" s="105">
        <v>5</v>
      </c>
      <c r="O70" s="105">
        <v>2148</v>
      </c>
      <c r="P70" s="105">
        <v>3.2982494718432123</v>
      </c>
      <c r="Q70" s="105">
        <v>1416.9279731038439</v>
      </c>
      <c r="R70" s="105">
        <v>4.1693274384672678</v>
      </c>
      <c r="S70" s="105">
        <v>1791.1430675655381</v>
      </c>
      <c r="T70" s="105">
        <v>5.3479577171504147</v>
      </c>
      <c r="U70" s="105">
        <v>2297.4826352878181</v>
      </c>
      <c r="V70" s="105">
        <v>3.2054602247609587</v>
      </c>
      <c r="W70" s="105">
        <v>1377.0657125573077</v>
      </c>
      <c r="X70" s="105">
        <v>5.1840021319558112</v>
      </c>
      <c r="Y70" s="105">
        <v>2227.0473158882164</v>
      </c>
      <c r="Z70" s="105">
        <v>3.2899625716778473</v>
      </c>
      <c r="AA70" s="105">
        <v>1413.367920792803</v>
      </c>
      <c r="AB70" s="105">
        <v>5.2976869922939391</v>
      </c>
      <c r="AC70" s="105">
        <v>2275.886331889476</v>
      </c>
      <c r="AD70" s="105">
        <v>3.3203677365885671</v>
      </c>
      <c r="AE70" s="105">
        <v>1426.4299796384482</v>
      </c>
      <c r="AF70" s="105">
        <v>3.6291695501320493</v>
      </c>
      <c r="AG70" s="105">
        <v>1559.0912387367282</v>
      </c>
      <c r="AH70" s="105">
        <v>3.2069728443995116</v>
      </c>
      <c r="AI70" s="105">
        <v>1377.71553395403</v>
      </c>
      <c r="AJ70" s="105">
        <v>3.807572231787149</v>
      </c>
      <c r="AK70" s="105">
        <v>1635.7330307757591</v>
      </c>
      <c r="AL70" s="105">
        <v>3.2007655997383755</v>
      </c>
      <c r="AM70" s="105">
        <v>1375.048901647606</v>
      </c>
      <c r="AN70" s="105">
        <v>2.3410758379102776</v>
      </c>
      <c r="AO70" s="105">
        <v>1005.7261799662551</v>
      </c>
      <c r="AP70" s="105">
        <v>4.2188548717686256</v>
      </c>
      <c r="AQ70" s="105">
        <v>1812.4200529118013</v>
      </c>
      <c r="AR70" s="105">
        <v>3.2999349988134172</v>
      </c>
      <c r="AS70" s="105">
        <v>1417.652075490244</v>
      </c>
      <c r="AT70" s="105">
        <v>3.9365027429526931</v>
      </c>
      <c r="AU70" s="105">
        <v>1691.1215783724767</v>
      </c>
      <c r="AV70" s="105">
        <v>4.0737009304688119</v>
      </c>
      <c r="AW70" s="105">
        <v>1750.0619197294016</v>
      </c>
      <c r="AX70" s="105">
        <v>3.118407448324759</v>
      </c>
      <c r="AY70" s="105">
        <v>1339.6678398003164</v>
      </c>
      <c r="AZ70" s="105">
        <v>4.4527412342247903</v>
      </c>
      <c r="BA70" s="105">
        <v>1912.8976342229698</v>
      </c>
      <c r="BB70" s="105">
        <v>3.2883342449430044</v>
      </c>
      <c r="BC70" s="105">
        <v>1412.6683916275147</v>
      </c>
      <c r="BD70" s="105">
        <v>3.2302725977256475</v>
      </c>
      <c r="BE70" s="105">
        <v>1387.725107982938</v>
      </c>
      <c r="BF70" s="105">
        <v>3.0332111902661523</v>
      </c>
      <c r="BG70" s="105">
        <v>1303.067527338339</v>
      </c>
      <c r="BH70" s="105">
        <v>3.2996163971441321</v>
      </c>
      <c r="BI70" s="105">
        <v>1417.515204213119</v>
      </c>
      <c r="BJ70" s="105">
        <v>3.957259037304528</v>
      </c>
      <c r="BK70" s="105">
        <v>1700.038482426025</v>
      </c>
      <c r="BL70" s="105">
        <v>2.151405779405513</v>
      </c>
      <c r="BM70" s="105">
        <v>924.24392283260829</v>
      </c>
      <c r="BN70" s="105">
        <v>3.1723364478593687</v>
      </c>
      <c r="BO70" s="105">
        <v>1362.8357380003847</v>
      </c>
      <c r="BP70" s="105">
        <v>4.0754839487117023</v>
      </c>
      <c r="BQ70" s="105">
        <v>1750.827904366547</v>
      </c>
      <c r="BR70" s="105">
        <v>3</v>
      </c>
      <c r="BS70" s="105">
        <v>1288.8</v>
      </c>
      <c r="BT70" s="105">
        <v>3.104279504224575</v>
      </c>
      <c r="BU70" s="105">
        <v>1333.5984750148773</v>
      </c>
      <c r="BV70" s="105">
        <v>3.230133148759609</v>
      </c>
      <c r="BW70" s="105">
        <v>1387.665200707128</v>
      </c>
      <c r="BX70" s="105">
        <v>4.0680565225643397</v>
      </c>
      <c r="BY70" s="105">
        <v>1747.6370820936402</v>
      </c>
      <c r="BZ70" s="105">
        <v>3.5969122969473557</v>
      </c>
      <c r="CA70" s="105">
        <v>1545.233522768584</v>
      </c>
      <c r="CB70" s="105">
        <v>3.9226155374184191</v>
      </c>
      <c r="CC70" s="105">
        <v>1685.1556348749527</v>
      </c>
      <c r="CD70" s="105">
        <v>3.5995786991909986</v>
      </c>
      <c r="CE70" s="105">
        <v>1546.3790091724529</v>
      </c>
      <c r="CF70" s="105">
        <v>3.278784824347142</v>
      </c>
      <c r="CG70" s="105">
        <v>1408.5659605395322</v>
      </c>
      <c r="CH70" s="105">
        <v>4.1709868356531077</v>
      </c>
      <c r="CI70" s="105">
        <v>1791.855944596575</v>
      </c>
      <c r="CJ70" s="105">
        <v>4.2999859080745306</v>
      </c>
      <c r="CK70" s="105">
        <v>1847.2739461088181</v>
      </c>
      <c r="CL70" s="105">
        <v>2.2106764144926085</v>
      </c>
      <c r="CM70" s="105">
        <v>949.70658766602457</v>
      </c>
      <c r="CN70" s="105">
        <v>4.2736710008966456</v>
      </c>
      <c r="CO70" s="105">
        <v>1835.9690619851988</v>
      </c>
      <c r="CP70" s="105">
        <v>4.1007314153274379</v>
      </c>
      <c r="CQ70" s="105">
        <v>1761.6742160246672</v>
      </c>
      <c r="CR70" s="105">
        <v>4.2239348859230184</v>
      </c>
      <c r="CS70" s="105">
        <v>1814.6024269925285</v>
      </c>
      <c r="CT70" s="105">
        <v>4.7718172450704639</v>
      </c>
      <c r="CU70" s="105">
        <v>2049.9726884822712</v>
      </c>
    </row>
    <row r="71" spans="2:99" x14ac:dyDescent="0.2">
      <c r="B71" s="104" t="s">
        <v>130</v>
      </c>
      <c r="C71" s="104" t="s">
        <v>237</v>
      </c>
      <c r="D71" s="105">
        <v>2.104490601985471</v>
      </c>
      <c r="E71" s="105">
        <v>386.38447452453244</v>
      </c>
      <c r="F71" s="105">
        <v>1.9779297671377412</v>
      </c>
      <c r="G71" s="105">
        <v>363.14790524648924</v>
      </c>
      <c r="H71" s="105">
        <v>2.1251924159807714</v>
      </c>
      <c r="I71" s="105">
        <v>390.18532757406962</v>
      </c>
      <c r="J71" s="105">
        <v>2.3946460299776882</v>
      </c>
      <c r="K71" s="105">
        <v>439.65701110390353</v>
      </c>
      <c r="L71" s="105">
        <v>2.2529695725615975</v>
      </c>
      <c r="M71" s="105">
        <v>413.64521352230929</v>
      </c>
      <c r="N71" s="105">
        <v>2.2389645404304734</v>
      </c>
      <c r="O71" s="105">
        <v>411.07388962303492</v>
      </c>
      <c r="P71" s="105">
        <v>2.3052962501241105</v>
      </c>
      <c r="Q71" s="105">
        <v>423.2523915227867</v>
      </c>
      <c r="R71" s="105">
        <v>2.5548527366478844</v>
      </c>
      <c r="S71" s="105">
        <v>469.07096244855154</v>
      </c>
      <c r="T71" s="105">
        <v>2.1201613759698255</v>
      </c>
      <c r="U71" s="105">
        <v>389.26162862805995</v>
      </c>
      <c r="V71" s="105">
        <v>2.3087325044220548</v>
      </c>
      <c r="W71" s="105">
        <v>423.88328781188926</v>
      </c>
      <c r="X71" s="105">
        <v>1.664458136831874</v>
      </c>
      <c r="Y71" s="105">
        <v>305.59451392233206</v>
      </c>
      <c r="Z71" s="105">
        <v>2.4168406144404706</v>
      </c>
      <c r="AA71" s="105">
        <v>443.73193681127037</v>
      </c>
      <c r="AB71" s="105">
        <v>2.6151851041905307</v>
      </c>
      <c r="AC71" s="105">
        <v>480.14798512938142</v>
      </c>
      <c r="AD71" s="105">
        <v>2.5749624150613815</v>
      </c>
      <c r="AE71" s="105">
        <v>472.7630994052696</v>
      </c>
      <c r="AF71" s="105">
        <v>2.1265371544316682</v>
      </c>
      <c r="AG71" s="105">
        <v>390.4322215536543</v>
      </c>
      <c r="AH71" s="105">
        <v>2.8484930058400018</v>
      </c>
      <c r="AI71" s="105">
        <v>522.98331587222435</v>
      </c>
      <c r="AJ71" s="105">
        <v>2.2128385716574948</v>
      </c>
      <c r="AK71" s="105">
        <v>406.27716175631605</v>
      </c>
      <c r="AL71" s="105">
        <v>2.3716548270455351</v>
      </c>
      <c r="AM71" s="105">
        <v>435.43582624556024</v>
      </c>
      <c r="AN71" s="105">
        <v>1.7392135398333923</v>
      </c>
      <c r="AO71" s="105">
        <v>319.31960591341084</v>
      </c>
      <c r="AP71" s="105">
        <v>2.0717586959869232</v>
      </c>
      <c r="AQ71" s="105">
        <v>380.37489658319907</v>
      </c>
      <c r="AR71" s="105">
        <v>2</v>
      </c>
      <c r="AS71" s="105">
        <v>367.2</v>
      </c>
      <c r="AT71" s="105">
        <v>1.6452693927587425</v>
      </c>
      <c r="AU71" s="105">
        <v>302.07146051050512</v>
      </c>
      <c r="AV71" s="105">
        <v>2.28484090225805</v>
      </c>
      <c r="AW71" s="105">
        <v>419.49678965457798</v>
      </c>
      <c r="AX71" s="105">
        <v>2.4505148813795157</v>
      </c>
      <c r="AY71" s="105">
        <v>449.91453222127905</v>
      </c>
      <c r="AZ71" s="105">
        <v>2.3194109991385026</v>
      </c>
      <c r="BA71" s="105">
        <v>425.84385944182907</v>
      </c>
      <c r="BB71" s="105">
        <v>2.1386101084971365</v>
      </c>
      <c r="BC71" s="105">
        <v>392.64881592007424</v>
      </c>
      <c r="BD71" s="105">
        <v>2.5207585340307626</v>
      </c>
      <c r="BE71" s="105">
        <v>462.81126684804798</v>
      </c>
      <c r="BF71" s="105">
        <v>2.2149432807432921</v>
      </c>
      <c r="BG71" s="105">
        <v>406.6635863444684</v>
      </c>
      <c r="BH71" s="105">
        <v>2.106868985982814</v>
      </c>
      <c r="BI71" s="105">
        <v>386.82114582644465</v>
      </c>
      <c r="BJ71" s="105">
        <v>1.9340723491142571</v>
      </c>
      <c r="BK71" s="105">
        <v>355.0956832973776</v>
      </c>
      <c r="BL71" s="105">
        <v>2.2970256285547577</v>
      </c>
      <c r="BM71" s="105">
        <v>421.73390540265348</v>
      </c>
      <c r="BN71" s="105">
        <v>2.5166406091232534</v>
      </c>
      <c r="BO71" s="105">
        <v>462.05521583502929</v>
      </c>
      <c r="BP71" s="105">
        <v>2.2815103424154044</v>
      </c>
      <c r="BQ71" s="105">
        <v>418.88529886746824</v>
      </c>
      <c r="BR71" s="105">
        <v>2.1183246634430213</v>
      </c>
      <c r="BS71" s="105">
        <v>388.92440820813869</v>
      </c>
      <c r="BT71" s="105">
        <v>2.240130461443659</v>
      </c>
      <c r="BU71" s="105">
        <v>411.28795272105577</v>
      </c>
      <c r="BV71" s="105">
        <v>2.4241998871827746</v>
      </c>
      <c r="BW71" s="105">
        <v>445.08309928675737</v>
      </c>
      <c r="BX71" s="105">
        <v>2.2535621401766988</v>
      </c>
      <c r="BY71" s="105">
        <v>413.75400893644189</v>
      </c>
      <c r="BZ71" s="105">
        <v>2.5958474925318487</v>
      </c>
      <c r="CA71" s="105">
        <v>476.59759962884738</v>
      </c>
      <c r="CB71" s="105">
        <v>2.3690161237850069</v>
      </c>
      <c r="CC71" s="105">
        <v>434.95136032692727</v>
      </c>
      <c r="CD71" s="105">
        <v>2.611898296392519</v>
      </c>
      <c r="CE71" s="105">
        <v>479.54452721766648</v>
      </c>
      <c r="CF71" s="105">
        <v>2.6165430329124337</v>
      </c>
      <c r="CG71" s="105">
        <v>480.39730084272281</v>
      </c>
      <c r="CH71" s="105">
        <v>2.7253448591210558</v>
      </c>
      <c r="CI71" s="105">
        <v>500.37331613462584</v>
      </c>
      <c r="CJ71" s="105">
        <v>2.6198728965217302</v>
      </c>
      <c r="CK71" s="105">
        <v>481.00866380138962</v>
      </c>
      <c r="CL71" s="105">
        <v>2.3929243848878432</v>
      </c>
      <c r="CM71" s="105">
        <v>439.34091706540801</v>
      </c>
      <c r="CN71" s="105">
        <v>2.6963008672585502</v>
      </c>
      <c r="CO71" s="105">
        <v>495.04083922866982</v>
      </c>
      <c r="CP71" s="105">
        <v>2.3580960260515398</v>
      </c>
      <c r="CQ71" s="105">
        <v>432.9464303830627</v>
      </c>
      <c r="CR71" s="105">
        <v>2.4238699620177768</v>
      </c>
      <c r="CS71" s="105">
        <v>445.02252502646382</v>
      </c>
      <c r="CT71" s="105">
        <v>2.3049711626842324</v>
      </c>
      <c r="CU71" s="105">
        <v>423.19270546882507</v>
      </c>
    </row>
    <row r="72" spans="2:99" x14ac:dyDescent="0.2">
      <c r="C72" s="104" t="s">
        <v>238</v>
      </c>
      <c r="D72" s="105">
        <v>2.104490601985471</v>
      </c>
      <c r="E72" s="105">
        <v>1030.3585987320864</v>
      </c>
      <c r="F72" s="105">
        <v>2.0136154689324499</v>
      </c>
      <c r="G72" s="105">
        <v>985.86613358932743</v>
      </c>
      <c r="H72" s="105">
        <v>2.0980230125653847</v>
      </c>
      <c r="I72" s="105">
        <v>1027.1920669520123</v>
      </c>
      <c r="J72" s="105">
        <v>2.3946460299776882</v>
      </c>
      <c r="K72" s="105">
        <v>1172.4186962770762</v>
      </c>
      <c r="L72" s="105">
        <v>2.2529695725615975</v>
      </c>
      <c r="M72" s="105">
        <v>1103.053902726158</v>
      </c>
      <c r="N72" s="105">
        <v>2.0139593278245469</v>
      </c>
      <c r="O72" s="105">
        <v>986.03448690289804</v>
      </c>
      <c r="P72" s="105">
        <v>2.3358871235625474</v>
      </c>
      <c r="Q72" s="105">
        <v>1143.650335696223</v>
      </c>
      <c r="R72" s="105">
        <v>2.5548527366478844</v>
      </c>
      <c r="S72" s="105">
        <v>1250.8558998628041</v>
      </c>
      <c r="T72" s="105">
        <v>2.0645875616574076</v>
      </c>
      <c r="U72" s="105">
        <v>1010.8220701874667</v>
      </c>
      <c r="V72" s="105">
        <v>2.331593379003694</v>
      </c>
      <c r="W72" s="105">
        <v>1141.5481183602085</v>
      </c>
      <c r="X72" s="105">
        <v>2.4070171855468705</v>
      </c>
      <c r="Y72" s="105">
        <v>1178.4756140437478</v>
      </c>
      <c r="Z72" s="105">
        <v>2.6143253355940916</v>
      </c>
      <c r="AA72" s="105">
        <v>1279.9736843068672</v>
      </c>
      <c r="AB72" s="105">
        <v>2.6091233951996329</v>
      </c>
      <c r="AC72" s="105">
        <v>1277.4268142897402</v>
      </c>
      <c r="AD72" s="105">
        <v>1.9312218112960362</v>
      </c>
      <c r="AE72" s="105">
        <v>945.52619881053931</v>
      </c>
      <c r="AF72" s="105">
        <v>2.095234998049901</v>
      </c>
      <c r="AG72" s="105">
        <v>1025.8270550452314</v>
      </c>
      <c r="AH72" s="105">
        <v>2.8236970814096081</v>
      </c>
      <c r="AI72" s="105">
        <v>1382.4820910581441</v>
      </c>
      <c r="AJ72" s="105">
        <v>2.2128385716574948</v>
      </c>
      <c r="AK72" s="105">
        <v>1083.4057646835095</v>
      </c>
      <c r="AL72" s="105">
        <v>2.3716548270455351</v>
      </c>
      <c r="AM72" s="105">
        <v>1161.162203321494</v>
      </c>
      <c r="AN72" s="105">
        <v>2.6088203097500884</v>
      </c>
      <c r="AO72" s="105">
        <v>1277.2784236536431</v>
      </c>
      <c r="AP72" s="105">
        <v>2.0717586959869232</v>
      </c>
      <c r="AQ72" s="105">
        <v>1014.3330575551976</v>
      </c>
      <c r="AR72" s="105">
        <v>2</v>
      </c>
      <c r="AS72" s="105">
        <v>979.19999999999993</v>
      </c>
      <c r="AT72" s="105">
        <v>1.6452693927587425</v>
      </c>
      <c r="AU72" s="105">
        <v>805.52389469468028</v>
      </c>
      <c r="AV72" s="105">
        <v>1.7136306766935376</v>
      </c>
      <c r="AW72" s="105">
        <v>838.99357930915596</v>
      </c>
      <c r="AX72" s="105">
        <v>2.4505148813795157</v>
      </c>
      <c r="AY72" s="105">
        <v>1199.7720859234107</v>
      </c>
      <c r="AZ72" s="105">
        <v>2.3194109991385026</v>
      </c>
      <c r="BA72" s="105">
        <v>1135.5836251782107</v>
      </c>
      <c r="BB72" s="105">
        <v>2.7288859115770006</v>
      </c>
      <c r="BC72" s="105">
        <v>1336.0625423080994</v>
      </c>
      <c r="BD72" s="105">
        <v>2.4873334832225695</v>
      </c>
      <c r="BE72" s="105">
        <v>1217.79847338577</v>
      </c>
      <c r="BF72" s="105">
        <v>2.9182187817228606</v>
      </c>
      <c r="BG72" s="105">
        <v>1428.7599155315124</v>
      </c>
      <c r="BH72" s="105">
        <v>2.0700330758618963</v>
      </c>
      <c r="BI72" s="105">
        <v>1013.4881939419844</v>
      </c>
      <c r="BJ72" s="105">
        <v>1.9340723491142571</v>
      </c>
      <c r="BK72" s="105">
        <v>946.9218221263402</v>
      </c>
      <c r="BL72" s="105">
        <v>2.3274359869806407</v>
      </c>
      <c r="BM72" s="105">
        <v>1139.5126592257216</v>
      </c>
      <c r="BN72" s="105">
        <v>2.5166406091232534</v>
      </c>
      <c r="BO72" s="105">
        <v>1232.1472422267448</v>
      </c>
      <c r="BP72" s="105">
        <v>2.3071082834733003</v>
      </c>
      <c r="BQ72" s="105">
        <v>1129.5602155885279</v>
      </c>
      <c r="BR72" s="105">
        <v>2.06046755267313</v>
      </c>
      <c r="BS72" s="105">
        <v>1008.8049137887643</v>
      </c>
      <c r="BT72" s="105">
        <v>2.2308854802113238</v>
      </c>
      <c r="BU72" s="105">
        <v>1092.2415311114642</v>
      </c>
      <c r="BV72" s="105">
        <v>2.4027926404601954</v>
      </c>
      <c r="BW72" s="105">
        <v>1176.4072767693115</v>
      </c>
      <c r="BX72" s="105">
        <v>2.2535621401766988</v>
      </c>
      <c r="BY72" s="105">
        <v>1103.3440238305116</v>
      </c>
      <c r="BZ72" s="105">
        <v>2.5695098775336604</v>
      </c>
      <c r="CA72" s="105">
        <v>1258.0320360404801</v>
      </c>
      <c r="CB72" s="105">
        <v>2.6754859475351211</v>
      </c>
      <c r="CC72" s="105">
        <v>1309.9179199131952</v>
      </c>
      <c r="CD72" s="105">
        <v>2.611898296392519</v>
      </c>
      <c r="CE72" s="105">
        <v>1278.7854059137771</v>
      </c>
      <c r="CF72" s="105">
        <v>2.6165430329124337</v>
      </c>
      <c r="CG72" s="105">
        <v>1281.0594689139275</v>
      </c>
      <c r="CH72" s="105">
        <v>2.7253448591210558</v>
      </c>
      <c r="CI72" s="105">
        <v>1334.3288430256689</v>
      </c>
      <c r="CJ72" s="105">
        <v>2.5681495626685211</v>
      </c>
      <c r="CK72" s="105">
        <v>1257.3660258825078</v>
      </c>
      <c r="CL72" s="105">
        <v>3.1114586692068582</v>
      </c>
      <c r="CM72" s="105">
        <v>1523.3701644436776</v>
      </c>
      <c r="CN72" s="105">
        <v>2.725192849588034</v>
      </c>
      <c r="CO72" s="105">
        <v>1334.2544191583013</v>
      </c>
      <c r="CP72" s="105">
        <v>2.3688276746847974</v>
      </c>
      <c r="CQ72" s="105">
        <v>1159.7780295256766</v>
      </c>
      <c r="CR72" s="105">
        <v>2.4238699620177768</v>
      </c>
      <c r="CS72" s="105">
        <v>1186.7267334039034</v>
      </c>
      <c r="CT72" s="105">
        <v>2.458362026676332</v>
      </c>
      <c r="CU72" s="105">
        <v>1203.614048260732</v>
      </c>
    </row>
    <row r="73" spans="2:99" x14ac:dyDescent="0.2">
      <c r="C73" s="104" t="s">
        <v>239</v>
      </c>
      <c r="D73" s="105">
        <v>2.104490601985471</v>
      </c>
      <c r="E73" s="105">
        <v>1194.5088656869534</v>
      </c>
      <c r="F73" s="105">
        <v>1.9779297671377412</v>
      </c>
      <c r="G73" s="105">
        <v>1122.6729358273819</v>
      </c>
      <c r="H73" s="105">
        <v>2.0980230125653847</v>
      </c>
      <c r="I73" s="105">
        <v>1190.8378619321124</v>
      </c>
      <c r="J73" s="105">
        <v>2.3946460299776882</v>
      </c>
      <c r="K73" s="105">
        <v>1359.201086615336</v>
      </c>
      <c r="L73" s="105">
        <v>2.2491111596679776</v>
      </c>
      <c r="M73" s="105">
        <v>1276.5954942275441</v>
      </c>
      <c r="N73" s="105">
        <v>2.2389645404304734</v>
      </c>
      <c r="O73" s="105">
        <v>1270.8362731483369</v>
      </c>
      <c r="P73" s="105">
        <v>2.3052962501241105</v>
      </c>
      <c r="Q73" s="105">
        <v>1308.4861515704451</v>
      </c>
      <c r="R73" s="105">
        <v>1.7651954880769969</v>
      </c>
      <c r="S73" s="105">
        <v>1001.9249590325035</v>
      </c>
      <c r="T73" s="105">
        <v>2.0645875616574076</v>
      </c>
      <c r="U73" s="105">
        <v>1171.8598999967446</v>
      </c>
      <c r="V73" s="105">
        <v>2.331593379003694</v>
      </c>
      <c r="W73" s="105">
        <v>1323.4124019224969</v>
      </c>
      <c r="X73" s="105">
        <v>1.6481544968862485</v>
      </c>
      <c r="Y73" s="105">
        <v>935.49249243263466</v>
      </c>
      <c r="Z73" s="105">
        <v>2.4168406144404706</v>
      </c>
      <c r="AA73" s="105">
        <v>1371.7987327564113</v>
      </c>
      <c r="AB73" s="105">
        <v>2.6091233951996329</v>
      </c>
      <c r="AC73" s="105">
        <v>1480.9384391153117</v>
      </c>
      <c r="AD73" s="105">
        <v>2.5749624150613815</v>
      </c>
      <c r="AE73" s="105">
        <v>1461.5486667888401</v>
      </c>
      <c r="AF73" s="105">
        <v>2.1265371544316682</v>
      </c>
      <c r="AG73" s="105">
        <v>1207.0224888554148</v>
      </c>
      <c r="AH73" s="105">
        <v>2.198359565455986</v>
      </c>
      <c r="AI73" s="105">
        <v>1247.7888893528177</v>
      </c>
      <c r="AJ73" s="105">
        <v>2.2128385716574948</v>
      </c>
      <c r="AK73" s="105">
        <v>1256.007173272794</v>
      </c>
      <c r="AL73" s="105">
        <v>2.3716548270455351</v>
      </c>
      <c r="AM73" s="105">
        <v>1346.1512798310457</v>
      </c>
      <c r="AN73" s="105">
        <v>2.6088203097500884</v>
      </c>
      <c r="AO73" s="105">
        <v>1480.7664078141502</v>
      </c>
      <c r="AP73" s="105">
        <v>2.2914285324752188</v>
      </c>
      <c r="AQ73" s="105">
        <v>1300.6148350329343</v>
      </c>
      <c r="AR73" s="105">
        <v>2</v>
      </c>
      <c r="AS73" s="105">
        <v>1135.2</v>
      </c>
      <c r="AT73" s="105">
        <v>1.6452693927587425</v>
      </c>
      <c r="AU73" s="105">
        <v>933.85490732986227</v>
      </c>
      <c r="AV73" s="105">
        <v>2.28484090225805</v>
      </c>
      <c r="AW73" s="105">
        <v>1296.8756961216693</v>
      </c>
      <c r="AX73" s="105">
        <v>2.4505148813795157</v>
      </c>
      <c r="AY73" s="105">
        <v>1390.9122466710132</v>
      </c>
      <c r="AZ73" s="105">
        <v>2.3194109991385026</v>
      </c>
      <c r="BA73" s="105">
        <v>1316.4976831110141</v>
      </c>
      <c r="BB73" s="105">
        <v>2.7288859115770006</v>
      </c>
      <c r="BC73" s="105">
        <v>1548.9156434111055</v>
      </c>
      <c r="BD73" s="105">
        <v>2.4873334832225695</v>
      </c>
      <c r="BE73" s="105">
        <v>1411.8104850771306</v>
      </c>
      <c r="BF73" s="105">
        <v>2.2149432807432921</v>
      </c>
      <c r="BG73" s="105">
        <v>1257.2018061498927</v>
      </c>
      <c r="BH73" s="105">
        <v>2.106868985982814</v>
      </c>
      <c r="BI73" s="105">
        <v>1195.8588364438453</v>
      </c>
      <c r="BJ73" s="105">
        <v>1.9340723491142571</v>
      </c>
      <c r="BK73" s="105">
        <v>1097.7794653572523</v>
      </c>
      <c r="BL73" s="105">
        <v>2.3274359869806407</v>
      </c>
      <c r="BM73" s="105">
        <v>1321.0526662102118</v>
      </c>
      <c r="BN73" s="105">
        <v>2.5015458732924061</v>
      </c>
      <c r="BO73" s="105">
        <v>1419.8774376807698</v>
      </c>
      <c r="BP73" s="105">
        <v>2.2815103424154044</v>
      </c>
      <c r="BQ73" s="105">
        <v>1294.9852703549836</v>
      </c>
      <c r="BR73" s="105">
        <v>2.0893961080580756</v>
      </c>
      <c r="BS73" s="105">
        <v>1185.9412309337638</v>
      </c>
      <c r="BT73" s="105">
        <v>2.2355079708274914</v>
      </c>
      <c r="BU73" s="105">
        <v>1268.8743242416842</v>
      </c>
      <c r="BV73" s="105">
        <v>2.4027926404601954</v>
      </c>
      <c r="BW73" s="105">
        <v>1363.825102725207</v>
      </c>
      <c r="BX73" s="105">
        <v>2.2535621401766988</v>
      </c>
      <c r="BY73" s="105">
        <v>1279.1218707642943</v>
      </c>
      <c r="BZ73" s="105">
        <v>2.5958474925318487</v>
      </c>
      <c r="CA73" s="105">
        <v>1473.4030367610774</v>
      </c>
      <c r="CB73" s="105">
        <v>2.3690161237850069</v>
      </c>
      <c r="CC73" s="105">
        <v>1344.65355186037</v>
      </c>
      <c r="CD73" s="105">
        <v>2.611898296392519</v>
      </c>
      <c r="CE73" s="105">
        <v>1482.5134730323939</v>
      </c>
      <c r="CF73" s="105">
        <v>2.5522311121599417</v>
      </c>
      <c r="CG73" s="105">
        <v>1448.6463792619829</v>
      </c>
      <c r="CH73" s="105">
        <v>2.6992380536141796</v>
      </c>
      <c r="CI73" s="105">
        <v>1532.0875192314084</v>
      </c>
      <c r="CJ73" s="105">
        <v>2.6198728965217302</v>
      </c>
      <c r="CK73" s="105">
        <v>1487.0398560657341</v>
      </c>
      <c r="CL73" s="105">
        <v>3.1411238606982077</v>
      </c>
      <c r="CM73" s="105">
        <v>1782.9019033323027</v>
      </c>
      <c r="CN73" s="105">
        <v>2.725192849588034</v>
      </c>
      <c r="CO73" s="105">
        <v>1546.8194614261681</v>
      </c>
      <c r="CP73" s="105">
        <v>2.3688276746847974</v>
      </c>
      <c r="CQ73" s="105">
        <v>1344.5465881510911</v>
      </c>
      <c r="CR73" s="105">
        <v>2.0663665799997264</v>
      </c>
      <c r="CS73" s="105">
        <v>1172.8696708078448</v>
      </c>
      <c r="CT73" s="105">
        <v>2.4775358846753441</v>
      </c>
      <c r="CU73" s="105">
        <v>1406.2493681417254</v>
      </c>
    </row>
    <row r="74" spans="2:99" x14ac:dyDescent="0.2">
      <c r="C74" s="104" t="s">
        <v>240</v>
      </c>
      <c r="D74" s="105">
        <v>2.104490601985471</v>
      </c>
      <c r="E74" s="105">
        <v>661.65184526423207</v>
      </c>
      <c r="F74" s="105">
        <v>2.824151843527777</v>
      </c>
      <c r="G74" s="105">
        <v>887.91333960513305</v>
      </c>
      <c r="H74" s="105">
        <v>2.1251924159807714</v>
      </c>
      <c r="I74" s="105">
        <v>668.16049558435452</v>
      </c>
      <c r="J74" s="105">
        <v>2.3946460299776882</v>
      </c>
      <c r="K74" s="105">
        <v>752.87671182498514</v>
      </c>
      <c r="L74" s="105">
        <v>2.2529695725615975</v>
      </c>
      <c r="M74" s="105">
        <v>708.33363361336615</v>
      </c>
      <c r="N74" s="105">
        <v>2.2389645404304734</v>
      </c>
      <c r="O74" s="105">
        <v>703.93045151134083</v>
      </c>
      <c r="P74" s="105">
        <v>2.3052962501241105</v>
      </c>
      <c r="Q74" s="105">
        <v>724.78514103902035</v>
      </c>
      <c r="R74" s="105">
        <v>2.3535939841026625</v>
      </c>
      <c r="S74" s="105">
        <v>739.96994860187704</v>
      </c>
      <c r="T74" s="105">
        <v>2.0645875616574076</v>
      </c>
      <c r="U74" s="105">
        <v>649.10632938508888</v>
      </c>
      <c r="V74" s="105">
        <v>2.331593379003694</v>
      </c>
      <c r="W74" s="105">
        <v>733.05295835876132</v>
      </c>
      <c r="X74" s="105">
        <v>2.4233208254924961</v>
      </c>
      <c r="Y74" s="105">
        <v>761.89206753484075</v>
      </c>
      <c r="Z74" s="105">
        <v>2.4168406144404706</v>
      </c>
      <c r="AA74" s="105">
        <v>759.85468918008394</v>
      </c>
      <c r="AB74" s="105">
        <v>2.6091233951996329</v>
      </c>
      <c r="AC74" s="105">
        <v>820.30839545076446</v>
      </c>
      <c r="AD74" s="105">
        <v>2.5749624150613815</v>
      </c>
      <c r="AE74" s="105">
        <v>809.56818329529824</v>
      </c>
      <c r="AF74" s="105">
        <v>2.1578393108134359</v>
      </c>
      <c r="AG74" s="105">
        <v>678.4246793197442</v>
      </c>
      <c r="AH74" s="105">
        <v>2.1735636410255919</v>
      </c>
      <c r="AI74" s="105">
        <v>683.36840873844608</v>
      </c>
      <c r="AJ74" s="105">
        <v>2.2616147681654639</v>
      </c>
      <c r="AK74" s="105">
        <v>711.05168311122179</v>
      </c>
      <c r="AL74" s="105">
        <v>2.3716548270455351</v>
      </c>
      <c r="AM74" s="105">
        <v>745.6482776231162</v>
      </c>
      <c r="AN74" s="105">
        <v>2.6088203097500884</v>
      </c>
      <c r="AO74" s="105">
        <v>820.21310538542775</v>
      </c>
      <c r="AP74" s="105">
        <v>2.0717586959869232</v>
      </c>
      <c r="AQ74" s="105">
        <v>651.36093401828862</v>
      </c>
      <c r="AR74" s="105">
        <v>2</v>
      </c>
      <c r="AS74" s="105">
        <v>628.79999999999995</v>
      </c>
      <c r="AT74" s="105">
        <v>2.4679040891381137</v>
      </c>
      <c r="AU74" s="105">
        <v>775.90904562502283</v>
      </c>
      <c r="AV74" s="105">
        <v>1.7136306766935376</v>
      </c>
      <c r="AW74" s="105">
        <v>538.76548475244817</v>
      </c>
      <c r="AX74" s="105">
        <v>2.4505148813795157</v>
      </c>
      <c r="AY74" s="105">
        <v>770.44187870571966</v>
      </c>
      <c r="AZ74" s="105">
        <v>2.3194109991385026</v>
      </c>
      <c r="BA74" s="105">
        <v>729.22281812914514</v>
      </c>
      <c r="BB74" s="105">
        <v>2.7551561043811108</v>
      </c>
      <c r="BC74" s="105">
        <v>866.22107921742122</v>
      </c>
      <c r="BD74" s="105">
        <v>2.4539084324143765</v>
      </c>
      <c r="BE74" s="105">
        <v>771.50881115107995</v>
      </c>
      <c r="BF74" s="105">
        <v>2.2018036835177184</v>
      </c>
      <c r="BG74" s="105">
        <v>692.24707809797064</v>
      </c>
      <c r="BH74" s="105">
        <v>2.106868985982814</v>
      </c>
      <c r="BI74" s="105">
        <v>662.39960919299665</v>
      </c>
      <c r="BJ74" s="105">
        <v>1.9340723491142571</v>
      </c>
      <c r="BK74" s="105">
        <v>608.07234656152241</v>
      </c>
      <c r="BL74" s="105">
        <v>2.2970256285547577</v>
      </c>
      <c r="BM74" s="105">
        <v>722.18485761761576</v>
      </c>
      <c r="BN74" s="105">
        <v>2.5015458732924061</v>
      </c>
      <c r="BO74" s="105">
        <v>786.48602256313245</v>
      </c>
      <c r="BP74" s="105">
        <v>2.3071082834733003</v>
      </c>
      <c r="BQ74" s="105">
        <v>725.35484432400563</v>
      </c>
      <c r="BR74" s="105">
        <v>2.689432959460949</v>
      </c>
      <c r="BS74" s="105">
        <v>845.55772245452226</v>
      </c>
      <c r="BT74" s="105">
        <v>2.2355079708274914</v>
      </c>
      <c r="BU74" s="105">
        <v>702.8437060281633</v>
      </c>
      <c r="BV74" s="105">
        <v>2.4241998871827746</v>
      </c>
      <c r="BW74" s="105">
        <v>762.16844453026431</v>
      </c>
      <c r="BX74" s="105">
        <v>2.2679166252045064</v>
      </c>
      <c r="BY74" s="105">
        <v>713.03298696429681</v>
      </c>
      <c r="BZ74" s="105">
        <v>2.5958474925318487</v>
      </c>
      <c r="CA74" s="105">
        <v>816.13445165201313</v>
      </c>
      <c r="CB74" s="105">
        <v>2.6754859475351211</v>
      </c>
      <c r="CC74" s="105">
        <v>841.17278190504203</v>
      </c>
      <c r="CD74" s="105">
        <v>2.611898296392519</v>
      </c>
      <c r="CE74" s="105">
        <v>821.18082438580791</v>
      </c>
      <c r="CF74" s="105">
        <v>2.5843870725361877</v>
      </c>
      <c r="CG74" s="105">
        <v>812.53129560537741</v>
      </c>
      <c r="CH74" s="105">
        <v>2.6992380536141796</v>
      </c>
      <c r="CI74" s="105">
        <v>848.64044405629795</v>
      </c>
      <c r="CJ74" s="105">
        <v>2.6198728965217302</v>
      </c>
      <c r="CK74" s="105">
        <v>823.68803866643191</v>
      </c>
      <c r="CL74" s="105">
        <v>2.4522547678705426</v>
      </c>
      <c r="CM74" s="105">
        <v>770.9888990184985</v>
      </c>
      <c r="CN74" s="105">
        <v>2.7540848319175173</v>
      </c>
      <c r="CO74" s="105">
        <v>865.88427115486741</v>
      </c>
      <c r="CP74" s="105">
        <v>2.3688276746847974</v>
      </c>
      <c r="CQ74" s="105">
        <v>744.7594209209002</v>
      </c>
      <c r="CR74" s="105">
        <v>2.4563702694739633</v>
      </c>
      <c r="CS74" s="105">
        <v>772.28281272261404</v>
      </c>
      <c r="CT74" s="105">
        <v>2.4775358846753441</v>
      </c>
      <c r="CU74" s="105">
        <v>778.93728214192811</v>
      </c>
    </row>
    <row r="75" spans="2:99" x14ac:dyDescent="0.2">
      <c r="C75" s="104" t="s">
        <v>241</v>
      </c>
      <c r="D75" s="105">
        <v>2.104490601985471</v>
      </c>
      <c r="E75" s="105">
        <v>1260.1689724688999</v>
      </c>
      <c r="F75" s="105">
        <v>2.824151843527777</v>
      </c>
      <c r="G75" s="105">
        <v>1691.1021239044328</v>
      </c>
      <c r="H75" s="105">
        <v>2.1251924159807714</v>
      </c>
      <c r="I75" s="105">
        <v>1272.5652186892858</v>
      </c>
      <c r="J75" s="105">
        <v>2.3946460299776882</v>
      </c>
      <c r="K75" s="105">
        <v>1433.9140427506395</v>
      </c>
      <c r="L75" s="105">
        <v>2.2529695725615975</v>
      </c>
      <c r="M75" s="105">
        <v>1349.0781800498844</v>
      </c>
      <c r="N75" s="105">
        <v>2.2389645404304734</v>
      </c>
      <c r="O75" s="105">
        <v>1340.6919668097673</v>
      </c>
      <c r="P75" s="105">
        <v>2.3052962501241105</v>
      </c>
      <c r="Q75" s="105">
        <v>1380.4113945743172</v>
      </c>
      <c r="R75" s="105">
        <v>2.3535939841026625</v>
      </c>
      <c r="S75" s="105">
        <v>1409.3320776806743</v>
      </c>
      <c r="T75" s="105">
        <v>2.0923744688136163</v>
      </c>
      <c r="U75" s="105">
        <v>1252.9138319255933</v>
      </c>
      <c r="V75" s="105">
        <v>2.331593379003694</v>
      </c>
      <c r="W75" s="105">
        <v>1396.1581153474119</v>
      </c>
      <c r="X75" s="105">
        <v>1.664458136831874</v>
      </c>
      <c r="Y75" s="105">
        <v>996.67753233492613</v>
      </c>
      <c r="Z75" s="105">
        <v>2.4168406144404706</v>
      </c>
      <c r="AA75" s="105">
        <v>1447.2041599269537</v>
      </c>
      <c r="AB75" s="105">
        <v>1.9674505371337954</v>
      </c>
      <c r="AC75" s="105">
        <v>1178.1093816357165</v>
      </c>
      <c r="AD75" s="105">
        <v>2.5749624150613815</v>
      </c>
      <c r="AE75" s="105">
        <v>1541.8874941387551</v>
      </c>
      <c r="AF75" s="105">
        <v>2.1265371544316682</v>
      </c>
      <c r="AG75" s="105">
        <v>1273.3704480736828</v>
      </c>
      <c r="AH75" s="105">
        <v>2.8484930058400018</v>
      </c>
      <c r="AI75" s="105">
        <v>1705.6776118969929</v>
      </c>
      <c r="AJ75" s="105">
        <v>2.2616147681654639</v>
      </c>
      <c r="AK75" s="105">
        <v>1354.2549231774797</v>
      </c>
      <c r="AL75" s="105">
        <v>2.3716548270455351</v>
      </c>
      <c r="AM75" s="105">
        <v>1420.1469104348664</v>
      </c>
      <c r="AN75" s="105">
        <v>2.6088203097500884</v>
      </c>
      <c r="AO75" s="105">
        <v>1562.1616014783528</v>
      </c>
      <c r="AP75" s="105">
        <v>2.2914285324752188</v>
      </c>
      <c r="AQ75" s="105">
        <v>1372.1074052461609</v>
      </c>
      <c r="AR75" s="105">
        <v>2</v>
      </c>
      <c r="AS75" s="105">
        <v>1197.5999999999999</v>
      </c>
      <c r="AT75" s="105">
        <v>2.4679040891381137</v>
      </c>
      <c r="AU75" s="105">
        <v>1477.7809685759023</v>
      </c>
      <c r="AV75" s="105">
        <v>2.28484090225805</v>
      </c>
      <c r="AW75" s="105">
        <v>1368.1627322721204</v>
      </c>
      <c r="AX75" s="105">
        <v>2.4505148813795157</v>
      </c>
      <c r="AY75" s="105">
        <v>1467.3683109700539</v>
      </c>
      <c r="AZ75" s="105">
        <v>2.3194109991385026</v>
      </c>
      <c r="BA75" s="105">
        <v>1388.8633062841352</v>
      </c>
      <c r="BB75" s="105">
        <v>2.1648803013012472</v>
      </c>
      <c r="BC75" s="105">
        <v>1296.3303244191868</v>
      </c>
      <c r="BD75" s="105">
        <v>2.4873334832225695</v>
      </c>
      <c r="BE75" s="105">
        <v>1489.4152897536744</v>
      </c>
      <c r="BF75" s="105">
        <v>2.2149432807432921</v>
      </c>
      <c r="BG75" s="105">
        <v>1326.3080365090832</v>
      </c>
      <c r="BH75" s="105">
        <v>2.0700330758618963</v>
      </c>
      <c r="BI75" s="105">
        <v>1239.5358058261033</v>
      </c>
      <c r="BJ75" s="105">
        <v>1.9340723491142571</v>
      </c>
      <c r="BK75" s="105">
        <v>1158.1225226496169</v>
      </c>
      <c r="BL75" s="105">
        <v>2.2970256285547577</v>
      </c>
      <c r="BM75" s="105">
        <v>1375.4589463785887</v>
      </c>
      <c r="BN75" s="105">
        <v>2.5015458732924061</v>
      </c>
      <c r="BO75" s="105">
        <v>1497.9256689274926</v>
      </c>
      <c r="BP75" s="105">
        <v>2.3327062245311962</v>
      </c>
      <c r="BQ75" s="105">
        <v>1396.8244872492803</v>
      </c>
      <c r="BR75" s="105">
        <v>2.0893961080580756</v>
      </c>
      <c r="BS75" s="105">
        <v>1251.1303895051756</v>
      </c>
      <c r="BT75" s="105">
        <v>2.2355079708274914</v>
      </c>
      <c r="BU75" s="105">
        <v>1338.6221729315018</v>
      </c>
      <c r="BV75" s="105">
        <v>2.4027926404601954</v>
      </c>
      <c r="BW75" s="105">
        <v>1438.7922331075649</v>
      </c>
      <c r="BX75" s="105">
        <v>2.2535621401766988</v>
      </c>
      <c r="BY75" s="105">
        <v>1349.433009537807</v>
      </c>
      <c r="BZ75" s="105">
        <v>2.5695098775336604</v>
      </c>
      <c r="CA75" s="105">
        <v>1538.6225146671557</v>
      </c>
      <c r="CB75" s="105">
        <v>2.3690161237850069</v>
      </c>
      <c r="CC75" s="105">
        <v>1418.566854922462</v>
      </c>
      <c r="CD75" s="105">
        <v>2.611898296392519</v>
      </c>
      <c r="CE75" s="105">
        <v>1564.0046998798402</v>
      </c>
      <c r="CF75" s="105">
        <v>2.6165430329124337</v>
      </c>
      <c r="CG75" s="105">
        <v>1566.7859681079651</v>
      </c>
      <c r="CH75" s="105">
        <v>2.7253448591210558</v>
      </c>
      <c r="CI75" s="105">
        <v>1631.9365016416882</v>
      </c>
      <c r="CJ75" s="105">
        <v>2.5940112295951256</v>
      </c>
      <c r="CK75" s="105">
        <v>1553.2939242815612</v>
      </c>
      <c r="CL75" s="105">
        <v>3.1707890521895572</v>
      </c>
      <c r="CM75" s="105">
        <v>1898.6684844511067</v>
      </c>
      <c r="CN75" s="105">
        <v>2.6963008672585502</v>
      </c>
      <c r="CO75" s="105">
        <v>1614.5449593144197</v>
      </c>
      <c r="CP75" s="105">
        <v>2.3688276746847974</v>
      </c>
      <c r="CQ75" s="105">
        <v>1418.4540116012565</v>
      </c>
      <c r="CR75" s="105">
        <v>2.0663665799997264</v>
      </c>
      <c r="CS75" s="105">
        <v>1237.3403081038362</v>
      </c>
      <c r="CT75" s="105">
        <v>2.3049711626842324</v>
      </c>
      <c r="CU75" s="105">
        <v>1380.2167322153182</v>
      </c>
    </row>
    <row r="76" spans="2:99" x14ac:dyDescent="0.2">
      <c r="C76" s="104" t="s">
        <v>242</v>
      </c>
      <c r="D76" s="105">
        <v>2.0992505510288932</v>
      </c>
      <c r="E76" s="105">
        <v>1811.233375427729</v>
      </c>
      <c r="F76" s="105">
        <v>1.9779297671377412</v>
      </c>
      <c r="G76" s="105">
        <v>1706.5578030864431</v>
      </c>
      <c r="H76" s="105">
        <v>2.0980230125653847</v>
      </c>
      <c r="I76" s="105">
        <v>1810.1742552414139</v>
      </c>
      <c r="J76" s="105">
        <v>2.1994847370762116</v>
      </c>
      <c r="K76" s="105">
        <v>1897.7154311493553</v>
      </c>
      <c r="L76" s="105">
        <v>2.2491111596679776</v>
      </c>
      <c r="M76" s="105">
        <v>1940.533108561531</v>
      </c>
      <c r="N76" s="105">
        <v>2.0139593278245469</v>
      </c>
      <c r="O76" s="105">
        <v>1737.644108047019</v>
      </c>
      <c r="P76" s="105">
        <v>2.3358871235625474</v>
      </c>
      <c r="Q76" s="105">
        <v>2015.4034102097658</v>
      </c>
      <c r="R76" s="105">
        <v>2.5324906530317484</v>
      </c>
      <c r="S76" s="105">
        <v>2185.0329354357923</v>
      </c>
      <c r="T76" s="105">
        <v>2.0923744688136163</v>
      </c>
      <c r="U76" s="105">
        <v>1805.300691692388</v>
      </c>
      <c r="V76" s="105">
        <v>2.331593379003694</v>
      </c>
      <c r="W76" s="105">
        <v>2011.6987674043871</v>
      </c>
      <c r="X76" s="105">
        <v>2.4070171855468705</v>
      </c>
      <c r="Y76" s="105">
        <v>2076.7744276898397</v>
      </c>
      <c r="Z76" s="105">
        <v>2.4168406144404706</v>
      </c>
      <c r="AA76" s="105">
        <v>2085.2500821392377</v>
      </c>
      <c r="AB76" s="105">
        <v>1.9735122461246932</v>
      </c>
      <c r="AC76" s="105">
        <v>1702.7463659563853</v>
      </c>
      <c r="AD76" s="105">
        <v>2.5749624150613815</v>
      </c>
      <c r="AE76" s="105">
        <v>2221.6775717149599</v>
      </c>
      <c r="AF76" s="105">
        <v>2.1578393108134359</v>
      </c>
      <c r="AG76" s="105">
        <v>1861.7837573698325</v>
      </c>
      <c r="AH76" s="105">
        <v>2.1735636410255919</v>
      </c>
      <c r="AI76" s="105">
        <v>1875.3507094768806</v>
      </c>
      <c r="AJ76" s="105">
        <v>2.2616147681654639</v>
      </c>
      <c r="AK76" s="105">
        <v>1951.3212219731622</v>
      </c>
      <c r="AL76" s="105">
        <v>2.3716548270455351</v>
      </c>
      <c r="AM76" s="105">
        <v>2046.2637847748877</v>
      </c>
      <c r="AN76" s="105">
        <v>2.6088203097500884</v>
      </c>
      <c r="AO76" s="105">
        <v>2250.8901632523762</v>
      </c>
      <c r="AP76" s="105">
        <v>2.0717586959869232</v>
      </c>
      <c r="AQ76" s="105">
        <v>1787.5134028975172</v>
      </c>
      <c r="AR76" s="105">
        <v>2</v>
      </c>
      <c r="AS76" s="105">
        <v>1725.6</v>
      </c>
      <c r="AT76" s="105">
        <v>1.6452693927587425</v>
      </c>
      <c r="AU76" s="105">
        <v>1419.538432072243</v>
      </c>
      <c r="AV76" s="105">
        <v>2.28484090225805</v>
      </c>
      <c r="AW76" s="105">
        <v>1971.3607304682455</v>
      </c>
      <c r="AX76" s="105">
        <v>2.4505148813795157</v>
      </c>
      <c r="AY76" s="105">
        <v>2114.304239654246</v>
      </c>
      <c r="AZ76" s="105">
        <v>2.3194109991385026</v>
      </c>
      <c r="BA76" s="105">
        <v>2001.1878100566998</v>
      </c>
      <c r="BB76" s="105">
        <v>2.7551561043811108</v>
      </c>
      <c r="BC76" s="105">
        <v>2377.1486868600223</v>
      </c>
      <c r="BD76" s="105">
        <v>2.4873334832225695</v>
      </c>
      <c r="BE76" s="105">
        <v>2146.071329324433</v>
      </c>
      <c r="BF76" s="105">
        <v>2.2149432807432921</v>
      </c>
      <c r="BG76" s="105">
        <v>1911.0530626253124</v>
      </c>
      <c r="BH76" s="105">
        <v>2.0700330758618963</v>
      </c>
      <c r="BI76" s="105">
        <v>1786.024537853644</v>
      </c>
      <c r="BJ76" s="105">
        <v>1.9340723491142571</v>
      </c>
      <c r="BK76" s="105">
        <v>1668.7176228157809</v>
      </c>
      <c r="BL76" s="105">
        <v>2.2970256285547577</v>
      </c>
      <c r="BM76" s="105">
        <v>1981.8737123170449</v>
      </c>
      <c r="BN76" s="105">
        <v>1.9138962445464236</v>
      </c>
      <c r="BO76" s="105">
        <v>1651.3096797946541</v>
      </c>
      <c r="BP76" s="105">
        <v>2.2815103424154044</v>
      </c>
      <c r="BQ76" s="105">
        <v>1968.4871234360107</v>
      </c>
      <c r="BR76" s="105">
        <v>2.0893961080580756</v>
      </c>
      <c r="BS76" s="105">
        <v>1802.7309620325075</v>
      </c>
      <c r="BT76" s="105">
        <v>2.2308854802113238</v>
      </c>
      <c r="BU76" s="105">
        <v>1924.8079923263301</v>
      </c>
      <c r="BV76" s="105">
        <v>2.3813853937376166</v>
      </c>
      <c r="BW76" s="105">
        <v>2054.6593177168156</v>
      </c>
      <c r="BX76" s="105">
        <v>2.2535621401766988</v>
      </c>
      <c r="BY76" s="105">
        <v>1944.3734145444555</v>
      </c>
      <c r="BZ76" s="105">
        <v>2.5695098775336604</v>
      </c>
      <c r="CA76" s="105">
        <v>2216.9731223360423</v>
      </c>
      <c r="CB76" s="105">
        <v>2.6754859475351211</v>
      </c>
      <c r="CC76" s="105">
        <v>2308.4092755333022</v>
      </c>
      <c r="CD76" s="105">
        <v>2.611898296392519</v>
      </c>
      <c r="CE76" s="105">
        <v>2253.5458501274652</v>
      </c>
      <c r="CF76" s="105">
        <v>2.5522311121599417</v>
      </c>
      <c r="CG76" s="105">
        <v>2202.0650035715976</v>
      </c>
      <c r="CH76" s="105">
        <v>2.1092756581079817</v>
      </c>
      <c r="CI76" s="105">
        <v>1819.8830378155665</v>
      </c>
      <c r="CJ76" s="105">
        <v>2.5940112295951256</v>
      </c>
      <c r="CK76" s="105">
        <v>2238.1128888946741</v>
      </c>
      <c r="CL76" s="105">
        <v>3.1411238606982077</v>
      </c>
      <c r="CM76" s="105">
        <v>2710.1616670104136</v>
      </c>
      <c r="CN76" s="105">
        <v>2.6963008672585502</v>
      </c>
      <c r="CO76" s="105">
        <v>2326.3683882706769</v>
      </c>
      <c r="CP76" s="105">
        <v>2.3580960260515398</v>
      </c>
      <c r="CQ76" s="105">
        <v>2034.5652512772683</v>
      </c>
      <c r="CR76" s="105">
        <v>2.4238699620177768</v>
      </c>
      <c r="CS76" s="105">
        <v>2091.3150032289377</v>
      </c>
      <c r="CT76" s="105">
        <v>2.3049711626842324</v>
      </c>
      <c r="CU76" s="105">
        <v>1988.7291191639556</v>
      </c>
    </row>
    <row r="77" spans="2:99" x14ac:dyDescent="0.2">
      <c r="C77" s="104" t="s">
        <v>243</v>
      </c>
      <c r="D77" s="105">
        <v>2.0992505510288932</v>
      </c>
      <c r="E77" s="105">
        <v>1448.4828802099364</v>
      </c>
      <c r="F77" s="105">
        <v>1.9779297671377412</v>
      </c>
      <c r="G77" s="105">
        <v>1364.7715393250414</v>
      </c>
      <c r="H77" s="105">
        <v>2.0980230125653847</v>
      </c>
      <c r="I77" s="105">
        <v>1447.6358786701155</v>
      </c>
      <c r="J77" s="105">
        <v>2.4190411915903729</v>
      </c>
      <c r="K77" s="105">
        <v>1669.1384221973574</v>
      </c>
      <c r="L77" s="105">
        <v>2.2529695725615975</v>
      </c>
      <c r="M77" s="105">
        <v>1554.5490050675023</v>
      </c>
      <c r="N77" s="105">
        <v>2.2389645404304734</v>
      </c>
      <c r="O77" s="105">
        <v>1544.8855328970267</v>
      </c>
      <c r="P77" s="105">
        <v>2.3358871235625474</v>
      </c>
      <c r="Q77" s="105">
        <v>1611.7621152581576</v>
      </c>
      <c r="R77" s="105">
        <v>2.5772148202640199</v>
      </c>
      <c r="S77" s="105">
        <v>1778.2782259821738</v>
      </c>
      <c r="T77" s="105">
        <v>2.6601603916891805</v>
      </c>
      <c r="U77" s="105">
        <v>1835.5106702655346</v>
      </c>
      <c r="V77" s="105">
        <v>2.3087325044220548</v>
      </c>
      <c r="W77" s="105">
        <v>1593.0254280512179</v>
      </c>
      <c r="X77" s="105">
        <v>1.6481544968862485</v>
      </c>
      <c r="Y77" s="105">
        <v>1137.2266028515114</v>
      </c>
      <c r="Z77" s="105">
        <v>2.4168406144404706</v>
      </c>
      <c r="AA77" s="105">
        <v>1667.6200239639247</v>
      </c>
      <c r="AB77" s="105">
        <v>1.9674505371337954</v>
      </c>
      <c r="AC77" s="105">
        <v>1357.5408706223188</v>
      </c>
      <c r="AD77" s="105">
        <v>2.5749624150613815</v>
      </c>
      <c r="AE77" s="105">
        <v>1776.7240663923533</v>
      </c>
      <c r="AF77" s="105">
        <v>2.095234998049901</v>
      </c>
      <c r="AG77" s="105">
        <v>1445.7121486544318</v>
      </c>
      <c r="AH77" s="105">
        <v>2.8236970814096081</v>
      </c>
      <c r="AI77" s="105">
        <v>1948.3509861726295</v>
      </c>
      <c r="AJ77" s="105">
        <v>2.2616147681654639</v>
      </c>
      <c r="AK77" s="105">
        <v>1560.51419003417</v>
      </c>
      <c r="AL77" s="105">
        <v>2.3716548270455351</v>
      </c>
      <c r="AM77" s="105">
        <v>1636.4418306614193</v>
      </c>
      <c r="AN77" s="105">
        <v>2.6088203097500884</v>
      </c>
      <c r="AO77" s="105">
        <v>1800.0860137275611</v>
      </c>
      <c r="AP77" s="105">
        <v>2.0717586959869232</v>
      </c>
      <c r="AQ77" s="105">
        <v>1429.5135002309771</v>
      </c>
      <c r="AR77" s="105">
        <v>2</v>
      </c>
      <c r="AS77" s="105">
        <v>1380</v>
      </c>
      <c r="AT77" s="105">
        <v>1.6452693927587425</v>
      </c>
      <c r="AU77" s="105">
        <v>1135.2358810035323</v>
      </c>
      <c r="AV77" s="105">
        <v>1.7136306766935376</v>
      </c>
      <c r="AW77" s="105">
        <v>1182.405166918541</v>
      </c>
      <c r="AX77" s="105">
        <v>2.4505148813795157</v>
      </c>
      <c r="AY77" s="105">
        <v>1690.8552681518659</v>
      </c>
      <c r="AZ77" s="105">
        <v>2.3145127382169317</v>
      </c>
      <c r="BA77" s="105">
        <v>1597.0137893696829</v>
      </c>
      <c r="BB77" s="105">
        <v>2.7551561043811108</v>
      </c>
      <c r="BC77" s="105">
        <v>1901.0577120229664</v>
      </c>
      <c r="BD77" s="105">
        <v>1.7473557909702275</v>
      </c>
      <c r="BE77" s="105">
        <v>1205.675495769457</v>
      </c>
      <c r="BF77" s="105">
        <v>2.2149432807432921</v>
      </c>
      <c r="BG77" s="105">
        <v>1528.3108637128714</v>
      </c>
      <c r="BH77" s="105">
        <v>2.106868985982814</v>
      </c>
      <c r="BI77" s="105">
        <v>1453.7396003281417</v>
      </c>
      <c r="BJ77" s="105">
        <v>1.9340723491142571</v>
      </c>
      <c r="BK77" s="105">
        <v>1334.5099208888373</v>
      </c>
      <c r="BL77" s="105">
        <v>2.2970256285547577</v>
      </c>
      <c r="BM77" s="105">
        <v>1584.9476837027828</v>
      </c>
      <c r="BN77" s="105">
        <v>2.5015458732924061</v>
      </c>
      <c r="BO77" s="105">
        <v>1726.0666525717602</v>
      </c>
      <c r="BP77" s="105">
        <v>2.3327062245311962</v>
      </c>
      <c r="BQ77" s="105">
        <v>1609.5672949265254</v>
      </c>
      <c r="BR77" s="105">
        <v>2.0893961080580756</v>
      </c>
      <c r="BS77" s="105">
        <v>1441.6833145600722</v>
      </c>
      <c r="BT77" s="105">
        <v>2.2355079708274914</v>
      </c>
      <c r="BU77" s="105">
        <v>1542.5004998709692</v>
      </c>
      <c r="BV77" s="105">
        <v>2.4027926404601954</v>
      </c>
      <c r="BW77" s="105">
        <v>1657.9269219175349</v>
      </c>
      <c r="BX77" s="105">
        <v>2.2535621401766988</v>
      </c>
      <c r="BY77" s="105">
        <v>1554.957876721922</v>
      </c>
      <c r="BZ77" s="105">
        <v>2.5958474925318487</v>
      </c>
      <c r="CA77" s="105">
        <v>1791.1347698469756</v>
      </c>
      <c r="CB77" s="105">
        <v>2.6754859475351211</v>
      </c>
      <c r="CC77" s="105">
        <v>1846.0853037992335</v>
      </c>
      <c r="CD77" s="105">
        <v>2.611898296392519</v>
      </c>
      <c r="CE77" s="105">
        <v>1802.2098245108382</v>
      </c>
      <c r="CF77" s="105">
        <v>2.5843870725361877</v>
      </c>
      <c r="CG77" s="105">
        <v>1783.2270800499696</v>
      </c>
      <c r="CH77" s="105">
        <v>2.7514516646279317</v>
      </c>
      <c r="CI77" s="105">
        <v>1898.5016485932729</v>
      </c>
      <c r="CJ77" s="105">
        <v>2.5940112295951256</v>
      </c>
      <c r="CK77" s="105">
        <v>1789.8677484206366</v>
      </c>
      <c r="CL77" s="105">
        <v>2.4522547678705426</v>
      </c>
      <c r="CM77" s="105">
        <v>1692.0557898306745</v>
      </c>
      <c r="CN77" s="105">
        <v>2.6963008672585502</v>
      </c>
      <c r="CO77" s="105">
        <v>1860.4475984083997</v>
      </c>
      <c r="CP77" s="105">
        <v>2.3688276746847974</v>
      </c>
      <c r="CQ77" s="105">
        <v>1634.4910955325101</v>
      </c>
      <c r="CR77" s="105">
        <v>2.0663665799997264</v>
      </c>
      <c r="CS77" s="105">
        <v>1425.7929401998113</v>
      </c>
      <c r="CT77" s="105">
        <v>2.3049711626842324</v>
      </c>
      <c r="CU77" s="105">
        <v>1590.4301022521204</v>
      </c>
    </row>
    <row r="78" spans="2:99" x14ac:dyDescent="0.2">
      <c r="C78" s="104" t="s">
        <v>244</v>
      </c>
      <c r="D78" s="105">
        <v>2.0992505510288932</v>
      </c>
      <c r="E78" s="105">
        <v>272.06287141334457</v>
      </c>
      <c r="F78" s="105">
        <v>2.0136154689324499</v>
      </c>
      <c r="G78" s="105">
        <v>260.96456477364552</v>
      </c>
      <c r="H78" s="105">
        <v>2.1251924159807714</v>
      </c>
      <c r="I78" s="105">
        <v>275.42493711110797</v>
      </c>
      <c r="J78" s="105">
        <v>2.4190411915903729</v>
      </c>
      <c r="K78" s="105">
        <v>313.50773843011234</v>
      </c>
      <c r="L78" s="105">
        <v>2.2529695725615975</v>
      </c>
      <c r="M78" s="105">
        <v>291.98485660398302</v>
      </c>
      <c r="N78" s="105">
        <v>2.2639651196089097</v>
      </c>
      <c r="O78" s="105">
        <v>293.40987950131466</v>
      </c>
      <c r="P78" s="105">
        <v>2.3358871235625474</v>
      </c>
      <c r="Q78" s="105">
        <v>302.73097121370614</v>
      </c>
      <c r="R78" s="105">
        <v>2.5772148202640199</v>
      </c>
      <c r="S78" s="105">
        <v>334.00704070621697</v>
      </c>
      <c r="T78" s="105">
        <v>2.7157342060015983</v>
      </c>
      <c r="U78" s="105">
        <v>351.95915309780713</v>
      </c>
      <c r="V78" s="105">
        <v>2.331593379003694</v>
      </c>
      <c r="W78" s="105">
        <v>302.17450191887872</v>
      </c>
      <c r="X78" s="105">
        <v>2.4233208254924961</v>
      </c>
      <c r="Y78" s="105">
        <v>314.0623789838275</v>
      </c>
      <c r="Z78" s="105">
        <v>2.4168406144404706</v>
      </c>
      <c r="AA78" s="105">
        <v>313.222543631485</v>
      </c>
      <c r="AB78" s="105">
        <v>1.9735122461246932</v>
      </c>
      <c r="AC78" s="105">
        <v>255.76718709776023</v>
      </c>
      <c r="AD78" s="105">
        <v>2.5749624150613815</v>
      </c>
      <c r="AE78" s="105">
        <v>333.715128991955</v>
      </c>
      <c r="AF78" s="105">
        <v>2.1578393108134359</v>
      </c>
      <c r="AG78" s="105">
        <v>279.6559746814213</v>
      </c>
      <c r="AH78" s="105">
        <v>2.8484930058400018</v>
      </c>
      <c r="AI78" s="105">
        <v>369.16469355686422</v>
      </c>
      <c r="AJ78" s="105">
        <v>2.2128385716574948</v>
      </c>
      <c r="AK78" s="105">
        <v>286.78387888681129</v>
      </c>
      <c r="AL78" s="105">
        <v>2.3716548270455351</v>
      </c>
      <c r="AM78" s="105">
        <v>307.36646558510131</v>
      </c>
      <c r="AN78" s="105">
        <v>2.6088203097500884</v>
      </c>
      <c r="AO78" s="105">
        <v>338.10311214361144</v>
      </c>
      <c r="AP78" s="105">
        <v>2.0717586959869232</v>
      </c>
      <c r="AQ78" s="105">
        <v>268.49992699990526</v>
      </c>
      <c r="AR78" s="105">
        <v>2</v>
      </c>
      <c r="AS78" s="105">
        <v>259.2</v>
      </c>
      <c r="AT78" s="105">
        <v>2.4679040891381137</v>
      </c>
      <c r="AU78" s="105">
        <v>319.84036995229951</v>
      </c>
      <c r="AV78" s="105">
        <v>1.7136306766935376</v>
      </c>
      <c r="AW78" s="105">
        <v>222.08653569948245</v>
      </c>
      <c r="AX78" s="105">
        <v>2.4505148813795157</v>
      </c>
      <c r="AY78" s="105">
        <v>317.5867286267852</v>
      </c>
      <c r="AZ78" s="105">
        <v>2.3194109991385026</v>
      </c>
      <c r="BA78" s="105">
        <v>300.59566548834994</v>
      </c>
      <c r="BB78" s="105">
        <v>2.1123399156930267</v>
      </c>
      <c r="BC78" s="105">
        <v>273.75925307381624</v>
      </c>
      <c r="BD78" s="105">
        <v>2.4873334832225695</v>
      </c>
      <c r="BE78" s="105">
        <v>322.35841942564502</v>
      </c>
      <c r="BF78" s="105">
        <v>2.9182187817228606</v>
      </c>
      <c r="BG78" s="105">
        <v>378.20115411128273</v>
      </c>
      <c r="BH78" s="105">
        <v>2.106868985982814</v>
      </c>
      <c r="BI78" s="105">
        <v>273.05022058337266</v>
      </c>
      <c r="BJ78" s="105">
        <v>1.9340723491142571</v>
      </c>
      <c r="BK78" s="105">
        <v>250.65577644520769</v>
      </c>
      <c r="BL78" s="105">
        <v>2.3274359869806407</v>
      </c>
      <c r="BM78" s="105">
        <v>301.63570391269104</v>
      </c>
      <c r="BN78" s="105">
        <v>1.8988015087155758</v>
      </c>
      <c r="BO78" s="105">
        <v>246.08467552953863</v>
      </c>
      <c r="BP78" s="105">
        <v>2.3327062245311962</v>
      </c>
      <c r="BQ78" s="105">
        <v>302.31872669924303</v>
      </c>
      <c r="BR78" s="105">
        <v>2.0893961080580756</v>
      </c>
      <c r="BS78" s="105">
        <v>270.78573560432659</v>
      </c>
      <c r="BT78" s="105">
        <v>2.2355079708274914</v>
      </c>
      <c r="BU78" s="105">
        <v>289.72183301924287</v>
      </c>
      <c r="BV78" s="105">
        <v>2.4241998871827746</v>
      </c>
      <c r="BW78" s="105">
        <v>314.17630537888755</v>
      </c>
      <c r="BX78" s="105">
        <v>2.2535621401766988</v>
      </c>
      <c r="BY78" s="105">
        <v>292.06165336690015</v>
      </c>
      <c r="BZ78" s="105">
        <v>2.5958474925318487</v>
      </c>
      <c r="CA78" s="105">
        <v>336.42183503212755</v>
      </c>
      <c r="CB78" s="105">
        <v>2.3690161237850069</v>
      </c>
      <c r="CC78" s="105">
        <v>307.02448964253688</v>
      </c>
      <c r="CD78" s="105">
        <v>2.5870181798533531</v>
      </c>
      <c r="CE78" s="105">
        <v>335.27755610899453</v>
      </c>
      <c r="CF78" s="105">
        <v>2.6165430329124337</v>
      </c>
      <c r="CG78" s="105">
        <v>339.10397706545137</v>
      </c>
      <c r="CH78" s="105">
        <v>2.7253448591210558</v>
      </c>
      <c r="CI78" s="105">
        <v>353.20469374208881</v>
      </c>
      <c r="CJ78" s="105">
        <v>2.5681495626685211</v>
      </c>
      <c r="CK78" s="105">
        <v>332.83218332184032</v>
      </c>
      <c r="CL78" s="105">
        <v>3.1411238606982077</v>
      </c>
      <c r="CM78" s="105">
        <v>407.0896523464877</v>
      </c>
      <c r="CN78" s="105">
        <v>2.725192849588034</v>
      </c>
      <c r="CO78" s="105">
        <v>353.18499330660921</v>
      </c>
      <c r="CP78" s="105">
        <v>2.3580960260515398</v>
      </c>
      <c r="CQ78" s="105">
        <v>305.60924497627957</v>
      </c>
      <c r="CR78" s="105">
        <v>2.4888705769301498</v>
      </c>
      <c r="CS78" s="105">
        <v>322.55762677014741</v>
      </c>
      <c r="CT78" s="105">
        <v>2.4775358846753441</v>
      </c>
      <c r="CU78" s="105">
        <v>321.08865065392456</v>
      </c>
    </row>
    <row r="79" spans="2:99" x14ac:dyDescent="0.2">
      <c r="C79" s="104" t="s">
        <v>245</v>
      </c>
      <c r="D79" s="105">
        <v>2.104490601985471</v>
      </c>
      <c r="E79" s="105">
        <v>1010.1554889530261</v>
      </c>
      <c r="F79" s="105">
        <v>2.049301170727158</v>
      </c>
      <c r="G79" s="105">
        <v>983.66456194903583</v>
      </c>
      <c r="H79" s="105">
        <v>2.1251924159807714</v>
      </c>
      <c r="I79" s="105">
        <v>1020.0923596707703</v>
      </c>
      <c r="J79" s="105">
        <v>2.3946460299776882</v>
      </c>
      <c r="K79" s="105">
        <v>1149.4300943892904</v>
      </c>
      <c r="L79" s="105">
        <v>2.2529695725615975</v>
      </c>
      <c r="M79" s="105">
        <v>1081.4253948295668</v>
      </c>
      <c r="N79" s="105">
        <v>2.2389645404304734</v>
      </c>
      <c r="O79" s="105">
        <v>1074.7029794066273</v>
      </c>
      <c r="P79" s="105">
        <v>2.3664779970009842</v>
      </c>
      <c r="Q79" s="105">
        <v>1135.9094385604724</v>
      </c>
      <c r="R79" s="105">
        <v>2.5548527366478844</v>
      </c>
      <c r="S79" s="105">
        <v>1226.3293135909844</v>
      </c>
      <c r="T79" s="105">
        <v>2.0923744688136163</v>
      </c>
      <c r="U79" s="105">
        <v>1004.3397450305358</v>
      </c>
      <c r="V79" s="105">
        <v>2.3087325044220548</v>
      </c>
      <c r="W79" s="105">
        <v>1108.1916021225863</v>
      </c>
      <c r="X79" s="105">
        <v>2.4233208254924961</v>
      </c>
      <c r="Y79" s="105">
        <v>1163.1939962363981</v>
      </c>
      <c r="Z79" s="105">
        <v>2.4168406144404706</v>
      </c>
      <c r="AA79" s="105">
        <v>1160.0834949314258</v>
      </c>
      <c r="AB79" s="105">
        <v>1.9735122461246932</v>
      </c>
      <c r="AC79" s="105">
        <v>947.2858781398528</v>
      </c>
      <c r="AD79" s="105">
        <v>2.5749624150613815</v>
      </c>
      <c r="AE79" s="105">
        <v>1235.9819592294632</v>
      </c>
      <c r="AF79" s="105">
        <v>2.1265371544316682</v>
      </c>
      <c r="AG79" s="105">
        <v>1020.7378341272008</v>
      </c>
      <c r="AH79" s="105">
        <v>2.1735636410255919</v>
      </c>
      <c r="AI79" s="105">
        <v>1043.310547692284</v>
      </c>
      <c r="AJ79" s="105">
        <v>2.2616147681654639</v>
      </c>
      <c r="AK79" s="105">
        <v>1085.5750887194226</v>
      </c>
      <c r="AL79" s="105">
        <v>2.3716548270455351</v>
      </c>
      <c r="AM79" s="105">
        <v>1138.3943169818569</v>
      </c>
      <c r="AN79" s="105">
        <v>2.6088203097500884</v>
      </c>
      <c r="AO79" s="105">
        <v>1252.2337486800425</v>
      </c>
      <c r="AP79" s="105">
        <v>2.0717586959869232</v>
      </c>
      <c r="AQ79" s="105">
        <v>994.44417407372316</v>
      </c>
      <c r="AR79" s="105">
        <v>2</v>
      </c>
      <c r="AS79" s="105">
        <v>960</v>
      </c>
      <c r="AT79" s="105">
        <v>1.6452693927587425</v>
      </c>
      <c r="AU79" s="105">
        <v>789.72930852419643</v>
      </c>
      <c r="AV79" s="105">
        <v>2.28484090225805</v>
      </c>
      <c r="AW79" s="105">
        <v>1096.7236330838641</v>
      </c>
      <c r="AX79" s="105">
        <v>2.4505148813795157</v>
      </c>
      <c r="AY79" s="105">
        <v>1176.2471430621674</v>
      </c>
      <c r="AZ79" s="105">
        <v>2.3145127382169317</v>
      </c>
      <c r="BA79" s="105">
        <v>1110.9661143441272</v>
      </c>
      <c r="BB79" s="105">
        <v>2.7288859115770006</v>
      </c>
      <c r="BC79" s="105">
        <v>1309.8652375569602</v>
      </c>
      <c r="BD79" s="105">
        <v>2.4539084324143765</v>
      </c>
      <c r="BE79" s="105">
        <v>1177.8760475589006</v>
      </c>
      <c r="BF79" s="105">
        <v>2.2149432807432921</v>
      </c>
      <c r="BG79" s="105">
        <v>1063.1727747567802</v>
      </c>
      <c r="BH79" s="105">
        <v>1.7385098847736342</v>
      </c>
      <c r="BI79" s="105">
        <v>834.48474469134442</v>
      </c>
      <c r="BJ79" s="105">
        <v>1.9340723491142571</v>
      </c>
      <c r="BK79" s="105">
        <v>928.35472757484342</v>
      </c>
      <c r="BL79" s="105">
        <v>2.3274359869806407</v>
      </c>
      <c r="BM79" s="105">
        <v>1117.1692737507076</v>
      </c>
      <c r="BN79" s="105">
        <v>1.9138962445464236</v>
      </c>
      <c r="BO79" s="105">
        <v>918.67019738228328</v>
      </c>
      <c r="BP79" s="105">
        <v>2.3327062245311962</v>
      </c>
      <c r="BQ79" s="105">
        <v>1119.6989877749743</v>
      </c>
      <c r="BR79" s="105">
        <v>2.7183615148458946</v>
      </c>
      <c r="BS79" s="105">
        <v>1304.8135271260294</v>
      </c>
      <c r="BT79" s="105">
        <v>2.240130461443659</v>
      </c>
      <c r="BU79" s="105">
        <v>1075.2626214929564</v>
      </c>
      <c r="BV79" s="105">
        <v>2.4241998871827746</v>
      </c>
      <c r="BW79" s="105">
        <v>1163.6159458477318</v>
      </c>
      <c r="BX79" s="105">
        <v>2.2535621401766988</v>
      </c>
      <c r="BY79" s="105">
        <v>1081.7098272848154</v>
      </c>
      <c r="BZ79" s="105">
        <v>2.5958474925318487</v>
      </c>
      <c r="CA79" s="105">
        <v>1246.0067964152875</v>
      </c>
      <c r="CB79" s="105">
        <v>2.6754859475351211</v>
      </c>
      <c r="CC79" s="105">
        <v>1284.2332548168581</v>
      </c>
      <c r="CD79" s="105">
        <v>2.5870181798533531</v>
      </c>
      <c r="CE79" s="105">
        <v>1241.7687263296095</v>
      </c>
      <c r="CF79" s="105">
        <v>2.6165430329124337</v>
      </c>
      <c r="CG79" s="105">
        <v>1255.9406557979682</v>
      </c>
      <c r="CH79" s="105">
        <v>2.7253448591210558</v>
      </c>
      <c r="CI79" s="105">
        <v>1308.1655323781067</v>
      </c>
      <c r="CJ79" s="105">
        <v>2.5940112295951256</v>
      </c>
      <c r="CK79" s="105">
        <v>1245.1253902056603</v>
      </c>
      <c r="CL79" s="105">
        <v>3.1411238606982077</v>
      </c>
      <c r="CM79" s="105">
        <v>1507.7394531351397</v>
      </c>
      <c r="CN79" s="105">
        <v>2.725192849588034</v>
      </c>
      <c r="CO79" s="105">
        <v>1308.0925678022563</v>
      </c>
      <c r="CP79" s="105">
        <v>2.3688276746847974</v>
      </c>
      <c r="CQ79" s="105">
        <v>1137.0372838487028</v>
      </c>
      <c r="CR79" s="105">
        <v>2.4563702694739633</v>
      </c>
      <c r="CS79" s="105">
        <v>1179.0577293475023</v>
      </c>
      <c r="CT79" s="105">
        <v>2.3049711626842324</v>
      </c>
      <c r="CU79" s="105">
        <v>1106.3861580884316</v>
      </c>
    </row>
    <row r="80" spans="2:99" x14ac:dyDescent="0.2">
      <c r="C80" s="104" t="s">
        <v>246</v>
      </c>
      <c r="D80" s="105">
        <v>2.104490601985471</v>
      </c>
      <c r="E80" s="105">
        <v>1603.6218387129288</v>
      </c>
      <c r="F80" s="105">
        <v>1.9779297671377412</v>
      </c>
      <c r="G80" s="105">
        <v>1507.1824825589588</v>
      </c>
      <c r="H80" s="105">
        <v>1.8806677852422886</v>
      </c>
      <c r="I80" s="105">
        <v>1433.0688523546239</v>
      </c>
      <c r="J80" s="105">
        <v>2.3702508683650039</v>
      </c>
      <c r="K80" s="105">
        <v>1806.131161694133</v>
      </c>
      <c r="L80" s="105">
        <v>2.2529695725615975</v>
      </c>
      <c r="M80" s="105">
        <v>1716.7628142919373</v>
      </c>
      <c r="N80" s="105">
        <v>2.0139593278245469</v>
      </c>
      <c r="O80" s="105">
        <v>1534.6370078023047</v>
      </c>
      <c r="P80" s="105">
        <v>1.6388337448775301</v>
      </c>
      <c r="Q80" s="105">
        <v>1248.791313596678</v>
      </c>
      <c r="R80" s="105">
        <v>2.5548527366478844</v>
      </c>
      <c r="S80" s="105">
        <v>1946.797785325688</v>
      </c>
      <c r="T80" s="105">
        <v>2.0645875616574076</v>
      </c>
      <c r="U80" s="105">
        <v>1573.2157219829446</v>
      </c>
      <c r="V80" s="105">
        <v>2.331593379003694</v>
      </c>
      <c r="W80" s="105">
        <v>1776.6741548008149</v>
      </c>
      <c r="X80" s="105">
        <v>1.6481544968862485</v>
      </c>
      <c r="Y80" s="105">
        <v>1255.8937266273213</v>
      </c>
      <c r="Z80" s="105">
        <v>2.4168406144404706</v>
      </c>
      <c r="AA80" s="105">
        <v>1841.6325482036386</v>
      </c>
      <c r="AB80" s="105">
        <v>1.9735122461246932</v>
      </c>
      <c r="AC80" s="105">
        <v>1503.8163315470163</v>
      </c>
      <c r="AD80" s="105">
        <v>1.9312218112960362</v>
      </c>
      <c r="AE80" s="105">
        <v>1471.5910202075795</v>
      </c>
      <c r="AF80" s="105">
        <v>2.095234998049901</v>
      </c>
      <c r="AG80" s="105">
        <v>1596.5690685140246</v>
      </c>
      <c r="AH80" s="105">
        <v>2.8236970814096081</v>
      </c>
      <c r="AI80" s="105">
        <v>2151.6571760341212</v>
      </c>
      <c r="AJ80" s="105">
        <v>2.2546467400928969</v>
      </c>
      <c r="AK80" s="105">
        <v>1718.0408159507874</v>
      </c>
      <c r="AL80" s="105">
        <v>2.3716548270455351</v>
      </c>
      <c r="AM80" s="105">
        <v>1807.2009782086977</v>
      </c>
      <c r="AN80" s="105">
        <v>2.6088203097500884</v>
      </c>
      <c r="AO80" s="105">
        <v>1987.9210760295673</v>
      </c>
      <c r="AP80" s="105">
        <v>2.0717586959869232</v>
      </c>
      <c r="AQ80" s="105">
        <v>1578.6801263420355</v>
      </c>
      <c r="AR80" s="105">
        <v>2</v>
      </c>
      <c r="AS80" s="105">
        <v>1524</v>
      </c>
      <c r="AT80" s="105">
        <v>2.4679040891381137</v>
      </c>
      <c r="AU80" s="105">
        <v>1880.5429159232426</v>
      </c>
      <c r="AV80" s="105">
        <v>1.7136306766935376</v>
      </c>
      <c r="AW80" s="105">
        <v>1305.7865756404756</v>
      </c>
      <c r="AX80" s="105">
        <v>2.4505148813795157</v>
      </c>
      <c r="AY80" s="105">
        <v>1867.292339611191</v>
      </c>
      <c r="AZ80" s="105">
        <v>2.3194109991385026</v>
      </c>
      <c r="BA80" s="105">
        <v>1767.3911813435388</v>
      </c>
      <c r="BB80" s="105">
        <v>1.8496379876519227</v>
      </c>
      <c r="BC80" s="105">
        <v>1409.4241465907651</v>
      </c>
      <c r="BD80" s="105">
        <v>2.4873334832225695</v>
      </c>
      <c r="BE80" s="105">
        <v>1895.3481142155979</v>
      </c>
      <c r="BF80" s="105">
        <v>2.2149432807432921</v>
      </c>
      <c r="BG80" s="105">
        <v>1687.7867799263886</v>
      </c>
      <c r="BH80" s="105">
        <v>2.0700330758618963</v>
      </c>
      <c r="BI80" s="105">
        <v>1577.3652038067651</v>
      </c>
      <c r="BJ80" s="105">
        <v>1.9340723491142571</v>
      </c>
      <c r="BK80" s="105">
        <v>1473.7631300250639</v>
      </c>
      <c r="BL80" s="105">
        <v>2.3274359869806407</v>
      </c>
      <c r="BM80" s="105">
        <v>1773.5062220792481</v>
      </c>
      <c r="BN80" s="105">
        <v>2.5166406091232534</v>
      </c>
      <c r="BO80" s="105">
        <v>1917.680144151919</v>
      </c>
      <c r="BP80" s="105">
        <v>2.3071082834733003</v>
      </c>
      <c r="BQ80" s="105">
        <v>1758.0165120066549</v>
      </c>
      <c r="BR80" s="105">
        <v>2.0893961080580756</v>
      </c>
      <c r="BS80" s="105">
        <v>1592.1198343402536</v>
      </c>
      <c r="BT80" s="105">
        <v>2.2355079708274914</v>
      </c>
      <c r="BU80" s="105">
        <v>1703.4570737705485</v>
      </c>
      <c r="BV80" s="105">
        <v>2.4241998871827746</v>
      </c>
      <c r="BW80" s="105">
        <v>1847.2403140332742</v>
      </c>
      <c r="BX80" s="105">
        <v>2.9712557218373812</v>
      </c>
      <c r="BY80" s="105">
        <v>2264.0968600400843</v>
      </c>
      <c r="BZ80" s="105">
        <v>2.5695098775336604</v>
      </c>
      <c r="CA80" s="105">
        <v>1957.9665266806492</v>
      </c>
      <c r="CB80" s="105">
        <v>2.3690161237850069</v>
      </c>
      <c r="CC80" s="105">
        <v>1805.1902863241753</v>
      </c>
      <c r="CD80" s="105">
        <v>2.5870181798533531</v>
      </c>
      <c r="CE80" s="105">
        <v>1971.3078530482551</v>
      </c>
      <c r="CF80" s="105">
        <v>2.6165430329124337</v>
      </c>
      <c r="CG80" s="105">
        <v>1993.8057910792745</v>
      </c>
      <c r="CH80" s="105">
        <v>2.7514516646279317</v>
      </c>
      <c r="CI80" s="105">
        <v>2096.6061684464839</v>
      </c>
      <c r="CJ80" s="105">
        <v>2.6198728965217302</v>
      </c>
      <c r="CK80" s="105">
        <v>1996.3431471495585</v>
      </c>
      <c r="CL80" s="105">
        <v>3.1114586692068582</v>
      </c>
      <c r="CM80" s="105">
        <v>2370.9315059356259</v>
      </c>
      <c r="CN80" s="105">
        <v>2.6963008672585502</v>
      </c>
      <c r="CO80" s="105">
        <v>2054.5812608510155</v>
      </c>
      <c r="CP80" s="105">
        <v>2.3580960260515398</v>
      </c>
      <c r="CQ80" s="105">
        <v>1796.8691718512732</v>
      </c>
      <c r="CR80" s="105">
        <v>2.4888705769301498</v>
      </c>
      <c r="CS80" s="105">
        <v>1896.5193796207741</v>
      </c>
      <c r="CT80" s="105">
        <v>2.3049711626842324</v>
      </c>
      <c r="CU80" s="105">
        <v>1756.3880259653852</v>
      </c>
    </row>
    <row r="81" spans="2:99" x14ac:dyDescent="0.2">
      <c r="C81" s="104" t="s">
        <v>247</v>
      </c>
      <c r="D81" s="105">
        <v>2.104490601985471</v>
      </c>
      <c r="E81" s="105">
        <v>1313.2021356389339</v>
      </c>
      <c r="F81" s="105">
        <v>1.6210727491906551</v>
      </c>
      <c r="G81" s="105">
        <v>1011.5493954949688</v>
      </c>
      <c r="H81" s="105">
        <v>2.1251924159807714</v>
      </c>
      <c r="I81" s="105">
        <v>1326.1200675720013</v>
      </c>
      <c r="J81" s="105">
        <v>2.3946460299776882</v>
      </c>
      <c r="K81" s="105">
        <v>1494.2591227060775</v>
      </c>
      <c r="L81" s="105">
        <v>2.2529695725615975</v>
      </c>
      <c r="M81" s="105">
        <v>1405.8530132784367</v>
      </c>
      <c r="N81" s="105">
        <v>2.0139593278245469</v>
      </c>
      <c r="O81" s="105">
        <v>1256.7106205625173</v>
      </c>
      <c r="P81" s="105">
        <v>2.3358871235625474</v>
      </c>
      <c r="Q81" s="105">
        <v>1457.5935651030295</v>
      </c>
      <c r="R81" s="105">
        <v>1.9664542406222187</v>
      </c>
      <c r="S81" s="105">
        <v>1227.0674461482645</v>
      </c>
      <c r="T81" s="105">
        <v>2.0645875616574076</v>
      </c>
      <c r="U81" s="105">
        <v>1288.3026384742225</v>
      </c>
      <c r="V81" s="105">
        <v>2.331593379003694</v>
      </c>
      <c r="W81" s="105">
        <v>1454.9142684983051</v>
      </c>
      <c r="X81" s="105">
        <v>1.6481544968862485</v>
      </c>
      <c r="Y81" s="105">
        <v>1028.4484060570192</v>
      </c>
      <c r="Z81" s="105">
        <v>2.4168406144404706</v>
      </c>
      <c r="AA81" s="105">
        <v>1508.1085434108536</v>
      </c>
      <c r="AB81" s="105">
        <v>2.6151851041905307</v>
      </c>
      <c r="AC81" s="105">
        <v>1631.8755050148911</v>
      </c>
      <c r="AD81" s="105">
        <v>1.9312218112960362</v>
      </c>
      <c r="AE81" s="105">
        <v>1205.0824102487265</v>
      </c>
      <c r="AF81" s="105">
        <v>2.1578393108134359</v>
      </c>
      <c r="AG81" s="105">
        <v>1346.491729947584</v>
      </c>
      <c r="AH81" s="105">
        <v>2.8236970814096081</v>
      </c>
      <c r="AI81" s="105">
        <v>1761.9869787995954</v>
      </c>
      <c r="AJ81" s="105">
        <v>2.2128385716574948</v>
      </c>
      <c r="AK81" s="105">
        <v>1380.8112687142768</v>
      </c>
      <c r="AL81" s="105">
        <v>1.5811032180303566</v>
      </c>
      <c r="AM81" s="105">
        <v>986.60840805094256</v>
      </c>
      <c r="AN81" s="105">
        <v>2.6088203097500884</v>
      </c>
      <c r="AO81" s="105">
        <v>1627.9038732840552</v>
      </c>
      <c r="AP81" s="105">
        <v>2.0717586959869232</v>
      </c>
      <c r="AQ81" s="105">
        <v>1292.7774262958401</v>
      </c>
      <c r="AR81" s="105">
        <v>2</v>
      </c>
      <c r="AS81" s="105">
        <v>1248</v>
      </c>
      <c r="AT81" s="105">
        <v>2.4679040891381137</v>
      </c>
      <c r="AU81" s="105">
        <v>1539.972151622183</v>
      </c>
      <c r="AV81" s="105">
        <v>1.7136306766935376</v>
      </c>
      <c r="AW81" s="105">
        <v>1069.3055422567675</v>
      </c>
      <c r="AX81" s="105">
        <v>2.4505148813795157</v>
      </c>
      <c r="AY81" s="105">
        <v>1529.1212859808177</v>
      </c>
      <c r="AZ81" s="105">
        <v>2.3194109991385026</v>
      </c>
      <c r="BA81" s="105">
        <v>1447.3124634624255</v>
      </c>
      <c r="BB81" s="105">
        <v>2.7288859115770006</v>
      </c>
      <c r="BC81" s="105">
        <v>1702.8248088240484</v>
      </c>
      <c r="BD81" s="105">
        <v>1.7807808417784206</v>
      </c>
      <c r="BE81" s="105">
        <v>1111.2072452697344</v>
      </c>
      <c r="BF81" s="105">
        <v>2.2149432807432921</v>
      </c>
      <c r="BG81" s="105">
        <v>1382.1246071838143</v>
      </c>
      <c r="BH81" s="105">
        <v>1.7385098847736342</v>
      </c>
      <c r="BI81" s="105">
        <v>1084.8301680987477</v>
      </c>
      <c r="BJ81" s="105">
        <v>1.9340723491142571</v>
      </c>
      <c r="BK81" s="105">
        <v>1206.8611458472965</v>
      </c>
      <c r="BL81" s="105">
        <v>2.2970256285547577</v>
      </c>
      <c r="BM81" s="105">
        <v>1433.3439922181688</v>
      </c>
      <c r="BN81" s="105">
        <v>2.5015458732924061</v>
      </c>
      <c r="BO81" s="105">
        <v>1560.9646249344614</v>
      </c>
      <c r="BP81" s="105">
        <v>2.3071082834733003</v>
      </c>
      <c r="BQ81" s="105">
        <v>1439.6355688873393</v>
      </c>
      <c r="BR81" s="105">
        <v>2.1183246634430213</v>
      </c>
      <c r="BS81" s="105">
        <v>1321.8345899884453</v>
      </c>
      <c r="BT81" s="105">
        <v>2.2308854802113238</v>
      </c>
      <c r="BU81" s="105">
        <v>1392.072539651866</v>
      </c>
      <c r="BV81" s="105">
        <v>2.4241998871827746</v>
      </c>
      <c r="BW81" s="105">
        <v>1512.7007296020513</v>
      </c>
      <c r="BX81" s="105">
        <v>2.2679166252045064</v>
      </c>
      <c r="BY81" s="105">
        <v>1415.179974127612</v>
      </c>
      <c r="BZ81" s="105">
        <v>2.5695098775336604</v>
      </c>
      <c r="CA81" s="105">
        <v>1603.374163581004</v>
      </c>
      <c r="CB81" s="105">
        <v>2.6754859475351211</v>
      </c>
      <c r="CC81" s="105">
        <v>1669.5032312619155</v>
      </c>
      <c r="CD81" s="105">
        <v>2.5870181798533531</v>
      </c>
      <c r="CE81" s="105">
        <v>1614.2993442284924</v>
      </c>
      <c r="CF81" s="105">
        <v>1.8301112496116116</v>
      </c>
      <c r="CG81" s="105">
        <v>1141.9894197576457</v>
      </c>
      <c r="CH81" s="105">
        <v>2.7253448591210558</v>
      </c>
      <c r="CI81" s="105">
        <v>1700.6151920915388</v>
      </c>
      <c r="CJ81" s="105">
        <v>2.6198728965217302</v>
      </c>
      <c r="CK81" s="105">
        <v>1634.8006874295597</v>
      </c>
      <c r="CL81" s="105">
        <v>2.4225895763791923</v>
      </c>
      <c r="CM81" s="105">
        <v>1511.6958956606159</v>
      </c>
      <c r="CN81" s="105">
        <v>2.6963008672585502</v>
      </c>
      <c r="CO81" s="105">
        <v>1682.4917411693355</v>
      </c>
      <c r="CP81" s="105">
        <v>2.3580960260515398</v>
      </c>
      <c r="CQ81" s="105">
        <v>1471.4519202561607</v>
      </c>
      <c r="CR81" s="105">
        <v>2.4238699620177768</v>
      </c>
      <c r="CS81" s="105">
        <v>1512.4948562990928</v>
      </c>
      <c r="CT81" s="105">
        <v>2.3049711626842324</v>
      </c>
      <c r="CU81" s="105">
        <v>1438.3020055149609</v>
      </c>
    </row>
    <row r="82" spans="2:99" x14ac:dyDescent="0.2">
      <c r="C82" s="104" t="s">
        <v>248</v>
      </c>
      <c r="D82" s="105">
        <v>2.0992505510288932</v>
      </c>
      <c r="E82" s="105">
        <v>750.6919970479322</v>
      </c>
      <c r="F82" s="105">
        <v>2.824151843527777</v>
      </c>
      <c r="G82" s="105">
        <v>1009.916699245533</v>
      </c>
      <c r="H82" s="105">
        <v>2.0980230125653847</v>
      </c>
      <c r="I82" s="105">
        <v>750.25302929338147</v>
      </c>
      <c r="J82" s="105">
        <v>2.3946460299776882</v>
      </c>
      <c r="K82" s="105">
        <v>856.32542032002118</v>
      </c>
      <c r="L82" s="105">
        <v>2.2491111596679776</v>
      </c>
      <c r="M82" s="105">
        <v>804.28215069726866</v>
      </c>
      <c r="N82" s="105">
        <v>2.2639651196089097</v>
      </c>
      <c r="O82" s="105">
        <v>809.59392677214601</v>
      </c>
      <c r="P82" s="105">
        <v>2.3052962501241105</v>
      </c>
      <c r="Q82" s="105">
        <v>824.37393904438181</v>
      </c>
      <c r="R82" s="105">
        <v>2.3535939841026625</v>
      </c>
      <c r="S82" s="105">
        <v>841.64520871511206</v>
      </c>
      <c r="T82" s="105">
        <v>2.6601603916891805</v>
      </c>
      <c r="U82" s="105">
        <v>951.27335606805082</v>
      </c>
      <c r="V82" s="105">
        <v>2.3087325044220548</v>
      </c>
      <c r="W82" s="105">
        <v>825.60274358132676</v>
      </c>
      <c r="X82" s="105">
        <v>1.6481544968862485</v>
      </c>
      <c r="Y82" s="105">
        <v>589.38004808652238</v>
      </c>
      <c r="Z82" s="105">
        <v>2.4168406144404706</v>
      </c>
      <c r="AA82" s="105">
        <v>864.26220372391219</v>
      </c>
      <c r="AB82" s="105">
        <v>2.6091233951996329</v>
      </c>
      <c r="AC82" s="105">
        <v>933.02252612338862</v>
      </c>
      <c r="AD82" s="105">
        <v>1.9312218112960362</v>
      </c>
      <c r="AE82" s="105">
        <v>690.60491971946249</v>
      </c>
      <c r="AF82" s="105">
        <v>2.1578393108134359</v>
      </c>
      <c r="AG82" s="105">
        <v>771.6433375468846</v>
      </c>
      <c r="AH82" s="105">
        <v>2.1735636410255919</v>
      </c>
      <c r="AI82" s="105">
        <v>777.26635803075158</v>
      </c>
      <c r="AJ82" s="105">
        <v>2.2616147681654639</v>
      </c>
      <c r="AK82" s="105">
        <v>808.75344109596983</v>
      </c>
      <c r="AL82" s="105">
        <v>2.3716548270455351</v>
      </c>
      <c r="AM82" s="105">
        <v>848.10376615148323</v>
      </c>
      <c r="AN82" s="105">
        <v>1.7392135398333923</v>
      </c>
      <c r="AO82" s="105">
        <v>621.94276184442106</v>
      </c>
      <c r="AP82" s="105">
        <v>2.3158362920850295</v>
      </c>
      <c r="AQ82" s="105">
        <v>828.14305804960645</v>
      </c>
      <c r="AR82" s="105">
        <v>2</v>
      </c>
      <c r="AS82" s="105">
        <v>715.19999999999993</v>
      </c>
      <c r="AT82" s="105">
        <v>1.6452693927587425</v>
      </c>
      <c r="AU82" s="105">
        <v>588.34833485052627</v>
      </c>
      <c r="AV82" s="105">
        <v>2.28484090225805</v>
      </c>
      <c r="AW82" s="105">
        <v>817.05910664747864</v>
      </c>
      <c r="AX82" s="105">
        <v>2.4505148813795157</v>
      </c>
      <c r="AY82" s="105">
        <v>876.30412158131469</v>
      </c>
      <c r="AZ82" s="105">
        <v>2.3194109991385026</v>
      </c>
      <c r="BA82" s="105">
        <v>829.42137329192849</v>
      </c>
      <c r="BB82" s="105">
        <v>2.7551561043811108</v>
      </c>
      <c r="BC82" s="105">
        <v>985.24382292668508</v>
      </c>
      <c r="BD82" s="105">
        <v>2.4873334832225695</v>
      </c>
      <c r="BE82" s="105">
        <v>889.47045360039078</v>
      </c>
      <c r="BF82" s="105">
        <v>2.2018036835177184</v>
      </c>
      <c r="BG82" s="105">
        <v>787.36499722593601</v>
      </c>
      <c r="BH82" s="105">
        <v>2.106868985982814</v>
      </c>
      <c r="BI82" s="105">
        <v>753.41634938745426</v>
      </c>
      <c r="BJ82" s="105">
        <v>1.9340723491142571</v>
      </c>
      <c r="BK82" s="105">
        <v>691.62427204325832</v>
      </c>
      <c r="BL82" s="105">
        <v>2.3274359869806407</v>
      </c>
      <c r="BM82" s="105">
        <v>832.29110894427708</v>
      </c>
      <c r="BN82" s="105">
        <v>2.5166406091232534</v>
      </c>
      <c r="BO82" s="105">
        <v>899.9506818224753</v>
      </c>
      <c r="BP82" s="105">
        <v>2.3071082834733003</v>
      </c>
      <c r="BQ82" s="105">
        <v>825.02192217005211</v>
      </c>
      <c r="BR82" s="105">
        <v>2.6605044040760033</v>
      </c>
      <c r="BS82" s="105">
        <v>951.39637489757865</v>
      </c>
      <c r="BT82" s="105">
        <v>2.2355079708274914</v>
      </c>
      <c r="BU82" s="105">
        <v>799.41765036791082</v>
      </c>
      <c r="BV82" s="105">
        <v>2.4241998871827746</v>
      </c>
      <c r="BW82" s="105">
        <v>866.8938796565601</v>
      </c>
      <c r="BX82" s="105">
        <v>2.9712557218373812</v>
      </c>
      <c r="BY82" s="105">
        <v>1062.5210461290474</v>
      </c>
      <c r="BZ82" s="105">
        <v>2.5695098775336604</v>
      </c>
      <c r="CA82" s="105">
        <v>918.8567322060369</v>
      </c>
      <c r="CB82" s="105">
        <v>2.6754859475351211</v>
      </c>
      <c r="CC82" s="105">
        <v>956.75377483855925</v>
      </c>
      <c r="CD82" s="105">
        <v>2.611898296392519</v>
      </c>
      <c r="CE82" s="105">
        <v>934.01483078996466</v>
      </c>
      <c r="CF82" s="105">
        <v>2.5843870725361877</v>
      </c>
      <c r="CG82" s="105">
        <v>924.17681713894069</v>
      </c>
      <c r="CH82" s="105">
        <v>2.7253448591210558</v>
      </c>
      <c r="CI82" s="105">
        <v>974.58332162168949</v>
      </c>
      <c r="CJ82" s="105">
        <v>2.6198728965217302</v>
      </c>
      <c r="CK82" s="105">
        <v>936.86654779617061</v>
      </c>
      <c r="CL82" s="105">
        <v>3.1707890521895572</v>
      </c>
      <c r="CM82" s="105">
        <v>1133.8741650629856</v>
      </c>
      <c r="CN82" s="105">
        <v>2.6963008672585502</v>
      </c>
      <c r="CO82" s="105">
        <v>964.19719013165752</v>
      </c>
      <c r="CP82" s="105">
        <v>2.3688276746847974</v>
      </c>
      <c r="CQ82" s="105">
        <v>847.09277646728344</v>
      </c>
      <c r="CR82" s="105">
        <v>2.4888705769301498</v>
      </c>
      <c r="CS82" s="105">
        <v>890.02011831022151</v>
      </c>
      <c r="CT82" s="105">
        <v>2.3049711626842324</v>
      </c>
      <c r="CU82" s="105">
        <v>824.25768777588144</v>
      </c>
    </row>
    <row r="83" spans="2:99" x14ac:dyDescent="0.2">
      <c r="C83" s="104" t="s">
        <v>249</v>
      </c>
      <c r="D83" s="105">
        <v>2.104490601985471</v>
      </c>
      <c r="E83" s="105">
        <v>1257.6435837465176</v>
      </c>
      <c r="F83" s="105">
        <v>2.0136154689324499</v>
      </c>
      <c r="G83" s="105">
        <v>1203.3366042340322</v>
      </c>
      <c r="H83" s="105">
        <v>2.1251924159807714</v>
      </c>
      <c r="I83" s="105">
        <v>1270.014987790109</v>
      </c>
      <c r="J83" s="105">
        <v>2.3946460299776882</v>
      </c>
      <c r="K83" s="105">
        <v>1431.0404675146665</v>
      </c>
      <c r="L83" s="105">
        <v>2.2529695725615975</v>
      </c>
      <c r="M83" s="105">
        <v>1346.3746165628106</v>
      </c>
      <c r="N83" s="105">
        <v>2.2639651196089097</v>
      </c>
      <c r="O83" s="105">
        <v>1352.9455554782844</v>
      </c>
      <c r="P83" s="105">
        <v>2.3052962501241105</v>
      </c>
      <c r="Q83" s="105">
        <v>1377.6450390741686</v>
      </c>
      <c r="R83" s="105">
        <v>2.5548527366478844</v>
      </c>
      <c r="S83" s="105">
        <v>1526.7799954207758</v>
      </c>
      <c r="T83" s="105">
        <v>2.0923744688136163</v>
      </c>
      <c r="U83" s="105">
        <v>1250.4029825630171</v>
      </c>
      <c r="V83" s="105">
        <v>2.331593379003694</v>
      </c>
      <c r="W83" s="105">
        <v>1393.3602032926076</v>
      </c>
      <c r="X83" s="105">
        <v>2.4233208254924961</v>
      </c>
      <c r="Y83" s="105">
        <v>1448.1765253143158</v>
      </c>
      <c r="Z83" s="105">
        <v>2.4168406144404706</v>
      </c>
      <c r="AA83" s="105">
        <v>1444.3039511896252</v>
      </c>
      <c r="AB83" s="105">
        <v>1.9674505371337954</v>
      </c>
      <c r="AC83" s="105">
        <v>1175.7484409911563</v>
      </c>
      <c r="AD83" s="105">
        <v>1.9312218112960362</v>
      </c>
      <c r="AE83" s="105">
        <v>1154.0981544305114</v>
      </c>
      <c r="AF83" s="105">
        <v>2.095234998049901</v>
      </c>
      <c r="AG83" s="105">
        <v>1252.1124348346209</v>
      </c>
      <c r="AH83" s="105">
        <v>2.1735636410255919</v>
      </c>
      <c r="AI83" s="105">
        <v>1298.9216318768938</v>
      </c>
      <c r="AJ83" s="105">
        <v>2.2128385716574948</v>
      </c>
      <c r="AK83" s="105">
        <v>1322.3923304225189</v>
      </c>
      <c r="AL83" s="105">
        <v>2.3716548270455351</v>
      </c>
      <c r="AM83" s="105">
        <v>1417.3009246424119</v>
      </c>
      <c r="AN83" s="105">
        <v>2.6088203097500884</v>
      </c>
      <c r="AO83" s="105">
        <v>1559.0310171066528</v>
      </c>
      <c r="AP83" s="105">
        <v>2.0717586959869232</v>
      </c>
      <c r="AQ83" s="105">
        <v>1238.0829967217853</v>
      </c>
      <c r="AR83" s="105">
        <v>2</v>
      </c>
      <c r="AS83" s="105">
        <v>1195.2</v>
      </c>
      <c r="AT83" s="105">
        <v>1.6452693927587425</v>
      </c>
      <c r="AU83" s="105">
        <v>983.21298911262454</v>
      </c>
      <c r="AV83" s="105">
        <v>1.7136306766935376</v>
      </c>
      <c r="AW83" s="105">
        <v>1024.0656923920581</v>
      </c>
      <c r="AX83" s="105">
        <v>2.4505148813795157</v>
      </c>
      <c r="AY83" s="105">
        <v>1464.4276931123986</v>
      </c>
      <c r="AZ83" s="105">
        <v>2.3194109991385026</v>
      </c>
      <c r="BA83" s="105">
        <v>1386.0800130851692</v>
      </c>
      <c r="BB83" s="105">
        <v>2.7288859115770006</v>
      </c>
      <c r="BC83" s="105">
        <v>1630.7822207584156</v>
      </c>
      <c r="BD83" s="105">
        <v>2.4873334832225695</v>
      </c>
      <c r="BE83" s="105">
        <v>1486.4304895738076</v>
      </c>
      <c r="BF83" s="105">
        <v>2.2149432807432921</v>
      </c>
      <c r="BG83" s="105">
        <v>1323.6501045721914</v>
      </c>
      <c r="BH83" s="105">
        <v>2.106868985982814</v>
      </c>
      <c r="BI83" s="105">
        <v>1259.0649060233297</v>
      </c>
      <c r="BJ83" s="105">
        <v>1.9340723491142571</v>
      </c>
      <c r="BK83" s="105">
        <v>1155.80163583068</v>
      </c>
      <c r="BL83" s="105">
        <v>2.2970256285547577</v>
      </c>
      <c r="BM83" s="105">
        <v>1372.7025156243233</v>
      </c>
      <c r="BN83" s="105">
        <v>2.5166406091232534</v>
      </c>
      <c r="BO83" s="105">
        <v>1503.9444280120563</v>
      </c>
      <c r="BP83" s="105">
        <v>2.3071082834733003</v>
      </c>
      <c r="BQ83" s="105">
        <v>1378.7279102036443</v>
      </c>
      <c r="BR83" s="105">
        <v>2.0893961080580756</v>
      </c>
      <c r="BS83" s="105">
        <v>1248.6231141755061</v>
      </c>
      <c r="BT83" s="105">
        <v>2.2355079708274914</v>
      </c>
      <c r="BU83" s="105">
        <v>1335.939563366509</v>
      </c>
      <c r="BV83" s="105">
        <v>2.4027926404601954</v>
      </c>
      <c r="BW83" s="105">
        <v>1435.9088819390129</v>
      </c>
      <c r="BX83" s="105">
        <v>2.2535621401766988</v>
      </c>
      <c r="BY83" s="105">
        <v>1346.7287349695953</v>
      </c>
      <c r="BZ83" s="105">
        <v>2.5958474925318487</v>
      </c>
      <c r="CA83" s="105">
        <v>1551.2784615370329</v>
      </c>
      <c r="CB83" s="105">
        <v>2.7095381501740232</v>
      </c>
      <c r="CC83" s="105">
        <v>1619.2199985439963</v>
      </c>
      <c r="CD83" s="105">
        <v>2.5870181798533531</v>
      </c>
      <c r="CE83" s="105">
        <v>1546.0020642803638</v>
      </c>
      <c r="CF83" s="105">
        <v>2.5522311121599417</v>
      </c>
      <c r="CG83" s="105">
        <v>1525.2133126267813</v>
      </c>
      <c r="CH83" s="105">
        <v>2.7253448591210558</v>
      </c>
      <c r="CI83" s="105">
        <v>1628.666087810743</v>
      </c>
      <c r="CJ83" s="105">
        <v>2.6198728965217302</v>
      </c>
      <c r="CK83" s="105">
        <v>1565.636042961386</v>
      </c>
      <c r="CL83" s="105">
        <v>2.4225895763791923</v>
      </c>
      <c r="CM83" s="105">
        <v>1447.7395308442053</v>
      </c>
      <c r="CN83" s="105">
        <v>2.725192849588034</v>
      </c>
      <c r="CO83" s="105">
        <v>1628.5752469138092</v>
      </c>
      <c r="CP83" s="105">
        <v>2.3688276746847974</v>
      </c>
      <c r="CQ83" s="105">
        <v>1415.611418391635</v>
      </c>
      <c r="CR83" s="105">
        <v>2.4238699620177768</v>
      </c>
      <c r="CS83" s="105">
        <v>1448.5046893018234</v>
      </c>
      <c r="CT83" s="105">
        <v>2.3049711626842324</v>
      </c>
      <c r="CU83" s="105">
        <v>1377.4507668200974</v>
      </c>
    </row>
    <row r="84" spans="2:99" x14ac:dyDescent="0.2">
      <c r="C84" s="104" t="s">
        <v>250</v>
      </c>
      <c r="D84" s="105">
        <v>2.104490601985471</v>
      </c>
      <c r="E84" s="105">
        <v>1075.8155957349727</v>
      </c>
      <c r="F84" s="105">
        <v>1.9779297671377412</v>
      </c>
      <c r="G84" s="105">
        <v>1011.1176969608133</v>
      </c>
      <c r="H84" s="105">
        <v>2.0980230125653847</v>
      </c>
      <c r="I84" s="105">
        <v>1072.5093640234247</v>
      </c>
      <c r="J84" s="105">
        <v>2.3946460299776882</v>
      </c>
      <c r="K84" s="105">
        <v>1224.1430505245942</v>
      </c>
      <c r="L84" s="105">
        <v>2.2529695725615975</v>
      </c>
      <c r="M84" s="105">
        <v>1151.7180454934885</v>
      </c>
      <c r="N84" s="105">
        <v>2.0139593278245469</v>
      </c>
      <c r="O84" s="105">
        <v>1029.5360083839084</v>
      </c>
      <c r="P84" s="105">
        <v>2.3358871235625474</v>
      </c>
      <c r="Q84" s="105">
        <v>1194.1054975651741</v>
      </c>
      <c r="R84" s="105">
        <v>1.7651954880769969</v>
      </c>
      <c r="S84" s="105">
        <v>902.36793350496077</v>
      </c>
      <c r="T84" s="105">
        <v>2.0645875616574076</v>
      </c>
      <c r="U84" s="105">
        <v>1055.4171615192668</v>
      </c>
      <c r="V84" s="105">
        <v>2.331593379003694</v>
      </c>
      <c r="W84" s="105">
        <v>1191.9105353466884</v>
      </c>
      <c r="X84" s="105">
        <v>2.4070171855468705</v>
      </c>
      <c r="Y84" s="105">
        <v>1230.4671852515601</v>
      </c>
      <c r="Z84" s="105">
        <v>2.4168406144404706</v>
      </c>
      <c r="AA84" s="105">
        <v>1235.4889221019685</v>
      </c>
      <c r="AB84" s="105">
        <v>1.9735122461246932</v>
      </c>
      <c r="AC84" s="105">
        <v>1008.8594602189431</v>
      </c>
      <c r="AD84" s="105">
        <v>1.9312218112960362</v>
      </c>
      <c r="AE84" s="105">
        <v>987.24058993453366</v>
      </c>
      <c r="AF84" s="105">
        <v>2.1578393108134359</v>
      </c>
      <c r="AG84" s="105">
        <v>1103.0874556878284</v>
      </c>
      <c r="AH84" s="105">
        <v>2.8236970814096081</v>
      </c>
      <c r="AI84" s="105">
        <v>1443.4739480165915</v>
      </c>
      <c r="AJ84" s="105">
        <v>2.2546467400928969</v>
      </c>
      <c r="AK84" s="105">
        <v>1152.5754135354889</v>
      </c>
      <c r="AL84" s="105">
        <v>2.3716548270455351</v>
      </c>
      <c r="AM84" s="105">
        <v>1212.3899475856774</v>
      </c>
      <c r="AN84" s="105">
        <v>1.7392135398333923</v>
      </c>
      <c r="AO84" s="105">
        <v>889.08596156283011</v>
      </c>
      <c r="AP84" s="105">
        <v>2.0717586959869232</v>
      </c>
      <c r="AQ84" s="105">
        <v>1059.0830453885151</v>
      </c>
      <c r="AR84" s="105">
        <v>2</v>
      </c>
      <c r="AS84" s="105">
        <v>1022.4</v>
      </c>
      <c r="AT84" s="105">
        <v>2.4679040891381137</v>
      </c>
      <c r="AU84" s="105">
        <v>1261.5925703674036</v>
      </c>
      <c r="AV84" s="105">
        <v>1.7136306766935376</v>
      </c>
      <c r="AW84" s="105">
        <v>876.00800192573638</v>
      </c>
      <c r="AX84" s="105">
        <v>2.4505148813795157</v>
      </c>
      <c r="AY84" s="105">
        <v>1252.7032073612083</v>
      </c>
      <c r="AZ84" s="105">
        <v>2.3194109991385026</v>
      </c>
      <c r="BA84" s="105">
        <v>1185.6829027596025</v>
      </c>
      <c r="BB84" s="105">
        <v>2.7814262971852215</v>
      </c>
      <c r="BC84" s="105">
        <v>1421.8651231210852</v>
      </c>
      <c r="BD84" s="105">
        <v>1.7473557909702275</v>
      </c>
      <c r="BE84" s="105">
        <v>893.24828034398024</v>
      </c>
      <c r="BF84" s="105">
        <v>2.2018036835177184</v>
      </c>
      <c r="BG84" s="105">
        <v>1125.5620430142576</v>
      </c>
      <c r="BH84" s="105">
        <v>2.0700330758618963</v>
      </c>
      <c r="BI84" s="105">
        <v>1058.2009083806013</v>
      </c>
      <c r="BJ84" s="105">
        <v>1.9340723491142571</v>
      </c>
      <c r="BK84" s="105">
        <v>988.69778486720816</v>
      </c>
      <c r="BL84" s="105">
        <v>2.3274359869806407</v>
      </c>
      <c r="BM84" s="105">
        <v>1189.7852765445034</v>
      </c>
      <c r="BN84" s="105">
        <v>2.5015458732924061</v>
      </c>
      <c r="BO84" s="105">
        <v>1278.790250427078</v>
      </c>
      <c r="BP84" s="105">
        <v>2.3071082834733003</v>
      </c>
      <c r="BQ84" s="105">
        <v>1179.3937545115512</v>
      </c>
      <c r="BR84" s="105">
        <v>2.7183615148458946</v>
      </c>
      <c r="BS84" s="105">
        <v>1389.6264063892213</v>
      </c>
      <c r="BT84" s="105">
        <v>2.2355079708274914</v>
      </c>
      <c r="BU84" s="105">
        <v>1142.7916746870135</v>
      </c>
      <c r="BV84" s="105">
        <v>2.4241998871827746</v>
      </c>
      <c r="BW84" s="105">
        <v>1239.2509823278344</v>
      </c>
      <c r="BX84" s="105">
        <v>2.2679166252045064</v>
      </c>
      <c r="BY84" s="105">
        <v>1159.3589788045438</v>
      </c>
      <c r="BZ84" s="105">
        <v>2.5695098775336604</v>
      </c>
      <c r="CA84" s="105">
        <v>1313.5334493952073</v>
      </c>
      <c r="CB84" s="105">
        <v>2.3690161237850069</v>
      </c>
      <c r="CC84" s="105">
        <v>1211.0410424788954</v>
      </c>
      <c r="CD84" s="105">
        <v>2.611898296392519</v>
      </c>
      <c r="CE84" s="105">
        <v>1335.2024091158557</v>
      </c>
      <c r="CF84" s="105">
        <v>2.5843870725361877</v>
      </c>
      <c r="CG84" s="105">
        <v>1321.1386714804992</v>
      </c>
      <c r="CH84" s="105">
        <v>2.1092756581079817</v>
      </c>
      <c r="CI84" s="105">
        <v>1078.2617164248002</v>
      </c>
      <c r="CJ84" s="105">
        <v>2.5940112295951256</v>
      </c>
      <c r="CK84" s="105">
        <v>1326.0585405690283</v>
      </c>
      <c r="CL84" s="105">
        <v>3.1707890521895572</v>
      </c>
      <c r="CM84" s="105">
        <v>1620.9073634793017</v>
      </c>
      <c r="CN84" s="105">
        <v>2.6674088849290669</v>
      </c>
      <c r="CO84" s="105">
        <v>1363.579421975739</v>
      </c>
      <c r="CP84" s="105">
        <v>2.3580960260515398</v>
      </c>
      <c r="CQ84" s="105">
        <v>1205.4586885175472</v>
      </c>
      <c r="CR84" s="105">
        <v>2.4563702694739633</v>
      </c>
      <c r="CS84" s="105">
        <v>1255.69648175509</v>
      </c>
      <c r="CT84" s="105">
        <v>2.3049711626842324</v>
      </c>
      <c r="CU84" s="105">
        <v>1178.3012583641796</v>
      </c>
    </row>
    <row r="85" spans="2:99" x14ac:dyDescent="0.2">
      <c r="C85" s="104" t="s">
        <v>251</v>
      </c>
      <c r="D85" s="105">
        <v>2.0992505510288932</v>
      </c>
      <c r="E85" s="105">
        <v>571.83585010027048</v>
      </c>
      <c r="F85" s="105">
        <v>1.9779297671377412</v>
      </c>
      <c r="G85" s="105">
        <v>538.78806856832068</v>
      </c>
      <c r="H85" s="105">
        <v>2.0980230125653847</v>
      </c>
      <c r="I85" s="105">
        <v>571.50146862281076</v>
      </c>
      <c r="J85" s="105">
        <v>2.4190411915903729</v>
      </c>
      <c r="K85" s="105">
        <v>658.94682058921751</v>
      </c>
      <c r="L85" s="105">
        <v>2.2529695725615975</v>
      </c>
      <c r="M85" s="105">
        <v>613.70891156577909</v>
      </c>
      <c r="N85" s="105">
        <v>2.0139593278245469</v>
      </c>
      <c r="O85" s="105">
        <v>548.6025208994065</v>
      </c>
      <c r="P85" s="105">
        <v>2.3052962501241105</v>
      </c>
      <c r="Q85" s="105">
        <v>627.96269853380761</v>
      </c>
      <c r="R85" s="105">
        <v>2.5548527366478844</v>
      </c>
      <c r="S85" s="105">
        <v>695.94188546288365</v>
      </c>
      <c r="T85" s="105">
        <v>2.0923744688136163</v>
      </c>
      <c r="U85" s="105">
        <v>569.96280530482909</v>
      </c>
      <c r="V85" s="105">
        <v>2.331593379003694</v>
      </c>
      <c r="W85" s="105">
        <v>635.12603644060619</v>
      </c>
      <c r="X85" s="105">
        <v>1.6481544968862485</v>
      </c>
      <c r="Y85" s="105">
        <v>448.95728495181407</v>
      </c>
      <c r="Z85" s="105">
        <v>2.4168406144404706</v>
      </c>
      <c r="AA85" s="105">
        <v>658.34738337358419</v>
      </c>
      <c r="AB85" s="105">
        <v>2.6151851041905307</v>
      </c>
      <c r="AC85" s="105">
        <v>712.37642238150056</v>
      </c>
      <c r="AD85" s="105">
        <v>1.9312218112960362</v>
      </c>
      <c r="AE85" s="105">
        <v>526.06482139704019</v>
      </c>
      <c r="AF85" s="105">
        <v>2.1265371544316682</v>
      </c>
      <c r="AG85" s="105">
        <v>579.2687208671864</v>
      </c>
      <c r="AH85" s="105">
        <v>2.8484930058400018</v>
      </c>
      <c r="AI85" s="105">
        <v>775.92949479081642</v>
      </c>
      <c r="AJ85" s="105">
        <v>2.2128385716574948</v>
      </c>
      <c r="AK85" s="105">
        <v>602.77722691950157</v>
      </c>
      <c r="AL85" s="105">
        <v>2.3716548270455351</v>
      </c>
      <c r="AM85" s="105">
        <v>646.03877488720366</v>
      </c>
      <c r="AN85" s="105">
        <v>1.7392135398333923</v>
      </c>
      <c r="AO85" s="105">
        <v>473.76176825061606</v>
      </c>
      <c r="AP85" s="105">
        <v>2.3158362920850295</v>
      </c>
      <c r="AQ85" s="105">
        <v>630.83380596396194</v>
      </c>
      <c r="AR85" s="105">
        <v>2</v>
      </c>
      <c r="AS85" s="105">
        <v>544.79999999999995</v>
      </c>
      <c r="AT85" s="105">
        <v>2.4679040891381137</v>
      </c>
      <c r="AU85" s="105">
        <v>672.25707388122214</v>
      </c>
      <c r="AV85" s="105">
        <v>1.7136306766935376</v>
      </c>
      <c r="AW85" s="105">
        <v>466.79299633131961</v>
      </c>
      <c r="AX85" s="105">
        <v>2.4505148813795157</v>
      </c>
      <c r="AY85" s="105">
        <v>667.52025368778004</v>
      </c>
      <c r="AZ85" s="105">
        <v>2.3145127382169317</v>
      </c>
      <c r="BA85" s="105">
        <v>630.47326989029216</v>
      </c>
      <c r="BB85" s="105">
        <v>2.7288859115770006</v>
      </c>
      <c r="BC85" s="105">
        <v>743.3485223135749</v>
      </c>
      <c r="BD85" s="105">
        <v>2.4873334832225695</v>
      </c>
      <c r="BE85" s="105">
        <v>677.54964082982792</v>
      </c>
      <c r="BF85" s="105">
        <v>2.2149432807432921</v>
      </c>
      <c r="BG85" s="105">
        <v>603.35054967447275</v>
      </c>
      <c r="BH85" s="105">
        <v>2.106868985982814</v>
      </c>
      <c r="BI85" s="105">
        <v>573.91111178171855</v>
      </c>
      <c r="BJ85" s="105">
        <v>1.9340723491142571</v>
      </c>
      <c r="BK85" s="105">
        <v>526.84130789872358</v>
      </c>
      <c r="BL85" s="105">
        <v>2.3274359869806407</v>
      </c>
      <c r="BM85" s="105">
        <v>633.99356285352644</v>
      </c>
      <c r="BN85" s="105">
        <v>2.5166406091232534</v>
      </c>
      <c r="BO85" s="105">
        <v>685.5329019251742</v>
      </c>
      <c r="BP85" s="105">
        <v>2.3071082834733003</v>
      </c>
      <c r="BQ85" s="105">
        <v>628.45629641812695</v>
      </c>
      <c r="BR85" s="105">
        <v>2.6605044040760033</v>
      </c>
      <c r="BS85" s="105">
        <v>724.72139967030319</v>
      </c>
      <c r="BT85" s="105">
        <v>2.2355079708274914</v>
      </c>
      <c r="BU85" s="105">
        <v>608.95237125340861</v>
      </c>
      <c r="BV85" s="105">
        <v>2.4241998871827746</v>
      </c>
      <c r="BW85" s="105">
        <v>660.35204926858773</v>
      </c>
      <c r="BX85" s="105">
        <v>2.2679166252045064</v>
      </c>
      <c r="BY85" s="105">
        <v>617.78048870570751</v>
      </c>
      <c r="BZ85" s="105">
        <v>2.5958474925318487</v>
      </c>
      <c r="CA85" s="105">
        <v>707.1088569656755</v>
      </c>
      <c r="CB85" s="105">
        <v>2.3690161237850069</v>
      </c>
      <c r="CC85" s="105">
        <v>645.31999211903587</v>
      </c>
      <c r="CD85" s="105">
        <v>2.611898296392519</v>
      </c>
      <c r="CE85" s="105">
        <v>711.48109593732215</v>
      </c>
      <c r="CF85" s="105">
        <v>2.5843870725361877</v>
      </c>
      <c r="CG85" s="105">
        <v>703.98703855885742</v>
      </c>
      <c r="CH85" s="105">
        <v>2.7514516646279317</v>
      </c>
      <c r="CI85" s="105">
        <v>749.49543344464848</v>
      </c>
      <c r="CJ85" s="105">
        <v>2.6198728965217302</v>
      </c>
      <c r="CK85" s="105">
        <v>713.65337701251929</v>
      </c>
      <c r="CL85" s="105">
        <v>3.1114586692068582</v>
      </c>
      <c r="CM85" s="105">
        <v>847.56134149194816</v>
      </c>
      <c r="CN85" s="105">
        <v>2.6963008672585502</v>
      </c>
      <c r="CO85" s="105">
        <v>734.47235624122902</v>
      </c>
      <c r="CP85" s="105">
        <v>2.3688276746847974</v>
      </c>
      <c r="CQ85" s="105">
        <v>645.26865858413873</v>
      </c>
      <c r="CR85" s="105">
        <v>2.4888705769301498</v>
      </c>
      <c r="CS85" s="105">
        <v>677.96834515577279</v>
      </c>
      <c r="CT85" s="105">
        <v>2.3049711626842324</v>
      </c>
      <c r="CU85" s="105">
        <v>627.87414471518491</v>
      </c>
    </row>
    <row r="86" spans="2:99" x14ac:dyDescent="0.2">
      <c r="C86" s="104" t="s">
        <v>252</v>
      </c>
      <c r="D86" s="105">
        <v>2.104490601985471</v>
      </c>
      <c r="E86" s="105">
        <v>1042.9855423439994</v>
      </c>
      <c r="F86" s="105">
        <v>2.824151843527777</v>
      </c>
      <c r="G86" s="105">
        <v>1399.6496536523662</v>
      </c>
      <c r="H86" s="105">
        <v>2.1251924159807714</v>
      </c>
      <c r="I86" s="105">
        <v>1053.2453613600703</v>
      </c>
      <c r="J86" s="105">
        <v>2.3946460299776882</v>
      </c>
      <c r="K86" s="105">
        <v>1186.7865724569422</v>
      </c>
      <c r="L86" s="105">
        <v>2.2529695725615975</v>
      </c>
      <c r="M86" s="105">
        <v>1116.5717201615275</v>
      </c>
      <c r="N86" s="105">
        <v>2.2389645404304734</v>
      </c>
      <c r="O86" s="105">
        <v>1109.6308262373425</v>
      </c>
      <c r="P86" s="105">
        <v>2.3052962501241105</v>
      </c>
      <c r="Q86" s="105">
        <v>1142.5048215615091</v>
      </c>
      <c r="R86" s="105">
        <v>1.7651954880769969</v>
      </c>
      <c r="S86" s="105">
        <v>874.83088389095963</v>
      </c>
      <c r="T86" s="105">
        <v>2.0923744688136163</v>
      </c>
      <c r="U86" s="105">
        <v>1036.9807867440281</v>
      </c>
      <c r="V86" s="105">
        <v>2.331593379003694</v>
      </c>
      <c r="W86" s="105">
        <v>1155.5376786342306</v>
      </c>
      <c r="X86" s="105">
        <v>2.4070171855468705</v>
      </c>
      <c r="Y86" s="105">
        <v>1192.9177171570288</v>
      </c>
      <c r="Z86" s="105">
        <v>2.4168406144404706</v>
      </c>
      <c r="AA86" s="105">
        <v>1197.7862085166971</v>
      </c>
      <c r="AB86" s="105">
        <v>2.6091233951996329</v>
      </c>
      <c r="AC86" s="105">
        <v>1293.0815546609379</v>
      </c>
      <c r="AD86" s="105">
        <v>1.9312218112960362</v>
      </c>
      <c r="AE86" s="105">
        <v>957.11352967831544</v>
      </c>
      <c r="AF86" s="105">
        <v>2.1578393108134359</v>
      </c>
      <c r="AG86" s="105">
        <v>1069.4251624391388</v>
      </c>
      <c r="AH86" s="105">
        <v>2.1735636410255919</v>
      </c>
      <c r="AI86" s="105">
        <v>1077.2181404922833</v>
      </c>
      <c r="AJ86" s="105">
        <v>2.2616147681654639</v>
      </c>
      <c r="AK86" s="105">
        <v>1120.8562791028039</v>
      </c>
      <c r="AL86" s="105">
        <v>2.3716548270455351</v>
      </c>
      <c r="AM86" s="105">
        <v>1175.3921322837671</v>
      </c>
      <c r="AN86" s="105">
        <v>2.6088203097500884</v>
      </c>
      <c r="AO86" s="105">
        <v>1292.9313455121437</v>
      </c>
      <c r="AP86" s="105">
        <v>2.0717586959869232</v>
      </c>
      <c r="AQ86" s="105">
        <v>1026.763609731119</v>
      </c>
      <c r="AR86" s="105">
        <v>2</v>
      </c>
      <c r="AS86" s="105">
        <v>991.19999999999993</v>
      </c>
      <c r="AT86" s="105">
        <v>2.4679040891381137</v>
      </c>
      <c r="AU86" s="105">
        <v>1223.0932665768491</v>
      </c>
      <c r="AV86" s="105">
        <v>2.28484090225805</v>
      </c>
      <c r="AW86" s="105">
        <v>1132.3671511590894</v>
      </c>
      <c r="AX86" s="105">
        <v>2.4505148813795157</v>
      </c>
      <c r="AY86" s="105">
        <v>1214.4751752116879</v>
      </c>
      <c r="AZ86" s="105">
        <v>2.3194109991385026</v>
      </c>
      <c r="BA86" s="105">
        <v>1149.5000911730417</v>
      </c>
      <c r="BB86" s="105">
        <v>2.1386101084971365</v>
      </c>
      <c r="BC86" s="105">
        <v>1059.8951697711807</v>
      </c>
      <c r="BD86" s="105">
        <v>2.4539084324143765</v>
      </c>
      <c r="BE86" s="105">
        <v>1216.1570191045648</v>
      </c>
      <c r="BF86" s="105">
        <v>2.2149432807432921</v>
      </c>
      <c r="BG86" s="105">
        <v>1097.7258899363756</v>
      </c>
      <c r="BH86" s="105">
        <v>2.0700330758618963</v>
      </c>
      <c r="BI86" s="105">
        <v>1025.9083923971557</v>
      </c>
      <c r="BJ86" s="105">
        <v>1.9340723491142571</v>
      </c>
      <c r="BK86" s="105">
        <v>958.52625622102573</v>
      </c>
      <c r="BL86" s="105">
        <v>2.2970256285547577</v>
      </c>
      <c r="BM86" s="105">
        <v>1138.4059015117377</v>
      </c>
      <c r="BN86" s="105">
        <v>2.5166406091232534</v>
      </c>
      <c r="BO86" s="105">
        <v>1247.2470858814843</v>
      </c>
      <c r="BP86" s="105">
        <v>2.3071082834733003</v>
      </c>
      <c r="BQ86" s="105">
        <v>1143.4028652893676</v>
      </c>
      <c r="BR86" s="105">
        <v>2.689432959460949</v>
      </c>
      <c r="BS86" s="105">
        <v>1332.8829747088462</v>
      </c>
      <c r="BT86" s="105">
        <v>2.2308854802113238</v>
      </c>
      <c r="BU86" s="105">
        <v>1105.6268439927321</v>
      </c>
      <c r="BV86" s="105">
        <v>2.4027926404601954</v>
      </c>
      <c r="BW86" s="105">
        <v>1190.8240326120726</v>
      </c>
      <c r="BX86" s="105">
        <v>2.2535621401766988</v>
      </c>
      <c r="BY86" s="105">
        <v>1116.8653966715717</v>
      </c>
      <c r="BZ86" s="105">
        <v>2.5695098775336604</v>
      </c>
      <c r="CA86" s="105">
        <v>1273.449095305682</v>
      </c>
      <c r="CB86" s="105">
        <v>2.3690161237850069</v>
      </c>
      <c r="CC86" s="105">
        <v>1174.0843909478494</v>
      </c>
      <c r="CD86" s="105">
        <v>2.611898296392519</v>
      </c>
      <c r="CE86" s="105">
        <v>1294.4567956921323</v>
      </c>
      <c r="CF86" s="105">
        <v>1.7979552892353656</v>
      </c>
      <c r="CG86" s="105">
        <v>891.06664134504717</v>
      </c>
      <c r="CH86" s="105">
        <v>2.6992380536141796</v>
      </c>
      <c r="CI86" s="105">
        <v>1337.7423793711873</v>
      </c>
      <c r="CJ86" s="105">
        <v>2.5940112295951256</v>
      </c>
      <c r="CK86" s="105">
        <v>1285.5919653873441</v>
      </c>
      <c r="CL86" s="105">
        <v>3.1411238606982077</v>
      </c>
      <c r="CM86" s="105">
        <v>1556.7409853620316</v>
      </c>
      <c r="CN86" s="105">
        <v>2.725192849588034</v>
      </c>
      <c r="CO86" s="105">
        <v>1350.6055762558296</v>
      </c>
      <c r="CP86" s="105">
        <v>2.3688276746847974</v>
      </c>
      <c r="CQ86" s="105">
        <v>1173.9909955737855</v>
      </c>
      <c r="CR86" s="105">
        <v>2.4563702694739633</v>
      </c>
      <c r="CS86" s="105">
        <v>1217.3771055512962</v>
      </c>
      <c r="CT86" s="105">
        <v>2.3049711626842324</v>
      </c>
      <c r="CU86" s="105">
        <v>1142.3437082263056</v>
      </c>
    </row>
    <row r="87" spans="2:99" x14ac:dyDescent="0.2">
      <c r="B87" s="104" t="s">
        <v>131</v>
      </c>
      <c r="C87" s="104" t="s">
        <v>253</v>
      </c>
      <c r="D87" s="105">
        <v>3</v>
      </c>
      <c r="E87" s="105">
        <v>2822.3999999999996</v>
      </c>
      <c r="F87" s="105">
        <v>4</v>
      </c>
      <c r="G87" s="105">
        <v>3763.2</v>
      </c>
      <c r="H87" s="105">
        <v>3</v>
      </c>
      <c r="I87" s="105">
        <v>2822.3999999999996</v>
      </c>
      <c r="J87" s="105">
        <v>3</v>
      </c>
      <c r="K87" s="105">
        <v>2822.3999999999996</v>
      </c>
      <c r="L87" s="105">
        <v>4</v>
      </c>
      <c r="M87" s="105">
        <v>3763.2</v>
      </c>
      <c r="N87" s="105">
        <v>3</v>
      </c>
      <c r="O87" s="105">
        <v>2822.3999999999996</v>
      </c>
      <c r="P87" s="105">
        <v>4</v>
      </c>
      <c r="Q87" s="105">
        <v>3763.2</v>
      </c>
      <c r="R87" s="105">
        <v>3</v>
      </c>
      <c r="S87" s="105">
        <v>2822.3999999999996</v>
      </c>
      <c r="T87" s="105">
        <v>4</v>
      </c>
      <c r="U87" s="105">
        <v>3763.2</v>
      </c>
      <c r="V87" s="105">
        <v>3</v>
      </c>
      <c r="W87" s="105">
        <v>2822.3999999999996</v>
      </c>
      <c r="X87" s="105">
        <v>4</v>
      </c>
      <c r="Y87" s="105">
        <v>3763.2</v>
      </c>
      <c r="Z87" s="105">
        <v>4</v>
      </c>
      <c r="AA87" s="105">
        <v>3763.2</v>
      </c>
      <c r="AB87" s="105">
        <v>3</v>
      </c>
      <c r="AC87" s="105">
        <v>2822.3999999999996</v>
      </c>
      <c r="AD87" s="105">
        <v>2</v>
      </c>
      <c r="AE87" s="105">
        <v>1881.6</v>
      </c>
      <c r="AF87" s="105">
        <v>3</v>
      </c>
      <c r="AG87" s="105">
        <v>2822.3999999999996</v>
      </c>
      <c r="AH87" s="105">
        <v>3</v>
      </c>
      <c r="AI87" s="105">
        <v>2822.3999999999996</v>
      </c>
      <c r="AJ87" s="105">
        <v>3</v>
      </c>
      <c r="AK87" s="105">
        <v>2822.3999999999996</v>
      </c>
      <c r="AL87" s="105">
        <v>4</v>
      </c>
      <c r="AM87" s="105">
        <v>3763.2</v>
      </c>
      <c r="AN87" s="105">
        <v>3</v>
      </c>
      <c r="AO87" s="105">
        <v>2822.3999999999996</v>
      </c>
      <c r="AP87" s="105">
        <v>2</v>
      </c>
      <c r="AQ87" s="105">
        <v>1881.6</v>
      </c>
      <c r="AR87" s="105">
        <v>3</v>
      </c>
      <c r="AS87" s="105">
        <v>2822.3999999999996</v>
      </c>
      <c r="AT87" s="105">
        <v>3</v>
      </c>
      <c r="AU87" s="105">
        <v>2822.3999999999996</v>
      </c>
      <c r="AV87" s="105">
        <v>3</v>
      </c>
      <c r="AW87" s="105">
        <v>2822.3999999999996</v>
      </c>
      <c r="AX87" s="105">
        <v>4</v>
      </c>
      <c r="AY87" s="105">
        <v>3763.2</v>
      </c>
      <c r="AZ87" s="105">
        <v>4</v>
      </c>
      <c r="BA87" s="105">
        <v>3763.2</v>
      </c>
      <c r="BB87" s="105">
        <v>4</v>
      </c>
      <c r="BC87" s="105">
        <v>3763.2</v>
      </c>
      <c r="BD87" s="105">
        <v>5</v>
      </c>
      <c r="BE87" s="105">
        <v>4704</v>
      </c>
      <c r="BF87" s="105">
        <v>4</v>
      </c>
      <c r="BG87" s="105">
        <v>3763.2</v>
      </c>
      <c r="BH87" s="105">
        <v>4</v>
      </c>
      <c r="BI87" s="105">
        <v>3763.2</v>
      </c>
      <c r="BJ87" s="105">
        <v>3</v>
      </c>
      <c r="BK87" s="105">
        <v>2822.3999999999996</v>
      </c>
      <c r="BL87" s="105">
        <v>4</v>
      </c>
      <c r="BM87" s="105">
        <v>3763.2</v>
      </c>
      <c r="BN87" s="105">
        <v>3</v>
      </c>
      <c r="BO87" s="105">
        <v>2822.3999999999996</v>
      </c>
      <c r="BP87" s="105">
        <v>4</v>
      </c>
      <c r="BQ87" s="105">
        <v>3763.2</v>
      </c>
      <c r="BR87" s="105">
        <v>4</v>
      </c>
      <c r="BS87" s="105">
        <v>3763.2</v>
      </c>
      <c r="BT87" s="105">
        <v>3</v>
      </c>
      <c r="BU87" s="105">
        <v>2822.3999999999996</v>
      </c>
      <c r="BV87" s="105">
        <v>3</v>
      </c>
      <c r="BW87" s="105">
        <v>2822.3999999999996</v>
      </c>
      <c r="BX87" s="105">
        <v>3</v>
      </c>
      <c r="BY87" s="105">
        <v>2822.3999999999996</v>
      </c>
      <c r="BZ87" s="105">
        <v>5</v>
      </c>
      <c r="CA87" s="105">
        <v>4704</v>
      </c>
      <c r="CB87" s="105">
        <v>4</v>
      </c>
      <c r="CC87" s="105">
        <v>3763.2</v>
      </c>
      <c r="CD87" s="105">
        <v>4</v>
      </c>
      <c r="CE87" s="105">
        <v>3763.2</v>
      </c>
      <c r="CF87" s="105">
        <v>4</v>
      </c>
      <c r="CG87" s="105">
        <v>3763.2</v>
      </c>
      <c r="CH87" s="105">
        <v>5</v>
      </c>
      <c r="CI87" s="105">
        <v>4704</v>
      </c>
      <c r="CJ87" s="105">
        <v>4</v>
      </c>
      <c r="CK87" s="105">
        <v>3763.2</v>
      </c>
      <c r="CL87" s="105">
        <v>4</v>
      </c>
      <c r="CM87" s="105">
        <v>3763.2</v>
      </c>
      <c r="CN87" s="105">
        <v>5</v>
      </c>
      <c r="CO87" s="105">
        <v>4704</v>
      </c>
      <c r="CP87" s="105">
        <v>3</v>
      </c>
      <c r="CQ87" s="105">
        <v>2822.3999999999996</v>
      </c>
      <c r="CR87" s="105">
        <v>3</v>
      </c>
      <c r="CS87" s="105">
        <v>2822.3999999999996</v>
      </c>
      <c r="CT87" s="105">
        <v>4</v>
      </c>
      <c r="CU87" s="105">
        <v>3763.2</v>
      </c>
    </row>
    <row r="88" spans="2:99" x14ac:dyDescent="0.2">
      <c r="C88" s="104" t="s">
        <v>254</v>
      </c>
      <c r="D88" s="105">
        <v>3</v>
      </c>
      <c r="E88" s="105">
        <v>2628</v>
      </c>
      <c r="F88" s="105">
        <v>4</v>
      </c>
      <c r="G88" s="105">
        <v>3504</v>
      </c>
      <c r="H88" s="105">
        <v>3</v>
      </c>
      <c r="I88" s="105">
        <v>2628</v>
      </c>
      <c r="J88" s="105">
        <v>3</v>
      </c>
      <c r="K88" s="105">
        <v>2628</v>
      </c>
      <c r="L88" s="105">
        <v>4</v>
      </c>
      <c r="M88" s="105">
        <v>3504</v>
      </c>
      <c r="N88" s="105">
        <v>3</v>
      </c>
      <c r="O88" s="105">
        <v>2628</v>
      </c>
      <c r="P88" s="105">
        <v>4</v>
      </c>
      <c r="Q88" s="105">
        <v>3504</v>
      </c>
      <c r="R88" s="105">
        <v>3</v>
      </c>
      <c r="S88" s="105">
        <v>2628</v>
      </c>
      <c r="T88" s="105">
        <v>4</v>
      </c>
      <c r="U88" s="105">
        <v>3504</v>
      </c>
      <c r="V88" s="105">
        <v>3</v>
      </c>
      <c r="W88" s="105">
        <v>2628</v>
      </c>
      <c r="X88" s="105">
        <v>4</v>
      </c>
      <c r="Y88" s="105">
        <v>3504</v>
      </c>
      <c r="Z88" s="105">
        <v>4</v>
      </c>
      <c r="AA88" s="105">
        <v>3504</v>
      </c>
      <c r="AB88" s="105">
        <v>3</v>
      </c>
      <c r="AC88" s="105">
        <v>2628</v>
      </c>
      <c r="AD88" s="105">
        <v>2</v>
      </c>
      <c r="AE88" s="105">
        <v>1752</v>
      </c>
      <c r="AF88" s="105">
        <v>2</v>
      </c>
      <c r="AG88" s="105">
        <v>1752</v>
      </c>
      <c r="AH88" s="105">
        <v>3</v>
      </c>
      <c r="AI88" s="105">
        <v>2628</v>
      </c>
      <c r="AJ88" s="105">
        <v>3</v>
      </c>
      <c r="AK88" s="105">
        <v>2628</v>
      </c>
      <c r="AL88" s="105">
        <v>3</v>
      </c>
      <c r="AM88" s="105">
        <v>2628</v>
      </c>
      <c r="AN88" s="105">
        <v>3</v>
      </c>
      <c r="AO88" s="105">
        <v>2628</v>
      </c>
      <c r="AP88" s="105">
        <v>2</v>
      </c>
      <c r="AQ88" s="105">
        <v>1752</v>
      </c>
      <c r="AR88" s="105">
        <v>3</v>
      </c>
      <c r="AS88" s="105">
        <v>2628</v>
      </c>
      <c r="AT88" s="105">
        <v>3</v>
      </c>
      <c r="AU88" s="105">
        <v>2628</v>
      </c>
      <c r="AV88" s="105">
        <v>3</v>
      </c>
      <c r="AW88" s="105">
        <v>2628</v>
      </c>
      <c r="AX88" s="105">
        <v>4</v>
      </c>
      <c r="AY88" s="105">
        <v>3504</v>
      </c>
      <c r="AZ88" s="105">
        <v>4</v>
      </c>
      <c r="BA88" s="105">
        <v>3504</v>
      </c>
      <c r="BB88" s="105">
        <v>4</v>
      </c>
      <c r="BC88" s="105">
        <v>3504</v>
      </c>
      <c r="BD88" s="105">
        <v>5</v>
      </c>
      <c r="BE88" s="105">
        <v>4380</v>
      </c>
      <c r="BF88" s="105">
        <v>4</v>
      </c>
      <c r="BG88" s="105">
        <v>3504</v>
      </c>
      <c r="BH88" s="105">
        <v>4</v>
      </c>
      <c r="BI88" s="105">
        <v>3504</v>
      </c>
      <c r="BJ88" s="105">
        <v>3</v>
      </c>
      <c r="BK88" s="105">
        <v>2628</v>
      </c>
      <c r="BL88" s="105">
        <v>4</v>
      </c>
      <c r="BM88" s="105">
        <v>3504</v>
      </c>
      <c r="BN88" s="105">
        <v>3</v>
      </c>
      <c r="BO88" s="105">
        <v>2628</v>
      </c>
      <c r="BP88" s="105">
        <v>3</v>
      </c>
      <c r="BQ88" s="105">
        <v>2628</v>
      </c>
      <c r="BR88" s="105">
        <v>4</v>
      </c>
      <c r="BS88" s="105">
        <v>3504</v>
      </c>
      <c r="BT88" s="105">
        <v>3</v>
      </c>
      <c r="BU88" s="105">
        <v>2628</v>
      </c>
      <c r="BV88" s="105">
        <v>3</v>
      </c>
      <c r="BW88" s="105">
        <v>2628</v>
      </c>
      <c r="BX88" s="105">
        <v>3</v>
      </c>
      <c r="BY88" s="105">
        <v>2628</v>
      </c>
      <c r="BZ88" s="105">
        <v>5</v>
      </c>
      <c r="CA88" s="105">
        <v>4380</v>
      </c>
      <c r="CB88" s="105">
        <v>4</v>
      </c>
      <c r="CC88" s="105">
        <v>3504</v>
      </c>
      <c r="CD88" s="105">
        <v>4</v>
      </c>
      <c r="CE88" s="105">
        <v>3504</v>
      </c>
      <c r="CF88" s="105">
        <v>5</v>
      </c>
      <c r="CG88" s="105">
        <v>4380</v>
      </c>
      <c r="CH88" s="105">
        <v>5</v>
      </c>
      <c r="CI88" s="105">
        <v>4380</v>
      </c>
      <c r="CJ88" s="105">
        <v>3</v>
      </c>
      <c r="CK88" s="105">
        <v>2628</v>
      </c>
      <c r="CL88" s="105">
        <v>4</v>
      </c>
      <c r="CM88" s="105">
        <v>3504</v>
      </c>
      <c r="CN88" s="105">
        <v>5</v>
      </c>
      <c r="CO88" s="105">
        <v>4380</v>
      </c>
      <c r="CP88" s="105">
        <v>3</v>
      </c>
      <c r="CQ88" s="105">
        <v>2628</v>
      </c>
      <c r="CR88" s="105">
        <v>4</v>
      </c>
      <c r="CS88" s="105">
        <v>3504</v>
      </c>
      <c r="CT88" s="105">
        <v>4</v>
      </c>
      <c r="CU88" s="105">
        <v>3504</v>
      </c>
    </row>
    <row r="89" spans="2:99" x14ac:dyDescent="0.2">
      <c r="C89" s="104" t="s">
        <v>255</v>
      </c>
      <c r="D89" s="105">
        <v>3</v>
      </c>
      <c r="E89" s="105">
        <v>1749.6</v>
      </c>
      <c r="F89" s="105">
        <v>4</v>
      </c>
      <c r="G89" s="105">
        <v>2332.7999999999997</v>
      </c>
      <c r="H89" s="105">
        <v>4</v>
      </c>
      <c r="I89" s="105">
        <v>2332.7999999999997</v>
      </c>
      <c r="J89" s="105">
        <v>3</v>
      </c>
      <c r="K89" s="105">
        <v>1749.6</v>
      </c>
      <c r="L89" s="105">
        <v>4</v>
      </c>
      <c r="M89" s="105">
        <v>2332.7999999999997</v>
      </c>
      <c r="N89" s="105">
        <v>3</v>
      </c>
      <c r="O89" s="105">
        <v>1749.6</v>
      </c>
      <c r="P89" s="105">
        <v>4</v>
      </c>
      <c r="Q89" s="105">
        <v>2332.7999999999997</v>
      </c>
      <c r="R89" s="105">
        <v>3</v>
      </c>
      <c r="S89" s="105">
        <v>1749.6</v>
      </c>
      <c r="T89" s="105">
        <v>4</v>
      </c>
      <c r="U89" s="105">
        <v>2332.7999999999997</v>
      </c>
      <c r="V89" s="105">
        <v>3</v>
      </c>
      <c r="W89" s="105">
        <v>1749.6</v>
      </c>
      <c r="X89" s="105">
        <v>4</v>
      </c>
      <c r="Y89" s="105">
        <v>2332.7999999999997</v>
      </c>
      <c r="Z89" s="105">
        <v>4</v>
      </c>
      <c r="AA89" s="105">
        <v>2332.7999999999997</v>
      </c>
      <c r="AB89" s="105">
        <v>3</v>
      </c>
      <c r="AC89" s="105">
        <v>1749.6</v>
      </c>
      <c r="AD89" s="105">
        <v>2</v>
      </c>
      <c r="AE89" s="105">
        <v>1166.3999999999999</v>
      </c>
      <c r="AF89" s="105">
        <v>2</v>
      </c>
      <c r="AG89" s="105">
        <v>1166.3999999999999</v>
      </c>
      <c r="AH89" s="105">
        <v>4</v>
      </c>
      <c r="AI89" s="105">
        <v>2332.7999999999997</v>
      </c>
      <c r="AJ89" s="105">
        <v>3</v>
      </c>
      <c r="AK89" s="105">
        <v>1749.6</v>
      </c>
      <c r="AL89" s="105">
        <v>4</v>
      </c>
      <c r="AM89" s="105">
        <v>2332.7999999999997</v>
      </c>
      <c r="AN89" s="105">
        <v>3</v>
      </c>
      <c r="AO89" s="105">
        <v>1749.6</v>
      </c>
      <c r="AP89" s="105">
        <v>2</v>
      </c>
      <c r="AQ89" s="105">
        <v>1166.3999999999999</v>
      </c>
      <c r="AR89" s="105">
        <v>3</v>
      </c>
      <c r="AS89" s="105">
        <v>1749.6</v>
      </c>
      <c r="AT89" s="105">
        <v>2</v>
      </c>
      <c r="AU89" s="105">
        <v>1166.3999999999999</v>
      </c>
      <c r="AV89" s="105">
        <v>4</v>
      </c>
      <c r="AW89" s="105">
        <v>2332.7999999999997</v>
      </c>
      <c r="AX89" s="105">
        <v>4</v>
      </c>
      <c r="AY89" s="105">
        <v>2332.7999999999997</v>
      </c>
      <c r="AZ89" s="105">
        <v>4</v>
      </c>
      <c r="BA89" s="105">
        <v>2332.7999999999997</v>
      </c>
      <c r="BB89" s="105">
        <v>4</v>
      </c>
      <c r="BC89" s="105">
        <v>2332.7999999999997</v>
      </c>
      <c r="BD89" s="105">
        <v>4</v>
      </c>
      <c r="BE89" s="105">
        <v>2332.7999999999997</v>
      </c>
      <c r="BF89" s="105">
        <v>4</v>
      </c>
      <c r="BG89" s="105">
        <v>2332.7999999999997</v>
      </c>
      <c r="BH89" s="105">
        <v>4</v>
      </c>
      <c r="BI89" s="105">
        <v>2332.7999999999997</v>
      </c>
      <c r="BJ89" s="105">
        <v>4</v>
      </c>
      <c r="BK89" s="105">
        <v>2332.7999999999997</v>
      </c>
      <c r="BL89" s="105">
        <v>4</v>
      </c>
      <c r="BM89" s="105">
        <v>2332.7999999999997</v>
      </c>
      <c r="BN89" s="105">
        <v>3</v>
      </c>
      <c r="BO89" s="105">
        <v>1749.6</v>
      </c>
      <c r="BP89" s="105">
        <v>4</v>
      </c>
      <c r="BQ89" s="105">
        <v>2332.7999999999997</v>
      </c>
      <c r="BR89" s="105">
        <v>4</v>
      </c>
      <c r="BS89" s="105">
        <v>2332.7999999999997</v>
      </c>
      <c r="BT89" s="105">
        <v>3</v>
      </c>
      <c r="BU89" s="105">
        <v>1749.6</v>
      </c>
      <c r="BV89" s="105">
        <v>3</v>
      </c>
      <c r="BW89" s="105">
        <v>1749.6</v>
      </c>
      <c r="BX89" s="105">
        <v>3</v>
      </c>
      <c r="BY89" s="105">
        <v>1749.6</v>
      </c>
      <c r="BZ89" s="105">
        <v>4</v>
      </c>
      <c r="CA89" s="105">
        <v>2332.7999999999997</v>
      </c>
      <c r="CB89" s="105">
        <v>4</v>
      </c>
      <c r="CC89" s="105">
        <v>2332.7999999999997</v>
      </c>
      <c r="CD89" s="105">
        <v>5</v>
      </c>
      <c r="CE89" s="105">
        <v>2915.9999999999995</v>
      </c>
      <c r="CF89" s="105">
        <v>4</v>
      </c>
      <c r="CG89" s="105">
        <v>2332.7999999999997</v>
      </c>
      <c r="CH89" s="105">
        <v>5</v>
      </c>
      <c r="CI89" s="105">
        <v>2915.9999999999995</v>
      </c>
      <c r="CJ89" s="105">
        <v>3</v>
      </c>
      <c r="CK89" s="105">
        <v>1749.6</v>
      </c>
      <c r="CL89" s="105">
        <v>4</v>
      </c>
      <c r="CM89" s="105">
        <v>2332.7999999999997</v>
      </c>
      <c r="CN89" s="105">
        <v>4</v>
      </c>
      <c r="CO89" s="105">
        <v>2332.7999999999997</v>
      </c>
      <c r="CP89" s="105">
        <v>3</v>
      </c>
      <c r="CQ89" s="105">
        <v>1749.6</v>
      </c>
      <c r="CR89" s="105">
        <v>4</v>
      </c>
      <c r="CS89" s="105">
        <v>2332.7999999999997</v>
      </c>
      <c r="CT89" s="105">
        <v>4</v>
      </c>
      <c r="CU89" s="105">
        <v>2332.7999999999997</v>
      </c>
    </row>
    <row r="90" spans="2:99" x14ac:dyDescent="0.2">
      <c r="C90" s="104" t="s">
        <v>256</v>
      </c>
      <c r="D90" s="105">
        <v>3</v>
      </c>
      <c r="E90" s="105">
        <v>2455.1999999999998</v>
      </c>
      <c r="F90" s="105">
        <v>4</v>
      </c>
      <c r="G90" s="105">
        <v>3273.6</v>
      </c>
      <c r="H90" s="105">
        <v>3</v>
      </c>
      <c r="I90" s="105">
        <v>2455.1999999999998</v>
      </c>
      <c r="J90" s="105">
        <v>3</v>
      </c>
      <c r="K90" s="105">
        <v>2455.1999999999998</v>
      </c>
      <c r="L90" s="105">
        <v>4</v>
      </c>
      <c r="M90" s="105">
        <v>3273.6</v>
      </c>
      <c r="N90" s="105">
        <v>3</v>
      </c>
      <c r="O90" s="105">
        <v>2455.1999999999998</v>
      </c>
      <c r="P90" s="105">
        <v>4</v>
      </c>
      <c r="Q90" s="105">
        <v>3273.6</v>
      </c>
      <c r="R90" s="105">
        <v>3</v>
      </c>
      <c r="S90" s="105">
        <v>2455.1999999999998</v>
      </c>
      <c r="T90" s="105">
        <v>4</v>
      </c>
      <c r="U90" s="105">
        <v>3273.6</v>
      </c>
      <c r="V90" s="105">
        <v>3</v>
      </c>
      <c r="W90" s="105">
        <v>2455.1999999999998</v>
      </c>
      <c r="X90" s="105">
        <v>4</v>
      </c>
      <c r="Y90" s="105">
        <v>3273.6</v>
      </c>
      <c r="Z90" s="105">
        <v>3</v>
      </c>
      <c r="AA90" s="105">
        <v>2455.1999999999998</v>
      </c>
      <c r="AB90" s="105">
        <v>3</v>
      </c>
      <c r="AC90" s="105">
        <v>2455.1999999999998</v>
      </c>
      <c r="AD90" s="105">
        <v>2</v>
      </c>
      <c r="AE90" s="105">
        <v>1636.8</v>
      </c>
      <c r="AF90" s="105">
        <v>2</v>
      </c>
      <c r="AG90" s="105">
        <v>1636.8</v>
      </c>
      <c r="AH90" s="105">
        <v>3</v>
      </c>
      <c r="AI90" s="105">
        <v>2455.1999999999998</v>
      </c>
      <c r="AJ90" s="105">
        <v>3</v>
      </c>
      <c r="AK90" s="105">
        <v>2455.1999999999998</v>
      </c>
      <c r="AL90" s="105">
        <v>4</v>
      </c>
      <c r="AM90" s="105">
        <v>3273.6</v>
      </c>
      <c r="AN90" s="105">
        <v>3</v>
      </c>
      <c r="AO90" s="105">
        <v>2455.1999999999998</v>
      </c>
      <c r="AP90" s="105">
        <v>2</v>
      </c>
      <c r="AQ90" s="105">
        <v>1636.8</v>
      </c>
      <c r="AR90" s="105">
        <v>3</v>
      </c>
      <c r="AS90" s="105">
        <v>2455.1999999999998</v>
      </c>
      <c r="AT90" s="105">
        <v>2</v>
      </c>
      <c r="AU90" s="105">
        <v>1636.8</v>
      </c>
      <c r="AV90" s="105">
        <v>4</v>
      </c>
      <c r="AW90" s="105">
        <v>3273.6</v>
      </c>
      <c r="AX90" s="105">
        <v>4</v>
      </c>
      <c r="AY90" s="105">
        <v>3273.6</v>
      </c>
      <c r="AZ90" s="105">
        <v>5</v>
      </c>
      <c r="BA90" s="105">
        <v>4092</v>
      </c>
      <c r="BB90" s="105">
        <v>4</v>
      </c>
      <c r="BC90" s="105">
        <v>3273.6</v>
      </c>
      <c r="BD90" s="105">
        <v>4</v>
      </c>
      <c r="BE90" s="105">
        <v>3273.6</v>
      </c>
      <c r="BF90" s="105">
        <v>4</v>
      </c>
      <c r="BG90" s="105">
        <v>3273.6</v>
      </c>
      <c r="BH90" s="105">
        <v>4</v>
      </c>
      <c r="BI90" s="105">
        <v>3273.6</v>
      </c>
      <c r="BJ90" s="105">
        <v>3</v>
      </c>
      <c r="BK90" s="105">
        <v>2455.1999999999998</v>
      </c>
      <c r="BL90" s="105">
        <v>4</v>
      </c>
      <c r="BM90" s="105">
        <v>3273.6</v>
      </c>
      <c r="BN90" s="105">
        <v>3</v>
      </c>
      <c r="BO90" s="105">
        <v>2455.1999999999998</v>
      </c>
      <c r="BP90" s="105">
        <v>3</v>
      </c>
      <c r="BQ90" s="105">
        <v>2455.1999999999998</v>
      </c>
      <c r="BR90" s="105">
        <v>4</v>
      </c>
      <c r="BS90" s="105">
        <v>3273.6</v>
      </c>
      <c r="BT90" s="105">
        <v>3</v>
      </c>
      <c r="BU90" s="105">
        <v>2455.1999999999998</v>
      </c>
      <c r="BV90" s="105">
        <v>3</v>
      </c>
      <c r="BW90" s="105">
        <v>2455.1999999999998</v>
      </c>
      <c r="BX90" s="105">
        <v>3</v>
      </c>
      <c r="BY90" s="105">
        <v>2455.1999999999998</v>
      </c>
      <c r="BZ90" s="105">
        <v>5</v>
      </c>
      <c r="CA90" s="105">
        <v>4092</v>
      </c>
      <c r="CB90" s="105">
        <v>4</v>
      </c>
      <c r="CC90" s="105">
        <v>3273.6</v>
      </c>
      <c r="CD90" s="105">
        <v>4</v>
      </c>
      <c r="CE90" s="105">
        <v>3273.6</v>
      </c>
      <c r="CF90" s="105">
        <v>4</v>
      </c>
      <c r="CG90" s="105">
        <v>3273.6</v>
      </c>
      <c r="CH90" s="105">
        <v>5</v>
      </c>
      <c r="CI90" s="105">
        <v>4092</v>
      </c>
      <c r="CJ90" s="105">
        <v>4</v>
      </c>
      <c r="CK90" s="105">
        <v>3273.6</v>
      </c>
      <c r="CL90" s="105">
        <v>4</v>
      </c>
      <c r="CM90" s="105">
        <v>3273.6</v>
      </c>
      <c r="CN90" s="105">
        <v>5</v>
      </c>
      <c r="CO90" s="105">
        <v>4092</v>
      </c>
      <c r="CP90" s="105">
        <v>3</v>
      </c>
      <c r="CQ90" s="105">
        <v>2455.1999999999998</v>
      </c>
      <c r="CR90" s="105">
        <v>3</v>
      </c>
      <c r="CS90" s="105">
        <v>2455.1999999999998</v>
      </c>
      <c r="CT90" s="105">
        <v>4</v>
      </c>
      <c r="CU90" s="105">
        <v>3273.6</v>
      </c>
    </row>
    <row r="91" spans="2:99" x14ac:dyDescent="0.2">
      <c r="C91" s="104" t="s">
        <v>257</v>
      </c>
      <c r="D91" s="105">
        <v>3</v>
      </c>
      <c r="E91" s="105">
        <v>2358</v>
      </c>
      <c r="F91" s="105">
        <v>3</v>
      </c>
      <c r="G91" s="105">
        <v>2358</v>
      </c>
      <c r="H91" s="105">
        <v>3</v>
      </c>
      <c r="I91" s="105">
        <v>2358</v>
      </c>
      <c r="J91" s="105">
        <v>3</v>
      </c>
      <c r="K91" s="105">
        <v>2358</v>
      </c>
      <c r="L91" s="105">
        <v>4</v>
      </c>
      <c r="M91" s="105">
        <v>3144</v>
      </c>
      <c r="N91" s="105">
        <v>3</v>
      </c>
      <c r="O91" s="105">
        <v>2358</v>
      </c>
      <c r="P91" s="105">
        <v>4</v>
      </c>
      <c r="Q91" s="105">
        <v>3144</v>
      </c>
      <c r="R91" s="105">
        <v>3</v>
      </c>
      <c r="S91" s="105">
        <v>2358</v>
      </c>
      <c r="T91" s="105">
        <v>4</v>
      </c>
      <c r="U91" s="105">
        <v>3144</v>
      </c>
      <c r="V91" s="105">
        <v>3</v>
      </c>
      <c r="W91" s="105">
        <v>2358</v>
      </c>
      <c r="X91" s="105">
        <v>4</v>
      </c>
      <c r="Y91" s="105">
        <v>3144</v>
      </c>
      <c r="Z91" s="105">
        <v>4</v>
      </c>
      <c r="AA91" s="105">
        <v>3144</v>
      </c>
      <c r="AB91" s="105">
        <v>3</v>
      </c>
      <c r="AC91" s="105">
        <v>2358</v>
      </c>
      <c r="AD91" s="105">
        <v>2</v>
      </c>
      <c r="AE91" s="105">
        <v>1572</v>
      </c>
      <c r="AF91" s="105">
        <v>2</v>
      </c>
      <c r="AG91" s="105">
        <v>1572</v>
      </c>
      <c r="AH91" s="105">
        <v>3</v>
      </c>
      <c r="AI91" s="105">
        <v>2358</v>
      </c>
      <c r="AJ91" s="105">
        <v>3</v>
      </c>
      <c r="AK91" s="105">
        <v>2358</v>
      </c>
      <c r="AL91" s="105">
        <v>4</v>
      </c>
      <c r="AM91" s="105">
        <v>3144</v>
      </c>
      <c r="AN91" s="105">
        <v>3</v>
      </c>
      <c r="AO91" s="105">
        <v>2358</v>
      </c>
      <c r="AP91" s="105">
        <v>2</v>
      </c>
      <c r="AQ91" s="105">
        <v>1572</v>
      </c>
      <c r="AR91" s="105">
        <v>3</v>
      </c>
      <c r="AS91" s="105">
        <v>2358</v>
      </c>
      <c r="AT91" s="105">
        <v>2</v>
      </c>
      <c r="AU91" s="105">
        <v>1572</v>
      </c>
      <c r="AV91" s="105">
        <v>3</v>
      </c>
      <c r="AW91" s="105">
        <v>2358</v>
      </c>
      <c r="AX91" s="105">
        <v>4</v>
      </c>
      <c r="AY91" s="105">
        <v>3144</v>
      </c>
      <c r="AZ91" s="105">
        <v>4</v>
      </c>
      <c r="BA91" s="105">
        <v>3144</v>
      </c>
      <c r="BB91" s="105">
        <v>3</v>
      </c>
      <c r="BC91" s="105">
        <v>2358</v>
      </c>
      <c r="BD91" s="105">
        <v>5</v>
      </c>
      <c r="BE91" s="105">
        <v>3930</v>
      </c>
      <c r="BF91" s="105">
        <v>4</v>
      </c>
      <c r="BG91" s="105">
        <v>3144</v>
      </c>
      <c r="BH91" s="105">
        <v>4</v>
      </c>
      <c r="BI91" s="105">
        <v>3144</v>
      </c>
      <c r="BJ91" s="105">
        <v>3</v>
      </c>
      <c r="BK91" s="105">
        <v>2358</v>
      </c>
      <c r="BL91" s="105">
        <v>4</v>
      </c>
      <c r="BM91" s="105">
        <v>3144</v>
      </c>
      <c r="BN91" s="105">
        <v>3</v>
      </c>
      <c r="BO91" s="105">
        <v>2358</v>
      </c>
      <c r="BP91" s="105">
        <v>4</v>
      </c>
      <c r="BQ91" s="105">
        <v>3144</v>
      </c>
      <c r="BR91" s="105">
        <v>4</v>
      </c>
      <c r="BS91" s="105">
        <v>3144</v>
      </c>
      <c r="BT91" s="105">
        <v>3</v>
      </c>
      <c r="BU91" s="105">
        <v>2358</v>
      </c>
      <c r="BV91" s="105">
        <v>3</v>
      </c>
      <c r="BW91" s="105">
        <v>2358</v>
      </c>
      <c r="BX91" s="105">
        <v>3</v>
      </c>
      <c r="BY91" s="105">
        <v>2358</v>
      </c>
      <c r="BZ91" s="105">
        <v>4</v>
      </c>
      <c r="CA91" s="105">
        <v>3144</v>
      </c>
      <c r="CB91" s="105">
        <v>4</v>
      </c>
      <c r="CC91" s="105">
        <v>3144</v>
      </c>
      <c r="CD91" s="105">
        <v>5</v>
      </c>
      <c r="CE91" s="105">
        <v>3930</v>
      </c>
      <c r="CF91" s="105">
        <v>4</v>
      </c>
      <c r="CG91" s="105">
        <v>3144</v>
      </c>
      <c r="CH91" s="105">
        <v>5</v>
      </c>
      <c r="CI91" s="105">
        <v>3930</v>
      </c>
      <c r="CJ91" s="105">
        <v>4</v>
      </c>
      <c r="CK91" s="105">
        <v>3144</v>
      </c>
      <c r="CL91" s="105">
        <v>4</v>
      </c>
      <c r="CM91" s="105">
        <v>3144</v>
      </c>
      <c r="CN91" s="105">
        <v>5</v>
      </c>
      <c r="CO91" s="105">
        <v>3930</v>
      </c>
      <c r="CP91" s="105">
        <v>3</v>
      </c>
      <c r="CQ91" s="105">
        <v>2358</v>
      </c>
      <c r="CR91" s="105">
        <v>4</v>
      </c>
      <c r="CS91" s="105">
        <v>3144</v>
      </c>
      <c r="CT91" s="105">
        <v>4</v>
      </c>
      <c r="CU91" s="105">
        <v>3144</v>
      </c>
    </row>
    <row r="92" spans="2:99" x14ac:dyDescent="0.2">
      <c r="C92" s="104" t="s">
        <v>258</v>
      </c>
      <c r="D92" s="105">
        <v>3</v>
      </c>
      <c r="E92" s="105">
        <v>2811.6</v>
      </c>
      <c r="F92" s="105">
        <v>3</v>
      </c>
      <c r="G92" s="105">
        <v>2811.6</v>
      </c>
      <c r="H92" s="105">
        <v>3</v>
      </c>
      <c r="I92" s="105">
        <v>2811.6</v>
      </c>
      <c r="J92" s="105">
        <v>3</v>
      </c>
      <c r="K92" s="105">
        <v>2811.6</v>
      </c>
      <c r="L92" s="105">
        <v>4</v>
      </c>
      <c r="M92" s="105">
        <v>3748.7999999999997</v>
      </c>
      <c r="N92" s="105">
        <v>3</v>
      </c>
      <c r="O92" s="105">
        <v>2811.6</v>
      </c>
      <c r="P92" s="105">
        <v>4</v>
      </c>
      <c r="Q92" s="105">
        <v>3748.7999999999997</v>
      </c>
      <c r="R92" s="105">
        <v>3</v>
      </c>
      <c r="S92" s="105">
        <v>2811.6</v>
      </c>
      <c r="T92" s="105">
        <v>4</v>
      </c>
      <c r="U92" s="105">
        <v>3748.7999999999997</v>
      </c>
      <c r="V92" s="105">
        <v>3</v>
      </c>
      <c r="W92" s="105">
        <v>2811.6</v>
      </c>
      <c r="X92" s="105">
        <v>4</v>
      </c>
      <c r="Y92" s="105">
        <v>3748.7999999999997</v>
      </c>
      <c r="Z92" s="105">
        <v>3</v>
      </c>
      <c r="AA92" s="105">
        <v>2811.6</v>
      </c>
      <c r="AB92" s="105">
        <v>3</v>
      </c>
      <c r="AC92" s="105">
        <v>2811.6</v>
      </c>
      <c r="AD92" s="105">
        <v>2</v>
      </c>
      <c r="AE92" s="105">
        <v>1874.3999999999999</v>
      </c>
      <c r="AF92" s="105">
        <v>2</v>
      </c>
      <c r="AG92" s="105">
        <v>1874.3999999999999</v>
      </c>
      <c r="AH92" s="105">
        <v>3</v>
      </c>
      <c r="AI92" s="105">
        <v>2811.6</v>
      </c>
      <c r="AJ92" s="105">
        <v>3</v>
      </c>
      <c r="AK92" s="105">
        <v>2811.6</v>
      </c>
      <c r="AL92" s="105">
        <v>4</v>
      </c>
      <c r="AM92" s="105">
        <v>3748.7999999999997</v>
      </c>
      <c r="AN92" s="105">
        <v>3</v>
      </c>
      <c r="AO92" s="105">
        <v>2811.6</v>
      </c>
      <c r="AP92" s="105">
        <v>2</v>
      </c>
      <c r="AQ92" s="105">
        <v>1874.3999999999999</v>
      </c>
      <c r="AR92" s="105">
        <v>3</v>
      </c>
      <c r="AS92" s="105">
        <v>2811.6</v>
      </c>
      <c r="AT92" s="105">
        <v>3</v>
      </c>
      <c r="AU92" s="105">
        <v>2811.6</v>
      </c>
      <c r="AV92" s="105">
        <v>3</v>
      </c>
      <c r="AW92" s="105">
        <v>2811.6</v>
      </c>
      <c r="AX92" s="105">
        <v>4</v>
      </c>
      <c r="AY92" s="105">
        <v>3748.7999999999997</v>
      </c>
      <c r="AZ92" s="105">
        <v>4</v>
      </c>
      <c r="BA92" s="105">
        <v>3748.7999999999997</v>
      </c>
      <c r="BB92" s="105">
        <v>4</v>
      </c>
      <c r="BC92" s="105">
        <v>3748.7999999999997</v>
      </c>
      <c r="BD92" s="105">
        <v>4</v>
      </c>
      <c r="BE92" s="105">
        <v>3748.7999999999997</v>
      </c>
      <c r="BF92" s="105">
        <v>3</v>
      </c>
      <c r="BG92" s="105">
        <v>2811.6</v>
      </c>
      <c r="BH92" s="105">
        <v>3</v>
      </c>
      <c r="BI92" s="105">
        <v>2811.6</v>
      </c>
      <c r="BJ92" s="105">
        <v>3</v>
      </c>
      <c r="BK92" s="105">
        <v>2811.6</v>
      </c>
      <c r="BL92" s="105">
        <v>4</v>
      </c>
      <c r="BM92" s="105">
        <v>3748.7999999999997</v>
      </c>
      <c r="BN92" s="105">
        <v>3</v>
      </c>
      <c r="BO92" s="105">
        <v>2811.6</v>
      </c>
      <c r="BP92" s="105">
        <v>4</v>
      </c>
      <c r="BQ92" s="105">
        <v>3748.7999999999997</v>
      </c>
      <c r="BR92" s="105">
        <v>4</v>
      </c>
      <c r="BS92" s="105">
        <v>3748.7999999999997</v>
      </c>
      <c r="BT92" s="105">
        <v>3</v>
      </c>
      <c r="BU92" s="105">
        <v>2811.6</v>
      </c>
      <c r="BV92" s="105">
        <v>3</v>
      </c>
      <c r="BW92" s="105">
        <v>2811.6</v>
      </c>
      <c r="BX92" s="105">
        <v>3</v>
      </c>
      <c r="BY92" s="105">
        <v>2811.6</v>
      </c>
      <c r="BZ92" s="105">
        <v>4</v>
      </c>
      <c r="CA92" s="105">
        <v>3748.7999999999997</v>
      </c>
      <c r="CB92" s="105">
        <v>4</v>
      </c>
      <c r="CC92" s="105">
        <v>3748.7999999999997</v>
      </c>
      <c r="CD92" s="105">
        <v>4</v>
      </c>
      <c r="CE92" s="105">
        <v>3748.7999999999997</v>
      </c>
      <c r="CF92" s="105">
        <v>4</v>
      </c>
      <c r="CG92" s="105">
        <v>3748.7999999999997</v>
      </c>
      <c r="CH92" s="105">
        <v>5</v>
      </c>
      <c r="CI92" s="105">
        <v>4686</v>
      </c>
      <c r="CJ92" s="105">
        <v>3</v>
      </c>
      <c r="CK92" s="105">
        <v>2811.6</v>
      </c>
      <c r="CL92" s="105">
        <v>4</v>
      </c>
      <c r="CM92" s="105">
        <v>3748.7999999999997</v>
      </c>
      <c r="CN92" s="105">
        <v>4</v>
      </c>
      <c r="CO92" s="105">
        <v>3748.7999999999997</v>
      </c>
      <c r="CP92" s="105">
        <v>3</v>
      </c>
      <c r="CQ92" s="105">
        <v>2811.6</v>
      </c>
      <c r="CR92" s="105">
        <v>4</v>
      </c>
      <c r="CS92" s="105">
        <v>3748.7999999999997</v>
      </c>
      <c r="CT92" s="105">
        <v>4</v>
      </c>
      <c r="CU92" s="105">
        <v>3748.7999999999997</v>
      </c>
    </row>
    <row r="93" spans="2:99" x14ac:dyDescent="0.2">
      <c r="C93" s="104" t="s">
        <v>259</v>
      </c>
      <c r="D93" s="105">
        <v>3</v>
      </c>
      <c r="E93" s="105">
        <v>1753.1999999999998</v>
      </c>
      <c r="F93" s="105">
        <v>3</v>
      </c>
      <c r="G93" s="105">
        <v>1753.1999999999998</v>
      </c>
      <c r="H93" s="105">
        <v>4</v>
      </c>
      <c r="I93" s="105">
        <v>2337.6</v>
      </c>
      <c r="J93" s="105">
        <v>3</v>
      </c>
      <c r="K93" s="105">
        <v>1753.1999999999998</v>
      </c>
      <c r="L93" s="105">
        <v>4</v>
      </c>
      <c r="M93" s="105">
        <v>2337.6</v>
      </c>
      <c r="N93" s="105">
        <v>3</v>
      </c>
      <c r="O93" s="105">
        <v>1753.1999999999998</v>
      </c>
      <c r="P93" s="105">
        <v>4</v>
      </c>
      <c r="Q93" s="105">
        <v>2337.6</v>
      </c>
      <c r="R93" s="105">
        <v>3</v>
      </c>
      <c r="S93" s="105">
        <v>1753.1999999999998</v>
      </c>
      <c r="T93" s="105">
        <v>4</v>
      </c>
      <c r="U93" s="105">
        <v>2337.6</v>
      </c>
      <c r="V93" s="105">
        <v>3</v>
      </c>
      <c r="W93" s="105">
        <v>1753.1999999999998</v>
      </c>
      <c r="X93" s="105">
        <v>4</v>
      </c>
      <c r="Y93" s="105">
        <v>2337.6</v>
      </c>
      <c r="Z93" s="105">
        <v>4</v>
      </c>
      <c r="AA93" s="105">
        <v>2337.6</v>
      </c>
      <c r="AB93" s="105">
        <v>3</v>
      </c>
      <c r="AC93" s="105">
        <v>1753.1999999999998</v>
      </c>
      <c r="AD93" s="105">
        <v>2</v>
      </c>
      <c r="AE93" s="105">
        <v>1168.8</v>
      </c>
      <c r="AF93" s="105">
        <v>2</v>
      </c>
      <c r="AG93" s="105">
        <v>1168.8</v>
      </c>
      <c r="AH93" s="105">
        <v>4</v>
      </c>
      <c r="AI93" s="105">
        <v>2337.6</v>
      </c>
      <c r="AJ93" s="105">
        <v>3</v>
      </c>
      <c r="AK93" s="105">
        <v>1753.1999999999998</v>
      </c>
      <c r="AL93" s="105">
        <v>4</v>
      </c>
      <c r="AM93" s="105">
        <v>2337.6</v>
      </c>
      <c r="AN93" s="105">
        <v>3</v>
      </c>
      <c r="AO93" s="105">
        <v>1753.1999999999998</v>
      </c>
      <c r="AP93" s="105">
        <v>2</v>
      </c>
      <c r="AQ93" s="105">
        <v>1168.8</v>
      </c>
      <c r="AR93" s="105">
        <v>3</v>
      </c>
      <c r="AS93" s="105">
        <v>1753.1999999999998</v>
      </c>
      <c r="AT93" s="105">
        <v>3</v>
      </c>
      <c r="AU93" s="105">
        <v>1753.1999999999998</v>
      </c>
      <c r="AV93" s="105">
        <v>3</v>
      </c>
      <c r="AW93" s="105">
        <v>1753.1999999999998</v>
      </c>
      <c r="AX93" s="105">
        <v>4</v>
      </c>
      <c r="AY93" s="105">
        <v>2337.6</v>
      </c>
      <c r="AZ93" s="105">
        <v>5</v>
      </c>
      <c r="BA93" s="105">
        <v>2922</v>
      </c>
      <c r="BB93" s="105">
        <v>3</v>
      </c>
      <c r="BC93" s="105">
        <v>1753.1999999999998</v>
      </c>
      <c r="BD93" s="105">
        <v>4</v>
      </c>
      <c r="BE93" s="105">
        <v>2337.6</v>
      </c>
      <c r="BF93" s="105">
        <v>4</v>
      </c>
      <c r="BG93" s="105">
        <v>2337.6</v>
      </c>
      <c r="BH93" s="105">
        <v>4</v>
      </c>
      <c r="BI93" s="105">
        <v>2337.6</v>
      </c>
      <c r="BJ93" s="105">
        <v>3</v>
      </c>
      <c r="BK93" s="105">
        <v>1753.1999999999998</v>
      </c>
      <c r="BL93" s="105">
        <v>4</v>
      </c>
      <c r="BM93" s="105">
        <v>2337.6</v>
      </c>
      <c r="BN93" s="105">
        <v>3</v>
      </c>
      <c r="BO93" s="105">
        <v>1753.1999999999998</v>
      </c>
      <c r="BP93" s="105">
        <v>4</v>
      </c>
      <c r="BQ93" s="105">
        <v>2337.6</v>
      </c>
      <c r="BR93" s="105">
        <v>4</v>
      </c>
      <c r="BS93" s="105">
        <v>2337.6</v>
      </c>
      <c r="BT93" s="105">
        <v>3</v>
      </c>
      <c r="BU93" s="105">
        <v>1753.1999999999998</v>
      </c>
      <c r="BV93" s="105">
        <v>3</v>
      </c>
      <c r="BW93" s="105">
        <v>1753.1999999999998</v>
      </c>
      <c r="BX93" s="105">
        <v>3</v>
      </c>
      <c r="BY93" s="105">
        <v>1753.1999999999998</v>
      </c>
      <c r="BZ93" s="105">
        <v>5</v>
      </c>
      <c r="CA93" s="105">
        <v>2922</v>
      </c>
      <c r="CB93" s="105">
        <v>4</v>
      </c>
      <c r="CC93" s="105">
        <v>2337.6</v>
      </c>
      <c r="CD93" s="105">
        <v>5</v>
      </c>
      <c r="CE93" s="105">
        <v>2922</v>
      </c>
      <c r="CF93" s="105">
        <v>4</v>
      </c>
      <c r="CG93" s="105">
        <v>2337.6</v>
      </c>
      <c r="CH93" s="105">
        <v>5</v>
      </c>
      <c r="CI93" s="105">
        <v>2922</v>
      </c>
      <c r="CJ93" s="105">
        <v>4</v>
      </c>
      <c r="CK93" s="105">
        <v>2337.6</v>
      </c>
      <c r="CL93" s="105">
        <v>4</v>
      </c>
      <c r="CM93" s="105">
        <v>2337.6</v>
      </c>
      <c r="CN93" s="105">
        <v>5</v>
      </c>
      <c r="CO93" s="105">
        <v>2922</v>
      </c>
      <c r="CP93" s="105">
        <v>3</v>
      </c>
      <c r="CQ93" s="105">
        <v>1753.1999999999998</v>
      </c>
      <c r="CR93" s="105">
        <v>4</v>
      </c>
      <c r="CS93" s="105">
        <v>2337.6</v>
      </c>
      <c r="CT93" s="105">
        <v>4</v>
      </c>
      <c r="CU93" s="105">
        <v>2337.6</v>
      </c>
    </row>
    <row r="94" spans="2:99" x14ac:dyDescent="0.2">
      <c r="C94" s="104" t="s">
        <v>260</v>
      </c>
      <c r="D94" s="105">
        <v>3</v>
      </c>
      <c r="E94" s="105">
        <v>2404.8000000000002</v>
      </c>
      <c r="F94" s="105">
        <v>4</v>
      </c>
      <c r="G94" s="105">
        <v>3206.4</v>
      </c>
      <c r="H94" s="105">
        <v>3</v>
      </c>
      <c r="I94" s="105">
        <v>2404.8000000000002</v>
      </c>
      <c r="J94" s="105">
        <v>3</v>
      </c>
      <c r="K94" s="105">
        <v>2404.8000000000002</v>
      </c>
      <c r="L94" s="105">
        <v>4</v>
      </c>
      <c r="M94" s="105">
        <v>3206.4</v>
      </c>
      <c r="N94" s="105">
        <v>3</v>
      </c>
      <c r="O94" s="105">
        <v>2404.8000000000002</v>
      </c>
      <c r="P94" s="105">
        <v>4</v>
      </c>
      <c r="Q94" s="105">
        <v>3206.4</v>
      </c>
      <c r="R94" s="105">
        <v>3</v>
      </c>
      <c r="S94" s="105">
        <v>2404.8000000000002</v>
      </c>
      <c r="T94" s="105">
        <v>4</v>
      </c>
      <c r="U94" s="105">
        <v>3206.4</v>
      </c>
      <c r="V94" s="105">
        <v>3</v>
      </c>
      <c r="W94" s="105">
        <v>2404.8000000000002</v>
      </c>
      <c r="X94" s="105">
        <v>4</v>
      </c>
      <c r="Y94" s="105">
        <v>3206.4</v>
      </c>
      <c r="Z94" s="105">
        <v>3</v>
      </c>
      <c r="AA94" s="105">
        <v>2404.8000000000002</v>
      </c>
      <c r="AB94" s="105">
        <v>3</v>
      </c>
      <c r="AC94" s="105">
        <v>2404.8000000000002</v>
      </c>
      <c r="AD94" s="105">
        <v>2</v>
      </c>
      <c r="AE94" s="105">
        <v>1603.2</v>
      </c>
      <c r="AF94" s="105">
        <v>2</v>
      </c>
      <c r="AG94" s="105">
        <v>1603.2</v>
      </c>
      <c r="AH94" s="105">
        <v>4</v>
      </c>
      <c r="AI94" s="105">
        <v>3206.4</v>
      </c>
      <c r="AJ94" s="105">
        <v>3</v>
      </c>
      <c r="AK94" s="105">
        <v>2404.8000000000002</v>
      </c>
      <c r="AL94" s="105">
        <v>4</v>
      </c>
      <c r="AM94" s="105">
        <v>3206.4</v>
      </c>
      <c r="AN94" s="105">
        <v>3</v>
      </c>
      <c r="AO94" s="105">
        <v>2404.8000000000002</v>
      </c>
      <c r="AP94" s="105">
        <v>2</v>
      </c>
      <c r="AQ94" s="105">
        <v>1603.2</v>
      </c>
      <c r="AR94" s="105">
        <v>3</v>
      </c>
      <c r="AS94" s="105">
        <v>2404.8000000000002</v>
      </c>
      <c r="AT94" s="105">
        <v>3</v>
      </c>
      <c r="AU94" s="105">
        <v>2404.8000000000002</v>
      </c>
      <c r="AV94" s="105">
        <v>4</v>
      </c>
      <c r="AW94" s="105">
        <v>3206.4</v>
      </c>
      <c r="AX94" s="105">
        <v>4</v>
      </c>
      <c r="AY94" s="105">
        <v>3206.4</v>
      </c>
      <c r="AZ94" s="105">
        <v>4</v>
      </c>
      <c r="BA94" s="105">
        <v>3206.4</v>
      </c>
      <c r="BB94" s="105">
        <v>3</v>
      </c>
      <c r="BC94" s="105">
        <v>2404.8000000000002</v>
      </c>
      <c r="BD94" s="105">
        <v>4</v>
      </c>
      <c r="BE94" s="105">
        <v>3206.4</v>
      </c>
      <c r="BF94" s="105">
        <v>3</v>
      </c>
      <c r="BG94" s="105">
        <v>2404.8000000000002</v>
      </c>
      <c r="BH94" s="105">
        <v>4</v>
      </c>
      <c r="BI94" s="105">
        <v>3206.4</v>
      </c>
      <c r="BJ94" s="105">
        <v>3</v>
      </c>
      <c r="BK94" s="105">
        <v>2404.8000000000002</v>
      </c>
      <c r="BL94" s="105">
        <v>4</v>
      </c>
      <c r="BM94" s="105">
        <v>3206.4</v>
      </c>
      <c r="BN94" s="105">
        <v>3</v>
      </c>
      <c r="BO94" s="105">
        <v>2404.8000000000002</v>
      </c>
      <c r="BP94" s="105">
        <v>4</v>
      </c>
      <c r="BQ94" s="105">
        <v>3206.4</v>
      </c>
      <c r="BR94" s="105">
        <v>5</v>
      </c>
      <c r="BS94" s="105">
        <v>4008</v>
      </c>
      <c r="BT94" s="105">
        <v>3</v>
      </c>
      <c r="BU94" s="105">
        <v>2404.8000000000002</v>
      </c>
      <c r="BV94" s="105">
        <v>3</v>
      </c>
      <c r="BW94" s="105">
        <v>2404.8000000000002</v>
      </c>
      <c r="BX94" s="105">
        <v>3</v>
      </c>
      <c r="BY94" s="105">
        <v>2404.8000000000002</v>
      </c>
      <c r="BZ94" s="105">
        <v>4</v>
      </c>
      <c r="CA94" s="105">
        <v>3206.4</v>
      </c>
      <c r="CB94" s="105">
        <v>4</v>
      </c>
      <c r="CC94" s="105">
        <v>3206.4</v>
      </c>
      <c r="CD94" s="105">
        <v>5</v>
      </c>
      <c r="CE94" s="105">
        <v>4008</v>
      </c>
      <c r="CF94" s="105">
        <v>4</v>
      </c>
      <c r="CG94" s="105">
        <v>3206.4</v>
      </c>
      <c r="CH94" s="105">
        <v>5</v>
      </c>
      <c r="CI94" s="105">
        <v>4008</v>
      </c>
      <c r="CJ94" s="105">
        <v>4</v>
      </c>
      <c r="CK94" s="105">
        <v>3206.4</v>
      </c>
      <c r="CL94" s="105">
        <v>4</v>
      </c>
      <c r="CM94" s="105">
        <v>3206.4</v>
      </c>
      <c r="CN94" s="105">
        <v>5</v>
      </c>
      <c r="CO94" s="105">
        <v>4008</v>
      </c>
      <c r="CP94" s="105">
        <v>3</v>
      </c>
      <c r="CQ94" s="105">
        <v>2404.8000000000002</v>
      </c>
      <c r="CR94" s="105">
        <v>4</v>
      </c>
      <c r="CS94" s="105">
        <v>3206.4</v>
      </c>
      <c r="CT94" s="105">
        <v>4</v>
      </c>
      <c r="CU94" s="105">
        <v>3206.4</v>
      </c>
    </row>
    <row r="95" spans="2:99" x14ac:dyDescent="0.2">
      <c r="B95" s="104" t="s">
        <v>132</v>
      </c>
      <c r="C95" s="104" t="s">
        <v>261</v>
      </c>
      <c r="D95" s="105">
        <v>6</v>
      </c>
      <c r="E95" s="105">
        <v>2304</v>
      </c>
      <c r="F95" s="105">
        <v>6</v>
      </c>
      <c r="G95" s="105">
        <v>2304</v>
      </c>
      <c r="H95" s="105">
        <v>6</v>
      </c>
      <c r="I95" s="105">
        <v>2304</v>
      </c>
      <c r="J95" s="105">
        <v>6</v>
      </c>
      <c r="K95" s="105">
        <v>2304</v>
      </c>
      <c r="L95" s="105">
        <v>7</v>
      </c>
      <c r="M95" s="105">
        <v>2688</v>
      </c>
      <c r="N95" s="105">
        <v>6</v>
      </c>
      <c r="O95" s="105">
        <v>2304</v>
      </c>
      <c r="P95" s="105">
        <v>6</v>
      </c>
      <c r="Q95" s="105">
        <v>2304</v>
      </c>
      <c r="R95" s="105">
        <v>6</v>
      </c>
      <c r="S95" s="105">
        <v>2304</v>
      </c>
      <c r="T95" s="105">
        <v>6</v>
      </c>
      <c r="U95" s="105">
        <v>2304</v>
      </c>
      <c r="V95" s="105">
        <v>5</v>
      </c>
      <c r="W95" s="105">
        <v>1920</v>
      </c>
      <c r="X95" s="105">
        <v>7</v>
      </c>
      <c r="Y95" s="105">
        <v>2688</v>
      </c>
      <c r="Z95" s="105">
        <v>5</v>
      </c>
      <c r="AA95" s="105">
        <v>1920</v>
      </c>
      <c r="AB95" s="105">
        <v>5</v>
      </c>
      <c r="AC95" s="105">
        <v>1920</v>
      </c>
      <c r="AD95" s="105">
        <v>7</v>
      </c>
      <c r="AE95" s="105">
        <v>2688</v>
      </c>
      <c r="AF95" s="105">
        <v>4</v>
      </c>
      <c r="AG95" s="105">
        <v>1536</v>
      </c>
      <c r="AH95" s="105">
        <v>4</v>
      </c>
      <c r="AI95" s="105">
        <v>1536</v>
      </c>
      <c r="AJ95" s="105">
        <v>5</v>
      </c>
      <c r="AK95" s="105">
        <v>1920</v>
      </c>
      <c r="AL95" s="105">
        <v>4</v>
      </c>
      <c r="AM95" s="105">
        <v>1536</v>
      </c>
      <c r="AN95" s="105">
        <v>4</v>
      </c>
      <c r="AO95" s="105">
        <v>1536</v>
      </c>
      <c r="AP95" s="105">
        <v>7</v>
      </c>
      <c r="AQ95" s="105">
        <v>2688</v>
      </c>
      <c r="AR95" s="105">
        <v>4</v>
      </c>
      <c r="AS95" s="105">
        <v>1536</v>
      </c>
      <c r="AT95" s="105">
        <v>4</v>
      </c>
      <c r="AU95" s="105">
        <v>1536</v>
      </c>
      <c r="AV95" s="105">
        <v>7</v>
      </c>
      <c r="AW95" s="105">
        <v>2688</v>
      </c>
      <c r="AX95" s="105">
        <v>4</v>
      </c>
      <c r="AY95" s="105">
        <v>1536</v>
      </c>
      <c r="AZ95" s="105">
        <v>4</v>
      </c>
      <c r="BA95" s="105">
        <v>1536</v>
      </c>
      <c r="BB95" s="105">
        <v>4</v>
      </c>
      <c r="BC95" s="105">
        <v>1536</v>
      </c>
      <c r="BD95" s="105">
        <v>7</v>
      </c>
      <c r="BE95" s="105">
        <v>2688</v>
      </c>
      <c r="BF95" s="105">
        <v>7</v>
      </c>
      <c r="BG95" s="105">
        <v>2688</v>
      </c>
      <c r="BH95" s="105">
        <v>7</v>
      </c>
      <c r="BI95" s="105">
        <v>2688</v>
      </c>
      <c r="BJ95" s="105">
        <v>4</v>
      </c>
      <c r="BK95" s="105">
        <v>1536</v>
      </c>
      <c r="BL95" s="105">
        <v>8</v>
      </c>
      <c r="BM95" s="105">
        <v>3072</v>
      </c>
      <c r="BN95" s="105">
        <v>6</v>
      </c>
      <c r="BO95" s="105">
        <v>2304</v>
      </c>
      <c r="BP95" s="105">
        <v>4</v>
      </c>
      <c r="BQ95" s="105">
        <v>1536</v>
      </c>
      <c r="BR95" s="105">
        <v>6</v>
      </c>
      <c r="BS95" s="105">
        <v>2304</v>
      </c>
      <c r="BT95" s="105">
        <v>7</v>
      </c>
      <c r="BU95" s="105">
        <v>2688</v>
      </c>
      <c r="BV95" s="105">
        <v>5</v>
      </c>
      <c r="BW95" s="105">
        <v>1920</v>
      </c>
      <c r="BX95" s="105">
        <v>5</v>
      </c>
      <c r="BY95" s="105">
        <v>1920</v>
      </c>
      <c r="BZ95" s="105">
        <v>4</v>
      </c>
      <c r="CA95" s="105">
        <v>1536</v>
      </c>
      <c r="CB95" s="105">
        <v>4</v>
      </c>
      <c r="CC95" s="105">
        <v>1536</v>
      </c>
      <c r="CD95" s="105">
        <v>6</v>
      </c>
      <c r="CE95" s="105">
        <v>2304</v>
      </c>
      <c r="CF95" s="105">
        <v>5</v>
      </c>
      <c r="CG95" s="105">
        <v>1920</v>
      </c>
      <c r="CH95" s="105">
        <v>5</v>
      </c>
      <c r="CI95" s="105">
        <v>1920</v>
      </c>
      <c r="CJ95" s="105">
        <v>7</v>
      </c>
      <c r="CK95" s="105">
        <v>2688</v>
      </c>
      <c r="CL95" s="105">
        <v>5</v>
      </c>
      <c r="CM95" s="105">
        <v>1920</v>
      </c>
      <c r="CN95" s="105">
        <v>4</v>
      </c>
      <c r="CO95" s="105">
        <v>1536</v>
      </c>
      <c r="CP95" s="105">
        <v>4</v>
      </c>
      <c r="CQ95" s="105">
        <v>1536</v>
      </c>
      <c r="CR95" s="105">
        <v>4</v>
      </c>
      <c r="CS95" s="105">
        <v>1536</v>
      </c>
      <c r="CT95" s="105">
        <v>6</v>
      </c>
      <c r="CU95" s="105">
        <v>2304</v>
      </c>
    </row>
    <row r="96" spans="2:99" x14ac:dyDescent="0.2">
      <c r="C96" s="104" t="s">
        <v>262</v>
      </c>
      <c r="D96" s="105">
        <v>4.8371173579073474</v>
      </c>
      <c r="E96" s="105">
        <v>4045.7649581537053</v>
      </c>
      <c r="F96" s="105">
        <v>4.8632182475719645</v>
      </c>
      <c r="G96" s="105">
        <v>4067.5957422691909</v>
      </c>
      <c r="H96" s="105">
        <v>5.6420033557268656</v>
      </c>
      <c r="I96" s="105">
        <v>4718.9716067299505</v>
      </c>
      <c r="J96" s="105">
        <v>3.6658078951270192</v>
      </c>
      <c r="K96" s="105">
        <v>3066.0817234842389</v>
      </c>
      <c r="L96" s="105">
        <v>4.4596381903997555</v>
      </c>
      <c r="M96" s="105">
        <v>3730.0413824503553</v>
      </c>
      <c r="N96" s="105">
        <v>4.0279186556490938</v>
      </c>
      <c r="O96" s="105">
        <v>3368.9511635849021</v>
      </c>
      <c r="P96" s="105">
        <v>4.6652375367260648</v>
      </c>
      <c r="Q96" s="105">
        <v>3902.0046757176806</v>
      </c>
      <c r="R96" s="105">
        <v>3.5303909761539938</v>
      </c>
      <c r="S96" s="105">
        <v>2952.8190124552002</v>
      </c>
      <c r="T96" s="105">
        <v>3.5734369801906372</v>
      </c>
      <c r="U96" s="105">
        <v>2988.8226902314486</v>
      </c>
      <c r="V96" s="105">
        <v>3.5430758462815657</v>
      </c>
      <c r="W96" s="105">
        <v>2963.4286378299016</v>
      </c>
      <c r="X96" s="105">
        <v>5.3120388206243554</v>
      </c>
      <c r="Y96" s="105">
        <v>4442.989269570211</v>
      </c>
      <c r="Z96" s="105">
        <v>4.028067690734118</v>
      </c>
      <c r="AA96" s="105">
        <v>3369.0758165300163</v>
      </c>
      <c r="AB96" s="105">
        <v>3.2083642903291874</v>
      </c>
      <c r="AC96" s="105">
        <v>2683.4758924313323</v>
      </c>
      <c r="AD96" s="105">
        <v>3.8624436225920724</v>
      </c>
      <c r="AE96" s="105">
        <v>3230.5478459360093</v>
      </c>
      <c r="AF96" s="105">
        <v>3.6896354939915201</v>
      </c>
      <c r="AG96" s="105">
        <v>3086.0111271745072</v>
      </c>
      <c r="AH96" s="105">
        <v>2.6005337615360631</v>
      </c>
      <c r="AI96" s="105">
        <v>2175.0864381487631</v>
      </c>
      <c r="AJ96" s="105">
        <v>3.6880642860958242</v>
      </c>
      <c r="AK96" s="105">
        <v>3084.6969688905474</v>
      </c>
      <c r="AL96" s="105">
        <v>3.1622064360607132</v>
      </c>
      <c r="AM96" s="105">
        <v>2644.8694631211806</v>
      </c>
      <c r="AN96" s="105">
        <v>3.4784270796667847</v>
      </c>
      <c r="AO96" s="105">
        <v>2909.3564094332987</v>
      </c>
      <c r="AP96" s="105">
        <v>4.8341036239694883</v>
      </c>
      <c r="AQ96" s="105">
        <v>4043.24427108808</v>
      </c>
      <c r="AR96" s="105">
        <v>4</v>
      </c>
      <c r="AS96" s="105">
        <v>3345.6</v>
      </c>
      <c r="AT96" s="105">
        <v>3.290538785517485</v>
      </c>
      <c r="AU96" s="105">
        <v>2752.2066402068244</v>
      </c>
      <c r="AV96" s="105">
        <v>3.9984715789515879</v>
      </c>
      <c r="AW96" s="105">
        <v>3344.321628635108</v>
      </c>
      <c r="AX96" s="105">
        <v>3.2673531751726879</v>
      </c>
      <c r="AY96" s="105">
        <v>2732.8141957144362</v>
      </c>
      <c r="AZ96" s="105">
        <v>3.0402998823545775</v>
      </c>
      <c r="BA96" s="105">
        <v>2542.9068216013684</v>
      </c>
      <c r="BB96" s="105">
        <v>2.4661839835358967</v>
      </c>
      <c r="BC96" s="105">
        <v>2062.7162838294239</v>
      </c>
      <c r="BD96" s="105">
        <v>4.2393158486648925</v>
      </c>
      <c r="BE96" s="105">
        <v>3545.7637758233159</v>
      </c>
      <c r="BF96" s="105">
        <v>4.2196530058774115</v>
      </c>
      <c r="BG96" s="105">
        <v>3529.317774115867</v>
      </c>
      <c r="BH96" s="105">
        <v>6.0847845967077205</v>
      </c>
      <c r="BI96" s="105">
        <v>5089.3138366863377</v>
      </c>
      <c r="BJ96" s="105">
        <v>4.8351808727856422</v>
      </c>
      <c r="BK96" s="105">
        <v>4044.1452819979108</v>
      </c>
      <c r="BL96" s="105">
        <v>4.792066442677954</v>
      </c>
      <c r="BM96" s="105">
        <v>4008.0843726558405</v>
      </c>
      <c r="BN96" s="105">
        <v>3.6164661874609778</v>
      </c>
      <c r="BO96" s="105">
        <v>3024.8123191923619</v>
      </c>
      <c r="BP96" s="105">
        <v>2.8030996733468418</v>
      </c>
      <c r="BQ96" s="105">
        <v>2344.5125667872985</v>
      </c>
      <c r="BR96" s="105">
        <v>3.6002211084172391</v>
      </c>
      <c r="BS96" s="105">
        <v>3011.2249350801785</v>
      </c>
      <c r="BT96" s="105">
        <v>5.140684585200078</v>
      </c>
      <c r="BU96" s="105">
        <v>4299.6685870613455</v>
      </c>
      <c r="BV96" s="105">
        <v>3.6835456999283043</v>
      </c>
      <c r="BW96" s="105">
        <v>3080.9176234200336</v>
      </c>
      <c r="BX96" s="105">
        <v>2.8707743266427297</v>
      </c>
      <c r="BY96" s="105">
        <v>2401.115646803979</v>
      </c>
      <c r="BZ96" s="105">
        <v>3.1450786100642079</v>
      </c>
      <c r="CA96" s="105">
        <v>2630.5437494577036</v>
      </c>
      <c r="CB96" s="105">
        <v>3.1586881650466756</v>
      </c>
      <c r="CC96" s="105">
        <v>2641.9267812450394</v>
      </c>
      <c r="CD96" s="105">
        <v>2.9538714137510773</v>
      </c>
      <c r="CE96" s="105">
        <v>2470.6180504614008</v>
      </c>
      <c r="CF96" s="105">
        <v>4.5256549375474568</v>
      </c>
      <c r="CG96" s="105">
        <v>3785.2577897646929</v>
      </c>
      <c r="CH96" s="105">
        <v>3.0803460050653695</v>
      </c>
      <c r="CI96" s="105">
        <v>2576.4013986366749</v>
      </c>
      <c r="CJ96" s="105">
        <v>4.1321983976974508</v>
      </c>
      <c r="CK96" s="105">
        <v>3456.1707398341478</v>
      </c>
      <c r="CL96" s="105">
        <v>2.8741371372760609</v>
      </c>
      <c r="CM96" s="105">
        <v>2403.9283016176973</v>
      </c>
      <c r="CN96" s="105">
        <v>2.9731113270427918</v>
      </c>
      <c r="CO96" s="105">
        <v>2486.7103139385908</v>
      </c>
      <c r="CP96" s="105">
        <v>2.2937061342519964</v>
      </c>
      <c r="CQ96" s="105">
        <v>1918.4558106883699</v>
      </c>
      <c r="CR96" s="105">
        <v>2.7551554399996347</v>
      </c>
      <c r="CS96" s="105">
        <v>2304.4120100156942</v>
      </c>
      <c r="CT96" s="105">
        <v>3.4574567440263482</v>
      </c>
      <c r="CU96" s="105">
        <v>2891.8168207036374</v>
      </c>
    </row>
    <row r="97" spans="2:99" x14ac:dyDescent="0.2">
      <c r="C97" s="104" t="s">
        <v>263</v>
      </c>
      <c r="D97" s="105">
        <v>7</v>
      </c>
      <c r="E97" s="105">
        <v>1764</v>
      </c>
      <c r="F97" s="105">
        <v>7</v>
      </c>
      <c r="G97" s="105">
        <v>1764</v>
      </c>
      <c r="H97" s="105">
        <v>7</v>
      </c>
      <c r="I97" s="105">
        <v>1764</v>
      </c>
      <c r="J97" s="105">
        <v>5</v>
      </c>
      <c r="K97" s="105">
        <v>1260</v>
      </c>
      <c r="L97" s="105">
        <v>6</v>
      </c>
      <c r="M97" s="105">
        <v>1512</v>
      </c>
      <c r="N97" s="105">
        <v>7</v>
      </c>
      <c r="O97" s="105">
        <v>1764</v>
      </c>
      <c r="P97" s="105">
        <v>6</v>
      </c>
      <c r="Q97" s="105">
        <v>1512</v>
      </c>
      <c r="R97" s="105">
        <v>6</v>
      </c>
      <c r="S97" s="105">
        <v>1512</v>
      </c>
      <c r="T97" s="105">
        <v>7</v>
      </c>
      <c r="U97" s="105">
        <v>1764</v>
      </c>
      <c r="V97" s="105">
        <v>6</v>
      </c>
      <c r="W97" s="105">
        <v>1512</v>
      </c>
      <c r="X97" s="105">
        <v>7</v>
      </c>
      <c r="Y97" s="105">
        <v>1764</v>
      </c>
      <c r="Z97" s="105">
        <v>5</v>
      </c>
      <c r="AA97" s="105">
        <v>1260</v>
      </c>
      <c r="AB97" s="105">
        <v>6</v>
      </c>
      <c r="AC97" s="105">
        <v>1512</v>
      </c>
      <c r="AD97" s="105">
        <v>7</v>
      </c>
      <c r="AE97" s="105">
        <v>1764</v>
      </c>
      <c r="AF97" s="105">
        <v>4</v>
      </c>
      <c r="AG97" s="105">
        <v>1008</v>
      </c>
      <c r="AH97" s="105">
        <v>5</v>
      </c>
      <c r="AI97" s="105">
        <v>1260</v>
      </c>
      <c r="AJ97" s="105">
        <v>5</v>
      </c>
      <c r="AK97" s="105">
        <v>1260</v>
      </c>
      <c r="AL97" s="105">
        <v>5</v>
      </c>
      <c r="AM97" s="105">
        <v>1260</v>
      </c>
      <c r="AN97" s="105">
        <v>4</v>
      </c>
      <c r="AO97" s="105">
        <v>1008</v>
      </c>
      <c r="AP97" s="105">
        <v>6</v>
      </c>
      <c r="AQ97" s="105">
        <v>1512</v>
      </c>
      <c r="AR97" s="105">
        <v>5</v>
      </c>
      <c r="AS97" s="105">
        <v>1260</v>
      </c>
      <c r="AT97" s="105">
        <v>4</v>
      </c>
      <c r="AU97" s="105">
        <v>1008</v>
      </c>
      <c r="AV97" s="105">
        <v>7</v>
      </c>
      <c r="AW97" s="105">
        <v>1764</v>
      </c>
      <c r="AX97" s="105">
        <v>4</v>
      </c>
      <c r="AY97" s="105">
        <v>1008</v>
      </c>
      <c r="AZ97" s="105">
        <v>4</v>
      </c>
      <c r="BA97" s="105">
        <v>1008</v>
      </c>
      <c r="BB97" s="105">
        <v>4</v>
      </c>
      <c r="BC97" s="105">
        <v>1008</v>
      </c>
      <c r="BD97" s="105">
        <v>7</v>
      </c>
      <c r="BE97" s="105">
        <v>1764</v>
      </c>
      <c r="BF97" s="105">
        <v>6</v>
      </c>
      <c r="BG97" s="105">
        <v>1512</v>
      </c>
      <c r="BH97" s="105">
        <v>7</v>
      </c>
      <c r="BI97" s="105">
        <v>1764</v>
      </c>
      <c r="BJ97" s="105">
        <v>4</v>
      </c>
      <c r="BK97" s="105">
        <v>1008</v>
      </c>
      <c r="BL97" s="105">
        <v>7</v>
      </c>
      <c r="BM97" s="105">
        <v>1764</v>
      </c>
      <c r="BN97" s="105">
        <v>6</v>
      </c>
      <c r="BO97" s="105">
        <v>1512</v>
      </c>
      <c r="BP97" s="105">
        <v>4</v>
      </c>
      <c r="BQ97" s="105">
        <v>1008</v>
      </c>
      <c r="BR97" s="105">
        <v>6</v>
      </c>
      <c r="BS97" s="105">
        <v>1512</v>
      </c>
      <c r="BT97" s="105">
        <v>6</v>
      </c>
      <c r="BU97" s="105">
        <v>1512</v>
      </c>
      <c r="BV97" s="105">
        <v>5</v>
      </c>
      <c r="BW97" s="105">
        <v>1260</v>
      </c>
      <c r="BX97" s="105">
        <v>4</v>
      </c>
      <c r="BY97" s="105">
        <v>1008</v>
      </c>
      <c r="BZ97" s="105">
        <v>4</v>
      </c>
      <c r="CA97" s="105">
        <v>1008</v>
      </c>
      <c r="CB97" s="105">
        <v>5</v>
      </c>
      <c r="CC97" s="105">
        <v>1260</v>
      </c>
      <c r="CD97" s="105">
        <v>6</v>
      </c>
      <c r="CE97" s="105">
        <v>1512</v>
      </c>
      <c r="CF97" s="105">
        <v>5</v>
      </c>
      <c r="CG97" s="105">
        <v>1260</v>
      </c>
      <c r="CH97" s="105">
        <v>5</v>
      </c>
      <c r="CI97" s="105">
        <v>1260</v>
      </c>
      <c r="CJ97" s="105">
        <v>7</v>
      </c>
      <c r="CK97" s="105">
        <v>1764</v>
      </c>
      <c r="CL97" s="105">
        <v>5</v>
      </c>
      <c r="CM97" s="105">
        <v>1260</v>
      </c>
      <c r="CN97" s="105">
        <v>5</v>
      </c>
      <c r="CO97" s="105">
        <v>1260</v>
      </c>
      <c r="CP97" s="105">
        <v>4</v>
      </c>
      <c r="CQ97" s="105">
        <v>1008</v>
      </c>
      <c r="CR97" s="105">
        <v>5</v>
      </c>
      <c r="CS97" s="105">
        <v>1260</v>
      </c>
      <c r="CT97" s="105">
        <v>6</v>
      </c>
      <c r="CU97" s="105">
        <v>1512</v>
      </c>
    </row>
    <row r="98" spans="2:99" x14ac:dyDescent="0.2">
      <c r="C98" s="104" t="s">
        <v>264</v>
      </c>
      <c r="D98" s="105">
        <v>7</v>
      </c>
      <c r="E98" s="105">
        <v>5695.2</v>
      </c>
      <c r="F98" s="105">
        <v>6</v>
      </c>
      <c r="G98" s="105">
        <v>4881.6000000000004</v>
      </c>
      <c r="H98" s="105">
        <v>6</v>
      </c>
      <c r="I98" s="105">
        <v>4881.6000000000004</v>
      </c>
      <c r="J98" s="105">
        <v>5</v>
      </c>
      <c r="K98" s="105">
        <v>4068</v>
      </c>
      <c r="L98" s="105">
        <v>7</v>
      </c>
      <c r="M98" s="105">
        <v>5695.2</v>
      </c>
      <c r="N98" s="105">
        <v>6</v>
      </c>
      <c r="O98" s="105">
        <v>4881.6000000000004</v>
      </c>
      <c r="P98" s="105">
        <v>6</v>
      </c>
      <c r="Q98" s="105">
        <v>4881.6000000000004</v>
      </c>
      <c r="R98" s="105">
        <v>7</v>
      </c>
      <c r="S98" s="105">
        <v>5695.2</v>
      </c>
      <c r="T98" s="105">
        <v>6</v>
      </c>
      <c r="U98" s="105">
        <v>4881.6000000000004</v>
      </c>
      <c r="V98" s="105">
        <v>6</v>
      </c>
      <c r="W98" s="105">
        <v>4881.6000000000004</v>
      </c>
      <c r="X98" s="105">
        <v>7</v>
      </c>
      <c r="Y98" s="105">
        <v>5695.2</v>
      </c>
      <c r="Z98" s="105">
        <v>5</v>
      </c>
      <c r="AA98" s="105">
        <v>4068</v>
      </c>
      <c r="AB98" s="105">
        <v>6</v>
      </c>
      <c r="AC98" s="105">
        <v>4881.6000000000004</v>
      </c>
      <c r="AD98" s="105">
        <v>6</v>
      </c>
      <c r="AE98" s="105">
        <v>4881.6000000000004</v>
      </c>
      <c r="AF98" s="105">
        <v>4</v>
      </c>
      <c r="AG98" s="105">
        <v>3254.4</v>
      </c>
      <c r="AH98" s="105">
        <v>4</v>
      </c>
      <c r="AI98" s="105">
        <v>3254.4</v>
      </c>
      <c r="AJ98" s="105">
        <v>4</v>
      </c>
      <c r="AK98" s="105">
        <v>3254.4</v>
      </c>
      <c r="AL98" s="105">
        <v>4</v>
      </c>
      <c r="AM98" s="105">
        <v>3254.4</v>
      </c>
      <c r="AN98" s="105">
        <v>4</v>
      </c>
      <c r="AO98" s="105">
        <v>3254.4</v>
      </c>
      <c r="AP98" s="105">
        <v>7</v>
      </c>
      <c r="AQ98" s="105">
        <v>5695.2</v>
      </c>
      <c r="AR98" s="105">
        <v>4</v>
      </c>
      <c r="AS98" s="105">
        <v>3254.4</v>
      </c>
      <c r="AT98" s="105">
        <v>4</v>
      </c>
      <c r="AU98" s="105">
        <v>3254.4</v>
      </c>
      <c r="AV98" s="105">
        <v>6</v>
      </c>
      <c r="AW98" s="105">
        <v>4881.6000000000004</v>
      </c>
      <c r="AX98" s="105">
        <v>4</v>
      </c>
      <c r="AY98" s="105">
        <v>3254.4</v>
      </c>
      <c r="AZ98" s="105">
        <v>4</v>
      </c>
      <c r="BA98" s="105">
        <v>3254.4</v>
      </c>
      <c r="BB98" s="105">
        <v>4</v>
      </c>
      <c r="BC98" s="105">
        <v>3254.4</v>
      </c>
      <c r="BD98" s="105">
        <v>6</v>
      </c>
      <c r="BE98" s="105">
        <v>4881.6000000000004</v>
      </c>
      <c r="BF98" s="105">
        <v>6</v>
      </c>
      <c r="BG98" s="105">
        <v>4881.6000000000004</v>
      </c>
      <c r="BH98" s="105">
        <v>7</v>
      </c>
      <c r="BI98" s="105">
        <v>5695.2</v>
      </c>
      <c r="BJ98" s="105">
        <v>4</v>
      </c>
      <c r="BK98" s="105">
        <v>3254.4</v>
      </c>
      <c r="BL98" s="105">
        <v>7</v>
      </c>
      <c r="BM98" s="105">
        <v>5695.2</v>
      </c>
      <c r="BN98" s="105">
        <v>6</v>
      </c>
      <c r="BO98" s="105">
        <v>4881.6000000000004</v>
      </c>
      <c r="BP98" s="105">
        <v>4</v>
      </c>
      <c r="BQ98" s="105">
        <v>3254.4</v>
      </c>
      <c r="BR98" s="105">
        <v>6</v>
      </c>
      <c r="BS98" s="105">
        <v>4881.6000000000004</v>
      </c>
      <c r="BT98" s="105">
        <v>7</v>
      </c>
      <c r="BU98" s="105">
        <v>5695.2</v>
      </c>
      <c r="BV98" s="105">
        <v>5</v>
      </c>
      <c r="BW98" s="105">
        <v>4068</v>
      </c>
      <c r="BX98" s="105">
        <v>5</v>
      </c>
      <c r="BY98" s="105">
        <v>4068</v>
      </c>
      <c r="BZ98" s="105">
        <v>4</v>
      </c>
      <c r="CA98" s="105">
        <v>3254.4</v>
      </c>
      <c r="CB98" s="105">
        <v>4</v>
      </c>
      <c r="CC98" s="105">
        <v>3254.4</v>
      </c>
      <c r="CD98" s="105">
        <v>5</v>
      </c>
      <c r="CE98" s="105">
        <v>4068</v>
      </c>
      <c r="CF98" s="105">
        <v>5</v>
      </c>
      <c r="CG98" s="105">
        <v>4068</v>
      </c>
      <c r="CH98" s="105">
        <v>6</v>
      </c>
      <c r="CI98" s="105">
        <v>4881.6000000000004</v>
      </c>
      <c r="CJ98" s="105">
        <v>7</v>
      </c>
      <c r="CK98" s="105">
        <v>5695.2</v>
      </c>
      <c r="CL98" s="105">
        <v>4</v>
      </c>
      <c r="CM98" s="105">
        <v>3254.4</v>
      </c>
      <c r="CN98" s="105">
        <v>4</v>
      </c>
      <c r="CO98" s="105">
        <v>3254.4</v>
      </c>
      <c r="CP98" s="105">
        <v>4</v>
      </c>
      <c r="CQ98" s="105">
        <v>3254.4</v>
      </c>
      <c r="CR98" s="105">
        <v>4</v>
      </c>
      <c r="CS98" s="105">
        <v>3254.4</v>
      </c>
      <c r="CT98" s="105">
        <v>5</v>
      </c>
      <c r="CU98" s="105">
        <v>4068</v>
      </c>
    </row>
    <row r="99" spans="2:99" x14ac:dyDescent="0.2">
      <c r="C99" s="104" t="s">
        <v>265</v>
      </c>
      <c r="D99" s="105">
        <v>5</v>
      </c>
      <c r="E99" s="105">
        <v>19416</v>
      </c>
      <c r="F99" s="105">
        <v>6</v>
      </c>
      <c r="G99" s="105">
        <v>23299.199999999997</v>
      </c>
      <c r="H99" s="105">
        <v>5</v>
      </c>
      <c r="I99" s="105">
        <v>19416</v>
      </c>
      <c r="J99" s="105">
        <v>4</v>
      </c>
      <c r="K99" s="105">
        <v>15532.8</v>
      </c>
      <c r="L99" s="105">
        <v>5</v>
      </c>
      <c r="M99" s="105">
        <v>19416</v>
      </c>
      <c r="N99" s="105">
        <v>5</v>
      </c>
      <c r="O99" s="105">
        <v>19416</v>
      </c>
      <c r="P99" s="105">
        <v>5</v>
      </c>
      <c r="Q99" s="105">
        <v>19416</v>
      </c>
      <c r="R99" s="105">
        <v>5</v>
      </c>
      <c r="S99" s="105">
        <v>19416</v>
      </c>
      <c r="T99" s="105">
        <v>5</v>
      </c>
      <c r="U99" s="105">
        <v>19416</v>
      </c>
      <c r="V99" s="105">
        <v>5</v>
      </c>
      <c r="W99" s="105">
        <v>19416</v>
      </c>
      <c r="X99" s="105">
        <v>6</v>
      </c>
      <c r="Y99" s="105">
        <v>23299.199999999997</v>
      </c>
      <c r="Z99" s="105">
        <v>4</v>
      </c>
      <c r="AA99" s="105">
        <v>15532.8</v>
      </c>
      <c r="AB99" s="105">
        <v>5</v>
      </c>
      <c r="AC99" s="105">
        <v>19416</v>
      </c>
      <c r="AD99" s="105">
        <v>5</v>
      </c>
      <c r="AE99" s="105">
        <v>19416</v>
      </c>
      <c r="AF99" s="105">
        <v>3</v>
      </c>
      <c r="AG99" s="105">
        <v>11649.599999999999</v>
      </c>
      <c r="AH99" s="105">
        <v>4</v>
      </c>
      <c r="AI99" s="105">
        <v>15532.8</v>
      </c>
      <c r="AJ99" s="105">
        <v>4</v>
      </c>
      <c r="AK99" s="105">
        <v>15532.8</v>
      </c>
      <c r="AL99" s="105">
        <v>4</v>
      </c>
      <c r="AM99" s="105">
        <v>15532.8</v>
      </c>
      <c r="AN99" s="105">
        <v>3</v>
      </c>
      <c r="AO99" s="105">
        <v>11649.599999999999</v>
      </c>
      <c r="AP99" s="105">
        <v>5</v>
      </c>
      <c r="AQ99" s="105">
        <v>19416</v>
      </c>
      <c r="AR99" s="105">
        <v>4</v>
      </c>
      <c r="AS99" s="105">
        <v>15532.8</v>
      </c>
      <c r="AT99" s="105">
        <v>3</v>
      </c>
      <c r="AU99" s="105">
        <v>11649.599999999999</v>
      </c>
      <c r="AV99" s="105">
        <v>5</v>
      </c>
      <c r="AW99" s="105">
        <v>19416</v>
      </c>
      <c r="AX99" s="105">
        <v>4</v>
      </c>
      <c r="AY99" s="105">
        <v>15532.8</v>
      </c>
      <c r="AZ99" s="105">
        <v>3</v>
      </c>
      <c r="BA99" s="105">
        <v>11649.599999999999</v>
      </c>
      <c r="BB99" s="105">
        <v>3</v>
      </c>
      <c r="BC99" s="105">
        <v>11649.599999999999</v>
      </c>
      <c r="BD99" s="105">
        <v>6</v>
      </c>
      <c r="BE99" s="105">
        <v>23299.199999999997</v>
      </c>
      <c r="BF99" s="105">
        <v>5</v>
      </c>
      <c r="BG99" s="105">
        <v>19416</v>
      </c>
      <c r="BH99" s="105">
        <v>6</v>
      </c>
      <c r="BI99" s="105">
        <v>23299.199999999997</v>
      </c>
      <c r="BJ99" s="105">
        <v>4</v>
      </c>
      <c r="BK99" s="105">
        <v>15532.8</v>
      </c>
      <c r="BL99" s="105">
        <v>6</v>
      </c>
      <c r="BM99" s="105">
        <v>23299.199999999997</v>
      </c>
      <c r="BN99" s="105">
        <v>5</v>
      </c>
      <c r="BO99" s="105">
        <v>19416</v>
      </c>
      <c r="BP99" s="105">
        <v>3</v>
      </c>
      <c r="BQ99" s="105">
        <v>11649.599999999999</v>
      </c>
      <c r="BR99" s="105">
        <v>5</v>
      </c>
      <c r="BS99" s="105">
        <v>19416</v>
      </c>
      <c r="BT99" s="105">
        <v>5</v>
      </c>
      <c r="BU99" s="105">
        <v>19416</v>
      </c>
      <c r="BV99" s="105">
        <v>4</v>
      </c>
      <c r="BW99" s="105">
        <v>15532.8</v>
      </c>
      <c r="BX99" s="105">
        <v>4</v>
      </c>
      <c r="BY99" s="105">
        <v>15532.8</v>
      </c>
      <c r="BZ99" s="105">
        <v>3</v>
      </c>
      <c r="CA99" s="105">
        <v>11649.599999999999</v>
      </c>
      <c r="CB99" s="105">
        <v>4</v>
      </c>
      <c r="CC99" s="105">
        <v>15532.8</v>
      </c>
      <c r="CD99" s="105">
        <v>5</v>
      </c>
      <c r="CE99" s="105">
        <v>19416</v>
      </c>
      <c r="CF99" s="105">
        <v>4</v>
      </c>
      <c r="CG99" s="105">
        <v>15532.8</v>
      </c>
      <c r="CH99" s="105">
        <v>5</v>
      </c>
      <c r="CI99" s="105">
        <v>19416</v>
      </c>
      <c r="CJ99" s="105">
        <v>6</v>
      </c>
      <c r="CK99" s="105">
        <v>23299.199999999997</v>
      </c>
      <c r="CL99" s="105">
        <v>4</v>
      </c>
      <c r="CM99" s="105">
        <v>15532.8</v>
      </c>
      <c r="CN99" s="105">
        <v>3</v>
      </c>
      <c r="CO99" s="105">
        <v>11649.599999999999</v>
      </c>
      <c r="CP99" s="105">
        <v>3</v>
      </c>
      <c r="CQ99" s="105">
        <v>11649.599999999999</v>
      </c>
      <c r="CR99" s="105">
        <v>4</v>
      </c>
      <c r="CS99" s="105">
        <v>15532.8</v>
      </c>
      <c r="CT99" s="105">
        <v>5</v>
      </c>
      <c r="CU99" s="105">
        <v>19416</v>
      </c>
    </row>
    <row r="100" spans="2:99" x14ac:dyDescent="0.2">
      <c r="C100" s="104" t="s">
        <v>266</v>
      </c>
      <c r="D100" s="105">
        <v>7</v>
      </c>
      <c r="E100" s="105">
        <v>3872.3999999999996</v>
      </c>
      <c r="F100" s="105">
        <v>6</v>
      </c>
      <c r="G100" s="105">
        <v>3319.2</v>
      </c>
      <c r="H100" s="105">
        <v>6</v>
      </c>
      <c r="I100" s="105">
        <v>3319.2</v>
      </c>
      <c r="J100" s="105">
        <v>5</v>
      </c>
      <c r="K100" s="105">
        <v>2765.9999999999995</v>
      </c>
      <c r="L100" s="105">
        <v>6</v>
      </c>
      <c r="M100" s="105">
        <v>3319.2</v>
      </c>
      <c r="N100" s="105">
        <v>6</v>
      </c>
      <c r="O100" s="105">
        <v>3319.2</v>
      </c>
      <c r="P100" s="105">
        <v>6</v>
      </c>
      <c r="Q100" s="105">
        <v>3319.2</v>
      </c>
      <c r="R100" s="105">
        <v>7</v>
      </c>
      <c r="S100" s="105">
        <v>3872.3999999999996</v>
      </c>
      <c r="T100" s="105">
        <v>6</v>
      </c>
      <c r="U100" s="105">
        <v>3319.2</v>
      </c>
      <c r="V100" s="105">
        <v>6</v>
      </c>
      <c r="W100" s="105">
        <v>3319.2</v>
      </c>
      <c r="X100" s="105">
        <v>7</v>
      </c>
      <c r="Y100" s="105">
        <v>3872.3999999999996</v>
      </c>
      <c r="Z100" s="105">
        <v>5</v>
      </c>
      <c r="AA100" s="105">
        <v>2765.9999999999995</v>
      </c>
      <c r="AB100" s="105">
        <v>5</v>
      </c>
      <c r="AC100" s="105">
        <v>2765.9999999999995</v>
      </c>
      <c r="AD100" s="105">
        <v>6</v>
      </c>
      <c r="AE100" s="105">
        <v>3319.2</v>
      </c>
      <c r="AF100" s="105">
        <v>4</v>
      </c>
      <c r="AG100" s="105">
        <v>2212.7999999999997</v>
      </c>
      <c r="AH100" s="105">
        <v>4</v>
      </c>
      <c r="AI100" s="105">
        <v>2212.7999999999997</v>
      </c>
      <c r="AJ100" s="105">
        <v>4</v>
      </c>
      <c r="AK100" s="105">
        <v>2212.7999999999997</v>
      </c>
      <c r="AL100" s="105">
        <v>5</v>
      </c>
      <c r="AM100" s="105">
        <v>2765.9999999999995</v>
      </c>
      <c r="AN100" s="105">
        <v>4</v>
      </c>
      <c r="AO100" s="105">
        <v>2212.7999999999997</v>
      </c>
      <c r="AP100" s="105">
        <v>6</v>
      </c>
      <c r="AQ100" s="105">
        <v>3319.2</v>
      </c>
      <c r="AR100" s="105">
        <v>4</v>
      </c>
      <c r="AS100" s="105">
        <v>2212.7999999999997</v>
      </c>
      <c r="AT100" s="105">
        <v>3</v>
      </c>
      <c r="AU100" s="105">
        <v>1659.6</v>
      </c>
      <c r="AV100" s="105">
        <v>6</v>
      </c>
      <c r="AW100" s="105">
        <v>3319.2</v>
      </c>
      <c r="AX100" s="105">
        <v>4</v>
      </c>
      <c r="AY100" s="105">
        <v>2212.7999999999997</v>
      </c>
      <c r="AZ100" s="105">
        <v>4</v>
      </c>
      <c r="BA100" s="105">
        <v>2212.7999999999997</v>
      </c>
      <c r="BB100" s="105">
        <v>4</v>
      </c>
      <c r="BC100" s="105">
        <v>2212.7999999999997</v>
      </c>
      <c r="BD100" s="105">
        <v>7</v>
      </c>
      <c r="BE100" s="105">
        <v>3872.3999999999996</v>
      </c>
      <c r="BF100" s="105">
        <v>6</v>
      </c>
      <c r="BG100" s="105">
        <v>3319.2</v>
      </c>
      <c r="BH100" s="105">
        <v>7</v>
      </c>
      <c r="BI100" s="105">
        <v>3872.3999999999996</v>
      </c>
      <c r="BJ100" s="105">
        <v>5</v>
      </c>
      <c r="BK100" s="105">
        <v>2765.9999999999995</v>
      </c>
      <c r="BL100" s="105">
        <v>7</v>
      </c>
      <c r="BM100" s="105">
        <v>3872.3999999999996</v>
      </c>
      <c r="BN100" s="105">
        <v>6</v>
      </c>
      <c r="BO100" s="105">
        <v>3319.2</v>
      </c>
      <c r="BP100" s="105">
        <v>4</v>
      </c>
      <c r="BQ100" s="105">
        <v>2212.7999999999997</v>
      </c>
      <c r="BR100" s="105">
        <v>6</v>
      </c>
      <c r="BS100" s="105">
        <v>3319.2</v>
      </c>
      <c r="BT100" s="105">
        <v>7</v>
      </c>
      <c r="BU100" s="105">
        <v>3872.3999999999996</v>
      </c>
      <c r="BV100" s="105">
        <v>5</v>
      </c>
      <c r="BW100" s="105">
        <v>2765.9999999999995</v>
      </c>
      <c r="BX100" s="105">
        <v>4</v>
      </c>
      <c r="BY100" s="105">
        <v>2212.7999999999997</v>
      </c>
      <c r="BZ100" s="105">
        <v>4</v>
      </c>
      <c r="CA100" s="105">
        <v>2212.7999999999997</v>
      </c>
      <c r="CB100" s="105">
        <v>5</v>
      </c>
      <c r="CC100" s="105">
        <v>2765.9999999999995</v>
      </c>
      <c r="CD100" s="105">
        <v>6</v>
      </c>
      <c r="CE100" s="105">
        <v>3319.2</v>
      </c>
      <c r="CF100" s="105">
        <v>6</v>
      </c>
      <c r="CG100" s="105">
        <v>3319.2</v>
      </c>
      <c r="CH100" s="105">
        <v>6</v>
      </c>
      <c r="CI100" s="105">
        <v>3319.2</v>
      </c>
      <c r="CJ100" s="105">
        <v>7</v>
      </c>
      <c r="CK100" s="105">
        <v>3872.3999999999996</v>
      </c>
      <c r="CL100" s="105">
        <v>4</v>
      </c>
      <c r="CM100" s="105">
        <v>2212.7999999999997</v>
      </c>
      <c r="CN100" s="105">
        <v>4</v>
      </c>
      <c r="CO100" s="105">
        <v>2212.7999999999997</v>
      </c>
      <c r="CP100" s="105">
        <v>4</v>
      </c>
      <c r="CQ100" s="105">
        <v>2212.7999999999997</v>
      </c>
      <c r="CR100" s="105">
        <v>4</v>
      </c>
      <c r="CS100" s="105">
        <v>2212.7999999999997</v>
      </c>
      <c r="CT100" s="105">
        <v>6</v>
      </c>
      <c r="CU100" s="105">
        <v>3319.2</v>
      </c>
    </row>
    <row r="101" spans="2:99" x14ac:dyDescent="0.2">
      <c r="C101" s="104" t="s">
        <v>267</v>
      </c>
      <c r="D101" s="105">
        <v>4.8371173579073474</v>
      </c>
      <c r="E101" s="105">
        <v>4121.2239889370603</v>
      </c>
      <c r="F101" s="105">
        <v>5.6737546221672925</v>
      </c>
      <c r="G101" s="105">
        <v>4834.0389380865336</v>
      </c>
      <c r="H101" s="105">
        <v>4.7016694631057216</v>
      </c>
      <c r="I101" s="105">
        <v>4005.8223825660748</v>
      </c>
      <c r="J101" s="105">
        <v>3.6658078951270192</v>
      </c>
      <c r="K101" s="105">
        <v>3123.2683266482204</v>
      </c>
      <c r="L101" s="105">
        <v>4.4596381903997555</v>
      </c>
      <c r="M101" s="105">
        <v>3799.6117382205916</v>
      </c>
      <c r="N101" s="105">
        <v>4.0279186556490938</v>
      </c>
      <c r="O101" s="105">
        <v>3431.786694613028</v>
      </c>
      <c r="P101" s="105">
        <v>3.9987750314794841</v>
      </c>
      <c r="Q101" s="105">
        <v>3406.9563268205206</v>
      </c>
      <c r="R101" s="105">
        <v>3.5303909761539938</v>
      </c>
      <c r="S101" s="105">
        <v>3007.8931116832027</v>
      </c>
      <c r="T101" s="105">
        <v>4.16900981022241</v>
      </c>
      <c r="U101" s="105">
        <v>3551.9963583094932</v>
      </c>
      <c r="V101" s="105">
        <v>4.2516910155378795</v>
      </c>
      <c r="W101" s="105">
        <v>3622.4407452382734</v>
      </c>
      <c r="X101" s="105">
        <v>4.5531761319637329</v>
      </c>
      <c r="Y101" s="105">
        <v>3879.3060644331003</v>
      </c>
      <c r="Z101" s="105">
        <v>3.2224541525872938</v>
      </c>
      <c r="AA101" s="105">
        <v>2745.5309380043745</v>
      </c>
      <c r="AB101" s="105">
        <v>3.8500371483950251</v>
      </c>
      <c r="AC101" s="105">
        <v>3280.2316504325613</v>
      </c>
      <c r="AD101" s="105">
        <v>4.5061842263574174</v>
      </c>
      <c r="AE101" s="105">
        <v>3839.2689608565197</v>
      </c>
      <c r="AF101" s="105">
        <v>3.6896354939915201</v>
      </c>
      <c r="AG101" s="105">
        <v>3143.5694408807753</v>
      </c>
      <c r="AH101" s="105">
        <v>2.6005337615360631</v>
      </c>
      <c r="AI101" s="105">
        <v>2215.6547648287255</v>
      </c>
      <c r="AJ101" s="105">
        <v>2.9504514288766597</v>
      </c>
      <c r="AK101" s="105">
        <v>2513.7846174029141</v>
      </c>
      <c r="AL101" s="105">
        <v>3.1622064360607132</v>
      </c>
      <c r="AM101" s="105">
        <v>2694.1998835237277</v>
      </c>
      <c r="AN101" s="105">
        <v>3.4784270796667847</v>
      </c>
      <c r="AO101" s="105">
        <v>2963.6198718761007</v>
      </c>
      <c r="AP101" s="105">
        <v>4.1435173919738464</v>
      </c>
      <c r="AQ101" s="105">
        <v>3530.2768179617169</v>
      </c>
      <c r="AR101" s="105">
        <v>5</v>
      </c>
      <c r="AS101" s="105">
        <v>4260</v>
      </c>
      <c r="AT101" s="105">
        <v>2.4679040891381137</v>
      </c>
      <c r="AU101" s="105">
        <v>2102.6542839456729</v>
      </c>
      <c r="AV101" s="105">
        <v>3.4272613533870753</v>
      </c>
      <c r="AW101" s="105">
        <v>2920.0266730857879</v>
      </c>
      <c r="AX101" s="105">
        <v>3.2673531751726879</v>
      </c>
      <c r="AY101" s="105">
        <v>2783.7849052471302</v>
      </c>
      <c r="AZ101" s="105">
        <v>3.0402998823545775</v>
      </c>
      <c r="BA101" s="105">
        <v>2590.3354997660999</v>
      </c>
      <c r="BB101" s="105">
        <v>2.4661839835358967</v>
      </c>
      <c r="BC101" s="105">
        <v>2101.188753972584</v>
      </c>
      <c r="BD101" s="105">
        <v>4.2393158486648925</v>
      </c>
      <c r="BE101" s="105">
        <v>3611.8971030624884</v>
      </c>
      <c r="BF101" s="105">
        <v>4.2196530058774115</v>
      </c>
      <c r="BG101" s="105">
        <v>3595.1443610075548</v>
      </c>
      <c r="BH101" s="105">
        <v>6.0847845967077205</v>
      </c>
      <c r="BI101" s="105">
        <v>5184.2364763949781</v>
      </c>
      <c r="BJ101" s="105">
        <v>3.8681446982285141</v>
      </c>
      <c r="BK101" s="105">
        <v>3295.6592828906942</v>
      </c>
      <c r="BL101" s="105">
        <v>5.4766473630605192</v>
      </c>
      <c r="BM101" s="105">
        <v>4666.1035533275626</v>
      </c>
      <c r="BN101" s="105">
        <v>3.6164661874609778</v>
      </c>
      <c r="BO101" s="105">
        <v>3081.2291917167531</v>
      </c>
      <c r="BP101" s="105">
        <v>2.8030996733468418</v>
      </c>
      <c r="BQ101" s="105">
        <v>2388.2409216915094</v>
      </c>
      <c r="BR101" s="105">
        <v>3.6002211084172391</v>
      </c>
      <c r="BS101" s="105">
        <v>3067.3883843714875</v>
      </c>
      <c r="BT101" s="105">
        <v>5.140684585200078</v>
      </c>
      <c r="BU101" s="105">
        <v>4379.8632665904661</v>
      </c>
      <c r="BV101" s="105">
        <v>2.9468365599426432</v>
      </c>
      <c r="BW101" s="105">
        <v>2510.704749071132</v>
      </c>
      <c r="BX101" s="105">
        <v>2.8707743266427297</v>
      </c>
      <c r="BY101" s="105">
        <v>2445.8997262996058</v>
      </c>
      <c r="BZ101" s="105">
        <v>3.1450786100642079</v>
      </c>
      <c r="CA101" s="105">
        <v>2679.606975774705</v>
      </c>
      <c r="CB101" s="105">
        <v>3.1586881650466756</v>
      </c>
      <c r="CC101" s="105">
        <v>2691.2023166197678</v>
      </c>
      <c r="CD101" s="105">
        <v>3.5446456965012927</v>
      </c>
      <c r="CE101" s="105">
        <v>3020.0381334191015</v>
      </c>
      <c r="CF101" s="105">
        <v>4.5256549375474568</v>
      </c>
      <c r="CG101" s="105">
        <v>3855.8580067904331</v>
      </c>
      <c r="CH101" s="105">
        <v>3.0803460050653695</v>
      </c>
      <c r="CI101" s="105">
        <v>2624.4547963156947</v>
      </c>
      <c r="CJ101" s="105">
        <v>4.1321983976974508</v>
      </c>
      <c r="CK101" s="105">
        <v>3520.633034838228</v>
      </c>
      <c r="CL101" s="105">
        <v>3.5926714215950759</v>
      </c>
      <c r="CM101" s="105">
        <v>3060.9560511990048</v>
      </c>
      <c r="CN101" s="105">
        <v>2.9731113270427918</v>
      </c>
      <c r="CO101" s="105">
        <v>2533.0908506404585</v>
      </c>
      <c r="CP101" s="105">
        <v>3.0582748456693287</v>
      </c>
      <c r="CQ101" s="105">
        <v>2605.650168510268</v>
      </c>
      <c r="CR101" s="105">
        <v>2.7551554399996347</v>
      </c>
      <c r="CS101" s="105">
        <v>2347.3924348796886</v>
      </c>
      <c r="CT101" s="105">
        <v>2.8812139533552901</v>
      </c>
      <c r="CU101" s="105">
        <v>2454.7942882587072</v>
      </c>
    </row>
    <row r="102" spans="2:99" x14ac:dyDescent="0.2">
      <c r="C102" s="104" t="s">
        <v>268</v>
      </c>
      <c r="D102" s="105">
        <v>7</v>
      </c>
      <c r="E102" s="105">
        <v>428.4</v>
      </c>
      <c r="F102" s="105">
        <v>7</v>
      </c>
      <c r="G102" s="105">
        <v>428.4</v>
      </c>
      <c r="H102" s="105">
        <v>6</v>
      </c>
      <c r="I102" s="105">
        <v>367.2</v>
      </c>
      <c r="J102" s="105">
        <v>5</v>
      </c>
      <c r="K102" s="105">
        <v>306</v>
      </c>
      <c r="L102" s="105">
        <v>7</v>
      </c>
      <c r="M102" s="105">
        <v>428.4</v>
      </c>
      <c r="N102" s="105">
        <v>6</v>
      </c>
      <c r="O102" s="105">
        <v>367.2</v>
      </c>
      <c r="P102" s="105">
        <v>6</v>
      </c>
      <c r="Q102" s="105">
        <v>367.2</v>
      </c>
      <c r="R102" s="105">
        <v>6</v>
      </c>
      <c r="S102" s="105">
        <v>367.2</v>
      </c>
      <c r="T102" s="105">
        <v>7</v>
      </c>
      <c r="U102" s="105">
        <v>428.4</v>
      </c>
      <c r="V102" s="105">
        <v>6</v>
      </c>
      <c r="W102" s="105">
        <v>367.2</v>
      </c>
      <c r="X102" s="105">
        <v>7</v>
      </c>
      <c r="Y102" s="105">
        <v>428.4</v>
      </c>
      <c r="Z102" s="105">
        <v>5</v>
      </c>
      <c r="AA102" s="105">
        <v>306</v>
      </c>
      <c r="AB102" s="105">
        <v>6</v>
      </c>
      <c r="AC102" s="105">
        <v>367.2</v>
      </c>
      <c r="AD102" s="105">
        <v>7</v>
      </c>
      <c r="AE102" s="105">
        <v>428.4</v>
      </c>
      <c r="AF102" s="105">
        <v>4</v>
      </c>
      <c r="AG102" s="105">
        <v>244.79999999999998</v>
      </c>
      <c r="AH102" s="105">
        <v>4</v>
      </c>
      <c r="AI102" s="105">
        <v>244.79999999999998</v>
      </c>
      <c r="AJ102" s="105">
        <v>4</v>
      </c>
      <c r="AK102" s="105">
        <v>244.79999999999998</v>
      </c>
      <c r="AL102" s="105">
        <v>4.0047734542532156</v>
      </c>
      <c r="AM102" s="105">
        <v>245.09213540029677</v>
      </c>
      <c r="AN102" s="105">
        <v>4</v>
      </c>
      <c r="AO102" s="105">
        <v>244.79999999999998</v>
      </c>
      <c r="AP102" s="105">
        <v>7</v>
      </c>
      <c r="AQ102" s="105">
        <v>428.4</v>
      </c>
      <c r="AR102" s="105">
        <v>4</v>
      </c>
      <c r="AS102" s="105">
        <v>244.79999999999998</v>
      </c>
      <c r="AT102" s="105">
        <v>4</v>
      </c>
      <c r="AU102" s="105">
        <v>244.79999999999998</v>
      </c>
      <c r="AV102" s="105">
        <v>7</v>
      </c>
      <c r="AW102" s="105">
        <v>428.4</v>
      </c>
      <c r="AX102" s="105">
        <v>4</v>
      </c>
      <c r="AY102" s="105">
        <v>244.79999999999998</v>
      </c>
      <c r="AZ102" s="105">
        <v>4</v>
      </c>
      <c r="BA102" s="105">
        <v>244.79999999999998</v>
      </c>
      <c r="BB102" s="105">
        <v>4</v>
      </c>
      <c r="BC102" s="105">
        <v>244.79999999999998</v>
      </c>
      <c r="BD102" s="105">
        <v>7</v>
      </c>
      <c r="BE102" s="105">
        <v>428.4</v>
      </c>
      <c r="BF102" s="105">
        <v>6</v>
      </c>
      <c r="BG102" s="105">
        <v>367.2</v>
      </c>
      <c r="BH102" s="105">
        <v>6.0054266006797059</v>
      </c>
      <c r="BI102" s="105">
        <v>367.532107961598</v>
      </c>
      <c r="BJ102" s="105">
        <v>5</v>
      </c>
      <c r="BK102" s="105">
        <v>306</v>
      </c>
      <c r="BL102" s="105">
        <v>7</v>
      </c>
      <c r="BM102" s="105">
        <v>428.4</v>
      </c>
      <c r="BN102" s="105">
        <v>6</v>
      </c>
      <c r="BO102" s="105">
        <v>367.2</v>
      </c>
      <c r="BP102" s="105">
        <v>4</v>
      </c>
      <c r="BQ102" s="105">
        <v>244.79999999999998</v>
      </c>
      <c r="BR102" s="105">
        <v>6</v>
      </c>
      <c r="BS102" s="105">
        <v>367.2</v>
      </c>
      <c r="BT102" s="105">
        <v>6</v>
      </c>
      <c r="BU102" s="105">
        <v>367.2</v>
      </c>
      <c r="BV102" s="105">
        <v>4</v>
      </c>
      <c r="BW102" s="105">
        <v>244.79999999999998</v>
      </c>
      <c r="BX102" s="105">
        <v>5</v>
      </c>
      <c r="BY102" s="105">
        <v>306</v>
      </c>
      <c r="BZ102" s="105">
        <v>4</v>
      </c>
      <c r="CA102" s="105">
        <v>244.79999999999998</v>
      </c>
      <c r="CB102" s="105">
        <v>4</v>
      </c>
      <c r="CC102" s="105">
        <v>244.79999999999998</v>
      </c>
      <c r="CD102" s="105">
        <v>6</v>
      </c>
      <c r="CE102" s="105">
        <v>367.2</v>
      </c>
      <c r="CF102" s="105">
        <v>5</v>
      </c>
      <c r="CG102" s="105">
        <v>306</v>
      </c>
      <c r="CH102" s="105">
        <v>5</v>
      </c>
      <c r="CI102" s="105">
        <v>306</v>
      </c>
      <c r="CJ102" s="105">
        <v>7</v>
      </c>
      <c r="CK102" s="105">
        <v>428.4</v>
      </c>
      <c r="CL102" s="105">
        <v>4</v>
      </c>
      <c r="CM102" s="105">
        <v>244.79999999999998</v>
      </c>
      <c r="CN102" s="105">
        <v>4</v>
      </c>
      <c r="CO102" s="105">
        <v>244.79999999999998</v>
      </c>
      <c r="CP102" s="105">
        <v>4</v>
      </c>
      <c r="CQ102" s="105">
        <v>244.79999999999998</v>
      </c>
      <c r="CR102" s="105">
        <v>4</v>
      </c>
      <c r="CS102" s="105">
        <v>244.79999999999998</v>
      </c>
      <c r="CT102" s="105">
        <v>6</v>
      </c>
      <c r="CU102" s="105">
        <v>367.2</v>
      </c>
    </row>
    <row r="103" spans="2:99" x14ac:dyDescent="0.2">
      <c r="C103" s="104" t="s">
        <v>269</v>
      </c>
      <c r="D103" s="105">
        <v>8</v>
      </c>
      <c r="E103" s="105">
        <v>998.4</v>
      </c>
      <c r="F103" s="105">
        <v>7</v>
      </c>
      <c r="G103" s="105">
        <v>873.6</v>
      </c>
      <c r="H103" s="105">
        <v>6</v>
      </c>
      <c r="I103" s="105">
        <v>748.8</v>
      </c>
      <c r="J103" s="105">
        <v>5</v>
      </c>
      <c r="K103" s="105">
        <v>624</v>
      </c>
      <c r="L103" s="105">
        <v>7</v>
      </c>
      <c r="M103" s="105">
        <v>873.6</v>
      </c>
      <c r="N103" s="105">
        <v>6</v>
      </c>
      <c r="O103" s="105">
        <v>748.8</v>
      </c>
      <c r="P103" s="105">
        <v>6</v>
      </c>
      <c r="Q103" s="105">
        <v>748.8</v>
      </c>
      <c r="R103" s="105">
        <v>6</v>
      </c>
      <c r="S103" s="105">
        <v>748.8</v>
      </c>
      <c r="T103" s="105">
        <v>6</v>
      </c>
      <c r="U103" s="105">
        <v>748.8</v>
      </c>
      <c r="V103" s="105">
        <v>6</v>
      </c>
      <c r="W103" s="105">
        <v>748.8</v>
      </c>
      <c r="X103" s="105">
        <v>7</v>
      </c>
      <c r="Y103" s="105">
        <v>873.6</v>
      </c>
      <c r="Z103" s="105">
        <v>4</v>
      </c>
      <c r="AA103" s="105">
        <v>499.2</v>
      </c>
      <c r="AB103" s="105">
        <v>6</v>
      </c>
      <c r="AC103" s="105">
        <v>748.8</v>
      </c>
      <c r="AD103" s="105">
        <v>6</v>
      </c>
      <c r="AE103" s="105">
        <v>748.8</v>
      </c>
      <c r="AF103" s="105">
        <v>4</v>
      </c>
      <c r="AG103" s="105">
        <v>499.2</v>
      </c>
      <c r="AH103" s="105">
        <v>4</v>
      </c>
      <c r="AI103" s="105">
        <v>499.2</v>
      </c>
      <c r="AJ103" s="105">
        <v>4</v>
      </c>
      <c r="AK103" s="105">
        <v>499.2</v>
      </c>
      <c r="AL103" s="105">
        <v>5.0045347815405545</v>
      </c>
      <c r="AM103" s="105">
        <v>624.56594073626115</v>
      </c>
      <c r="AN103" s="105">
        <v>4</v>
      </c>
      <c r="AO103" s="105">
        <v>499.2</v>
      </c>
      <c r="AP103" s="105">
        <v>6</v>
      </c>
      <c r="AQ103" s="105">
        <v>748.8</v>
      </c>
      <c r="AR103" s="105">
        <v>5</v>
      </c>
      <c r="AS103" s="105">
        <v>624</v>
      </c>
      <c r="AT103" s="105">
        <v>4</v>
      </c>
      <c r="AU103" s="105">
        <v>499.2</v>
      </c>
      <c r="AV103" s="105">
        <v>6</v>
      </c>
      <c r="AW103" s="105">
        <v>748.8</v>
      </c>
      <c r="AX103" s="105">
        <v>4</v>
      </c>
      <c r="AY103" s="105">
        <v>499.2</v>
      </c>
      <c r="AZ103" s="105">
        <v>4</v>
      </c>
      <c r="BA103" s="105">
        <v>499.2</v>
      </c>
      <c r="BB103" s="105">
        <v>4</v>
      </c>
      <c r="BC103" s="105">
        <v>499.2</v>
      </c>
      <c r="BD103" s="105">
        <v>7</v>
      </c>
      <c r="BE103" s="105">
        <v>873.6</v>
      </c>
      <c r="BF103" s="105">
        <v>7</v>
      </c>
      <c r="BG103" s="105">
        <v>873.6</v>
      </c>
      <c r="BH103" s="105">
        <v>6</v>
      </c>
      <c r="BI103" s="105">
        <v>748.8</v>
      </c>
      <c r="BJ103" s="105">
        <v>4</v>
      </c>
      <c r="BK103" s="105">
        <v>499.2</v>
      </c>
      <c r="BL103" s="105">
        <v>8</v>
      </c>
      <c r="BM103" s="105">
        <v>998.4</v>
      </c>
      <c r="BN103" s="105">
        <v>6</v>
      </c>
      <c r="BO103" s="105">
        <v>748.8</v>
      </c>
      <c r="BP103" s="105">
        <v>4</v>
      </c>
      <c r="BQ103" s="105">
        <v>499.2</v>
      </c>
      <c r="BR103" s="105">
        <v>6</v>
      </c>
      <c r="BS103" s="105">
        <v>748.8</v>
      </c>
      <c r="BT103" s="105">
        <v>7</v>
      </c>
      <c r="BU103" s="105">
        <v>873.6</v>
      </c>
      <c r="BV103" s="105">
        <v>4</v>
      </c>
      <c r="BW103" s="105">
        <v>499.2</v>
      </c>
      <c r="BX103" s="105">
        <v>4</v>
      </c>
      <c r="BY103" s="105">
        <v>499.2</v>
      </c>
      <c r="BZ103" s="105">
        <v>4</v>
      </c>
      <c r="CA103" s="105">
        <v>499.2</v>
      </c>
      <c r="CB103" s="105">
        <v>4</v>
      </c>
      <c r="CC103" s="105">
        <v>499.2</v>
      </c>
      <c r="CD103" s="105">
        <v>6</v>
      </c>
      <c r="CE103" s="105">
        <v>748.8</v>
      </c>
      <c r="CF103" s="105">
        <v>6</v>
      </c>
      <c r="CG103" s="105">
        <v>748.8</v>
      </c>
      <c r="CH103" s="105">
        <v>6</v>
      </c>
      <c r="CI103" s="105">
        <v>748.8</v>
      </c>
      <c r="CJ103" s="105">
        <v>7</v>
      </c>
      <c r="CK103" s="105">
        <v>873.6</v>
      </c>
      <c r="CL103" s="105">
        <v>4</v>
      </c>
      <c r="CM103" s="105">
        <v>499.2</v>
      </c>
      <c r="CN103" s="105">
        <v>4</v>
      </c>
      <c r="CO103" s="105">
        <v>499.2</v>
      </c>
      <c r="CP103" s="105">
        <v>4</v>
      </c>
      <c r="CQ103" s="105">
        <v>499.2</v>
      </c>
      <c r="CR103" s="105">
        <v>4</v>
      </c>
      <c r="CS103" s="105">
        <v>499.2</v>
      </c>
      <c r="CT103" s="105">
        <v>6</v>
      </c>
      <c r="CU103" s="105">
        <v>748.8</v>
      </c>
    </row>
    <row r="104" spans="2:99" x14ac:dyDescent="0.2">
      <c r="C104" s="104" t="s">
        <v>270</v>
      </c>
      <c r="D104" s="105">
        <v>7</v>
      </c>
      <c r="E104" s="105">
        <v>1663.2</v>
      </c>
      <c r="F104" s="105">
        <v>6</v>
      </c>
      <c r="G104" s="105">
        <v>1425.6</v>
      </c>
      <c r="H104" s="105">
        <v>7</v>
      </c>
      <c r="I104" s="105">
        <v>1663.2</v>
      </c>
      <c r="J104" s="105">
        <v>5</v>
      </c>
      <c r="K104" s="105">
        <v>1188</v>
      </c>
      <c r="L104" s="105">
        <v>6</v>
      </c>
      <c r="M104" s="105">
        <v>1425.6</v>
      </c>
      <c r="N104" s="105">
        <v>6</v>
      </c>
      <c r="O104" s="105">
        <v>1425.6</v>
      </c>
      <c r="P104" s="105">
        <v>7</v>
      </c>
      <c r="Q104" s="105">
        <v>1663.2</v>
      </c>
      <c r="R104" s="105">
        <v>6</v>
      </c>
      <c r="S104" s="105">
        <v>1425.6</v>
      </c>
      <c r="T104" s="105">
        <v>7</v>
      </c>
      <c r="U104" s="105">
        <v>1663.2</v>
      </c>
      <c r="V104" s="105">
        <v>6</v>
      </c>
      <c r="W104" s="105">
        <v>1425.6</v>
      </c>
      <c r="X104" s="105">
        <v>7</v>
      </c>
      <c r="Y104" s="105">
        <v>1663.2</v>
      </c>
      <c r="Z104" s="105">
        <v>5</v>
      </c>
      <c r="AA104" s="105">
        <v>1188</v>
      </c>
      <c r="AB104" s="105">
        <v>5</v>
      </c>
      <c r="AC104" s="105">
        <v>1188</v>
      </c>
      <c r="AD104" s="105">
        <v>6</v>
      </c>
      <c r="AE104" s="105">
        <v>1425.6</v>
      </c>
      <c r="AF104" s="105">
        <v>4</v>
      </c>
      <c r="AG104" s="105">
        <v>950.4</v>
      </c>
      <c r="AH104" s="105">
        <v>4</v>
      </c>
      <c r="AI104" s="105">
        <v>950.4</v>
      </c>
      <c r="AJ104" s="105">
        <v>4</v>
      </c>
      <c r="AK104" s="105">
        <v>950.4</v>
      </c>
      <c r="AL104" s="105">
        <v>5</v>
      </c>
      <c r="AM104" s="105">
        <v>1188</v>
      </c>
      <c r="AN104" s="105">
        <v>4</v>
      </c>
      <c r="AO104" s="105">
        <v>950.4</v>
      </c>
      <c r="AP104" s="105">
        <v>7</v>
      </c>
      <c r="AQ104" s="105">
        <v>1663.2</v>
      </c>
      <c r="AR104" s="105">
        <v>5</v>
      </c>
      <c r="AS104" s="105">
        <v>1188</v>
      </c>
      <c r="AT104" s="105">
        <v>4</v>
      </c>
      <c r="AU104" s="105">
        <v>950.4</v>
      </c>
      <c r="AV104" s="105">
        <v>7</v>
      </c>
      <c r="AW104" s="105">
        <v>1663.2</v>
      </c>
      <c r="AX104" s="105">
        <v>5</v>
      </c>
      <c r="AY104" s="105">
        <v>1188</v>
      </c>
      <c r="AZ104" s="105">
        <v>4</v>
      </c>
      <c r="BA104" s="105">
        <v>950.4</v>
      </c>
      <c r="BB104" s="105">
        <v>4</v>
      </c>
      <c r="BC104" s="105">
        <v>950.4</v>
      </c>
      <c r="BD104" s="105">
        <v>7</v>
      </c>
      <c r="BE104" s="105">
        <v>1663.2</v>
      </c>
      <c r="BF104" s="105">
        <v>6</v>
      </c>
      <c r="BG104" s="105">
        <v>1425.6</v>
      </c>
      <c r="BH104" s="105">
        <v>6</v>
      </c>
      <c r="BI104" s="105">
        <v>1425.6</v>
      </c>
      <c r="BJ104" s="105">
        <v>5</v>
      </c>
      <c r="BK104" s="105">
        <v>1188</v>
      </c>
      <c r="BL104" s="105">
        <v>7</v>
      </c>
      <c r="BM104" s="105">
        <v>1663.2</v>
      </c>
      <c r="BN104" s="105">
        <v>6</v>
      </c>
      <c r="BO104" s="105">
        <v>1425.6</v>
      </c>
      <c r="BP104" s="105">
        <v>4</v>
      </c>
      <c r="BQ104" s="105">
        <v>950.4</v>
      </c>
      <c r="BR104" s="105">
        <v>6</v>
      </c>
      <c r="BS104" s="105">
        <v>1425.6</v>
      </c>
      <c r="BT104" s="105">
        <v>6</v>
      </c>
      <c r="BU104" s="105">
        <v>1425.6</v>
      </c>
      <c r="BV104" s="105">
        <v>4</v>
      </c>
      <c r="BW104" s="105">
        <v>950.4</v>
      </c>
      <c r="BX104" s="105">
        <v>5</v>
      </c>
      <c r="BY104" s="105">
        <v>1188</v>
      </c>
      <c r="BZ104" s="105">
        <v>4</v>
      </c>
      <c r="CA104" s="105">
        <v>950.4</v>
      </c>
      <c r="CB104" s="105">
        <v>5</v>
      </c>
      <c r="CC104" s="105">
        <v>1188</v>
      </c>
      <c r="CD104" s="105">
        <v>6</v>
      </c>
      <c r="CE104" s="105">
        <v>1425.6</v>
      </c>
      <c r="CF104" s="105">
        <v>5</v>
      </c>
      <c r="CG104" s="105">
        <v>1188</v>
      </c>
      <c r="CH104" s="105">
        <v>5</v>
      </c>
      <c r="CI104" s="105">
        <v>1188</v>
      </c>
      <c r="CJ104" s="105">
        <v>8</v>
      </c>
      <c r="CK104" s="105">
        <v>1900.8</v>
      </c>
      <c r="CL104" s="105">
        <v>4</v>
      </c>
      <c r="CM104" s="105">
        <v>950.4</v>
      </c>
      <c r="CN104" s="105">
        <v>4</v>
      </c>
      <c r="CO104" s="105">
        <v>950.4</v>
      </c>
      <c r="CP104" s="105">
        <v>4</v>
      </c>
      <c r="CQ104" s="105">
        <v>950.4</v>
      </c>
      <c r="CR104" s="105">
        <v>5</v>
      </c>
      <c r="CS104" s="105">
        <v>1188</v>
      </c>
      <c r="CT104" s="105">
        <v>6</v>
      </c>
      <c r="CU104" s="105">
        <v>1425.6</v>
      </c>
    </row>
    <row r="105" spans="2:99" x14ac:dyDescent="0.2">
      <c r="C105" s="104" t="s">
        <v>271</v>
      </c>
      <c r="D105" s="105">
        <v>7</v>
      </c>
      <c r="E105" s="105">
        <v>1209.5999999999999</v>
      </c>
      <c r="F105" s="105">
        <v>7</v>
      </c>
      <c r="G105" s="105">
        <v>1209.5999999999999</v>
      </c>
      <c r="H105" s="105">
        <v>7</v>
      </c>
      <c r="I105" s="105">
        <v>1209.5999999999999</v>
      </c>
      <c r="J105" s="105">
        <v>5</v>
      </c>
      <c r="K105" s="105">
        <v>863.99999999999989</v>
      </c>
      <c r="L105" s="105">
        <v>7</v>
      </c>
      <c r="M105" s="105">
        <v>1209.5999999999999</v>
      </c>
      <c r="N105" s="105">
        <v>7</v>
      </c>
      <c r="O105" s="105">
        <v>1209.5999999999999</v>
      </c>
      <c r="P105" s="105">
        <v>6</v>
      </c>
      <c r="Q105" s="105">
        <v>1036.8</v>
      </c>
      <c r="R105" s="105">
        <v>7</v>
      </c>
      <c r="S105" s="105">
        <v>1209.5999999999999</v>
      </c>
      <c r="T105" s="105">
        <v>7</v>
      </c>
      <c r="U105" s="105">
        <v>1209.5999999999999</v>
      </c>
      <c r="V105" s="105">
        <v>6</v>
      </c>
      <c r="W105" s="105">
        <v>1036.8</v>
      </c>
      <c r="X105" s="105">
        <v>7</v>
      </c>
      <c r="Y105" s="105">
        <v>1209.5999999999999</v>
      </c>
      <c r="Z105" s="105">
        <v>5</v>
      </c>
      <c r="AA105" s="105">
        <v>863.99999999999989</v>
      </c>
      <c r="AB105" s="105">
        <v>5</v>
      </c>
      <c r="AC105" s="105">
        <v>863.99999999999989</v>
      </c>
      <c r="AD105" s="105">
        <v>7</v>
      </c>
      <c r="AE105" s="105">
        <v>1209.5999999999999</v>
      </c>
      <c r="AF105" s="105">
        <v>4</v>
      </c>
      <c r="AG105" s="105">
        <v>691.19999999999993</v>
      </c>
      <c r="AH105" s="105">
        <v>4</v>
      </c>
      <c r="AI105" s="105">
        <v>691.19999999999993</v>
      </c>
      <c r="AJ105" s="105">
        <v>5</v>
      </c>
      <c r="AK105" s="105">
        <v>863.99999999999989</v>
      </c>
      <c r="AL105" s="105">
        <v>5</v>
      </c>
      <c r="AM105" s="105">
        <v>863.99999999999989</v>
      </c>
      <c r="AN105" s="105">
        <v>4</v>
      </c>
      <c r="AO105" s="105">
        <v>691.19999999999993</v>
      </c>
      <c r="AP105" s="105">
        <v>7</v>
      </c>
      <c r="AQ105" s="105">
        <v>1209.5999999999999</v>
      </c>
      <c r="AR105" s="105">
        <v>5</v>
      </c>
      <c r="AS105" s="105">
        <v>863.99999999999989</v>
      </c>
      <c r="AT105" s="105">
        <v>4</v>
      </c>
      <c r="AU105" s="105">
        <v>691.19999999999993</v>
      </c>
      <c r="AV105" s="105">
        <v>7</v>
      </c>
      <c r="AW105" s="105">
        <v>1209.5999999999999</v>
      </c>
      <c r="AX105" s="105">
        <v>4</v>
      </c>
      <c r="AY105" s="105">
        <v>691.19999999999993</v>
      </c>
      <c r="AZ105" s="105">
        <v>4</v>
      </c>
      <c r="BA105" s="105">
        <v>691.19999999999993</v>
      </c>
      <c r="BB105" s="105">
        <v>4</v>
      </c>
      <c r="BC105" s="105">
        <v>691.19999999999993</v>
      </c>
      <c r="BD105" s="105">
        <v>6</v>
      </c>
      <c r="BE105" s="105">
        <v>1036.8</v>
      </c>
      <c r="BF105" s="105">
        <v>6</v>
      </c>
      <c r="BG105" s="105">
        <v>1036.8</v>
      </c>
      <c r="BH105" s="105">
        <v>7</v>
      </c>
      <c r="BI105" s="105">
        <v>1209.5999999999999</v>
      </c>
      <c r="BJ105" s="105">
        <v>4</v>
      </c>
      <c r="BK105" s="105">
        <v>691.19999999999993</v>
      </c>
      <c r="BL105" s="105">
        <v>7</v>
      </c>
      <c r="BM105" s="105">
        <v>1209.5999999999999</v>
      </c>
      <c r="BN105" s="105">
        <v>6</v>
      </c>
      <c r="BO105" s="105">
        <v>1036.8</v>
      </c>
      <c r="BP105" s="105">
        <v>4</v>
      </c>
      <c r="BQ105" s="105">
        <v>691.19999999999993</v>
      </c>
      <c r="BR105" s="105">
        <v>6</v>
      </c>
      <c r="BS105" s="105">
        <v>1036.8</v>
      </c>
      <c r="BT105" s="105">
        <v>7</v>
      </c>
      <c r="BU105" s="105">
        <v>1209.5999999999999</v>
      </c>
      <c r="BV105" s="105">
        <v>5</v>
      </c>
      <c r="BW105" s="105">
        <v>863.99999999999989</v>
      </c>
      <c r="BX105" s="105">
        <v>4</v>
      </c>
      <c r="BY105" s="105">
        <v>691.19999999999993</v>
      </c>
      <c r="BZ105" s="105">
        <v>4</v>
      </c>
      <c r="CA105" s="105">
        <v>691.19999999999993</v>
      </c>
      <c r="CB105" s="105">
        <v>4</v>
      </c>
      <c r="CC105" s="105">
        <v>691.19999999999993</v>
      </c>
      <c r="CD105" s="105">
        <v>6</v>
      </c>
      <c r="CE105" s="105">
        <v>1036.8</v>
      </c>
      <c r="CF105" s="105">
        <v>6</v>
      </c>
      <c r="CG105" s="105">
        <v>1036.8</v>
      </c>
      <c r="CH105" s="105">
        <v>6</v>
      </c>
      <c r="CI105" s="105">
        <v>1036.8</v>
      </c>
      <c r="CJ105" s="105">
        <v>7</v>
      </c>
      <c r="CK105" s="105">
        <v>1209.5999999999999</v>
      </c>
      <c r="CL105" s="105">
        <v>5</v>
      </c>
      <c r="CM105" s="105">
        <v>863.99999999999989</v>
      </c>
      <c r="CN105" s="105">
        <v>5</v>
      </c>
      <c r="CO105" s="105">
        <v>863.99999999999989</v>
      </c>
      <c r="CP105" s="105">
        <v>4</v>
      </c>
      <c r="CQ105" s="105">
        <v>691.19999999999993</v>
      </c>
      <c r="CR105" s="105">
        <v>5</v>
      </c>
      <c r="CS105" s="105">
        <v>863.99999999999989</v>
      </c>
      <c r="CT105" s="105">
        <v>6</v>
      </c>
      <c r="CU105" s="105">
        <v>1036.8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303</v>
      </c>
      <c r="E109" s="105">
        <f>SUM(L$6:L$19)+SUM(N$6:N$19)+SUM(P$6:P$19)+SUM(R$6:R$19)</f>
        <v>308</v>
      </c>
      <c r="F109" s="105">
        <f>SUM(T$6:T$19)+SUM(V$6:V$19)+SUM(X$6:X$19)+SUM(Z$6:Z$19)</f>
        <v>336</v>
      </c>
      <c r="G109" s="105">
        <f>SUM(AB$6:AB$19)+SUM(AD$6:AD$19)+SUM(AF$6:AF$19)+SUM(AH$6:AH$19)</f>
        <v>334</v>
      </c>
      <c r="H109" s="105">
        <f>SUM(AJ$6:AJ$19)+SUM(AL$6:AL$19)+SUM(AN$6:AN$19)+SUM(AP$6:AP$19)</f>
        <v>321</v>
      </c>
      <c r="I109" s="105">
        <f>SUM(AR$6:AR$19)+SUM(AT$6:AT$19)+SUM(AV$6:AV$19)+SUM(AX$6:AX$19)</f>
        <v>351</v>
      </c>
      <c r="J109" s="105">
        <f>SUM(AZ$6:AZ$19)+SUM(BB$6:BB$19)+SUM(BD$6:BD$19)+SUM(BF$6:BF$19)</f>
        <v>293</v>
      </c>
      <c r="K109" s="105">
        <f>SUM(BH$6:BH$19)+SUM(BJ$6:BJ$19)+SUM(BL$6:BL$19)+SUM(BN$6:BN$19)</f>
        <v>342</v>
      </c>
      <c r="L109" s="105">
        <f>SUM(BP$6:BP$19)+SUM(BR$6:BR$19)+SUM(BT$6:BT$19)+SUM(BV$6:BV$19)</f>
        <v>367</v>
      </c>
      <c r="M109" s="105">
        <f>SUM(BX$6:BX$19)+SUM(BZ$6:BZ$19)+SUM(CB$6:CB$19)+SUM(CD$6:CD$19)</f>
        <v>382</v>
      </c>
      <c r="N109" s="105">
        <f>SUM(CF$6:CF$19)+SUM(CH$6:CH$19)+SUM(CJ$6:CJ$19)+SUM(CL$6:CL$19)</f>
        <v>416</v>
      </c>
      <c r="O109" s="105">
        <f>SUM(CN$6:CN$19)+SUM(CP$6:CP$19)+SUM(CR$6:CR$19)+SUM(CT$6:CT$19)</f>
        <v>320</v>
      </c>
    </row>
    <row r="110" spans="2:99" x14ac:dyDescent="0.2">
      <c r="C110" s="104" t="s">
        <v>127</v>
      </c>
      <c r="D110" s="105">
        <f>SUM(D$20:D$36)+SUM(F$20:F$36)+SUM(H$20:H$36)+SUM(J$20:J$36)</f>
        <v>533</v>
      </c>
      <c r="E110" s="105">
        <f>SUM(L$20:L$36)+SUM(N$20:N$36)+SUM(P$20:P$36)+SUM(R$20:R$36)</f>
        <v>544.48541226536008</v>
      </c>
      <c r="F110" s="105">
        <f>SUM(T$20:T$36)+SUM(V$20:V$36)+SUM(X$20:X$36)+SUM(Z$20:Z$36)</f>
        <v>644.2912700306149</v>
      </c>
      <c r="G110" s="105">
        <f>SUM(AB$20:AB$36)+SUM(AD$20:AD$36)+SUM(AF$20:AF$36)+SUM(AH$20:AH$36)</f>
        <v>559.9818629431652</v>
      </c>
      <c r="H110" s="105">
        <f>SUM(AJ$20:AJ$36)+SUM(AL$20:AL$36)+SUM(AN$20:AN$36)+SUM(AP$20:AP$36)</f>
        <v>550.45158406744338</v>
      </c>
      <c r="I110" s="105">
        <f>SUM(AR$20:AR$36)+SUM(AT$20:AT$36)+SUM(AV$20:AV$36)+SUM(AX$20:AX$36)</f>
        <v>595.97648200582626</v>
      </c>
      <c r="J110" s="105">
        <f>SUM(AZ$20:AZ$36)+SUM(BB$20:BB$36)+SUM(BD$20:BD$36)+SUM(BF$20:BF$36)</f>
        <v>616.04327859194245</v>
      </c>
      <c r="K110" s="105">
        <f>SUM(BH$20:BH$36)+SUM(BJ$20:BJ$36)+SUM(BL$20:BL$36)+SUM(BN$20:BN$36)</f>
        <v>738.51573081661434</v>
      </c>
      <c r="L110" s="105">
        <f>SUM(BP$20:BP$36)+SUM(BR$20:BR$36)+SUM(BT$20:BT$36)+SUM(BV$20:BV$36)</f>
        <v>678.27320357676149</v>
      </c>
      <c r="M110" s="105">
        <f>SUM(BX$20:BX$36)+SUM(BZ$20:BZ$36)+SUM(CB$20:CB$36)+SUM(CD$20:CD$36)</f>
        <v>692.05591931332924</v>
      </c>
      <c r="N110" s="105">
        <f>SUM(CF$20:CF$36)+SUM(CH$20:CH$36)+SUM(CJ$20:CJ$36)+SUM(CL$20:CL$36)</f>
        <v>665.56936166886157</v>
      </c>
      <c r="O110" s="105">
        <f>SUM(CN$20:CN$36)+SUM(CP$20:CP$36)+SUM(CR$20:CR$36)+SUM(CT$20:CT$36)</f>
        <v>802.05156018410253</v>
      </c>
    </row>
    <row r="111" spans="2:99" x14ac:dyDescent="0.2">
      <c r="C111" s="104" t="s">
        <v>128</v>
      </c>
      <c r="D111" s="105">
        <f>SUM(D$37:D$48)+SUM(F$37:F$48)+SUM(H$37:H$48)+SUM(J$37:J$48)</f>
        <v>196</v>
      </c>
      <c r="E111" s="105">
        <f>SUM(L$37:L$48)+SUM(N$37:N$48)+SUM(P$37:P$48)+SUM(R$37:R$48)</f>
        <v>227</v>
      </c>
      <c r="F111" s="105">
        <f>SUM(T$37:T$48)+SUM(V$37:V$48)+SUM(X$37:X$48)+SUM(Z$37:Z$48)</f>
        <v>230</v>
      </c>
      <c r="G111" s="105">
        <f>SUM(AB$37:AB$48)+SUM(AD$37:AD$48)+SUM(AF$37:AF$48)+SUM(AH$37:AH$48)</f>
        <v>246</v>
      </c>
      <c r="H111" s="105">
        <f>SUM(AJ$37:AJ$48)+SUM(AL$37:AL$48)+SUM(AN$37:AN$48)+SUM(AP$37:AP$48)</f>
        <v>230</v>
      </c>
      <c r="I111" s="105">
        <f>SUM(AR$37:AR$48)+SUM(AT$37:AT$48)+SUM(AV$37:AV$48)+SUM(AX$37:AX$48)</f>
        <v>230</v>
      </c>
      <c r="J111" s="105">
        <f>SUM(AZ$37:AZ$48)+SUM(BB$37:BB$48)+SUM(BD$37:BD$48)+SUM(BF$37:BF$48)</f>
        <v>231</v>
      </c>
      <c r="K111" s="105">
        <f>SUM(BH$37:BH$48)+SUM(BJ$37:BJ$48)+SUM(BL$37:BL$48)+SUM(BN$37:BN$48)</f>
        <v>227</v>
      </c>
      <c r="L111" s="105">
        <f>SUM(BP$37:BP$48)+SUM(BR$37:BR$48)+SUM(BT$37:BT$48)+SUM(BV$37:BV$48)</f>
        <v>224</v>
      </c>
      <c r="M111" s="105">
        <f>SUM(BX$37:BX$48)+SUM(BZ$37:BZ$48)+SUM(CB$37:CB$48)+SUM(CD$37:CD$48)</f>
        <v>236</v>
      </c>
      <c r="N111" s="105">
        <f>SUM(CF$37:CF$48)+SUM(CH$37:CH$48)+SUM(CJ$37:CJ$48)+SUM(CL$37:CL$48)</f>
        <v>184</v>
      </c>
      <c r="O111" s="105">
        <f>SUM(CN$37:CN$48)+SUM(CP$37:CP$48)+SUM(CR$37:CR$48)+SUM(CT$37:CT$48)</f>
        <v>205</v>
      </c>
    </row>
    <row r="112" spans="2:99" x14ac:dyDescent="0.2">
      <c r="C112" s="104" t="s">
        <v>129</v>
      </c>
      <c r="D112" s="105">
        <f>SUM(D$49:D$70)+SUM(F$49:F$70)+SUM(H$49:H$70)+SUM(J$49:J$70)</f>
        <v>63.703809426578303</v>
      </c>
      <c r="E112" s="105">
        <f>SUM(L$49:L$70)+SUM(N$49:N$70)+SUM(P$49:P$70)+SUM(R$49:R$70)</f>
        <v>268.04596487678435</v>
      </c>
      <c r="F112" s="105">
        <f>SUM(T$49:T$70)+SUM(V$49:V$70)+SUM(X$49:X$70)+SUM(Z$49:Z$70)</f>
        <v>318.32452363495679</v>
      </c>
      <c r="G112" s="105">
        <f>SUM(AB$49:AB$70)+SUM(AD$49:AD$70)+SUM(AF$49:AF$70)+SUM(AH$49:AH$70)</f>
        <v>329.29093807054653</v>
      </c>
      <c r="H112" s="105">
        <f>SUM(AJ$49:AJ$70)+SUM(AL$49:AL$70)+SUM(AN$49:AN$70)+SUM(AP$49:AP$70)</f>
        <v>313.70780093513326</v>
      </c>
      <c r="I112" s="105">
        <f>SUM(AR$49:AR$70)+SUM(AT$49:AT$70)+SUM(AV$49:AV$70)+SUM(AX$49:AX$70)</f>
        <v>308.05769321669658</v>
      </c>
      <c r="J112" s="105">
        <f>SUM(AZ$49:AZ$70)+SUM(BB$49:BB$70)+SUM(BD$49:BD$70)+SUM(BF$49:BF$70)</f>
        <v>280.77619635875902</v>
      </c>
      <c r="K112" s="105">
        <f>SUM(BH$49:BH$70)+SUM(BJ$49:BJ$70)+SUM(BL$49:BL$70)+SUM(BN$49:BN$70)</f>
        <v>261.56666184188293</v>
      </c>
      <c r="L112" s="105">
        <f>SUM(BP$49:BP$70)+SUM(BR$49:BR$70)+SUM(BT$49:BT$70)+SUM(BV$49:BV$70)</f>
        <v>286.35193677082862</v>
      </c>
      <c r="M112" s="105">
        <f>SUM(BX$49:BX$70)+SUM(BZ$49:BZ$70)+SUM(CB$49:CB$70)+SUM(CD$49:CD$70)</f>
        <v>334.35085677203369</v>
      </c>
      <c r="N112" s="105">
        <f>SUM(CF$49:CF$70)+SUM(CH$49:CH$70)+SUM(CJ$49:CJ$70)+SUM(CL$49:CL$70)</f>
        <v>280.65182647511187</v>
      </c>
      <c r="O112" s="105">
        <f>SUM(CN$49:CN$70)+SUM(CP$49:CP$70)+SUM(CR$49:CR$70)+SUM(CT$49:CT$70)</f>
        <v>325.16335761339229</v>
      </c>
    </row>
    <row r="113" spans="2:15" x14ac:dyDescent="0.2">
      <c r="C113" s="104" t="s">
        <v>130</v>
      </c>
      <c r="D113" s="105">
        <f>SUM(D$71:D$86)+SUM(F$71:F$86)+SUM(H$71:H$86)+SUM(J$71:J$86)</f>
        <v>140.23531915878817</v>
      </c>
      <c r="E113" s="105">
        <f>SUM(L$71:L$86)+SUM(N$71:N$86)+SUM(P$71:P$86)+SUM(R$71:R$86)</f>
        <v>144.386204885947</v>
      </c>
      <c r="F113" s="105">
        <f>SUM(T$71:T$86)+SUM(V$71:V$86)+SUM(X$71:X$86)+SUM(Z$71:Z$86)</f>
        <v>143.71816896524834</v>
      </c>
      <c r="G113" s="105">
        <f>SUM(AB$71:AB$86)+SUM(AD$71:AD$86)+SUM(AF$71:AF$86)+SUM(AH$71:AH$86)</f>
        <v>147.58125872352355</v>
      </c>
      <c r="H113" s="105">
        <f>SUM(AJ$71:AJ$86)+SUM(AL$71:AL$86)+SUM(AN$71:AN$86)+SUM(AP$71:AP$86)</f>
        <v>145.32472435995808</v>
      </c>
      <c r="I113" s="105">
        <f>SUM(AR$71:AR$86)+SUM(AT$71:AT$86)+SUM(AV$71:AV$86)+SUM(AX$71:AX$86)</f>
        <v>135.53018836329528</v>
      </c>
      <c r="J113" s="105">
        <f>SUM(AZ$71:AZ$86)+SUM(BB$71:BB$86)+SUM(BD$71:BD$86)+SUM(BF$71:BF$86)</f>
        <v>152.02552811543444</v>
      </c>
      <c r="K113" s="105">
        <f>SUM(BH$71:BH$86)+SUM(BJ$71:BJ$86)+SUM(BL$71:BL$86)+SUM(BN$71:BN$86)</f>
        <v>139.04537412411807</v>
      </c>
      <c r="L113" s="105">
        <f>SUM(BP$71:BP$86)+SUM(BR$71:BR$86)+SUM(BT$71:BT$86)+SUM(BV$71:BV$86)</f>
        <v>148.37364064251338</v>
      </c>
      <c r="M113" s="105">
        <f>SUM(BX$71:BX$86)+SUM(BZ$71:BZ$86)+SUM(CB$71:CB$86)+SUM(CD$71:CD$86)</f>
        <v>160.92869923956826</v>
      </c>
      <c r="N113" s="105">
        <f>SUM(CF$71:CF$86)+SUM(CH$71:CH$86)+SUM(CJ$71:CJ$86)+SUM(CL$71:CL$86)</f>
        <v>170.63365799554231</v>
      </c>
      <c r="O113" s="105">
        <f>SUM(CN$71:CN$86)+SUM(CP$71:CP$86)+SUM(CR$71:CR$86)+SUM(CT$71:CT$86)</f>
        <v>156.82994722421807</v>
      </c>
    </row>
    <row r="114" spans="2:15" x14ac:dyDescent="0.2">
      <c r="C114" s="104" t="s">
        <v>131</v>
      </c>
      <c r="D114" s="105">
        <f>SUM(D$87:D$94)+SUM(F$87:F$94)+SUM(H$87:H$94)+SUM(J$87:J$94)</f>
        <v>103</v>
      </c>
      <c r="E114" s="105">
        <f>SUM(L$87:L$94)+SUM(N$87:N$94)+SUM(P$87:P$94)+SUM(R$87:R$94)</f>
        <v>112</v>
      </c>
      <c r="F114" s="105">
        <f>SUM(T$87:T$94)+SUM(V$87:V$94)+SUM(X$87:X$94)+SUM(Z$87:Z$94)</f>
        <v>117</v>
      </c>
      <c r="G114" s="105">
        <f>SUM(AB$87:AB$94)+SUM(AD$87:AD$94)+SUM(AF$87:AF$94)+SUM(AH$87:AH$94)</f>
        <v>84</v>
      </c>
      <c r="H114" s="105">
        <f>SUM(AJ$87:AJ$94)+SUM(AL$87:AL$94)+SUM(AN$87:AN$94)+SUM(AP$87:AP$94)</f>
        <v>95</v>
      </c>
      <c r="I114" s="105">
        <f>SUM(AR$87:AR$94)+SUM(AT$87:AT$94)+SUM(AV$87:AV$94)+SUM(AX$87:AX$94)</f>
        <v>104</v>
      </c>
      <c r="J114" s="105">
        <f>SUM(AZ$87:AZ$94)+SUM(BB$87:BB$94)+SUM(BD$87:BD$94)+SUM(BF$87:BF$94)</f>
        <v>128</v>
      </c>
      <c r="K114" s="105">
        <f>SUM(BH$87:BH$94)+SUM(BJ$87:BJ$94)+SUM(BL$87:BL$94)+SUM(BN$87:BN$94)</f>
        <v>112</v>
      </c>
      <c r="L114" s="105">
        <f>SUM(BP$87:BP$94)+SUM(BR$87:BR$94)+SUM(BT$87:BT$94)+SUM(BV$87:BV$94)</f>
        <v>111</v>
      </c>
      <c r="M114" s="105">
        <f>SUM(BX$87:BX$94)+SUM(BZ$87:BZ$94)+SUM(CB$87:CB$94)+SUM(CD$87:CD$94)</f>
        <v>128</v>
      </c>
      <c r="N114" s="105">
        <f>SUM(CF$87:CF$94)+SUM(CH$87:CH$94)+SUM(CJ$87:CJ$94)+SUM(CL$87:CL$94)</f>
        <v>134</v>
      </c>
      <c r="O114" s="105">
        <f>SUM(CN$87:CN$94)+SUM(CP$87:CP$94)+SUM(CR$87:CR$94)+SUM(CT$87:CT$94)</f>
        <v>124</v>
      </c>
    </row>
    <row r="115" spans="2:15" x14ac:dyDescent="0.2">
      <c r="C115" s="104" t="s">
        <v>132</v>
      </c>
      <c r="D115" s="105">
        <f>SUM(D$95:D$105)+SUM(F$95:F$105)+SUM(H$95:H$105)+SUM(J$95:J$105)</f>
        <v>257.88649619464059</v>
      </c>
      <c r="E115" s="105">
        <f>SUM(L$95:L$105)+SUM(N$95:N$105)+SUM(P$95:P$105)+SUM(R$95:R$105)</f>
        <v>255.69990821261123</v>
      </c>
      <c r="F115" s="105">
        <f>SUM(T$95:T$105)+SUM(V$95:V$105)+SUM(X$95:X$105)+SUM(Z$95:Z$105)</f>
        <v>246.65295044814201</v>
      </c>
      <c r="G115" s="105">
        <f>SUM(AB$95:AB$105)+SUM(AD$95:AD$105)+SUM(AF$95:AF$105)+SUM(AH$95:AH$105)</f>
        <v>206.00736779872886</v>
      </c>
      <c r="H115" s="105">
        <f>SUM(AJ$95:AJ$105)+SUM(AL$95:AL$105)+SUM(AN$95:AN$105)+SUM(AP$95:AP$105)</f>
        <v>201.90671199816458</v>
      </c>
      <c r="I115" s="105">
        <f>SUM(AR$95:AR$105)+SUM(AT$95:AT$105)+SUM(AV$95:AV$105)+SUM(AX$95:AX$105)</f>
        <v>197.71888215733964</v>
      </c>
      <c r="J115" s="105">
        <f>SUM(AZ$95:AZ$105)+SUM(BB$95:BB$105)+SUM(BD$95:BD$105)+SUM(BF$95:BF$105)</f>
        <v>212.93090544086556</v>
      </c>
      <c r="K115" s="105">
        <f>SUM(BH$95:BH$105)+SUM(BJ$95:BJ$105)+SUM(BL$95:BL$105)+SUM(BN$95:BN$105)</f>
        <v>253.37996754576972</v>
      </c>
      <c r="L115" s="105">
        <f>SUM(BP$95:BP$105)+SUM(BR$95:BR$105)+SUM(BT$95:BT$105)+SUM(BV$95:BV$105)</f>
        <v>216.71839299379926</v>
      </c>
      <c r="M115" s="105">
        <f>SUM(BX$95:BX$105)+SUM(BZ$95:BZ$105)+SUM(CB$95:CB$105)+SUM(CD$95:CD$105)</f>
        <v>190.84759931375962</v>
      </c>
      <c r="N115" s="105">
        <f>SUM(CF$95:CF$105)+SUM(CH$95:CH$105)+SUM(CJ$95:CJ$105)+SUM(CL$95:CL$105)</f>
        <v>227.9432072394917</v>
      </c>
      <c r="O115" s="105">
        <f>SUM(CN$95:CN$105)+SUM(CP$95:CP$105)+SUM(CR$95:CR$105)+SUM(CT$95:CT$105)</f>
        <v>186.14718521138781</v>
      </c>
    </row>
    <row r="116" spans="2:15" x14ac:dyDescent="0.2">
      <c r="C116" s="104" t="s">
        <v>278</v>
      </c>
      <c r="D116" s="105">
        <f t="shared" ref="D116:O116" si="0">SUM(D$109:D$115)</f>
        <v>1596.825624780007</v>
      </c>
      <c r="E116" s="105">
        <f t="shared" si="0"/>
        <v>1859.6174902407029</v>
      </c>
      <c r="F116" s="105">
        <f t="shared" si="0"/>
        <v>2035.9869130789623</v>
      </c>
      <c r="G116" s="105">
        <f t="shared" si="0"/>
        <v>1906.8614275359641</v>
      </c>
      <c r="H116" s="105">
        <f t="shared" si="0"/>
        <v>1857.3908213606994</v>
      </c>
      <c r="I116" s="105">
        <f t="shared" si="0"/>
        <v>1922.2832457431577</v>
      </c>
      <c r="J116" s="105">
        <f t="shared" si="0"/>
        <v>1913.7759085070015</v>
      </c>
      <c r="K116" s="105">
        <f t="shared" si="0"/>
        <v>2073.5077343283851</v>
      </c>
      <c r="L116" s="105">
        <f t="shared" si="0"/>
        <v>2031.7171739839027</v>
      </c>
      <c r="M116" s="105">
        <f t="shared" si="0"/>
        <v>2124.1830746386909</v>
      </c>
      <c r="N116" s="105">
        <f t="shared" si="0"/>
        <v>2078.7980533790073</v>
      </c>
      <c r="O116" s="105">
        <f t="shared" si="0"/>
        <v>2119.1920502331009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D109*pricing!D24*2000</f>
        <v>2151299.9999999995</v>
      </c>
      <c r="E120" s="105">
        <f>E109*pricing!E24*2000</f>
        <v>2186799.9999999995</v>
      </c>
      <c r="F120" s="105">
        <f>F109*pricing!F24*2000</f>
        <v>2385600</v>
      </c>
      <c r="G120" s="105">
        <f>G109*pricing!G24*2000</f>
        <v>2371400</v>
      </c>
      <c r="H120" s="105">
        <f>H109*pricing!H24*2000</f>
        <v>2279100</v>
      </c>
      <c r="I120" s="105">
        <f>I109*pricing!I24*2000</f>
        <v>2492100</v>
      </c>
      <c r="J120" s="105">
        <f>J109*pricing!J24*2000</f>
        <v>2080299.9999999998</v>
      </c>
      <c r="K120" s="105">
        <f>K109*pricing!K24*2000</f>
        <v>2428200</v>
      </c>
      <c r="L120" s="105">
        <f>L109*pricing!L24*2000</f>
        <v>2605700</v>
      </c>
      <c r="M120" s="105">
        <f>M109*pricing!M24*2000</f>
        <v>2712200</v>
      </c>
      <c r="N120" s="105">
        <f>N109*pricing!N24*2000</f>
        <v>2953600</v>
      </c>
      <c r="O120" s="105">
        <f>O109*pricing!O24*2000</f>
        <v>2272000</v>
      </c>
    </row>
    <row r="121" spans="2:15" x14ac:dyDescent="0.2">
      <c r="C121" s="104" t="s">
        <v>127</v>
      </c>
      <c r="D121" s="105">
        <f>D110*pricing!D25*2000</f>
        <v>3794960</v>
      </c>
      <c r="E121" s="105">
        <f>E110*pricing!E25*2000</f>
        <v>3876736.1353293639</v>
      </c>
      <c r="F121" s="105">
        <f>F110*pricing!F25*2000</f>
        <v>4587353.8426179783</v>
      </c>
      <c r="G121" s="105">
        <f>G110*pricing!G25*2000</f>
        <v>3987070.8641553358</v>
      </c>
      <c r="H121" s="105">
        <f>H110*pricing!H25*2000</f>
        <v>3919215.278560197</v>
      </c>
      <c r="I121" s="105">
        <f>I110*pricing!I25*2000</f>
        <v>4243352.5518814828</v>
      </c>
      <c r="J121" s="105">
        <f>J110*pricing!J25*2000</f>
        <v>4386228.1435746299</v>
      </c>
      <c r="K121" s="105">
        <f>K110*pricing!K25*2000</f>
        <v>5258232.0034142938</v>
      </c>
      <c r="L121" s="105">
        <f>L110*pricing!L25*2000</f>
        <v>4829305.2094665421</v>
      </c>
      <c r="M121" s="105">
        <f>M110*pricing!M25*2000</f>
        <v>4927438.1455109045</v>
      </c>
      <c r="N121" s="105">
        <f>N110*pricing!N25*2000</f>
        <v>4738853.855082294</v>
      </c>
      <c r="O121" s="105">
        <f>O110*pricing!O25*2000</f>
        <v>5710607.10851081</v>
      </c>
    </row>
    <row r="122" spans="2:15" x14ac:dyDescent="0.2">
      <c r="C122" s="104" t="s">
        <v>128</v>
      </c>
      <c r="D122" s="105">
        <f>D111*pricing!D26*2000</f>
        <v>1509200</v>
      </c>
      <c r="E122" s="105">
        <f>E111*pricing!E26*2000</f>
        <v>1747900</v>
      </c>
      <c r="F122" s="105">
        <f>F111*pricing!F26*2000</f>
        <v>1771000</v>
      </c>
      <c r="G122" s="105">
        <f>G111*pricing!G26*2000</f>
        <v>1894200</v>
      </c>
      <c r="H122" s="105">
        <f>H111*pricing!H26*2000</f>
        <v>1771000</v>
      </c>
      <c r="I122" s="105">
        <f>I111*pricing!I26*2000</f>
        <v>1771000</v>
      </c>
      <c r="J122" s="105">
        <f>J111*pricing!J26*2000</f>
        <v>1778700</v>
      </c>
      <c r="K122" s="105">
        <f>K111*pricing!K26*2000</f>
        <v>1747900</v>
      </c>
      <c r="L122" s="105">
        <f>L111*pricing!L26*2000</f>
        <v>1724800</v>
      </c>
      <c r="M122" s="105">
        <f>M111*pricing!M26*2000</f>
        <v>1817200</v>
      </c>
      <c r="N122" s="105">
        <f>N111*pricing!N26*2000</f>
        <v>1416800</v>
      </c>
      <c r="O122" s="105">
        <f>O111*pricing!O26*2000</f>
        <v>1578500</v>
      </c>
    </row>
    <row r="123" spans="2:15" x14ac:dyDescent="0.2">
      <c r="C123" s="104" t="s">
        <v>129</v>
      </c>
      <c r="D123" s="105">
        <f>D112*pricing!D27*2000</f>
        <v>496889.71352731076</v>
      </c>
      <c r="E123" s="105">
        <f>E112*pricing!E27*2000</f>
        <v>2090758.5260389177</v>
      </c>
      <c r="F123" s="105">
        <f>F112*pricing!F27*2000</f>
        <v>2482931.2843526625</v>
      </c>
      <c r="G123" s="105">
        <f>G112*pricing!G27*2000</f>
        <v>2568469.316950263</v>
      </c>
      <c r="H123" s="105">
        <f>H112*pricing!H27*2000</f>
        <v>2446920.8472940396</v>
      </c>
      <c r="I123" s="105">
        <f>I112*pricing!I27*2000</f>
        <v>2402850.0070902333</v>
      </c>
      <c r="J123" s="105">
        <f>J112*pricing!J27*2000</f>
        <v>2190054.3315983205</v>
      </c>
      <c r="K123" s="105">
        <f>K112*pricing!K27*2000</f>
        <v>2040219.9623666869</v>
      </c>
      <c r="L123" s="105">
        <f>L112*pricing!L27*2000</f>
        <v>2233545.1068124631</v>
      </c>
      <c r="M123" s="105">
        <f>M112*pricing!M27*2000</f>
        <v>2607936.6828218624</v>
      </c>
      <c r="N123" s="105">
        <f>N112*pricing!N27*2000</f>
        <v>2189084.2465058728</v>
      </c>
      <c r="O123" s="105">
        <f>O112*pricing!O27*2000</f>
        <v>2536274.18938446</v>
      </c>
    </row>
    <row r="124" spans="2:15" x14ac:dyDescent="0.2">
      <c r="C124" s="104" t="s">
        <v>130</v>
      </c>
      <c r="D124" s="105">
        <f>D113*pricing!D28*2000</f>
        <v>1121882.5532703053</v>
      </c>
      <c r="E124" s="105">
        <f>E113*pricing!E28*2000</f>
        <v>1155089.639087576</v>
      </c>
      <c r="F124" s="105">
        <f>F113*pricing!F28*2000</f>
        <v>1149745.3517219867</v>
      </c>
      <c r="G124" s="105">
        <f>G113*pricing!G28*2000</f>
        <v>1180650.0697881884</v>
      </c>
      <c r="H124" s="105">
        <f>H113*pricing!H28*2000</f>
        <v>1162597.7948796647</v>
      </c>
      <c r="I124" s="105">
        <f>I113*pricing!I28*2000</f>
        <v>1084241.5069063623</v>
      </c>
      <c r="J124" s="105">
        <f>J113*pricing!J28*2000</f>
        <v>1216204.2249234754</v>
      </c>
      <c r="K124" s="105">
        <f>K113*pricing!K28*2000</f>
        <v>1112362.9929929445</v>
      </c>
      <c r="L124" s="105">
        <f>L113*pricing!L28*2000</f>
        <v>1186989.125140107</v>
      </c>
      <c r="M124" s="105">
        <f>M113*pricing!M28*2000</f>
        <v>1287429.5939165461</v>
      </c>
      <c r="N124" s="105">
        <f>N113*pricing!N28*2000</f>
        <v>1365069.2639643385</v>
      </c>
      <c r="O124" s="105">
        <f>O113*pricing!O28*2000</f>
        <v>1254639.5777937446</v>
      </c>
    </row>
    <row r="125" spans="2:15" x14ac:dyDescent="0.2">
      <c r="C125" s="104" t="s">
        <v>131</v>
      </c>
      <c r="D125" s="105">
        <f>D114*pricing!D29*2000</f>
        <v>803400</v>
      </c>
      <c r="E125" s="105">
        <f>E114*pricing!E29*2000</f>
        <v>873600</v>
      </c>
      <c r="F125" s="105">
        <f>F114*pricing!F29*2000</f>
        <v>912600</v>
      </c>
      <c r="G125" s="105">
        <f>G114*pricing!G29*2000</f>
        <v>655199.99999999988</v>
      </c>
      <c r="H125" s="105">
        <f>H114*pricing!H29*2000</f>
        <v>741000</v>
      </c>
      <c r="I125" s="105">
        <f>I114*pricing!I29*2000</f>
        <v>811199.99999999988</v>
      </c>
      <c r="J125" s="105">
        <f>J114*pricing!J29*2000</f>
        <v>998400</v>
      </c>
      <c r="K125" s="105">
        <f>K114*pricing!K29*2000</f>
        <v>873600</v>
      </c>
      <c r="L125" s="105">
        <f>L114*pricing!L29*2000</f>
        <v>865800</v>
      </c>
      <c r="M125" s="105">
        <f>M114*pricing!M29*2000</f>
        <v>998400</v>
      </c>
      <c r="N125" s="105">
        <f>N114*pricing!N29*2000</f>
        <v>1045200</v>
      </c>
      <c r="O125" s="105">
        <f>O114*pricing!O29*2000</f>
        <v>967199.99999999988</v>
      </c>
    </row>
    <row r="126" spans="2:15" x14ac:dyDescent="0.2">
      <c r="C126" s="104" t="s">
        <v>132</v>
      </c>
      <c r="D126" s="105">
        <f>D115*pricing!D30*2000</f>
        <v>2011514.6703181965</v>
      </c>
      <c r="E126" s="105">
        <f>E115*pricing!E30*2000</f>
        <v>1994459.2840583676</v>
      </c>
      <c r="F126" s="105">
        <f>F115*pricing!F30*2000</f>
        <v>1923893.0134955077</v>
      </c>
      <c r="G126" s="105">
        <f>G115*pricing!G30*2000</f>
        <v>1606857.4688300851</v>
      </c>
      <c r="H126" s="105">
        <f>H115*pricing!H30*2000</f>
        <v>1574872.3535856837</v>
      </c>
      <c r="I126" s="105">
        <f>I115*pricing!I30*2000</f>
        <v>1542207.2808272492</v>
      </c>
      <c r="J126" s="105">
        <f>J115*pricing!J30*2000</f>
        <v>1660861.0624387513</v>
      </c>
      <c r="K126" s="105">
        <f>K115*pricing!K30*2000</f>
        <v>1976363.7468570038</v>
      </c>
      <c r="L126" s="105">
        <f>L115*pricing!L30*2000</f>
        <v>1690403.4653516342</v>
      </c>
      <c r="M126" s="105">
        <f>M115*pricing!M30*2000</f>
        <v>1488611.274647325</v>
      </c>
      <c r="N126" s="105">
        <f>N115*pricing!N30*2000</f>
        <v>1777957.0164680351</v>
      </c>
      <c r="O126" s="105">
        <f>O115*pricing!O30*2000</f>
        <v>1451948.044648825</v>
      </c>
    </row>
    <row r="127" spans="2:15" x14ac:dyDescent="0.2">
      <c r="C127" s="104" t="s">
        <v>278</v>
      </c>
      <c r="D127" s="105">
        <f t="shared" ref="D127:O127" si="1">SUM(D$120:D$126)</f>
        <v>11889146.937115811</v>
      </c>
      <c r="E127" s="105">
        <f t="shared" si="1"/>
        <v>13925343.584514225</v>
      </c>
      <c r="F127" s="105">
        <f t="shared" si="1"/>
        <v>15213123.492188133</v>
      </c>
      <c r="G127" s="105">
        <f t="shared" si="1"/>
        <v>14263847.719723871</v>
      </c>
      <c r="H127" s="105">
        <f t="shared" si="1"/>
        <v>13894706.274319585</v>
      </c>
      <c r="I127" s="105">
        <f t="shared" si="1"/>
        <v>14346951.346705327</v>
      </c>
      <c r="J127" s="105">
        <f t="shared" si="1"/>
        <v>14310747.762535175</v>
      </c>
      <c r="K127" s="105">
        <f t="shared" si="1"/>
        <v>15436878.70563093</v>
      </c>
      <c r="L127" s="105">
        <f t="shared" si="1"/>
        <v>15136542.906770745</v>
      </c>
      <c r="M127" s="105">
        <f t="shared" si="1"/>
        <v>15839215.696896639</v>
      </c>
      <c r="N127" s="105">
        <f t="shared" si="1"/>
        <v>15486564.382020541</v>
      </c>
      <c r="O127" s="105">
        <f t="shared" si="1"/>
        <v>15771168.920337841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172519.19999999998</v>
      </c>
      <c r="E131" s="111">
        <f>SUM(M$6:M$19)+SUM(O$6:O$19)+SUM(Q$6:Q$19)+SUM(S$6:S$19)</f>
        <v>176426.4</v>
      </c>
      <c r="F131" s="111">
        <f>SUM(U$6:U$19)+SUM(W$6:W$19)+SUM(Y$6:Y$19)+SUM(AA$6:AA$19)</f>
        <v>192528</v>
      </c>
      <c r="G131" s="111">
        <f>SUM(AC$6:AC$19)+SUM(AE$6:AE$19)+SUM(AG$6:AG$19)+SUM(AI$6:AI$19)</f>
        <v>191781.59999999998</v>
      </c>
      <c r="H131" s="111">
        <f>SUM(AK$6:AK$19)+SUM(AM$6:AM$19)+SUM(AO$6:AO$19)+SUM(AQ$6:AQ$19)</f>
        <v>184204.79999999999</v>
      </c>
      <c r="I131" s="111">
        <f>SUM(AS$6:AS$19)+SUM(AU$6:AU$19)+SUM(AW$6:AW$19)+SUM(AY$6:AY$19)</f>
        <v>199600.8</v>
      </c>
      <c r="J131" s="111">
        <f>SUM(BA$6:BA$19)+SUM(BC$6:BC$19)+SUM(BE$6:BE$19)+SUM(BG$6:BG$19)</f>
        <v>167839.2</v>
      </c>
      <c r="K131" s="111">
        <f>SUM(BI$6:BI$19)+SUM(BK$6:BK$19)+SUM(BM$6:BM$19)+SUM(BO$6:BO$19)</f>
        <v>196687.2</v>
      </c>
      <c r="L131" s="111">
        <f>SUM(BQ$6:BQ$19)+SUM(BS$6:BS$19)+SUM(BU$6:BU$19)+SUM(BW$6:BW$19)</f>
        <v>209329.2</v>
      </c>
      <c r="M131" s="111">
        <f>SUM(BY$6:BY$19)+SUM(CA$6:CA$19)+SUM(CC$6:CC$19)+SUM(CE$6:CE$19)</f>
        <v>218447.99999999997</v>
      </c>
      <c r="N131" s="111">
        <f>SUM(CG$6:CG$19)+SUM(CI$6:CI$19)+SUM(CK$6:CK$19)+SUM(CM$6:CM$19)</f>
        <v>238430.40000000002</v>
      </c>
      <c r="O131" s="111">
        <f>SUM(CO$6:CO$19)+SUM(CQ$6:CQ$19)+SUM(CS$6:CS$19)+SUM(CU$6:CU$19)</f>
        <v>183211.2</v>
      </c>
    </row>
    <row r="132" spans="2:15" x14ac:dyDescent="0.2">
      <c r="C132" s="110" t="s">
        <v>127</v>
      </c>
      <c r="D132" s="111">
        <f>SUM(E$20:E$36)+SUM(G$20:G$36)+SUM(I$20:I$36)+SUM(K$20:K$36)</f>
        <v>140311.20000000001</v>
      </c>
      <c r="E132" s="111">
        <f>SUM(M$20:M$36)+SUM(O$20:O$36)+SUM(Q$20:Q$36)+SUM(S$20:S$36)</f>
        <v>165046.716280867</v>
      </c>
      <c r="F132" s="111">
        <f>SUM(U$20:U$36)+SUM(W$20:W$36)+SUM(Y$20:Y$36)+SUM(AA$20:AA$36)</f>
        <v>203652.45693962229</v>
      </c>
      <c r="G132" s="111">
        <f>SUM(AC$20:AC$36)+SUM(AE$20:AE$36)+SUM(AG$20:AG$36)+SUM(AI$20:AI$36)</f>
        <v>174643.30568690598</v>
      </c>
      <c r="H132" s="111">
        <f>SUM(AK$20:AK$36)+SUM(AM$20:AM$36)+SUM(AO$20:AO$36)+SUM(AQ$20:AQ$36)</f>
        <v>175224.03344589553</v>
      </c>
      <c r="I132" s="111">
        <f>SUM(AS$20:AS$36)+SUM(AU$20:AU$36)+SUM(AW$20:AW$36)+SUM(AY$20:AY$36)</f>
        <v>187503.6342607137</v>
      </c>
      <c r="J132" s="111">
        <f>SUM(BA$20:BA$36)+SUM(BC$20:BC$36)+SUM(BE$20:BE$36)+SUM(BG$20:BG$36)</f>
        <v>193710.51018745796</v>
      </c>
      <c r="K132" s="111">
        <f>SUM(BI$20:BI$36)+SUM(BK$20:BK$36)+SUM(BM$20:BM$36)+SUM(BO$20:BO$36)</f>
        <v>234915.52960806485</v>
      </c>
      <c r="L132" s="111">
        <f>SUM(BQ$20:BQ$36)+SUM(BS$20:BS$36)+SUM(BU$20:BU$36)+SUM(BW$20:BW$36)</f>
        <v>214498.50811059854</v>
      </c>
      <c r="M132" s="111">
        <f>SUM(BY$20:BY$36)+SUM(CA$20:CA$36)+SUM(CC$20:CC$36)+SUM(CE$20:CE$36)</f>
        <v>217157.87551061664</v>
      </c>
      <c r="N132" s="111">
        <f>SUM(CG$20:CG$36)+SUM(CI$20:CI$36)+SUM(CK$20:CK$36)+SUM(CM$20:CM$36)</f>
        <v>210612.18889574258</v>
      </c>
      <c r="O132" s="111">
        <f>SUM(CO$20:CO$36)+SUM(CQ$20:CQ$36)+SUM(CS$20:CS$36)+SUM(CU$20:CU$36)</f>
        <v>253133.29651005325</v>
      </c>
    </row>
    <row r="133" spans="2:15" x14ac:dyDescent="0.2">
      <c r="C133" s="110" t="s">
        <v>128</v>
      </c>
      <c r="D133" s="111">
        <f>SUM(E$37:E$48)+SUM(G$37:G$48)+SUM(I$37:I$48)+SUM(K$37:K$48)</f>
        <v>167127.6</v>
      </c>
      <c r="E133" s="111">
        <f>SUM(M$37:M$48)+SUM(O$37:O$48)+SUM(Q$37:Q$48)+SUM(S$37:S$48)</f>
        <v>192350.4</v>
      </c>
      <c r="F133" s="111">
        <f>SUM(U$37:U$48)+SUM(W$37:W$48)+SUM(Y$37:Y$48)+SUM(AA$37:AA$48)</f>
        <v>196143.6</v>
      </c>
      <c r="G133" s="111">
        <f>SUM(AC$37:AC$48)+SUM(AE$37:AE$48)+SUM(AG$37:AG$48)+SUM(AI$37:AI$48)</f>
        <v>207914.39999999997</v>
      </c>
      <c r="H133" s="111">
        <f>SUM(AK$37:AK$48)+SUM(AM$37:AM$48)+SUM(AO$37:AO$48)+SUM(AQ$37:AQ$48)</f>
        <v>195979.19999999998</v>
      </c>
      <c r="I133" s="111">
        <f>SUM(AS$37:AS$48)+SUM(AU$37:AU$48)+SUM(AW$37:AW$48)+SUM(AY$37:AY$48)</f>
        <v>195945.59999999998</v>
      </c>
      <c r="J133" s="111">
        <f>SUM(BA$37:BA$48)+SUM(BC$37:BC$48)+SUM(BE$37:BE$48)+SUM(BG$37:BG$48)</f>
        <v>195716.4</v>
      </c>
      <c r="K133" s="111">
        <f>SUM(BI$37:BI$48)+SUM(BK$37:BK$48)+SUM(BM$37:BM$48)+SUM(BO$37:BO$48)</f>
        <v>192289.2</v>
      </c>
      <c r="L133" s="111">
        <f>SUM(BQ$37:BQ$48)+SUM(BS$37:BS$48)+SUM(BU$37:BU$48)+SUM(BW$37:BW$48)</f>
        <v>191338.80000000002</v>
      </c>
      <c r="M133" s="111">
        <f>SUM(BY$37:BY$48)+SUM(CA$37:CA$48)+SUM(CC$37:CC$48)+SUM(CE$37:CE$48)</f>
        <v>200812.79999999999</v>
      </c>
      <c r="N133" s="111">
        <f>SUM(CG$37:CG$48)+SUM(CI$37:CI$48)+SUM(CK$37:CK$48)+SUM(CM$37:CM$48)</f>
        <v>157194</v>
      </c>
      <c r="O133" s="111">
        <f>SUM(CO$37:CO$48)+SUM(CQ$37:CQ$48)+SUM(CS$37:CS$48)+SUM(CU$37:CU$48)</f>
        <v>174000</v>
      </c>
    </row>
    <row r="134" spans="2:15" x14ac:dyDescent="0.2">
      <c r="C134" s="110" t="s">
        <v>129</v>
      </c>
      <c r="D134" s="111">
        <f>SUM(E$49:E$70)+SUM(G$49:G$70)+SUM(I$49:I$70)+SUM(K$49:K$70)</f>
        <v>34609.038625477406</v>
      </c>
      <c r="E134" s="111">
        <f>SUM(M$49:M$70)+SUM(O$49:O$70)+SUM(Q$49:Q$70)+SUM(S$49:S$70)</f>
        <v>107148.00647993479</v>
      </c>
      <c r="F134" s="111">
        <f>SUM(U$49:U$70)+SUM(W$49:W$70)+SUM(Y$49:Y$70)+SUM(AA$49:AA$70)</f>
        <v>124060.26145772182</v>
      </c>
      <c r="G134" s="111">
        <f>SUM(AC$49:AC$70)+SUM(AE$49:AE$70)+SUM(AG$49:AG$70)+SUM(AI$49:AI$70)</f>
        <v>130091.15313698445</v>
      </c>
      <c r="H134" s="111">
        <f>SUM(AK$49:AK$70)+SUM(AM$49:AM$70)+SUM(AO$49:AO$70)+SUM(AQ$49:AQ$70)</f>
        <v>122323.83164795226</v>
      </c>
      <c r="I134" s="111">
        <f>SUM(AS$49:AS$70)+SUM(AU$49:AU$70)+SUM(AW$49:AW$70)+SUM(AY$49:AY$70)</f>
        <v>121940.22114790122</v>
      </c>
      <c r="J134" s="111">
        <f>SUM(BA$49:BA$70)+SUM(BC$49:BC$70)+SUM(BE$49:BE$70)+SUM(BG$49:BG$70)</f>
        <v>111237.46467097374</v>
      </c>
      <c r="K134" s="111">
        <f>SUM(BI$49:BI$70)+SUM(BK$49:BK$70)+SUM(BM$49:BM$70)+SUM(BO$49:BO$70)</f>
        <v>102664.29498049195</v>
      </c>
      <c r="L134" s="111">
        <f>SUM(BQ$49:BQ$70)+SUM(BS$49:BS$70)+SUM(BU$49:BU$70)+SUM(BW$49:BW$70)</f>
        <v>112527.41856758803</v>
      </c>
      <c r="M134" s="111">
        <f>SUM(BY$49:BY$70)+SUM(CA$49:CA$70)+SUM(CC$49:CC$70)+SUM(CE$49:CE$70)</f>
        <v>132880.88574374313</v>
      </c>
      <c r="N134" s="111">
        <f>SUM(CG$49:CG$70)+SUM(CI$49:CI$70)+SUM(CK$49:CK$70)+SUM(CM$49:CM$70)</f>
        <v>109277.92546813143</v>
      </c>
      <c r="O134" s="111">
        <f>SUM(CO$49:CO$70)+SUM(CQ$49:CQ$70)+SUM(CS$49:CS$70)+SUM(CU$49:CU$70)</f>
        <v>126002.08494423429</v>
      </c>
    </row>
    <row r="135" spans="2:15" x14ac:dyDescent="0.2">
      <c r="C135" s="110" t="s">
        <v>130</v>
      </c>
      <c r="D135" s="111">
        <f>SUM(E$71:E$86)+SUM(G$71:G$86)+SUM(I$71:I$86)+SUM(K$71:K$86)</f>
        <v>69163.478807013598</v>
      </c>
      <c r="E135" s="111">
        <f>SUM(M$71:M$86)+SUM(O$71:O$86)+SUM(Q$71:Q$86)+SUM(S$71:S$86)</f>
        <v>71208.936821170239</v>
      </c>
      <c r="F135" s="111">
        <f>SUM(U$71:U$86)+SUM(W$71:W$86)+SUM(Y$71:Y$86)+SUM(AA$71:AA$86)</f>
        <v>71005.199902401582</v>
      </c>
      <c r="G135" s="111">
        <f>SUM(AC$71:AC$86)+SUM(AE$71:AE$86)+SUM(AG$71:AG$86)+SUM(AI$71:AI$86)</f>
        <v>72516.734872134883</v>
      </c>
      <c r="H135" s="111">
        <f>SUM(AK$71:AK$86)+SUM(AM$71:AM$86)+SUM(AO$71:AO$86)+SUM(AQ$71:AQ$86)</f>
        <v>72538.19987539541</v>
      </c>
      <c r="I135" s="111">
        <f>SUM(AS$71:AS$86)+SUM(AU$71:AU$86)+SUM(AW$71:AW$86)+SUM(AY$71:AY$86)</f>
        <v>67057.605495788273</v>
      </c>
      <c r="J135" s="111">
        <f>SUM(BA$71:BA$86)+SUM(BC$71:BC$86)+SUM(BE$71:BE$86)+SUM(BG$71:BG$86)</f>
        <v>75031.249186109257</v>
      </c>
      <c r="K135" s="111">
        <f>SUM(BI$71:BI$86)+SUM(BK$71:BK$86)+SUM(BM$71:BM$86)+SUM(BO$71:BO$86)</f>
        <v>68902.776052973539</v>
      </c>
      <c r="L135" s="111">
        <f>SUM(BQ$71:BQ$86)+SUM(BS$71:BS$86)+SUM(BU$71:BU$86)+SUM(BW$71:BW$86)</f>
        <v>73244.159844644048</v>
      </c>
      <c r="M135" s="111">
        <f>SUM(BY$71:BY$86)+SUM(CA$71:CA$86)+SUM(CC$71:CC$86)+SUM(CE$71:CE$86)</f>
        <v>80034.936389284034</v>
      </c>
      <c r="N135" s="111">
        <f>SUM(CG$71:CG$86)+SUM(CI$71:CI$86)+SUM(CK$71:CK$86)+SUM(CM$71:CM$86)</f>
        <v>84353.279403350258</v>
      </c>
      <c r="O135" s="111">
        <f>SUM(CO$71:CO$86)+SUM(CQ$71:CQ$86)+SUM(CS$71:CS$86)+SUM(CU$71:CU$86)</f>
        <v>77526.379366841647</v>
      </c>
    </row>
    <row r="136" spans="2:15" x14ac:dyDescent="0.2">
      <c r="C136" s="110" t="s">
        <v>131</v>
      </c>
      <c r="D136" s="111">
        <f>SUM(E$87:E$94)+SUM(G$87:G$94)+SUM(I$87:I$94)+SUM(K$87:K$94)</f>
        <v>81118.8</v>
      </c>
      <c r="E136" s="111">
        <f>SUM(M$87:M$94)+SUM(O$87:O$94)+SUM(Q$87:Q$94)+SUM(S$87:S$94)</f>
        <v>88586.400000000009</v>
      </c>
      <c r="F136" s="111">
        <f>SUM(U$87:U$94)+SUM(W$87:W$94)+SUM(Y$87:Y$94)+SUM(AA$87:AA$94)</f>
        <v>92356.800000000003</v>
      </c>
      <c r="G136" s="111">
        <f>SUM(AC$87:AC$94)+SUM(AE$87:AE$94)+SUM(AG$87:AG$94)+SUM(AI$87:AI$94)</f>
        <v>66186</v>
      </c>
      <c r="H136" s="111">
        <f>SUM(AK$87:AK$94)+SUM(AM$87:AM$94)+SUM(AO$87:AO$94)+SUM(AQ$87:AQ$94)</f>
        <v>75055.199999999997</v>
      </c>
      <c r="I136" s="111">
        <f>SUM(AS$87:AS$94)+SUM(AU$87:AU$94)+SUM(AW$87:AW$94)+SUM(AY$87:AY$94)</f>
        <v>82274.399999999994</v>
      </c>
      <c r="J136" s="111">
        <f>SUM(BA$87:BA$94)+SUM(BC$87:BC$94)+SUM(BE$87:BE$94)+SUM(BG$87:BG$94)</f>
        <v>101336.4</v>
      </c>
      <c r="K136" s="111">
        <f>SUM(BI$87:BI$94)+SUM(BK$87:BK$94)+SUM(BM$87:BM$94)+SUM(BO$87:BO$94)</f>
        <v>88232.400000000009</v>
      </c>
      <c r="L136" s="111">
        <f>SUM(BQ$87:BQ$94)+SUM(BS$87:BS$94)+SUM(BU$87:BU$94)+SUM(BW$87:BW$94)</f>
        <v>87693.6</v>
      </c>
      <c r="M136" s="111">
        <f>SUM(BY$87:BY$94)+SUM(CA$87:CA$94)+SUM(CC$87:CC$94)+SUM(CE$87:CE$94)</f>
        <v>100888.80000000002</v>
      </c>
      <c r="N136" s="111">
        <f>SUM(CG$87:CG$94)+SUM(CI$87:CI$94)+SUM(CK$87:CK$94)+SUM(CM$87:CM$94)</f>
        <v>106048.79999999999</v>
      </c>
      <c r="O136" s="111">
        <f>SUM(CO$87:CO$94)+SUM(CQ$87:CQ$94)+SUM(CS$87:CS$94)+SUM(CU$87:CU$94)</f>
        <v>97962</v>
      </c>
    </row>
    <row r="137" spans="2:15" x14ac:dyDescent="0.2">
      <c r="C137" s="110" t="s">
        <v>132</v>
      </c>
      <c r="D137" s="111">
        <f>SUM(E$95:E$105)+SUM(G$95:G$105)+SUM(I$95:I$105)+SUM(K$95:K$105)</f>
        <v>173425.56766687497</v>
      </c>
      <c r="E137" s="111">
        <f>SUM(M$95:M$105)+SUM(O$95:O$105)+SUM(Q$95:Q$105)+SUM(S$95:S$105)</f>
        <v>171403.26410554547</v>
      </c>
      <c r="F137" s="111">
        <f>SUM(U$95:U$105)+SUM(W$95:W$105)+SUM(Y$95:Y$105)+SUM(AA$95:AA$105)</f>
        <v>167823.1905201468</v>
      </c>
      <c r="G137" s="111">
        <f>SUM(AC$95:AC$105)+SUM(AE$95:AE$105)+SUM(AG$95:AG$105)+SUM(AI$95:AI$105)</f>
        <v>141426.6461206892</v>
      </c>
      <c r="H137" s="111">
        <f>SUM(AK$95:AK$105)+SUM(AM$95:AM$105)+SUM(AO$95:AO$105)+SUM(AQ$95:AQ$105)</f>
        <v>137120.10637943415</v>
      </c>
      <c r="I137" s="111">
        <f>SUM(AS$95:AS$105)+SUM(AU$95:AU$105)+SUM(AW$95:AW$105)+SUM(AY$95:AY$105)</f>
        <v>134737.40832683496</v>
      </c>
      <c r="J137" s="111">
        <f>SUM(BA$95:BA$105)+SUM(BC$95:BC$105)+SUM(BE$95:BE$105)+SUM(BG$95:BG$105)</f>
        <v>143699.2703731787</v>
      </c>
      <c r="K137" s="111">
        <f>SUM(BI$95:BI$105)+SUM(BK$95:BK$105)+SUM(BM$95:BM$105)+SUM(BO$95:BO$105)</f>
        <v>177259.11642282404</v>
      </c>
      <c r="L137" s="111">
        <f>SUM(BQ$95:BQ$105)+SUM(BS$95:BS$105)+SUM(BU$95:BU$105)+SUM(BW$95:BW$105)</f>
        <v>147304.92103407346</v>
      </c>
      <c r="M137" s="111">
        <f>SUM(BY$95:BY$105)+SUM(CA$95:CA$105)+SUM(CC$95:CC$105)+SUM(CE$95:CE$105)</f>
        <v>131623.35138008132</v>
      </c>
      <c r="N137" s="111">
        <f>SUM(CG$95:CG$105)+SUM(CI$95:CI$105)+SUM(CK$95:CK$105)+SUM(CM$95:CM$105)</f>
        <v>157209.26011899658</v>
      </c>
      <c r="O137" s="111">
        <f>SUM(CO$95:CO$105)+SUM(CQ$95:CQ$105)+SUM(CS$95:CS$105)+SUM(CU$95:CU$105)</f>
        <v>124849.5226976354</v>
      </c>
    </row>
    <row r="138" spans="2:15" x14ac:dyDescent="0.2">
      <c r="C138" s="110" t="s">
        <v>278</v>
      </c>
      <c r="D138" s="105">
        <f t="shared" ref="D138:O138" si="2">SUM(D$131:D$137)</f>
        <v>838274.88509936607</v>
      </c>
      <c r="E138" s="105">
        <f t="shared" si="2"/>
        <v>972170.1236875176</v>
      </c>
      <c r="F138" s="105">
        <f t="shared" si="2"/>
        <v>1047569.5088198925</v>
      </c>
      <c r="G138" s="105">
        <f t="shared" si="2"/>
        <v>984559.83981671452</v>
      </c>
      <c r="H138" s="105">
        <f t="shared" si="2"/>
        <v>962445.3713486772</v>
      </c>
      <c r="I138" s="105">
        <f t="shared" si="2"/>
        <v>989059.66923123831</v>
      </c>
      <c r="J138" s="105">
        <f t="shared" si="2"/>
        <v>988570.49441771978</v>
      </c>
      <c r="K138" s="105">
        <f t="shared" si="2"/>
        <v>1060950.5170643546</v>
      </c>
      <c r="L138" s="105">
        <f t="shared" si="2"/>
        <v>1035936.607556904</v>
      </c>
      <c r="M138" s="105">
        <f t="shared" si="2"/>
        <v>1081846.6490237252</v>
      </c>
      <c r="N138" s="105">
        <f t="shared" si="2"/>
        <v>1063125.8538862208</v>
      </c>
      <c r="O138" s="105">
        <f t="shared" si="2"/>
        <v>1036684.4835187646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5"/>
  </cols>
  <sheetData>
    <row r="1" spans="1:99" x14ac:dyDescent="0.2">
      <c r="A1" s="106"/>
    </row>
    <row r="2" spans="1:99" x14ac:dyDescent="0.2">
      <c r="B2" s="107" t="s">
        <v>272</v>
      </c>
    </row>
    <row r="3" spans="1:99" x14ac:dyDescent="0.2">
      <c r="B3" s="108" t="s">
        <v>273</v>
      </c>
    </row>
    <row r="4" spans="1:99" x14ac:dyDescent="0.2">
      <c r="A4" s="106"/>
      <c r="B4" s="106"/>
      <c r="C4" s="104" t="s">
        <v>274</v>
      </c>
      <c r="D4" s="104" t="s">
        <v>92</v>
      </c>
      <c r="E4" s="106"/>
      <c r="F4" s="106"/>
      <c r="G4" s="106"/>
      <c r="H4" s="106"/>
      <c r="I4" s="106"/>
      <c r="J4" s="106"/>
      <c r="K4" s="106"/>
      <c r="L4" s="104" t="s">
        <v>93</v>
      </c>
      <c r="M4" s="106"/>
      <c r="N4" s="106"/>
      <c r="O4" s="106"/>
      <c r="P4" s="106"/>
      <c r="Q4" s="106"/>
      <c r="R4" s="106"/>
      <c r="S4" s="106"/>
      <c r="T4" s="104" t="s">
        <v>94</v>
      </c>
      <c r="U4" s="106"/>
      <c r="V4" s="106"/>
      <c r="W4" s="106"/>
      <c r="X4" s="106"/>
      <c r="Y4" s="106"/>
      <c r="Z4" s="106"/>
      <c r="AA4" s="106"/>
      <c r="AB4" s="104" t="s">
        <v>95</v>
      </c>
      <c r="AC4" s="106"/>
      <c r="AD4" s="106"/>
      <c r="AE4" s="106"/>
      <c r="AF4" s="106"/>
      <c r="AG4" s="106"/>
      <c r="AH4" s="106"/>
      <c r="AI4" s="106"/>
      <c r="AJ4" s="104" t="s">
        <v>96</v>
      </c>
      <c r="AK4" s="106"/>
      <c r="AL4" s="106"/>
      <c r="AM4" s="106"/>
      <c r="AN4" s="106"/>
      <c r="AO4" s="106"/>
      <c r="AP4" s="106"/>
      <c r="AQ4" s="106"/>
      <c r="AR4" s="104" t="s">
        <v>97</v>
      </c>
      <c r="AS4" s="106"/>
      <c r="AT4" s="106"/>
      <c r="AU4" s="106"/>
      <c r="AV4" s="106"/>
      <c r="AW4" s="106"/>
      <c r="AX4" s="106"/>
      <c r="AY4" s="106"/>
      <c r="AZ4" s="104" t="s">
        <v>98</v>
      </c>
      <c r="BA4" s="106"/>
      <c r="BB4" s="106"/>
      <c r="BC4" s="106"/>
      <c r="BD4" s="106"/>
      <c r="BE4" s="106"/>
      <c r="BF4" s="106"/>
      <c r="BG4" s="106"/>
      <c r="BH4" s="104" t="s">
        <v>99</v>
      </c>
      <c r="BI4" s="106"/>
      <c r="BJ4" s="106"/>
      <c r="BK4" s="106"/>
      <c r="BL4" s="106"/>
      <c r="BM4" s="106"/>
      <c r="BN4" s="106"/>
      <c r="BO4" s="106"/>
      <c r="BP4" s="104" t="s">
        <v>100</v>
      </c>
      <c r="BQ4" s="106"/>
      <c r="BR4" s="106"/>
      <c r="BS4" s="106"/>
      <c r="BT4" s="106"/>
      <c r="BU4" s="106"/>
      <c r="BV4" s="106"/>
      <c r="BW4" s="106"/>
      <c r="BX4" s="104" t="s">
        <v>101</v>
      </c>
      <c r="BY4" s="106"/>
      <c r="BZ4" s="106"/>
      <c r="CA4" s="106"/>
      <c r="CB4" s="106"/>
      <c r="CC4" s="106"/>
      <c r="CD4" s="106"/>
      <c r="CE4" s="106"/>
      <c r="CF4" s="104" t="s">
        <v>102</v>
      </c>
      <c r="CG4" s="106"/>
      <c r="CH4" s="106"/>
      <c r="CI4" s="106"/>
      <c r="CJ4" s="106"/>
      <c r="CK4" s="106"/>
      <c r="CL4" s="106"/>
      <c r="CM4" s="106"/>
      <c r="CN4" s="104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4" t="s">
        <v>167</v>
      </c>
      <c r="C5" s="104" t="s">
        <v>275</v>
      </c>
      <c r="D5" s="104">
        <v>1</v>
      </c>
      <c r="E5" s="104"/>
      <c r="F5" s="104">
        <v>2</v>
      </c>
      <c r="G5" s="104"/>
      <c r="H5" s="104">
        <v>3</v>
      </c>
      <c r="I5" s="104"/>
      <c r="J5" s="104">
        <v>4</v>
      </c>
      <c r="K5" s="104"/>
      <c r="L5" s="104">
        <v>1</v>
      </c>
      <c r="M5" s="104"/>
      <c r="N5" s="104">
        <v>2</v>
      </c>
      <c r="O5" s="104"/>
      <c r="P5" s="104">
        <v>3</v>
      </c>
      <c r="Q5" s="104"/>
      <c r="R5" s="104">
        <v>4</v>
      </c>
      <c r="S5" s="104"/>
      <c r="T5" s="104">
        <v>1</v>
      </c>
      <c r="U5" s="104"/>
      <c r="V5" s="104">
        <v>2</v>
      </c>
      <c r="W5" s="104"/>
      <c r="X5" s="104">
        <v>3</v>
      </c>
      <c r="Y5" s="104"/>
      <c r="Z5" s="104">
        <v>4</v>
      </c>
      <c r="AA5" s="104"/>
      <c r="AB5" s="104">
        <v>1</v>
      </c>
      <c r="AC5" s="104"/>
      <c r="AD5" s="104">
        <v>2</v>
      </c>
      <c r="AE5" s="104"/>
      <c r="AF5" s="104">
        <v>3</v>
      </c>
      <c r="AG5" s="104"/>
      <c r="AH5" s="104">
        <v>4</v>
      </c>
      <c r="AI5" s="104"/>
      <c r="AJ5" s="104">
        <v>1</v>
      </c>
      <c r="AK5" s="104"/>
      <c r="AL5" s="104">
        <v>2</v>
      </c>
      <c r="AM5" s="104"/>
      <c r="AN5" s="104">
        <v>3</v>
      </c>
      <c r="AO5" s="104"/>
      <c r="AP5" s="104">
        <v>4</v>
      </c>
      <c r="AQ5" s="104"/>
      <c r="AR5" s="104">
        <v>1</v>
      </c>
      <c r="AS5" s="104"/>
      <c r="AT5" s="104">
        <v>2</v>
      </c>
      <c r="AU5" s="104"/>
      <c r="AV5" s="104">
        <v>3</v>
      </c>
      <c r="AW5" s="104"/>
      <c r="AX5" s="104">
        <v>4</v>
      </c>
      <c r="AY5" s="104"/>
      <c r="AZ5" s="104">
        <v>1</v>
      </c>
      <c r="BA5" s="104"/>
      <c r="BB5" s="104">
        <v>2</v>
      </c>
      <c r="BC5" s="104"/>
      <c r="BD5" s="104">
        <v>3</v>
      </c>
      <c r="BE5" s="104"/>
      <c r="BF5" s="104">
        <v>4</v>
      </c>
      <c r="BG5" s="104"/>
      <c r="BH5" s="104">
        <v>1</v>
      </c>
      <c r="BI5" s="104"/>
      <c r="BJ5" s="104">
        <v>2</v>
      </c>
      <c r="BK5" s="104"/>
      <c r="BL5" s="104">
        <v>3</v>
      </c>
      <c r="BM5" s="104"/>
      <c r="BN5" s="104">
        <v>4</v>
      </c>
      <c r="BO5" s="104"/>
      <c r="BP5" s="104">
        <v>1</v>
      </c>
      <c r="BQ5" s="104"/>
      <c r="BR5" s="104">
        <v>2</v>
      </c>
      <c r="BS5" s="104"/>
      <c r="BT5" s="104">
        <v>3</v>
      </c>
      <c r="BU5" s="104"/>
      <c r="BV5" s="104">
        <v>4</v>
      </c>
      <c r="BW5" s="104"/>
      <c r="BX5" s="104">
        <v>1</v>
      </c>
      <c r="BY5" s="104"/>
      <c r="BZ5" s="104">
        <v>2</v>
      </c>
      <c r="CA5" s="104"/>
      <c r="CB5" s="104">
        <v>3</v>
      </c>
      <c r="CC5" s="104"/>
      <c r="CD5" s="104">
        <v>4</v>
      </c>
      <c r="CE5" s="104"/>
      <c r="CF5" s="104">
        <v>1</v>
      </c>
      <c r="CG5" s="104"/>
      <c r="CH5" s="104">
        <v>2</v>
      </c>
      <c r="CI5" s="104"/>
      <c r="CJ5" s="104">
        <v>3</v>
      </c>
      <c r="CK5" s="104"/>
      <c r="CL5" s="104">
        <v>4</v>
      </c>
      <c r="CM5" s="104"/>
      <c r="CN5" s="104">
        <v>1</v>
      </c>
      <c r="CO5" s="104"/>
      <c r="CP5" s="104">
        <v>2</v>
      </c>
      <c r="CQ5" s="104"/>
      <c r="CR5" s="104">
        <v>3</v>
      </c>
      <c r="CS5" s="104"/>
      <c r="CT5" s="104">
        <v>4</v>
      </c>
      <c r="CU5" s="104"/>
    </row>
    <row r="6" spans="1:99" x14ac:dyDescent="0.2">
      <c r="B6" s="104" t="s">
        <v>126</v>
      </c>
      <c r="C6" s="104" t="s">
        <v>172</v>
      </c>
      <c r="D6" s="105">
        <v>28</v>
      </c>
      <c r="E6" s="105">
        <v>19118.399999999998</v>
      </c>
      <c r="F6" s="105">
        <v>27.490662338310614</v>
      </c>
      <c r="G6" s="105">
        <v>18770.624244598486</v>
      </c>
      <c r="H6" s="105">
        <v>20.171349334023709</v>
      </c>
      <c r="I6" s="105">
        <v>13772.997325271388</v>
      </c>
      <c r="J6" s="105">
        <v>22.12597985125926</v>
      </c>
      <c r="K6" s="105">
        <v>15107.619042439821</v>
      </c>
      <c r="L6" s="105">
        <v>26.253052071504818</v>
      </c>
      <c r="M6" s="105">
        <v>17925.583954423488</v>
      </c>
      <c r="N6" s="105">
        <v>25.166040397578342</v>
      </c>
      <c r="O6" s="105">
        <v>17183.372383466492</v>
      </c>
      <c r="P6" s="105">
        <v>29.606308029510192</v>
      </c>
      <c r="Q6" s="105">
        <v>20215.187122549556</v>
      </c>
      <c r="R6" s="105">
        <v>21.586961602619247</v>
      </c>
      <c r="S6" s="105">
        <v>14739.57738226842</v>
      </c>
      <c r="T6" s="105">
        <v>20</v>
      </c>
      <c r="U6" s="105">
        <v>13656</v>
      </c>
      <c r="V6" s="105">
        <v>25.834436193160155</v>
      </c>
      <c r="W6" s="105">
        <v>17639.753032689754</v>
      </c>
      <c r="X6" s="105">
        <v>25</v>
      </c>
      <c r="Y6" s="105">
        <v>17070</v>
      </c>
      <c r="Z6" s="105">
        <v>23</v>
      </c>
      <c r="AA6" s="105">
        <v>15704.4</v>
      </c>
      <c r="AB6" s="105">
        <v>19.839538235768035</v>
      </c>
      <c r="AC6" s="105">
        <v>13546.436707382414</v>
      </c>
      <c r="AD6" s="105">
        <v>32</v>
      </c>
      <c r="AE6" s="105">
        <v>21849.599999999999</v>
      </c>
      <c r="AF6" s="105">
        <v>23</v>
      </c>
      <c r="AG6" s="105">
        <v>15704.4</v>
      </c>
      <c r="AH6" s="105">
        <v>28.037054395685814</v>
      </c>
      <c r="AI6" s="105">
        <v>19143.700741374272</v>
      </c>
      <c r="AJ6" s="105">
        <v>17</v>
      </c>
      <c r="AK6" s="105">
        <v>11607.599999999999</v>
      </c>
      <c r="AL6" s="105">
        <v>31</v>
      </c>
      <c r="AM6" s="105">
        <v>21166.799999999999</v>
      </c>
      <c r="AN6" s="105">
        <v>35.686475137093161</v>
      </c>
      <c r="AO6" s="105">
        <v>24366.725223607209</v>
      </c>
      <c r="AP6" s="105">
        <v>24</v>
      </c>
      <c r="AQ6" s="105">
        <v>16387.199999999997</v>
      </c>
      <c r="AR6" s="105">
        <v>26.901684888639011</v>
      </c>
      <c r="AS6" s="105">
        <v>18368.470441962716</v>
      </c>
      <c r="AT6" s="105">
        <v>30.10063421106334</v>
      </c>
      <c r="AU6" s="105">
        <v>20552.713039314047</v>
      </c>
      <c r="AV6" s="105">
        <v>24</v>
      </c>
      <c r="AW6" s="105">
        <v>16387.199999999997</v>
      </c>
      <c r="AX6" s="105">
        <v>26</v>
      </c>
      <c r="AY6" s="105">
        <v>17752.8</v>
      </c>
      <c r="AZ6" s="105">
        <v>25.325814846331561</v>
      </c>
      <c r="BA6" s="105">
        <v>17292.466377075187</v>
      </c>
      <c r="BB6" s="105">
        <v>26.173765706170812</v>
      </c>
      <c r="BC6" s="105">
        <v>17871.447224173429</v>
      </c>
      <c r="BD6" s="105">
        <v>29.401859301522009</v>
      </c>
      <c r="BE6" s="105">
        <v>20075.589531079226</v>
      </c>
      <c r="BF6" s="105">
        <v>33.928265086745739</v>
      </c>
      <c r="BG6" s="105">
        <v>23166.219401229988</v>
      </c>
      <c r="BH6" s="105">
        <v>26.7909537750567</v>
      </c>
      <c r="BI6" s="105">
        <v>18292.863237608712</v>
      </c>
      <c r="BJ6" s="105">
        <v>29.658003716531603</v>
      </c>
      <c r="BK6" s="105">
        <v>20250.484937647776</v>
      </c>
      <c r="BL6" s="105">
        <v>29</v>
      </c>
      <c r="BM6" s="105">
        <v>19801.199999999997</v>
      </c>
      <c r="BN6" s="105">
        <v>21</v>
      </c>
      <c r="BO6" s="105">
        <v>14338.8</v>
      </c>
      <c r="BP6" s="105">
        <v>25</v>
      </c>
      <c r="BQ6" s="105">
        <v>17070</v>
      </c>
      <c r="BR6" s="105">
        <v>19</v>
      </c>
      <c r="BS6" s="105">
        <v>12973.199999999999</v>
      </c>
      <c r="BT6" s="105">
        <v>32</v>
      </c>
      <c r="BU6" s="105">
        <v>21849.599999999999</v>
      </c>
      <c r="BV6" s="105">
        <v>30.133869422012115</v>
      </c>
      <c r="BW6" s="105">
        <v>20575.40604134987</v>
      </c>
      <c r="BX6" s="105">
        <v>22</v>
      </c>
      <c r="BY6" s="105">
        <v>15021.599999999999</v>
      </c>
      <c r="BZ6" s="105">
        <v>31</v>
      </c>
      <c r="CA6" s="105">
        <v>21166.799999999999</v>
      </c>
      <c r="CB6" s="105">
        <v>27</v>
      </c>
      <c r="CC6" s="105">
        <v>18435.599999999999</v>
      </c>
      <c r="CD6" s="105">
        <v>37.575663088927648</v>
      </c>
      <c r="CE6" s="105">
        <v>25656.662757119797</v>
      </c>
      <c r="CF6" s="105">
        <v>23.256429148589465</v>
      </c>
      <c r="CG6" s="105">
        <v>15879.489822656886</v>
      </c>
      <c r="CH6" s="105">
        <v>33.658832971251371</v>
      </c>
      <c r="CI6" s="105">
        <v>22982.251152770434</v>
      </c>
      <c r="CJ6" s="105">
        <v>32.149616868161687</v>
      </c>
      <c r="CK6" s="105">
        <v>21951.758397580797</v>
      </c>
      <c r="CL6" s="105">
        <v>29</v>
      </c>
      <c r="CM6" s="105">
        <v>19801.199999999997</v>
      </c>
      <c r="CN6" s="105">
        <v>39</v>
      </c>
      <c r="CO6" s="105">
        <v>26629.199999999997</v>
      </c>
      <c r="CP6" s="105">
        <v>25.91304636350435</v>
      </c>
      <c r="CQ6" s="105">
        <v>17693.428057000769</v>
      </c>
      <c r="CR6" s="105">
        <v>29.452969389307334</v>
      </c>
      <c r="CS6" s="105">
        <v>20110.487499019047</v>
      </c>
      <c r="CT6" s="105">
        <v>30.727206074142394</v>
      </c>
      <c r="CU6" s="105">
        <v>20980.536307424427</v>
      </c>
    </row>
    <row r="7" spans="1:99" x14ac:dyDescent="0.2">
      <c r="C7" s="104" t="s">
        <v>173</v>
      </c>
      <c r="D7" s="105">
        <v>23</v>
      </c>
      <c r="E7" s="105">
        <v>19844.399999999998</v>
      </c>
      <c r="F7" s="105">
        <v>24.741596104479552</v>
      </c>
      <c r="G7" s="105">
        <v>21347.049118944957</v>
      </c>
      <c r="H7" s="105">
        <v>23.052970667455668</v>
      </c>
      <c r="I7" s="105">
        <v>19890.103091880748</v>
      </c>
      <c r="J7" s="105">
        <v>22.12597985125926</v>
      </c>
      <c r="K7" s="105">
        <v>19090.295415666489</v>
      </c>
      <c r="L7" s="105">
        <v>24.308381547689645</v>
      </c>
      <c r="M7" s="105">
        <v>20973.271599346626</v>
      </c>
      <c r="N7" s="105">
        <v>25.952479160002664</v>
      </c>
      <c r="O7" s="105">
        <v>22391.799019250298</v>
      </c>
      <c r="P7" s="105">
        <v>26.017664631993803</v>
      </c>
      <c r="Q7" s="105">
        <v>22448.041044484253</v>
      </c>
      <c r="R7" s="105">
        <v>20.605736075227465</v>
      </c>
      <c r="S7" s="105">
        <v>17778.629085706256</v>
      </c>
      <c r="T7" s="105">
        <v>21</v>
      </c>
      <c r="U7" s="105">
        <v>18118.8</v>
      </c>
      <c r="V7" s="105">
        <v>23.847171870609376</v>
      </c>
      <c r="W7" s="105">
        <v>20575.339889961768</v>
      </c>
      <c r="X7" s="105">
        <v>26</v>
      </c>
      <c r="Y7" s="105">
        <v>22432.799999999999</v>
      </c>
      <c r="Z7" s="105">
        <v>20</v>
      </c>
      <c r="AA7" s="105">
        <v>17256</v>
      </c>
      <c r="AB7" s="105">
        <v>18.035943850698214</v>
      </c>
      <c r="AC7" s="105">
        <v>15561.412354382417</v>
      </c>
      <c r="AD7" s="105">
        <v>29</v>
      </c>
      <c r="AE7" s="105">
        <v>25021.199999999997</v>
      </c>
      <c r="AF7" s="105">
        <v>24</v>
      </c>
      <c r="AG7" s="105">
        <v>20707.199999999997</v>
      </c>
      <c r="AH7" s="105">
        <v>28.037054395685814</v>
      </c>
      <c r="AI7" s="105">
        <v>24190.370532597721</v>
      </c>
      <c r="AJ7" s="105">
        <v>19</v>
      </c>
      <c r="AK7" s="105">
        <v>16393.2</v>
      </c>
      <c r="AL7" s="105">
        <v>32</v>
      </c>
      <c r="AM7" s="105">
        <v>27609.599999999999</v>
      </c>
      <c r="AN7" s="105">
        <v>33.703893185032435</v>
      </c>
      <c r="AO7" s="105">
        <v>29079.719040045984</v>
      </c>
      <c r="AP7" s="105">
        <v>20</v>
      </c>
      <c r="AQ7" s="105">
        <v>17256</v>
      </c>
      <c r="AR7" s="105">
        <v>27.74236254140898</v>
      </c>
      <c r="AS7" s="105">
        <v>23936.110400727666</v>
      </c>
      <c r="AT7" s="105">
        <v>28.276353349786771</v>
      </c>
      <c r="AU7" s="105">
        <v>24396.837670196026</v>
      </c>
      <c r="AV7" s="105">
        <v>21</v>
      </c>
      <c r="AW7" s="105">
        <v>18118.8</v>
      </c>
      <c r="AX7" s="105">
        <v>22</v>
      </c>
      <c r="AY7" s="105">
        <v>18981.599999999999</v>
      </c>
      <c r="AZ7" s="105">
        <v>28.139794273701735</v>
      </c>
      <c r="BA7" s="105">
        <v>24279.014499349854</v>
      </c>
      <c r="BB7" s="105">
        <v>22.68393027868137</v>
      </c>
      <c r="BC7" s="105">
        <v>19571.695044446285</v>
      </c>
      <c r="BD7" s="105">
        <v>29.401859301522009</v>
      </c>
      <c r="BE7" s="105">
        <v>25367.924205353189</v>
      </c>
      <c r="BF7" s="105">
        <v>34.821114167975892</v>
      </c>
      <c r="BG7" s="105">
        <v>30043.6573041296</v>
      </c>
      <c r="BH7" s="105">
        <v>23.334056513759062</v>
      </c>
      <c r="BI7" s="105">
        <v>20132.623960071316</v>
      </c>
      <c r="BJ7" s="105">
        <v>27.804378484248375</v>
      </c>
      <c r="BK7" s="105">
        <v>23989.617756209496</v>
      </c>
      <c r="BL7" s="105">
        <v>29</v>
      </c>
      <c r="BM7" s="105">
        <v>25021.199999999997</v>
      </c>
      <c r="BN7" s="105">
        <v>24</v>
      </c>
      <c r="BO7" s="105">
        <v>20707.199999999997</v>
      </c>
      <c r="BP7" s="105">
        <v>24</v>
      </c>
      <c r="BQ7" s="105">
        <v>20707.199999999997</v>
      </c>
      <c r="BR7" s="105">
        <v>18</v>
      </c>
      <c r="BS7" s="105">
        <v>15530.4</v>
      </c>
      <c r="BT7" s="105">
        <v>38</v>
      </c>
      <c r="BU7" s="105">
        <v>32786.400000000001</v>
      </c>
      <c r="BV7" s="105">
        <v>31.906449976248119</v>
      </c>
      <c r="BW7" s="105">
        <v>27528.885039506877</v>
      </c>
      <c r="BX7" s="105">
        <v>24</v>
      </c>
      <c r="BY7" s="105">
        <v>20707.199999999997</v>
      </c>
      <c r="BZ7" s="105">
        <v>31</v>
      </c>
      <c r="CA7" s="105">
        <v>26746.799999999999</v>
      </c>
      <c r="CB7" s="105">
        <v>26</v>
      </c>
      <c r="CC7" s="105">
        <v>22432.799999999999</v>
      </c>
      <c r="CD7" s="105">
        <v>31.313052574106376</v>
      </c>
      <c r="CE7" s="105">
        <v>27016.901760938981</v>
      </c>
      <c r="CF7" s="105">
        <v>21.395914816702305</v>
      </c>
      <c r="CG7" s="105">
        <v>18460.39530385075</v>
      </c>
      <c r="CH7" s="105">
        <v>37.201868020856779</v>
      </c>
      <c r="CI7" s="105">
        <v>32097.771728395226</v>
      </c>
      <c r="CJ7" s="105">
        <v>28.673982612144204</v>
      </c>
      <c r="CK7" s="105">
        <v>24739.912197758018</v>
      </c>
      <c r="CL7" s="105">
        <v>31</v>
      </c>
      <c r="CM7" s="105">
        <v>26746.799999999999</v>
      </c>
      <c r="CN7" s="105">
        <v>40</v>
      </c>
      <c r="CO7" s="105">
        <v>34512</v>
      </c>
      <c r="CP7" s="105">
        <v>26.806599686383809</v>
      </c>
      <c r="CQ7" s="105">
        <v>23128.734209411949</v>
      </c>
      <c r="CR7" s="105">
        <v>28.634831350715466</v>
      </c>
      <c r="CS7" s="105">
        <v>24706.132489397303</v>
      </c>
      <c r="CT7" s="105">
        <v>29.796078617350201</v>
      </c>
      <c r="CU7" s="105">
        <v>25708.056631049752</v>
      </c>
    </row>
    <row r="8" spans="1:99" x14ac:dyDescent="0.2">
      <c r="C8" s="104" t="s">
        <v>174</v>
      </c>
      <c r="D8" s="105">
        <v>25</v>
      </c>
      <c r="E8" s="105">
        <v>8189.9999999999991</v>
      </c>
      <c r="F8" s="105">
        <v>28.407017749587634</v>
      </c>
      <c r="G8" s="105">
        <v>9306.1390147649072</v>
      </c>
      <c r="H8" s="105">
        <v>24.013511111932985</v>
      </c>
      <c r="I8" s="105">
        <v>7866.8262402692453</v>
      </c>
      <c r="J8" s="105">
        <v>23.087978975227049</v>
      </c>
      <c r="K8" s="105">
        <v>7563.6219122843804</v>
      </c>
      <c r="L8" s="105">
        <v>25.280716809597234</v>
      </c>
      <c r="M8" s="105">
        <v>8281.9628268240522</v>
      </c>
      <c r="N8" s="105">
        <v>28.311795447275635</v>
      </c>
      <c r="O8" s="105">
        <v>9274.9441885274973</v>
      </c>
      <c r="P8" s="105">
        <v>31.400629728268385</v>
      </c>
      <c r="Q8" s="105">
        <v>10286.846298980721</v>
      </c>
      <c r="R8" s="105">
        <v>23.549412657402815</v>
      </c>
      <c r="S8" s="105">
        <v>7714.7875865651613</v>
      </c>
      <c r="T8" s="105">
        <v>20</v>
      </c>
      <c r="U8" s="105">
        <v>6551.9999999999991</v>
      </c>
      <c r="V8" s="105">
        <v>25.834436193160155</v>
      </c>
      <c r="W8" s="105">
        <v>8463.3612968792659</v>
      </c>
      <c r="X8" s="105">
        <v>28</v>
      </c>
      <c r="Y8" s="105">
        <v>9172.7999999999993</v>
      </c>
      <c r="Z8" s="105">
        <v>22</v>
      </c>
      <c r="AA8" s="105">
        <v>7207.1999999999989</v>
      </c>
      <c r="AB8" s="105">
        <v>18.937741043233128</v>
      </c>
      <c r="AC8" s="105">
        <v>6204.0039657631723</v>
      </c>
      <c r="AD8" s="105">
        <v>36</v>
      </c>
      <c r="AE8" s="105">
        <v>11793.599999999999</v>
      </c>
      <c r="AF8" s="105">
        <v>25</v>
      </c>
      <c r="AG8" s="105">
        <v>8189.9999999999991</v>
      </c>
      <c r="AH8" s="105">
        <v>31.152282661873127</v>
      </c>
      <c r="AI8" s="105">
        <v>10205.487800029636</v>
      </c>
      <c r="AJ8" s="105">
        <v>22</v>
      </c>
      <c r="AK8" s="105">
        <v>7207.1999999999989</v>
      </c>
      <c r="AL8" s="105">
        <v>35</v>
      </c>
      <c r="AM8" s="105">
        <v>11465.999999999998</v>
      </c>
      <c r="AN8" s="105">
        <v>35.686475137093161</v>
      </c>
      <c r="AO8" s="105">
        <v>11690.889254911719</v>
      </c>
      <c r="AP8" s="105">
        <v>23</v>
      </c>
      <c r="AQ8" s="105">
        <v>7534.7999999999993</v>
      </c>
      <c r="AR8" s="105">
        <v>33.627106110798763</v>
      </c>
      <c r="AS8" s="105">
        <v>11016.239961897674</v>
      </c>
      <c r="AT8" s="105">
        <v>32.837055502978188</v>
      </c>
      <c r="AU8" s="105">
        <v>10757.419382775654</v>
      </c>
      <c r="AV8" s="105">
        <v>27</v>
      </c>
      <c r="AW8" s="105">
        <v>8845.1999999999989</v>
      </c>
      <c r="AX8" s="105">
        <v>24</v>
      </c>
      <c r="AY8" s="105">
        <v>7862.4</v>
      </c>
      <c r="AZ8" s="105">
        <v>28.139794273701735</v>
      </c>
      <c r="BA8" s="105">
        <v>9218.5966040646872</v>
      </c>
      <c r="BB8" s="105">
        <v>27.918683419915535</v>
      </c>
      <c r="BC8" s="105">
        <v>9146.160688364329</v>
      </c>
      <c r="BD8" s="105">
        <v>31.183790168280915</v>
      </c>
      <c r="BE8" s="105">
        <v>10215.809659128827</v>
      </c>
      <c r="BF8" s="105">
        <v>36.606812330436192</v>
      </c>
      <c r="BG8" s="105">
        <v>11992.391719450896</v>
      </c>
      <c r="BH8" s="105">
        <v>24.198280829083473</v>
      </c>
      <c r="BI8" s="105">
        <v>7927.3567996077445</v>
      </c>
      <c r="BJ8" s="105">
        <v>30.584816332673217</v>
      </c>
      <c r="BK8" s="105">
        <v>10019.585830583745</v>
      </c>
      <c r="BL8" s="105">
        <v>31</v>
      </c>
      <c r="BM8" s="105">
        <v>10155.599999999999</v>
      </c>
      <c r="BN8" s="105">
        <v>22</v>
      </c>
      <c r="BO8" s="105">
        <v>7207.1999999999989</v>
      </c>
      <c r="BP8" s="105">
        <v>24</v>
      </c>
      <c r="BQ8" s="105">
        <v>7862.4</v>
      </c>
      <c r="BR8" s="105">
        <v>19</v>
      </c>
      <c r="BS8" s="105">
        <v>6224.4</v>
      </c>
      <c r="BT8" s="105">
        <v>35</v>
      </c>
      <c r="BU8" s="105">
        <v>11465.999999999998</v>
      </c>
      <c r="BV8" s="105">
        <v>33.679030530484127</v>
      </c>
      <c r="BW8" s="105">
        <v>11033.250401786599</v>
      </c>
      <c r="BX8" s="105">
        <v>26</v>
      </c>
      <c r="BY8" s="105">
        <v>8517.5999999999985</v>
      </c>
      <c r="BZ8" s="105">
        <v>33</v>
      </c>
      <c r="CA8" s="105">
        <v>10810.8</v>
      </c>
      <c r="CB8" s="105">
        <v>26</v>
      </c>
      <c r="CC8" s="105">
        <v>8517.5999999999985</v>
      </c>
      <c r="CD8" s="105">
        <v>39.364980378876588</v>
      </c>
      <c r="CE8" s="105">
        <v>12895.967572119969</v>
      </c>
      <c r="CF8" s="105">
        <v>21.395914816702305</v>
      </c>
      <c r="CG8" s="105">
        <v>7009.3016939516747</v>
      </c>
      <c r="CH8" s="105">
        <v>36.316109258455427</v>
      </c>
      <c r="CI8" s="105">
        <v>11897.157393069996</v>
      </c>
      <c r="CJ8" s="105">
        <v>36.49415968818353</v>
      </c>
      <c r="CK8" s="105">
        <v>11955.486713848923</v>
      </c>
      <c r="CL8" s="105">
        <v>29</v>
      </c>
      <c r="CM8" s="105">
        <v>9500.4</v>
      </c>
      <c r="CN8" s="105">
        <v>43</v>
      </c>
      <c r="CO8" s="105">
        <v>14086.8</v>
      </c>
      <c r="CP8" s="105">
        <v>29.487259655022193</v>
      </c>
      <c r="CQ8" s="105">
        <v>9660.0262629852696</v>
      </c>
      <c r="CR8" s="105">
        <v>31.089245466491075</v>
      </c>
      <c r="CS8" s="105">
        <v>10184.836814822474</v>
      </c>
      <c r="CT8" s="105">
        <v>33.520588444518978</v>
      </c>
      <c r="CU8" s="105">
        <v>10981.344774424417</v>
      </c>
    </row>
    <row r="9" spans="1:99" x14ac:dyDescent="0.2">
      <c r="C9" s="104" t="s">
        <v>175</v>
      </c>
      <c r="D9" s="105">
        <v>23</v>
      </c>
      <c r="E9" s="105">
        <v>18464.399999999998</v>
      </c>
      <c r="F9" s="105">
        <v>27.490662338310614</v>
      </c>
      <c r="G9" s="105">
        <v>22069.503725195758</v>
      </c>
      <c r="H9" s="105">
        <v>24.013511111932985</v>
      </c>
      <c r="I9" s="105">
        <v>19278.0467206598</v>
      </c>
      <c r="J9" s="105">
        <v>21.163980727291463</v>
      </c>
      <c r="K9" s="105">
        <v>16990.443727869584</v>
      </c>
      <c r="L9" s="105">
        <v>28.197722595319988</v>
      </c>
      <c r="M9" s="105">
        <v>22637.131699522884</v>
      </c>
      <c r="N9" s="105">
        <v>28.311795447275635</v>
      </c>
      <c r="O9" s="105">
        <v>22728.709385072878</v>
      </c>
      <c r="P9" s="105">
        <v>28.70914718013109</v>
      </c>
      <c r="Q9" s="105">
        <v>23047.703356209237</v>
      </c>
      <c r="R9" s="105">
        <v>20.605736075227465</v>
      </c>
      <c r="S9" s="105">
        <v>16542.284921192608</v>
      </c>
      <c r="T9" s="105">
        <v>20</v>
      </c>
      <c r="U9" s="105">
        <v>16056</v>
      </c>
      <c r="V9" s="105">
        <v>26.828068354435551</v>
      </c>
      <c r="W9" s="105">
        <v>21537.57327494086</v>
      </c>
      <c r="X9" s="105">
        <v>25</v>
      </c>
      <c r="Y9" s="105">
        <v>20070</v>
      </c>
      <c r="Z9" s="105">
        <v>22</v>
      </c>
      <c r="AA9" s="105">
        <v>17661.599999999999</v>
      </c>
      <c r="AB9" s="105">
        <v>18.035943850698214</v>
      </c>
      <c r="AC9" s="105">
        <v>14479.255723340526</v>
      </c>
      <c r="AD9" s="105">
        <v>32</v>
      </c>
      <c r="AE9" s="105">
        <v>25689.599999999999</v>
      </c>
      <c r="AF9" s="105">
        <v>23</v>
      </c>
      <c r="AG9" s="105">
        <v>18464.399999999998</v>
      </c>
      <c r="AH9" s="105">
        <v>27.258247329138989</v>
      </c>
      <c r="AI9" s="105">
        <v>21882.920955832778</v>
      </c>
      <c r="AJ9" s="105">
        <v>17</v>
      </c>
      <c r="AK9" s="105">
        <v>13647.599999999999</v>
      </c>
      <c r="AL9" s="105">
        <v>30</v>
      </c>
      <c r="AM9" s="105">
        <v>24084</v>
      </c>
      <c r="AN9" s="105">
        <v>32.712602209002064</v>
      </c>
      <c r="AO9" s="105">
        <v>26261.677053386855</v>
      </c>
      <c r="AP9" s="105">
        <v>20</v>
      </c>
      <c r="AQ9" s="105">
        <v>16056</v>
      </c>
      <c r="AR9" s="105">
        <v>27.74236254140898</v>
      </c>
      <c r="AS9" s="105">
        <v>22271.568648243127</v>
      </c>
      <c r="AT9" s="105">
        <v>28.276353349786771</v>
      </c>
      <c r="AU9" s="105">
        <v>22700.256469208816</v>
      </c>
      <c r="AV9" s="105">
        <v>22</v>
      </c>
      <c r="AW9" s="105">
        <v>17661.599999999999</v>
      </c>
      <c r="AX9" s="105">
        <v>22</v>
      </c>
      <c r="AY9" s="105">
        <v>17661.599999999999</v>
      </c>
      <c r="AZ9" s="105">
        <v>28.139794273701735</v>
      </c>
      <c r="BA9" s="105">
        <v>22590.626842927752</v>
      </c>
      <c r="BB9" s="105">
        <v>27.918683419915535</v>
      </c>
      <c r="BC9" s="105">
        <v>22413.11904950819</v>
      </c>
      <c r="BD9" s="105">
        <v>28.510893868142553</v>
      </c>
      <c r="BE9" s="105">
        <v>22888.545597344841</v>
      </c>
      <c r="BF9" s="105">
        <v>31.24971784305529</v>
      </c>
      <c r="BG9" s="105">
        <v>25087.273484404785</v>
      </c>
      <c r="BH9" s="105">
        <v>26.7909537750567</v>
      </c>
      <c r="BI9" s="105">
        <v>21507.777690615516</v>
      </c>
      <c r="BJ9" s="105">
        <v>26.877565868106764</v>
      </c>
      <c r="BK9" s="105">
        <v>21577.309878916109</v>
      </c>
      <c r="BL9" s="105">
        <v>25</v>
      </c>
      <c r="BM9" s="105">
        <v>20070</v>
      </c>
      <c r="BN9" s="105">
        <v>22</v>
      </c>
      <c r="BO9" s="105">
        <v>17661.599999999999</v>
      </c>
      <c r="BP9" s="105">
        <v>24</v>
      </c>
      <c r="BQ9" s="105">
        <v>19267.199999999997</v>
      </c>
      <c r="BR9" s="105">
        <v>21</v>
      </c>
      <c r="BS9" s="105">
        <v>16858.8</v>
      </c>
      <c r="BT9" s="105">
        <v>33</v>
      </c>
      <c r="BU9" s="105">
        <v>26492.399999999998</v>
      </c>
      <c r="BV9" s="105">
        <v>30.133869422012115</v>
      </c>
      <c r="BW9" s="105">
        <v>24191.470371991323</v>
      </c>
      <c r="BX9" s="105">
        <v>22</v>
      </c>
      <c r="BY9" s="105">
        <v>17661.599999999999</v>
      </c>
      <c r="BZ9" s="105">
        <v>27</v>
      </c>
      <c r="CA9" s="105">
        <v>21675.599999999999</v>
      </c>
      <c r="CB9" s="105">
        <v>23</v>
      </c>
      <c r="CC9" s="105">
        <v>18464.399999999998</v>
      </c>
      <c r="CD9" s="105">
        <v>32.207711219080842</v>
      </c>
      <c r="CE9" s="105">
        <v>25856.350566678098</v>
      </c>
      <c r="CF9" s="105">
        <v>22.326171982645882</v>
      </c>
      <c r="CG9" s="105">
        <v>17923.450867668114</v>
      </c>
      <c r="CH9" s="105">
        <v>35.430350496054075</v>
      </c>
      <c r="CI9" s="105">
        <v>28443.48537823221</v>
      </c>
      <c r="CJ9" s="105">
        <v>31.280708304157315</v>
      </c>
      <c r="CK9" s="105">
        <v>25112.152626577492</v>
      </c>
      <c r="CL9" s="105">
        <v>31</v>
      </c>
      <c r="CM9" s="105">
        <v>24886.799999999999</v>
      </c>
      <c r="CN9" s="105">
        <v>40</v>
      </c>
      <c r="CO9" s="105">
        <v>32112</v>
      </c>
      <c r="CP9" s="105">
        <v>26.806599686383809</v>
      </c>
      <c r="CQ9" s="105">
        <v>21520.33822822892</v>
      </c>
      <c r="CR9" s="105">
        <v>27.816693312123597</v>
      </c>
      <c r="CS9" s="105">
        <v>22331.241390972824</v>
      </c>
      <c r="CT9" s="105">
        <v>29.796078617350201</v>
      </c>
      <c r="CU9" s="105">
        <v>23920.29191400874</v>
      </c>
    </row>
    <row r="10" spans="1:99" x14ac:dyDescent="0.2">
      <c r="C10" s="104" t="s">
        <v>176</v>
      </c>
      <c r="D10" s="105">
        <v>28</v>
      </c>
      <c r="E10" s="105">
        <v>15590.399999999998</v>
      </c>
      <c r="F10" s="105">
        <v>28.407017749587634</v>
      </c>
      <c r="G10" s="105">
        <v>15817.027482970394</v>
      </c>
      <c r="H10" s="105">
        <v>22.092430222978347</v>
      </c>
      <c r="I10" s="105">
        <v>12301.065148154343</v>
      </c>
      <c r="J10" s="105">
        <v>22.12597985125926</v>
      </c>
      <c r="K10" s="105">
        <v>12319.745581181154</v>
      </c>
      <c r="L10" s="105">
        <v>25.280716809597234</v>
      </c>
      <c r="M10" s="105">
        <v>14076.303119583739</v>
      </c>
      <c r="N10" s="105">
        <v>29.098234209699957</v>
      </c>
      <c r="O10" s="105">
        <v>16201.896807960935</v>
      </c>
      <c r="P10" s="105">
        <v>28.70914718013109</v>
      </c>
      <c r="Q10" s="105">
        <v>15985.253149896989</v>
      </c>
      <c r="R10" s="105">
        <v>23.549412657402815</v>
      </c>
      <c r="S10" s="105">
        <v>13112.312967641887</v>
      </c>
      <c r="T10" s="105">
        <v>22</v>
      </c>
      <c r="U10" s="105">
        <v>12249.599999999999</v>
      </c>
      <c r="V10" s="105">
        <v>26.828068354435551</v>
      </c>
      <c r="W10" s="105">
        <v>14937.868459749714</v>
      </c>
      <c r="X10" s="105">
        <v>24</v>
      </c>
      <c r="Y10" s="105">
        <v>13363.199999999999</v>
      </c>
      <c r="Z10" s="105">
        <v>21</v>
      </c>
      <c r="AA10" s="105">
        <v>11692.8</v>
      </c>
      <c r="AB10" s="105">
        <v>18.937741043233128</v>
      </c>
      <c r="AC10" s="105">
        <v>10544.534212872204</v>
      </c>
      <c r="AD10" s="105">
        <v>34</v>
      </c>
      <c r="AE10" s="105">
        <v>18931.199999999997</v>
      </c>
      <c r="AF10" s="105">
        <v>27</v>
      </c>
      <c r="AG10" s="105">
        <v>15033.599999999999</v>
      </c>
      <c r="AH10" s="105">
        <v>29.594668528779472</v>
      </c>
      <c r="AI10" s="105">
        <v>16478.31143682441</v>
      </c>
      <c r="AJ10" s="105">
        <v>20</v>
      </c>
      <c r="AK10" s="105">
        <v>11136</v>
      </c>
      <c r="AL10" s="105">
        <v>32</v>
      </c>
      <c r="AM10" s="105">
        <v>17817.599999999999</v>
      </c>
      <c r="AN10" s="105">
        <v>33.703893185032435</v>
      </c>
      <c r="AO10" s="105">
        <v>18766.327725426057</v>
      </c>
      <c r="AP10" s="105">
        <v>20</v>
      </c>
      <c r="AQ10" s="105">
        <v>11136</v>
      </c>
      <c r="AR10" s="105">
        <v>27.74236254140898</v>
      </c>
      <c r="AS10" s="105">
        <v>15446.947463056518</v>
      </c>
      <c r="AT10" s="105">
        <v>31.012774641701622</v>
      </c>
      <c r="AU10" s="105">
        <v>17267.912920499461</v>
      </c>
      <c r="AV10" s="105">
        <v>26</v>
      </c>
      <c r="AW10" s="105">
        <v>14476.8</v>
      </c>
      <c r="AX10" s="105">
        <v>24</v>
      </c>
      <c r="AY10" s="105">
        <v>13363.199999999999</v>
      </c>
      <c r="AZ10" s="105">
        <v>30.015780558615184</v>
      </c>
      <c r="BA10" s="105">
        <v>16712.786615036934</v>
      </c>
      <c r="BB10" s="105">
        <v>24.428847992426093</v>
      </c>
      <c r="BC10" s="105">
        <v>13601.982562182848</v>
      </c>
      <c r="BD10" s="105">
        <v>29.401859301522009</v>
      </c>
      <c r="BE10" s="105">
        <v>16370.955259087454</v>
      </c>
      <c r="BF10" s="105">
        <v>32.14256692428544</v>
      </c>
      <c r="BG10" s="105">
        <v>17896.981263442132</v>
      </c>
      <c r="BH10" s="105">
        <v>25.062505144407883</v>
      </c>
      <c r="BI10" s="105">
        <v>13954.802864406309</v>
      </c>
      <c r="BJ10" s="105">
        <v>27.804378484248375</v>
      </c>
      <c r="BK10" s="105">
        <v>15481.477940029494</v>
      </c>
      <c r="BL10" s="105">
        <v>30</v>
      </c>
      <c r="BM10" s="105">
        <v>16704</v>
      </c>
      <c r="BN10" s="105">
        <v>25</v>
      </c>
      <c r="BO10" s="105">
        <v>13919.999999999998</v>
      </c>
      <c r="BP10" s="105">
        <v>24</v>
      </c>
      <c r="BQ10" s="105">
        <v>13363.199999999999</v>
      </c>
      <c r="BR10" s="105">
        <v>22</v>
      </c>
      <c r="BS10" s="105">
        <v>12249.599999999999</v>
      </c>
      <c r="BT10" s="105">
        <v>34</v>
      </c>
      <c r="BU10" s="105">
        <v>18931.199999999997</v>
      </c>
      <c r="BV10" s="105">
        <v>36.337901361838142</v>
      </c>
      <c r="BW10" s="105">
        <v>20232.943478271474</v>
      </c>
      <c r="BX10" s="105">
        <v>24</v>
      </c>
      <c r="BY10" s="105">
        <v>13363.199999999999</v>
      </c>
      <c r="BZ10" s="105">
        <v>27</v>
      </c>
      <c r="CA10" s="105">
        <v>15033.599999999999</v>
      </c>
      <c r="CB10" s="105">
        <v>27</v>
      </c>
      <c r="CC10" s="105">
        <v>15033.599999999999</v>
      </c>
      <c r="CD10" s="105">
        <v>39.364980378876588</v>
      </c>
      <c r="CE10" s="105">
        <v>21918.421074958482</v>
      </c>
      <c r="CF10" s="105">
        <v>20.465657650758729</v>
      </c>
      <c r="CG10" s="105">
        <v>11395.278179942459</v>
      </c>
      <c r="CH10" s="105">
        <v>36.316109258455427</v>
      </c>
      <c r="CI10" s="105">
        <v>20220.80963510798</v>
      </c>
      <c r="CJ10" s="105">
        <v>33.018525432166058</v>
      </c>
      <c r="CK10" s="105">
        <v>18384.714960630059</v>
      </c>
      <c r="CL10" s="105">
        <v>30</v>
      </c>
      <c r="CM10" s="105">
        <v>16704</v>
      </c>
      <c r="CN10" s="105">
        <v>41</v>
      </c>
      <c r="CO10" s="105">
        <v>22828.799999999999</v>
      </c>
      <c r="CP10" s="105">
        <v>25.019493040624891</v>
      </c>
      <c r="CQ10" s="105">
        <v>13930.853725019939</v>
      </c>
      <c r="CR10" s="105">
        <v>31.907383505082947</v>
      </c>
      <c r="CS10" s="105">
        <v>17766.031135630183</v>
      </c>
      <c r="CT10" s="105">
        <v>31.658333530934588</v>
      </c>
      <c r="CU10" s="105">
        <v>17627.360110024376</v>
      </c>
    </row>
    <row r="11" spans="1:99" x14ac:dyDescent="0.2">
      <c r="C11" s="104" t="s">
        <v>177</v>
      </c>
      <c r="D11" s="105">
        <v>27</v>
      </c>
      <c r="E11" s="105">
        <v>16167.599999999999</v>
      </c>
      <c r="F11" s="105">
        <v>30.239728572141679</v>
      </c>
      <c r="G11" s="105">
        <v>18107.549468998437</v>
      </c>
      <c r="H11" s="105">
        <v>23.052970667455668</v>
      </c>
      <c r="I11" s="105">
        <v>13804.118835672452</v>
      </c>
      <c r="J11" s="105">
        <v>22.12597985125926</v>
      </c>
      <c r="K11" s="105">
        <v>13249.036734934043</v>
      </c>
      <c r="L11" s="105">
        <v>25.280716809597234</v>
      </c>
      <c r="M11" s="105">
        <v>15138.093225586823</v>
      </c>
      <c r="N11" s="105">
        <v>28.311795447275635</v>
      </c>
      <c r="O11" s="105">
        <v>16953.103113828649</v>
      </c>
      <c r="P11" s="105">
        <v>25.120503782614705</v>
      </c>
      <c r="Q11" s="105">
        <v>15042.157665029685</v>
      </c>
      <c r="R11" s="105">
        <v>21.586961602619247</v>
      </c>
      <c r="S11" s="105">
        <v>12926.272607648405</v>
      </c>
      <c r="T11" s="105">
        <v>20</v>
      </c>
      <c r="U11" s="105">
        <v>11976</v>
      </c>
      <c r="V11" s="105">
        <v>22.853539709333983</v>
      </c>
      <c r="W11" s="105">
        <v>13684.699577949188</v>
      </c>
      <c r="X11" s="105">
        <v>24</v>
      </c>
      <c r="Y11" s="105">
        <v>14371.199999999999</v>
      </c>
      <c r="Z11" s="105">
        <v>23</v>
      </c>
      <c r="AA11" s="105">
        <v>13772.4</v>
      </c>
      <c r="AB11" s="105">
        <v>21.643132620837861</v>
      </c>
      <c r="AC11" s="105">
        <v>12959.90781335771</v>
      </c>
      <c r="AD11" s="105">
        <v>34</v>
      </c>
      <c r="AE11" s="105">
        <v>20359.199999999997</v>
      </c>
      <c r="AF11" s="105">
        <v>23</v>
      </c>
      <c r="AG11" s="105">
        <v>13772.4</v>
      </c>
      <c r="AH11" s="105">
        <v>28.037054395685814</v>
      </c>
      <c r="AI11" s="105">
        <v>16788.588172136664</v>
      </c>
      <c r="AJ11" s="105">
        <v>20</v>
      </c>
      <c r="AK11" s="105">
        <v>11976</v>
      </c>
      <c r="AL11" s="105">
        <v>29</v>
      </c>
      <c r="AM11" s="105">
        <v>17365.199999999997</v>
      </c>
      <c r="AN11" s="105">
        <v>33.703893185032435</v>
      </c>
      <c r="AO11" s="105">
        <v>20181.891239197419</v>
      </c>
      <c r="AP11" s="105">
        <v>20</v>
      </c>
      <c r="AQ11" s="105">
        <v>11976</v>
      </c>
      <c r="AR11" s="105">
        <v>31.945750805258822</v>
      </c>
      <c r="AS11" s="105">
        <v>19129.115582188981</v>
      </c>
      <c r="AT11" s="105">
        <v>29.188493780425052</v>
      </c>
      <c r="AU11" s="105">
        <v>17478.070075718519</v>
      </c>
      <c r="AV11" s="105">
        <v>24</v>
      </c>
      <c r="AW11" s="105">
        <v>14371.199999999999</v>
      </c>
      <c r="AX11" s="105">
        <v>23</v>
      </c>
      <c r="AY11" s="105">
        <v>13772.4</v>
      </c>
      <c r="AZ11" s="105">
        <v>30.015780558615184</v>
      </c>
      <c r="BA11" s="105">
        <v>17973.449398498771</v>
      </c>
      <c r="BB11" s="105">
        <v>27.046224563043175</v>
      </c>
      <c r="BC11" s="105">
        <v>16195.279268350252</v>
      </c>
      <c r="BD11" s="105">
        <v>29.401859301522009</v>
      </c>
      <c r="BE11" s="105">
        <v>17605.833349751378</v>
      </c>
      <c r="BF11" s="105">
        <v>32.14256692428544</v>
      </c>
      <c r="BG11" s="105">
        <v>19246.969074262121</v>
      </c>
      <c r="BH11" s="105">
        <v>23.334056513759062</v>
      </c>
      <c r="BI11" s="105">
        <v>13972.433040438926</v>
      </c>
      <c r="BJ11" s="105">
        <v>27.804378484248375</v>
      </c>
      <c r="BK11" s="105">
        <v>16649.261836367925</v>
      </c>
      <c r="BL11" s="105">
        <v>30</v>
      </c>
      <c r="BM11" s="105">
        <v>17964</v>
      </c>
      <c r="BN11" s="105">
        <v>25</v>
      </c>
      <c r="BO11" s="105">
        <v>14969.999999999998</v>
      </c>
      <c r="BP11" s="105">
        <v>23</v>
      </c>
      <c r="BQ11" s="105">
        <v>13772.4</v>
      </c>
      <c r="BR11" s="105">
        <v>21</v>
      </c>
      <c r="BS11" s="105">
        <v>12574.8</v>
      </c>
      <c r="BT11" s="105">
        <v>34</v>
      </c>
      <c r="BU11" s="105">
        <v>20359.199999999997</v>
      </c>
      <c r="BV11" s="105">
        <v>31.020159699130119</v>
      </c>
      <c r="BW11" s="105">
        <v>18574.871627839115</v>
      </c>
      <c r="BX11" s="105">
        <v>22</v>
      </c>
      <c r="BY11" s="105">
        <v>13173.599999999999</v>
      </c>
      <c r="BZ11" s="105">
        <v>29</v>
      </c>
      <c r="CA11" s="105">
        <v>17365.199999999997</v>
      </c>
      <c r="CB11" s="105">
        <v>28</v>
      </c>
      <c r="CC11" s="105">
        <v>16766.399999999998</v>
      </c>
      <c r="CD11" s="105">
        <v>39.364980378876588</v>
      </c>
      <c r="CE11" s="105">
        <v>23571.750250871301</v>
      </c>
      <c r="CF11" s="105">
        <v>22.326171982645882</v>
      </c>
      <c r="CG11" s="105">
        <v>13368.911783208352</v>
      </c>
      <c r="CH11" s="105">
        <v>38.973385545659482</v>
      </c>
      <c r="CI11" s="105">
        <v>23337.263264740897</v>
      </c>
      <c r="CJ11" s="105">
        <v>34.756342560174794</v>
      </c>
      <c r="CK11" s="105">
        <v>20812.097925032664</v>
      </c>
      <c r="CL11" s="105">
        <v>30</v>
      </c>
      <c r="CM11" s="105">
        <v>17964</v>
      </c>
      <c r="CN11" s="105">
        <v>40</v>
      </c>
      <c r="CO11" s="105">
        <v>23952</v>
      </c>
      <c r="CP11" s="105">
        <v>27.700153009263271</v>
      </c>
      <c r="CQ11" s="105">
        <v>16586.851621946844</v>
      </c>
      <c r="CR11" s="105">
        <v>26.998555273531721</v>
      </c>
      <c r="CS11" s="105">
        <v>16166.734897790793</v>
      </c>
      <c r="CT11" s="105">
        <v>27.933823703765814</v>
      </c>
      <c r="CU11" s="105">
        <v>16726.77363381497</v>
      </c>
    </row>
    <row r="12" spans="1:99" x14ac:dyDescent="0.2">
      <c r="C12" s="104" t="s">
        <v>178</v>
      </c>
      <c r="D12" s="105">
        <v>26</v>
      </c>
      <c r="E12" s="105">
        <v>15724.8</v>
      </c>
      <c r="F12" s="105">
        <v>30.239728572141679</v>
      </c>
      <c r="G12" s="105">
        <v>18288.987840431288</v>
      </c>
      <c r="H12" s="105">
        <v>24.013511111932985</v>
      </c>
      <c r="I12" s="105">
        <v>14523.371520497069</v>
      </c>
      <c r="J12" s="105">
        <v>25.011977223162638</v>
      </c>
      <c r="K12" s="105">
        <v>15127.243824568763</v>
      </c>
      <c r="L12" s="105">
        <v>26.253052071504818</v>
      </c>
      <c r="M12" s="105">
        <v>15877.845892846113</v>
      </c>
      <c r="N12" s="105">
        <v>25.952479160002664</v>
      </c>
      <c r="O12" s="105">
        <v>15696.059395969611</v>
      </c>
      <c r="P12" s="105">
        <v>26.017664631993803</v>
      </c>
      <c r="Q12" s="105">
        <v>15735.483569429851</v>
      </c>
      <c r="R12" s="105">
        <v>21.586961602619247</v>
      </c>
      <c r="S12" s="105">
        <v>13055.794377264119</v>
      </c>
      <c r="T12" s="105">
        <v>20</v>
      </c>
      <c r="U12" s="105">
        <v>12096</v>
      </c>
      <c r="V12" s="105">
        <v>26.828068354435551</v>
      </c>
      <c r="W12" s="105">
        <v>16225.61574076262</v>
      </c>
      <c r="X12" s="105">
        <v>26</v>
      </c>
      <c r="Y12" s="105">
        <v>15724.8</v>
      </c>
      <c r="Z12" s="105">
        <v>22</v>
      </c>
      <c r="AA12" s="105">
        <v>13305.599999999999</v>
      </c>
      <c r="AB12" s="105">
        <v>21.643132620837861</v>
      </c>
      <c r="AC12" s="105">
        <v>13089.766609082737</v>
      </c>
      <c r="AD12" s="105">
        <v>32</v>
      </c>
      <c r="AE12" s="105">
        <v>19353.599999999999</v>
      </c>
      <c r="AF12" s="105">
        <v>23</v>
      </c>
      <c r="AG12" s="105">
        <v>13910.4</v>
      </c>
      <c r="AH12" s="105">
        <v>24.921826129498506</v>
      </c>
      <c r="AI12" s="105">
        <v>15072.720443120696</v>
      </c>
      <c r="AJ12" s="105">
        <v>21</v>
      </c>
      <c r="AK12" s="105">
        <v>12700.8</v>
      </c>
      <c r="AL12" s="105">
        <v>29</v>
      </c>
      <c r="AM12" s="105">
        <v>17539.199999999997</v>
      </c>
      <c r="AN12" s="105">
        <v>34.695184161062798</v>
      </c>
      <c r="AO12" s="105">
        <v>20983.647380610779</v>
      </c>
      <c r="AP12" s="105">
        <v>21</v>
      </c>
      <c r="AQ12" s="105">
        <v>12700.8</v>
      </c>
      <c r="AR12" s="105">
        <v>28.583040194178945</v>
      </c>
      <c r="AS12" s="105">
        <v>17287.022709439425</v>
      </c>
      <c r="AT12" s="105">
        <v>31.924915072339903</v>
      </c>
      <c r="AU12" s="105">
        <v>19308.188635751172</v>
      </c>
      <c r="AV12" s="105">
        <v>22</v>
      </c>
      <c r="AW12" s="105">
        <v>13305.599999999999</v>
      </c>
      <c r="AX12" s="105">
        <v>25</v>
      </c>
      <c r="AY12" s="105">
        <v>15119.999999999998</v>
      </c>
      <c r="AZ12" s="105">
        <v>25.325814846331561</v>
      </c>
      <c r="BA12" s="105">
        <v>15317.052819061326</v>
      </c>
      <c r="BB12" s="105">
        <v>27.918683419915535</v>
      </c>
      <c r="BC12" s="105">
        <v>16885.219732364912</v>
      </c>
      <c r="BD12" s="105">
        <v>31.183790168280915</v>
      </c>
      <c r="BE12" s="105">
        <v>18859.956293776297</v>
      </c>
      <c r="BF12" s="105">
        <v>35.713963249206046</v>
      </c>
      <c r="BG12" s="105">
        <v>21599.804973119815</v>
      </c>
      <c r="BH12" s="105">
        <v>23.334056513759062</v>
      </c>
      <c r="BI12" s="105">
        <v>14112.43737952148</v>
      </c>
      <c r="BJ12" s="105">
        <v>25.023940635823539</v>
      </c>
      <c r="BK12" s="105">
        <v>15134.479296546075</v>
      </c>
      <c r="BL12" s="105">
        <v>29</v>
      </c>
      <c r="BM12" s="105">
        <v>17539.199999999997</v>
      </c>
      <c r="BN12" s="105">
        <v>22</v>
      </c>
      <c r="BO12" s="105">
        <v>13305.599999999999</v>
      </c>
      <c r="BP12" s="105">
        <v>24</v>
      </c>
      <c r="BQ12" s="105">
        <v>14515.199999999999</v>
      </c>
      <c r="BR12" s="105">
        <v>19</v>
      </c>
      <c r="BS12" s="105">
        <v>11491.199999999999</v>
      </c>
      <c r="BT12" s="105">
        <v>37</v>
      </c>
      <c r="BU12" s="105">
        <v>22377.599999999999</v>
      </c>
      <c r="BV12" s="105">
        <v>35.451611084720135</v>
      </c>
      <c r="BW12" s="105">
        <v>21441.134384038734</v>
      </c>
      <c r="BX12" s="105">
        <v>21</v>
      </c>
      <c r="BY12" s="105">
        <v>12700.8</v>
      </c>
      <c r="BZ12" s="105">
        <v>31</v>
      </c>
      <c r="CA12" s="105">
        <v>18748.8</v>
      </c>
      <c r="CB12" s="105">
        <v>23</v>
      </c>
      <c r="CC12" s="105">
        <v>13910.4</v>
      </c>
      <c r="CD12" s="105">
        <v>37.575663088927648</v>
      </c>
      <c r="CE12" s="105">
        <v>22725.761036183441</v>
      </c>
      <c r="CF12" s="105">
        <v>21.395914816702305</v>
      </c>
      <c r="CG12" s="105">
        <v>12940.249281141554</v>
      </c>
      <c r="CH12" s="105">
        <v>32.773074208850019</v>
      </c>
      <c r="CI12" s="105">
        <v>19821.155281512489</v>
      </c>
      <c r="CJ12" s="105">
        <v>35.625251124179158</v>
      </c>
      <c r="CK12" s="105">
        <v>21546.151879903555</v>
      </c>
      <c r="CL12" s="105">
        <v>29</v>
      </c>
      <c r="CM12" s="105">
        <v>17539.199999999997</v>
      </c>
      <c r="CN12" s="105">
        <v>41</v>
      </c>
      <c r="CO12" s="105">
        <v>24796.799999999999</v>
      </c>
      <c r="CP12" s="105">
        <v>24.125939717745428</v>
      </c>
      <c r="CQ12" s="105">
        <v>14591.368341292435</v>
      </c>
      <c r="CR12" s="105">
        <v>29.452969389307334</v>
      </c>
      <c r="CS12" s="105">
        <v>17813.155886653076</v>
      </c>
      <c r="CT12" s="105">
        <v>27.933823703765814</v>
      </c>
      <c r="CU12" s="105">
        <v>16894.376576037565</v>
      </c>
    </row>
    <row r="13" spans="1:99" x14ac:dyDescent="0.2">
      <c r="C13" s="104" t="s">
        <v>179</v>
      </c>
      <c r="D13" s="105">
        <v>26</v>
      </c>
      <c r="E13" s="105">
        <v>4336.7999999999993</v>
      </c>
      <c r="F13" s="105">
        <v>31.156083983418696</v>
      </c>
      <c r="G13" s="105">
        <v>5196.8348084342379</v>
      </c>
      <c r="H13" s="105">
        <v>23.052970667455668</v>
      </c>
      <c r="I13" s="105">
        <v>3845.2355073316048</v>
      </c>
      <c r="J13" s="105">
        <v>25.011977223162638</v>
      </c>
      <c r="K13" s="105">
        <v>4171.9978008235275</v>
      </c>
      <c r="L13" s="105">
        <v>29.170057857227576</v>
      </c>
      <c r="M13" s="105">
        <v>4865.5656505855595</v>
      </c>
      <c r="N13" s="105">
        <v>25.952479160002664</v>
      </c>
      <c r="O13" s="105">
        <v>4328.8735238884437</v>
      </c>
      <c r="P13" s="105">
        <v>32.297790577647483</v>
      </c>
      <c r="Q13" s="105">
        <v>5387.2714683515997</v>
      </c>
      <c r="R13" s="105">
        <v>25.511863712186383</v>
      </c>
      <c r="S13" s="105">
        <v>4255.3788671926886</v>
      </c>
      <c r="T13" s="105">
        <v>20</v>
      </c>
      <c r="U13" s="105">
        <v>3335.9999999999995</v>
      </c>
      <c r="V13" s="105">
        <v>26.828068354435551</v>
      </c>
      <c r="W13" s="105">
        <v>4474.9218015198494</v>
      </c>
      <c r="X13" s="105">
        <v>29</v>
      </c>
      <c r="Y13" s="105">
        <v>4837.2</v>
      </c>
      <c r="Z13" s="105">
        <v>25</v>
      </c>
      <c r="AA13" s="105">
        <v>4170</v>
      </c>
      <c r="AB13" s="105">
        <v>21.643132620837861</v>
      </c>
      <c r="AC13" s="105">
        <v>3610.0745211557546</v>
      </c>
      <c r="AD13" s="105">
        <v>32</v>
      </c>
      <c r="AE13" s="105">
        <v>5337.5999999999995</v>
      </c>
      <c r="AF13" s="105">
        <v>27</v>
      </c>
      <c r="AG13" s="105">
        <v>4503.5999999999995</v>
      </c>
      <c r="AH13" s="105">
        <v>29.594668528779472</v>
      </c>
      <c r="AI13" s="105">
        <v>4936.3907106004153</v>
      </c>
      <c r="AJ13" s="105">
        <v>21</v>
      </c>
      <c r="AK13" s="105">
        <v>3502.7999999999997</v>
      </c>
      <c r="AL13" s="105">
        <v>34</v>
      </c>
      <c r="AM13" s="105">
        <v>5671.2</v>
      </c>
      <c r="AN13" s="105">
        <v>36.677766113123532</v>
      </c>
      <c r="AO13" s="105">
        <v>6117.8513876690049</v>
      </c>
      <c r="AP13" s="105">
        <v>25</v>
      </c>
      <c r="AQ13" s="105">
        <v>4170</v>
      </c>
      <c r="AR13" s="105">
        <v>31.105073152488856</v>
      </c>
      <c r="AS13" s="105">
        <v>5188.3262018351406</v>
      </c>
      <c r="AT13" s="105">
        <v>31.012774641701622</v>
      </c>
      <c r="AU13" s="105">
        <v>5172.93081023583</v>
      </c>
      <c r="AV13" s="105">
        <v>23</v>
      </c>
      <c r="AW13" s="105">
        <v>3836.3999999999996</v>
      </c>
      <c r="AX13" s="105">
        <v>24</v>
      </c>
      <c r="AY13" s="105">
        <v>4003.2</v>
      </c>
      <c r="AZ13" s="105">
        <v>31.891766843528632</v>
      </c>
      <c r="BA13" s="105">
        <v>5319.5467095005752</v>
      </c>
      <c r="BB13" s="105">
        <v>27.918683419915535</v>
      </c>
      <c r="BC13" s="105">
        <v>4656.8363944419107</v>
      </c>
      <c r="BD13" s="105">
        <v>29.401859301522009</v>
      </c>
      <c r="BE13" s="105">
        <v>4904.2301314938704</v>
      </c>
      <c r="BF13" s="105">
        <v>37.499661411666345</v>
      </c>
      <c r="BG13" s="105">
        <v>6254.9435234659459</v>
      </c>
      <c r="BH13" s="105">
        <v>26.7909537750567</v>
      </c>
      <c r="BI13" s="105">
        <v>4468.731089679457</v>
      </c>
      <c r="BJ13" s="105">
        <v>28.731191100389992</v>
      </c>
      <c r="BK13" s="105">
        <v>4792.3626755450505</v>
      </c>
      <c r="BL13" s="105">
        <v>29</v>
      </c>
      <c r="BM13" s="105">
        <v>4837.2</v>
      </c>
      <c r="BN13" s="105">
        <v>27</v>
      </c>
      <c r="BO13" s="105">
        <v>4503.5999999999995</v>
      </c>
      <c r="BP13" s="105">
        <v>27</v>
      </c>
      <c r="BQ13" s="105">
        <v>4503.5999999999995</v>
      </c>
      <c r="BR13" s="105">
        <v>22</v>
      </c>
      <c r="BS13" s="105">
        <v>3669.5999999999995</v>
      </c>
      <c r="BT13" s="105">
        <v>39</v>
      </c>
      <c r="BU13" s="105">
        <v>6505.1999999999989</v>
      </c>
      <c r="BV13" s="105">
        <v>38.110481916074143</v>
      </c>
      <c r="BW13" s="105">
        <v>6356.828383601166</v>
      </c>
      <c r="BX13" s="105">
        <v>26</v>
      </c>
      <c r="BY13" s="105">
        <v>4336.7999999999993</v>
      </c>
      <c r="BZ13" s="105">
        <v>34</v>
      </c>
      <c r="CA13" s="105">
        <v>5671.2</v>
      </c>
      <c r="CB13" s="105">
        <v>28</v>
      </c>
      <c r="CC13" s="105">
        <v>4670.3999999999996</v>
      </c>
      <c r="CD13" s="105">
        <v>39.364980378876588</v>
      </c>
      <c r="CE13" s="105">
        <v>6566.0787271966146</v>
      </c>
      <c r="CF13" s="105">
        <v>23.256429148589465</v>
      </c>
      <c r="CG13" s="105">
        <v>3879.1723819847225</v>
      </c>
      <c r="CH13" s="105">
        <v>39.859144308060834</v>
      </c>
      <c r="CI13" s="105">
        <v>6648.5052705845465</v>
      </c>
      <c r="CJ13" s="105">
        <v>36.49415968818353</v>
      </c>
      <c r="CK13" s="105">
        <v>6087.225835989012</v>
      </c>
      <c r="CL13" s="105">
        <v>35</v>
      </c>
      <c r="CM13" s="105">
        <v>5837.9999999999991</v>
      </c>
      <c r="CN13" s="105">
        <v>42</v>
      </c>
      <c r="CO13" s="105">
        <v>7005.5999999999995</v>
      </c>
      <c r="CP13" s="105">
        <v>28.593706332142734</v>
      </c>
      <c r="CQ13" s="105">
        <v>4769.4302162014073</v>
      </c>
      <c r="CR13" s="105">
        <v>31.089245466491075</v>
      </c>
      <c r="CS13" s="105">
        <v>5185.6861438107107</v>
      </c>
      <c r="CT13" s="105">
        <v>32.589460987726781</v>
      </c>
      <c r="CU13" s="105">
        <v>5435.9220927528268</v>
      </c>
    </row>
    <row r="14" spans="1:99" x14ac:dyDescent="0.2">
      <c r="C14" s="104" t="s">
        <v>180</v>
      </c>
      <c r="D14" s="105">
        <v>25</v>
      </c>
      <c r="E14" s="105">
        <v>12480</v>
      </c>
      <c r="F14" s="105">
        <v>31.156083983418696</v>
      </c>
      <c r="G14" s="105">
        <v>15553.117124522612</v>
      </c>
      <c r="H14" s="105">
        <v>22.092430222978347</v>
      </c>
      <c r="I14" s="105">
        <v>11028.54116731079</v>
      </c>
      <c r="J14" s="105">
        <v>22.12597985125926</v>
      </c>
      <c r="K14" s="105">
        <v>11045.289141748623</v>
      </c>
      <c r="L14" s="105">
        <v>28.197722595319988</v>
      </c>
      <c r="M14" s="105">
        <v>14076.303119583737</v>
      </c>
      <c r="N14" s="105">
        <v>25.166040397578342</v>
      </c>
      <c r="O14" s="105">
        <v>12562.887366471108</v>
      </c>
      <c r="P14" s="105">
        <v>28.70914718013109</v>
      </c>
      <c r="Q14" s="105">
        <v>14331.60627232144</v>
      </c>
      <c r="R14" s="105">
        <v>21.586961602619247</v>
      </c>
      <c r="S14" s="105">
        <v>10776.211232027528</v>
      </c>
      <c r="T14" s="105">
        <v>22</v>
      </c>
      <c r="U14" s="105">
        <v>10982.4</v>
      </c>
      <c r="V14" s="105">
        <v>27.82170051571094</v>
      </c>
      <c r="W14" s="105">
        <v>13888.592897442901</v>
      </c>
      <c r="X14" s="105">
        <v>28</v>
      </c>
      <c r="Y14" s="105">
        <v>13977.6</v>
      </c>
      <c r="Z14" s="105">
        <v>23</v>
      </c>
      <c r="AA14" s="105">
        <v>11481.6</v>
      </c>
      <c r="AB14" s="105">
        <v>18.937741043233128</v>
      </c>
      <c r="AC14" s="105">
        <v>9453.7203287819775</v>
      </c>
      <c r="AD14" s="105">
        <v>32</v>
      </c>
      <c r="AE14" s="105">
        <v>15974.4</v>
      </c>
      <c r="AF14" s="105">
        <v>27</v>
      </c>
      <c r="AG14" s="105">
        <v>13478.4</v>
      </c>
      <c r="AH14" s="105">
        <v>28.037054395685814</v>
      </c>
      <c r="AI14" s="105">
        <v>13996.097554326358</v>
      </c>
      <c r="AJ14" s="105">
        <v>18</v>
      </c>
      <c r="AK14" s="105">
        <v>8985.6</v>
      </c>
      <c r="AL14" s="105">
        <v>32</v>
      </c>
      <c r="AM14" s="105">
        <v>15974.4</v>
      </c>
      <c r="AN14" s="105">
        <v>35.686475137093161</v>
      </c>
      <c r="AO14" s="105">
        <v>17814.688388436905</v>
      </c>
      <c r="AP14" s="105">
        <v>22</v>
      </c>
      <c r="AQ14" s="105">
        <v>10982.4</v>
      </c>
      <c r="AR14" s="105">
        <v>27.74236254140898</v>
      </c>
      <c r="AS14" s="105">
        <v>13848.987380671362</v>
      </c>
      <c r="AT14" s="105">
        <v>33.74919593361647</v>
      </c>
      <c r="AU14" s="105">
        <v>16847.598610061341</v>
      </c>
      <c r="AV14" s="105">
        <v>26</v>
      </c>
      <c r="AW14" s="105">
        <v>12979.199999999999</v>
      </c>
      <c r="AX14" s="105">
        <v>23</v>
      </c>
      <c r="AY14" s="105">
        <v>11481.6</v>
      </c>
      <c r="AZ14" s="105">
        <v>30.95377370107191</v>
      </c>
      <c r="BA14" s="105">
        <v>15452.123831575098</v>
      </c>
      <c r="BB14" s="105">
        <v>27.918683419915535</v>
      </c>
      <c r="BC14" s="105">
        <v>13937.006763221834</v>
      </c>
      <c r="BD14" s="105">
        <v>32.074755601660371</v>
      </c>
      <c r="BE14" s="105">
        <v>16011.717996348856</v>
      </c>
      <c r="BF14" s="105">
        <v>34.821114167975892</v>
      </c>
      <c r="BG14" s="105">
        <v>17382.700192653567</v>
      </c>
      <c r="BH14" s="105">
        <v>25.926729459732293</v>
      </c>
      <c r="BI14" s="105">
        <v>12942.62334629836</v>
      </c>
      <c r="BJ14" s="105">
        <v>25.023940635823539</v>
      </c>
      <c r="BK14" s="105">
        <v>12491.95116540311</v>
      </c>
      <c r="BL14" s="105">
        <v>27</v>
      </c>
      <c r="BM14" s="105">
        <v>13478.4</v>
      </c>
      <c r="BN14" s="105">
        <v>26</v>
      </c>
      <c r="BO14" s="105">
        <v>12979.199999999999</v>
      </c>
      <c r="BP14" s="105">
        <v>22</v>
      </c>
      <c r="BQ14" s="105">
        <v>10982.4</v>
      </c>
      <c r="BR14" s="105">
        <v>22</v>
      </c>
      <c r="BS14" s="105">
        <v>10982.4</v>
      </c>
      <c r="BT14" s="105">
        <v>34</v>
      </c>
      <c r="BU14" s="105">
        <v>16972.8</v>
      </c>
      <c r="BV14" s="105">
        <v>33.679030530484127</v>
      </c>
      <c r="BW14" s="105">
        <v>16812.572040817675</v>
      </c>
      <c r="BX14" s="105">
        <v>21</v>
      </c>
      <c r="BY14" s="105">
        <v>10483.199999999999</v>
      </c>
      <c r="BZ14" s="105">
        <v>29</v>
      </c>
      <c r="CA14" s="105">
        <v>14476.8</v>
      </c>
      <c r="CB14" s="105">
        <v>28</v>
      </c>
      <c r="CC14" s="105">
        <v>13977.6</v>
      </c>
      <c r="CD14" s="105">
        <v>33.997028509029775</v>
      </c>
      <c r="CE14" s="105">
        <v>16971.316631707665</v>
      </c>
      <c r="CF14" s="105">
        <v>23.256429148589465</v>
      </c>
      <c r="CG14" s="105">
        <v>11609.609430975861</v>
      </c>
      <c r="CH14" s="105">
        <v>37.201868020856779</v>
      </c>
      <c r="CI14" s="105">
        <v>18571.172516011702</v>
      </c>
      <c r="CJ14" s="105">
        <v>34.756342560174794</v>
      </c>
      <c r="CK14" s="105">
        <v>17350.366206039256</v>
      </c>
      <c r="CL14" s="105">
        <v>29</v>
      </c>
      <c r="CM14" s="105">
        <v>14476.8</v>
      </c>
      <c r="CN14" s="105">
        <v>37</v>
      </c>
      <c r="CO14" s="105">
        <v>18470.399999999998</v>
      </c>
      <c r="CP14" s="105">
        <v>28.593706332142734</v>
      </c>
      <c r="CQ14" s="105">
        <v>14273.978201005651</v>
      </c>
      <c r="CR14" s="105">
        <v>29.452969389307334</v>
      </c>
      <c r="CS14" s="105">
        <v>14702.922319142221</v>
      </c>
      <c r="CT14" s="105">
        <v>28.864951160558007</v>
      </c>
      <c r="CU14" s="105">
        <v>14409.383619350558</v>
      </c>
    </row>
    <row r="15" spans="1:99" x14ac:dyDescent="0.2">
      <c r="C15" s="104" t="s">
        <v>181</v>
      </c>
      <c r="D15" s="105">
        <v>25</v>
      </c>
      <c r="E15" s="105">
        <v>20610</v>
      </c>
      <c r="F15" s="105">
        <v>29.323373160864659</v>
      </c>
      <c r="G15" s="105">
        <v>24174.188833816825</v>
      </c>
      <c r="H15" s="105">
        <v>20.171349334023709</v>
      </c>
      <c r="I15" s="105">
        <v>16629.260390969146</v>
      </c>
      <c r="J15" s="105">
        <v>22.12597985125926</v>
      </c>
      <c r="K15" s="105">
        <v>18240.657789378132</v>
      </c>
      <c r="L15" s="105">
        <v>23.336046285782061</v>
      </c>
      <c r="M15" s="105">
        <v>19238.236557998731</v>
      </c>
      <c r="N15" s="105">
        <v>26.738917922426985</v>
      </c>
      <c r="O15" s="105">
        <v>22043.563935248807</v>
      </c>
      <c r="P15" s="105">
        <v>27.811986330751996</v>
      </c>
      <c r="Q15" s="105">
        <v>22928.201531071943</v>
      </c>
      <c r="R15" s="105">
        <v>22.568187130011033</v>
      </c>
      <c r="S15" s="105">
        <v>18605.213469981096</v>
      </c>
      <c r="T15" s="105">
        <v>22</v>
      </c>
      <c r="U15" s="105">
        <v>18136.8</v>
      </c>
      <c r="V15" s="105">
        <v>25.834436193160155</v>
      </c>
      <c r="W15" s="105">
        <v>21297.909197641231</v>
      </c>
      <c r="X15" s="105">
        <v>25</v>
      </c>
      <c r="Y15" s="105">
        <v>20610</v>
      </c>
      <c r="Z15" s="105">
        <v>23</v>
      </c>
      <c r="AA15" s="105">
        <v>18961.2</v>
      </c>
      <c r="AB15" s="105">
        <v>18.937741043233128</v>
      </c>
      <c r="AC15" s="105">
        <v>15612.273716041391</v>
      </c>
      <c r="AD15" s="105">
        <v>33</v>
      </c>
      <c r="AE15" s="105">
        <v>27205.200000000001</v>
      </c>
      <c r="AF15" s="105">
        <v>22</v>
      </c>
      <c r="AG15" s="105">
        <v>18136.8</v>
      </c>
      <c r="AH15" s="105">
        <v>24.921826129498506</v>
      </c>
      <c r="AI15" s="105">
        <v>20545.553461158568</v>
      </c>
      <c r="AJ15" s="105">
        <v>19</v>
      </c>
      <c r="AK15" s="105">
        <v>15663.6</v>
      </c>
      <c r="AL15" s="105">
        <v>31</v>
      </c>
      <c r="AM15" s="105">
        <v>25556.399999999998</v>
      </c>
      <c r="AN15" s="105">
        <v>29.73872928091097</v>
      </c>
      <c r="AO15" s="105">
        <v>24516.608419183001</v>
      </c>
      <c r="AP15" s="105">
        <v>20</v>
      </c>
      <c r="AQ15" s="105">
        <v>16488</v>
      </c>
      <c r="AR15" s="105">
        <v>31.105073152488856</v>
      </c>
      <c r="AS15" s="105">
        <v>25643.022306911811</v>
      </c>
      <c r="AT15" s="105">
        <v>33.74919593361647</v>
      </c>
      <c r="AU15" s="105">
        <v>27822.837127673418</v>
      </c>
      <c r="AV15" s="105">
        <v>22</v>
      </c>
      <c r="AW15" s="105">
        <v>18136.8</v>
      </c>
      <c r="AX15" s="105">
        <v>24</v>
      </c>
      <c r="AY15" s="105">
        <v>19785.599999999999</v>
      </c>
      <c r="AZ15" s="105">
        <v>28.139794273701735</v>
      </c>
      <c r="BA15" s="105">
        <v>23198.44639923971</v>
      </c>
      <c r="BB15" s="105">
        <v>25.301306849298452</v>
      </c>
      <c r="BC15" s="105">
        <v>20858.397366561643</v>
      </c>
      <c r="BD15" s="105">
        <v>29.401859301522009</v>
      </c>
      <c r="BE15" s="105">
        <v>24238.892808174744</v>
      </c>
      <c r="BF15" s="105">
        <v>33.035416005515593</v>
      </c>
      <c r="BG15" s="105">
        <v>27234.396954947053</v>
      </c>
      <c r="BH15" s="105">
        <v>23.334056513759062</v>
      </c>
      <c r="BI15" s="105">
        <v>19236.596189942971</v>
      </c>
      <c r="BJ15" s="105">
        <v>26.877565868106764</v>
      </c>
      <c r="BK15" s="105">
        <v>22157.865301667214</v>
      </c>
      <c r="BL15" s="105">
        <v>28</v>
      </c>
      <c r="BM15" s="105">
        <v>23083.200000000001</v>
      </c>
      <c r="BN15" s="105">
        <v>23</v>
      </c>
      <c r="BO15" s="105">
        <v>18961.2</v>
      </c>
      <c r="BP15" s="105">
        <v>25</v>
      </c>
      <c r="BQ15" s="105">
        <v>20610</v>
      </c>
      <c r="BR15" s="105">
        <v>20</v>
      </c>
      <c r="BS15" s="105">
        <v>16488</v>
      </c>
      <c r="BT15" s="105">
        <v>32</v>
      </c>
      <c r="BU15" s="105">
        <v>26380.799999999999</v>
      </c>
      <c r="BV15" s="105">
        <v>29.247579144894111</v>
      </c>
      <c r="BW15" s="105">
        <v>24111.704247050704</v>
      </c>
      <c r="BX15" s="105">
        <v>21</v>
      </c>
      <c r="BY15" s="105">
        <v>17312.399999999998</v>
      </c>
      <c r="BZ15" s="105">
        <v>29</v>
      </c>
      <c r="CA15" s="105">
        <v>23907.599999999999</v>
      </c>
      <c r="CB15" s="105">
        <v>27</v>
      </c>
      <c r="CC15" s="105">
        <v>22258.799999999999</v>
      </c>
      <c r="CD15" s="105">
        <v>32.207711219080842</v>
      </c>
      <c r="CE15" s="105">
        <v>26552.037129010245</v>
      </c>
      <c r="CF15" s="105">
        <v>21.395914816702305</v>
      </c>
      <c r="CG15" s="105">
        <v>17638.792174889379</v>
      </c>
      <c r="CH15" s="105">
        <v>36.316109258455427</v>
      </c>
      <c r="CI15" s="105">
        <v>29939.000472670654</v>
      </c>
      <c r="CJ15" s="105">
        <v>33.887433996170422</v>
      </c>
      <c r="CK15" s="105">
        <v>27936.800586442896</v>
      </c>
      <c r="CL15" s="105">
        <v>30</v>
      </c>
      <c r="CM15" s="105">
        <v>24732</v>
      </c>
      <c r="CN15" s="105">
        <v>36</v>
      </c>
      <c r="CO15" s="105">
        <v>29678.399999999998</v>
      </c>
      <c r="CP15" s="105">
        <v>27.700153009263271</v>
      </c>
      <c r="CQ15" s="105">
        <v>22836.006140836642</v>
      </c>
      <c r="CR15" s="105">
        <v>28.634831350715466</v>
      </c>
      <c r="CS15" s="105">
        <v>23606.554965529831</v>
      </c>
      <c r="CT15" s="105">
        <v>31.658333530934588</v>
      </c>
      <c r="CU15" s="105">
        <v>26099.130162902475</v>
      </c>
    </row>
    <row r="16" spans="1:99" x14ac:dyDescent="0.2">
      <c r="C16" s="104" t="s">
        <v>182</v>
      </c>
      <c r="D16" s="105">
        <v>27</v>
      </c>
      <c r="E16" s="105">
        <v>13737.599999999997</v>
      </c>
      <c r="F16" s="105">
        <v>29.323373160864659</v>
      </c>
      <c r="G16" s="105">
        <v>14919.732264247936</v>
      </c>
      <c r="H16" s="105">
        <v>23.052970667455668</v>
      </c>
      <c r="I16" s="105">
        <v>11729.351475601441</v>
      </c>
      <c r="J16" s="105">
        <v>25.011977223162638</v>
      </c>
      <c r="K16" s="105">
        <v>12726.094011145147</v>
      </c>
      <c r="L16" s="105">
        <v>28.197722595319988</v>
      </c>
      <c r="M16" s="105">
        <v>14347.001256498806</v>
      </c>
      <c r="N16" s="105">
        <v>24.379601635154017</v>
      </c>
      <c r="O16" s="105">
        <v>12404.341311966362</v>
      </c>
      <c r="P16" s="105">
        <v>28.70914718013109</v>
      </c>
      <c r="Q16" s="105">
        <v>14607.214085250696</v>
      </c>
      <c r="R16" s="105">
        <v>24.530638184794601</v>
      </c>
      <c r="S16" s="105">
        <v>12481.18870842349</v>
      </c>
      <c r="T16" s="105">
        <v>19</v>
      </c>
      <c r="U16" s="105">
        <v>9667.1999999999989</v>
      </c>
      <c r="V16" s="105">
        <v>24.840804031884765</v>
      </c>
      <c r="W16" s="105">
        <v>12639.001091422966</v>
      </c>
      <c r="X16" s="105">
        <v>27</v>
      </c>
      <c r="Y16" s="105">
        <v>13737.599999999997</v>
      </c>
      <c r="Z16" s="105">
        <v>24</v>
      </c>
      <c r="AA16" s="105">
        <v>12211.199999999997</v>
      </c>
      <c r="AB16" s="105">
        <v>20.741335428302946</v>
      </c>
      <c r="AC16" s="105">
        <v>10553.191465920538</v>
      </c>
      <c r="AD16" s="105">
        <v>30</v>
      </c>
      <c r="AE16" s="105">
        <v>15263.999999999996</v>
      </c>
      <c r="AF16" s="105">
        <v>25</v>
      </c>
      <c r="AG16" s="105">
        <v>12719.999999999998</v>
      </c>
      <c r="AH16" s="105">
        <v>28.815861462232643</v>
      </c>
      <c r="AI16" s="105">
        <v>14661.510311983966</v>
      </c>
      <c r="AJ16" s="105">
        <v>21</v>
      </c>
      <c r="AK16" s="105">
        <v>10684.799999999997</v>
      </c>
      <c r="AL16" s="105">
        <v>34</v>
      </c>
      <c r="AM16" s="105">
        <v>17299.199999999997</v>
      </c>
      <c r="AN16" s="105">
        <v>33.703893185032435</v>
      </c>
      <c r="AO16" s="105">
        <v>17148.540852544498</v>
      </c>
      <c r="AP16" s="105">
        <v>22</v>
      </c>
      <c r="AQ16" s="105">
        <v>11193.599999999999</v>
      </c>
      <c r="AR16" s="105">
        <v>27.74236254140898</v>
      </c>
      <c r="AS16" s="105">
        <v>14115.314061068886</v>
      </c>
      <c r="AT16" s="105">
        <v>31.012774641701622</v>
      </c>
      <c r="AU16" s="105">
        <v>15779.299737697782</v>
      </c>
      <c r="AV16" s="105">
        <v>25</v>
      </c>
      <c r="AW16" s="105">
        <v>12719.999999999998</v>
      </c>
      <c r="AX16" s="105">
        <v>27</v>
      </c>
      <c r="AY16" s="105">
        <v>13737.599999999997</v>
      </c>
      <c r="AZ16" s="105">
        <v>29.077787416158458</v>
      </c>
      <c r="BA16" s="105">
        <v>14794.778237341421</v>
      </c>
      <c r="BB16" s="105">
        <v>26.173765706170812</v>
      </c>
      <c r="BC16" s="105">
        <v>13317.211991299706</v>
      </c>
      <c r="BD16" s="105">
        <v>32.074755601660371</v>
      </c>
      <c r="BE16" s="105">
        <v>16319.635650124794</v>
      </c>
      <c r="BF16" s="105">
        <v>35.713963249206046</v>
      </c>
      <c r="BG16" s="105">
        <v>18171.264501196034</v>
      </c>
      <c r="BH16" s="105">
        <v>24.198280829083473</v>
      </c>
      <c r="BI16" s="105">
        <v>12312.085285837667</v>
      </c>
      <c r="BJ16" s="105">
        <v>29.658003716531603</v>
      </c>
      <c r="BK16" s="105">
        <v>15089.992290971277</v>
      </c>
      <c r="BL16" s="105">
        <v>26</v>
      </c>
      <c r="BM16" s="105">
        <v>13228.799999999997</v>
      </c>
      <c r="BN16" s="105">
        <v>23</v>
      </c>
      <c r="BO16" s="105">
        <v>11702.399999999998</v>
      </c>
      <c r="BP16" s="105">
        <v>26</v>
      </c>
      <c r="BQ16" s="105">
        <v>13228.799999999997</v>
      </c>
      <c r="BR16" s="105">
        <v>21</v>
      </c>
      <c r="BS16" s="105">
        <v>10684.799999999997</v>
      </c>
      <c r="BT16" s="105">
        <v>36</v>
      </c>
      <c r="BU16" s="105">
        <v>18316.799999999996</v>
      </c>
      <c r="BV16" s="105">
        <v>34.565320807602127</v>
      </c>
      <c r="BW16" s="105">
        <v>17586.835226907959</v>
      </c>
      <c r="BX16" s="105">
        <v>25</v>
      </c>
      <c r="BY16" s="105">
        <v>12719.999999999998</v>
      </c>
      <c r="BZ16" s="105">
        <v>32</v>
      </c>
      <c r="CA16" s="105">
        <v>16281.599999999997</v>
      </c>
      <c r="CB16" s="105">
        <v>24</v>
      </c>
      <c r="CC16" s="105">
        <v>12211.199999999997</v>
      </c>
      <c r="CD16" s="105">
        <v>37.575663088927648</v>
      </c>
      <c r="CE16" s="105">
        <v>19118.497379646382</v>
      </c>
      <c r="CF16" s="105">
        <v>20.465657650758729</v>
      </c>
      <c r="CG16" s="105">
        <v>10412.92661270604</v>
      </c>
      <c r="CH16" s="105">
        <v>32.773074208850019</v>
      </c>
      <c r="CI16" s="105">
        <v>16674.940157462886</v>
      </c>
      <c r="CJ16" s="105">
        <v>34.756342560174794</v>
      </c>
      <c r="CK16" s="105">
        <v>17684.027094616933</v>
      </c>
      <c r="CL16" s="105">
        <v>28</v>
      </c>
      <c r="CM16" s="105">
        <v>14246.399999999998</v>
      </c>
      <c r="CN16" s="105">
        <v>43</v>
      </c>
      <c r="CO16" s="105">
        <v>21878.399999999994</v>
      </c>
      <c r="CP16" s="105">
        <v>25.91304636350435</v>
      </c>
      <c r="CQ16" s="105">
        <v>13184.557989751011</v>
      </c>
      <c r="CR16" s="105">
        <v>32.725521543674816</v>
      </c>
      <c r="CS16" s="105">
        <v>16650.745361421745</v>
      </c>
      <c r="CT16" s="105">
        <v>30.727206074142394</v>
      </c>
      <c r="CU16" s="105">
        <v>15634.002450523647</v>
      </c>
    </row>
    <row r="17" spans="2:99" x14ac:dyDescent="0.2">
      <c r="C17" s="104" t="s">
        <v>183</v>
      </c>
      <c r="D17" s="105">
        <v>28</v>
      </c>
      <c r="E17" s="105">
        <v>13910.399999999998</v>
      </c>
      <c r="F17" s="105">
        <v>29.323373160864659</v>
      </c>
      <c r="G17" s="105">
        <v>14567.85178631756</v>
      </c>
      <c r="H17" s="105">
        <v>23.052970667455668</v>
      </c>
      <c r="I17" s="105">
        <v>11452.715827591976</v>
      </c>
      <c r="J17" s="105">
        <v>24.049978099194846</v>
      </c>
      <c r="K17" s="105">
        <v>11948.029119679999</v>
      </c>
      <c r="L17" s="105">
        <v>28.197722595319988</v>
      </c>
      <c r="M17" s="105">
        <v>14008.628585354969</v>
      </c>
      <c r="N17" s="105">
        <v>27.525356684851314</v>
      </c>
      <c r="O17" s="105">
        <v>13674.597201034132</v>
      </c>
      <c r="P17" s="105">
        <v>30.503468878889286</v>
      </c>
      <c r="Q17" s="105">
        <v>15154.123339032196</v>
      </c>
      <c r="R17" s="105">
        <v>24.530638184794601</v>
      </c>
      <c r="S17" s="105">
        <v>12186.821050205957</v>
      </c>
      <c r="T17" s="105">
        <v>23</v>
      </c>
      <c r="U17" s="105">
        <v>11426.4</v>
      </c>
      <c r="V17" s="105">
        <v>25.834436193160155</v>
      </c>
      <c r="W17" s="105">
        <v>12834.547900761963</v>
      </c>
      <c r="X17" s="105">
        <v>24</v>
      </c>
      <c r="Y17" s="105">
        <v>11923.199999999999</v>
      </c>
      <c r="Z17" s="105">
        <v>23</v>
      </c>
      <c r="AA17" s="105">
        <v>11426.4</v>
      </c>
      <c r="AB17" s="105">
        <v>18.937741043233128</v>
      </c>
      <c r="AC17" s="105">
        <v>9408.2697502782175</v>
      </c>
      <c r="AD17" s="105">
        <v>35</v>
      </c>
      <c r="AE17" s="105">
        <v>17388</v>
      </c>
      <c r="AF17" s="105">
        <v>24</v>
      </c>
      <c r="AG17" s="105">
        <v>11923.199999999999</v>
      </c>
      <c r="AH17" s="105">
        <v>28.037054395685814</v>
      </c>
      <c r="AI17" s="105">
        <v>13928.808623776711</v>
      </c>
      <c r="AJ17" s="105">
        <v>18</v>
      </c>
      <c r="AK17" s="105">
        <v>8942.4</v>
      </c>
      <c r="AL17" s="105">
        <v>31</v>
      </c>
      <c r="AM17" s="105">
        <v>15400.8</v>
      </c>
      <c r="AN17" s="105">
        <v>31.721311232971697</v>
      </c>
      <c r="AO17" s="105">
        <v>15759.147420540337</v>
      </c>
      <c r="AP17" s="105">
        <v>23</v>
      </c>
      <c r="AQ17" s="105">
        <v>11426.4</v>
      </c>
      <c r="AR17" s="105">
        <v>29.423717846948918</v>
      </c>
      <c r="AS17" s="105">
        <v>14617.703026364221</v>
      </c>
      <c r="AT17" s="105">
        <v>29.188493780425052</v>
      </c>
      <c r="AU17" s="105">
        <v>14500.843710115165</v>
      </c>
      <c r="AV17" s="105">
        <v>23</v>
      </c>
      <c r="AW17" s="105">
        <v>11426.4</v>
      </c>
      <c r="AX17" s="105">
        <v>27</v>
      </c>
      <c r="AY17" s="105">
        <v>13413.599999999999</v>
      </c>
      <c r="AZ17" s="105">
        <v>26.263807988788287</v>
      </c>
      <c r="BA17" s="105">
        <v>13047.85980883002</v>
      </c>
      <c r="BB17" s="105">
        <v>24.428847992426093</v>
      </c>
      <c r="BC17" s="105">
        <v>12136.251682637281</v>
      </c>
      <c r="BD17" s="105">
        <v>27.619928434763096</v>
      </c>
      <c r="BE17" s="105">
        <v>13721.580446390306</v>
      </c>
      <c r="BF17" s="105">
        <v>32.14256692428544</v>
      </c>
      <c r="BG17" s="105">
        <v>15968.427247985004</v>
      </c>
      <c r="BH17" s="105">
        <v>24.198280829083473</v>
      </c>
      <c r="BI17" s="105">
        <v>12021.705915888668</v>
      </c>
      <c r="BJ17" s="105">
        <v>25.950753251965153</v>
      </c>
      <c r="BK17" s="105">
        <v>12892.334215576288</v>
      </c>
      <c r="BL17" s="105">
        <v>27</v>
      </c>
      <c r="BM17" s="105">
        <v>13413.599999999999</v>
      </c>
      <c r="BN17" s="105">
        <v>23</v>
      </c>
      <c r="BO17" s="105">
        <v>11426.4</v>
      </c>
      <c r="BP17" s="105">
        <v>22</v>
      </c>
      <c r="BQ17" s="105">
        <v>10929.599999999999</v>
      </c>
      <c r="BR17" s="105">
        <v>20</v>
      </c>
      <c r="BS17" s="105">
        <v>9936</v>
      </c>
      <c r="BT17" s="105">
        <v>33</v>
      </c>
      <c r="BU17" s="105">
        <v>16394.399999999998</v>
      </c>
      <c r="BV17" s="105">
        <v>31.020159699130119</v>
      </c>
      <c r="BW17" s="105">
        <v>15410.815338527842</v>
      </c>
      <c r="BX17" s="105">
        <v>22</v>
      </c>
      <c r="BY17" s="105">
        <v>10929.599999999999</v>
      </c>
      <c r="BZ17" s="105">
        <v>31</v>
      </c>
      <c r="CA17" s="105">
        <v>15400.8</v>
      </c>
      <c r="CB17" s="105">
        <v>25</v>
      </c>
      <c r="CC17" s="105">
        <v>12419.999999999998</v>
      </c>
      <c r="CD17" s="105">
        <v>39.364980378876588</v>
      </c>
      <c r="CE17" s="105">
        <v>19556.522252225888</v>
      </c>
      <c r="CF17" s="105">
        <v>21.395914816702305</v>
      </c>
      <c r="CG17" s="105">
        <v>10629.490480937704</v>
      </c>
      <c r="CH17" s="105">
        <v>35.430350496054075</v>
      </c>
      <c r="CI17" s="105">
        <v>17601.798126439662</v>
      </c>
      <c r="CJ17" s="105">
        <v>32.149616868161687</v>
      </c>
      <c r="CK17" s="105">
        <v>15971.929660102724</v>
      </c>
      <c r="CL17" s="105">
        <v>33</v>
      </c>
      <c r="CM17" s="105">
        <v>16394.399999999998</v>
      </c>
      <c r="CN17" s="105">
        <v>40</v>
      </c>
      <c r="CO17" s="105">
        <v>19872</v>
      </c>
      <c r="CP17" s="105">
        <v>26.806599686383809</v>
      </c>
      <c r="CQ17" s="105">
        <v>13317.518724195475</v>
      </c>
      <c r="CR17" s="105">
        <v>30.271107427899206</v>
      </c>
      <c r="CS17" s="105">
        <v>15038.686170180325</v>
      </c>
      <c r="CT17" s="105">
        <v>31.658333530934588</v>
      </c>
      <c r="CU17" s="105">
        <v>15727.860098168301</v>
      </c>
    </row>
    <row r="18" spans="2:99" x14ac:dyDescent="0.2">
      <c r="C18" s="104" t="s">
        <v>184</v>
      </c>
      <c r="D18" s="105">
        <v>26</v>
      </c>
      <c r="E18" s="105">
        <v>19000.8</v>
      </c>
      <c r="F18" s="105">
        <v>25.657951515756576</v>
      </c>
      <c r="G18" s="105">
        <v>18750.830967714905</v>
      </c>
      <c r="H18" s="105">
        <v>20.171349334023709</v>
      </c>
      <c r="I18" s="105">
        <v>14741.222093304526</v>
      </c>
      <c r="J18" s="105">
        <v>20.20198160332367</v>
      </c>
      <c r="K18" s="105">
        <v>14763.608155708936</v>
      </c>
      <c r="L18" s="105">
        <v>25.280716809597234</v>
      </c>
      <c r="M18" s="105">
        <v>18475.147844453659</v>
      </c>
      <c r="N18" s="105">
        <v>26.738917922426985</v>
      </c>
      <c r="O18" s="105">
        <v>19540.801217709639</v>
      </c>
      <c r="P18" s="105">
        <v>25.120503782614705</v>
      </c>
      <c r="Q18" s="105">
        <v>18358.064164334824</v>
      </c>
      <c r="R18" s="105">
        <v>21.586961602619247</v>
      </c>
      <c r="S18" s="105">
        <v>15775.751539194145</v>
      </c>
      <c r="T18" s="105">
        <v>18</v>
      </c>
      <c r="U18" s="105">
        <v>13154.4</v>
      </c>
      <c r="V18" s="105">
        <v>24.840804031884765</v>
      </c>
      <c r="W18" s="105">
        <v>18153.659586501384</v>
      </c>
      <c r="X18" s="105">
        <v>27</v>
      </c>
      <c r="Y18" s="105">
        <v>19731.599999999999</v>
      </c>
      <c r="Z18" s="105">
        <v>22</v>
      </c>
      <c r="AA18" s="105">
        <v>16077.599999999999</v>
      </c>
      <c r="AB18" s="105">
        <v>18.937741043233128</v>
      </c>
      <c r="AC18" s="105">
        <v>13839.701154394768</v>
      </c>
      <c r="AD18" s="105">
        <v>34</v>
      </c>
      <c r="AE18" s="105">
        <v>24847.199999999997</v>
      </c>
      <c r="AF18" s="105">
        <v>23</v>
      </c>
      <c r="AG18" s="105">
        <v>16808.399999999998</v>
      </c>
      <c r="AH18" s="105">
        <v>25.700633196045331</v>
      </c>
      <c r="AI18" s="105">
        <v>18782.022739669927</v>
      </c>
      <c r="AJ18" s="105">
        <v>18</v>
      </c>
      <c r="AK18" s="105">
        <v>13154.4</v>
      </c>
      <c r="AL18" s="105">
        <v>32</v>
      </c>
      <c r="AM18" s="105">
        <v>23385.599999999999</v>
      </c>
      <c r="AN18" s="105">
        <v>32.712602209002064</v>
      </c>
      <c r="AO18" s="105">
        <v>23906.369694338708</v>
      </c>
      <c r="AP18" s="105">
        <v>22</v>
      </c>
      <c r="AQ18" s="105">
        <v>16077.599999999999</v>
      </c>
      <c r="AR18" s="105">
        <v>27.74236254140898</v>
      </c>
      <c r="AS18" s="105">
        <v>20274.118545261681</v>
      </c>
      <c r="AT18" s="105">
        <v>30.10063421106334</v>
      </c>
      <c r="AU18" s="105">
        <v>21997.543481445089</v>
      </c>
      <c r="AV18" s="105">
        <v>21</v>
      </c>
      <c r="AW18" s="105">
        <v>15346.8</v>
      </c>
      <c r="AX18" s="105">
        <v>24</v>
      </c>
      <c r="AY18" s="105">
        <v>17539.199999999997</v>
      </c>
      <c r="AZ18" s="105">
        <v>30.015780558615184</v>
      </c>
      <c r="BA18" s="105">
        <v>21935.532432235974</v>
      </c>
      <c r="BB18" s="105">
        <v>27.918683419915535</v>
      </c>
      <c r="BC18" s="105">
        <v>20402.973843274271</v>
      </c>
      <c r="BD18" s="105">
        <v>29.401859301522009</v>
      </c>
      <c r="BE18" s="105">
        <v>21486.878777552283</v>
      </c>
      <c r="BF18" s="105">
        <v>33.928265086745739</v>
      </c>
      <c r="BG18" s="105">
        <v>24794.776125393786</v>
      </c>
      <c r="BH18" s="105">
        <v>27.65517809038111</v>
      </c>
      <c r="BI18" s="105">
        <v>20210.404148450514</v>
      </c>
      <c r="BJ18" s="105">
        <v>25.950753251965153</v>
      </c>
      <c r="BK18" s="105">
        <v>18964.810476536131</v>
      </c>
      <c r="BL18" s="105">
        <v>27</v>
      </c>
      <c r="BM18" s="105">
        <v>19731.599999999999</v>
      </c>
      <c r="BN18" s="105">
        <v>22</v>
      </c>
      <c r="BO18" s="105">
        <v>16077.599999999999</v>
      </c>
      <c r="BP18" s="105">
        <v>22</v>
      </c>
      <c r="BQ18" s="105">
        <v>16077.599999999999</v>
      </c>
      <c r="BR18" s="105">
        <v>18</v>
      </c>
      <c r="BS18" s="105">
        <v>13154.4</v>
      </c>
      <c r="BT18" s="105">
        <v>34</v>
      </c>
      <c r="BU18" s="105">
        <v>24847.199999999997</v>
      </c>
      <c r="BV18" s="105">
        <v>31.020159699130119</v>
      </c>
      <c r="BW18" s="105">
        <v>22669.53270812429</v>
      </c>
      <c r="BX18" s="105">
        <v>21</v>
      </c>
      <c r="BY18" s="105">
        <v>15346.8</v>
      </c>
      <c r="BZ18" s="105">
        <v>26</v>
      </c>
      <c r="CA18" s="105">
        <v>19000.8</v>
      </c>
      <c r="CB18" s="105">
        <v>22</v>
      </c>
      <c r="CC18" s="105">
        <v>16077.599999999999</v>
      </c>
      <c r="CD18" s="105">
        <v>33.997028509029775</v>
      </c>
      <c r="CE18" s="105">
        <v>24845.028434398959</v>
      </c>
      <c r="CF18" s="105">
        <v>18.605143318871569</v>
      </c>
      <c r="CG18" s="105">
        <v>13596.638737431342</v>
      </c>
      <c r="CH18" s="105">
        <v>32.773074208850019</v>
      </c>
      <c r="CI18" s="105">
        <v>23950.562631827594</v>
      </c>
      <c r="CJ18" s="105">
        <v>30.411799740152944</v>
      </c>
      <c r="CK18" s="105">
        <v>22224.94325010377</v>
      </c>
      <c r="CL18" s="105">
        <v>27</v>
      </c>
      <c r="CM18" s="105">
        <v>19731.599999999999</v>
      </c>
      <c r="CN18" s="105">
        <v>39</v>
      </c>
      <c r="CO18" s="105">
        <v>28501.199999999997</v>
      </c>
      <c r="CP18" s="105">
        <v>27.700153009263271</v>
      </c>
      <c r="CQ18" s="105">
        <v>20243.271819169597</v>
      </c>
      <c r="CR18" s="105">
        <v>30.271107427899206</v>
      </c>
      <c r="CS18" s="105">
        <v>22122.125308308739</v>
      </c>
      <c r="CT18" s="105">
        <v>29.796078617350201</v>
      </c>
      <c r="CU18" s="105">
        <v>21774.974253559525</v>
      </c>
    </row>
    <row r="19" spans="2:99" x14ac:dyDescent="0.2">
      <c r="C19" s="104" t="s">
        <v>185</v>
      </c>
      <c r="D19" s="105">
        <v>26</v>
      </c>
      <c r="E19" s="105">
        <v>10046.4</v>
      </c>
      <c r="F19" s="105">
        <v>29.323373160864659</v>
      </c>
      <c r="G19" s="105">
        <v>11330.551389358103</v>
      </c>
      <c r="H19" s="105">
        <v>24.013511111932985</v>
      </c>
      <c r="I19" s="105">
        <v>9278.820693650905</v>
      </c>
      <c r="J19" s="105">
        <v>23.087978975227049</v>
      </c>
      <c r="K19" s="105">
        <v>8921.1950760277305</v>
      </c>
      <c r="L19" s="105">
        <v>26.253052071504818</v>
      </c>
      <c r="M19" s="105">
        <v>10144.179320429461</v>
      </c>
      <c r="N19" s="105">
        <v>25.166040397578342</v>
      </c>
      <c r="O19" s="105">
        <v>9724.1580096242706</v>
      </c>
      <c r="P19" s="105">
        <v>26.017664631993803</v>
      </c>
      <c r="Q19" s="105">
        <v>10053.225613802404</v>
      </c>
      <c r="R19" s="105">
        <v>24.530638184794601</v>
      </c>
      <c r="S19" s="105">
        <v>9478.6385946046339</v>
      </c>
      <c r="T19" s="105">
        <v>21</v>
      </c>
      <c r="U19" s="105">
        <v>8114.4</v>
      </c>
      <c r="V19" s="105">
        <v>24.840804031884765</v>
      </c>
      <c r="W19" s="105">
        <v>9598.486677920273</v>
      </c>
      <c r="X19" s="105">
        <v>27</v>
      </c>
      <c r="Y19" s="105">
        <v>10432.799999999999</v>
      </c>
      <c r="Z19" s="105">
        <v>21</v>
      </c>
      <c r="AA19" s="105">
        <v>8114.4</v>
      </c>
      <c r="AB19" s="105">
        <v>21.643132620837861</v>
      </c>
      <c r="AC19" s="105">
        <v>8362.9064446917491</v>
      </c>
      <c r="AD19" s="105">
        <v>32</v>
      </c>
      <c r="AE19" s="105">
        <v>12364.8</v>
      </c>
      <c r="AF19" s="105">
        <v>27</v>
      </c>
      <c r="AG19" s="105">
        <v>10432.799999999999</v>
      </c>
      <c r="AH19" s="105">
        <v>30.373475595326301</v>
      </c>
      <c r="AI19" s="105">
        <v>11736.310970034083</v>
      </c>
      <c r="AJ19" s="105">
        <v>18</v>
      </c>
      <c r="AK19" s="105">
        <v>6955.2</v>
      </c>
      <c r="AL19" s="105">
        <v>34</v>
      </c>
      <c r="AM19" s="105">
        <v>13137.599999999999</v>
      </c>
      <c r="AN19" s="105">
        <v>32.712602209002064</v>
      </c>
      <c r="AO19" s="105">
        <v>12640.149493558396</v>
      </c>
      <c r="AP19" s="105">
        <v>24</v>
      </c>
      <c r="AQ19" s="105">
        <v>9273.5999999999985</v>
      </c>
      <c r="AR19" s="105">
        <v>30.264395499718884</v>
      </c>
      <c r="AS19" s="105">
        <v>11694.162421091376</v>
      </c>
      <c r="AT19" s="105">
        <v>34.661336364254751</v>
      </c>
      <c r="AU19" s="105">
        <v>13393.140371148034</v>
      </c>
      <c r="AV19" s="105">
        <v>25</v>
      </c>
      <c r="AW19" s="105">
        <v>9660</v>
      </c>
      <c r="AX19" s="105">
        <v>23</v>
      </c>
      <c r="AY19" s="105">
        <v>8887.1999999999989</v>
      </c>
      <c r="AZ19" s="105">
        <v>30.95377370107191</v>
      </c>
      <c r="BA19" s="105">
        <v>11960.538158094185</v>
      </c>
      <c r="BB19" s="105">
        <v>24.428847992426093</v>
      </c>
      <c r="BC19" s="105">
        <v>9439.3068642734415</v>
      </c>
      <c r="BD19" s="105">
        <v>32.074755601660371</v>
      </c>
      <c r="BE19" s="105">
        <v>12393.685564481566</v>
      </c>
      <c r="BF19" s="105">
        <v>37.499661411666345</v>
      </c>
      <c r="BG19" s="105">
        <v>14489.869169467875</v>
      </c>
      <c r="BH19" s="105">
        <v>25.926729459732293</v>
      </c>
      <c r="BI19" s="105">
        <v>10018.088263240557</v>
      </c>
      <c r="BJ19" s="105">
        <v>28.731191100389992</v>
      </c>
      <c r="BK19" s="105">
        <v>11101.732241190692</v>
      </c>
      <c r="BL19" s="105">
        <v>27</v>
      </c>
      <c r="BM19" s="105">
        <v>10432.799999999999</v>
      </c>
      <c r="BN19" s="105">
        <v>22</v>
      </c>
      <c r="BO19" s="105">
        <v>8500.7999999999993</v>
      </c>
      <c r="BP19" s="105">
        <v>22</v>
      </c>
      <c r="BQ19" s="105">
        <v>8500.7999999999993</v>
      </c>
      <c r="BR19" s="105">
        <v>20</v>
      </c>
      <c r="BS19" s="105">
        <v>7728</v>
      </c>
      <c r="BT19" s="105">
        <v>39</v>
      </c>
      <c r="BU19" s="105">
        <v>15069.599999999999</v>
      </c>
      <c r="BV19" s="105">
        <v>35.451611084720135</v>
      </c>
      <c r="BW19" s="105">
        <v>13698.50252313586</v>
      </c>
      <c r="BX19" s="105">
        <v>26</v>
      </c>
      <c r="BY19" s="105">
        <v>10046.4</v>
      </c>
      <c r="BZ19" s="105">
        <v>27</v>
      </c>
      <c r="CA19" s="105">
        <v>10432.799999999999</v>
      </c>
      <c r="CB19" s="105">
        <v>24</v>
      </c>
      <c r="CC19" s="105">
        <v>9273.5999999999985</v>
      </c>
      <c r="CD19" s="105">
        <v>39.364980378876588</v>
      </c>
      <c r="CE19" s="105">
        <v>15210.628418397913</v>
      </c>
      <c r="CF19" s="105">
        <v>24.186686314533041</v>
      </c>
      <c r="CG19" s="105">
        <v>9345.7355919355668</v>
      </c>
      <c r="CH19" s="105">
        <v>38.973385545659482</v>
      </c>
      <c r="CI19" s="105">
        <v>15059.316174842823</v>
      </c>
      <c r="CJ19" s="105">
        <v>34.756342560174794</v>
      </c>
      <c r="CK19" s="105">
        <v>13429.85076525154</v>
      </c>
      <c r="CL19" s="105">
        <v>33</v>
      </c>
      <c r="CM19" s="105">
        <v>12751.199999999999</v>
      </c>
      <c r="CN19" s="105">
        <v>43</v>
      </c>
      <c r="CO19" s="105">
        <v>16615.2</v>
      </c>
      <c r="CP19" s="105">
        <v>25.91304636350435</v>
      </c>
      <c r="CQ19" s="105">
        <v>10012.801114858081</v>
      </c>
      <c r="CR19" s="105">
        <v>28.634831350715466</v>
      </c>
      <c r="CS19" s="105">
        <v>11064.498833916456</v>
      </c>
      <c r="CT19" s="105">
        <v>28.864951160558007</v>
      </c>
      <c r="CU19" s="105">
        <v>11153.417128439612</v>
      </c>
    </row>
    <row r="20" spans="2:99" x14ac:dyDescent="0.2">
      <c r="B20" s="104" t="s">
        <v>127</v>
      </c>
      <c r="C20" s="104" t="s">
        <v>186</v>
      </c>
      <c r="D20" s="105">
        <v>31</v>
      </c>
      <c r="E20" s="105">
        <v>2976</v>
      </c>
      <c r="F20" s="105">
        <v>24.741596104479552</v>
      </c>
      <c r="G20" s="105">
        <v>2375.1932260300368</v>
      </c>
      <c r="H20" s="105">
        <v>23.052970667455668</v>
      </c>
      <c r="I20" s="105">
        <v>2213.0851840757441</v>
      </c>
      <c r="J20" s="105">
        <v>27.897974595066021</v>
      </c>
      <c r="K20" s="105">
        <v>2678.2055611263381</v>
      </c>
      <c r="L20" s="105">
        <v>28.197722595319988</v>
      </c>
      <c r="M20" s="105">
        <v>2706.9813691507188</v>
      </c>
      <c r="N20" s="105">
        <v>22.806724110305371</v>
      </c>
      <c r="O20" s="105">
        <v>2189.4455145893157</v>
      </c>
      <c r="P20" s="105">
        <v>22.429021234477414</v>
      </c>
      <c r="Q20" s="105">
        <v>2153.1860385098316</v>
      </c>
      <c r="R20" s="105">
        <v>18.643285020443898</v>
      </c>
      <c r="S20" s="105">
        <v>1789.7553619626142</v>
      </c>
      <c r="T20" s="105">
        <v>33</v>
      </c>
      <c r="U20" s="105">
        <v>3168</v>
      </c>
      <c r="V20" s="105">
        <v>17.885378902957029</v>
      </c>
      <c r="W20" s="105">
        <v>1716.9963746838748</v>
      </c>
      <c r="X20" s="105">
        <v>25</v>
      </c>
      <c r="Y20" s="105">
        <v>2400</v>
      </c>
      <c r="Z20" s="105">
        <v>20</v>
      </c>
      <c r="AA20" s="105">
        <v>1920</v>
      </c>
      <c r="AB20" s="105">
        <v>25.250321390977504</v>
      </c>
      <c r="AC20" s="105">
        <v>2424.0308535338404</v>
      </c>
      <c r="AD20" s="105">
        <v>26</v>
      </c>
      <c r="AE20" s="105">
        <v>2496</v>
      </c>
      <c r="AF20" s="105">
        <v>23</v>
      </c>
      <c r="AG20" s="105">
        <v>2208</v>
      </c>
      <c r="AH20" s="105">
        <v>20.248983730217532</v>
      </c>
      <c r="AI20" s="105">
        <v>1943.902438100883</v>
      </c>
      <c r="AJ20" s="105">
        <v>20</v>
      </c>
      <c r="AK20" s="105">
        <v>1920</v>
      </c>
      <c r="AL20" s="105">
        <v>20</v>
      </c>
      <c r="AM20" s="105">
        <v>1920</v>
      </c>
      <c r="AN20" s="105">
        <v>27.75614732885024</v>
      </c>
      <c r="AO20" s="105">
        <v>2664.5901435696233</v>
      </c>
      <c r="AP20" s="105">
        <v>20</v>
      </c>
      <c r="AQ20" s="105">
        <v>1920</v>
      </c>
      <c r="AR20" s="105">
        <v>16.813553055399382</v>
      </c>
      <c r="AS20" s="105">
        <v>1614.1010933183406</v>
      </c>
      <c r="AT20" s="105">
        <v>18.242808612765661</v>
      </c>
      <c r="AU20" s="105">
        <v>1751.3096268255035</v>
      </c>
      <c r="AV20" s="105">
        <v>24</v>
      </c>
      <c r="AW20" s="105">
        <v>2304</v>
      </c>
      <c r="AX20" s="105">
        <v>25</v>
      </c>
      <c r="AY20" s="105">
        <v>2400</v>
      </c>
      <c r="AZ20" s="105">
        <v>25.325814846331561</v>
      </c>
      <c r="BA20" s="105">
        <v>2431.2782252478301</v>
      </c>
      <c r="BB20" s="105">
        <v>26.173765706170812</v>
      </c>
      <c r="BC20" s="105">
        <v>2512.681507792398</v>
      </c>
      <c r="BD20" s="105">
        <v>24.056066701245278</v>
      </c>
      <c r="BE20" s="105">
        <v>2309.3824033195469</v>
      </c>
      <c r="BF20" s="105">
        <v>16.07128346214272</v>
      </c>
      <c r="BG20" s="105">
        <v>1542.8432123657012</v>
      </c>
      <c r="BH20" s="105">
        <v>22.469832198434656</v>
      </c>
      <c r="BI20" s="105">
        <v>2157.1038910497268</v>
      </c>
      <c r="BJ20" s="105">
        <v>30.584816332673217</v>
      </c>
      <c r="BK20" s="105">
        <v>2936.1423679366289</v>
      </c>
      <c r="BL20" s="105">
        <v>18</v>
      </c>
      <c r="BM20" s="105">
        <v>1728</v>
      </c>
      <c r="BN20" s="105">
        <v>25</v>
      </c>
      <c r="BO20" s="105">
        <v>2400</v>
      </c>
      <c r="BP20" s="105">
        <v>19</v>
      </c>
      <c r="BQ20" s="105">
        <v>1824</v>
      </c>
      <c r="BR20" s="105">
        <v>19</v>
      </c>
      <c r="BS20" s="105">
        <v>1824</v>
      </c>
      <c r="BT20" s="105">
        <v>29</v>
      </c>
      <c r="BU20" s="105">
        <v>2784</v>
      </c>
      <c r="BV20" s="105">
        <v>16.839515265242063</v>
      </c>
      <c r="BW20" s="105">
        <v>1616.5934654632381</v>
      </c>
      <c r="BX20" s="105">
        <v>25</v>
      </c>
      <c r="BY20" s="105">
        <v>2400</v>
      </c>
      <c r="BZ20" s="105">
        <v>21</v>
      </c>
      <c r="CA20" s="105">
        <v>2016</v>
      </c>
      <c r="CB20" s="105">
        <v>30</v>
      </c>
      <c r="CC20" s="105">
        <v>2880</v>
      </c>
      <c r="CD20" s="105">
        <v>31.313052574106376</v>
      </c>
      <c r="CE20" s="105">
        <v>3006.0530471142119</v>
      </c>
      <c r="CF20" s="105">
        <v>29.768229310194513</v>
      </c>
      <c r="CG20" s="105">
        <v>2857.7500137786733</v>
      </c>
      <c r="CH20" s="105">
        <v>23.029727822435149</v>
      </c>
      <c r="CI20" s="105">
        <v>2210.8538709537743</v>
      </c>
      <c r="CJ20" s="105">
        <v>22.591622664113615</v>
      </c>
      <c r="CK20" s="105">
        <v>2168.795775754907</v>
      </c>
      <c r="CL20" s="105">
        <v>23</v>
      </c>
      <c r="CM20" s="105">
        <v>2208</v>
      </c>
      <c r="CN20" s="105">
        <v>22</v>
      </c>
      <c r="CO20" s="105">
        <v>2112</v>
      </c>
      <c r="CP20" s="105">
        <v>31.274366300781111</v>
      </c>
      <c r="CQ20" s="105">
        <v>3002.3391648749866</v>
      </c>
      <c r="CR20" s="105">
        <v>24.544141157756112</v>
      </c>
      <c r="CS20" s="105">
        <v>2356.2375511445866</v>
      </c>
      <c r="CT20" s="105">
        <v>18.622549135843876</v>
      </c>
      <c r="CU20" s="105">
        <v>1787.7647170410121</v>
      </c>
    </row>
    <row r="21" spans="2:99" x14ac:dyDescent="0.2">
      <c r="C21" s="104" t="s">
        <v>187</v>
      </c>
      <c r="D21" s="105">
        <v>30</v>
      </c>
      <c r="E21" s="105">
        <v>7271.9999999999991</v>
      </c>
      <c r="F21" s="105">
        <v>23.825240693202534</v>
      </c>
      <c r="G21" s="105">
        <v>5775.2383440322938</v>
      </c>
      <c r="H21" s="105">
        <v>22.092430222978347</v>
      </c>
      <c r="I21" s="105">
        <v>5355.2050860499512</v>
      </c>
      <c r="J21" s="105">
        <v>28.859973719033814</v>
      </c>
      <c r="K21" s="105">
        <v>6995.6576294937959</v>
      </c>
      <c r="L21" s="105">
        <v>27.225387333412407</v>
      </c>
      <c r="M21" s="105">
        <v>6599.4338896191666</v>
      </c>
      <c r="N21" s="105">
        <v>22.806724110305371</v>
      </c>
      <c r="O21" s="105">
        <v>5528.3499243380211</v>
      </c>
      <c r="P21" s="105">
        <v>21.531860385098319</v>
      </c>
      <c r="Q21" s="105">
        <v>5219.322957347832</v>
      </c>
      <c r="R21" s="105">
        <v>16.680833965660327</v>
      </c>
      <c r="S21" s="105">
        <v>4043.4341532760627</v>
      </c>
      <c r="T21" s="105">
        <v>32</v>
      </c>
      <c r="U21" s="105">
        <v>7756.7999999999993</v>
      </c>
      <c r="V21" s="105">
        <v>18.879011064232422</v>
      </c>
      <c r="W21" s="105">
        <v>4576.2722819699384</v>
      </c>
      <c r="X21" s="105">
        <v>23</v>
      </c>
      <c r="Y21" s="105">
        <v>5575.2</v>
      </c>
      <c r="Z21" s="105">
        <v>21</v>
      </c>
      <c r="AA21" s="105">
        <v>5090.3999999999996</v>
      </c>
      <c r="AB21" s="105">
        <v>24.34852419844259</v>
      </c>
      <c r="AC21" s="105">
        <v>5902.0822657024828</v>
      </c>
      <c r="AD21" s="105">
        <v>27</v>
      </c>
      <c r="AE21" s="105">
        <v>6544.7999999999993</v>
      </c>
      <c r="AF21" s="105">
        <v>22</v>
      </c>
      <c r="AG21" s="105">
        <v>5332.7999999999993</v>
      </c>
      <c r="AH21" s="105">
        <v>20.248983730217532</v>
      </c>
      <c r="AI21" s="105">
        <v>4908.3536562047293</v>
      </c>
      <c r="AJ21" s="105">
        <v>20</v>
      </c>
      <c r="AK21" s="105">
        <v>4848</v>
      </c>
      <c r="AL21" s="105">
        <v>17</v>
      </c>
      <c r="AM21" s="105">
        <v>4120.7999999999993</v>
      </c>
      <c r="AN21" s="105">
        <v>23.790983424728775</v>
      </c>
      <c r="AO21" s="105">
        <v>5766.9343821542543</v>
      </c>
      <c r="AP21" s="105">
        <v>17</v>
      </c>
      <c r="AQ21" s="105">
        <v>4120.7999999999993</v>
      </c>
      <c r="AR21" s="105">
        <v>16.813553055399382</v>
      </c>
      <c r="AS21" s="105">
        <v>4075.6052606288099</v>
      </c>
      <c r="AT21" s="105">
        <v>20.067089474042223</v>
      </c>
      <c r="AU21" s="105">
        <v>4864.2624885078349</v>
      </c>
      <c r="AV21" s="105">
        <v>25</v>
      </c>
      <c r="AW21" s="105">
        <v>6059.9999999999991</v>
      </c>
      <c r="AX21" s="105">
        <v>26</v>
      </c>
      <c r="AY21" s="105">
        <v>6302.4</v>
      </c>
      <c r="AZ21" s="105">
        <v>22.511835418961386</v>
      </c>
      <c r="BA21" s="105">
        <v>5456.868905556239</v>
      </c>
      <c r="BB21" s="105">
        <v>23.556389135553729</v>
      </c>
      <c r="BC21" s="105">
        <v>5710.0687264582239</v>
      </c>
      <c r="BD21" s="105">
        <v>27.619928434763096</v>
      </c>
      <c r="BE21" s="105">
        <v>6695.0706525865744</v>
      </c>
      <c r="BF21" s="105">
        <v>17.856981624603023</v>
      </c>
      <c r="BG21" s="105">
        <v>4328.5323458037719</v>
      </c>
      <c r="BH21" s="105">
        <v>23.334056513759062</v>
      </c>
      <c r="BI21" s="105">
        <v>5656.1752989351962</v>
      </c>
      <c r="BJ21" s="105">
        <v>27.804378484248375</v>
      </c>
      <c r="BK21" s="105">
        <v>6739.7813445818056</v>
      </c>
      <c r="BL21" s="105">
        <v>17</v>
      </c>
      <c r="BM21" s="105">
        <v>4120.7999999999993</v>
      </c>
      <c r="BN21" s="105">
        <v>25</v>
      </c>
      <c r="BO21" s="105">
        <v>6059.9999999999991</v>
      </c>
      <c r="BP21" s="105">
        <v>19</v>
      </c>
      <c r="BQ21" s="105">
        <v>4605.5999999999995</v>
      </c>
      <c r="BR21" s="105">
        <v>17</v>
      </c>
      <c r="BS21" s="105">
        <v>4120.7999999999993</v>
      </c>
      <c r="BT21" s="105">
        <v>27</v>
      </c>
      <c r="BU21" s="105">
        <v>6544.7999999999993</v>
      </c>
      <c r="BV21" s="105">
        <v>16.839515265242063</v>
      </c>
      <c r="BW21" s="105">
        <v>4081.8985002946756</v>
      </c>
      <c r="BX21" s="105">
        <v>27</v>
      </c>
      <c r="BY21" s="105">
        <v>6544.7999999999993</v>
      </c>
      <c r="BZ21" s="105">
        <v>20</v>
      </c>
      <c r="CA21" s="105">
        <v>4848</v>
      </c>
      <c r="CB21" s="105">
        <v>30</v>
      </c>
      <c r="CC21" s="105">
        <v>7271.9999999999991</v>
      </c>
      <c r="CD21" s="105">
        <v>30.418393929131902</v>
      </c>
      <c r="CE21" s="105">
        <v>7373.4186884215724</v>
      </c>
      <c r="CF21" s="105">
        <v>31.628743642081673</v>
      </c>
      <c r="CG21" s="105">
        <v>7666.8074588405971</v>
      </c>
      <c r="CH21" s="105">
        <v>20.372451535231093</v>
      </c>
      <c r="CI21" s="105">
        <v>4938.2822521400167</v>
      </c>
      <c r="CJ21" s="105">
        <v>21.722714100109243</v>
      </c>
      <c r="CK21" s="105">
        <v>5265.5858978664801</v>
      </c>
      <c r="CL21" s="105">
        <v>19</v>
      </c>
      <c r="CM21" s="105">
        <v>4605.5999999999995</v>
      </c>
      <c r="CN21" s="105">
        <v>21</v>
      </c>
      <c r="CO21" s="105">
        <v>5090.3999999999996</v>
      </c>
      <c r="CP21" s="105">
        <v>27.700153009263271</v>
      </c>
      <c r="CQ21" s="105">
        <v>6714.5170894454159</v>
      </c>
      <c r="CR21" s="105">
        <v>24.544141157756112</v>
      </c>
      <c r="CS21" s="105">
        <v>5949.499816640081</v>
      </c>
      <c r="CT21" s="105">
        <v>17.691421679051683</v>
      </c>
      <c r="CU21" s="105">
        <v>4288.4006150021278</v>
      </c>
    </row>
    <row r="22" spans="2:99" x14ac:dyDescent="0.2">
      <c r="C22" s="104" t="s">
        <v>188</v>
      </c>
      <c r="D22" s="105">
        <v>31</v>
      </c>
      <c r="E22" s="105">
        <v>1934.3999999999999</v>
      </c>
      <c r="F22" s="105">
        <v>22.908885281925514</v>
      </c>
      <c r="G22" s="105">
        <v>1429.514441592152</v>
      </c>
      <c r="H22" s="105">
        <v>24.974051556410306</v>
      </c>
      <c r="I22" s="105">
        <v>1558.380817120003</v>
      </c>
      <c r="J22" s="105">
        <v>32.707970214904989</v>
      </c>
      <c r="K22" s="105">
        <v>2040.9773414100712</v>
      </c>
      <c r="L22" s="105">
        <v>31.114728381042749</v>
      </c>
      <c r="M22" s="105">
        <v>1941.5590509770675</v>
      </c>
      <c r="N22" s="105">
        <v>23.593162872729696</v>
      </c>
      <c r="O22" s="105">
        <v>1472.2133632583329</v>
      </c>
      <c r="P22" s="105">
        <v>23.326182083856516</v>
      </c>
      <c r="Q22" s="105">
        <v>1455.5537620326465</v>
      </c>
      <c r="R22" s="105">
        <v>19.62451054783568</v>
      </c>
      <c r="S22" s="105">
        <v>1224.5694581849464</v>
      </c>
      <c r="T22" s="105">
        <v>30</v>
      </c>
      <c r="U22" s="105">
        <v>1872</v>
      </c>
      <c r="V22" s="105">
        <v>17.885378902957029</v>
      </c>
      <c r="W22" s="105">
        <v>1116.0476435445187</v>
      </c>
      <c r="X22" s="105">
        <v>26</v>
      </c>
      <c r="Y22" s="105">
        <v>1622.3999999999999</v>
      </c>
      <c r="Z22" s="105">
        <v>20</v>
      </c>
      <c r="AA22" s="105">
        <v>1248</v>
      </c>
      <c r="AB22" s="105">
        <v>27.053915776047322</v>
      </c>
      <c r="AC22" s="105">
        <v>1688.164344425353</v>
      </c>
      <c r="AD22" s="105">
        <v>26</v>
      </c>
      <c r="AE22" s="105">
        <v>1622.3999999999999</v>
      </c>
      <c r="AF22" s="105">
        <v>19</v>
      </c>
      <c r="AG22" s="105">
        <v>1185.5999999999999</v>
      </c>
      <c r="AH22" s="105">
        <v>22.585404929858015</v>
      </c>
      <c r="AI22" s="105">
        <v>1409.3292676231401</v>
      </c>
      <c r="AJ22" s="105">
        <v>19</v>
      </c>
      <c r="AK22" s="105">
        <v>1185.5999999999999</v>
      </c>
      <c r="AL22" s="105">
        <v>18</v>
      </c>
      <c r="AM22" s="105">
        <v>1123.2</v>
      </c>
      <c r="AN22" s="105">
        <v>27.75614732885024</v>
      </c>
      <c r="AO22" s="105">
        <v>1731.9835933202548</v>
      </c>
      <c r="AP22" s="105">
        <v>18</v>
      </c>
      <c r="AQ22" s="105">
        <v>1123.2</v>
      </c>
      <c r="AR22" s="105">
        <v>18.494908360939316</v>
      </c>
      <c r="AS22" s="105">
        <v>1154.0822817226133</v>
      </c>
      <c r="AT22" s="105">
        <v>19.154949043403942</v>
      </c>
      <c r="AU22" s="105">
        <v>1195.268820308406</v>
      </c>
      <c r="AV22" s="105">
        <v>26</v>
      </c>
      <c r="AW22" s="105">
        <v>1622.3999999999999</v>
      </c>
      <c r="AX22" s="105">
        <v>28</v>
      </c>
      <c r="AY22" s="105">
        <v>1747.2</v>
      </c>
      <c r="AZ22" s="105">
        <v>25.325814846331561</v>
      </c>
      <c r="BA22" s="105">
        <v>1580.3308464110894</v>
      </c>
      <c r="BB22" s="105">
        <v>28.791142276787895</v>
      </c>
      <c r="BC22" s="105">
        <v>1796.5672780715645</v>
      </c>
      <c r="BD22" s="105">
        <v>25.837997568004184</v>
      </c>
      <c r="BE22" s="105">
        <v>1612.2910482434611</v>
      </c>
      <c r="BF22" s="105">
        <v>18.749830705833173</v>
      </c>
      <c r="BG22" s="105">
        <v>1169.9894360439901</v>
      </c>
      <c r="BH22" s="105">
        <v>22.469832198434656</v>
      </c>
      <c r="BI22" s="105">
        <v>1402.1175291823224</v>
      </c>
      <c r="BJ22" s="105">
        <v>27.804378484248375</v>
      </c>
      <c r="BK22" s="105">
        <v>1734.9932174170985</v>
      </c>
      <c r="BL22" s="105">
        <v>19</v>
      </c>
      <c r="BM22" s="105">
        <v>1185.5999999999999</v>
      </c>
      <c r="BN22" s="105">
        <v>26</v>
      </c>
      <c r="BO22" s="105">
        <v>1622.3999999999999</v>
      </c>
      <c r="BP22" s="105">
        <v>17</v>
      </c>
      <c r="BQ22" s="105">
        <v>1060.8</v>
      </c>
      <c r="BR22" s="105">
        <v>20</v>
      </c>
      <c r="BS22" s="105">
        <v>1248</v>
      </c>
      <c r="BT22" s="105">
        <v>29</v>
      </c>
      <c r="BU22" s="105">
        <v>1809.6</v>
      </c>
      <c r="BV22" s="105">
        <v>16.839515265242063</v>
      </c>
      <c r="BW22" s="105">
        <v>1050.7857525511047</v>
      </c>
      <c r="BX22" s="105">
        <v>27</v>
      </c>
      <c r="BY22" s="105">
        <v>1684.8</v>
      </c>
      <c r="BZ22" s="105">
        <v>21</v>
      </c>
      <c r="CA22" s="105">
        <v>1310.3999999999999</v>
      </c>
      <c r="CB22" s="105">
        <v>33</v>
      </c>
      <c r="CC22" s="105">
        <v>2059.1999999999998</v>
      </c>
      <c r="CD22" s="105">
        <v>30.418393929131902</v>
      </c>
      <c r="CE22" s="105">
        <v>1898.1077811778307</v>
      </c>
      <c r="CF22" s="105">
        <v>33.489257973968826</v>
      </c>
      <c r="CG22" s="105">
        <v>2089.7296975756549</v>
      </c>
      <c r="CH22" s="105">
        <v>19.486692772829741</v>
      </c>
      <c r="CI22" s="105">
        <v>1215.9696290245759</v>
      </c>
      <c r="CJ22" s="105">
        <v>20.853805536104876</v>
      </c>
      <c r="CK22" s="105">
        <v>1301.2774654529442</v>
      </c>
      <c r="CL22" s="105">
        <v>21</v>
      </c>
      <c r="CM22" s="105">
        <v>1310.3999999999999</v>
      </c>
      <c r="CN22" s="105">
        <v>22</v>
      </c>
      <c r="CO22" s="105">
        <v>1372.8</v>
      </c>
      <c r="CP22" s="105">
        <v>29.487259655022193</v>
      </c>
      <c r="CQ22" s="105">
        <v>1840.0050024733848</v>
      </c>
      <c r="CR22" s="105">
        <v>24.544141157756112</v>
      </c>
      <c r="CS22" s="105">
        <v>1531.5544082439812</v>
      </c>
      <c r="CT22" s="105">
        <v>18.622549135843876</v>
      </c>
      <c r="CU22" s="105">
        <v>1162.0470660766578</v>
      </c>
    </row>
    <row r="23" spans="2:99" x14ac:dyDescent="0.2">
      <c r="C23" s="104" t="s">
        <v>189</v>
      </c>
      <c r="D23" s="105">
        <v>30</v>
      </c>
      <c r="E23" s="105">
        <v>8387.9999999999982</v>
      </c>
      <c r="F23" s="105">
        <v>21.99252987064849</v>
      </c>
      <c r="G23" s="105">
        <v>6149.1113518333168</v>
      </c>
      <c r="H23" s="105">
        <v>22.092430222978347</v>
      </c>
      <c r="I23" s="105">
        <v>6177.0434903447449</v>
      </c>
      <c r="J23" s="105">
        <v>28.859973719033814</v>
      </c>
      <c r="K23" s="105">
        <v>8069.2486518418536</v>
      </c>
      <c r="L23" s="105">
        <v>30.142393119135164</v>
      </c>
      <c r="M23" s="105">
        <v>8427.8131161101901</v>
      </c>
      <c r="N23" s="105">
        <v>22.806724110305371</v>
      </c>
      <c r="O23" s="105">
        <v>6376.7600612413808</v>
      </c>
      <c r="P23" s="105">
        <v>20.634699535719221</v>
      </c>
      <c r="Q23" s="105">
        <v>5769.4619901870938</v>
      </c>
      <c r="R23" s="105">
        <v>18.643285020443898</v>
      </c>
      <c r="S23" s="105">
        <v>5212.6624917161134</v>
      </c>
      <c r="T23" s="105">
        <v>32</v>
      </c>
      <c r="U23" s="105">
        <v>8947.1999999999989</v>
      </c>
      <c r="V23" s="105">
        <v>19.872643225507812</v>
      </c>
      <c r="W23" s="105">
        <v>5556.3910458519831</v>
      </c>
      <c r="X23" s="105">
        <v>24</v>
      </c>
      <c r="Y23" s="105">
        <v>6710.4</v>
      </c>
      <c r="Z23" s="105">
        <v>21</v>
      </c>
      <c r="AA23" s="105">
        <v>5871.5999999999995</v>
      </c>
      <c r="AB23" s="105">
        <v>24.34852419844259</v>
      </c>
      <c r="AC23" s="105">
        <v>6807.8473658845469</v>
      </c>
      <c r="AD23" s="105">
        <v>24</v>
      </c>
      <c r="AE23" s="105">
        <v>6710.4</v>
      </c>
      <c r="AF23" s="105">
        <v>19</v>
      </c>
      <c r="AG23" s="105">
        <v>5312.4</v>
      </c>
      <c r="AH23" s="105">
        <v>21.80659786331119</v>
      </c>
      <c r="AI23" s="105">
        <v>6097.1247625818078</v>
      </c>
      <c r="AJ23" s="105">
        <v>18</v>
      </c>
      <c r="AK23" s="105">
        <v>5032.7999999999993</v>
      </c>
      <c r="AL23" s="105">
        <v>17</v>
      </c>
      <c r="AM23" s="105">
        <v>4753.2</v>
      </c>
      <c r="AN23" s="105">
        <v>27.75614732885024</v>
      </c>
      <c r="AO23" s="105">
        <v>7760.6187931465265</v>
      </c>
      <c r="AP23" s="105">
        <v>18</v>
      </c>
      <c r="AQ23" s="105">
        <v>5032.7999999999993</v>
      </c>
      <c r="AR23" s="105">
        <v>18.494908360939316</v>
      </c>
      <c r="AS23" s="105">
        <v>5171.1763777186325</v>
      </c>
      <c r="AT23" s="105">
        <v>17.330668182127376</v>
      </c>
      <c r="AU23" s="105">
        <v>4845.6548237228135</v>
      </c>
      <c r="AV23" s="105">
        <v>24</v>
      </c>
      <c r="AW23" s="105">
        <v>6710.4</v>
      </c>
      <c r="AX23" s="105">
        <v>24</v>
      </c>
      <c r="AY23" s="105">
        <v>6710.4</v>
      </c>
      <c r="AZ23" s="105">
        <v>24.387821703874838</v>
      </c>
      <c r="BA23" s="105">
        <v>6818.8349484034043</v>
      </c>
      <c r="BB23" s="105">
        <v>25.301306849298452</v>
      </c>
      <c r="BC23" s="105">
        <v>7074.2453950638464</v>
      </c>
      <c r="BD23" s="105">
        <v>26.72896300138364</v>
      </c>
      <c r="BE23" s="105">
        <v>7473.4180551868649</v>
      </c>
      <c r="BF23" s="105">
        <v>17.856981624603023</v>
      </c>
      <c r="BG23" s="105">
        <v>4992.8120622390043</v>
      </c>
      <c r="BH23" s="105">
        <v>23.334056513759062</v>
      </c>
      <c r="BI23" s="105">
        <v>6524.2022012470334</v>
      </c>
      <c r="BJ23" s="105">
        <v>25.950753251965153</v>
      </c>
      <c r="BK23" s="105">
        <v>7255.8306092494558</v>
      </c>
      <c r="BL23" s="105">
        <v>17</v>
      </c>
      <c r="BM23" s="105">
        <v>4753.2</v>
      </c>
      <c r="BN23" s="105">
        <v>22</v>
      </c>
      <c r="BO23" s="105">
        <v>6151.1999999999989</v>
      </c>
      <c r="BP23" s="105">
        <v>16</v>
      </c>
      <c r="BQ23" s="105">
        <v>4473.5999999999995</v>
      </c>
      <c r="BR23" s="105">
        <v>19</v>
      </c>
      <c r="BS23" s="105">
        <v>5312.4</v>
      </c>
      <c r="BT23" s="105">
        <v>25</v>
      </c>
      <c r="BU23" s="105">
        <v>6989.9999999999991</v>
      </c>
      <c r="BV23" s="105">
        <v>17.725805542360067</v>
      </c>
      <c r="BW23" s="105">
        <v>4956.1352296438745</v>
      </c>
      <c r="BX23" s="105">
        <v>24</v>
      </c>
      <c r="BY23" s="105">
        <v>6710.4</v>
      </c>
      <c r="BZ23" s="105">
        <v>20</v>
      </c>
      <c r="CA23" s="105">
        <v>5591.9999999999991</v>
      </c>
      <c r="CB23" s="105">
        <v>33</v>
      </c>
      <c r="CC23" s="105">
        <v>9226.7999999999993</v>
      </c>
      <c r="CD23" s="105">
        <v>30.418393929131902</v>
      </c>
      <c r="CE23" s="105">
        <v>8504.9829425852786</v>
      </c>
      <c r="CF23" s="105">
        <v>30.69848647613809</v>
      </c>
      <c r="CG23" s="105">
        <v>8583.2968187282095</v>
      </c>
      <c r="CH23" s="105">
        <v>19.486692772829741</v>
      </c>
      <c r="CI23" s="105">
        <v>5448.4792992831954</v>
      </c>
      <c r="CJ23" s="105">
        <v>22.591622664113615</v>
      </c>
      <c r="CK23" s="105">
        <v>6316.6176968861655</v>
      </c>
      <c r="CL23" s="105">
        <v>22</v>
      </c>
      <c r="CM23" s="105">
        <v>6151.1999999999989</v>
      </c>
      <c r="CN23" s="105">
        <v>21</v>
      </c>
      <c r="CO23" s="105">
        <v>5871.5999999999995</v>
      </c>
      <c r="CP23" s="105">
        <v>30.380812977901652</v>
      </c>
      <c r="CQ23" s="105">
        <v>8494.4753086213004</v>
      </c>
      <c r="CR23" s="105">
        <v>22.907865080572371</v>
      </c>
      <c r="CS23" s="105">
        <v>6405.0390765280345</v>
      </c>
      <c r="CT23" s="105">
        <v>15.829166765467294</v>
      </c>
      <c r="CU23" s="105">
        <v>4425.8350276246547</v>
      </c>
    </row>
    <row r="24" spans="2:99" x14ac:dyDescent="0.2">
      <c r="C24" s="104" t="s">
        <v>190</v>
      </c>
      <c r="D24" s="105">
        <v>27</v>
      </c>
      <c r="E24" s="105">
        <v>8229.6</v>
      </c>
      <c r="F24" s="105">
        <v>25.657951515756576</v>
      </c>
      <c r="G24" s="105">
        <v>7820.5436220026049</v>
      </c>
      <c r="H24" s="105">
        <v>24.974051556410306</v>
      </c>
      <c r="I24" s="105">
        <v>7612.0909143938616</v>
      </c>
      <c r="J24" s="105">
        <v>27.897974595066021</v>
      </c>
      <c r="K24" s="105">
        <v>8503.3026565761229</v>
      </c>
      <c r="L24" s="105">
        <v>29.170057857227576</v>
      </c>
      <c r="M24" s="105">
        <v>8891.033634882966</v>
      </c>
      <c r="N24" s="105">
        <v>23.593162872729696</v>
      </c>
      <c r="O24" s="105">
        <v>7191.1960436080117</v>
      </c>
      <c r="P24" s="105">
        <v>20.634699535719221</v>
      </c>
      <c r="Q24" s="105">
        <v>6289.4564184872188</v>
      </c>
      <c r="R24" s="105">
        <v>17.662059493052112</v>
      </c>
      <c r="S24" s="105">
        <v>5383.3957334822844</v>
      </c>
      <c r="T24" s="105">
        <v>29</v>
      </c>
      <c r="U24" s="105">
        <v>8839.2000000000007</v>
      </c>
      <c r="V24" s="105">
        <v>18.879011064232422</v>
      </c>
      <c r="W24" s="105">
        <v>5754.3225723780424</v>
      </c>
      <c r="X24" s="105">
        <v>24</v>
      </c>
      <c r="Y24" s="105">
        <v>7315.2000000000007</v>
      </c>
      <c r="Z24" s="105">
        <v>20</v>
      </c>
      <c r="AA24" s="105">
        <v>6096</v>
      </c>
      <c r="AB24" s="105">
        <v>25.250321390977504</v>
      </c>
      <c r="AC24" s="105">
        <v>7696.2979599699438</v>
      </c>
      <c r="AD24" s="105">
        <v>22</v>
      </c>
      <c r="AE24" s="105">
        <v>6705.6</v>
      </c>
      <c r="AF24" s="105">
        <v>20</v>
      </c>
      <c r="AG24" s="105">
        <v>6096</v>
      </c>
      <c r="AH24" s="105">
        <v>22.585404929858015</v>
      </c>
      <c r="AI24" s="105">
        <v>6884.0314226207229</v>
      </c>
      <c r="AJ24" s="105">
        <v>19</v>
      </c>
      <c r="AK24" s="105">
        <v>5791.2</v>
      </c>
      <c r="AL24" s="105">
        <v>19</v>
      </c>
      <c r="AM24" s="105">
        <v>5791.2</v>
      </c>
      <c r="AN24" s="105">
        <v>26.764856352819869</v>
      </c>
      <c r="AO24" s="105">
        <v>8157.9282163394964</v>
      </c>
      <c r="AP24" s="105">
        <v>19</v>
      </c>
      <c r="AQ24" s="105">
        <v>5791.2</v>
      </c>
      <c r="AR24" s="105">
        <v>15.972875402629411</v>
      </c>
      <c r="AS24" s="105">
        <v>4868.5324227214442</v>
      </c>
      <c r="AT24" s="105">
        <v>20.979229904680508</v>
      </c>
      <c r="AU24" s="105">
        <v>6394.4692749466194</v>
      </c>
      <c r="AV24" s="105">
        <v>24</v>
      </c>
      <c r="AW24" s="105">
        <v>7315.2000000000007</v>
      </c>
      <c r="AX24" s="105">
        <v>26</v>
      </c>
      <c r="AY24" s="105">
        <v>7924.8</v>
      </c>
      <c r="AZ24" s="105">
        <v>22.511835418961386</v>
      </c>
      <c r="BA24" s="105">
        <v>6861.6074356994304</v>
      </c>
      <c r="BB24" s="105">
        <v>26.173765706170812</v>
      </c>
      <c r="BC24" s="105">
        <v>7977.7637872408641</v>
      </c>
      <c r="BD24" s="105">
        <v>23.165101267865822</v>
      </c>
      <c r="BE24" s="105">
        <v>7060.7228664455024</v>
      </c>
      <c r="BF24" s="105">
        <v>16.07128346214272</v>
      </c>
      <c r="BG24" s="105">
        <v>4898.5271992611015</v>
      </c>
      <c r="BH24" s="105">
        <v>19.877159252461425</v>
      </c>
      <c r="BI24" s="105">
        <v>6058.5581401502423</v>
      </c>
      <c r="BJ24" s="105">
        <v>27.804378484248375</v>
      </c>
      <c r="BK24" s="105">
        <v>8474.7745619989055</v>
      </c>
      <c r="BL24" s="105">
        <v>17</v>
      </c>
      <c r="BM24" s="105">
        <v>5181.6000000000004</v>
      </c>
      <c r="BN24" s="105">
        <v>25</v>
      </c>
      <c r="BO24" s="105">
        <v>7620</v>
      </c>
      <c r="BP24" s="105">
        <v>17</v>
      </c>
      <c r="BQ24" s="105">
        <v>5181.6000000000004</v>
      </c>
      <c r="BR24" s="105">
        <v>20</v>
      </c>
      <c r="BS24" s="105">
        <v>6096</v>
      </c>
      <c r="BT24" s="105">
        <v>27</v>
      </c>
      <c r="BU24" s="105">
        <v>8229.6</v>
      </c>
      <c r="BV24" s="105">
        <v>15.95322498812406</v>
      </c>
      <c r="BW24" s="105">
        <v>4862.5429763802131</v>
      </c>
      <c r="BX24" s="105">
        <v>24</v>
      </c>
      <c r="BY24" s="105">
        <v>7315.2000000000007</v>
      </c>
      <c r="BZ24" s="105">
        <v>22</v>
      </c>
      <c r="CA24" s="105">
        <v>6705.6</v>
      </c>
      <c r="CB24" s="105">
        <v>31</v>
      </c>
      <c r="CC24" s="105">
        <v>9448.8000000000011</v>
      </c>
      <c r="CD24" s="105">
        <v>30.418393929131902</v>
      </c>
      <c r="CE24" s="105">
        <v>9271.5264695994047</v>
      </c>
      <c r="CF24" s="105">
        <v>27.907714978307357</v>
      </c>
      <c r="CG24" s="105">
        <v>8506.2715253880833</v>
      </c>
      <c r="CH24" s="105">
        <v>18.600934010428389</v>
      </c>
      <c r="CI24" s="105">
        <v>5669.5646863785732</v>
      </c>
      <c r="CJ24" s="105">
        <v>21.722714100109243</v>
      </c>
      <c r="CK24" s="105">
        <v>6621.0832577132978</v>
      </c>
      <c r="CL24" s="105">
        <v>22</v>
      </c>
      <c r="CM24" s="105">
        <v>6705.6</v>
      </c>
      <c r="CN24" s="105">
        <v>21</v>
      </c>
      <c r="CO24" s="105">
        <v>6400.8</v>
      </c>
      <c r="CP24" s="105">
        <v>30.380812977901652</v>
      </c>
      <c r="CQ24" s="105">
        <v>9260.0717956644239</v>
      </c>
      <c r="CR24" s="105">
        <v>23.72600311916424</v>
      </c>
      <c r="CS24" s="105">
        <v>7231.6857507212608</v>
      </c>
      <c r="CT24" s="105">
        <v>15.829166765467294</v>
      </c>
      <c r="CU24" s="105">
        <v>4824.7300301144314</v>
      </c>
    </row>
    <row r="25" spans="2:99" x14ac:dyDescent="0.2">
      <c r="C25" s="104" t="s">
        <v>191</v>
      </c>
      <c r="D25" s="105">
        <v>29</v>
      </c>
      <c r="E25" s="105">
        <v>9430.7999999999993</v>
      </c>
      <c r="F25" s="105">
        <v>24.741596104479552</v>
      </c>
      <c r="G25" s="105">
        <v>8045.9670531767497</v>
      </c>
      <c r="H25" s="105">
        <v>24.974051556410306</v>
      </c>
      <c r="I25" s="105">
        <v>8121.5615661446309</v>
      </c>
      <c r="J25" s="105">
        <v>31.745971090937193</v>
      </c>
      <c r="K25" s="105">
        <v>10323.789798772776</v>
      </c>
      <c r="L25" s="105">
        <v>26.253052071504818</v>
      </c>
      <c r="M25" s="105">
        <v>8537.492533653367</v>
      </c>
      <c r="N25" s="105">
        <v>23.593162872729696</v>
      </c>
      <c r="O25" s="105">
        <v>7672.4965662116965</v>
      </c>
      <c r="P25" s="105">
        <v>21.531860385098319</v>
      </c>
      <c r="Q25" s="105">
        <v>7002.1609972339729</v>
      </c>
      <c r="R25" s="105">
        <v>19.62451054783568</v>
      </c>
      <c r="S25" s="105">
        <v>6381.8908301561632</v>
      </c>
      <c r="T25" s="105">
        <v>28</v>
      </c>
      <c r="U25" s="105">
        <v>9105.6</v>
      </c>
      <c r="V25" s="105">
        <v>16.89174674168164</v>
      </c>
      <c r="W25" s="105">
        <v>5493.1960403948688</v>
      </c>
      <c r="X25" s="105">
        <v>22</v>
      </c>
      <c r="Y25" s="105">
        <v>7154.4</v>
      </c>
      <c r="Z25" s="105">
        <v>21</v>
      </c>
      <c r="AA25" s="105">
        <v>6829.2</v>
      </c>
      <c r="AB25" s="105">
        <v>27.955712968582237</v>
      </c>
      <c r="AC25" s="105">
        <v>9091.1978573829438</v>
      </c>
      <c r="AD25" s="105">
        <v>23</v>
      </c>
      <c r="AE25" s="105">
        <v>7479.5999999999995</v>
      </c>
      <c r="AF25" s="105">
        <v>20</v>
      </c>
      <c r="AG25" s="105">
        <v>6504</v>
      </c>
      <c r="AH25" s="105">
        <v>20.248983730217532</v>
      </c>
      <c r="AI25" s="105">
        <v>6584.969509066741</v>
      </c>
      <c r="AJ25" s="105">
        <v>16</v>
      </c>
      <c r="AK25" s="105">
        <v>5203.2</v>
      </c>
      <c r="AL25" s="105">
        <v>18</v>
      </c>
      <c r="AM25" s="105">
        <v>5853.5999999999995</v>
      </c>
      <c r="AN25" s="105">
        <v>25.773565376789506</v>
      </c>
      <c r="AO25" s="105">
        <v>8381.5634605319465</v>
      </c>
      <c r="AP25" s="105">
        <v>18</v>
      </c>
      <c r="AQ25" s="105">
        <v>5853.5999999999995</v>
      </c>
      <c r="AR25" s="105">
        <v>16.813553055399382</v>
      </c>
      <c r="AS25" s="105">
        <v>5467.7674536158784</v>
      </c>
      <c r="AT25" s="105">
        <v>20.067089474042223</v>
      </c>
      <c r="AU25" s="105">
        <v>6525.8174969585307</v>
      </c>
      <c r="AV25" s="105">
        <v>24</v>
      </c>
      <c r="AW25" s="105">
        <v>7804.7999999999993</v>
      </c>
      <c r="AX25" s="105">
        <v>22</v>
      </c>
      <c r="AY25" s="105">
        <v>7154.4</v>
      </c>
      <c r="AZ25" s="105">
        <v>25.325814846331561</v>
      </c>
      <c r="BA25" s="105">
        <v>8235.9549880270224</v>
      </c>
      <c r="BB25" s="105">
        <v>26.173765706170812</v>
      </c>
      <c r="BC25" s="105">
        <v>8511.7086076467476</v>
      </c>
      <c r="BD25" s="105">
        <v>23.165101267865822</v>
      </c>
      <c r="BE25" s="105">
        <v>7533.2909323099648</v>
      </c>
      <c r="BF25" s="105">
        <v>15.178434380912568</v>
      </c>
      <c r="BG25" s="105">
        <v>4936.0268606727668</v>
      </c>
      <c r="BH25" s="105">
        <v>21.605607883110242</v>
      </c>
      <c r="BI25" s="105">
        <v>7026.1436835874501</v>
      </c>
      <c r="BJ25" s="105">
        <v>29.658003716531603</v>
      </c>
      <c r="BK25" s="105">
        <v>9644.7828086160771</v>
      </c>
      <c r="BL25" s="105">
        <v>18</v>
      </c>
      <c r="BM25" s="105">
        <v>5853.5999999999995</v>
      </c>
      <c r="BN25" s="105">
        <v>24</v>
      </c>
      <c r="BO25" s="105">
        <v>7804.7999999999993</v>
      </c>
      <c r="BP25" s="105">
        <v>16</v>
      </c>
      <c r="BQ25" s="105">
        <v>5203.2</v>
      </c>
      <c r="BR25" s="105">
        <v>17</v>
      </c>
      <c r="BS25" s="105">
        <v>5528.4</v>
      </c>
      <c r="BT25" s="105">
        <v>27</v>
      </c>
      <c r="BU25" s="105">
        <v>8780.4</v>
      </c>
      <c r="BV25" s="105">
        <v>15.95322498812406</v>
      </c>
      <c r="BW25" s="105">
        <v>5187.9887661379444</v>
      </c>
      <c r="BX25" s="105">
        <v>26</v>
      </c>
      <c r="BY25" s="105">
        <v>8455.1999999999989</v>
      </c>
      <c r="BZ25" s="105">
        <v>20</v>
      </c>
      <c r="CA25" s="105">
        <v>6504</v>
      </c>
      <c r="CB25" s="105">
        <v>30</v>
      </c>
      <c r="CC25" s="105">
        <v>9756</v>
      </c>
      <c r="CD25" s="105">
        <v>27.734417994208503</v>
      </c>
      <c r="CE25" s="105">
        <v>9019.2327317166055</v>
      </c>
      <c r="CF25" s="105">
        <v>28.837972144250934</v>
      </c>
      <c r="CG25" s="105">
        <v>9378.1085413104029</v>
      </c>
      <c r="CH25" s="105">
        <v>21.258210297632445</v>
      </c>
      <c r="CI25" s="105">
        <v>6913.1699887900704</v>
      </c>
      <c r="CJ25" s="105">
        <v>19.984896972100504</v>
      </c>
      <c r="CK25" s="105">
        <v>6499.0884953270834</v>
      </c>
      <c r="CL25" s="105">
        <v>23</v>
      </c>
      <c r="CM25" s="105">
        <v>7479.5999999999995</v>
      </c>
      <c r="CN25" s="105">
        <v>20</v>
      </c>
      <c r="CO25" s="105">
        <v>6504</v>
      </c>
      <c r="CP25" s="105">
        <v>31.274366300781111</v>
      </c>
      <c r="CQ25" s="105">
        <v>10170.423921014017</v>
      </c>
      <c r="CR25" s="105">
        <v>23.72600311916424</v>
      </c>
      <c r="CS25" s="105">
        <v>7715.6962143522105</v>
      </c>
      <c r="CT25" s="105">
        <v>17.691421679051683</v>
      </c>
      <c r="CU25" s="105">
        <v>5753.2503300276067</v>
      </c>
    </row>
    <row r="26" spans="2:99" x14ac:dyDescent="0.2">
      <c r="C26" s="104" t="s">
        <v>192</v>
      </c>
      <c r="D26" s="105">
        <v>26</v>
      </c>
      <c r="E26" s="105">
        <v>7456.8</v>
      </c>
      <c r="F26" s="105">
        <v>22.908885281925514</v>
      </c>
      <c r="G26" s="105">
        <v>6570.2682988562374</v>
      </c>
      <c r="H26" s="105">
        <v>23.052970667455668</v>
      </c>
      <c r="I26" s="105">
        <v>6611.5919874262854</v>
      </c>
      <c r="J26" s="105">
        <v>27.897974595066021</v>
      </c>
      <c r="K26" s="105">
        <v>8001.1391138649351</v>
      </c>
      <c r="L26" s="105">
        <v>29.170057857227576</v>
      </c>
      <c r="M26" s="105">
        <v>8365.9725934528688</v>
      </c>
      <c r="N26" s="105">
        <v>20.447407823032403</v>
      </c>
      <c r="O26" s="105">
        <v>5864.3165636456933</v>
      </c>
      <c r="P26" s="105">
        <v>19.737538686340127</v>
      </c>
      <c r="Q26" s="105">
        <v>5660.7260952423485</v>
      </c>
      <c r="R26" s="105">
        <v>16.680833965660327</v>
      </c>
      <c r="S26" s="105">
        <v>4784.0631813513819</v>
      </c>
      <c r="T26" s="105">
        <v>29</v>
      </c>
      <c r="U26" s="105">
        <v>8317.2000000000007</v>
      </c>
      <c r="V26" s="105">
        <v>19.872643225507812</v>
      </c>
      <c r="W26" s="105">
        <v>5699.4740770756407</v>
      </c>
      <c r="X26" s="105">
        <v>21</v>
      </c>
      <c r="Y26" s="105">
        <v>6022.8</v>
      </c>
      <c r="Z26" s="105">
        <v>20</v>
      </c>
      <c r="AA26" s="105">
        <v>5736</v>
      </c>
      <c r="AB26" s="105">
        <v>27.053915776047322</v>
      </c>
      <c r="AC26" s="105">
        <v>7759.0630445703728</v>
      </c>
      <c r="AD26" s="105">
        <v>23</v>
      </c>
      <c r="AE26" s="105">
        <v>6596.4000000000005</v>
      </c>
      <c r="AF26" s="105">
        <v>20</v>
      </c>
      <c r="AG26" s="105">
        <v>5736</v>
      </c>
      <c r="AH26" s="105">
        <v>20.248983730217532</v>
      </c>
      <c r="AI26" s="105">
        <v>5807.4085338263885</v>
      </c>
      <c r="AJ26" s="105">
        <v>16</v>
      </c>
      <c r="AK26" s="105">
        <v>4588.8</v>
      </c>
      <c r="AL26" s="105">
        <v>19</v>
      </c>
      <c r="AM26" s="105">
        <v>5449.2</v>
      </c>
      <c r="AN26" s="105">
        <v>23.790983424728775</v>
      </c>
      <c r="AO26" s="105">
        <v>6823.2540462122133</v>
      </c>
      <c r="AP26" s="105">
        <v>20</v>
      </c>
      <c r="AQ26" s="105">
        <v>5736</v>
      </c>
      <c r="AR26" s="105">
        <v>17.654230708169351</v>
      </c>
      <c r="AS26" s="105">
        <v>5063.2333671029701</v>
      </c>
      <c r="AT26" s="105">
        <v>18.242808612765661</v>
      </c>
      <c r="AU26" s="105">
        <v>5232.0375101411919</v>
      </c>
      <c r="AV26" s="105">
        <v>21</v>
      </c>
      <c r="AW26" s="105">
        <v>6022.8</v>
      </c>
      <c r="AX26" s="105">
        <v>23</v>
      </c>
      <c r="AY26" s="105">
        <v>6596.4000000000005</v>
      </c>
      <c r="AZ26" s="105">
        <v>25.325814846331561</v>
      </c>
      <c r="BA26" s="105">
        <v>7263.4436979278917</v>
      </c>
      <c r="BB26" s="105">
        <v>25.301306849298452</v>
      </c>
      <c r="BC26" s="105">
        <v>7256.4148043787964</v>
      </c>
      <c r="BD26" s="105">
        <v>26.72896300138364</v>
      </c>
      <c r="BE26" s="105">
        <v>7665.8665887968282</v>
      </c>
      <c r="BF26" s="105">
        <v>17.856981624603023</v>
      </c>
      <c r="BG26" s="105">
        <v>5121.3823299361475</v>
      </c>
      <c r="BH26" s="105">
        <v>21.605607883110242</v>
      </c>
      <c r="BI26" s="105">
        <v>6196.4883408760179</v>
      </c>
      <c r="BJ26" s="105">
        <v>27.804378484248375</v>
      </c>
      <c r="BK26" s="105">
        <v>7974.2957492824344</v>
      </c>
      <c r="BL26" s="105">
        <v>18</v>
      </c>
      <c r="BM26" s="105">
        <v>5162.4000000000005</v>
      </c>
      <c r="BN26" s="105">
        <v>23</v>
      </c>
      <c r="BO26" s="105">
        <v>6596.4000000000005</v>
      </c>
      <c r="BP26" s="105">
        <v>16</v>
      </c>
      <c r="BQ26" s="105">
        <v>4588.8</v>
      </c>
      <c r="BR26" s="105">
        <v>19</v>
      </c>
      <c r="BS26" s="105">
        <v>5449.2</v>
      </c>
      <c r="BT26" s="105">
        <v>28</v>
      </c>
      <c r="BU26" s="105">
        <v>8030.4000000000005</v>
      </c>
      <c r="BV26" s="105">
        <v>15.95322498812406</v>
      </c>
      <c r="BW26" s="105">
        <v>4575.3849265939807</v>
      </c>
      <c r="BX26" s="105">
        <v>25</v>
      </c>
      <c r="BY26" s="105">
        <v>7170</v>
      </c>
      <c r="BZ26" s="105">
        <v>21</v>
      </c>
      <c r="CA26" s="105">
        <v>6022.8</v>
      </c>
      <c r="CB26" s="105">
        <v>32</v>
      </c>
      <c r="CC26" s="105">
        <v>9177.6</v>
      </c>
      <c r="CD26" s="105">
        <v>26.839759349234036</v>
      </c>
      <c r="CE26" s="105">
        <v>7697.6429813603218</v>
      </c>
      <c r="CF26" s="105">
        <v>27.907714978307357</v>
      </c>
      <c r="CG26" s="105">
        <v>8003.9326557785507</v>
      </c>
      <c r="CH26" s="105">
        <v>22.1439690600338</v>
      </c>
      <c r="CI26" s="105">
        <v>6350.8903264176943</v>
      </c>
      <c r="CJ26" s="105">
        <v>22.591622664113615</v>
      </c>
      <c r="CK26" s="105">
        <v>6479.2773800677851</v>
      </c>
      <c r="CL26" s="105">
        <v>23</v>
      </c>
      <c r="CM26" s="105">
        <v>6596.4000000000005</v>
      </c>
      <c r="CN26" s="105">
        <v>21</v>
      </c>
      <c r="CO26" s="105">
        <v>6022.8</v>
      </c>
      <c r="CP26" s="105">
        <v>27.700153009263271</v>
      </c>
      <c r="CQ26" s="105">
        <v>7944.4038830567069</v>
      </c>
      <c r="CR26" s="105">
        <v>23.72600311916424</v>
      </c>
      <c r="CS26" s="105">
        <v>6804.6176945763045</v>
      </c>
      <c r="CT26" s="105">
        <v>18.622549135843876</v>
      </c>
      <c r="CU26" s="105">
        <v>5340.9470921600241</v>
      </c>
    </row>
    <row r="27" spans="2:99" x14ac:dyDescent="0.2">
      <c r="C27" s="104" t="s">
        <v>193</v>
      </c>
      <c r="D27" s="105">
        <v>30</v>
      </c>
      <c r="E27" s="105">
        <v>9467.9999999999982</v>
      </c>
      <c r="F27" s="105">
        <v>25.657951515756576</v>
      </c>
      <c r="G27" s="105">
        <v>8097.6494983727744</v>
      </c>
      <c r="H27" s="105">
        <v>23.052970667455668</v>
      </c>
      <c r="I27" s="105">
        <v>7275.5175426490077</v>
      </c>
      <c r="J27" s="105">
        <v>27.897974595066021</v>
      </c>
      <c r="K27" s="105">
        <v>8804.600782202835</v>
      </c>
      <c r="L27" s="105">
        <v>32.087063642950334</v>
      </c>
      <c r="M27" s="105">
        <v>10126.677285715125</v>
      </c>
      <c r="N27" s="105">
        <v>24.379601635154017</v>
      </c>
      <c r="O27" s="105">
        <v>7694.202276054607</v>
      </c>
      <c r="P27" s="105">
        <v>19.737538686340127</v>
      </c>
      <c r="Q27" s="105">
        <v>6229.1672094089436</v>
      </c>
      <c r="R27" s="105">
        <v>18.643285020443898</v>
      </c>
      <c r="S27" s="105">
        <v>5883.8207524520931</v>
      </c>
      <c r="T27" s="105">
        <v>30</v>
      </c>
      <c r="U27" s="105">
        <v>9467.9999999999982</v>
      </c>
      <c r="V27" s="105">
        <v>17.885378902957029</v>
      </c>
      <c r="W27" s="105">
        <v>5644.6255817732381</v>
      </c>
      <c r="X27" s="105">
        <v>21</v>
      </c>
      <c r="Y27" s="105">
        <v>6627.5999999999995</v>
      </c>
      <c r="Z27" s="105">
        <v>18</v>
      </c>
      <c r="AA27" s="105">
        <v>5680.7999999999993</v>
      </c>
      <c r="AB27" s="105">
        <v>23.446727005907682</v>
      </c>
      <c r="AC27" s="105">
        <v>7399.7870430644634</v>
      </c>
      <c r="AD27" s="105">
        <v>26</v>
      </c>
      <c r="AE27" s="105">
        <v>8205.5999999999985</v>
      </c>
      <c r="AF27" s="105">
        <v>21</v>
      </c>
      <c r="AG27" s="105">
        <v>6627.5999999999995</v>
      </c>
      <c r="AH27" s="105">
        <v>18.691369597123877</v>
      </c>
      <c r="AI27" s="105">
        <v>5898.9962448522947</v>
      </c>
      <c r="AJ27" s="105">
        <v>18</v>
      </c>
      <c r="AK27" s="105">
        <v>5680.7999999999993</v>
      </c>
      <c r="AL27" s="105">
        <v>18</v>
      </c>
      <c r="AM27" s="105">
        <v>5680.7999999999993</v>
      </c>
      <c r="AN27" s="105">
        <v>23.790983424728775</v>
      </c>
      <c r="AO27" s="105">
        <v>7508.4343688444005</v>
      </c>
      <c r="AP27" s="105">
        <v>18</v>
      </c>
      <c r="AQ27" s="105">
        <v>5680.7999999999993</v>
      </c>
      <c r="AR27" s="105">
        <v>19.335586013709289</v>
      </c>
      <c r="AS27" s="105">
        <v>6102.3109459266507</v>
      </c>
      <c r="AT27" s="105">
        <v>18.242808612765661</v>
      </c>
      <c r="AU27" s="105">
        <v>5757.4303981888415</v>
      </c>
      <c r="AV27" s="105">
        <v>21</v>
      </c>
      <c r="AW27" s="105">
        <v>6627.5999999999995</v>
      </c>
      <c r="AX27" s="105">
        <v>26</v>
      </c>
      <c r="AY27" s="105">
        <v>8205.5999999999985</v>
      </c>
      <c r="AZ27" s="105">
        <v>25.325814846331561</v>
      </c>
      <c r="BA27" s="105">
        <v>7992.82716550224</v>
      </c>
      <c r="BB27" s="105">
        <v>27.046224563043175</v>
      </c>
      <c r="BC27" s="105">
        <v>8535.7884720964248</v>
      </c>
      <c r="BD27" s="105">
        <v>23.165101267865822</v>
      </c>
      <c r="BE27" s="105">
        <v>7310.9059601384524</v>
      </c>
      <c r="BF27" s="105">
        <v>17.856981624603023</v>
      </c>
      <c r="BG27" s="105">
        <v>5635.663400724713</v>
      </c>
      <c r="BH27" s="105">
        <v>22.469832198434656</v>
      </c>
      <c r="BI27" s="105">
        <v>7091.4790418259763</v>
      </c>
      <c r="BJ27" s="105">
        <v>25.950753251965153</v>
      </c>
      <c r="BK27" s="105">
        <v>8190.0577263202013</v>
      </c>
      <c r="BL27" s="105">
        <v>16</v>
      </c>
      <c r="BM27" s="105">
        <v>5049.5999999999995</v>
      </c>
      <c r="BN27" s="105">
        <v>25</v>
      </c>
      <c r="BO27" s="105">
        <v>7889.9999999999991</v>
      </c>
      <c r="BP27" s="105">
        <v>19</v>
      </c>
      <c r="BQ27" s="105">
        <v>5996.4</v>
      </c>
      <c r="BR27" s="105">
        <v>17</v>
      </c>
      <c r="BS27" s="105">
        <v>5365.2</v>
      </c>
      <c r="BT27" s="105">
        <v>29</v>
      </c>
      <c r="BU27" s="105">
        <v>9152.4</v>
      </c>
      <c r="BV27" s="105">
        <v>15.066934711006057</v>
      </c>
      <c r="BW27" s="105">
        <v>4755.1245947935113</v>
      </c>
      <c r="BX27" s="105">
        <v>22</v>
      </c>
      <c r="BY27" s="105">
        <v>6943.1999999999989</v>
      </c>
      <c r="BZ27" s="105">
        <v>23</v>
      </c>
      <c r="CA27" s="105">
        <v>7258.7999999999993</v>
      </c>
      <c r="CB27" s="105">
        <v>31</v>
      </c>
      <c r="CC27" s="105">
        <v>9783.5999999999985</v>
      </c>
      <c r="CD27" s="105">
        <v>28.629076639182973</v>
      </c>
      <c r="CE27" s="105">
        <v>9035.3365873261446</v>
      </c>
      <c r="CF27" s="105">
        <v>32.559000808025246</v>
      </c>
      <c r="CG27" s="105">
        <v>10275.620655012766</v>
      </c>
      <c r="CH27" s="105">
        <v>22.1439690600338</v>
      </c>
      <c r="CI27" s="105">
        <v>6988.6366353466665</v>
      </c>
      <c r="CJ27" s="105">
        <v>19.115988408096136</v>
      </c>
      <c r="CK27" s="105">
        <v>6033.00594159514</v>
      </c>
      <c r="CL27" s="105">
        <v>20</v>
      </c>
      <c r="CM27" s="105">
        <v>6311.9999999999991</v>
      </c>
      <c r="CN27" s="105">
        <v>19</v>
      </c>
      <c r="CO27" s="105">
        <v>5996.4</v>
      </c>
      <c r="CP27" s="105">
        <v>31.274366300781111</v>
      </c>
      <c r="CQ27" s="105">
        <v>9870.1900045265174</v>
      </c>
      <c r="CR27" s="105">
        <v>24.544141157756112</v>
      </c>
      <c r="CS27" s="105">
        <v>7746.130949387828</v>
      </c>
      <c r="CT27" s="105">
        <v>17.691421679051683</v>
      </c>
      <c r="CU27" s="105">
        <v>5583.4126819087105</v>
      </c>
    </row>
    <row r="28" spans="2:99" x14ac:dyDescent="0.2">
      <c r="C28" s="104" t="s">
        <v>194</v>
      </c>
      <c r="D28" s="105">
        <v>29</v>
      </c>
      <c r="E28" s="105">
        <v>16634.400000000001</v>
      </c>
      <c r="F28" s="105">
        <v>24</v>
      </c>
      <c r="G28" s="105">
        <v>13766.400000000001</v>
      </c>
      <c r="H28" s="105">
        <v>21</v>
      </c>
      <c r="I28" s="105">
        <v>12045.6</v>
      </c>
      <c r="J28" s="105">
        <v>27</v>
      </c>
      <c r="K28" s="105">
        <v>15487.2</v>
      </c>
      <c r="L28" s="105">
        <v>30</v>
      </c>
      <c r="M28" s="105">
        <v>17208</v>
      </c>
      <c r="N28" s="105">
        <v>25.04907655626311</v>
      </c>
      <c r="O28" s="105">
        <v>14368.15031267252</v>
      </c>
      <c r="P28" s="105">
        <v>20.254261995972424</v>
      </c>
      <c r="Q28" s="105">
        <v>11617.844680889782</v>
      </c>
      <c r="R28" s="105">
        <v>14.999805946043585</v>
      </c>
      <c r="S28" s="105">
        <v>8603.8886906506013</v>
      </c>
      <c r="T28" s="105">
        <v>28.120227175972722</v>
      </c>
      <c r="U28" s="105">
        <v>16129.762308137953</v>
      </c>
      <c r="V28" s="105">
        <v>14.034621120671718</v>
      </c>
      <c r="W28" s="105">
        <v>8050.2586748172971</v>
      </c>
      <c r="X28" s="105">
        <v>24</v>
      </c>
      <c r="Y28" s="105">
        <v>13766.400000000001</v>
      </c>
      <c r="Z28" s="105">
        <v>18.336462637621405</v>
      </c>
      <c r="AA28" s="105">
        <v>10517.794968939639</v>
      </c>
      <c r="AB28" s="105">
        <v>24.223751037138957</v>
      </c>
      <c r="AC28" s="105">
        <v>13894.743594902906</v>
      </c>
      <c r="AD28" s="105">
        <v>24.07525219129521</v>
      </c>
      <c r="AE28" s="105">
        <v>13809.564656926932</v>
      </c>
      <c r="AF28" s="105">
        <v>21.87219662306758</v>
      </c>
      <c r="AG28" s="105">
        <v>12545.891982991565</v>
      </c>
      <c r="AH28" s="105">
        <v>22.614609969791868</v>
      </c>
      <c r="AI28" s="105">
        <v>12971.740278672616</v>
      </c>
      <c r="AJ28" s="105">
        <v>16.14530089590064</v>
      </c>
      <c r="AK28" s="105">
        <v>9260.9445938886074</v>
      </c>
      <c r="AL28" s="105">
        <v>12.701769981899107</v>
      </c>
      <c r="AM28" s="105">
        <v>7285.7352616173275</v>
      </c>
      <c r="AN28" s="105">
        <v>24</v>
      </c>
      <c r="AO28" s="105">
        <v>13766.400000000001</v>
      </c>
      <c r="AP28" s="105">
        <v>17</v>
      </c>
      <c r="AQ28" s="105">
        <v>9751.2000000000007</v>
      </c>
      <c r="AR28" s="105">
        <v>15.680504356822642</v>
      </c>
      <c r="AS28" s="105">
        <v>8994.3372990734679</v>
      </c>
      <c r="AT28" s="105">
        <v>16.95547030187528</v>
      </c>
      <c r="AU28" s="105">
        <v>9725.6577651556618</v>
      </c>
      <c r="AV28" s="105">
        <v>19.518716950241203</v>
      </c>
      <c r="AW28" s="105">
        <v>11195.936042658353</v>
      </c>
      <c r="AX28" s="105">
        <v>22.053403155170113</v>
      </c>
      <c r="AY28" s="105">
        <v>12649.832049805576</v>
      </c>
      <c r="AZ28" s="105">
        <v>17.669181287898557</v>
      </c>
      <c r="BA28" s="105">
        <v>10135.042386738613</v>
      </c>
      <c r="BB28" s="105">
        <v>28</v>
      </c>
      <c r="BC28" s="105">
        <v>16060.800000000001</v>
      </c>
      <c r="BD28" s="105">
        <v>23.816906429446011</v>
      </c>
      <c r="BE28" s="105">
        <v>13661.377527930232</v>
      </c>
      <c r="BF28" s="105">
        <v>13.720103854137234</v>
      </c>
      <c r="BG28" s="105">
        <v>7869.851570733118</v>
      </c>
      <c r="BH28" s="105">
        <v>17.781977163285507</v>
      </c>
      <c r="BI28" s="105">
        <v>10199.742100860567</v>
      </c>
      <c r="BJ28" s="105">
        <v>31.22833912735468</v>
      </c>
      <c r="BK28" s="105">
        <v>17912.575323450645</v>
      </c>
      <c r="BL28" s="105">
        <v>18</v>
      </c>
      <c r="BM28" s="105">
        <v>10324.800000000001</v>
      </c>
      <c r="BN28" s="105">
        <v>22.82349702258611</v>
      </c>
      <c r="BO28" s="105">
        <v>13091.557892155393</v>
      </c>
      <c r="BP28" s="105">
        <v>16.4177286698392</v>
      </c>
      <c r="BQ28" s="105">
        <v>9417.2091650197654</v>
      </c>
      <c r="BR28" s="105">
        <v>15.673723262094553</v>
      </c>
      <c r="BS28" s="105">
        <v>8990.4476631374364</v>
      </c>
      <c r="BT28" s="105">
        <v>25</v>
      </c>
      <c r="BU28" s="105">
        <v>14340</v>
      </c>
      <c r="BV28" s="105">
        <v>17.988573260394794</v>
      </c>
      <c r="BW28" s="105">
        <v>10318.245622162454</v>
      </c>
      <c r="BX28" s="105">
        <v>23.609222215498406</v>
      </c>
      <c r="BY28" s="105">
        <v>13542.249862809886</v>
      </c>
      <c r="BZ28" s="105">
        <v>23.248494004689189</v>
      </c>
      <c r="CA28" s="105">
        <v>13335.336161089719</v>
      </c>
      <c r="CB28" s="105">
        <v>26.862037055989195</v>
      </c>
      <c r="CC28" s="105">
        <v>15408.064455315403</v>
      </c>
      <c r="CD28" s="105">
        <v>32.392951317078492</v>
      </c>
      <c r="CE28" s="105">
        <v>18580.596875476225</v>
      </c>
      <c r="CF28" s="105">
        <v>30</v>
      </c>
      <c r="CG28" s="105">
        <v>17208</v>
      </c>
      <c r="CH28" s="105">
        <v>19.222397911546519</v>
      </c>
      <c r="CI28" s="105">
        <v>11025.967442063084</v>
      </c>
      <c r="CJ28" s="105">
        <v>23.621144487808287</v>
      </c>
      <c r="CK28" s="105">
        <v>13549.088478206833</v>
      </c>
      <c r="CL28" s="105">
        <v>19</v>
      </c>
      <c r="CM28" s="105">
        <v>10898.4</v>
      </c>
      <c r="CN28" s="105">
        <v>18</v>
      </c>
      <c r="CO28" s="105">
        <v>10324.800000000001</v>
      </c>
      <c r="CP28" s="105">
        <v>26.586077079809243</v>
      </c>
      <c r="CQ28" s="105">
        <v>15249.773812978583</v>
      </c>
      <c r="CR28" s="105">
        <v>26</v>
      </c>
      <c r="CS28" s="105">
        <v>14913.6</v>
      </c>
      <c r="CT28" s="105">
        <v>19.732996968352381</v>
      </c>
      <c r="CU28" s="105">
        <v>11318.847061046927</v>
      </c>
    </row>
    <row r="29" spans="2:99" x14ac:dyDescent="0.2">
      <c r="C29" s="104" t="s">
        <v>195</v>
      </c>
      <c r="D29" s="105">
        <v>26</v>
      </c>
      <c r="E29" s="105">
        <v>6115.2</v>
      </c>
      <c r="F29" s="105">
        <v>22.908885281925514</v>
      </c>
      <c r="G29" s="105">
        <v>5388.1698183088802</v>
      </c>
      <c r="H29" s="105">
        <v>21.13188977850103</v>
      </c>
      <c r="I29" s="105">
        <v>4970.2204759034421</v>
      </c>
      <c r="J29" s="105">
        <v>27.897974595066021</v>
      </c>
      <c r="K29" s="105">
        <v>6561.6036247595275</v>
      </c>
      <c r="L29" s="105">
        <v>30.142393119135164</v>
      </c>
      <c r="M29" s="105">
        <v>7089.4908616205903</v>
      </c>
      <c r="N29" s="105">
        <v>21.233846585456725</v>
      </c>
      <c r="O29" s="105">
        <v>4994.2007168994214</v>
      </c>
      <c r="P29" s="105">
        <v>18.840377836961029</v>
      </c>
      <c r="Q29" s="105">
        <v>4431.2568672532334</v>
      </c>
      <c r="R29" s="105">
        <v>17.662059493052112</v>
      </c>
      <c r="S29" s="105">
        <v>4154.1163927658563</v>
      </c>
      <c r="T29" s="105">
        <v>30</v>
      </c>
      <c r="U29" s="105">
        <v>7056</v>
      </c>
      <c r="V29" s="105">
        <v>18.879011064232422</v>
      </c>
      <c r="W29" s="105">
        <v>4440.3434023074651</v>
      </c>
      <c r="X29" s="105">
        <v>26</v>
      </c>
      <c r="Y29" s="105">
        <v>6115.2</v>
      </c>
      <c r="Z29" s="105">
        <v>21</v>
      </c>
      <c r="AA29" s="105">
        <v>4939.2</v>
      </c>
      <c r="AB29" s="105">
        <v>27.053915776047322</v>
      </c>
      <c r="AC29" s="105">
        <v>6363.0809905263295</v>
      </c>
      <c r="AD29" s="105">
        <v>25</v>
      </c>
      <c r="AE29" s="105">
        <v>5880</v>
      </c>
      <c r="AF29" s="105">
        <v>22</v>
      </c>
      <c r="AG29" s="105">
        <v>5174.3999999999996</v>
      </c>
      <c r="AH29" s="105">
        <v>22.585404929858015</v>
      </c>
      <c r="AI29" s="105">
        <v>5312.0872395026045</v>
      </c>
      <c r="AJ29" s="105">
        <v>19</v>
      </c>
      <c r="AK29" s="105">
        <v>4468.8</v>
      </c>
      <c r="AL29" s="105">
        <v>16</v>
      </c>
      <c r="AM29" s="105">
        <v>3763.2</v>
      </c>
      <c r="AN29" s="105">
        <v>24.782274400759142</v>
      </c>
      <c r="AO29" s="105">
        <v>5828.7909390585501</v>
      </c>
      <c r="AP29" s="105">
        <v>18</v>
      </c>
      <c r="AQ29" s="105">
        <v>4233.5999999999995</v>
      </c>
      <c r="AR29" s="105">
        <v>16.813553055399382</v>
      </c>
      <c r="AS29" s="105">
        <v>3954.5476786299346</v>
      </c>
      <c r="AT29" s="105">
        <v>20.067089474042223</v>
      </c>
      <c r="AU29" s="105">
        <v>4719.7794442947306</v>
      </c>
      <c r="AV29" s="105">
        <v>22</v>
      </c>
      <c r="AW29" s="105">
        <v>5174.3999999999996</v>
      </c>
      <c r="AX29" s="105">
        <v>25</v>
      </c>
      <c r="AY29" s="105">
        <v>5880</v>
      </c>
      <c r="AZ29" s="105">
        <v>22.511835418961386</v>
      </c>
      <c r="BA29" s="105">
        <v>5294.783690539718</v>
      </c>
      <c r="BB29" s="105">
        <v>26.173765706170812</v>
      </c>
      <c r="BC29" s="105">
        <v>6156.0696940913749</v>
      </c>
      <c r="BD29" s="105">
        <v>25.837997568004184</v>
      </c>
      <c r="BE29" s="105">
        <v>6077.0970279945841</v>
      </c>
      <c r="BF29" s="105">
        <v>16.96413254337287</v>
      </c>
      <c r="BG29" s="105">
        <v>3989.9639742012987</v>
      </c>
      <c r="BH29" s="105">
        <v>22.469832198434656</v>
      </c>
      <c r="BI29" s="105">
        <v>5284.9045330718309</v>
      </c>
      <c r="BJ29" s="105">
        <v>30.584816332673217</v>
      </c>
      <c r="BK29" s="105">
        <v>7193.5488014447401</v>
      </c>
      <c r="BL29" s="105">
        <v>18</v>
      </c>
      <c r="BM29" s="105">
        <v>4233.5999999999995</v>
      </c>
      <c r="BN29" s="105">
        <v>24</v>
      </c>
      <c r="BO29" s="105">
        <v>5644.7999999999993</v>
      </c>
      <c r="BP29" s="105">
        <v>17</v>
      </c>
      <c r="BQ29" s="105">
        <v>3998.3999999999996</v>
      </c>
      <c r="BR29" s="105">
        <v>20</v>
      </c>
      <c r="BS29" s="105">
        <v>4704</v>
      </c>
      <c r="BT29" s="105">
        <v>28</v>
      </c>
      <c r="BU29" s="105">
        <v>6585.5999999999995</v>
      </c>
      <c r="BV29" s="105">
        <v>15.95322498812406</v>
      </c>
      <c r="BW29" s="105">
        <v>3752.1985172067784</v>
      </c>
      <c r="BX29" s="105">
        <v>25</v>
      </c>
      <c r="BY29" s="105">
        <v>5880</v>
      </c>
      <c r="BZ29" s="105">
        <v>24</v>
      </c>
      <c r="CA29" s="105">
        <v>5644.7999999999993</v>
      </c>
      <c r="CB29" s="105">
        <v>30</v>
      </c>
      <c r="CC29" s="105">
        <v>7056</v>
      </c>
      <c r="CD29" s="105">
        <v>31.313052574106376</v>
      </c>
      <c r="CE29" s="105">
        <v>7364.8299654298189</v>
      </c>
      <c r="CF29" s="105">
        <v>27.907714978307357</v>
      </c>
      <c r="CG29" s="105">
        <v>6563.89456289789</v>
      </c>
      <c r="CH29" s="105">
        <v>20.372451535231093</v>
      </c>
      <c r="CI29" s="105">
        <v>4791.600601086353</v>
      </c>
      <c r="CJ29" s="105">
        <v>19.984896972100504</v>
      </c>
      <c r="CK29" s="105">
        <v>4700.4477678380381</v>
      </c>
      <c r="CL29" s="105">
        <v>22</v>
      </c>
      <c r="CM29" s="105">
        <v>5174.3999999999996</v>
      </c>
      <c r="CN29" s="105">
        <v>20</v>
      </c>
      <c r="CO29" s="105">
        <v>4704</v>
      </c>
      <c r="CP29" s="105">
        <v>31.274366300781111</v>
      </c>
      <c r="CQ29" s="105">
        <v>7355.7309539437165</v>
      </c>
      <c r="CR29" s="105">
        <v>24.544141157756112</v>
      </c>
      <c r="CS29" s="105">
        <v>5772.782000304237</v>
      </c>
      <c r="CT29" s="105">
        <v>16.760294222259489</v>
      </c>
      <c r="CU29" s="105">
        <v>3942.0212010754317</v>
      </c>
    </row>
    <row r="30" spans="2:99" x14ac:dyDescent="0.2">
      <c r="C30" s="104" t="s">
        <v>196</v>
      </c>
      <c r="D30" s="105">
        <v>30</v>
      </c>
      <c r="E30" s="105">
        <v>6948</v>
      </c>
      <c r="F30" s="105">
        <v>25.657951515756576</v>
      </c>
      <c r="G30" s="105">
        <v>5942.3815710492227</v>
      </c>
      <c r="H30" s="105">
        <v>24.974051556410306</v>
      </c>
      <c r="I30" s="105">
        <v>5783.9903404646266</v>
      </c>
      <c r="J30" s="105">
        <v>31.745971090937193</v>
      </c>
      <c r="K30" s="105">
        <v>7352.3669046610539</v>
      </c>
      <c r="L30" s="105">
        <v>30.142393119135164</v>
      </c>
      <c r="M30" s="105">
        <v>6980.9782463917036</v>
      </c>
      <c r="N30" s="105">
        <v>23.593162872729696</v>
      </c>
      <c r="O30" s="105">
        <v>5464.1765213241979</v>
      </c>
      <c r="P30" s="105">
        <v>22.429021234477414</v>
      </c>
      <c r="Q30" s="105">
        <v>5194.5613179049687</v>
      </c>
      <c r="R30" s="105">
        <v>16.680833965660327</v>
      </c>
      <c r="S30" s="105">
        <v>3863.2811464469314</v>
      </c>
      <c r="T30" s="105">
        <v>31</v>
      </c>
      <c r="U30" s="105">
        <v>7179.5999999999995</v>
      </c>
      <c r="V30" s="105">
        <v>18.879011064232422</v>
      </c>
      <c r="W30" s="105">
        <v>4372.3789624762285</v>
      </c>
      <c r="X30" s="105">
        <v>24</v>
      </c>
      <c r="Y30" s="105">
        <v>5558.4</v>
      </c>
      <c r="Z30" s="105">
        <v>18</v>
      </c>
      <c r="AA30" s="105">
        <v>4168.8</v>
      </c>
      <c r="AB30" s="105">
        <v>24.34852419844259</v>
      </c>
      <c r="AC30" s="105">
        <v>5639.1182043593035</v>
      </c>
      <c r="AD30" s="105">
        <v>25</v>
      </c>
      <c r="AE30" s="105">
        <v>5790</v>
      </c>
      <c r="AF30" s="105">
        <v>22</v>
      </c>
      <c r="AG30" s="105">
        <v>5095.2</v>
      </c>
      <c r="AH30" s="105">
        <v>21.80659786331119</v>
      </c>
      <c r="AI30" s="105">
        <v>5050.4080651428712</v>
      </c>
      <c r="AJ30" s="105">
        <v>18</v>
      </c>
      <c r="AK30" s="105">
        <v>4168.8</v>
      </c>
      <c r="AL30" s="105">
        <v>17</v>
      </c>
      <c r="AM30" s="105">
        <v>3937.2</v>
      </c>
      <c r="AN30" s="105">
        <v>27.75614732885024</v>
      </c>
      <c r="AO30" s="105">
        <v>6428.3237213617158</v>
      </c>
      <c r="AP30" s="105">
        <v>16</v>
      </c>
      <c r="AQ30" s="105">
        <v>3705.6</v>
      </c>
      <c r="AR30" s="105">
        <v>18.494908360939316</v>
      </c>
      <c r="AS30" s="105">
        <v>4283.4207763935456</v>
      </c>
      <c r="AT30" s="105">
        <v>17.330668182127376</v>
      </c>
      <c r="AU30" s="105">
        <v>4013.7827509807003</v>
      </c>
      <c r="AV30" s="105">
        <v>24</v>
      </c>
      <c r="AW30" s="105">
        <v>5558.4</v>
      </c>
      <c r="AX30" s="105">
        <v>23</v>
      </c>
      <c r="AY30" s="105">
        <v>5326.8</v>
      </c>
      <c r="AZ30" s="105">
        <v>26.263807988788287</v>
      </c>
      <c r="BA30" s="105">
        <v>6082.6979302033669</v>
      </c>
      <c r="BB30" s="105">
        <v>22.68393027868137</v>
      </c>
      <c r="BC30" s="105">
        <v>5253.5982525426052</v>
      </c>
      <c r="BD30" s="105">
        <v>24.947032134624735</v>
      </c>
      <c r="BE30" s="105">
        <v>5777.7326423790882</v>
      </c>
      <c r="BF30" s="105">
        <v>17.856981624603023</v>
      </c>
      <c r="BG30" s="105">
        <v>4135.6769442580598</v>
      </c>
      <c r="BH30" s="105">
        <v>20.741383567785832</v>
      </c>
      <c r="BI30" s="105">
        <v>4803.7044342991985</v>
      </c>
      <c r="BJ30" s="105">
        <v>27.804378484248375</v>
      </c>
      <c r="BK30" s="105">
        <v>6439.4940569519231</v>
      </c>
      <c r="BL30" s="105">
        <v>17</v>
      </c>
      <c r="BM30" s="105">
        <v>3937.2</v>
      </c>
      <c r="BN30" s="105">
        <v>22</v>
      </c>
      <c r="BO30" s="105">
        <v>5095.2</v>
      </c>
      <c r="BP30" s="105">
        <v>16</v>
      </c>
      <c r="BQ30" s="105">
        <v>3705.6</v>
      </c>
      <c r="BR30" s="105">
        <v>20</v>
      </c>
      <c r="BS30" s="105">
        <v>4632</v>
      </c>
      <c r="BT30" s="105">
        <v>30</v>
      </c>
      <c r="BU30" s="105">
        <v>6948</v>
      </c>
      <c r="BV30" s="105">
        <v>16.839515265242063</v>
      </c>
      <c r="BW30" s="105">
        <v>3900.0317354300619</v>
      </c>
      <c r="BX30" s="105">
        <v>25</v>
      </c>
      <c r="BY30" s="105">
        <v>5790</v>
      </c>
      <c r="BZ30" s="105">
        <v>22</v>
      </c>
      <c r="CA30" s="105">
        <v>5095.2</v>
      </c>
      <c r="CB30" s="105">
        <v>31</v>
      </c>
      <c r="CC30" s="105">
        <v>7179.5999999999995</v>
      </c>
      <c r="CD30" s="105">
        <v>25.945100704259566</v>
      </c>
      <c r="CE30" s="105">
        <v>6008.885323106515</v>
      </c>
      <c r="CF30" s="105">
        <v>28.837972144250934</v>
      </c>
      <c r="CG30" s="105">
        <v>6678.8743486085159</v>
      </c>
      <c r="CH30" s="105">
        <v>22.1439690600338</v>
      </c>
      <c r="CI30" s="105">
        <v>5128.5432343038283</v>
      </c>
      <c r="CJ30" s="105">
        <v>20.853805536104876</v>
      </c>
      <c r="CK30" s="105">
        <v>4829.7413621618889</v>
      </c>
      <c r="CL30" s="105">
        <v>23</v>
      </c>
      <c r="CM30" s="105">
        <v>5326.8</v>
      </c>
      <c r="CN30" s="105">
        <v>19</v>
      </c>
      <c r="CO30" s="105">
        <v>4400.3999999999996</v>
      </c>
      <c r="CP30" s="105">
        <v>28.593706332142734</v>
      </c>
      <c r="CQ30" s="105">
        <v>6622.3023865242567</v>
      </c>
      <c r="CR30" s="105">
        <v>23.72600311916424</v>
      </c>
      <c r="CS30" s="105">
        <v>5494.9423223984377</v>
      </c>
      <c r="CT30" s="105">
        <v>16.760294222259489</v>
      </c>
      <c r="CU30" s="105">
        <v>3881.6841418752974</v>
      </c>
    </row>
    <row r="31" spans="2:99" x14ac:dyDescent="0.2">
      <c r="C31" s="104" t="s">
        <v>197</v>
      </c>
      <c r="D31" s="105">
        <v>29</v>
      </c>
      <c r="E31" s="105">
        <v>5150.3999999999996</v>
      </c>
      <c r="F31" s="105">
        <v>22.908885281925514</v>
      </c>
      <c r="G31" s="105">
        <v>4068.6180260699712</v>
      </c>
      <c r="H31" s="105">
        <v>23.052970667455668</v>
      </c>
      <c r="I31" s="105">
        <v>4094.2075905401266</v>
      </c>
      <c r="J31" s="105">
        <v>30.783971966969403</v>
      </c>
      <c r="K31" s="105">
        <v>5467.2334213337663</v>
      </c>
      <c r="L31" s="105">
        <v>29.170057857227576</v>
      </c>
      <c r="M31" s="105">
        <v>5180.6022754436171</v>
      </c>
      <c r="N31" s="105">
        <v>24.379601635154017</v>
      </c>
      <c r="O31" s="105">
        <v>4329.8172504033537</v>
      </c>
      <c r="P31" s="105">
        <v>23.326182083856516</v>
      </c>
      <c r="Q31" s="105">
        <v>4142.7299380929171</v>
      </c>
      <c r="R31" s="105">
        <v>20.605736075227465</v>
      </c>
      <c r="S31" s="105">
        <v>3659.5787269603979</v>
      </c>
      <c r="T31" s="105">
        <v>29</v>
      </c>
      <c r="U31" s="105">
        <v>5150.3999999999996</v>
      </c>
      <c r="V31" s="105">
        <v>17.885378902957029</v>
      </c>
      <c r="W31" s="105">
        <v>3176.4432931651681</v>
      </c>
      <c r="X31" s="105">
        <v>25</v>
      </c>
      <c r="Y31" s="105">
        <v>4440</v>
      </c>
      <c r="Z31" s="105">
        <v>20</v>
      </c>
      <c r="AA31" s="105">
        <v>3552</v>
      </c>
      <c r="AB31" s="105">
        <v>27.053915776047322</v>
      </c>
      <c r="AC31" s="105">
        <v>4804.7754418260047</v>
      </c>
      <c r="AD31" s="105">
        <v>26</v>
      </c>
      <c r="AE31" s="105">
        <v>4617.5999999999995</v>
      </c>
      <c r="AF31" s="105">
        <v>22</v>
      </c>
      <c r="AG31" s="105">
        <v>3907.2</v>
      </c>
      <c r="AH31" s="105">
        <v>21.80659786331119</v>
      </c>
      <c r="AI31" s="105">
        <v>3872.8517805240672</v>
      </c>
      <c r="AJ31" s="105">
        <v>20</v>
      </c>
      <c r="AK31" s="105">
        <v>3552</v>
      </c>
      <c r="AL31" s="105">
        <v>16</v>
      </c>
      <c r="AM31" s="105">
        <v>2841.6</v>
      </c>
      <c r="AN31" s="105">
        <v>26.764856352819869</v>
      </c>
      <c r="AO31" s="105">
        <v>4753.4384882608083</v>
      </c>
      <c r="AP31" s="105">
        <v>18</v>
      </c>
      <c r="AQ31" s="105">
        <v>3196.7999999999997</v>
      </c>
      <c r="AR31" s="105">
        <v>16.813553055399382</v>
      </c>
      <c r="AS31" s="105">
        <v>2986.0870226389302</v>
      </c>
      <c r="AT31" s="105">
        <v>19.154949043403942</v>
      </c>
      <c r="AU31" s="105">
        <v>3401.9189501085398</v>
      </c>
      <c r="AV31" s="105">
        <v>24</v>
      </c>
      <c r="AW31" s="105">
        <v>4262.3999999999996</v>
      </c>
      <c r="AX31" s="105">
        <v>26</v>
      </c>
      <c r="AY31" s="105">
        <v>4617.5999999999995</v>
      </c>
      <c r="AZ31" s="105">
        <v>26.263807988788287</v>
      </c>
      <c r="BA31" s="105">
        <v>4664.4522988087992</v>
      </c>
      <c r="BB31" s="105">
        <v>25.301306849298452</v>
      </c>
      <c r="BC31" s="105">
        <v>4493.5120964354046</v>
      </c>
      <c r="BD31" s="105">
        <v>24.947032134624735</v>
      </c>
      <c r="BE31" s="105">
        <v>4430.5929071093524</v>
      </c>
      <c r="BF31" s="105">
        <v>16.96413254337287</v>
      </c>
      <c r="BG31" s="105">
        <v>3012.8299397030214</v>
      </c>
      <c r="BH31" s="105">
        <v>20.741383567785832</v>
      </c>
      <c r="BI31" s="105">
        <v>3683.6697216387633</v>
      </c>
      <c r="BJ31" s="105">
        <v>27.804378484248375</v>
      </c>
      <c r="BK31" s="105">
        <v>4938.0576188025116</v>
      </c>
      <c r="BL31" s="105">
        <v>17</v>
      </c>
      <c r="BM31" s="105">
        <v>3019.2</v>
      </c>
      <c r="BN31" s="105">
        <v>24</v>
      </c>
      <c r="BO31" s="105">
        <v>4262.3999999999996</v>
      </c>
      <c r="BP31" s="105">
        <v>17</v>
      </c>
      <c r="BQ31" s="105">
        <v>3019.2</v>
      </c>
      <c r="BR31" s="105">
        <v>18</v>
      </c>
      <c r="BS31" s="105">
        <v>3196.7999999999997</v>
      </c>
      <c r="BT31" s="105">
        <v>28</v>
      </c>
      <c r="BU31" s="105">
        <v>4972.8</v>
      </c>
      <c r="BV31" s="105">
        <v>17.725805542360067</v>
      </c>
      <c r="BW31" s="105">
        <v>3148.1030643231479</v>
      </c>
      <c r="BX31" s="105">
        <v>25</v>
      </c>
      <c r="BY31" s="105">
        <v>4440</v>
      </c>
      <c r="BZ31" s="105">
        <v>21</v>
      </c>
      <c r="CA31" s="105">
        <v>3729.6</v>
      </c>
      <c r="CB31" s="105">
        <v>31</v>
      </c>
      <c r="CC31" s="105">
        <v>5505.5999999999995</v>
      </c>
      <c r="CD31" s="105">
        <v>26.839759349234036</v>
      </c>
      <c r="CE31" s="105">
        <v>4766.7412604239644</v>
      </c>
      <c r="CF31" s="105">
        <v>32.559000808025246</v>
      </c>
      <c r="CG31" s="105">
        <v>5782.4785435052836</v>
      </c>
      <c r="CH31" s="105">
        <v>21.258210297632445</v>
      </c>
      <c r="CI31" s="105">
        <v>3775.4581488595222</v>
      </c>
      <c r="CJ31" s="105">
        <v>20.853805536104876</v>
      </c>
      <c r="CK31" s="105">
        <v>3703.6358632122256</v>
      </c>
      <c r="CL31" s="105">
        <v>23</v>
      </c>
      <c r="CM31" s="105">
        <v>4084.7999999999997</v>
      </c>
      <c r="CN31" s="105">
        <v>21</v>
      </c>
      <c r="CO31" s="105">
        <v>3729.6</v>
      </c>
      <c r="CP31" s="105">
        <v>30.380812977901652</v>
      </c>
      <c r="CQ31" s="105">
        <v>5395.6323848753336</v>
      </c>
      <c r="CR31" s="105">
        <v>20.453450964796762</v>
      </c>
      <c r="CS31" s="105">
        <v>3632.5328913479048</v>
      </c>
      <c r="CT31" s="105">
        <v>17.691421679051683</v>
      </c>
      <c r="CU31" s="105">
        <v>3141.9964901995786</v>
      </c>
    </row>
    <row r="32" spans="2:99" x14ac:dyDescent="0.2">
      <c r="C32" s="104" t="s">
        <v>198</v>
      </c>
      <c r="D32" s="105">
        <v>28</v>
      </c>
      <c r="E32" s="105">
        <v>18580.8</v>
      </c>
      <c r="F32" s="105">
        <v>27</v>
      </c>
      <c r="G32" s="105">
        <v>17917.2</v>
      </c>
      <c r="H32" s="105">
        <v>22</v>
      </c>
      <c r="I32" s="105">
        <v>14599.2</v>
      </c>
      <c r="J32" s="105">
        <v>29</v>
      </c>
      <c r="K32" s="105">
        <v>19244.400000000001</v>
      </c>
      <c r="L32" s="105">
        <v>27</v>
      </c>
      <c r="M32" s="105">
        <v>17917.2</v>
      </c>
      <c r="N32" s="105">
        <v>26.012502577657848</v>
      </c>
      <c r="O32" s="105">
        <v>17261.896710533747</v>
      </c>
      <c r="P32" s="105">
        <v>19.28977332949755</v>
      </c>
      <c r="Q32" s="105">
        <v>12800.693581454574</v>
      </c>
      <c r="R32" s="105">
        <v>16.764488998519301</v>
      </c>
      <c r="S32" s="105">
        <v>11124.914899417408</v>
      </c>
      <c r="T32" s="105">
        <v>26.24554536424121</v>
      </c>
      <c r="U32" s="105">
        <v>17416.543903710466</v>
      </c>
      <c r="V32" s="105">
        <v>14.034621120671718</v>
      </c>
      <c r="W32" s="105">
        <v>9313.3745756777516</v>
      </c>
      <c r="X32" s="105">
        <v>22</v>
      </c>
      <c r="Y32" s="105">
        <v>14599.2</v>
      </c>
      <c r="Z32" s="105">
        <v>15.585993241978192</v>
      </c>
      <c r="AA32" s="105">
        <v>10342.86511537673</v>
      </c>
      <c r="AB32" s="105">
        <v>26.018102965815917</v>
      </c>
      <c r="AC32" s="105">
        <v>17265.613128115441</v>
      </c>
      <c r="AD32" s="105">
        <v>25.127693326963652</v>
      </c>
      <c r="AE32" s="105">
        <v>16674.737291773079</v>
      </c>
      <c r="AF32" s="105">
        <v>19.998000866677252</v>
      </c>
      <c r="AG32" s="105">
        <v>13270.673375127024</v>
      </c>
      <c r="AH32" s="105">
        <v>22.614609969791868</v>
      </c>
      <c r="AI32" s="105">
        <v>15007.055175953885</v>
      </c>
      <c r="AJ32" s="105">
        <v>16.199189623429991</v>
      </c>
      <c r="AK32" s="105">
        <v>10749.782234108143</v>
      </c>
      <c r="AL32" s="105">
        <v>12.701472322717615</v>
      </c>
      <c r="AM32" s="105">
        <v>8428.6970333554091</v>
      </c>
      <c r="AN32" s="105">
        <v>23</v>
      </c>
      <c r="AO32" s="105">
        <v>15262.800000000001</v>
      </c>
      <c r="AP32" s="105">
        <v>19</v>
      </c>
      <c r="AQ32" s="105">
        <v>12608.4</v>
      </c>
      <c r="AR32" s="105">
        <v>16.551643487757232</v>
      </c>
      <c r="AS32" s="105">
        <v>10983.6706184757</v>
      </c>
      <c r="AT32" s="105">
        <v>15.349741630568527</v>
      </c>
      <c r="AU32" s="105">
        <v>10186.088546045276</v>
      </c>
      <c r="AV32" s="105">
        <v>19.523870812860448</v>
      </c>
      <c r="AW32" s="105">
        <v>12956.040671414194</v>
      </c>
      <c r="AX32" s="105">
        <v>18.524858650342896</v>
      </c>
      <c r="AY32" s="105">
        <v>12293.096200367547</v>
      </c>
      <c r="AZ32" s="105">
        <v>16.923089145065873</v>
      </c>
      <c r="BA32" s="105">
        <v>11230.161956665714</v>
      </c>
      <c r="BB32" s="105">
        <v>25</v>
      </c>
      <c r="BC32" s="105">
        <v>16590</v>
      </c>
      <c r="BD32" s="105">
        <v>21.435215786501409</v>
      </c>
      <c r="BE32" s="105">
        <v>14224.409195922335</v>
      </c>
      <c r="BF32" s="105">
        <v>13.720103854137234</v>
      </c>
      <c r="BG32" s="105">
        <v>9104.6609176054681</v>
      </c>
      <c r="BH32" s="105">
        <v>17.781977163285507</v>
      </c>
      <c r="BI32" s="105">
        <v>11800.120045556263</v>
      </c>
      <c r="BJ32" s="105">
        <v>26.256992131562303</v>
      </c>
      <c r="BK32" s="105">
        <v>17424.139978504743</v>
      </c>
      <c r="BL32" s="105">
        <v>16</v>
      </c>
      <c r="BM32" s="105">
        <v>10617.6</v>
      </c>
      <c r="BN32" s="105">
        <v>19.970559894762847</v>
      </c>
      <c r="BO32" s="105">
        <v>13252.463546164625</v>
      </c>
      <c r="BP32" s="105">
        <v>16.4177286698392</v>
      </c>
      <c r="BQ32" s="105">
        <v>10894.804745305293</v>
      </c>
      <c r="BR32" s="105">
        <v>16.653330965975464</v>
      </c>
      <c r="BS32" s="105">
        <v>11051.150429021318</v>
      </c>
      <c r="BT32" s="105">
        <v>25</v>
      </c>
      <c r="BU32" s="105">
        <v>16590</v>
      </c>
      <c r="BV32" s="105">
        <v>16.991018417897763</v>
      </c>
      <c r="BW32" s="105">
        <v>11275.239822116955</v>
      </c>
      <c r="BX32" s="105">
        <v>23.647770169615807</v>
      </c>
      <c r="BY32" s="105">
        <v>15692.660284557051</v>
      </c>
      <c r="BZ32" s="105">
        <v>20.258704195881602</v>
      </c>
      <c r="CA32" s="105">
        <v>13443.676104387032</v>
      </c>
      <c r="CB32" s="105">
        <v>28.754080687781684</v>
      </c>
      <c r="CC32" s="105">
        <v>19081.207944411926</v>
      </c>
      <c r="CD32" s="105">
        <v>33.179316591222872</v>
      </c>
      <c r="CE32" s="105">
        <v>22017.794489935499</v>
      </c>
      <c r="CF32" s="105">
        <v>28</v>
      </c>
      <c r="CG32" s="105">
        <v>18580.8</v>
      </c>
      <c r="CH32" s="105">
        <v>21.049825932600015</v>
      </c>
      <c r="CI32" s="105">
        <v>13968.66448887337</v>
      </c>
      <c r="CJ32" s="105">
        <v>20.66850142683225</v>
      </c>
      <c r="CK32" s="105">
        <v>13715.617546845882</v>
      </c>
      <c r="CL32" s="105">
        <v>19</v>
      </c>
      <c r="CM32" s="105">
        <v>12608.4</v>
      </c>
      <c r="CN32" s="105">
        <v>20</v>
      </c>
      <c r="CO32" s="105">
        <v>13272</v>
      </c>
      <c r="CP32" s="105">
        <v>28.358482218463195</v>
      </c>
      <c r="CQ32" s="105">
        <v>18818.688800172178</v>
      </c>
      <c r="CR32" s="105">
        <v>26</v>
      </c>
      <c r="CS32" s="105">
        <v>17253.600000000002</v>
      </c>
      <c r="CT32" s="105">
        <v>16.671219766616119</v>
      </c>
      <c r="CU32" s="105">
        <v>11063.021437126457</v>
      </c>
    </row>
    <row r="33" spans="2:99" x14ac:dyDescent="0.2">
      <c r="C33" s="104" t="s">
        <v>199</v>
      </c>
      <c r="D33" s="105">
        <v>26</v>
      </c>
      <c r="E33" s="105">
        <v>8704.8000000000011</v>
      </c>
      <c r="F33" s="105">
        <v>23.825240693202534</v>
      </c>
      <c r="G33" s="105">
        <v>7976.6905840842091</v>
      </c>
      <c r="H33" s="105">
        <v>20.171349334023709</v>
      </c>
      <c r="I33" s="105">
        <v>6753.3677570311384</v>
      </c>
      <c r="J33" s="105">
        <v>25.973976347130431</v>
      </c>
      <c r="K33" s="105">
        <v>8696.0872810192686</v>
      </c>
      <c r="L33" s="105">
        <v>30.142393119135164</v>
      </c>
      <c r="M33" s="105">
        <v>10091.673216286454</v>
      </c>
      <c r="N33" s="105">
        <v>21.233846585456725</v>
      </c>
      <c r="O33" s="105">
        <v>7109.0918368109114</v>
      </c>
      <c r="P33" s="105">
        <v>20.634699535719221</v>
      </c>
      <c r="Q33" s="105">
        <v>6908.4974045587951</v>
      </c>
      <c r="R33" s="105">
        <v>18.643285020443898</v>
      </c>
      <c r="S33" s="105">
        <v>6241.7718248446172</v>
      </c>
      <c r="T33" s="105">
        <v>29</v>
      </c>
      <c r="U33" s="105">
        <v>9709.2000000000007</v>
      </c>
      <c r="V33" s="105">
        <v>18.879011064232422</v>
      </c>
      <c r="W33" s="105">
        <v>6320.692904305015</v>
      </c>
      <c r="X33" s="105">
        <v>22</v>
      </c>
      <c r="Y33" s="105">
        <v>7365.6</v>
      </c>
      <c r="Z33" s="105">
        <v>19</v>
      </c>
      <c r="AA33" s="105">
        <v>6361.2</v>
      </c>
      <c r="AB33" s="105">
        <v>26.152118583512411</v>
      </c>
      <c r="AC33" s="105">
        <v>8755.729301759955</v>
      </c>
      <c r="AD33" s="105">
        <v>24</v>
      </c>
      <c r="AE33" s="105">
        <v>8035.2000000000007</v>
      </c>
      <c r="AF33" s="105">
        <v>22</v>
      </c>
      <c r="AG33" s="105">
        <v>7365.6</v>
      </c>
      <c r="AH33" s="105">
        <v>21.80659786331119</v>
      </c>
      <c r="AI33" s="105">
        <v>7300.848964636587</v>
      </c>
      <c r="AJ33" s="105">
        <v>16</v>
      </c>
      <c r="AK33" s="105">
        <v>5356.8</v>
      </c>
      <c r="AL33" s="105">
        <v>17</v>
      </c>
      <c r="AM33" s="105">
        <v>5691.6</v>
      </c>
      <c r="AN33" s="105">
        <v>26.764856352819869</v>
      </c>
      <c r="AO33" s="105">
        <v>8960.8739069240928</v>
      </c>
      <c r="AP33" s="105">
        <v>16</v>
      </c>
      <c r="AQ33" s="105">
        <v>5356.8</v>
      </c>
      <c r="AR33" s="105">
        <v>15.972875402629411</v>
      </c>
      <c r="AS33" s="105">
        <v>5347.7186848003266</v>
      </c>
      <c r="AT33" s="105">
        <v>20.067089474042223</v>
      </c>
      <c r="AU33" s="105">
        <v>6718.4615559093363</v>
      </c>
      <c r="AV33" s="105">
        <v>23</v>
      </c>
      <c r="AW33" s="105">
        <v>7700.4000000000005</v>
      </c>
      <c r="AX33" s="105">
        <v>25</v>
      </c>
      <c r="AY33" s="105">
        <v>8370</v>
      </c>
      <c r="AZ33" s="105">
        <v>25.325814846331561</v>
      </c>
      <c r="BA33" s="105">
        <v>8479.0828105518067</v>
      </c>
      <c r="BB33" s="105">
        <v>23.556389135553729</v>
      </c>
      <c r="BC33" s="105">
        <v>7886.6790825833887</v>
      </c>
      <c r="BD33" s="105">
        <v>25.837997568004184</v>
      </c>
      <c r="BE33" s="105">
        <v>8650.5615857678004</v>
      </c>
      <c r="BF33" s="105">
        <v>17.856981624603023</v>
      </c>
      <c r="BG33" s="105">
        <v>5978.5174479170919</v>
      </c>
      <c r="BH33" s="105">
        <v>19.877159252461425</v>
      </c>
      <c r="BI33" s="105">
        <v>6654.8729177240857</v>
      </c>
      <c r="BJ33" s="105">
        <v>25.950753251965153</v>
      </c>
      <c r="BK33" s="105">
        <v>8688.3121887579327</v>
      </c>
      <c r="BL33" s="105">
        <v>17</v>
      </c>
      <c r="BM33" s="105">
        <v>5691.6</v>
      </c>
      <c r="BN33" s="105">
        <v>21</v>
      </c>
      <c r="BO33" s="105">
        <v>7030.8</v>
      </c>
      <c r="BP33" s="105">
        <v>16</v>
      </c>
      <c r="BQ33" s="105">
        <v>5356.8</v>
      </c>
      <c r="BR33" s="105">
        <v>17</v>
      </c>
      <c r="BS33" s="105">
        <v>5691.6</v>
      </c>
      <c r="BT33" s="105">
        <v>26</v>
      </c>
      <c r="BU33" s="105">
        <v>8704.8000000000011</v>
      </c>
      <c r="BV33" s="105">
        <v>15.95322498812406</v>
      </c>
      <c r="BW33" s="105">
        <v>5341.1397260239355</v>
      </c>
      <c r="BX33" s="105">
        <v>23</v>
      </c>
      <c r="BY33" s="105">
        <v>7700.4000000000005</v>
      </c>
      <c r="BZ33" s="105">
        <v>23</v>
      </c>
      <c r="CA33" s="105">
        <v>7700.4000000000005</v>
      </c>
      <c r="CB33" s="105">
        <v>32</v>
      </c>
      <c r="CC33" s="105">
        <v>10713.6</v>
      </c>
      <c r="CD33" s="105">
        <v>27.734417994208503</v>
      </c>
      <c r="CE33" s="105">
        <v>9285.4831444610063</v>
      </c>
      <c r="CF33" s="105">
        <v>29.768229310194513</v>
      </c>
      <c r="CG33" s="105">
        <v>9966.4031730531242</v>
      </c>
      <c r="CH33" s="105">
        <v>22.1439690600338</v>
      </c>
      <c r="CI33" s="105">
        <v>7413.8008412993167</v>
      </c>
      <c r="CJ33" s="105">
        <v>22.591622664113615</v>
      </c>
      <c r="CK33" s="105">
        <v>7563.6752679452384</v>
      </c>
      <c r="CL33" s="105">
        <v>20</v>
      </c>
      <c r="CM33" s="105">
        <v>6696</v>
      </c>
      <c r="CN33" s="105">
        <v>19</v>
      </c>
      <c r="CO33" s="105">
        <v>6361.2</v>
      </c>
      <c r="CP33" s="105">
        <v>31.274366300781111</v>
      </c>
      <c r="CQ33" s="105">
        <v>10470.657837501516</v>
      </c>
      <c r="CR33" s="105">
        <v>21.27158900338863</v>
      </c>
      <c r="CS33" s="105">
        <v>7121.7279983345134</v>
      </c>
      <c r="CT33" s="105">
        <v>15.829166765467294</v>
      </c>
      <c r="CU33" s="105">
        <v>5299.6050330784501</v>
      </c>
    </row>
    <row r="34" spans="2:99" x14ac:dyDescent="0.2">
      <c r="C34" s="104" t="s">
        <v>200</v>
      </c>
      <c r="D34" s="105">
        <v>25</v>
      </c>
      <c r="E34" s="105">
        <v>9510</v>
      </c>
      <c r="F34" s="105">
        <v>21.99252987064849</v>
      </c>
      <c r="G34" s="105">
        <v>8365.9583627946849</v>
      </c>
      <c r="H34" s="105">
        <v>23.052970667455668</v>
      </c>
      <c r="I34" s="105">
        <v>8769.3500419001357</v>
      </c>
      <c r="J34" s="105">
        <v>30.783971966969403</v>
      </c>
      <c r="K34" s="105">
        <v>11710.222936235161</v>
      </c>
      <c r="L34" s="105">
        <v>30.142393119135164</v>
      </c>
      <c r="M34" s="105">
        <v>11466.166342519016</v>
      </c>
      <c r="N34" s="105">
        <v>21.233846585456725</v>
      </c>
      <c r="O34" s="105">
        <v>8077.3552411077371</v>
      </c>
      <c r="P34" s="105">
        <v>21.531860385098319</v>
      </c>
      <c r="Q34" s="105">
        <v>8190.7196904913999</v>
      </c>
      <c r="R34" s="105">
        <v>19.62451054783568</v>
      </c>
      <c r="S34" s="105">
        <v>7465.1638123966923</v>
      </c>
      <c r="T34" s="105">
        <v>26</v>
      </c>
      <c r="U34" s="105">
        <v>9890.4</v>
      </c>
      <c r="V34" s="105">
        <v>17.885378902957029</v>
      </c>
      <c r="W34" s="105">
        <v>6803.5981346848539</v>
      </c>
      <c r="X34" s="105">
        <v>21</v>
      </c>
      <c r="Y34" s="105">
        <v>7988.4</v>
      </c>
      <c r="Z34" s="105">
        <v>21</v>
      </c>
      <c r="AA34" s="105">
        <v>7988.4</v>
      </c>
      <c r="AB34" s="105">
        <v>27.955712968582237</v>
      </c>
      <c r="AC34" s="105">
        <v>10634.353213248682</v>
      </c>
      <c r="AD34" s="105">
        <v>24</v>
      </c>
      <c r="AE34" s="105">
        <v>9129.5999999999985</v>
      </c>
      <c r="AF34" s="105">
        <v>20</v>
      </c>
      <c r="AG34" s="105">
        <v>7608</v>
      </c>
      <c r="AH34" s="105">
        <v>18.691369597123877</v>
      </c>
      <c r="AI34" s="105">
        <v>7110.1969947459229</v>
      </c>
      <c r="AJ34" s="105">
        <v>19</v>
      </c>
      <c r="AK34" s="105">
        <v>7227.5999999999995</v>
      </c>
      <c r="AL34" s="105">
        <v>18</v>
      </c>
      <c r="AM34" s="105">
        <v>6847.2</v>
      </c>
      <c r="AN34" s="105">
        <v>25.773565376789506</v>
      </c>
      <c r="AO34" s="105">
        <v>9804.264269330728</v>
      </c>
      <c r="AP34" s="105">
        <v>17</v>
      </c>
      <c r="AQ34" s="105">
        <v>6466.7999999999993</v>
      </c>
      <c r="AR34" s="105">
        <v>15.972875402629411</v>
      </c>
      <c r="AS34" s="105">
        <v>6076.0818031602275</v>
      </c>
      <c r="AT34" s="105">
        <v>20.067089474042223</v>
      </c>
      <c r="AU34" s="105">
        <v>7633.5208359256612</v>
      </c>
      <c r="AV34" s="105">
        <v>23</v>
      </c>
      <c r="AW34" s="105">
        <v>8749.1999999999989</v>
      </c>
      <c r="AX34" s="105">
        <v>25</v>
      </c>
      <c r="AY34" s="105">
        <v>9510</v>
      </c>
      <c r="AZ34" s="105">
        <v>24.387821703874838</v>
      </c>
      <c r="BA34" s="105">
        <v>9277.1273761539887</v>
      </c>
      <c r="BB34" s="105">
        <v>24.428847992426093</v>
      </c>
      <c r="BC34" s="105">
        <v>9292.7337763188843</v>
      </c>
      <c r="BD34" s="105">
        <v>24.947032134624735</v>
      </c>
      <c r="BE34" s="105">
        <v>9489.8510240112482</v>
      </c>
      <c r="BF34" s="105">
        <v>16.96413254337287</v>
      </c>
      <c r="BG34" s="105">
        <v>6453.1560194990388</v>
      </c>
      <c r="BH34" s="105">
        <v>21.605607883110242</v>
      </c>
      <c r="BI34" s="105">
        <v>8218.7732387351352</v>
      </c>
      <c r="BJ34" s="105">
        <v>28.731191100389992</v>
      </c>
      <c r="BK34" s="105">
        <v>10929.345094588352</v>
      </c>
      <c r="BL34" s="105">
        <v>16</v>
      </c>
      <c r="BM34" s="105">
        <v>6086.4</v>
      </c>
      <c r="BN34" s="105">
        <v>24</v>
      </c>
      <c r="BO34" s="105">
        <v>9129.5999999999985</v>
      </c>
      <c r="BP34" s="105">
        <v>18</v>
      </c>
      <c r="BQ34" s="105">
        <v>6847.2</v>
      </c>
      <c r="BR34" s="105">
        <v>19</v>
      </c>
      <c r="BS34" s="105">
        <v>7227.5999999999995</v>
      </c>
      <c r="BT34" s="105">
        <v>25</v>
      </c>
      <c r="BU34" s="105">
        <v>9510</v>
      </c>
      <c r="BV34" s="105">
        <v>15.066934711006057</v>
      </c>
      <c r="BW34" s="105">
        <v>5731.4619640667042</v>
      </c>
      <c r="BX34" s="105">
        <v>26</v>
      </c>
      <c r="BY34" s="105">
        <v>9890.4</v>
      </c>
      <c r="BZ34" s="105">
        <v>23</v>
      </c>
      <c r="CA34" s="105">
        <v>8749.1999999999989</v>
      </c>
      <c r="CB34" s="105">
        <v>32</v>
      </c>
      <c r="CC34" s="105">
        <v>12172.8</v>
      </c>
      <c r="CD34" s="105">
        <v>30.418393929131902</v>
      </c>
      <c r="CE34" s="105">
        <v>11571.157050641776</v>
      </c>
      <c r="CF34" s="105">
        <v>27.907714978307357</v>
      </c>
      <c r="CG34" s="105">
        <v>10616.094777748118</v>
      </c>
      <c r="CH34" s="105">
        <v>20.372451535231093</v>
      </c>
      <c r="CI34" s="105">
        <v>7749.6805640019074</v>
      </c>
      <c r="CJ34" s="105">
        <v>20.853805536104876</v>
      </c>
      <c r="CK34" s="105">
        <v>7932.7876259342938</v>
      </c>
      <c r="CL34" s="105">
        <v>20</v>
      </c>
      <c r="CM34" s="105">
        <v>7608</v>
      </c>
      <c r="CN34" s="105">
        <v>21</v>
      </c>
      <c r="CO34" s="105">
        <v>7988.4</v>
      </c>
      <c r="CP34" s="105">
        <v>25.91304636350435</v>
      </c>
      <c r="CQ34" s="105">
        <v>9857.3228366770545</v>
      </c>
      <c r="CR34" s="105">
        <v>20.453450964796762</v>
      </c>
      <c r="CS34" s="105">
        <v>7780.4927470086877</v>
      </c>
      <c r="CT34" s="105">
        <v>16.760294222259489</v>
      </c>
      <c r="CU34" s="105">
        <v>6375.6159221475091</v>
      </c>
    </row>
    <row r="35" spans="2:99" x14ac:dyDescent="0.2">
      <c r="C35" s="104" t="s">
        <v>201</v>
      </c>
      <c r="D35" s="105">
        <v>30</v>
      </c>
      <c r="E35" s="105">
        <v>12312</v>
      </c>
      <c r="F35" s="105">
        <v>21.99252987064849</v>
      </c>
      <c r="G35" s="105">
        <v>9025.734258914139</v>
      </c>
      <c r="H35" s="105">
        <v>23.052970667455668</v>
      </c>
      <c r="I35" s="105">
        <v>9460.9391619238049</v>
      </c>
      <c r="J35" s="105">
        <v>26.935975471098224</v>
      </c>
      <c r="K35" s="105">
        <v>11054.524333338712</v>
      </c>
      <c r="L35" s="105">
        <v>28.197722595319988</v>
      </c>
      <c r="M35" s="105">
        <v>11572.345353119323</v>
      </c>
      <c r="N35" s="105">
        <v>24.379601635154017</v>
      </c>
      <c r="O35" s="105">
        <v>10005.388511067209</v>
      </c>
      <c r="P35" s="105">
        <v>18.840377836961029</v>
      </c>
      <c r="Q35" s="105">
        <v>7732.0910642888057</v>
      </c>
      <c r="R35" s="105">
        <v>18.643285020443898</v>
      </c>
      <c r="S35" s="105">
        <v>7651.2041723901748</v>
      </c>
      <c r="T35" s="105">
        <v>28</v>
      </c>
      <c r="U35" s="105">
        <v>11491.199999999999</v>
      </c>
      <c r="V35" s="105">
        <v>17.885378902957029</v>
      </c>
      <c r="W35" s="105">
        <v>7340.1595017735644</v>
      </c>
      <c r="X35" s="105">
        <v>22</v>
      </c>
      <c r="Y35" s="105">
        <v>9028.7999999999993</v>
      </c>
      <c r="Z35" s="105">
        <v>18</v>
      </c>
      <c r="AA35" s="105">
        <v>7387.2</v>
      </c>
      <c r="AB35" s="105">
        <v>25.250321390977504</v>
      </c>
      <c r="AC35" s="105">
        <v>10362.731898857168</v>
      </c>
      <c r="AD35" s="105">
        <v>24</v>
      </c>
      <c r="AE35" s="105">
        <v>9849.5999999999985</v>
      </c>
      <c r="AF35" s="105">
        <v>22</v>
      </c>
      <c r="AG35" s="105">
        <v>9028.7999999999993</v>
      </c>
      <c r="AH35" s="105">
        <v>19.470176663670706</v>
      </c>
      <c r="AI35" s="105">
        <v>7990.5605027704578</v>
      </c>
      <c r="AJ35" s="105">
        <v>16</v>
      </c>
      <c r="AK35" s="105">
        <v>6566.4</v>
      </c>
      <c r="AL35" s="105">
        <v>16</v>
      </c>
      <c r="AM35" s="105">
        <v>6566.4</v>
      </c>
      <c r="AN35" s="105">
        <v>25.773565376789506</v>
      </c>
      <c r="AO35" s="105">
        <v>10577.471230634412</v>
      </c>
      <c r="AP35" s="105">
        <v>19</v>
      </c>
      <c r="AQ35" s="105">
        <v>7797.5999999999995</v>
      </c>
      <c r="AR35" s="105">
        <v>18.494908360939316</v>
      </c>
      <c r="AS35" s="105">
        <v>7590.3103913294954</v>
      </c>
      <c r="AT35" s="105">
        <v>20.067089474042223</v>
      </c>
      <c r="AU35" s="105">
        <v>8235.5335201469279</v>
      </c>
      <c r="AV35" s="105">
        <v>21</v>
      </c>
      <c r="AW35" s="105">
        <v>8618.4</v>
      </c>
      <c r="AX35" s="105">
        <v>24</v>
      </c>
      <c r="AY35" s="105">
        <v>9849.5999999999985</v>
      </c>
      <c r="AZ35" s="105">
        <v>22.511835418961386</v>
      </c>
      <c r="BA35" s="105">
        <v>9238.8572559417516</v>
      </c>
      <c r="BB35" s="105">
        <v>22.68393027868137</v>
      </c>
      <c r="BC35" s="105">
        <v>9309.4849863708332</v>
      </c>
      <c r="BD35" s="105">
        <v>23.165101267865822</v>
      </c>
      <c r="BE35" s="105">
        <v>9506.9575603321337</v>
      </c>
      <c r="BF35" s="105">
        <v>15.178434380912568</v>
      </c>
      <c r="BG35" s="105">
        <v>6229.2294699265176</v>
      </c>
      <c r="BH35" s="105">
        <v>22.469832198434656</v>
      </c>
      <c r="BI35" s="105">
        <v>9221.6191342375823</v>
      </c>
      <c r="BJ35" s="105">
        <v>25.950753251965153</v>
      </c>
      <c r="BK35" s="105">
        <v>10650.189134606499</v>
      </c>
      <c r="BL35" s="105">
        <v>18</v>
      </c>
      <c r="BM35" s="105">
        <v>7387.2</v>
      </c>
      <c r="BN35" s="105">
        <v>22</v>
      </c>
      <c r="BO35" s="105">
        <v>9028.7999999999993</v>
      </c>
      <c r="BP35" s="105">
        <v>15</v>
      </c>
      <c r="BQ35" s="105">
        <v>6156</v>
      </c>
      <c r="BR35" s="105">
        <v>19</v>
      </c>
      <c r="BS35" s="105">
        <v>7797.5999999999995</v>
      </c>
      <c r="BT35" s="105">
        <v>29</v>
      </c>
      <c r="BU35" s="105">
        <v>11901.599999999999</v>
      </c>
      <c r="BV35" s="105">
        <v>16.839515265242063</v>
      </c>
      <c r="BW35" s="105">
        <v>6910.9370648553422</v>
      </c>
      <c r="BX35" s="105">
        <v>22</v>
      </c>
      <c r="BY35" s="105">
        <v>9028.7999999999993</v>
      </c>
      <c r="BZ35" s="105">
        <v>21</v>
      </c>
      <c r="CA35" s="105">
        <v>8618.4</v>
      </c>
      <c r="CB35" s="105">
        <v>33</v>
      </c>
      <c r="CC35" s="105">
        <v>13543.199999999999</v>
      </c>
      <c r="CD35" s="105">
        <v>30.418393929131902</v>
      </c>
      <c r="CE35" s="105">
        <v>12483.708868515732</v>
      </c>
      <c r="CF35" s="105">
        <v>31.628743642081673</v>
      </c>
      <c r="CG35" s="105">
        <v>12980.436390710318</v>
      </c>
      <c r="CH35" s="105">
        <v>20.372451535231093</v>
      </c>
      <c r="CI35" s="105">
        <v>8360.8541100588409</v>
      </c>
      <c r="CJ35" s="105">
        <v>19.984896972100504</v>
      </c>
      <c r="CK35" s="105">
        <v>8201.8017173500466</v>
      </c>
      <c r="CL35" s="105">
        <v>19</v>
      </c>
      <c r="CM35" s="105">
        <v>7797.5999999999995</v>
      </c>
      <c r="CN35" s="105">
        <v>19</v>
      </c>
      <c r="CO35" s="105">
        <v>7797.5999999999995</v>
      </c>
      <c r="CP35" s="105">
        <v>25.91304636350435</v>
      </c>
      <c r="CQ35" s="105">
        <v>10634.714227582184</v>
      </c>
      <c r="CR35" s="105">
        <v>23.72600311916424</v>
      </c>
      <c r="CS35" s="105">
        <v>9737.1516801050038</v>
      </c>
      <c r="CT35" s="105">
        <v>16.760294222259489</v>
      </c>
      <c r="CU35" s="105">
        <v>6878.4247488152942</v>
      </c>
    </row>
    <row r="36" spans="2:99" x14ac:dyDescent="0.2">
      <c r="C36" s="104" t="s">
        <v>202</v>
      </c>
      <c r="D36" s="105">
        <v>29</v>
      </c>
      <c r="E36" s="105">
        <v>13293.599999999999</v>
      </c>
      <c r="F36" s="105">
        <v>23</v>
      </c>
      <c r="G36" s="105">
        <v>10543.199999999999</v>
      </c>
      <c r="H36" s="105">
        <v>25</v>
      </c>
      <c r="I36" s="105">
        <v>11460</v>
      </c>
      <c r="J36" s="105">
        <v>27</v>
      </c>
      <c r="K36" s="105">
        <v>12376.8</v>
      </c>
      <c r="L36" s="105">
        <v>32</v>
      </c>
      <c r="M36" s="105">
        <v>14668.8</v>
      </c>
      <c r="N36" s="105">
        <v>25.04907655626311</v>
      </c>
      <c r="O36" s="105">
        <v>11482.496693391009</v>
      </c>
      <c r="P36" s="105">
        <v>20.254261995972424</v>
      </c>
      <c r="Q36" s="105">
        <v>9284.5536989537595</v>
      </c>
      <c r="R36" s="105">
        <v>17.64683052475716</v>
      </c>
      <c r="S36" s="105">
        <v>8089.3071125486813</v>
      </c>
      <c r="T36" s="105">
        <v>26.24554536424121</v>
      </c>
      <c r="U36" s="105">
        <v>12030.95799496817</v>
      </c>
      <c r="V36" s="105">
        <v>15.685753017221334</v>
      </c>
      <c r="W36" s="105">
        <v>7190.3491830942594</v>
      </c>
      <c r="X36" s="105">
        <v>24</v>
      </c>
      <c r="Y36" s="105">
        <v>11001.599999999999</v>
      </c>
      <c r="Z36" s="105">
        <v>19.253285769502472</v>
      </c>
      <c r="AA36" s="105">
        <v>8825.7061967399331</v>
      </c>
      <c r="AB36" s="105">
        <v>24.223751037138957</v>
      </c>
      <c r="AC36" s="105">
        <v>11104.167475424498</v>
      </c>
      <c r="AD36" s="105">
        <v>26.237715743029767</v>
      </c>
      <c r="AE36" s="105">
        <v>12027.368896604845</v>
      </c>
      <c r="AF36" s="105">
        <v>18.775285887171183</v>
      </c>
      <c r="AG36" s="105">
        <v>8606.5910506792698</v>
      </c>
      <c r="AH36" s="105">
        <v>22.614609969791868</v>
      </c>
      <c r="AI36" s="105">
        <v>10366.537210152592</v>
      </c>
      <c r="AJ36" s="105">
        <v>19.022635803452307</v>
      </c>
      <c r="AK36" s="105">
        <v>8719.9762523025365</v>
      </c>
      <c r="AL36" s="105">
        <v>11.965622870420059</v>
      </c>
      <c r="AM36" s="105">
        <v>5485.0415238005553</v>
      </c>
      <c r="AN36" s="105">
        <v>23</v>
      </c>
      <c r="AO36" s="105">
        <v>10543.199999999999</v>
      </c>
      <c r="AP36" s="105">
        <v>18</v>
      </c>
      <c r="AQ36" s="105">
        <v>8251.1999999999989</v>
      </c>
      <c r="AR36" s="105">
        <v>17.422782618691823</v>
      </c>
      <c r="AS36" s="105">
        <v>7986.6035524083309</v>
      </c>
      <c r="AT36" s="105">
        <v>16.921169011869072</v>
      </c>
      <c r="AU36" s="105">
        <v>7756.6638750407819</v>
      </c>
      <c r="AV36" s="105">
        <v>23.175223537323944</v>
      </c>
      <c r="AW36" s="105">
        <v>10623.522469509295</v>
      </c>
      <c r="AX36" s="105">
        <v>20.289130902756504</v>
      </c>
      <c r="AY36" s="105">
        <v>9300.5376058235815</v>
      </c>
      <c r="AZ36" s="105">
        <v>16.973995345340562</v>
      </c>
      <c r="BA36" s="105">
        <v>7780.8794663041135</v>
      </c>
      <c r="BB36" s="105">
        <v>25</v>
      </c>
      <c r="BC36" s="105">
        <v>11460</v>
      </c>
      <c r="BD36" s="105">
        <v>21.435215786501409</v>
      </c>
      <c r="BE36" s="105">
        <v>9825.9029165322463</v>
      </c>
      <c r="BF36" s="105">
        <v>14.527168786733542</v>
      </c>
      <c r="BG36" s="105">
        <v>6659.2541718386556</v>
      </c>
      <c r="BH36" s="105">
        <v>21.015063920246508</v>
      </c>
      <c r="BI36" s="105">
        <v>9633.3053010409985</v>
      </c>
      <c r="BJ36" s="105">
        <v>31.269855332328255</v>
      </c>
      <c r="BK36" s="105">
        <v>14334.101684339272</v>
      </c>
      <c r="BL36" s="105">
        <v>18</v>
      </c>
      <c r="BM36" s="105">
        <v>8251.1999999999989</v>
      </c>
      <c r="BN36" s="105">
        <v>19.970559894762847</v>
      </c>
      <c r="BO36" s="105">
        <v>9154.5046557592887</v>
      </c>
      <c r="BP36" s="105">
        <v>15.451979924554539</v>
      </c>
      <c r="BQ36" s="105">
        <v>7083.1875974158002</v>
      </c>
      <c r="BR36" s="105">
        <v>17.632938669856372</v>
      </c>
      <c r="BS36" s="105">
        <v>8082.9390862621603</v>
      </c>
      <c r="BT36" s="105">
        <v>27</v>
      </c>
      <c r="BU36" s="105">
        <v>12376.8</v>
      </c>
      <c r="BV36" s="105">
        <v>18.984992033469187</v>
      </c>
      <c r="BW36" s="105">
        <v>8702.7203481422748</v>
      </c>
      <c r="BX36" s="105">
        <v>25.58059978590984</v>
      </c>
      <c r="BY36" s="105">
        <v>11726.14694186107</v>
      </c>
      <c r="BZ36" s="105">
        <v>21.263809291477813</v>
      </c>
      <c r="CA36" s="105">
        <v>9747.330179213428</v>
      </c>
      <c r="CB36" s="105">
        <v>27.809230241750072</v>
      </c>
      <c r="CC36" s="105">
        <v>12747.751142818232</v>
      </c>
      <c r="CD36" s="105">
        <v>34.27748275611674</v>
      </c>
      <c r="CE36" s="105">
        <v>15712.798095403912</v>
      </c>
      <c r="CF36" s="105">
        <v>30</v>
      </c>
      <c r="CG36" s="105">
        <v>13752</v>
      </c>
      <c r="CH36" s="105">
        <v>20.135100048823716</v>
      </c>
      <c r="CI36" s="105">
        <v>9229.9298623807917</v>
      </c>
      <c r="CJ36" s="105">
        <v>22.636930134149608</v>
      </c>
      <c r="CK36" s="105">
        <v>10376.768773494179</v>
      </c>
      <c r="CL36" s="105">
        <v>23</v>
      </c>
      <c r="CM36" s="105">
        <v>10543.199999999999</v>
      </c>
      <c r="CN36" s="105">
        <v>18</v>
      </c>
      <c r="CO36" s="105">
        <v>8251.1999999999989</v>
      </c>
      <c r="CP36" s="105">
        <v>28.358482218463195</v>
      </c>
      <c r="CQ36" s="105">
        <v>12999.528248943529</v>
      </c>
      <c r="CR36" s="105">
        <v>27</v>
      </c>
      <c r="CS36" s="105">
        <v>12376.8</v>
      </c>
      <c r="CT36" s="105">
        <v>18.735079331473081</v>
      </c>
      <c r="CU36" s="105">
        <v>8588.1603655472591</v>
      </c>
    </row>
    <row r="37" spans="2:99" x14ac:dyDescent="0.2">
      <c r="B37" s="104" t="s">
        <v>128</v>
      </c>
      <c r="C37" s="104" t="s">
        <v>203</v>
      </c>
      <c r="D37" s="105">
        <v>29</v>
      </c>
      <c r="E37" s="105">
        <v>18896.400000000001</v>
      </c>
      <c r="F37" s="105">
        <v>43.068704330019962</v>
      </c>
      <c r="G37" s="105">
        <v>28063.567741441009</v>
      </c>
      <c r="H37" s="105">
        <v>45.145400890434018</v>
      </c>
      <c r="I37" s="105">
        <v>29416.743220206808</v>
      </c>
      <c r="J37" s="105">
        <v>35.593967586808368</v>
      </c>
      <c r="K37" s="105">
        <v>23193.029279564333</v>
      </c>
      <c r="L37" s="105">
        <v>26.253052071504818</v>
      </c>
      <c r="M37" s="105">
        <v>17106.488729792542</v>
      </c>
      <c r="N37" s="105">
        <v>34.603305546670221</v>
      </c>
      <c r="O37" s="105">
        <v>22547.513894210315</v>
      </c>
      <c r="P37" s="105">
        <v>39.475077372680254</v>
      </c>
      <c r="Q37" s="105">
        <v>25721.960416038455</v>
      </c>
      <c r="R37" s="105">
        <v>48.080050842197416</v>
      </c>
      <c r="S37" s="105">
        <v>31328.961128775838</v>
      </c>
      <c r="T37" s="105">
        <v>33</v>
      </c>
      <c r="U37" s="105">
        <v>21502.799999999999</v>
      </c>
      <c r="V37" s="105">
        <v>44.713447257392581</v>
      </c>
      <c r="W37" s="105">
        <v>29135.282232917005</v>
      </c>
      <c r="X37" s="105">
        <v>28</v>
      </c>
      <c r="Y37" s="105">
        <v>18244.8</v>
      </c>
      <c r="Z37" s="105">
        <v>49</v>
      </c>
      <c r="AA37" s="105">
        <v>31928.400000000001</v>
      </c>
      <c r="AB37" s="105">
        <v>30.661104546186966</v>
      </c>
      <c r="AC37" s="105">
        <v>19978.775722295428</v>
      </c>
      <c r="AD37" s="105">
        <v>30</v>
      </c>
      <c r="AE37" s="105">
        <v>19548</v>
      </c>
      <c r="AF37" s="105">
        <v>27</v>
      </c>
      <c r="AG37" s="105">
        <v>17593.2</v>
      </c>
      <c r="AH37" s="105">
        <v>31.152282661873127</v>
      </c>
      <c r="AI37" s="105">
        <v>20298.827382476531</v>
      </c>
      <c r="AJ37" s="105">
        <v>30</v>
      </c>
      <c r="AK37" s="105">
        <v>19548</v>
      </c>
      <c r="AL37" s="105">
        <v>32</v>
      </c>
      <c r="AM37" s="105">
        <v>20851.2</v>
      </c>
      <c r="AN37" s="105">
        <v>45.599384897396817</v>
      </c>
      <c r="AO37" s="105">
        <v>29712.559199143769</v>
      </c>
      <c r="AP37" s="105">
        <v>36</v>
      </c>
      <c r="AQ37" s="105">
        <v>23457.600000000002</v>
      </c>
      <c r="AR37" s="105">
        <v>34.467783763568733</v>
      </c>
      <c r="AS37" s="105">
        <v>22459.207900341386</v>
      </c>
      <c r="AT37" s="105">
        <v>38.309898086807884</v>
      </c>
      <c r="AU37" s="105">
        <v>24962.72959336402</v>
      </c>
      <c r="AV37" s="105">
        <v>24</v>
      </c>
      <c r="AW37" s="105">
        <v>15638.400000000001</v>
      </c>
      <c r="AX37" s="105">
        <v>39</v>
      </c>
      <c r="AY37" s="105">
        <v>25412.400000000001</v>
      </c>
      <c r="AZ37" s="105">
        <v>48.775643407749676</v>
      </c>
      <c r="BA37" s="105">
        <v>31782.209244489692</v>
      </c>
      <c r="BB37" s="105">
        <v>38.388189702383862</v>
      </c>
      <c r="BC37" s="105">
        <v>25013.744410073326</v>
      </c>
      <c r="BD37" s="105">
        <v>32.074755601660371</v>
      </c>
      <c r="BE37" s="105">
        <v>20899.910750041898</v>
      </c>
      <c r="BF37" s="105">
        <v>32.14256692428544</v>
      </c>
      <c r="BG37" s="105">
        <v>20944.096607864394</v>
      </c>
      <c r="BH37" s="105">
        <v>38.890094189598436</v>
      </c>
      <c r="BI37" s="105">
        <v>25340.785373942341</v>
      </c>
      <c r="BJ37" s="105">
        <v>34.29206679723967</v>
      </c>
      <c r="BK37" s="105">
        <v>22344.710725081371</v>
      </c>
      <c r="BL37" s="105">
        <v>25</v>
      </c>
      <c r="BM37" s="105">
        <v>16290</v>
      </c>
      <c r="BN37" s="105">
        <v>30</v>
      </c>
      <c r="BO37" s="105">
        <v>19548</v>
      </c>
      <c r="BP37" s="105">
        <v>42</v>
      </c>
      <c r="BQ37" s="105">
        <v>27367.200000000001</v>
      </c>
      <c r="BR37" s="105">
        <v>37</v>
      </c>
      <c r="BS37" s="105">
        <v>24109.200000000001</v>
      </c>
      <c r="BT37" s="105">
        <v>43</v>
      </c>
      <c r="BU37" s="105">
        <v>28018.799999999999</v>
      </c>
      <c r="BV37" s="105">
        <v>38.99677219319215</v>
      </c>
      <c r="BW37" s="105">
        <v>25410.296761084006</v>
      </c>
      <c r="BX37" s="105">
        <v>33</v>
      </c>
      <c r="BY37" s="105">
        <v>21502.799999999999</v>
      </c>
      <c r="BZ37" s="105">
        <v>44</v>
      </c>
      <c r="CA37" s="105">
        <v>28670.400000000001</v>
      </c>
      <c r="CB37" s="105">
        <v>33</v>
      </c>
      <c r="CC37" s="105">
        <v>21502.799999999999</v>
      </c>
      <c r="CD37" s="105">
        <v>41.154297668825514</v>
      </c>
      <c r="CE37" s="105">
        <v>26816.140361006706</v>
      </c>
      <c r="CF37" s="105">
        <v>43.72208679934819</v>
      </c>
      <c r="CG37" s="105">
        <v>28489.311758455282</v>
      </c>
      <c r="CH37" s="105">
        <v>35.430350496054075</v>
      </c>
      <c r="CI37" s="105">
        <v>23086.416383228836</v>
      </c>
      <c r="CJ37" s="105">
        <v>42.576519636214122</v>
      </c>
      <c r="CK37" s="105">
        <v>27742.860194957124</v>
      </c>
      <c r="CL37" s="105">
        <v>40</v>
      </c>
      <c r="CM37" s="105">
        <v>26064</v>
      </c>
      <c r="CN37" s="105">
        <v>27</v>
      </c>
      <c r="CO37" s="105">
        <v>17593.2</v>
      </c>
      <c r="CP37" s="105">
        <v>29.487259655022193</v>
      </c>
      <c r="CQ37" s="105">
        <v>19213.89839121246</v>
      </c>
      <c r="CR37" s="105">
        <v>36.816211736634166</v>
      </c>
      <c r="CS37" s="105">
        <v>23989.443567590824</v>
      </c>
      <c r="CT37" s="105">
        <v>43.762990469233102</v>
      </c>
      <c r="CU37" s="105">
        <v>28515.96458975229</v>
      </c>
    </row>
    <row r="38" spans="2:99" x14ac:dyDescent="0.2">
      <c r="C38" s="104" t="s">
        <v>204</v>
      </c>
      <c r="D38" s="105">
        <v>27</v>
      </c>
      <c r="E38" s="105">
        <v>27864</v>
      </c>
      <c r="F38" s="105">
        <v>35.737861039803803</v>
      </c>
      <c r="G38" s="105">
        <v>36881.472593077524</v>
      </c>
      <c r="H38" s="105">
        <v>46.105941334911336</v>
      </c>
      <c r="I38" s="105">
        <v>47581.331457628497</v>
      </c>
      <c r="J38" s="105">
        <v>33.669969338872782</v>
      </c>
      <c r="K38" s="105">
        <v>34747.408357716711</v>
      </c>
      <c r="L38" s="105">
        <v>26.253052071504818</v>
      </c>
      <c r="M38" s="105">
        <v>27093.149737792974</v>
      </c>
      <c r="N38" s="105">
        <v>32.243989259397253</v>
      </c>
      <c r="O38" s="105">
        <v>33275.796915697967</v>
      </c>
      <c r="P38" s="105">
        <v>34.092112276405672</v>
      </c>
      <c r="Q38" s="105">
        <v>35183.059869250654</v>
      </c>
      <c r="R38" s="105">
        <v>45.136374260022066</v>
      </c>
      <c r="S38" s="105">
        <v>46580.738236342775</v>
      </c>
      <c r="T38" s="105">
        <v>33</v>
      </c>
      <c r="U38" s="105">
        <v>34056</v>
      </c>
      <c r="V38" s="105">
        <v>37.758022128464845</v>
      </c>
      <c r="W38" s="105">
        <v>38966.278836575722</v>
      </c>
      <c r="X38" s="105">
        <v>26</v>
      </c>
      <c r="Y38" s="105">
        <v>26832</v>
      </c>
      <c r="Z38" s="105">
        <v>42</v>
      </c>
      <c r="AA38" s="105">
        <v>43344</v>
      </c>
      <c r="AB38" s="105">
        <v>35.17009050886152</v>
      </c>
      <c r="AC38" s="105">
        <v>36295.533405145092</v>
      </c>
      <c r="AD38" s="105">
        <v>32</v>
      </c>
      <c r="AE38" s="105">
        <v>33024</v>
      </c>
      <c r="AF38" s="105">
        <v>28</v>
      </c>
      <c r="AG38" s="105">
        <v>28896</v>
      </c>
      <c r="AH38" s="105">
        <v>30.373475595326301</v>
      </c>
      <c r="AI38" s="105">
        <v>31345.426814376744</v>
      </c>
      <c r="AJ38" s="105">
        <v>29</v>
      </c>
      <c r="AK38" s="105">
        <v>29928</v>
      </c>
      <c r="AL38" s="105">
        <v>32</v>
      </c>
      <c r="AM38" s="105">
        <v>33024</v>
      </c>
      <c r="AN38" s="105">
        <v>43.616802945336083</v>
      </c>
      <c r="AO38" s="105">
        <v>45012.540639586841</v>
      </c>
      <c r="AP38" s="105">
        <v>35</v>
      </c>
      <c r="AQ38" s="105">
        <v>36120</v>
      </c>
      <c r="AR38" s="105">
        <v>35.308461416338702</v>
      </c>
      <c r="AS38" s="105">
        <v>36438.332181661543</v>
      </c>
      <c r="AT38" s="105">
        <v>33.74919593361647</v>
      </c>
      <c r="AU38" s="105">
        <v>34829.170203492198</v>
      </c>
      <c r="AV38" s="105">
        <v>26</v>
      </c>
      <c r="AW38" s="105">
        <v>26832</v>
      </c>
      <c r="AX38" s="105">
        <v>38</v>
      </c>
      <c r="AY38" s="105">
        <v>39216</v>
      </c>
      <c r="AZ38" s="105">
        <v>46.899657122836224</v>
      </c>
      <c r="BA38" s="105">
        <v>48400.446150766984</v>
      </c>
      <c r="BB38" s="105">
        <v>35.770813131766779</v>
      </c>
      <c r="BC38" s="105">
        <v>36915.479151983316</v>
      </c>
      <c r="BD38" s="105">
        <v>29.401859301522009</v>
      </c>
      <c r="BE38" s="105">
        <v>30342.718799170714</v>
      </c>
      <c r="BF38" s="105">
        <v>33.035416005515593</v>
      </c>
      <c r="BG38" s="105">
        <v>34092.549317692094</v>
      </c>
      <c r="BH38" s="105">
        <v>38.025869874274029</v>
      </c>
      <c r="BI38" s="105">
        <v>39242.697710250795</v>
      </c>
      <c r="BJ38" s="105">
        <v>30.584816332673217</v>
      </c>
      <c r="BK38" s="105">
        <v>31563.53045531876</v>
      </c>
      <c r="BL38" s="105">
        <v>25</v>
      </c>
      <c r="BM38" s="105">
        <v>25800</v>
      </c>
      <c r="BN38" s="105">
        <v>30</v>
      </c>
      <c r="BO38" s="105">
        <v>30960</v>
      </c>
      <c r="BP38" s="105">
        <v>39</v>
      </c>
      <c r="BQ38" s="105">
        <v>40248</v>
      </c>
      <c r="BR38" s="105">
        <v>37</v>
      </c>
      <c r="BS38" s="105">
        <v>38184</v>
      </c>
      <c r="BT38" s="105">
        <v>45</v>
      </c>
      <c r="BU38" s="105">
        <v>46440</v>
      </c>
      <c r="BV38" s="105">
        <v>35.451611084720135</v>
      </c>
      <c r="BW38" s="105">
        <v>36586.062639431177</v>
      </c>
      <c r="BX38" s="105">
        <v>27</v>
      </c>
      <c r="BY38" s="105">
        <v>27864</v>
      </c>
      <c r="BZ38" s="105">
        <v>44</v>
      </c>
      <c r="CA38" s="105">
        <v>45408</v>
      </c>
      <c r="CB38" s="105">
        <v>37</v>
      </c>
      <c r="CC38" s="105">
        <v>38184</v>
      </c>
      <c r="CD38" s="105">
        <v>39.364980378876588</v>
      </c>
      <c r="CE38" s="105">
        <v>40624.65975100064</v>
      </c>
      <c r="CF38" s="105">
        <v>41.861572467461031</v>
      </c>
      <c r="CG38" s="105">
        <v>43201.142786419783</v>
      </c>
      <c r="CH38" s="105">
        <v>31.887315446448671</v>
      </c>
      <c r="CI38" s="105">
        <v>32907.709540735028</v>
      </c>
      <c r="CJ38" s="105">
        <v>36.49415968818353</v>
      </c>
      <c r="CK38" s="105">
        <v>37661.972798205403</v>
      </c>
      <c r="CL38" s="105">
        <v>39</v>
      </c>
      <c r="CM38" s="105">
        <v>40248</v>
      </c>
      <c r="CN38" s="105">
        <v>28</v>
      </c>
      <c r="CO38" s="105">
        <v>28896</v>
      </c>
      <c r="CP38" s="105">
        <v>31.274366300781111</v>
      </c>
      <c r="CQ38" s="105">
        <v>32275.146022406105</v>
      </c>
      <c r="CR38" s="105">
        <v>39.270625852409779</v>
      </c>
      <c r="CS38" s="105">
        <v>40527.28587968689</v>
      </c>
      <c r="CT38" s="105">
        <v>40.038480642064336</v>
      </c>
      <c r="CU38" s="105">
        <v>41319.712022610394</v>
      </c>
    </row>
    <row r="39" spans="2:99" x14ac:dyDescent="0.2">
      <c r="C39" s="104" t="s">
        <v>205</v>
      </c>
      <c r="D39" s="105">
        <v>26</v>
      </c>
      <c r="E39" s="105">
        <v>31512</v>
      </c>
      <c r="F39" s="105">
        <v>40.319638096188903</v>
      </c>
      <c r="G39" s="105">
        <v>48867.401372580949</v>
      </c>
      <c r="H39" s="105">
        <v>45.145400890434018</v>
      </c>
      <c r="I39" s="105">
        <v>54716.225879206031</v>
      </c>
      <c r="J39" s="105">
        <v>37.517965834743961</v>
      </c>
      <c r="K39" s="105">
        <v>45471.774591709684</v>
      </c>
      <c r="L39" s="105">
        <v>23.336046285782061</v>
      </c>
      <c r="M39" s="105">
        <v>28283.288098367859</v>
      </c>
      <c r="N39" s="105">
        <v>33.816866784245896</v>
      </c>
      <c r="O39" s="105">
        <v>40986.042542506024</v>
      </c>
      <c r="P39" s="105">
        <v>34.98927312578477</v>
      </c>
      <c r="Q39" s="105">
        <v>42406.999028451144</v>
      </c>
      <c r="R39" s="105">
        <v>40.230246623063145</v>
      </c>
      <c r="S39" s="105">
        <v>48759.058907152532</v>
      </c>
      <c r="T39" s="105">
        <v>33</v>
      </c>
      <c r="U39" s="105">
        <v>39996</v>
      </c>
      <c r="V39" s="105">
        <v>36.764389967189459</v>
      </c>
      <c r="W39" s="105">
        <v>44558.440640233624</v>
      </c>
      <c r="X39" s="105">
        <v>23</v>
      </c>
      <c r="Y39" s="105">
        <v>27876</v>
      </c>
      <c r="Z39" s="105">
        <v>44</v>
      </c>
      <c r="AA39" s="105">
        <v>53328</v>
      </c>
      <c r="AB39" s="105">
        <v>30.661104546186966</v>
      </c>
      <c r="AC39" s="105">
        <v>37161.258709978603</v>
      </c>
      <c r="AD39" s="105">
        <v>30</v>
      </c>
      <c r="AE39" s="105">
        <v>36360</v>
      </c>
      <c r="AF39" s="105">
        <v>27</v>
      </c>
      <c r="AG39" s="105">
        <v>32724</v>
      </c>
      <c r="AH39" s="105">
        <v>31.931089728419956</v>
      </c>
      <c r="AI39" s="105">
        <v>38700.480750844989</v>
      </c>
      <c r="AJ39" s="105">
        <v>28</v>
      </c>
      <c r="AK39" s="105">
        <v>33936</v>
      </c>
      <c r="AL39" s="105">
        <v>31</v>
      </c>
      <c r="AM39" s="105">
        <v>37572</v>
      </c>
      <c r="AN39" s="105">
        <v>42.62551196930572</v>
      </c>
      <c r="AO39" s="105">
        <v>51662.120506798536</v>
      </c>
      <c r="AP39" s="105">
        <v>33</v>
      </c>
      <c r="AQ39" s="105">
        <v>39996</v>
      </c>
      <c r="AR39" s="105">
        <v>30.264395499718884</v>
      </c>
      <c r="AS39" s="105">
        <v>36680.44734565929</v>
      </c>
      <c r="AT39" s="105">
        <v>36.485617225531321</v>
      </c>
      <c r="AU39" s="105">
        <v>44220.56807734396</v>
      </c>
      <c r="AV39" s="105">
        <v>23</v>
      </c>
      <c r="AW39" s="105">
        <v>27876</v>
      </c>
      <c r="AX39" s="105">
        <v>38</v>
      </c>
      <c r="AY39" s="105">
        <v>46056</v>
      </c>
      <c r="AZ39" s="105">
        <v>45.961663980379498</v>
      </c>
      <c r="BA39" s="105">
        <v>55705.536744219949</v>
      </c>
      <c r="BB39" s="105">
        <v>36.643271988639135</v>
      </c>
      <c r="BC39" s="105">
        <v>44411.645650230632</v>
      </c>
      <c r="BD39" s="105">
        <v>28.510893868142553</v>
      </c>
      <c r="BE39" s="105">
        <v>34555.203368188777</v>
      </c>
      <c r="BF39" s="105">
        <v>31.24971784305529</v>
      </c>
      <c r="BG39" s="105">
        <v>37874.658025783014</v>
      </c>
      <c r="BH39" s="105">
        <v>36.297421243625209</v>
      </c>
      <c r="BI39" s="105">
        <v>43992.474547273756</v>
      </c>
      <c r="BJ39" s="105">
        <v>32.438441564956442</v>
      </c>
      <c r="BK39" s="105">
        <v>39315.391176727207</v>
      </c>
      <c r="BL39" s="105">
        <v>27</v>
      </c>
      <c r="BM39" s="105">
        <v>32724</v>
      </c>
      <c r="BN39" s="105">
        <v>27</v>
      </c>
      <c r="BO39" s="105">
        <v>32724</v>
      </c>
      <c r="BP39" s="105">
        <v>37</v>
      </c>
      <c r="BQ39" s="105">
        <v>44844</v>
      </c>
      <c r="BR39" s="105">
        <v>37</v>
      </c>
      <c r="BS39" s="105">
        <v>44844</v>
      </c>
      <c r="BT39" s="105">
        <v>45</v>
      </c>
      <c r="BU39" s="105">
        <v>54540</v>
      </c>
      <c r="BV39" s="105">
        <v>38.110481916074143</v>
      </c>
      <c r="BW39" s="105">
        <v>46189.904082281864</v>
      </c>
      <c r="BX39" s="105">
        <v>29</v>
      </c>
      <c r="BY39" s="105">
        <v>35148</v>
      </c>
      <c r="BZ39" s="105">
        <v>41</v>
      </c>
      <c r="CA39" s="105">
        <v>49692</v>
      </c>
      <c r="CB39" s="105">
        <v>34</v>
      </c>
      <c r="CC39" s="105">
        <v>41208</v>
      </c>
      <c r="CD39" s="105">
        <v>37.575663088927648</v>
      </c>
      <c r="CE39" s="105">
        <v>45541.70366378031</v>
      </c>
      <c r="CF39" s="105">
        <v>46.51285829717893</v>
      </c>
      <c r="CG39" s="105">
        <v>56373.58425618086</v>
      </c>
      <c r="CH39" s="105">
        <v>37.201868020856779</v>
      </c>
      <c r="CI39" s="105">
        <v>45088.664041278418</v>
      </c>
      <c r="CJ39" s="105">
        <v>39.100885380196644</v>
      </c>
      <c r="CK39" s="105">
        <v>47390.273080798332</v>
      </c>
      <c r="CL39" s="105">
        <v>41</v>
      </c>
      <c r="CM39" s="105">
        <v>49692</v>
      </c>
      <c r="CN39" s="105">
        <v>25</v>
      </c>
      <c r="CO39" s="105">
        <v>30300</v>
      </c>
      <c r="CP39" s="105">
        <v>26.806599686383809</v>
      </c>
      <c r="CQ39" s="105">
        <v>32489.598819897175</v>
      </c>
      <c r="CR39" s="105">
        <v>38.45248781381791</v>
      </c>
      <c r="CS39" s="105">
        <v>46604.415230347309</v>
      </c>
      <c r="CT39" s="105">
        <v>41.900735555648716</v>
      </c>
      <c r="CU39" s="105">
        <v>50783.69149344624</v>
      </c>
    </row>
    <row r="40" spans="2:99" x14ac:dyDescent="0.2">
      <c r="C40" s="104" t="s">
        <v>206</v>
      </c>
      <c r="D40" s="105">
        <v>28</v>
      </c>
      <c r="E40" s="105">
        <v>14481.599999999999</v>
      </c>
      <c r="F40" s="105">
        <v>43.985059741296979</v>
      </c>
      <c r="G40" s="105">
        <v>22749.072898198796</v>
      </c>
      <c r="H40" s="105">
        <v>50.908643557297928</v>
      </c>
      <c r="I40" s="105">
        <v>26329.950447834486</v>
      </c>
      <c r="J40" s="105">
        <v>42.327961454582926</v>
      </c>
      <c r="K40" s="105">
        <v>21892.021664310287</v>
      </c>
      <c r="L40" s="105">
        <v>28.197722595319988</v>
      </c>
      <c r="M40" s="105">
        <v>14583.862126299497</v>
      </c>
      <c r="N40" s="105">
        <v>41.681254408489131</v>
      </c>
      <c r="O40" s="105">
        <v>21557.544780070577</v>
      </c>
      <c r="P40" s="105">
        <v>40.372238222059352</v>
      </c>
      <c r="Q40" s="105">
        <v>20880.521608449093</v>
      </c>
      <c r="R40" s="105">
        <v>47.09882531480563</v>
      </c>
      <c r="S40" s="105">
        <v>24359.512452817467</v>
      </c>
      <c r="T40" s="105">
        <v>38</v>
      </c>
      <c r="U40" s="105">
        <v>19653.599999999999</v>
      </c>
      <c r="V40" s="105">
        <v>39.745286451015623</v>
      </c>
      <c r="W40" s="105">
        <v>20556.262152465279</v>
      </c>
      <c r="X40" s="105">
        <v>27</v>
      </c>
      <c r="Y40" s="105">
        <v>13964.399999999998</v>
      </c>
      <c r="Z40" s="105">
        <v>52</v>
      </c>
      <c r="AA40" s="105">
        <v>26894.399999999998</v>
      </c>
      <c r="AB40" s="105">
        <v>32.464698931256784</v>
      </c>
      <c r="AC40" s="105">
        <v>16790.742287246005</v>
      </c>
      <c r="AD40" s="105">
        <v>33</v>
      </c>
      <c r="AE40" s="105">
        <v>17067.599999999999</v>
      </c>
      <c r="AF40" s="105">
        <v>30</v>
      </c>
      <c r="AG40" s="105">
        <v>15515.999999999998</v>
      </c>
      <c r="AH40" s="105">
        <v>31.931089728419956</v>
      </c>
      <c r="AI40" s="105">
        <v>16514.759607538799</v>
      </c>
      <c r="AJ40" s="105">
        <v>32</v>
      </c>
      <c r="AK40" s="105">
        <v>16550.399999999998</v>
      </c>
      <c r="AL40" s="105">
        <v>37</v>
      </c>
      <c r="AM40" s="105">
        <v>19136.399999999998</v>
      </c>
      <c r="AN40" s="105">
        <v>43.616802945336083</v>
      </c>
      <c r="AO40" s="105">
        <v>22558.610483327819</v>
      </c>
      <c r="AP40" s="105">
        <v>33</v>
      </c>
      <c r="AQ40" s="105">
        <v>17067.599999999999</v>
      </c>
      <c r="AR40" s="105">
        <v>31.105073152488856</v>
      </c>
      <c r="AS40" s="105">
        <v>16087.543834467235</v>
      </c>
      <c r="AT40" s="105">
        <v>38.309898086807884</v>
      </c>
      <c r="AU40" s="105">
        <v>19813.879290497036</v>
      </c>
      <c r="AV40" s="105">
        <v>25</v>
      </c>
      <c r="AW40" s="105">
        <v>12929.999999999998</v>
      </c>
      <c r="AX40" s="105">
        <v>37</v>
      </c>
      <c r="AY40" s="105">
        <v>19136.399999999998</v>
      </c>
      <c r="AZ40" s="105">
        <v>48.775643407749676</v>
      </c>
      <c r="BA40" s="105">
        <v>25226.762770488131</v>
      </c>
      <c r="BB40" s="105">
        <v>41.005566273000937</v>
      </c>
      <c r="BC40" s="105">
        <v>21208.078876396081</v>
      </c>
      <c r="BD40" s="105">
        <v>31.183790168280915</v>
      </c>
      <c r="BE40" s="105">
        <v>16128.256275034886</v>
      </c>
      <c r="BF40" s="105">
        <v>31.24971784305529</v>
      </c>
      <c r="BG40" s="105">
        <v>16162.354068428194</v>
      </c>
      <c r="BH40" s="105">
        <v>41.482767135571663</v>
      </c>
      <c r="BI40" s="105">
        <v>21454.887162517662</v>
      </c>
      <c r="BJ40" s="105">
        <v>32.438441564956442</v>
      </c>
      <c r="BK40" s="105">
        <v>16777.16197739547</v>
      </c>
      <c r="BL40" s="105">
        <v>27</v>
      </c>
      <c r="BM40" s="105">
        <v>13964.399999999998</v>
      </c>
      <c r="BN40" s="105">
        <v>32</v>
      </c>
      <c r="BO40" s="105">
        <v>16550.399999999998</v>
      </c>
      <c r="BP40" s="105">
        <v>38</v>
      </c>
      <c r="BQ40" s="105">
        <v>19653.599999999999</v>
      </c>
      <c r="BR40" s="105">
        <v>40</v>
      </c>
      <c r="BS40" s="105">
        <v>20687.999999999996</v>
      </c>
      <c r="BT40" s="105">
        <v>45</v>
      </c>
      <c r="BU40" s="105">
        <v>23273.999999999996</v>
      </c>
      <c r="BV40" s="105">
        <v>42.541933301664166</v>
      </c>
      <c r="BW40" s="105">
        <v>22002.687903620703</v>
      </c>
      <c r="BX40" s="105">
        <v>30</v>
      </c>
      <c r="BY40" s="105">
        <v>15515.999999999998</v>
      </c>
      <c r="BZ40" s="105">
        <v>40</v>
      </c>
      <c r="CA40" s="105">
        <v>20687.999999999996</v>
      </c>
      <c r="CB40" s="105">
        <v>37</v>
      </c>
      <c r="CC40" s="105">
        <v>19136.399999999998</v>
      </c>
      <c r="CD40" s="105">
        <v>38.470321733902118</v>
      </c>
      <c r="CE40" s="105">
        <v>19896.850400774172</v>
      </c>
      <c r="CF40" s="105">
        <v>50.233886960953242</v>
      </c>
      <c r="CG40" s="105">
        <v>25980.966336205012</v>
      </c>
      <c r="CH40" s="105">
        <v>34.544591733652723</v>
      </c>
      <c r="CI40" s="105">
        <v>17866.462844645186</v>
      </c>
      <c r="CJ40" s="105">
        <v>43.445428200218487</v>
      </c>
      <c r="CK40" s="105">
        <v>22469.975465152998</v>
      </c>
      <c r="CL40" s="105">
        <v>39</v>
      </c>
      <c r="CM40" s="105">
        <v>20170.799999999996</v>
      </c>
      <c r="CN40" s="105">
        <v>25</v>
      </c>
      <c r="CO40" s="105">
        <v>12929.999999999998</v>
      </c>
      <c r="CP40" s="105">
        <v>29.487259655022193</v>
      </c>
      <c r="CQ40" s="105">
        <v>15250.810693577476</v>
      </c>
      <c r="CR40" s="105">
        <v>39.270625852409779</v>
      </c>
      <c r="CS40" s="105">
        <v>20310.767690866334</v>
      </c>
      <c r="CT40" s="105">
        <v>40.969608098856526</v>
      </c>
      <c r="CU40" s="105">
        <v>21189.481308728591</v>
      </c>
    </row>
    <row r="41" spans="2:99" x14ac:dyDescent="0.2">
      <c r="C41" s="104" t="s">
        <v>207</v>
      </c>
      <c r="D41" s="105">
        <v>27</v>
      </c>
      <c r="E41" s="105">
        <v>12279.6</v>
      </c>
      <c r="F41" s="105">
        <v>39.403282684911886</v>
      </c>
      <c r="G41" s="105">
        <v>17920.612965097927</v>
      </c>
      <c r="H41" s="105">
        <v>42.26377955700206</v>
      </c>
      <c r="I41" s="105">
        <v>19221.566942524536</v>
      </c>
      <c r="J41" s="105">
        <v>40.40396320664734</v>
      </c>
      <c r="K41" s="105">
        <v>18375.722466383209</v>
      </c>
      <c r="L41" s="105">
        <v>27.225387333412407</v>
      </c>
      <c r="M41" s="105">
        <v>12382.106159235962</v>
      </c>
      <c r="N41" s="105">
        <v>38.535499358791832</v>
      </c>
      <c r="O41" s="105">
        <v>17525.945108378524</v>
      </c>
      <c r="P41" s="105">
        <v>38.577916523301155</v>
      </c>
      <c r="Q41" s="105">
        <v>17545.236434797367</v>
      </c>
      <c r="R41" s="105">
        <v>44.155148732630281</v>
      </c>
      <c r="S41" s="105">
        <v>20081.761643600254</v>
      </c>
      <c r="T41" s="105">
        <v>33</v>
      </c>
      <c r="U41" s="105">
        <v>15008.4</v>
      </c>
      <c r="V41" s="105">
        <v>45.707079418667966</v>
      </c>
      <c r="W41" s="105">
        <v>20787.579719610192</v>
      </c>
      <c r="X41" s="105">
        <v>25</v>
      </c>
      <c r="Y41" s="105">
        <v>11370</v>
      </c>
      <c r="Z41" s="105">
        <v>47</v>
      </c>
      <c r="AA41" s="105">
        <v>21375.600000000002</v>
      </c>
      <c r="AB41" s="105">
        <v>36.973684893931342</v>
      </c>
      <c r="AC41" s="105">
        <v>16815.631889759974</v>
      </c>
      <c r="AD41" s="105">
        <v>33</v>
      </c>
      <c r="AE41" s="105">
        <v>15008.4</v>
      </c>
      <c r="AF41" s="105">
        <v>32</v>
      </c>
      <c r="AG41" s="105">
        <v>14553.6</v>
      </c>
      <c r="AH41" s="105">
        <v>38.940353327341413</v>
      </c>
      <c r="AI41" s="105">
        <v>17710.072693274877</v>
      </c>
      <c r="AJ41" s="105">
        <v>29</v>
      </c>
      <c r="AK41" s="105">
        <v>13189.2</v>
      </c>
      <c r="AL41" s="105">
        <v>35</v>
      </c>
      <c r="AM41" s="105">
        <v>15918</v>
      </c>
      <c r="AN41" s="105">
        <v>41.634220993275356</v>
      </c>
      <c r="AO41" s="105">
        <v>18935.243707741633</v>
      </c>
      <c r="AP41" s="105">
        <v>34</v>
      </c>
      <c r="AQ41" s="105">
        <v>15463.2</v>
      </c>
      <c r="AR41" s="105">
        <v>35.308461416338702</v>
      </c>
      <c r="AS41" s="105">
        <v>16058.288252150842</v>
      </c>
      <c r="AT41" s="105">
        <v>40.134178948084447</v>
      </c>
      <c r="AU41" s="105">
        <v>18253.024585588806</v>
      </c>
      <c r="AV41" s="105">
        <v>24</v>
      </c>
      <c r="AW41" s="105">
        <v>10915.2</v>
      </c>
      <c r="AX41" s="105">
        <v>41</v>
      </c>
      <c r="AY41" s="105">
        <v>18646.8</v>
      </c>
      <c r="AZ41" s="105">
        <v>44.085677695466053</v>
      </c>
      <c r="BA41" s="105">
        <v>20050.16621589796</v>
      </c>
      <c r="BB41" s="105">
        <v>42.750483986745664</v>
      </c>
      <c r="BC41" s="105">
        <v>19442.920117171929</v>
      </c>
      <c r="BD41" s="105">
        <v>32.965721035039827</v>
      </c>
      <c r="BE41" s="105">
        <v>14992.809926736114</v>
      </c>
      <c r="BF41" s="105">
        <v>36.606812330436192</v>
      </c>
      <c r="BG41" s="105">
        <v>16648.778247882379</v>
      </c>
      <c r="BH41" s="105">
        <v>44.939664396869311</v>
      </c>
      <c r="BI41" s="105">
        <v>20438.559367696162</v>
      </c>
      <c r="BJ41" s="105">
        <v>36.145692029522891</v>
      </c>
      <c r="BK41" s="105">
        <v>16439.060735027011</v>
      </c>
      <c r="BL41" s="105">
        <v>30</v>
      </c>
      <c r="BM41" s="105">
        <v>13644</v>
      </c>
      <c r="BN41" s="105">
        <v>30</v>
      </c>
      <c r="BO41" s="105">
        <v>13644</v>
      </c>
      <c r="BP41" s="105">
        <v>37</v>
      </c>
      <c r="BQ41" s="105">
        <v>16827.600000000002</v>
      </c>
      <c r="BR41" s="105">
        <v>42</v>
      </c>
      <c r="BS41" s="105">
        <v>19101.600000000002</v>
      </c>
      <c r="BT41" s="105">
        <v>52</v>
      </c>
      <c r="BU41" s="105">
        <v>23649.600000000002</v>
      </c>
      <c r="BV41" s="105">
        <v>40.769352747428151</v>
      </c>
      <c r="BW41" s="105">
        <v>18541.901629530323</v>
      </c>
      <c r="BX41" s="105">
        <v>31</v>
      </c>
      <c r="BY41" s="105">
        <v>14098.800000000001</v>
      </c>
      <c r="BZ41" s="105">
        <v>41</v>
      </c>
      <c r="CA41" s="105">
        <v>18646.8</v>
      </c>
      <c r="CB41" s="105">
        <v>41</v>
      </c>
      <c r="CC41" s="105">
        <v>18646.8</v>
      </c>
      <c r="CD41" s="105">
        <v>38.470321733902118</v>
      </c>
      <c r="CE41" s="105">
        <v>17496.302324578683</v>
      </c>
      <c r="CF41" s="105">
        <v>45.58260113123535</v>
      </c>
      <c r="CG41" s="105">
        <v>20730.966994485836</v>
      </c>
      <c r="CH41" s="105">
        <v>37.201868020856779</v>
      </c>
      <c r="CI41" s="105">
        <v>16919.409575885664</v>
      </c>
      <c r="CJ41" s="105">
        <v>38.231976816192272</v>
      </c>
      <c r="CK41" s="105">
        <v>17387.903056004245</v>
      </c>
      <c r="CL41" s="105">
        <v>43</v>
      </c>
      <c r="CM41" s="105">
        <v>19556.400000000001</v>
      </c>
      <c r="CN41" s="105">
        <v>29</v>
      </c>
      <c r="CO41" s="105">
        <v>13189.2</v>
      </c>
      <c r="CP41" s="105">
        <v>32.167919623660573</v>
      </c>
      <c r="CQ41" s="105">
        <v>14629.969844840829</v>
      </c>
      <c r="CR41" s="105">
        <v>41.725039968185392</v>
      </c>
      <c r="CS41" s="105">
        <v>18976.548177530716</v>
      </c>
      <c r="CT41" s="105">
        <v>46.556372839609693</v>
      </c>
      <c r="CU41" s="105">
        <v>21173.838367454489</v>
      </c>
    </row>
    <row r="42" spans="2:99" x14ac:dyDescent="0.2">
      <c r="C42" s="104" t="s">
        <v>208</v>
      </c>
      <c r="D42" s="105">
        <v>28</v>
      </c>
      <c r="E42" s="105">
        <v>19488</v>
      </c>
      <c r="F42" s="105">
        <v>38.486927273634862</v>
      </c>
      <c r="G42" s="105">
        <v>26786.901382449865</v>
      </c>
      <c r="H42" s="105">
        <v>48.02702222386597</v>
      </c>
      <c r="I42" s="105">
        <v>33426.807467810715</v>
      </c>
      <c r="J42" s="105">
        <v>37.517965834743961</v>
      </c>
      <c r="K42" s="105">
        <v>26112.504220981798</v>
      </c>
      <c r="L42" s="105">
        <v>25.280716809597234</v>
      </c>
      <c r="M42" s="105">
        <v>17595.378899479674</v>
      </c>
      <c r="N42" s="105">
        <v>33.816866784245896</v>
      </c>
      <c r="O42" s="105">
        <v>23536.539281835143</v>
      </c>
      <c r="P42" s="105">
        <v>34.98927312578477</v>
      </c>
      <c r="Q42" s="105">
        <v>24352.534095546202</v>
      </c>
      <c r="R42" s="105">
        <v>42.192697677846709</v>
      </c>
      <c r="S42" s="105">
        <v>29366.11758378131</v>
      </c>
      <c r="T42" s="105">
        <v>33</v>
      </c>
      <c r="U42" s="105">
        <v>22968</v>
      </c>
      <c r="V42" s="105">
        <v>43.719815096117188</v>
      </c>
      <c r="W42" s="105">
        <v>30428.991306897562</v>
      </c>
      <c r="X42" s="105">
        <v>24</v>
      </c>
      <c r="Y42" s="105">
        <v>16704</v>
      </c>
      <c r="Z42" s="105">
        <v>46</v>
      </c>
      <c r="AA42" s="105">
        <v>32016</v>
      </c>
      <c r="AB42" s="105">
        <v>36.071887701396427</v>
      </c>
      <c r="AC42" s="105">
        <v>25106.033840171913</v>
      </c>
      <c r="AD42" s="105">
        <v>30</v>
      </c>
      <c r="AE42" s="105">
        <v>20880</v>
      </c>
      <c r="AF42" s="105">
        <v>31</v>
      </c>
      <c r="AG42" s="105">
        <v>21576</v>
      </c>
      <c r="AH42" s="105">
        <v>36.603932127700929</v>
      </c>
      <c r="AI42" s="105">
        <v>25476.336760879847</v>
      </c>
      <c r="AJ42" s="105">
        <v>32</v>
      </c>
      <c r="AK42" s="105">
        <v>22272</v>
      </c>
      <c r="AL42" s="105">
        <v>33</v>
      </c>
      <c r="AM42" s="105">
        <v>22968</v>
      </c>
      <c r="AN42" s="105">
        <v>40.642930017244993</v>
      </c>
      <c r="AO42" s="105">
        <v>28287.479292002514</v>
      </c>
      <c r="AP42" s="105">
        <v>31</v>
      </c>
      <c r="AQ42" s="105">
        <v>21576</v>
      </c>
      <c r="AR42" s="105">
        <v>36.149139069108671</v>
      </c>
      <c r="AS42" s="105">
        <v>25159.800792099635</v>
      </c>
      <c r="AT42" s="105">
        <v>40.134178948084447</v>
      </c>
      <c r="AU42" s="105">
        <v>27933.388547866776</v>
      </c>
      <c r="AV42" s="105">
        <v>26</v>
      </c>
      <c r="AW42" s="105">
        <v>18096</v>
      </c>
      <c r="AX42" s="105">
        <v>38</v>
      </c>
      <c r="AY42" s="105">
        <v>26448</v>
      </c>
      <c r="AZ42" s="105">
        <v>45.961663980379498</v>
      </c>
      <c r="BA42" s="105">
        <v>31989.318130344131</v>
      </c>
      <c r="BB42" s="105">
        <v>41.005566273000937</v>
      </c>
      <c r="BC42" s="105">
        <v>28539.874126008654</v>
      </c>
      <c r="BD42" s="105">
        <v>30.292824734901458</v>
      </c>
      <c r="BE42" s="105">
        <v>21083.806015491416</v>
      </c>
      <c r="BF42" s="105">
        <v>30.356868761825137</v>
      </c>
      <c r="BG42" s="105">
        <v>21128.380658230297</v>
      </c>
      <c r="BH42" s="105">
        <v>41.482767135571663</v>
      </c>
      <c r="BI42" s="105">
        <v>28872.005926357877</v>
      </c>
      <c r="BJ42" s="105">
        <v>35.218879413381281</v>
      </c>
      <c r="BK42" s="105">
        <v>24512.34007171337</v>
      </c>
      <c r="BL42" s="105">
        <v>25</v>
      </c>
      <c r="BM42" s="105">
        <v>17400</v>
      </c>
      <c r="BN42" s="105">
        <v>31</v>
      </c>
      <c r="BO42" s="105">
        <v>21576</v>
      </c>
      <c r="BP42" s="105">
        <v>38</v>
      </c>
      <c r="BQ42" s="105">
        <v>26448</v>
      </c>
      <c r="BR42" s="105">
        <v>39</v>
      </c>
      <c r="BS42" s="105">
        <v>27144</v>
      </c>
      <c r="BT42" s="105">
        <v>50</v>
      </c>
      <c r="BU42" s="105">
        <v>34800</v>
      </c>
      <c r="BV42" s="105">
        <v>43.428223578782166</v>
      </c>
      <c r="BW42" s="105">
        <v>30226.043610832388</v>
      </c>
      <c r="BX42" s="105">
        <v>31</v>
      </c>
      <c r="BY42" s="105">
        <v>21576</v>
      </c>
      <c r="BZ42" s="105">
        <v>46</v>
      </c>
      <c r="CA42" s="105">
        <v>32016</v>
      </c>
      <c r="CB42" s="105">
        <v>39</v>
      </c>
      <c r="CC42" s="105">
        <v>27144</v>
      </c>
      <c r="CD42" s="105">
        <v>35.786345798978715</v>
      </c>
      <c r="CE42" s="105">
        <v>24907.296676089187</v>
      </c>
      <c r="CF42" s="105">
        <v>44.652343965291763</v>
      </c>
      <c r="CG42" s="105">
        <v>31078.031399843068</v>
      </c>
      <c r="CH42" s="105">
        <v>34.544591733652723</v>
      </c>
      <c r="CI42" s="105">
        <v>24043.035846622297</v>
      </c>
      <c r="CJ42" s="105">
        <v>41.707611072209751</v>
      </c>
      <c r="CK42" s="105">
        <v>29028.497306257988</v>
      </c>
      <c r="CL42" s="105">
        <v>40</v>
      </c>
      <c r="CM42" s="105">
        <v>27840</v>
      </c>
      <c r="CN42" s="105">
        <v>28</v>
      </c>
      <c r="CO42" s="105">
        <v>19488</v>
      </c>
      <c r="CP42" s="105">
        <v>33.061472946540036</v>
      </c>
      <c r="CQ42" s="105">
        <v>23010.785170791863</v>
      </c>
      <c r="CR42" s="105">
        <v>40.906901929593523</v>
      </c>
      <c r="CS42" s="105">
        <v>28471.203742997091</v>
      </c>
      <c r="CT42" s="105">
        <v>39.107353185272139</v>
      </c>
      <c r="CU42" s="105">
        <v>27218.717816949407</v>
      </c>
    </row>
    <row r="43" spans="2:99" x14ac:dyDescent="0.2">
      <c r="C43" s="104" t="s">
        <v>209</v>
      </c>
      <c r="D43" s="105">
        <v>29</v>
      </c>
      <c r="E43" s="105">
        <v>23629.199999999997</v>
      </c>
      <c r="F43" s="105">
        <v>34.821505628526779</v>
      </c>
      <c r="G43" s="105">
        <v>28372.562786123617</v>
      </c>
      <c r="H43" s="105">
        <v>43.224320001479377</v>
      </c>
      <c r="I43" s="105">
        <v>35219.175937205393</v>
      </c>
      <c r="J43" s="105">
        <v>35.593967586808368</v>
      </c>
      <c r="K43" s="105">
        <v>29001.964789731457</v>
      </c>
      <c r="L43" s="105">
        <v>30.142393119135164</v>
      </c>
      <c r="M43" s="105">
        <v>24560.02191347133</v>
      </c>
      <c r="N43" s="105">
        <v>36.962621833943189</v>
      </c>
      <c r="O43" s="105">
        <v>30117.144270296907</v>
      </c>
      <c r="P43" s="105">
        <v>38.577916523301155</v>
      </c>
      <c r="Q43" s="105">
        <v>31433.286383185779</v>
      </c>
      <c r="R43" s="105">
        <v>44.155148732630281</v>
      </c>
      <c r="S43" s="105">
        <v>35977.615187347154</v>
      </c>
      <c r="T43" s="105">
        <v>31</v>
      </c>
      <c r="U43" s="105">
        <v>25258.799999999999</v>
      </c>
      <c r="V43" s="105">
        <v>35.770757805914059</v>
      </c>
      <c r="W43" s="105">
        <v>29146.013460258775</v>
      </c>
      <c r="X43" s="105">
        <v>25</v>
      </c>
      <c r="Y43" s="105">
        <v>20370</v>
      </c>
      <c r="Z43" s="105">
        <v>41</v>
      </c>
      <c r="AA43" s="105">
        <v>33406.799999999996</v>
      </c>
      <c r="AB43" s="105">
        <v>30.661104546186966</v>
      </c>
      <c r="AC43" s="105">
        <v>24982.66798423314</v>
      </c>
      <c r="AD43" s="105">
        <v>28</v>
      </c>
      <c r="AE43" s="105">
        <v>22814.399999999998</v>
      </c>
      <c r="AF43" s="105">
        <v>26</v>
      </c>
      <c r="AG43" s="105">
        <v>21184.799999999999</v>
      </c>
      <c r="AH43" s="105">
        <v>31.152282661873127</v>
      </c>
      <c r="AI43" s="105">
        <v>25382.879912894223</v>
      </c>
      <c r="AJ43" s="105">
        <v>29</v>
      </c>
      <c r="AK43" s="105">
        <v>23629.199999999997</v>
      </c>
      <c r="AL43" s="105">
        <v>32</v>
      </c>
      <c r="AM43" s="105">
        <v>26073.599999999999</v>
      </c>
      <c r="AN43" s="105">
        <v>44.608093921366454</v>
      </c>
      <c r="AO43" s="105">
        <v>36346.674927129381</v>
      </c>
      <c r="AP43" s="105">
        <v>35</v>
      </c>
      <c r="AQ43" s="105">
        <v>28518</v>
      </c>
      <c r="AR43" s="105">
        <v>35.308461416338702</v>
      </c>
      <c r="AS43" s="105">
        <v>28769.334362032772</v>
      </c>
      <c r="AT43" s="105">
        <v>37.397757656169603</v>
      </c>
      <c r="AU43" s="105">
        <v>30471.69293824699</v>
      </c>
      <c r="AV43" s="105">
        <v>26</v>
      </c>
      <c r="AW43" s="105">
        <v>21184.799999999999</v>
      </c>
      <c r="AX43" s="105">
        <v>34</v>
      </c>
      <c r="AY43" s="105">
        <v>27703.199999999997</v>
      </c>
      <c r="AZ43" s="105">
        <v>46.899657122836224</v>
      </c>
      <c r="BA43" s="105">
        <v>38213.840623686956</v>
      </c>
      <c r="BB43" s="105">
        <v>41.005566273000937</v>
      </c>
      <c r="BC43" s="105">
        <v>33411.335399241165</v>
      </c>
      <c r="BD43" s="105">
        <v>32.965721035039827</v>
      </c>
      <c r="BE43" s="105">
        <v>26860.469499350449</v>
      </c>
      <c r="BF43" s="105">
        <v>36.606812330436192</v>
      </c>
      <c r="BG43" s="105">
        <v>29827.230686839408</v>
      </c>
      <c r="BH43" s="105">
        <v>37.161645558949616</v>
      </c>
      <c r="BI43" s="105">
        <v>30279.308801432144</v>
      </c>
      <c r="BJ43" s="105">
        <v>31.511628948814828</v>
      </c>
      <c r="BK43" s="105">
        <v>25675.67526749432</v>
      </c>
      <c r="BL43" s="105">
        <v>29</v>
      </c>
      <c r="BM43" s="105">
        <v>23629.199999999997</v>
      </c>
      <c r="BN43" s="105">
        <v>28</v>
      </c>
      <c r="BO43" s="105">
        <v>22814.399999999998</v>
      </c>
      <c r="BP43" s="105">
        <v>40</v>
      </c>
      <c r="BQ43" s="105">
        <v>32592</v>
      </c>
      <c r="BR43" s="105">
        <v>37</v>
      </c>
      <c r="BS43" s="105">
        <v>30147.599999999999</v>
      </c>
      <c r="BT43" s="105">
        <v>50</v>
      </c>
      <c r="BU43" s="105">
        <v>40740</v>
      </c>
      <c r="BV43" s="105">
        <v>36.337901361838142</v>
      </c>
      <c r="BW43" s="105">
        <v>29608.122029625716</v>
      </c>
      <c r="BX43" s="105">
        <v>27</v>
      </c>
      <c r="BY43" s="105">
        <v>21999.599999999999</v>
      </c>
      <c r="BZ43" s="105">
        <v>43</v>
      </c>
      <c r="CA43" s="105">
        <v>35036.400000000001</v>
      </c>
      <c r="CB43" s="105">
        <v>36</v>
      </c>
      <c r="CC43" s="105">
        <v>29332.799999999999</v>
      </c>
      <c r="CD43" s="105">
        <v>38.470321733902118</v>
      </c>
      <c r="CE43" s="105">
        <v>31345.618148783444</v>
      </c>
      <c r="CF43" s="105">
        <v>41.861572467461031</v>
      </c>
      <c r="CG43" s="105">
        <v>34108.809246487246</v>
      </c>
      <c r="CH43" s="105">
        <v>38.973385545659482</v>
      </c>
      <c r="CI43" s="105">
        <v>31755.514542603345</v>
      </c>
      <c r="CJ43" s="105">
        <v>43.445428200218487</v>
      </c>
      <c r="CK43" s="105">
        <v>35399.334897538021</v>
      </c>
      <c r="CL43" s="105">
        <v>42</v>
      </c>
      <c r="CM43" s="105">
        <v>34221.599999999999</v>
      </c>
      <c r="CN43" s="105">
        <v>28</v>
      </c>
      <c r="CO43" s="105">
        <v>22814.399999999998</v>
      </c>
      <c r="CP43" s="105">
        <v>32.167919623660573</v>
      </c>
      <c r="CQ43" s="105">
        <v>26210.420909358632</v>
      </c>
      <c r="CR43" s="105">
        <v>37.634349775226042</v>
      </c>
      <c r="CS43" s="105">
        <v>30664.468196854177</v>
      </c>
      <c r="CT43" s="105">
        <v>43.762990469233102</v>
      </c>
      <c r="CU43" s="105">
        <v>35658.084634331128</v>
      </c>
    </row>
    <row r="44" spans="2:99" x14ac:dyDescent="0.2">
      <c r="C44" s="104" t="s">
        <v>210</v>
      </c>
      <c r="D44" s="105">
        <v>25</v>
      </c>
      <c r="E44" s="105">
        <v>21090</v>
      </c>
      <c r="F44" s="105">
        <v>37.570571862357838</v>
      </c>
      <c r="G44" s="105">
        <v>31694.534423085071</v>
      </c>
      <c r="H44" s="105">
        <v>42.26377955700206</v>
      </c>
      <c r="I44" s="105">
        <v>35653.724434286938</v>
      </c>
      <c r="J44" s="105">
        <v>40.40396320664734</v>
      </c>
      <c r="K44" s="105">
        <v>34084.783361127695</v>
      </c>
      <c r="L44" s="105">
        <v>28.197722595319988</v>
      </c>
      <c r="M44" s="105">
        <v>23787.598781411943</v>
      </c>
      <c r="N44" s="105">
        <v>37.749060596367514</v>
      </c>
      <c r="O44" s="105">
        <v>31845.107519095636</v>
      </c>
      <c r="P44" s="105">
        <v>32.297790577647483</v>
      </c>
      <c r="Q44" s="105">
        <v>27246.416131303416</v>
      </c>
      <c r="R44" s="105">
        <v>42.192697677846709</v>
      </c>
      <c r="S44" s="105">
        <v>35593.759761031484</v>
      </c>
      <c r="T44" s="105">
        <v>35</v>
      </c>
      <c r="U44" s="105">
        <v>29526</v>
      </c>
      <c r="V44" s="105">
        <v>41.732550773566409</v>
      </c>
      <c r="W44" s="105">
        <v>35205.579832580624</v>
      </c>
      <c r="X44" s="105">
        <v>27</v>
      </c>
      <c r="Y44" s="105">
        <v>22777.200000000001</v>
      </c>
      <c r="Z44" s="105">
        <v>45</v>
      </c>
      <c r="AA44" s="105">
        <v>37962</v>
      </c>
      <c r="AB44" s="105">
        <v>36.071887701396427</v>
      </c>
      <c r="AC44" s="105">
        <v>30430.244464898027</v>
      </c>
      <c r="AD44" s="105">
        <v>33</v>
      </c>
      <c r="AE44" s="105">
        <v>27838.799999999999</v>
      </c>
      <c r="AF44" s="105">
        <v>29</v>
      </c>
      <c r="AG44" s="105">
        <v>24464.400000000001</v>
      </c>
      <c r="AH44" s="105">
        <v>36.603932127700929</v>
      </c>
      <c r="AI44" s="105">
        <v>30879.077142928505</v>
      </c>
      <c r="AJ44" s="105">
        <v>29</v>
      </c>
      <c r="AK44" s="105">
        <v>24464.400000000001</v>
      </c>
      <c r="AL44" s="105">
        <v>33</v>
      </c>
      <c r="AM44" s="105">
        <v>27838.799999999999</v>
      </c>
      <c r="AN44" s="105">
        <v>41.634220993275356</v>
      </c>
      <c r="AO44" s="105">
        <v>35122.628829927089</v>
      </c>
      <c r="AP44" s="105">
        <v>34</v>
      </c>
      <c r="AQ44" s="105">
        <v>28682.400000000001</v>
      </c>
      <c r="AR44" s="105">
        <v>34.467783763568733</v>
      </c>
      <c r="AS44" s="105">
        <v>29077.022382946583</v>
      </c>
      <c r="AT44" s="105">
        <v>39.222038517446165</v>
      </c>
      <c r="AU44" s="105">
        <v>33087.711693317586</v>
      </c>
      <c r="AV44" s="105">
        <v>25</v>
      </c>
      <c r="AW44" s="105">
        <v>21090</v>
      </c>
      <c r="AX44" s="105">
        <v>38</v>
      </c>
      <c r="AY44" s="105">
        <v>32056.799999999999</v>
      </c>
      <c r="AZ44" s="105">
        <v>48.775643407749676</v>
      </c>
      <c r="BA44" s="105">
        <v>41147.132778777624</v>
      </c>
      <c r="BB44" s="105">
        <v>34.898354274894423</v>
      </c>
      <c r="BC44" s="105">
        <v>29440.251666300937</v>
      </c>
      <c r="BD44" s="105">
        <v>31.183790168280915</v>
      </c>
      <c r="BE44" s="105">
        <v>26306.64538596178</v>
      </c>
      <c r="BF44" s="105">
        <v>34.821114167975892</v>
      </c>
      <c r="BG44" s="105">
        <v>29375.091912104464</v>
      </c>
      <c r="BH44" s="105">
        <v>43.211215766220484</v>
      </c>
      <c r="BI44" s="105">
        <v>36452.981620383602</v>
      </c>
      <c r="BJ44" s="105">
        <v>30.584816332673217</v>
      </c>
      <c r="BK44" s="105">
        <v>25801.351058243126</v>
      </c>
      <c r="BL44" s="105">
        <v>27</v>
      </c>
      <c r="BM44" s="105">
        <v>22777.200000000001</v>
      </c>
      <c r="BN44" s="105">
        <v>30</v>
      </c>
      <c r="BO44" s="105">
        <v>25308</v>
      </c>
      <c r="BP44" s="105">
        <v>41</v>
      </c>
      <c r="BQ44" s="105">
        <v>34587.599999999999</v>
      </c>
      <c r="BR44" s="105">
        <v>36</v>
      </c>
      <c r="BS44" s="105">
        <v>30369.600000000002</v>
      </c>
      <c r="BT44" s="105">
        <v>50</v>
      </c>
      <c r="BU44" s="105">
        <v>42180</v>
      </c>
      <c r="BV44" s="105">
        <v>40.769352747428151</v>
      </c>
      <c r="BW44" s="105">
        <v>34393.025977730387</v>
      </c>
      <c r="BX44" s="105">
        <v>27</v>
      </c>
      <c r="BY44" s="105">
        <v>22777.200000000001</v>
      </c>
      <c r="BZ44" s="105">
        <v>44</v>
      </c>
      <c r="CA44" s="105">
        <v>37118.400000000001</v>
      </c>
      <c r="CB44" s="105">
        <v>36</v>
      </c>
      <c r="CC44" s="105">
        <v>30369.600000000002</v>
      </c>
      <c r="CD44" s="105">
        <v>39.364980378876588</v>
      </c>
      <c r="CE44" s="105">
        <v>33208.297447620287</v>
      </c>
      <c r="CF44" s="105">
        <v>45.58260113123535</v>
      </c>
      <c r="CG44" s="105">
        <v>38453.482314310146</v>
      </c>
      <c r="CH44" s="105">
        <v>36.316109258455427</v>
      </c>
      <c r="CI44" s="105">
        <v>30636.269770432998</v>
      </c>
      <c r="CJ44" s="105">
        <v>39.969793944201008</v>
      </c>
      <c r="CK44" s="105">
        <v>33718.518171327974</v>
      </c>
      <c r="CL44" s="105">
        <v>42</v>
      </c>
      <c r="CM44" s="105">
        <v>35431.200000000004</v>
      </c>
      <c r="CN44" s="105">
        <v>27</v>
      </c>
      <c r="CO44" s="105">
        <v>22777.200000000001</v>
      </c>
      <c r="CP44" s="105">
        <v>28.593706332142734</v>
      </c>
      <c r="CQ44" s="105">
        <v>24121.650661795611</v>
      </c>
      <c r="CR44" s="105">
        <v>36.816211736634166</v>
      </c>
      <c r="CS44" s="105">
        <v>31058.156221024583</v>
      </c>
      <c r="CT44" s="105">
        <v>38.176225728479942</v>
      </c>
      <c r="CU44" s="105">
        <v>32205.464024545679</v>
      </c>
    </row>
    <row r="45" spans="2:99" x14ac:dyDescent="0.2">
      <c r="C45" s="104" t="s">
        <v>211</v>
      </c>
      <c r="D45" s="105">
        <v>24</v>
      </c>
      <c r="E45" s="105">
        <v>24969.599999999999</v>
      </c>
      <c r="F45" s="105">
        <v>41.235993507465921</v>
      </c>
      <c r="G45" s="105">
        <v>42901.92764516754</v>
      </c>
      <c r="H45" s="105">
        <v>47.066481779388653</v>
      </c>
      <c r="I45" s="105">
        <v>48967.967643275944</v>
      </c>
      <c r="J45" s="105">
        <v>39.441964082679547</v>
      </c>
      <c r="K45" s="105">
        <v>41035.419431619797</v>
      </c>
      <c r="L45" s="105">
        <v>25.280716809597234</v>
      </c>
      <c r="M45" s="105">
        <v>26302.057768704959</v>
      </c>
      <c r="N45" s="105">
        <v>36.176183071518871</v>
      </c>
      <c r="O45" s="105">
        <v>37637.700867608226</v>
      </c>
      <c r="P45" s="105">
        <v>34.98927312578477</v>
      </c>
      <c r="Q45" s="105">
        <v>36402.839760066468</v>
      </c>
      <c r="R45" s="105">
        <v>45.136374260022066</v>
      </c>
      <c r="S45" s="105">
        <v>46959.883780126955</v>
      </c>
      <c r="T45" s="105">
        <v>31</v>
      </c>
      <c r="U45" s="105">
        <v>32252.399999999994</v>
      </c>
      <c r="V45" s="105">
        <v>39.745286451015623</v>
      </c>
      <c r="W45" s="105">
        <v>41350.996023636646</v>
      </c>
      <c r="X45" s="105">
        <v>23</v>
      </c>
      <c r="Y45" s="105">
        <v>23929.199999999997</v>
      </c>
      <c r="Z45" s="105">
        <v>48</v>
      </c>
      <c r="AA45" s="105">
        <v>49939.199999999997</v>
      </c>
      <c r="AB45" s="105">
        <v>34.268293316326613</v>
      </c>
      <c r="AC45" s="105">
        <v>35652.732366306205</v>
      </c>
      <c r="AD45" s="105">
        <v>31</v>
      </c>
      <c r="AE45" s="105">
        <v>32252.399999999994</v>
      </c>
      <c r="AF45" s="105">
        <v>29</v>
      </c>
      <c r="AG45" s="105">
        <v>30171.599999999995</v>
      </c>
      <c r="AH45" s="105">
        <v>30.373475595326301</v>
      </c>
      <c r="AI45" s="105">
        <v>31600.564009377478</v>
      </c>
      <c r="AJ45" s="105">
        <v>30</v>
      </c>
      <c r="AK45" s="105">
        <v>31211.999999999996</v>
      </c>
      <c r="AL45" s="105">
        <v>30</v>
      </c>
      <c r="AM45" s="105">
        <v>31211.999999999996</v>
      </c>
      <c r="AN45" s="105">
        <v>44.608093921366454</v>
      </c>
      <c r="AO45" s="105">
        <v>46410.260915789651</v>
      </c>
      <c r="AP45" s="105">
        <v>36</v>
      </c>
      <c r="AQ45" s="105">
        <v>37454.399999999994</v>
      </c>
      <c r="AR45" s="105">
        <v>33.627106110798763</v>
      </c>
      <c r="AS45" s="105">
        <v>34985.641197675031</v>
      </c>
      <c r="AT45" s="105">
        <v>38.309898086807884</v>
      </c>
      <c r="AU45" s="105">
        <v>39857.617969514919</v>
      </c>
      <c r="AV45" s="105">
        <v>26</v>
      </c>
      <c r="AW45" s="105">
        <v>27050.399999999998</v>
      </c>
      <c r="AX45" s="105">
        <v>33</v>
      </c>
      <c r="AY45" s="105">
        <v>34333.199999999997</v>
      </c>
      <c r="AZ45" s="105">
        <v>40.333705125639156</v>
      </c>
      <c r="BA45" s="105">
        <v>41963.186812714972</v>
      </c>
      <c r="BB45" s="105">
        <v>38.388189702383862</v>
      </c>
      <c r="BC45" s="105">
        <v>39939.072566360162</v>
      </c>
      <c r="BD45" s="105">
        <v>32.074755601660371</v>
      </c>
      <c r="BE45" s="105">
        <v>33370.575727967444</v>
      </c>
      <c r="BF45" s="105">
        <v>33.035416005515593</v>
      </c>
      <c r="BG45" s="105">
        <v>34370.046812138418</v>
      </c>
      <c r="BH45" s="105">
        <v>39.75431850492285</v>
      </c>
      <c r="BI45" s="105">
        <v>41360.392972521724</v>
      </c>
      <c r="BJ45" s="105">
        <v>36.145692029522891</v>
      </c>
      <c r="BK45" s="105">
        <v>37605.977987515609</v>
      </c>
      <c r="BL45" s="105">
        <v>24</v>
      </c>
      <c r="BM45" s="105">
        <v>24969.599999999999</v>
      </c>
      <c r="BN45" s="105">
        <v>26</v>
      </c>
      <c r="BO45" s="105">
        <v>27050.399999999998</v>
      </c>
      <c r="BP45" s="105">
        <v>34</v>
      </c>
      <c r="BQ45" s="105">
        <v>35373.599999999999</v>
      </c>
      <c r="BR45" s="105">
        <v>39</v>
      </c>
      <c r="BS45" s="105">
        <v>40575.599999999991</v>
      </c>
      <c r="BT45" s="105">
        <v>47</v>
      </c>
      <c r="BU45" s="105">
        <v>48898.799999999996</v>
      </c>
      <c r="BV45" s="105">
        <v>36.337901361838142</v>
      </c>
      <c r="BW45" s="105">
        <v>37805.952576856398</v>
      </c>
      <c r="BX45" s="105">
        <v>29</v>
      </c>
      <c r="BY45" s="105">
        <v>30171.599999999995</v>
      </c>
      <c r="BZ45" s="105">
        <v>37</v>
      </c>
      <c r="CA45" s="105">
        <v>38494.799999999996</v>
      </c>
      <c r="CB45" s="105">
        <v>33</v>
      </c>
      <c r="CC45" s="105">
        <v>34333.199999999997</v>
      </c>
      <c r="CD45" s="105">
        <v>39.364980378876588</v>
      </c>
      <c r="CE45" s="105">
        <v>40955.3255861832</v>
      </c>
      <c r="CF45" s="105">
        <v>42.79182963340461</v>
      </c>
      <c r="CG45" s="105">
        <v>44520.61955059415</v>
      </c>
      <c r="CH45" s="105">
        <v>35.430350496054075</v>
      </c>
      <c r="CI45" s="105">
        <v>36861.736656094654</v>
      </c>
      <c r="CJ45" s="105">
        <v>39.969793944201008</v>
      </c>
      <c r="CK45" s="105">
        <v>41584.573619546725</v>
      </c>
      <c r="CL45" s="105">
        <v>37</v>
      </c>
      <c r="CM45" s="105">
        <v>38494.799999999996</v>
      </c>
      <c r="CN45" s="105">
        <v>23</v>
      </c>
      <c r="CO45" s="105">
        <v>23929.199999999997</v>
      </c>
      <c r="CP45" s="105">
        <v>26.806599686383809</v>
      </c>
      <c r="CQ45" s="105">
        <v>27889.586313713709</v>
      </c>
      <c r="CR45" s="105">
        <v>40.906901929593523</v>
      </c>
      <c r="CS45" s="105">
        <v>42559.540767549093</v>
      </c>
      <c r="CT45" s="105">
        <v>36.313970814895555</v>
      </c>
      <c r="CU45" s="105">
        <v>37781.05523581733</v>
      </c>
    </row>
    <row r="46" spans="2:99" x14ac:dyDescent="0.2">
      <c r="C46" s="104" t="s">
        <v>212</v>
      </c>
      <c r="D46" s="105">
        <v>24</v>
      </c>
      <c r="E46" s="105">
        <v>24422.399999999994</v>
      </c>
      <c r="F46" s="105">
        <v>37.570571862357838</v>
      </c>
      <c r="G46" s="105">
        <v>38231.813927135328</v>
      </c>
      <c r="H46" s="105">
        <v>43.224320001479377</v>
      </c>
      <c r="I46" s="105">
        <v>43985.068033505406</v>
      </c>
      <c r="J46" s="105">
        <v>36.555966710776161</v>
      </c>
      <c r="K46" s="105">
        <v>37199.351724885812</v>
      </c>
      <c r="L46" s="105">
        <v>26.253052071504818</v>
      </c>
      <c r="M46" s="105">
        <v>26715.105787963297</v>
      </c>
      <c r="N46" s="105">
        <v>35.389744309094539</v>
      </c>
      <c r="O46" s="105">
        <v>36012.603808934597</v>
      </c>
      <c r="P46" s="105">
        <v>37.680755673922057</v>
      </c>
      <c r="Q46" s="105">
        <v>38343.936973783078</v>
      </c>
      <c r="R46" s="105">
        <v>42.192697677846709</v>
      </c>
      <c r="S46" s="105">
        <v>42935.289156976803</v>
      </c>
      <c r="T46" s="105">
        <v>34</v>
      </c>
      <c r="U46" s="105">
        <v>34598.399999999994</v>
      </c>
      <c r="V46" s="105">
        <v>37.758022128464845</v>
      </c>
      <c r="W46" s="105">
        <v>38422.563317925815</v>
      </c>
      <c r="X46" s="105">
        <v>25</v>
      </c>
      <c r="Y46" s="105">
        <v>25439.999999999996</v>
      </c>
      <c r="Z46" s="105">
        <v>47</v>
      </c>
      <c r="AA46" s="105">
        <v>47827.19999999999</v>
      </c>
      <c r="AB46" s="105">
        <v>30.661104546186966</v>
      </c>
      <c r="AC46" s="105">
        <v>31200.739986199849</v>
      </c>
      <c r="AD46" s="105">
        <v>27</v>
      </c>
      <c r="AE46" s="105">
        <v>27475.199999999993</v>
      </c>
      <c r="AF46" s="105">
        <v>29</v>
      </c>
      <c r="AG46" s="105">
        <v>29510.399999999994</v>
      </c>
      <c r="AH46" s="105">
        <v>35.046317994607271</v>
      </c>
      <c r="AI46" s="105">
        <v>35663.13319131235</v>
      </c>
      <c r="AJ46" s="105">
        <v>27</v>
      </c>
      <c r="AK46" s="105">
        <v>27475.199999999993</v>
      </c>
      <c r="AL46" s="105">
        <v>36</v>
      </c>
      <c r="AM46" s="105">
        <v>36633.599999999991</v>
      </c>
      <c r="AN46" s="105">
        <v>40.642930017244993</v>
      </c>
      <c r="AO46" s="105">
        <v>41358.245585548495</v>
      </c>
      <c r="AP46" s="105">
        <v>35</v>
      </c>
      <c r="AQ46" s="105">
        <v>35615.999999999993</v>
      </c>
      <c r="AR46" s="105">
        <v>33.627106110798763</v>
      </c>
      <c r="AS46" s="105">
        <v>34218.943178348818</v>
      </c>
      <c r="AT46" s="105">
        <v>37.397757656169603</v>
      </c>
      <c r="AU46" s="105">
        <v>38055.95819091818</v>
      </c>
      <c r="AV46" s="105">
        <v>26</v>
      </c>
      <c r="AW46" s="105">
        <v>26457.599999999995</v>
      </c>
      <c r="AX46" s="105">
        <v>36</v>
      </c>
      <c r="AY46" s="105">
        <v>36633.599999999991</v>
      </c>
      <c r="AZ46" s="105">
        <v>43.147684553009327</v>
      </c>
      <c r="BA46" s="105">
        <v>43907.083801142282</v>
      </c>
      <c r="BB46" s="105">
        <v>39.260648559256218</v>
      </c>
      <c r="BC46" s="105">
        <v>39951.635973899116</v>
      </c>
      <c r="BD46" s="105">
        <v>27.619928434763096</v>
      </c>
      <c r="BE46" s="105">
        <v>28106.039175214923</v>
      </c>
      <c r="BF46" s="105">
        <v>35.713963249206046</v>
      </c>
      <c r="BG46" s="105">
        <v>36342.529002392068</v>
      </c>
      <c r="BH46" s="105">
        <v>36.297421243625209</v>
      </c>
      <c r="BI46" s="105">
        <v>36936.255857513002</v>
      </c>
      <c r="BJ46" s="105">
        <v>34.29206679723967</v>
      </c>
      <c r="BK46" s="105">
        <v>34895.607172871081</v>
      </c>
      <c r="BL46" s="105">
        <v>28</v>
      </c>
      <c r="BM46" s="105">
        <v>28492.799999999996</v>
      </c>
      <c r="BN46" s="105">
        <v>26</v>
      </c>
      <c r="BO46" s="105">
        <v>26457.599999999995</v>
      </c>
      <c r="BP46" s="105">
        <v>39</v>
      </c>
      <c r="BQ46" s="105">
        <v>39686.399999999994</v>
      </c>
      <c r="BR46" s="105">
        <v>36</v>
      </c>
      <c r="BS46" s="105">
        <v>36633.599999999991</v>
      </c>
      <c r="BT46" s="105">
        <v>49</v>
      </c>
      <c r="BU46" s="105">
        <v>49862.399999999987</v>
      </c>
      <c r="BV46" s="105">
        <v>41.655643024546166</v>
      </c>
      <c r="BW46" s="105">
        <v>42388.782341778169</v>
      </c>
      <c r="BX46" s="105">
        <v>28</v>
      </c>
      <c r="BY46" s="105">
        <v>28492.799999999996</v>
      </c>
      <c r="BZ46" s="105">
        <v>38</v>
      </c>
      <c r="CA46" s="105">
        <v>38668.799999999996</v>
      </c>
      <c r="CB46" s="105">
        <v>34</v>
      </c>
      <c r="CC46" s="105">
        <v>34598.399999999994</v>
      </c>
      <c r="CD46" s="105">
        <v>38.470321733902118</v>
      </c>
      <c r="CE46" s="105">
        <v>39147.39939641879</v>
      </c>
      <c r="CF46" s="105">
        <v>40.001058135573878</v>
      </c>
      <c r="CG46" s="105">
        <v>40705.076758759969</v>
      </c>
      <c r="CH46" s="105">
        <v>33.658832971251371</v>
      </c>
      <c r="CI46" s="105">
        <v>34251.228431545387</v>
      </c>
      <c r="CJ46" s="105">
        <v>39.969793944201008</v>
      </c>
      <c r="CK46" s="105">
        <v>40673.262317618937</v>
      </c>
      <c r="CL46" s="105">
        <v>39</v>
      </c>
      <c r="CM46" s="105">
        <v>39686.399999999994</v>
      </c>
      <c r="CN46" s="105">
        <v>24</v>
      </c>
      <c r="CO46" s="105">
        <v>24422.399999999994</v>
      </c>
      <c r="CP46" s="105">
        <v>31.274366300781111</v>
      </c>
      <c r="CQ46" s="105">
        <v>31824.795147674853</v>
      </c>
      <c r="CR46" s="105">
        <v>38.45248781381791</v>
      </c>
      <c r="CS46" s="105">
        <v>39129.2515993411</v>
      </c>
      <c r="CT46" s="105">
        <v>37.245098271687752</v>
      </c>
      <c r="CU46" s="105">
        <v>37900.612001269452</v>
      </c>
    </row>
    <row r="47" spans="2:99" x14ac:dyDescent="0.2">
      <c r="C47" s="104" t="s">
        <v>213</v>
      </c>
      <c r="D47" s="105">
        <v>27</v>
      </c>
      <c r="E47" s="105">
        <v>35575.199999999997</v>
      </c>
      <c r="F47" s="105">
        <v>36.654216451080821</v>
      </c>
      <c r="G47" s="105">
        <v>48295.595595944083</v>
      </c>
      <c r="H47" s="105">
        <v>41.303239112524743</v>
      </c>
      <c r="I47" s="105">
        <v>54421.147854662595</v>
      </c>
      <c r="J47" s="105">
        <v>35.593967586808368</v>
      </c>
      <c r="K47" s="105">
        <v>46898.611692378705</v>
      </c>
      <c r="L47" s="105">
        <v>26.253052071504818</v>
      </c>
      <c r="M47" s="105">
        <v>34591.021409414745</v>
      </c>
      <c r="N47" s="105">
        <v>36.176183071518871</v>
      </c>
      <c r="O47" s="105">
        <v>47665.738815033263</v>
      </c>
      <c r="P47" s="105">
        <v>31.400629728268385</v>
      </c>
      <c r="Q47" s="105">
        <v>41373.469729966419</v>
      </c>
      <c r="R47" s="105">
        <v>41.211472150454931</v>
      </c>
      <c r="S47" s="105">
        <v>54300.235705439416</v>
      </c>
      <c r="T47" s="105">
        <v>29</v>
      </c>
      <c r="U47" s="105">
        <v>38210.399999999994</v>
      </c>
      <c r="V47" s="105">
        <v>38.751654289740237</v>
      </c>
      <c r="W47" s="105">
        <v>51059.179692161735</v>
      </c>
      <c r="X47" s="105">
        <v>23</v>
      </c>
      <c r="Y47" s="105">
        <v>30304.799999999999</v>
      </c>
      <c r="Z47" s="105">
        <v>45</v>
      </c>
      <c r="AA47" s="105">
        <v>59291.999999999993</v>
      </c>
      <c r="AB47" s="105">
        <v>30.661104546186966</v>
      </c>
      <c r="AC47" s="105">
        <v>40399.071350055943</v>
      </c>
      <c r="AD47" s="105">
        <v>29</v>
      </c>
      <c r="AE47" s="105">
        <v>38210.399999999994</v>
      </c>
      <c r="AF47" s="105">
        <v>29</v>
      </c>
      <c r="AG47" s="105">
        <v>38210.399999999994</v>
      </c>
      <c r="AH47" s="105">
        <v>31.152282661873127</v>
      </c>
      <c r="AI47" s="105">
        <v>41046.247635284031</v>
      </c>
      <c r="AJ47" s="105">
        <v>30</v>
      </c>
      <c r="AK47" s="105">
        <v>39528</v>
      </c>
      <c r="AL47" s="105">
        <v>30</v>
      </c>
      <c r="AM47" s="105">
        <v>39528</v>
      </c>
      <c r="AN47" s="105">
        <v>35.686475137093161</v>
      </c>
      <c r="AO47" s="105">
        <v>47020.499640633949</v>
      </c>
      <c r="AP47" s="105">
        <v>35</v>
      </c>
      <c r="AQ47" s="105">
        <v>46116</v>
      </c>
      <c r="AR47" s="105">
        <v>27.74236254140898</v>
      </c>
      <c r="AS47" s="105">
        <v>36553.336884560471</v>
      </c>
      <c r="AT47" s="105">
        <v>35.573476794893033</v>
      </c>
      <c r="AU47" s="105">
        <v>46871.613024951053</v>
      </c>
      <c r="AV47" s="105">
        <v>23</v>
      </c>
      <c r="AW47" s="105">
        <v>30304.799999999999</v>
      </c>
      <c r="AX47" s="105">
        <v>38</v>
      </c>
      <c r="AY47" s="105">
        <v>50068.799999999996</v>
      </c>
      <c r="AZ47" s="105">
        <v>43.147684553009327</v>
      </c>
      <c r="BA47" s="105">
        <v>56851.389167045083</v>
      </c>
      <c r="BB47" s="105">
        <v>34.898354274894423</v>
      </c>
      <c r="BC47" s="105">
        <v>45982.071592600885</v>
      </c>
      <c r="BD47" s="105">
        <v>27.619928434763096</v>
      </c>
      <c r="BE47" s="105">
        <v>36392.017705643855</v>
      </c>
      <c r="BF47" s="105">
        <v>32.14256692428544</v>
      </c>
      <c r="BG47" s="105">
        <v>42351.04617943849</v>
      </c>
      <c r="BH47" s="105">
        <v>38.890094189598436</v>
      </c>
      <c r="BI47" s="105">
        <v>51241.588104214898</v>
      </c>
      <c r="BJ47" s="105">
        <v>33.365254181098052</v>
      </c>
      <c r="BK47" s="105">
        <v>43962.058909014791</v>
      </c>
      <c r="BL47" s="105">
        <v>23</v>
      </c>
      <c r="BM47" s="105">
        <v>30304.799999999999</v>
      </c>
      <c r="BN47" s="105">
        <v>29</v>
      </c>
      <c r="BO47" s="105">
        <v>38210.399999999994</v>
      </c>
      <c r="BP47" s="105">
        <v>39</v>
      </c>
      <c r="BQ47" s="105">
        <v>51386.399999999994</v>
      </c>
      <c r="BR47" s="105">
        <v>36</v>
      </c>
      <c r="BS47" s="105">
        <v>47433.599999999999</v>
      </c>
      <c r="BT47" s="105">
        <v>46</v>
      </c>
      <c r="BU47" s="105">
        <v>60609.599999999999</v>
      </c>
      <c r="BV47" s="105">
        <v>40.769352747428151</v>
      </c>
      <c r="BW47" s="105">
        <v>53717.699180011325</v>
      </c>
      <c r="BX47" s="105">
        <v>25</v>
      </c>
      <c r="BY47" s="105">
        <v>32940</v>
      </c>
      <c r="BZ47" s="105">
        <v>40</v>
      </c>
      <c r="CA47" s="105">
        <v>52704</v>
      </c>
      <c r="CB47" s="105">
        <v>35</v>
      </c>
      <c r="CC47" s="105">
        <v>46116</v>
      </c>
      <c r="CD47" s="105">
        <v>37.575663088927648</v>
      </c>
      <c r="CE47" s="105">
        <v>49509.693685971062</v>
      </c>
      <c r="CF47" s="105">
        <v>39.070800969630298</v>
      </c>
      <c r="CG47" s="105">
        <v>51479.68735758488</v>
      </c>
      <c r="CH47" s="105">
        <v>35.430350496054075</v>
      </c>
      <c r="CI47" s="105">
        <v>46683.029813600842</v>
      </c>
      <c r="CJ47" s="105">
        <v>39.969793944201008</v>
      </c>
      <c r="CK47" s="105">
        <v>52664.200500879248</v>
      </c>
      <c r="CL47" s="105">
        <v>39</v>
      </c>
      <c r="CM47" s="105">
        <v>51386.399999999994</v>
      </c>
      <c r="CN47" s="105">
        <v>25</v>
      </c>
      <c r="CO47" s="105">
        <v>32940</v>
      </c>
      <c r="CP47" s="105">
        <v>29.487259655022193</v>
      </c>
      <c r="CQ47" s="105">
        <v>38852.413321457236</v>
      </c>
      <c r="CR47" s="105">
        <v>33.543659582266692</v>
      </c>
      <c r="CS47" s="105">
        <v>44197.125865594593</v>
      </c>
      <c r="CT47" s="105">
        <v>34.451715901311168</v>
      </c>
      <c r="CU47" s="105">
        <v>45393.580871567588</v>
      </c>
    </row>
    <row r="48" spans="2:99" x14ac:dyDescent="0.2">
      <c r="C48" s="104" t="s">
        <v>214</v>
      </c>
      <c r="D48" s="105">
        <v>25</v>
      </c>
      <c r="E48" s="105">
        <v>16440</v>
      </c>
      <c r="F48" s="105">
        <v>37.570571862357838</v>
      </c>
      <c r="G48" s="105">
        <v>24706.408056686516</v>
      </c>
      <c r="H48" s="105">
        <v>48.987562668343294</v>
      </c>
      <c r="I48" s="105">
        <v>32214.221210702552</v>
      </c>
      <c r="J48" s="105">
        <v>37.517965834743961</v>
      </c>
      <c r="K48" s="105">
        <v>24671.814332927628</v>
      </c>
      <c r="L48" s="105">
        <v>31.114728381042749</v>
      </c>
      <c r="M48" s="105">
        <v>20461.045383373712</v>
      </c>
      <c r="N48" s="105">
        <v>38.535499358791832</v>
      </c>
      <c r="O48" s="105">
        <v>25340.944378341508</v>
      </c>
      <c r="P48" s="105">
        <v>39.475077372680254</v>
      </c>
      <c r="Q48" s="105">
        <v>25958.810880274537</v>
      </c>
      <c r="R48" s="105">
        <v>45.136374260022066</v>
      </c>
      <c r="S48" s="105">
        <v>29681.679713390513</v>
      </c>
      <c r="T48" s="105">
        <v>35</v>
      </c>
      <c r="U48" s="105">
        <v>23016</v>
      </c>
      <c r="V48" s="105">
        <v>39.745286451015623</v>
      </c>
      <c r="W48" s="105">
        <v>26136.500370187874</v>
      </c>
      <c r="X48" s="105">
        <v>24</v>
      </c>
      <c r="Y48" s="105">
        <v>15782.400000000001</v>
      </c>
      <c r="Z48" s="105">
        <v>47</v>
      </c>
      <c r="AA48" s="105">
        <v>30907.200000000001</v>
      </c>
      <c r="AB48" s="105">
        <v>34.268293316326613</v>
      </c>
      <c r="AC48" s="105">
        <v>22534.829684816381</v>
      </c>
      <c r="AD48" s="105">
        <v>33</v>
      </c>
      <c r="AE48" s="105">
        <v>21700.799999999999</v>
      </c>
      <c r="AF48" s="105">
        <v>28</v>
      </c>
      <c r="AG48" s="105">
        <v>18412.8</v>
      </c>
      <c r="AH48" s="105">
        <v>31.152282661873127</v>
      </c>
      <c r="AI48" s="105">
        <v>20485.741078447769</v>
      </c>
      <c r="AJ48" s="105">
        <v>32</v>
      </c>
      <c r="AK48" s="105">
        <v>21043.200000000001</v>
      </c>
      <c r="AL48" s="105">
        <v>32</v>
      </c>
      <c r="AM48" s="105">
        <v>21043.200000000001</v>
      </c>
      <c r="AN48" s="105">
        <v>40.642930017244993</v>
      </c>
      <c r="AO48" s="105">
        <v>26726.790779340306</v>
      </c>
      <c r="AP48" s="105">
        <v>32</v>
      </c>
      <c r="AQ48" s="105">
        <v>21043.200000000001</v>
      </c>
      <c r="AR48" s="105">
        <v>31.945750805258822</v>
      </c>
      <c r="AS48" s="105">
        <v>21007.525729538203</v>
      </c>
      <c r="AT48" s="105">
        <v>40.134178948084447</v>
      </c>
      <c r="AU48" s="105">
        <v>26392.236076260335</v>
      </c>
      <c r="AV48" s="105">
        <v>23</v>
      </c>
      <c r="AW48" s="105">
        <v>15124.800000000001</v>
      </c>
      <c r="AX48" s="105">
        <v>36</v>
      </c>
      <c r="AY48" s="105">
        <v>23673.600000000002</v>
      </c>
      <c r="AZ48" s="105">
        <v>42.209691410552601</v>
      </c>
      <c r="BA48" s="105">
        <v>27757.093071579391</v>
      </c>
      <c r="BB48" s="105">
        <v>41.005566273000937</v>
      </c>
      <c r="BC48" s="105">
        <v>26965.260381125416</v>
      </c>
      <c r="BD48" s="105">
        <v>29.401859301522009</v>
      </c>
      <c r="BE48" s="105">
        <v>19334.662676680873</v>
      </c>
      <c r="BF48" s="105">
        <v>33.928265086745739</v>
      </c>
      <c r="BG48" s="105">
        <v>22311.227121043998</v>
      </c>
      <c r="BH48" s="105">
        <v>44.07544008154489</v>
      </c>
      <c r="BI48" s="105">
        <v>28984.009397623922</v>
      </c>
      <c r="BJ48" s="105">
        <v>33.365254181098052</v>
      </c>
      <c r="BK48" s="105">
        <v>21940.991149490081</v>
      </c>
      <c r="BL48" s="105">
        <v>25</v>
      </c>
      <c r="BM48" s="105">
        <v>16440</v>
      </c>
      <c r="BN48" s="105">
        <v>27</v>
      </c>
      <c r="BO48" s="105">
        <v>17755.2</v>
      </c>
      <c r="BP48" s="105">
        <v>43</v>
      </c>
      <c r="BQ48" s="105">
        <v>28276.799999999999</v>
      </c>
      <c r="BR48" s="105">
        <v>37</v>
      </c>
      <c r="BS48" s="105">
        <v>24331.200000000001</v>
      </c>
      <c r="BT48" s="105">
        <v>47</v>
      </c>
      <c r="BU48" s="105">
        <v>30907.200000000001</v>
      </c>
      <c r="BV48" s="105">
        <v>38.99677219319215</v>
      </c>
      <c r="BW48" s="105">
        <v>25644.27739424316</v>
      </c>
      <c r="BX48" s="105">
        <v>27</v>
      </c>
      <c r="BY48" s="105">
        <v>17755.2</v>
      </c>
      <c r="BZ48" s="105">
        <v>45</v>
      </c>
      <c r="CA48" s="105">
        <v>29592</v>
      </c>
      <c r="CB48" s="105">
        <v>38</v>
      </c>
      <c r="CC48" s="105">
        <v>24988.799999999999</v>
      </c>
      <c r="CD48" s="105">
        <v>39.364980378876588</v>
      </c>
      <c r="CE48" s="105">
        <v>25886.411097149245</v>
      </c>
      <c r="CF48" s="105">
        <v>51.164144126896815</v>
      </c>
      <c r="CG48" s="105">
        <v>33645.54117784735</v>
      </c>
      <c r="CH48" s="105">
        <v>34.544591733652723</v>
      </c>
      <c r="CI48" s="105">
        <v>22716.52352405003</v>
      </c>
      <c r="CJ48" s="105">
        <v>39.100885380196644</v>
      </c>
      <c r="CK48" s="105">
        <v>25712.742226017315</v>
      </c>
      <c r="CL48" s="105">
        <v>43</v>
      </c>
      <c r="CM48" s="105">
        <v>28276.799999999999</v>
      </c>
      <c r="CN48" s="105">
        <v>26</v>
      </c>
      <c r="CO48" s="105">
        <v>17097.600000000002</v>
      </c>
      <c r="CP48" s="105">
        <v>33.955026269419491</v>
      </c>
      <c r="CQ48" s="105">
        <v>22328.825274770257</v>
      </c>
      <c r="CR48" s="105">
        <v>37.634349775226042</v>
      </c>
      <c r="CS48" s="105">
        <v>24748.348412188647</v>
      </c>
      <c r="CT48" s="105">
        <v>43.762990469233102</v>
      </c>
      <c r="CU48" s="105">
        <v>28778.542532567688</v>
      </c>
    </row>
    <row r="49" spans="2:99" x14ac:dyDescent="0.2">
      <c r="B49" s="104" t="s">
        <v>129</v>
      </c>
      <c r="C49" s="104" t="s">
        <v>215</v>
      </c>
      <c r="D49" s="105">
        <v>25.414622297347492</v>
      </c>
      <c r="E49" s="105">
        <v>15035.290551110777</v>
      </c>
      <c r="F49" s="105">
        <v>28.344637135833189</v>
      </c>
      <c r="G49" s="105">
        <v>16768.687329558914</v>
      </c>
      <c r="H49" s="105">
        <v>24.436568969189572</v>
      </c>
      <c r="I49" s="105">
        <v>14456.674202172551</v>
      </c>
      <c r="J49" s="105">
        <v>23.202214179647726</v>
      </c>
      <c r="K49" s="105">
        <v>13726.429908679595</v>
      </c>
      <c r="L49" s="105">
        <v>39.300263244550806</v>
      </c>
      <c r="M49" s="105">
        <v>23250.035735476256</v>
      </c>
      <c r="N49" s="105">
        <v>41.641198705154466</v>
      </c>
      <c r="O49" s="105">
        <v>24634.933153969381</v>
      </c>
      <c r="P49" s="105">
        <v>41.332430816482635</v>
      </c>
      <c r="Q49" s="105">
        <v>24452.266071031128</v>
      </c>
      <c r="R49" s="105">
        <v>42.173814428966331</v>
      </c>
      <c r="S49" s="105">
        <v>24950.028616176482</v>
      </c>
      <c r="T49" s="105">
        <v>28.346185621344699</v>
      </c>
      <c r="U49" s="105">
        <v>16769.603413587523</v>
      </c>
      <c r="V49" s="105">
        <v>32.132914436977948</v>
      </c>
      <c r="W49" s="105">
        <v>19009.832180916153</v>
      </c>
      <c r="X49" s="105">
        <v>28.03068562521517</v>
      </c>
      <c r="Y49" s="105">
        <v>16582.953615877297</v>
      </c>
      <c r="Z49" s="105">
        <v>41.681710593915952</v>
      </c>
      <c r="AA49" s="105">
        <v>24658.899987360677</v>
      </c>
      <c r="AB49" s="105">
        <v>34.66922806957939</v>
      </c>
      <c r="AC49" s="105">
        <v>20510.315325963169</v>
      </c>
      <c r="AD49" s="105">
        <v>25.15580559252318</v>
      </c>
      <c r="AE49" s="105">
        <v>14882.174588536715</v>
      </c>
      <c r="AF49" s="105">
        <v>41.654969931458908</v>
      </c>
      <c r="AG49" s="105">
        <v>24643.080211451092</v>
      </c>
      <c r="AH49" s="105">
        <v>42.368277943715228</v>
      </c>
      <c r="AI49" s="105">
        <v>25065.07323150193</v>
      </c>
      <c r="AJ49" s="105">
        <v>39.981906266138566</v>
      </c>
      <c r="AK49" s="105">
        <v>23653.295747047578</v>
      </c>
      <c r="AL49" s="105">
        <v>45.402323057288882</v>
      </c>
      <c r="AM49" s="105">
        <v>26860.014320692102</v>
      </c>
      <c r="AN49" s="105">
        <v>23.96791883850652</v>
      </c>
      <c r="AO49" s="105">
        <v>14179.420784860458</v>
      </c>
      <c r="AP49" s="105">
        <v>36.12845530409129</v>
      </c>
      <c r="AQ49" s="105">
        <v>21373.594157900407</v>
      </c>
      <c r="AR49" s="105">
        <v>40.111012084107053</v>
      </c>
      <c r="AS49" s="105">
        <v>23729.674748957732</v>
      </c>
      <c r="AT49" s="105">
        <v>32.542896596539684</v>
      </c>
      <c r="AU49" s="105">
        <v>19252.377626512876</v>
      </c>
      <c r="AV49" s="105">
        <v>43.703059368745926</v>
      </c>
      <c r="AW49" s="105">
        <v>25854.72992255009</v>
      </c>
      <c r="AX49" s="105">
        <v>33.289367402055198</v>
      </c>
      <c r="AY49" s="105">
        <v>19693.989755055856</v>
      </c>
      <c r="AZ49" s="105">
        <v>44.286698603275887</v>
      </c>
      <c r="BA49" s="105">
        <v>26200.010893698018</v>
      </c>
      <c r="BB49" s="105">
        <v>27.185820993023381</v>
      </c>
      <c r="BC49" s="105">
        <v>16083.131699472633</v>
      </c>
      <c r="BD49" s="105">
        <v>40.025662224439536</v>
      </c>
      <c r="BE49" s="105">
        <v>23679.18177197843</v>
      </c>
      <c r="BF49" s="105">
        <v>34.502426216418144</v>
      </c>
      <c r="BG49" s="105">
        <v>20411.635349632976</v>
      </c>
      <c r="BH49" s="105">
        <v>31.763390961048934</v>
      </c>
      <c r="BI49" s="105">
        <v>18791.222092556549</v>
      </c>
      <c r="BJ49" s="105">
        <v>21.553975398318229</v>
      </c>
      <c r="BK49" s="105">
        <v>12751.331845645065</v>
      </c>
      <c r="BL49" s="105">
        <v>28.308333268469081</v>
      </c>
      <c r="BM49" s="105">
        <v>16747.209961626308</v>
      </c>
      <c r="BN49" s="105">
        <v>25.872619108039263</v>
      </c>
      <c r="BO49" s="105">
        <v>15306.241464316028</v>
      </c>
      <c r="BP49" s="105">
        <v>33.066330722053507</v>
      </c>
      <c r="BQ49" s="105">
        <v>19562.041255166856</v>
      </c>
      <c r="BR49" s="105">
        <v>30.866664012844307</v>
      </c>
      <c r="BS49" s="105">
        <v>18260.718429998691</v>
      </c>
      <c r="BT49" s="105">
        <v>24.130422702243422</v>
      </c>
      <c r="BU49" s="105">
        <v>14275.558070647208</v>
      </c>
      <c r="BV49" s="105">
        <v>34.610495001003358</v>
      </c>
      <c r="BW49" s="105">
        <v>20475.568842593588</v>
      </c>
      <c r="BX49" s="105">
        <v>31.989908607432554</v>
      </c>
      <c r="BY49" s="105">
        <v>18925.229932157101</v>
      </c>
      <c r="BZ49" s="105">
        <v>32.283437777518529</v>
      </c>
      <c r="CA49" s="105">
        <v>19098.881789179963</v>
      </c>
      <c r="CB49" s="105">
        <v>34.534337338881066</v>
      </c>
      <c r="CC49" s="105">
        <v>20430.513969682041</v>
      </c>
      <c r="CD49" s="105">
        <v>28.431440601870374</v>
      </c>
      <c r="CE49" s="105">
        <v>16820.040260066515</v>
      </c>
      <c r="CF49" s="105">
        <v>33.15506771105597</v>
      </c>
      <c r="CG49" s="105">
        <v>19614.538057860715</v>
      </c>
      <c r="CH49" s="105">
        <v>52.758573475918162</v>
      </c>
      <c r="CI49" s="105">
        <v>31211.972068353185</v>
      </c>
      <c r="CJ49" s="105">
        <v>29.087264737287668</v>
      </c>
      <c r="CK49" s="105">
        <v>17208.025818579386</v>
      </c>
      <c r="CL49" s="105">
        <v>22.981548137887579</v>
      </c>
      <c r="CM49" s="105">
        <v>13595.883878374292</v>
      </c>
      <c r="CN49" s="105">
        <v>30.444592241892153</v>
      </c>
      <c r="CO49" s="105">
        <v>18011.020770303399</v>
      </c>
      <c r="CP49" s="105">
        <v>30.35510996910557</v>
      </c>
      <c r="CQ49" s="105">
        <v>17958.083057722855</v>
      </c>
      <c r="CR49" s="105">
        <v>26.082950561360029</v>
      </c>
      <c r="CS49" s="105">
        <v>15430.673552100594</v>
      </c>
      <c r="CT49" s="105">
        <v>42.677727442349052</v>
      </c>
      <c r="CU49" s="105">
        <v>25248.143554893701</v>
      </c>
    </row>
    <row r="50" spans="2:99" x14ac:dyDescent="0.2">
      <c r="C50" s="104" t="s">
        <v>216</v>
      </c>
      <c r="D50" s="105">
        <v>35</v>
      </c>
      <c r="E50" s="105">
        <v>13524</v>
      </c>
      <c r="F50" s="105">
        <v>32.988794805972738</v>
      </c>
      <c r="G50" s="105">
        <v>12746.870313027865</v>
      </c>
      <c r="H50" s="105">
        <v>26.895132445364947</v>
      </c>
      <c r="I50" s="105">
        <v>10392.279176889015</v>
      </c>
      <c r="J50" s="105">
        <v>30.783971966969403</v>
      </c>
      <c r="K50" s="105">
        <v>11894.926768036978</v>
      </c>
      <c r="L50" s="105">
        <v>58.340115714455152</v>
      </c>
      <c r="M50" s="105">
        <v>22542.620712065469</v>
      </c>
      <c r="N50" s="105">
        <v>44.827009458186417</v>
      </c>
      <c r="O50" s="105">
        <v>17321.156454643231</v>
      </c>
      <c r="P50" s="105">
        <v>39.475077372680254</v>
      </c>
      <c r="Q50" s="105">
        <v>15253.169896803649</v>
      </c>
      <c r="R50" s="105">
        <v>45.136374260022066</v>
      </c>
      <c r="S50" s="105">
        <v>17440.695014072524</v>
      </c>
      <c r="T50" s="105">
        <v>42</v>
      </c>
      <c r="U50" s="105">
        <v>16228.8</v>
      </c>
      <c r="V50" s="105">
        <v>50.675240225044924</v>
      </c>
      <c r="W50" s="105">
        <v>19580.912822957358</v>
      </c>
      <c r="X50" s="105">
        <v>37</v>
      </c>
      <c r="Y50" s="105">
        <v>14296.8</v>
      </c>
      <c r="Z50" s="105">
        <v>47</v>
      </c>
      <c r="AA50" s="105">
        <v>18160.8</v>
      </c>
      <c r="AB50" s="105">
        <v>36.973684893931342</v>
      </c>
      <c r="AC50" s="105">
        <v>14286.63184301507</v>
      </c>
      <c r="AD50" s="105">
        <v>35</v>
      </c>
      <c r="AE50" s="105">
        <v>13524</v>
      </c>
      <c r="AF50" s="105">
        <v>51</v>
      </c>
      <c r="AG50" s="105">
        <v>19706.399999999998</v>
      </c>
      <c r="AH50" s="105">
        <v>35.046317994607271</v>
      </c>
      <c r="AI50" s="105">
        <v>13541.897273116248</v>
      </c>
      <c r="AJ50" s="105">
        <v>46</v>
      </c>
      <c r="AK50" s="105">
        <v>17774.399999999998</v>
      </c>
      <c r="AL50" s="105">
        <v>61</v>
      </c>
      <c r="AM50" s="105">
        <v>23570.399999999998</v>
      </c>
      <c r="AN50" s="105">
        <v>34.695184161062798</v>
      </c>
      <c r="AO50" s="105">
        <v>13406.219159834664</v>
      </c>
      <c r="AP50" s="105">
        <v>40</v>
      </c>
      <c r="AQ50" s="105">
        <v>15456</v>
      </c>
      <c r="AR50" s="105">
        <v>43.715237944038385</v>
      </c>
      <c r="AS50" s="105">
        <v>16891.567941576432</v>
      </c>
      <c r="AT50" s="105">
        <v>49.255583254467282</v>
      </c>
      <c r="AU50" s="105">
        <v>19032.357369526158</v>
      </c>
      <c r="AV50" s="105">
        <v>43</v>
      </c>
      <c r="AW50" s="105">
        <v>16615.2</v>
      </c>
      <c r="AX50" s="105">
        <v>42</v>
      </c>
      <c r="AY50" s="105">
        <v>16228.8</v>
      </c>
      <c r="AZ50" s="105">
        <v>47.83765026529295</v>
      </c>
      <c r="BA50" s="105">
        <v>18484.468062509193</v>
      </c>
      <c r="BB50" s="105">
        <v>33.153436561149697</v>
      </c>
      <c r="BC50" s="105">
        <v>12810.487887228242</v>
      </c>
      <c r="BD50" s="105">
        <v>40.093444502075464</v>
      </c>
      <c r="BE50" s="105">
        <v>15492.106955601957</v>
      </c>
      <c r="BF50" s="105">
        <v>51.785246711348769</v>
      </c>
      <c r="BG50" s="105">
        <v>20009.819329265163</v>
      </c>
      <c r="BH50" s="105">
        <v>41.482767135571663</v>
      </c>
      <c r="BI50" s="105">
        <v>16028.94122118489</v>
      </c>
      <c r="BJ50" s="105">
        <v>28.731191100389992</v>
      </c>
      <c r="BK50" s="105">
        <v>11101.732241190692</v>
      </c>
      <c r="BL50" s="105">
        <v>46</v>
      </c>
      <c r="BM50" s="105">
        <v>17774.399999999998</v>
      </c>
      <c r="BN50" s="105">
        <v>42</v>
      </c>
      <c r="BO50" s="105">
        <v>16228.8</v>
      </c>
      <c r="BP50" s="105">
        <v>47</v>
      </c>
      <c r="BQ50" s="105">
        <v>18160.8</v>
      </c>
      <c r="BR50" s="105">
        <v>43</v>
      </c>
      <c r="BS50" s="105">
        <v>16615.2</v>
      </c>
      <c r="BT50" s="105">
        <v>32</v>
      </c>
      <c r="BU50" s="105">
        <v>12364.8</v>
      </c>
      <c r="BV50" s="105">
        <v>39.883062470310158</v>
      </c>
      <c r="BW50" s="105">
        <v>15410.815338527844</v>
      </c>
      <c r="BX50" s="105">
        <v>44</v>
      </c>
      <c r="BY50" s="105">
        <v>17001.599999999999</v>
      </c>
      <c r="BZ50" s="105">
        <v>36</v>
      </c>
      <c r="CA50" s="105">
        <v>13910.4</v>
      </c>
      <c r="CB50" s="105">
        <v>56</v>
      </c>
      <c r="CC50" s="105">
        <v>21638.399999999998</v>
      </c>
      <c r="CD50" s="105">
        <v>29.523735284157439</v>
      </c>
      <c r="CE50" s="105">
        <v>11407.971313798434</v>
      </c>
      <c r="CF50" s="105">
        <v>38.140543803686718</v>
      </c>
      <c r="CG50" s="105">
        <v>14737.506125744547</v>
      </c>
      <c r="CH50" s="105">
        <v>46.059455644870297</v>
      </c>
      <c r="CI50" s="105">
        <v>17797.37366117788</v>
      </c>
      <c r="CJ50" s="105">
        <v>38.231976816192272</v>
      </c>
      <c r="CK50" s="105">
        <v>14772.835841776694</v>
      </c>
      <c r="CL50" s="105">
        <v>33</v>
      </c>
      <c r="CM50" s="105">
        <v>12751.199999999999</v>
      </c>
      <c r="CN50" s="105">
        <v>46</v>
      </c>
      <c r="CO50" s="105">
        <v>17774.399999999998</v>
      </c>
      <c r="CP50" s="105">
        <v>41.997006175334633</v>
      </c>
      <c r="CQ50" s="105">
        <v>16227.643186149302</v>
      </c>
      <c r="CR50" s="105">
        <v>27.816693312123597</v>
      </c>
      <c r="CS50" s="105">
        <v>10748.370295804558</v>
      </c>
      <c r="CT50" s="105">
        <v>42.83186301244092</v>
      </c>
      <c r="CU50" s="105">
        <v>16550.231868007169</v>
      </c>
    </row>
    <row r="51" spans="2:99" x14ac:dyDescent="0.2">
      <c r="C51" s="104" t="s">
        <v>217</v>
      </c>
      <c r="D51" s="105">
        <v>33</v>
      </c>
      <c r="E51" s="105">
        <v>4474.8</v>
      </c>
      <c r="F51" s="105">
        <v>40</v>
      </c>
      <c r="G51" s="105">
        <v>5424</v>
      </c>
      <c r="H51" s="105">
        <v>29</v>
      </c>
      <c r="I51" s="105">
        <v>3932.3999999999996</v>
      </c>
      <c r="J51" s="105">
        <v>28</v>
      </c>
      <c r="K51" s="105">
        <v>3796.7999999999997</v>
      </c>
      <c r="L51" s="105">
        <v>57</v>
      </c>
      <c r="M51" s="105">
        <v>7729.2</v>
      </c>
      <c r="N51" s="105">
        <v>56.842135262289368</v>
      </c>
      <c r="O51" s="105">
        <v>7707.7935415664379</v>
      </c>
      <c r="P51" s="105">
        <v>41.760670893794632</v>
      </c>
      <c r="Q51" s="105">
        <v>5662.746973198552</v>
      </c>
      <c r="R51" s="105">
        <v>48.678188573573344</v>
      </c>
      <c r="S51" s="105">
        <v>6600.7623705765454</v>
      </c>
      <c r="T51" s="105">
        <v>40.585220382339067</v>
      </c>
      <c r="U51" s="105">
        <v>5503.3558838451772</v>
      </c>
      <c r="V51" s="105">
        <v>47.226880016951533</v>
      </c>
      <c r="W51" s="105">
        <v>6403.9649302986272</v>
      </c>
      <c r="X51" s="105">
        <v>38.147201705564648</v>
      </c>
      <c r="Y51" s="105">
        <v>5172.7605512745658</v>
      </c>
      <c r="Z51" s="105">
        <v>44.007510330291367</v>
      </c>
      <c r="AA51" s="105">
        <v>5967.4184007875092</v>
      </c>
      <c r="AB51" s="105">
        <v>41.537171973952411</v>
      </c>
      <c r="AC51" s="105">
        <v>5632.4405196679463</v>
      </c>
      <c r="AD51" s="105">
        <v>34.092897162426041</v>
      </c>
      <c r="AE51" s="105">
        <v>4622.9968552249711</v>
      </c>
      <c r="AF51" s="105">
        <v>53.288476795902305</v>
      </c>
      <c r="AG51" s="105">
        <v>7225.9174535243519</v>
      </c>
      <c r="AH51" s="105">
        <v>41.75004917500037</v>
      </c>
      <c r="AI51" s="105">
        <v>5661.3066681300497</v>
      </c>
      <c r="AJ51" s="105">
        <v>41.590382613023877</v>
      </c>
      <c r="AK51" s="105">
        <v>5639.6558823260375</v>
      </c>
      <c r="AL51" s="105">
        <v>45.394138399671554</v>
      </c>
      <c r="AM51" s="105">
        <v>6155.4451669954624</v>
      </c>
      <c r="AN51" s="105">
        <v>37</v>
      </c>
      <c r="AO51" s="105">
        <v>5017.2</v>
      </c>
      <c r="AP51" s="105">
        <v>42.218854871768627</v>
      </c>
      <c r="AQ51" s="105">
        <v>5724.8767206118255</v>
      </c>
      <c r="AR51" s="105">
        <v>43.861789179966607</v>
      </c>
      <c r="AS51" s="105">
        <v>5947.6586128034714</v>
      </c>
      <c r="AT51" s="105">
        <v>47.306437348399605</v>
      </c>
      <c r="AU51" s="105">
        <v>6414.7529044429866</v>
      </c>
      <c r="AV51" s="105">
        <v>41.76172763147747</v>
      </c>
      <c r="AW51" s="105">
        <v>5662.8902668283445</v>
      </c>
      <c r="AX51" s="105">
        <v>46.753214688960639</v>
      </c>
      <c r="AY51" s="105">
        <v>6339.7359118230625</v>
      </c>
      <c r="AZ51" s="105">
        <v>44.223061228226996</v>
      </c>
      <c r="BA51" s="105">
        <v>5996.6471025475803</v>
      </c>
      <c r="BB51" s="105">
        <v>40.288334244943002</v>
      </c>
      <c r="BC51" s="105">
        <v>5463.0981236142707</v>
      </c>
      <c r="BD51" s="105">
        <v>45.434934913057326</v>
      </c>
      <c r="BE51" s="105">
        <v>6160.9771742105731</v>
      </c>
      <c r="BF51" s="105">
        <v>41.994180082041602</v>
      </c>
      <c r="BG51" s="105">
        <v>5694.4108191248406</v>
      </c>
      <c r="BH51" s="105">
        <v>39.887846132789996</v>
      </c>
      <c r="BI51" s="105">
        <v>5408.791935606323</v>
      </c>
      <c r="BJ51" s="105">
        <v>38.060051896862873</v>
      </c>
      <c r="BK51" s="105">
        <v>5160.9430372146053</v>
      </c>
      <c r="BL51" s="105">
        <v>45.151405779405515</v>
      </c>
      <c r="BM51" s="105">
        <v>6122.5306236873876</v>
      </c>
      <c r="BN51" s="105">
        <v>42.794056917348954</v>
      </c>
      <c r="BO51" s="105">
        <v>5802.8741179925182</v>
      </c>
      <c r="BP51" s="105">
        <v>40.634345830713123</v>
      </c>
      <c r="BQ51" s="105">
        <v>5510.0172946446992</v>
      </c>
      <c r="BR51" s="105">
        <v>42.123131266879113</v>
      </c>
      <c r="BS51" s="105">
        <v>5711.8965997888072</v>
      </c>
      <c r="BT51" s="105">
        <v>35.104279504224571</v>
      </c>
      <c r="BU51" s="105">
        <v>4760.1403007728513</v>
      </c>
      <c r="BV51" s="105">
        <v>49.10776773245982</v>
      </c>
      <c r="BW51" s="105">
        <v>6659.0133045215516</v>
      </c>
      <c r="BX51" s="105">
        <v>43.901237201360246</v>
      </c>
      <c r="BY51" s="105">
        <v>5953.0077645044494</v>
      </c>
      <c r="BZ51" s="105">
        <v>44.295224873485402</v>
      </c>
      <c r="CA51" s="105">
        <v>6006.4324928446204</v>
      </c>
      <c r="CB51" s="105">
        <v>50.161893402211867</v>
      </c>
      <c r="CC51" s="105">
        <v>6801.9527453399287</v>
      </c>
      <c r="CD51" s="105">
        <v>34.220320261143286</v>
      </c>
      <c r="CE51" s="105">
        <v>4640.2754274110293</v>
      </c>
      <c r="CF51" s="105">
        <v>46</v>
      </c>
      <c r="CG51" s="105">
        <v>6237.5999999999995</v>
      </c>
      <c r="CH51" s="105">
        <v>57.830555501982886</v>
      </c>
      <c r="CI51" s="105">
        <v>7841.8233260688794</v>
      </c>
      <c r="CJ51" s="105">
        <v>46.602533464683901</v>
      </c>
      <c r="CK51" s="105">
        <v>6319.3035378111372</v>
      </c>
      <c r="CL51" s="105">
        <v>39</v>
      </c>
      <c r="CM51" s="105">
        <v>5288.4</v>
      </c>
      <c r="CN51" s="105">
        <v>48.273671000896648</v>
      </c>
      <c r="CO51" s="105">
        <v>6545.9097877215854</v>
      </c>
      <c r="CP51" s="105">
        <v>45.263282364982054</v>
      </c>
      <c r="CQ51" s="105">
        <v>6137.7010886915659</v>
      </c>
      <c r="CR51" s="105">
        <v>35.268721863107622</v>
      </c>
      <c r="CS51" s="105">
        <v>4782.4386846373936</v>
      </c>
      <c r="CT51" s="105">
        <v>48.242944080703658</v>
      </c>
      <c r="CU51" s="105">
        <v>6541.7432173434154</v>
      </c>
    </row>
    <row r="52" spans="2:99" x14ac:dyDescent="0.2">
      <c r="C52" s="104" t="s">
        <v>218</v>
      </c>
      <c r="D52" s="105">
        <v>35</v>
      </c>
      <c r="E52" s="105">
        <v>9324</v>
      </c>
      <c r="F52" s="105">
        <v>36</v>
      </c>
      <c r="G52" s="105">
        <v>9590.4</v>
      </c>
      <c r="H52" s="105">
        <v>31</v>
      </c>
      <c r="I52" s="105">
        <v>8258.4</v>
      </c>
      <c r="J52" s="105">
        <v>30</v>
      </c>
      <c r="K52" s="105">
        <v>7991.9999999999991</v>
      </c>
      <c r="L52" s="105">
        <v>61</v>
      </c>
      <c r="M52" s="105">
        <v>16250.399999999998</v>
      </c>
      <c r="N52" s="105">
        <v>58.768987305078838</v>
      </c>
      <c r="O52" s="105">
        <v>15656.058218073002</v>
      </c>
      <c r="P52" s="105">
        <v>37.615057992520221</v>
      </c>
      <c r="Q52" s="105">
        <v>10020.651449207386</v>
      </c>
      <c r="R52" s="105">
        <v>39.817422153571975</v>
      </c>
      <c r="S52" s="105">
        <v>10607.361261711574</v>
      </c>
      <c r="T52" s="105">
        <v>42.50649576575583</v>
      </c>
      <c r="U52" s="105">
        <v>11323.730471997353</v>
      </c>
      <c r="V52" s="105">
        <v>45.575748120401919</v>
      </c>
      <c r="W52" s="105">
        <v>12141.37929927507</v>
      </c>
      <c r="X52" s="105">
        <v>34.147201705564648</v>
      </c>
      <c r="Y52" s="105">
        <v>9096.8145343624219</v>
      </c>
      <c r="Z52" s="105">
        <v>44.007510330291367</v>
      </c>
      <c r="AA52" s="105">
        <v>11723.600751989619</v>
      </c>
      <c r="AB52" s="105">
        <v>39.787332981005839</v>
      </c>
      <c r="AC52" s="105">
        <v>10599.345506139955</v>
      </c>
      <c r="AD52" s="105">
        <v>35.092897162426041</v>
      </c>
      <c r="AE52" s="105">
        <v>9348.7478040702972</v>
      </c>
      <c r="AF52" s="105">
        <v>48.288476795902305</v>
      </c>
      <c r="AG52" s="105">
        <v>12864.050218428372</v>
      </c>
      <c r="AH52" s="105">
        <v>46.279036098053936</v>
      </c>
      <c r="AI52" s="105">
        <v>12328.735216521567</v>
      </c>
      <c r="AJ52" s="105">
        <v>46.403097532481553</v>
      </c>
      <c r="AK52" s="105">
        <v>12361.785182653084</v>
      </c>
      <c r="AL52" s="105">
        <v>44.807763327452648</v>
      </c>
      <c r="AM52" s="105">
        <v>11936.788150433384</v>
      </c>
      <c r="AN52" s="105">
        <v>36</v>
      </c>
      <c r="AO52" s="105">
        <v>9590.4</v>
      </c>
      <c r="AP52" s="105">
        <v>43.218854871768627</v>
      </c>
      <c r="AQ52" s="105">
        <v>11513.502937839161</v>
      </c>
      <c r="AR52" s="105">
        <v>45.604067441835795</v>
      </c>
      <c r="AS52" s="105">
        <v>12148.923566505055</v>
      </c>
      <c r="AT52" s="105">
        <v>40.688895419679284</v>
      </c>
      <c r="AU52" s="105">
        <v>10839.52173980256</v>
      </c>
      <c r="AV52" s="105">
        <v>39.994567553094029</v>
      </c>
      <c r="AW52" s="105">
        <v>10654.552796144248</v>
      </c>
      <c r="AX52" s="105">
        <v>44.988942436547028</v>
      </c>
      <c r="AY52" s="105">
        <v>11985.054265096127</v>
      </c>
      <c r="AZ52" s="105">
        <v>47.20742979955773</v>
      </c>
      <c r="BA52" s="105">
        <v>12576.059298602178</v>
      </c>
      <c r="BB52" s="105">
        <v>37.288334244943002</v>
      </c>
      <c r="BC52" s="105">
        <v>9933.6122428528142</v>
      </c>
      <c r="BD52" s="105">
        <v>43.664328453984353</v>
      </c>
      <c r="BE52" s="105">
        <v>11632.177100141431</v>
      </c>
      <c r="BF52" s="105">
        <v>46.836569677619451</v>
      </c>
      <c r="BG52" s="105">
        <v>12477.26216211782</v>
      </c>
      <c r="BH52" s="105">
        <v>40.413584462012508</v>
      </c>
      <c r="BI52" s="105">
        <v>10766.178900680132</v>
      </c>
      <c r="BJ52" s="105">
        <v>34.080069195817167</v>
      </c>
      <c r="BK52" s="105">
        <v>9078.9304337656922</v>
      </c>
      <c r="BL52" s="105">
        <v>49</v>
      </c>
      <c r="BM52" s="105">
        <v>13053.599999999999</v>
      </c>
      <c r="BN52" s="105">
        <v>45.646994045172221</v>
      </c>
      <c r="BO52" s="105">
        <v>12160.359213633879</v>
      </c>
      <c r="BP52" s="105">
        <v>44.497340811851757</v>
      </c>
      <c r="BQ52" s="105">
        <v>11854.091592277307</v>
      </c>
      <c r="BR52" s="105">
        <v>35.265877339712745</v>
      </c>
      <c r="BS52" s="105">
        <v>9394.8297232994737</v>
      </c>
      <c r="BT52" s="105">
        <v>34</v>
      </c>
      <c r="BU52" s="105">
        <v>9057.5999999999985</v>
      </c>
      <c r="BV52" s="105">
        <v>48.110537481226402</v>
      </c>
      <c r="BW52" s="105">
        <v>12816.647184998712</v>
      </c>
      <c r="BX52" s="105">
        <v>45.790285189915927</v>
      </c>
      <c r="BY52" s="105">
        <v>12198.531974593601</v>
      </c>
      <c r="BZ52" s="105">
        <v>36.344429019066304</v>
      </c>
      <c r="CA52" s="105">
        <v>9682.1558906792634</v>
      </c>
      <c r="CB52" s="105">
        <v>48.318674983244598</v>
      </c>
      <c r="CC52" s="105">
        <v>12872.095015536361</v>
      </c>
      <c r="CD52" s="105">
        <v>34.418618253677295</v>
      </c>
      <c r="CE52" s="105">
        <v>9169.1199027796301</v>
      </c>
      <c r="CF52" s="105">
        <v>43</v>
      </c>
      <c r="CG52" s="105">
        <v>11455.199999999999</v>
      </c>
      <c r="CH52" s="105">
        <v>50.512748431772472</v>
      </c>
      <c r="CI52" s="105">
        <v>13456.596182224186</v>
      </c>
      <c r="CJ52" s="105">
        <v>41.632253290286798</v>
      </c>
      <c r="CK52" s="105">
        <v>11090.832276532403</v>
      </c>
      <c r="CL52" s="105">
        <v>38</v>
      </c>
      <c r="CM52" s="105">
        <v>10123.199999999999</v>
      </c>
      <c r="CN52" s="105">
        <v>45.273671000896648</v>
      </c>
      <c r="CO52" s="105">
        <v>12060.905954638865</v>
      </c>
      <c r="CP52" s="105">
        <v>42.604674657001127</v>
      </c>
      <c r="CQ52" s="105">
        <v>11349.8853286251</v>
      </c>
      <c r="CR52" s="105">
        <v>36.223934885923022</v>
      </c>
      <c r="CS52" s="105">
        <v>9650.0562536098914</v>
      </c>
      <c r="CT52" s="105">
        <v>43.242944080703658</v>
      </c>
      <c r="CU52" s="105">
        <v>11519.920303099454</v>
      </c>
    </row>
    <row r="53" spans="2:99" x14ac:dyDescent="0.2">
      <c r="C53" s="104" t="s">
        <v>219</v>
      </c>
      <c r="D53" s="105">
        <v>29</v>
      </c>
      <c r="E53" s="105">
        <v>11379.599999999999</v>
      </c>
      <c r="F53" s="105">
        <v>37</v>
      </c>
      <c r="G53" s="105">
        <v>14518.8</v>
      </c>
      <c r="H53" s="105">
        <v>27</v>
      </c>
      <c r="I53" s="105">
        <v>10594.8</v>
      </c>
      <c r="J53" s="105">
        <v>29</v>
      </c>
      <c r="K53" s="105">
        <v>11379.599999999999</v>
      </c>
      <c r="L53" s="105">
        <v>52</v>
      </c>
      <c r="M53" s="105">
        <v>20404.8</v>
      </c>
      <c r="N53" s="105">
        <v>54.915283219499898</v>
      </c>
      <c r="O53" s="105">
        <v>21548.757135331758</v>
      </c>
      <c r="P53" s="105">
        <v>39.831693560844876</v>
      </c>
      <c r="Q53" s="105">
        <v>15629.956553275528</v>
      </c>
      <c r="R53" s="105">
        <v>45.148822468621916</v>
      </c>
      <c r="S53" s="105">
        <v>17716.397936687237</v>
      </c>
      <c r="T53" s="105">
        <v>38.710538570607554</v>
      </c>
      <c r="U53" s="105">
        <v>15190.015335106404</v>
      </c>
      <c r="V53" s="105">
        <v>39.796786482478268</v>
      </c>
      <c r="W53" s="105">
        <v>15616.259015724472</v>
      </c>
      <c r="X53" s="105">
        <v>38.147201705564648</v>
      </c>
      <c r="Y53" s="105">
        <v>14968.961949263567</v>
      </c>
      <c r="Z53" s="105">
        <v>44.273354723385346</v>
      </c>
      <c r="AA53" s="105">
        <v>17372.86439345641</v>
      </c>
      <c r="AB53" s="105">
        <v>39.787332981005839</v>
      </c>
      <c r="AC53" s="105">
        <v>15612.54946174669</v>
      </c>
      <c r="AD53" s="105">
        <v>33.092897162426041</v>
      </c>
      <c r="AE53" s="105">
        <v>12985.652846535977</v>
      </c>
      <c r="AF53" s="105">
        <v>50.288476795902305</v>
      </c>
      <c r="AG53" s="105">
        <v>19733.198294712063</v>
      </c>
      <c r="AH53" s="105">
        <v>43.48963455729205</v>
      </c>
      <c r="AI53" s="105">
        <v>17065.332600281399</v>
      </c>
      <c r="AJ53" s="105">
        <v>44.518218425836054</v>
      </c>
      <c r="AK53" s="105">
        <v>17468.948910298066</v>
      </c>
      <c r="AL53" s="105">
        <v>43.162511673776123</v>
      </c>
      <c r="AM53" s="105">
        <v>16936.969580789751</v>
      </c>
      <c r="AN53" s="105">
        <v>36</v>
      </c>
      <c r="AO53" s="105">
        <v>14126.4</v>
      </c>
      <c r="AP53" s="105">
        <v>42.262625846122347</v>
      </c>
      <c r="AQ53" s="105">
        <v>16583.85438201841</v>
      </c>
      <c r="AR53" s="105">
        <v>46.475206572770382</v>
      </c>
      <c r="AS53" s="105">
        <v>18236.871059155095</v>
      </c>
      <c r="AT53" s="105">
        <v>44.824859125129485</v>
      </c>
      <c r="AU53" s="105">
        <v>17589.274720700811</v>
      </c>
      <c r="AV53" s="105">
        <v>43.794475366896236</v>
      </c>
      <c r="AW53" s="105">
        <v>17184.95213397008</v>
      </c>
      <c r="AX53" s="105">
        <v>42.342534057926613</v>
      </c>
      <c r="AY53" s="105">
        <v>16615.210364330404</v>
      </c>
      <c r="AZ53" s="105">
        <v>40.492600514063589</v>
      </c>
      <c r="BA53" s="105">
        <v>15889.296441718552</v>
      </c>
      <c r="BB53" s="105">
        <v>38.288334244943002</v>
      </c>
      <c r="BC53" s="105">
        <v>15024.342357715634</v>
      </c>
      <c r="BD53" s="105">
        <v>42.870431573002818</v>
      </c>
      <c r="BE53" s="105">
        <v>16822.357349246304</v>
      </c>
      <c r="BF53" s="105">
        <v>39.546181697219083</v>
      </c>
      <c r="BG53" s="105">
        <v>15517.921697988768</v>
      </c>
      <c r="BH53" s="105">
        <v>40.413584462012508</v>
      </c>
      <c r="BI53" s="105">
        <v>15858.290542893707</v>
      </c>
      <c r="BJ53" s="105">
        <v>31.080069195817167</v>
      </c>
      <c r="BK53" s="105">
        <v>12195.819152438655</v>
      </c>
      <c r="BL53" s="105">
        <v>45</v>
      </c>
      <c r="BM53" s="105">
        <v>17658</v>
      </c>
      <c r="BN53" s="105">
        <v>40.07223046967907</v>
      </c>
      <c r="BO53" s="105">
        <v>15724.343236302066</v>
      </c>
      <c r="BP53" s="105">
        <v>45.463089557136421</v>
      </c>
      <c r="BQ53" s="105">
        <v>17839.71634222033</v>
      </c>
      <c r="BR53" s="105">
        <v>36.245485043593654</v>
      </c>
      <c r="BS53" s="105">
        <v>14222.728331106149</v>
      </c>
      <c r="BT53" s="105">
        <v>33.104279504224571</v>
      </c>
      <c r="BU53" s="105">
        <v>12990.119277457721</v>
      </c>
      <c r="BV53" s="105">
        <v>53.096688737393485</v>
      </c>
      <c r="BW53" s="105">
        <v>20835.140660553203</v>
      </c>
      <c r="BX53" s="105">
        <v>47.726711397415926</v>
      </c>
      <c r="BY53" s="105">
        <v>18727.961552346009</v>
      </c>
      <c r="BZ53" s="105">
        <v>36.344429019066304</v>
      </c>
      <c r="CA53" s="105">
        <v>14261.553947081617</v>
      </c>
      <c r="CB53" s="105">
        <v>49.219385695909509</v>
      </c>
      <c r="CC53" s="105">
        <v>19313.68694707489</v>
      </c>
      <c r="CD53" s="105">
        <v>39.264384313371949</v>
      </c>
      <c r="CE53" s="105">
        <v>15407.344404567151</v>
      </c>
      <c r="CF53" s="105">
        <v>41.232320686955951</v>
      </c>
      <c r="CG53" s="105">
        <v>16179.562637561514</v>
      </c>
      <c r="CH53" s="105">
        <v>56.001103734430288</v>
      </c>
      <c r="CI53" s="105">
        <v>21974.833105390444</v>
      </c>
      <c r="CJ53" s="105">
        <v>47.537539412238864</v>
      </c>
      <c r="CK53" s="105">
        <v>18653.730465362529</v>
      </c>
      <c r="CL53" s="105">
        <v>36</v>
      </c>
      <c r="CM53" s="105">
        <v>14126.4</v>
      </c>
      <c r="CN53" s="105">
        <v>46.273671000896648</v>
      </c>
      <c r="CO53" s="105">
        <v>18157.788500751845</v>
      </c>
      <c r="CP53" s="105">
        <v>47.035687503635998</v>
      </c>
      <c r="CQ53" s="105">
        <v>18456.803776426765</v>
      </c>
      <c r="CR53" s="105">
        <v>34.223934885923022</v>
      </c>
      <c r="CS53" s="105">
        <v>13429.472049236194</v>
      </c>
      <c r="CT53" s="105">
        <v>44.216865854432967</v>
      </c>
      <c r="CU53" s="105">
        <v>17350.698161279495</v>
      </c>
    </row>
    <row r="54" spans="2:99" x14ac:dyDescent="0.2">
      <c r="C54" s="104" t="s">
        <v>220</v>
      </c>
      <c r="D54" s="105">
        <v>31</v>
      </c>
      <c r="E54" s="105">
        <v>12648</v>
      </c>
      <c r="F54" s="105">
        <v>35.737861039803803</v>
      </c>
      <c r="G54" s="105">
        <v>14581.047304239952</v>
      </c>
      <c r="H54" s="105">
        <v>25.934592000887623</v>
      </c>
      <c r="I54" s="105">
        <v>10581.31353636215</v>
      </c>
      <c r="J54" s="105">
        <v>30.783971966969403</v>
      </c>
      <c r="K54" s="105">
        <v>12559.860562523516</v>
      </c>
      <c r="L54" s="105">
        <v>53.478439404917225</v>
      </c>
      <c r="M54" s="105">
        <v>21819.203277206227</v>
      </c>
      <c r="N54" s="105">
        <v>49.54564203273236</v>
      </c>
      <c r="O54" s="105">
        <v>20214.621949354801</v>
      </c>
      <c r="P54" s="105">
        <v>40.372238222059352</v>
      </c>
      <c r="Q54" s="105">
        <v>16471.873194600215</v>
      </c>
      <c r="R54" s="105">
        <v>50.042501896980987</v>
      </c>
      <c r="S54" s="105">
        <v>20417.340773968244</v>
      </c>
      <c r="T54" s="105">
        <v>43</v>
      </c>
      <c r="U54" s="105">
        <v>17544</v>
      </c>
      <c r="V54" s="105">
        <v>53.656136708871102</v>
      </c>
      <c r="W54" s="105">
        <v>21891.703777219409</v>
      </c>
      <c r="X54" s="105">
        <v>34</v>
      </c>
      <c r="Y54" s="105">
        <v>13872</v>
      </c>
      <c r="Z54" s="105">
        <v>53</v>
      </c>
      <c r="AA54" s="105">
        <v>21624</v>
      </c>
      <c r="AB54" s="105">
        <v>37.875482086466256</v>
      </c>
      <c r="AC54" s="105">
        <v>15453.196691278232</v>
      </c>
      <c r="AD54" s="105">
        <v>33</v>
      </c>
      <c r="AE54" s="105">
        <v>13464</v>
      </c>
      <c r="AF54" s="105">
        <v>49</v>
      </c>
      <c r="AG54" s="105">
        <v>19992</v>
      </c>
      <c r="AH54" s="105">
        <v>37.382739194247755</v>
      </c>
      <c r="AI54" s="105">
        <v>15252.157591253084</v>
      </c>
      <c r="AJ54" s="105">
        <v>41</v>
      </c>
      <c r="AK54" s="105">
        <v>16728</v>
      </c>
      <c r="AL54" s="105">
        <v>63</v>
      </c>
      <c r="AM54" s="105">
        <v>25704</v>
      </c>
      <c r="AN54" s="105">
        <v>34.695184161062798</v>
      </c>
      <c r="AO54" s="105">
        <v>14155.635137713622</v>
      </c>
      <c r="AP54" s="105">
        <v>45</v>
      </c>
      <c r="AQ54" s="105">
        <v>18360</v>
      </c>
      <c r="AR54" s="105">
        <v>46.2372709023483</v>
      </c>
      <c r="AS54" s="105">
        <v>18864.806528158108</v>
      </c>
      <c r="AT54" s="105">
        <v>47.43130239319072</v>
      </c>
      <c r="AU54" s="105">
        <v>19351.971376421814</v>
      </c>
      <c r="AV54" s="105">
        <v>50</v>
      </c>
      <c r="AW54" s="105">
        <v>20400</v>
      </c>
      <c r="AX54" s="105">
        <v>43</v>
      </c>
      <c r="AY54" s="105">
        <v>17544</v>
      </c>
      <c r="AZ54" s="105">
        <v>49.713636550206395</v>
      </c>
      <c r="BA54" s="105">
        <v>20283.163712484209</v>
      </c>
      <c r="BB54" s="105">
        <v>32.28097770427734</v>
      </c>
      <c r="BC54" s="105">
        <v>13170.638903345154</v>
      </c>
      <c r="BD54" s="105">
        <v>43.657306235593282</v>
      </c>
      <c r="BE54" s="105">
        <v>17812.180944122058</v>
      </c>
      <c r="BF54" s="105">
        <v>47.32100130519801</v>
      </c>
      <c r="BG54" s="105">
        <v>19306.968532520787</v>
      </c>
      <c r="BH54" s="105">
        <v>44.07544008154489</v>
      </c>
      <c r="BI54" s="105">
        <v>17982.779553270317</v>
      </c>
      <c r="BJ54" s="105">
        <v>31.511628948814828</v>
      </c>
      <c r="BK54" s="105">
        <v>12856.74461111645</v>
      </c>
      <c r="BL54" s="105">
        <v>42</v>
      </c>
      <c r="BM54" s="105">
        <v>17136</v>
      </c>
      <c r="BN54" s="105">
        <v>44</v>
      </c>
      <c r="BO54" s="105">
        <v>17952</v>
      </c>
      <c r="BP54" s="105">
        <v>46</v>
      </c>
      <c r="BQ54" s="105">
        <v>18768</v>
      </c>
      <c r="BR54" s="105">
        <v>37</v>
      </c>
      <c r="BS54" s="105">
        <v>15096</v>
      </c>
      <c r="BT54" s="105">
        <v>32</v>
      </c>
      <c r="BU54" s="105">
        <v>13056</v>
      </c>
      <c r="BV54" s="105">
        <v>40.769352747428151</v>
      </c>
      <c r="BW54" s="105">
        <v>16633.895920950687</v>
      </c>
      <c r="BX54" s="105">
        <v>48</v>
      </c>
      <c r="BY54" s="105">
        <v>19584</v>
      </c>
      <c r="BZ54" s="105">
        <v>43</v>
      </c>
      <c r="CA54" s="105">
        <v>17544</v>
      </c>
      <c r="CB54" s="105">
        <v>48</v>
      </c>
      <c r="CC54" s="105">
        <v>19584</v>
      </c>
      <c r="CD54" s="105">
        <v>33.997028509029775</v>
      </c>
      <c r="CE54" s="105">
        <v>13870.787631684148</v>
      </c>
      <c r="CF54" s="105">
        <v>37.210286637743138</v>
      </c>
      <c r="CG54" s="105">
        <v>15181.7969481992</v>
      </c>
      <c r="CH54" s="105">
        <v>48.716731932074353</v>
      </c>
      <c r="CI54" s="105">
        <v>19876.426628286335</v>
      </c>
      <c r="CJ54" s="105">
        <v>41.707611072209751</v>
      </c>
      <c r="CK54" s="105">
        <v>17016.705317461579</v>
      </c>
      <c r="CL54" s="105">
        <v>33</v>
      </c>
      <c r="CM54" s="105">
        <v>13464</v>
      </c>
      <c r="CN54" s="105">
        <v>42</v>
      </c>
      <c r="CO54" s="105">
        <v>17136</v>
      </c>
      <c r="CP54" s="105">
        <v>42.890559498214095</v>
      </c>
      <c r="CQ54" s="105">
        <v>17499.34827527135</v>
      </c>
      <c r="CR54" s="105">
        <v>26.998555273531721</v>
      </c>
      <c r="CS54" s="105">
        <v>11015.410551600942</v>
      </c>
      <c r="CT54" s="105">
        <v>46.556372839609693</v>
      </c>
      <c r="CU54" s="105">
        <v>18995.000118560754</v>
      </c>
    </row>
    <row r="55" spans="2:99" x14ac:dyDescent="0.2">
      <c r="C55" s="104" t="s">
        <v>221</v>
      </c>
      <c r="D55" s="105">
        <v>36</v>
      </c>
      <c r="E55" s="105">
        <v>9158.3999999999978</v>
      </c>
      <c r="F55" s="105">
        <v>35</v>
      </c>
      <c r="G55" s="105">
        <v>8903.9999999999982</v>
      </c>
      <c r="H55" s="105">
        <v>33</v>
      </c>
      <c r="I55" s="105">
        <v>8395.1999999999989</v>
      </c>
      <c r="J55" s="105">
        <v>28</v>
      </c>
      <c r="K55" s="105">
        <v>7123.1999999999989</v>
      </c>
      <c r="L55" s="105">
        <v>59</v>
      </c>
      <c r="M55" s="105">
        <v>15009.599999999997</v>
      </c>
      <c r="N55" s="105">
        <v>52.988431176710428</v>
      </c>
      <c r="O55" s="105">
        <v>13480.256891355129</v>
      </c>
      <c r="P55" s="105">
        <v>37.90271622789512</v>
      </c>
      <c r="Q55" s="105">
        <v>9642.4510083765163</v>
      </c>
      <c r="R55" s="105">
        <v>42.464446732285552</v>
      </c>
      <c r="S55" s="105">
        <v>10802.955248693443</v>
      </c>
      <c r="T55" s="105">
        <v>38.710538570607554</v>
      </c>
      <c r="U55" s="105">
        <v>9847.9610123625589</v>
      </c>
      <c r="V55" s="105">
        <v>43.099050275577497</v>
      </c>
      <c r="W55" s="105">
        <v>10964.398390106913</v>
      </c>
      <c r="X55" s="105">
        <v>41.147201705564648</v>
      </c>
      <c r="Y55" s="105">
        <v>10467.848113895645</v>
      </c>
      <c r="Z55" s="105">
        <v>42.439708459623198</v>
      </c>
      <c r="AA55" s="105">
        <v>10796.661832128138</v>
      </c>
      <c r="AB55" s="105">
        <v>43.331523902629371</v>
      </c>
      <c r="AC55" s="105">
        <v>11023.53968082891</v>
      </c>
      <c r="AD55" s="105">
        <v>35.069672871819527</v>
      </c>
      <c r="AE55" s="105">
        <v>8921.7247785908858</v>
      </c>
      <c r="AF55" s="105">
        <v>49.288476795902305</v>
      </c>
      <c r="AG55" s="105">
        <v>12538.988496877544</v>
      </c>
      <c r="AH55" s="105">
        <v>46.968805321875408</v>
      </c>
      <c r="AI55" s="105">
        <v>11948.864073885101</v>
      </c>
      <c r="AJ55" s="105">
        <v>42.552925596915415</v>
      </c>
      <c r="AK55" s="105">
        <v>10825.464271855279</v>
      </c>
      <c r="AL55" s="105">
        <v>42.418735318204803</v>
      </c>
      <c r="AM55" s="105">
        <v>10791.3262649513</v>
      </c>
      <c r="AN55" s="105">
        <v>35</v>
      </c>
      <c r="AO55" s="105">
        <v>8903.9999999999982</v>
      </c>
      <c r="AP55" s="105">
        <v>46.218854871768627</v>
      </c>
      <c r="AQ55" s="105">
        <v>11758.076679377937</v>
      </c>
      <c r="AR55" s="105">
        <v>49.959763096508745</v>
      </c>
      <c r="AS55" s="105">
        <v>12709.763731751822</v>
      </c>
      <c r="AT55" s="105">
        <v>39.861702678589246</v>
      </c>
      <c r="AU55" s="105">
        <v>10140.817161433102</v>
      </c>
      <c r="AV55" s="105">
        <v>45.296047788244358</v>
      </c>
      <c r="AW55" s="105">
        <v>11523.314557329362</v>
      </c>
      <c r="AX55" s="105">
        <v>40.578261805513009</v>
      </c>
      <c r="AY55" s="105">
        <v>10323.109803322508</v>
      </c>
      <c r="AZ55" s="105">
        <v>41.781159998630201</v>
      </c>
      <c r="BA55" s="105">
        <v>10629.127103651521</v>
      </c>
      <c r="BB55" s="105">
        <v>39.288334244943002</v>
      </c>
      <c r="BC55" s="105">
        <v>9994.9522319134976</v>
      </c>
      <c r="BD55" s="105">
        <v>43.664328453984353</v>
      </c>
      <c r="BE55" s="105">
        <v>11108.205158693618</v>
      </c>
      <c r="BF55" s="105">
        <v>40.380050216848986</v>
      </c>
      <c r="BG55" s="105">
        <v>10272.684775166379</v>
      </c>
      <c r="BH55" s="105">
        <v>39.039212534975782</v>
      </c>
      <c r="BI55" s="105">
        <v>9931.5756688978363</v>
      </c>
      <c r="BJ55" s="105">
        <v>33.060051896862873</v>
      </c>
      <c r="BK55" s="105">
        <v>8410.4772025619131</v>
      </c>
      <c r="BL55" s="105">
        <v>43</v>
      </c>
      <c r="BM55" s="105">
        <v>10939.199999999997</v>
      </c>
      <c r="BN55" s="105">
        <v>42.794056917348954</v>
      </c>
      <c r="BO55" s="105">
        <v>10886.808079773571</v>
      </c>
      <c r="BP55" s="105">
        <v>43.5315920665671</v>
      </c>
      <c r="BQ55" s="105">
        <v>11074.437021734668</v>
      </c>
      <c r="BR55" s="105">
        <v>36.245485043593654</v>
      </c>
      <c r="BS55" s="105">
        <v>9220.8513950902234</v>
      </c>
      <c r="BT55" s="105">
        <v>31</v>
      </c>
      <c r="BU55" s="105">
        <v>7886.3999999999987</v>
      </c>
      <c r="BV55" s="105">
        <v>55.091149239860314</v>
      </c>
      <c r="BW55" s="105">
        <v>14015.188366620461</v>
      </c>
      <c r="BX55" s="105">
        <v>43.901237201360246</v>
      </c>
      <c r="BY55" s="105">
        <v>11168.474744026043</v>
      </c>
      <c r="BZ55" s="105">
        <v>43.344429019066304</v>
      </c>
      <c r="CA55" s="105">
        <v>11026.822742450466</v>
      </c>
      <c r="CB55" s="105">
        <v>50.2036903958493</v>
      </c>
      <c r="CC55" s="105">
        <v>12771.81883670406</v>
      </c>
      <c r="CD55" s="105">
        <v>36.264384313371949</v>
      </c>
      <c r="CE55" s="105">
        <v>9225.6593693218219</v>
      </c>
      <c r="CF55" s="105">
        <v>45</v>
      </c>
      <c r="CG55" s="105">
        <v>11447.999999999998</v>
      </c>
      <c r="CH55" s="105">
        <v>55.086377850653982</v>
      </c>
      <c r="CI55" s="105">
        <v>14013.974525206369</v>
      </c>
      <c r="CJ55" s="105">
        <v>46.553325058580185</v>
      </c>
      <c r="CK55" s="105">
        <v>11843.165894902797</v>
      </c>
      <c r="CL55" s="105">
        <v>33</v>
      </c>
      <c r="CM55" s="105">
        <v>8395.1999999999989</v>
      </c>
      <c r="CN55" s="105">
        <v>46.228059167413875</v>
      </c>
      <c r="CO55" s="105">
        <v>11760.418252190088</v>
      </c>
      <c r="CP55" s="105">
        <v>44.377079795655078</v>
      </c>
      <c r="CQ55" s="105">
        <v>11289.52910001465</v>
      </c>
      <c r="CR55" s="105">
        <v>35.268721863107622</v>
      </c>
      <c r="CS55" s="105">
        <v>8972.3628419745764</v>
      </c>
      <c r="CT55" s="105">
        <v>45.242944080703658</v>
      </c>
      <c r="CU55" s="105">
        <v>11509.804974131008</v>
      </c>
    </row>
    <row r="56" spans="2:99" x14ac:dyDescent="0.2">
      <c r="C56" s="104" t="s">
        <v>222</v>
      </c>
      <c r="D56" s="105">
        <v>24.635304916243452</v>
      </c>
      <c r="E56" s="105">
        <v>18683.415248479032</v>
      </c>
      <c r="F56" s="105">
        <v>25.913165360476722</v>
      </c>
      <c r="G56" s="105">
        <v>19652.544609385546</v>
      </c>
      <c r="H56" s="105">
        <v>22.862276803409422</v>
      </c>
      <c r="I56" s="105">
        <v>17338.750727705705</v>
      </c>
      <c r="J56" s="105">
        <v>24.145642282294588</v>
      </c>
      <c r="K56" s="105">
        <v>18312.055106892214</v>
      </c>
      <c r="L56" s="105">
        <v>38.603064291500928</v>
      </c>
      <c r="M56" s="105">
        <v>29276.563958674302</v>
      </c>
      <c r="N56" s="105">
        <v>44.279132534714421</v>
      </c>
      <c r="O56" s="105">
        <v>33581.294114327415</v>
      </c>
      <c r="P56" s="105">
        <v>41.324448128452609</v>
      </c>
      <c r="Q56" s="105">
        <v>31340.461460618459</v>
      </c>
      <c r="R56" s="105">
        <v>44.738988589422199</v>
      </c>
      <c r="S56" s="105">
        <v>33930.048946217794</v>
      </c>
      <c r="T56" s="105">
        <v>32.578090679836357</v>
      </c>
      <c r="U56" s="105">
        <v>24707.223971587893</v>
      </c>
      <c r="V56" s="105">
        <v>34.894154122067377</v>
      </c>
      <c r="W56" s="105">
        <v>26463.726486175899</v>
      </c>
      <c r="X56" s="105">
        <v>24.962917535512339</v>
      </c>
      <c r="Y56" s="105">
        <v>18931.876658932557</v>
      </c>
      <c r="Z56" s="105">
        <v>43.417852350444711</v>
      </c>
      <c r="AA56" s="105">
        <v>32928.099222577272</v>
      </c>
      <c r="AB56" s="105">
        <v>32.605045281323513</v>
      </c>
      <c r="AC56" s="105">
        <v>24727.666341355751</v>
      </c>
      <c r="AD56" s="105">
        <v>22.692559099198608</v>
      </c>
      <c r="AE56" s="105">
        <v>17210.036820832225</v>
      </c>
      <c r="AF56" s="105">
        <v>40.724072974841249</v>
      </c>
      <c r="AG56" s="105">
        <v>30885.136944119604</v>
      </c>
      <c r="AH56" s="105">
        <v>40.622966692572298</v>
      </c>
      <c r="AI56" s="105">
        <v>30808.457939646829</v>
      </c>
      <c r="AJ56" s="105">
        <v>36.107638774363735</v>
      </c>
      <c r="AK56" s="105">
        <v>27384.033246477455</v>
      </c>
      <c r="AL56" s="105">
        <v>41.214460897768106</v>
      </c>
      <c r="AM56" s="105">
        <v>31257.047144867331</v>
      </c>
      <c r="AN56" s="105">
        <v>22.512282366057789</v>
      </c>
      <c r="AO56" s="105">
        <v>17073.314946418228</v>
      </c>
      <c r="AP56" s="105">
        <v>32.657965647612052</v>
      </c>
      <c r="AQ56" s="105">
        <v>24767.801147148981</v>
      </c>
      <c r="AR56" s="105">
        <v>36.326954340323368</v>
      </c>
      <c r="AS56" s="105">
        <v>27550.362171701243</v>
      </c>
      <c r="AT56" s="105">
        <v>30.508965559255952</v>
      </c>
      <c r="AU56" s="105">
        <v>23137.999480139712</v>
      </c>
      <c r="AV56" s="105">
        <v>41.878083697169657</v>
      </c>
      <c r="AW56" s="105">
        <v>31760.338675933468</v>
      </c>
      <c r="AX56" s="105">
        <v>29.84427512737129</v>
      </c>
      <c r="AY56" s="105">
        <v>22633.898256598386</v>
      </c>
      <c r="AZ56" s="105">
        <v>40.848142447239482</v>
      </c>
      <c r="BA56" s="105">
        <v>30979.231231986421</v>
      </c>
      <c r="BB56" s="105">
        <v>25.932341631392795</v>
      </c>
      <c r="BC56" s="105">
        <v>19667.087893248296</v>
      </c>
      <c r="BD56" s="105">
        <v>37.303402213066136</v>
      </c>
      <c r="BE56" s="105">
        <v>28290.900238389357</v>
      </c>
      <c r="BF56" s="105">
        <v>35.926314305931314</v>
      </c>
      <c r="BG56" s="105">
        <v>27246.516769618309</v>
      </c>
      <c r="BH56" s="105">
        <v>30.446192005355496</v>
      </c>
      <c r="BI56" s="105">
        <v>23090.392016861606</v>
      </c>
      <c r="BJ56" s="105">
        <v>22.982785436731128</v>
      </c>
      <c r="BK56" s="105">
        <v>17430.144475216886</v>
      </c>
      <c r="BL56" s="105">
        <v>25.635233567889781</v>
      </c>
      <c r="BM56" s="105">
        <v>19441.76113788761</v>
      </c>
      <c r="BN56" s="105">
        <v>29.798361963447064</v>
      </c>
      <c r="BO56" s="105">
        <v>22599.077713078252</v>
      </c>
      <c r="BP56" s="105">
        <v>32.271956036875117</v>
      </c>
      <c r="BQ56" s="105">
        <v>24475.051458366088</v>
      </c>
      <c r="BR56" s="105">
        <v>29.761916973022092</v>
      </c>
      <c r="BS56" s="105">
        <v>22571.437832339954</v>
      </c>
      <c r="BT56" s="105">
        <v>23.256329175394121</v>
      </c>
      <c r="BU56" s="105">
        <v>17637.6000466189</v>
      </c>
      <c r="BV56" s="105">
        <v>36.170927391793583</v>
      </c>
      <c r="BW56" s="105">
        <v>27432.031333936251</v>
      </c>
      <c r="BX56" s="105">
        <v>30.488276980759291</v>
      </c>
      <c r="BY56" s="105">
        <v>23122.309262207847</v>
      </c>
      <c r="BZ56" s="105">
        <v>35.913392178086916</v>
      </c>
      <c r="CA56" s="105">
        <v>27236.716627861115</v>
      </c>
      <c r="CB56" s="105">
        <v>30.222768521476333</v>
      </c>
      <c r="CC56" s="105">
        <v>22920.947646687651</v>
      </c>
      <c r="CD56" s="105">
        <v>27.763756478928915</v>
      </c>
      <c r="CE56" s="105">
        <v>21056.032913619689</v>
      </c>
      <c r="CF56" s="105">
        <v>32.33078036930484</v>
      </c>
      <c r="CG56" s="105">
        <v>24519.663832080791</v>
      </c>
      <c r="CH56" s="105">
        <v>49.169505668934242</v>
      </c>
      <c r="CI56" s="105">
        <v>37290.15309931973</v>
      </c>
      <c r="CJ56" s="105">
        <v>28.516302196185919</v>
      </c>
      <c r="CK56" s="105">
        <v>21626.7635855874</v>
      </c>
      <c r="CL56" s="105">
        <v>24.397970157729837</v>
      </c>
      <c r="CM56" s="105">
        <v>18503.420567622306</v>
      </c>
      <c r="CN56" s="105">
        <v>29.749468376050896</v>
      </c>
      <c r="CO56" s="105">
        <v>22561.996816396997</v>
      </c>
      <c r="CP56" s="105">
        <v>26.858394055703389</v>
      </c>
      <c r="CQ56" s="105">
        <v>20369.40605184545</v>
      </c>
      <c r="CR56" s="105">
        <v>23.185617541765453</v>
      </c>
      <c r="CS56" s="105">
        <v>17583.972343674919</v>
      </c>
      <c r="CT56" s="105">
        <v>40.740739660225856</v>
      </c>
      <c r="CU56" s="105">
        <v>30897.776958315288</v>
      </c>
    </row>
    <row r="57" spans="2:99" x14ac:dyDescent="0.2">
      <c r="C57" s="104" t="s">
        <v>223</v>
      </c>
      <c r="D57" s="105">
        <v>33</v>
      </c>
      <c r="E57" s="105">
        <v>23086.799999999999</v>
      </c>
      <c r="F57" s="105">
        <v>35</v>
      </c>
      <c r="G57" s="105">
        <v>24486</v>
      </c>
      <c r="H57" s="105">
        <v>27</v>
      </c>
      <c r="I57" s="105">
        <v>18889.2</v>
      </c>
      <c r="J57" s="105">
        <v>28</v>
      </c>
      <c r="K57" s="105">
        <v>19588.8</v>
      </c>
      <c r="L57" s="105">
        <v>55</v>
      </c>
      <c r="M57" s="105">
        <v>38478</v>
      </c>
      <c r="N57" s="105">
        <v>52.025005155315696</v>
      </c>
      <c r="O57" s="105">
        <v>36396.693606658861</v>
      </c>
      <c r="P57" s="105">
        <v>38.579546658995099</v>
      </c>
      <c r="Q57" s="105">
        <v>26990.250842632973</v>
      </c>
      <c r="R57" s="105">
        <v>37.170397574858406</v>
      </c>
      <c r="S57" s="105">
        <v>26004.41014337094</v>
      </c>
      <c r="T57" s="105">
        <v>35.007768518829778</v>
      </c>
      <c r="U57" s="105">
        <v>24491.434855773314</v>
      </c>
      <c r="V57" s="105">
        <v>37.976033620641125</v>
      </c>
      <c r="W57" s="105">
        <v>26568.033121000532</v>
      </c>
      <c r="X57" s="105">
        <v>33.147201705564648</v>
      </c>
      <c r="Y57" s="105">
        <v>23189.782313213029</v>
      </c>
      <c r="Z57" s="105">
        <v>46.757979725934575</v>
      </c>
      <c r="AA57" s="105">
        <v>32711.882616263829</v>
      </c>
      <c r="AB57" s="105">
        <v>39.742820045275451</v>
      </c>
      <c r="AC57" s="105">
        <v>27804.076903674708</v>
      </c>
      <c r="AD57" s="105">
        <v>30.092897162426038</v>
      </c>
      <c r="AE57" s="105">
        <v>21052.990854833257</v>
      </c>
      <c r="AF57" s="105">
        <v>42.288476795902305</v>
      </c>
      <c r="AG57" s="105">
        <v>29585.018366413253</v>
      </c>
      <c r="AH57" s="105">
        <v>35.84152380430384</v>
      </c>
      <c r="AI57" s="105">
        <v>25074.730053490966</v>
      </c>
      <c r="AJ57" s="105">
        <v>37.740210677457739</v>
      </c>
      <c r="AK57" s="105">
        <v>26403.051389949436</v>
      </c>
      <c r="AL57" s="105">
        <v>42.418735318204803</v>
      </c>
      <c r="AM57" s="105">
        <v>29676.147228616082</v>
      </c>
      <c r="AN57" s="105">
        <v>34</v>
      </c>
      <c r="AO57" s="105">
        <v>23786.400000000001</v>
      </c>
      <c r="AP57" s="105">
        <v>36.218854871768627</v>
      </c>
      <c r="AQ57" s="105">
        <v>25338.710868289334</v>
      </c>
      <c r="AR57" s="105">
        <v>40.333685137194379</v>
      </c>
      <c r="AS57" s="105">
        <v>28217.446121981189</v>
      </c>
      <c r="AT57" s="105">
        <v>39.034509937499209</v>
      </c>
      <c r="AU57" s="105">
        <v>27308.543152274447</v>
      </c>
      <c r="AV57" s="105">
        <v>37.304916470607772</v>
      </c>
      <c r="AW57" s="105">
        <v>26098.519562837198</v>
      </c>
      <c r="AX57" s="105">
        <v>40.578261805513009</v>
      </c>
      <c r="AY57" s="105">
        <v>28388.551959136901</v>
      </c>
      <c r="AZ57" s="105">
        <v>41.984784799728949</v>
      </c>
      <c r="BA57" s="105">
        <v>29372.555445890375</v>
      </c>
      <c r="BB57" s="105">
        <v>39.288334244943002</v>
      </c>
      <c r="BC57" s="105">
        <v>27486.118637762123</v>
      </c>
      <c r="BD57" s="105">
        <v>35.90817234127892</v>
      </c>
      <c r="BE57" s="105">
        <v>25121.357369958732</v>
      </c>
      <c r="BF57" s="105">
        <v>37.958855419060065</v>
      </c>
      <c r="BG57" s="105">
        <v>26556.015251174424</v>
      </c>
      <c r="BH57" s="105">
        <v>40.655755913456282</v>
      </c>
      <c r="BI57" s="105">
        <v>28442.766837054016</v>
      </c>
      <c r="BJ57" s="105">
        <v>31.080069195817167</v>
      </c>
      <c r="BK57" s="105">
        <v>21743.61640939369</v>
      </c>
      <c r="BL57" s="105">
        <v>45</v>
      </c>
      <c r="BM57" s="105">
        <v>31482</v>
      </c>
      <c r="BN57" s="105">
        <v>41.023209512286826</v>
      </c>
      <c r="BO57" s="105">
        <v>28699.837374795865</v>
      </c>
      <c r="BP57" s="105">
        <v>43.5315920665671</v>
      </c>
      <c r="BQ57" s="105">
        <v>30454.701809770344</v>
      </c>
      <c r="BR57" s="105">
        <v>39.18430815523638</v>
      </c>
      <c r="BS57" s="105">
        <v>27413.341985403371</v>
      </c>
      <c r="BT57" s="105">
        <v>29.104279504224575</v>
      </c>
      <c r="BU57" s="105">
        <v>20361.353941155514</v>
      </c>
      <c r="BV57" s="105">
        <v>50.104997983693231</v>
      </c>
      <c r="BW57" s="105">
        <v>35053.456589391782</v>
      </c>
      <c r="BX57" s="105">
        <v>42.885645878665926</v>
      </c>
      <c r="BY57" s="105">
        <v>30002.797856714682</v>
      </c>
      <c r="BZ57" s="105">
        <v>34.34699575931041</v>
      </c>
      <c r="CA57" s="105">
        <v>24029.158233213562</v>
      </c>
      <c r="CB57" s="105">
        <v>41.721121039128121</v>
      </c>
      <c r="CC57" s="105">
        <v>29188.096278974033</v>
      </c>
      <c r="CD57" s="105">
        <v>34.220320261143286</v>
      </c>
      <c r="CE57" s="105">
        <v>23940.536054695844</v>
      </c>
      <c r="CF57" s="105">
        <v>43</v>
      </c>
      <c r="CG57" s="105">
        <v>30082.799999999999</v>
      </c>
      <c r="CH57" s="105">
        <v>48.642731699404692</v>
      </c>
      <c r="CI57" s="105">
        <v>34030.455096903526</v>
      </c>
      <c r="CJ57" s="105">
        <v>41.632253290286798</v>
      </c>
      <c r="CK57" s="105">
        <v>29125.924401884644</v>
      </c>
      <c r="CL57" s="105">
        <v>30</v>
      </c>
      <c r="CM57" s="105">
        <v>20988</v>
      </c>
      <c r="CN57" s="105">
        <v>47.228059167413875</v>
      </c>
      <c r="CO57" s="105">
        <v>33040.750193522748</v>
      </c>
      <c r="CP57" s="105">
        <v>39.059864379693231</v>
      </c>
      <c r="CQ57" s="105">
        <v>27326.281120033385</v>
      </c>
      <c r="CR57" s="105">
        <v>30.223934885923018</v>
      </c>
      <c r="CS57" s="105">
        <v>21144.664846191743</v>
      </c>
      <c r="CT57" s="105">
        <v>44.242944080703658</v>
      </c>
      <c r="CU57" s="105">
        <v>30952.363678860282</v>
      </c>
    </row>
    <row r="58" spans="2:99" x14ac:dyDescent="0.2">
      <c r="C58" s="104" t="s">
        <v>224</v>
      </c>
      <c r="D58" s="105">
        <v>23.855987535139413</v>
      </c>
      <c r="E58" s="105">
        <v>18035.126576565395</v>
      </c>
      <c r="F58" s="105">
        <v>29.02798490567822</v>
      </c>
      <c r="G58" s="105">
        <v>21945.156588692735</v>
      </c>
      <c r="H58" s="105">
        <v>20.504261717513703</v>
      </c>
      <c r="I58" s="105">
        <v>15501.22185844036</v>
      </c>
      <c r="J58" s="105">
        <v>24.965156795333964</v>
      </c>
      <c r="K58" s="105">
        <v>18873.658537272477</v>
      </c>
      <c r="L58" s="105">
        <v>33.726081007825854</v>
      </c>
      <c r="M58" s="105">
        <v>25496.917241916344</v>
      </c>
      <c r="N58" s="105">
        <v>40.506341949339841</v>
      </c>
      <c r="O58" s="105">
        <v>30622.794513700919</v>
      </c>
      <c r="P58" s="105">
        <v>42.318467929764182</v>
      </c>
      <c r="Q58" s="105">
        <v>31992.761754901723</v>
      </c>
      <c r="R58" s="105">
        <v>42.782603203599173</v>
      </c>
      <c r="S58" s="105">
        <v>32343.648021920973</v>
      </c>
      <c r="T58" s="105">
        <v>29.800176550829267</v>
      </c>
      <c r="U58" s="105">
        <v>22528.933472426925</v>
      </c>
      <c r="V58" s="105">
        <v>33.515263460840792</v>
      </c>
      <c r="W58" s="105">
        <v>25337.53917639564</v>
      </c>
      <c r="X58" s="105">
        <v>25.729859557938049</v>
      </c>
      <c r="Y58" s="105">
        <v>19451.773825801163</v>
      </c>
      <c r="Z58" s="105">
        <v>41.576634542799489</v>
      </c>
      <c r="AA58" s="105">
        <v>31431.935714356412</v>
      </c>
      <c r="AB58" s="105">
        <v>31.758707770202676</v>
      </c>
      <c r="AC58" s="105">
        <v>24009.583074273221</v>
      </c>
      <c r="AD58" s="105">
        <v>23.513413093663978</v>
      </c>
      <c r="AE58" s="105">
        <v>17776.140298809969</v>
      </c>
      <c r="AF58" s="105">
        <v>39.834826842961881</v>
      </c>
      <c r="AG58" s="105">
        <v>30115.129093279182</v>
      </c>
      <c r="AH58" s="105">
        <v>39.750311067000837</v>
      </c>
      <c r="AI58" s="105">
        <v>30051.235166652634</v>
      </c>
      <c r="AJ58" s="105">
        <v>39.852482433013378</v>
      </c>
      <c r="AK58" s="105">
        <v>30128.476719358114</v>
      </c>
      <c r="AL58" s="105">
        <v>47.039515881243496</v>
      </c>
      <c r="AM58" s="105">
        <v>35561.874006220081</v>
      </c>
      <c r="AN58" s="105">
        <v>22.567846736995069</v>
      </c>
      <c r="AO58" s="105">
        <v>17061.292133168274</v>
      </c>
      <c r="AP58" s="105">
        <v>31.790343233492244</v>
      </c>
      <c r="AQ58" s="105">
        <v>24033.499484520136</v>
      </c>
      <c r="AR58" s="105">
        <v>39.354200535350316</v>
      </c>
      <c r="AS58" s="105">
        <v>29751.77560472484</v>
      </c>
      <c r="AT58" s="105">
        <v>33.898850621395511</v>
      </c>
      <c r="AU58" s="105">
        <v>25627.531069775006</v>
      </c>
      <c r="AV58" s="105">
        <v>45.878083697169657</v>
      </c>
      <c r="AW58" s="105">
        <v>34683.831275060264</v>
      </c>
      <c r="AX58" s="105">
        <v>27.77721976256095</v>
      </c>
      <c r="AY58" s="105">
        <v>20999.57814049608</v>
      </c>
      <c r="AZ58" s="105">
        <v>37.032019656703064</v>
      </c>
      <c r="BA58" s="105">
        <v>27996.206860467515</v>
      </c>
      <c r="BB58" s="105">
        <v>25.807475946040398</v>
      </c>
      <c r="BC58" s="105">
        <v>19510.451815206539</v>
      </c>
      <c r="BD58" s="105">
        <v>41.745950595669783</v>
      </c>
      <c r="BE58" s="105">
        <v>31559.938650326356</v>
      </c>
      <c r="BF58" s="105">
        <v>35.21638231630299</v>
      </c>
      <c r="BG58" s="105">
        <v>26623.585031125062</v>
      </c>
      <c r="BH58" s="105">
        <v>27.285815171302914</v>
      </c>
      <c r="BI58" s="105">
        <v>20628.076269505003</v>
      </c>
      <c r="BJ58" s="105">
        <v>23.666734250406392</v>
      </c>
      <c r="BK58" s="105">
        <v>17892.051093307233</v>
      </c>
      <c r="BL58" s="105">
        <v>27.635146628123358</v>
      </c>
      <c r="BM58" s="105">
        <v>20892.170850861257</v>
      </c>
      <c r="BN58" s="105">
        <v>27.835490535743162</v>
      </c>
      <c r="BO58" s="105">
        <v>21043.630845021831</v>
      </c>
      <c r="BP58" s="105">
        <v>32.299950414839664</v>
      </c>
      <c r="BQ58" s="105">
        <v>24418.762513618785</v>
      </c>
      <c r="BR58" s="105">
        <v>30.395682219105534</v>
      </c>
      <c r="BS58" s="105">
        <v>22979.135757643784</v>
      </c>
      <c r="BT58" s="105">
        <v>24.792434337727588</v>
      </c>
      <c r="BU58" s="105">
        <v>18743.080359322055</v>
      </c>
      <c r="BV58" s="105">
        <v>39.285199593806709</v>
      </c>
      <c r="BW58" s="105">
        <v>29699.610892917874</v>
      </c>
      <c r="BX58" s="105">
        <v>34.995383818796235</v>
      </c>
      <c r="BY58" s="105">
        <v>26456.510167009954</v>
      </c>
      <c r="BZ58" s="105">
        <v>31.255980859077333</v>
      </c>
      <c r="CA58" s="105">
        <v>23629.521529462465</v>
      </c>
      <c r="CB58" s="105">
        <v>31.800210755668232</v>
      </c>
      <c r="CC58" s="105">
        <v>24040.959331285183</v>
      </c>
      <c r="CD58" s="105">
        <v>28.431440601870374</v>
      </c>
      <c r="CE58" s="105">
        <v>21494.169095014004</v>
      </c>
      <c r="CF58" s="105">
        <v>32.335827718029904</v>
      </c>
      <c r="CG58" s="105">
        <v>24445.885754830608</v>
      </c>
      <c r="CH58" s="105">
        <v>49.758573475918162</v>
      </c>
      <c r="CI58" s="105">
        <v>37617.48154779413</v>
      </c>
      <c r="CJ58" s="105">
        <v>30.485739014078163</v>
      </c>
      <c r="CK58" s="105">
        <v>23047.218694643092</v>
      </c>
      <c r="CL58" s="105">
        <v>21.556074937041874</v>
      </c>
      <c r="CM58" s="105">
        <v>16296.392652403656</v>
      </c>
      <c r="CN58" s="105">
        <v>29.625183235738771</v>
      </c>
      <c r="CO58" s="105">
        <v>22396.63852621851</v>
      </c>
      <c r="CP58" s="105">
        <v>31.891111246802417</v>
      </c>
      <c r="CQ58" s="105">
        <v>24109.680102582628</v>
      </c>
      <c r="CR58" s="105">
        <v>27.247690965082846</v>
      </c>
      <c r="CS58" s="105">
        <v>20599.254369602633</v>
      </c>
      <c r="CT58" s="105">
        <v>36.281277292293346</v>
      </c>
      <c r="CU58" s="105">
        <v>27428.64563297377</v>
      </c>
    </row>
    <row r="59" spans="2:99" x14ac:dyDescent="0.2">
      <c r="C59" s="104" t="s">
        <v>225</v>
      </c>
      <c r="D59" s="105">
        <v>31</v>
      </c>
      <c r="E59" s="105">
        <v>13615.199999999999</v>
      </c>
      <c r="F59" s="105">
        <v>32.072439394695714</v>
      </c>
      <c r="G59" s="105">
        <v>14086.215382150356</v>
      </c>
      <c r="H59" s="105">
        <v>30.737294223274223</v>
      </c>
      <c r="I59" s="105">
        <v>13499.819622862038</v>
      </c>
      <c r="J59" s="105">
        <v>25.973976347130431</v>
      </c>
      <c r="K59" s="105">
        <v>11407.770411659685</v>
      </c>
      <c r="L59" s="105">
        <v>50.561433619194467</v>
      </c>
      <c r="M59" s="105">
        <v>22206.58164555021</v>
      </c>
      <c r="N59" s="105">
        <v>44.040570695762092</v>
      </c>
      <c r="O59" s="105">
        <v>19342.618649578711</v>
      </c>
      <c r="P59" s="105">
        <v>39.475077372680254</v>
      </c>
      <c r="Q59" s="105">
        <v>17337.453982081166</v>
      </c>
      <c r="R59" s="105">
        <v>48.080050842197416</v>
      </c>
      <c r="S59" s="105">
        <v>21116.758329893106</v>
      </c>
      <c r="T59" s="105">
        <v>46</v>
      </c>
      <c r="U59" s="105">
        <v>20203.2</v>
      </c>
      <c r="V59" s="105">
        <v>52.662504547595702</v>
      </c>
      <c r="W59" s="105">
        <v>23129.371997304032</v>
      </c>
      <c r="X59" s="105">
        <v>34</v>
      </c>
      <c r="Y59" s="105">
        <v>14932.8</v>
      </c>
      <c r="Z59" s="105">
        <v>47</v>
      </c>
      <c r="AA59" s="105">
        <v>20642.399999999998</v>
      </c>
      <c r="AB59" s="105">
        <v>40.580873664070985</v>
      </c>
      <c r="AC59" s="105">
        <v>17823.119713259977</v>
      </c>
      <c r="AD59" s="105">
        <v>33</v>
      </c>
      <c r="AE59" s="105">
        <v>14493.6</v>
      </c>
      <c r="AF59" s="105">
        <v>50</v>
      </c>
      <c r="AG59" s="105">
        <v>21960</v>
      </c>
      <c r="AH59" s="105">
        <v>36.603932127700929</v>
      </c>
      <c r="AI59" s="105">
        <v>16076.446990486247</v>
      </c>
      <c r="AJ59" s="105">
        <v>39</v>
      </c>
      <c r="AK59" s="105">
        <v>17128.8</v>
      </c>
      <c r="AL59" s="105">
        <v>59</v>
      </c>
      <c r="AM59" s="105">
        <v>25912.799999999999</v>
      </c>
      <c r="AN59" s="105">
        <v>32.712602209002064</v>
      </c>
      <c r="AO59" s="105">
        <v>14367.374890193707</v>
      </c>
      <c r="AP59" s="105">
        <v>38</v>
      </c>
      <c r="AQ59" s="105">
        <v>16689.599999999999</v>
      </c>
      <c r="AR59" s="105">
        <v>45.396593249578331</v>
      </c>
      <c r="AS59" s="105">
        <v>19938.183755214803</v>
      </c>
      <c r="AT59" s="105">
        <v>47.43130239319072</v>
      </c>
      <c r="AU59" s="105">
        <v>20831.828011089365</v>
      </c>
      <c r="AV59" s="105">
        <v>50</v>
      </c>
      <c r="AW59" s="105">
        <v>21960</v>
      </c>
      <c r="AX59" s="105">
        <v>44</v>
      </c>
      <c r="AY59" s="105">
        <v>19324.8</v>
      </c>
      <c r="AZ59" s="105">
        <v>49.713636550206395</v>
      </c>
      <c r="BA59" s="105">
        <v>21834.22917285065</v>
      </c>
      <c r="BB59" s="105">
        <v>35.770813131766779</v>
      </c>
      <c r="BC59" s="105">
        <v>15710.541127471968</v>
      </c>
      <c r="BD59" s="105">
        <v>47.2211679691111</v>
      </c>
      <c r="BE59" s="105">
        <v>20739.536972033595</v>
      </c>
      <c r="BF59" s="105">
        <v>46.428152223967864</v>
      </c>
      <c r="BG59" s="105">
        <v>20391.244456766686</v>
      </c>
      <c r="BH59" s="105">
        <v>44.939664396869311</v>
      </c>
      <c r="BI59" s="105">
        <v>19737.500603105</v>
      </c>
      <c r="BJ59" s="105">
        <v>29.658003716531603</v>
      </c>
      <c r="BK59" s="105">
        <v>13025.795232300679</v>
      </c>
      <c r="BL59" s="105">
        <v>46</v>
      </c>
      <c r="BM59" s="105">
        <v>20203.2</v>
      </c>
      <c r="BN59" s="105">
        <v>43</v>
      </c>
      <c r="BO59" s="105">
        <v>18885.599999999999</v>
      </c>
      <c r="BP59" s="105">
        <v>40</v>
      </c>
      <c r="BQ59" s="105">
        <v>17568</v>
      </c>
      <c r="BR59" s="105">
        <v>35</v>
      </c>
      <c r="BS59" s="105">
        <v>15372</v>
      </c>
      <c r="BT59" s="105">
        <v>29</v>
      </c>
      <c r="BU59" s="105">
        <v>12736.8</v>
      </c>
      <c r="BV59" s="105">
        <v>44.314513855900174</v>
      </c>
      <c r="BW59" s="105">
        <v>19462.934485511356</v>
      </c>
      <c r="BX59" s="105">
        <v>45</v>
      </c>
      <c r="BY59" s="105">
        <v>19764</v>
      </c>
      <c r="BZ59" s="105">
        <v>35</v>
      </c>
      <c r="CA59" s="105">
        <v>15372</v>
      </c>
      <c r="CB59" s="105">
        <v>49</v>
      </c>
      <c r="CC59" s="105">
        <v>21520.799999999999</v>
      </c>
      <c r="CD59" s="105">
        <v>30.418393929131902</v>
      </c>
      <c r="CE59" s="105">
        <v>13359.75861367473</v>
      </c>
      <c r="CF59" s="105">
        <v>35.349772305855986</v>
      </c>
      <c r="CG59" s="105">
        <v>15525.619996731948</v>
      </c>
      <c r="CH59" s="105">
        <v>53.14552574408112</v>
      </c>
      <c r="CI59" s="105">
        <v>23341.514906800428</v>
      </c>
      <c r="CJ59" s="105">
        <v>40.83870250820538</v>
      </c>
      <c r="CK59" s="105">
        <v>17936.358141603803</v>
      </c>
      <c r="CL59" s="105">
        <v>33</v>
      </c>
      <c r="CM59" s="105">
        <v>14493.6</v>
      </c>
      <c r="CN59" s="105">
        <v>45</v>
      </c>
      <c r="CO59" s="105">
        <v>19764</v>
      </c>
      <c r="CP59" s="105">
        <v>44.67766614397302</v>
      </c>
      <c r="CQ59" s="105">
        <v>19622.43097043295</v>
      </c>
      <c r="CR59" s="105">
        <v>28.634831350715466</v>
      </c>
      <c r="CS59" s="105">
        <v>12576.417929234232</v>
      </c>
      <c r="CT59" s="105">
        <v>45.625245382817489</v>
      </c>
      <c r="CU59" s="105">
        <v>20038.60777213344</v>
      </c>
    </row>
    <row r="60" spans="2:99" x14ac:dyDescent="0.2">
      <c r="C60" s="104" t="s">
        <v>226</v>
      </c>
      <c r="D60" s="105">
        <v>34</v>
      </c>
      <c r="E60" s="105">
        <v>7140</v>
      </c>
      <c r="F60" s="105">
        <v>37</v>
      </c>
      <c r="G60" s="105">
        <v>7770</v>
      </c>
      <c r="H60" s="105">
        <v>29</v>
      </c>
      <c r="I60" s="105">
        <v>6090</v>
      </c>
      <c r="J60" s="105">
        <v>31</v>
      </c>
      <c r="K60" s="105">
        <v>6510</v>
      </c>
      <c r="L60" s="105">
        <v>52</v>
      </c>
      <c r="M60" s="105">
        <v>10920</v>
      </c>
      <c r="N60" s="105">
        <v>60.695839347868308</v>
      </c>
      <c r="O60" s="105">
        <v>12746.126263052345</v>
      </c>
      <c r="P60" s="105">
        <v>41.760670893794632</v>
      </c>
      <c r="Q60" s="105">
        <v>8769.740887696873</v>
      </c>
      <c r="R60" s="105">
        <v>47.795847047335492</v>
      </c>
      <c r="S60" s="105">
        <v>10037.127879940454</v>
      </c>
      <c r="T60" s="105">
        <v>37.773197664741794</v>
      </c>
      <c r="U60" s="105">
        <v>7932.3715095957768</v>
      </c>
      <c r="V60" s="105">
        <v>40.622352430753075</v>
      </c>
      <c r="W60" s="105">
        <v>8530.6940104581463</v>
      </c>
      <c r="X60" s="105">
        <v>41.147201705564648</v>
      </c>
      <c r="Y60" s="105">
        <v>8640.9123581685762</v>
      </c>
      <c r="Z60" s="105">
        <v>47.023824119028554</v>
      </c>
      <c r="AA60" s="105">
        <v>9875.0030649959954</v>
      </c>
      <c r="AB60" s="105">
        <v>38.890157016667359</v>
      </c>
      <c r="AC60" s="105">
        <v>8166.9329735001456</v>
      </c>
      <c r="AD60" s="105">
        <v>33.069672871819527</v>
      </c>
      <c r="AE60" s="105">
        <v>6944.6313030821011</v>
      </c>
      <c r="AF60" s="105">
        <v>49.288476795902305</v>
      </c>
      <c r="AG60" s="105">
        <v>10350.580127139485</v>
      </c>
      <c r="AH60" s="105">
        <v>40.880256483854531</v>
      </c>
      <c r="AI60" s="105">
        <v>8584.853861609452</v>
      </c>
      <c r="AJ60" s="105">
        <v>46.443304393619123</v>
      </c>
      <c r="AK60" s="105">
        <v>9753.0939226600149</v>
      </c>
      <c r="AL60" s="105">
        <v>42.546237261876421</v>
      </c>
      <c r="AM60" s="105">
        <v>8934.7098249940482</v>
      </c>
      <c r="AN60" s="105">
        <v>37.292350718208809</v>
      </c>
      <c r="AO60" s="105">
        <v>7831.3936508238494</v>
      </c>
      <c r="AP60" s="105">
        <v>46.218854871768627</v>
      </c>
      <c r="AQ60" s="105">
        <v>9705.9595230714112</v>
      </c>
      <c r="AR60" s="105">
        <v>42.119510918097426</v>
      </c>
      <c r="AS60" s="105">
        <v>8845.0972928004594</v>
      </c>
      <c r="AT60" s="105">
        <v>39.861702678589246</v>
      </c>
      <c r="AU60" s="105">
        <v>8370.9575625037414</v>
      </c>
      <c r="AV60" s="105">
        <v>40.83923662737466</v>
      </c>
      <c r="AW60" s="105">
        <v>8576.2396917486785</v>
      </c>
      <c r="AX60" s="105">
        <v>44.106806310340225</v>
      </c>
      <c r="AY60" s="105">
        <v>9262.429325171448</v>
      </c>
      <c r="AZ60" s="105">
        <v>44.223061228226996</v>
      </c>
      <c r="BA60" s="105">
        <v>9286.8428579276697</v>
      </c>
      <c r="BB60" s="105">
        <v>41.288334244943002</v>
      </c>
      <c r="BC60" s="105">
        <v>8670.5501914380311</v>
      </c>
      <c r="BD60" s="105">
        <v>42.076534692021291</v>
      </c>
      <c r="BE60" s="105">
        <v>8836.0722853244715</v>
      </c>
      <c r="BF60" s="105">
        <v>41.1603115624117</v>
      </c>
      <c r="BG60" s="105">
        <v>8643.6654281064566</v>
      </c>
      <c r="BH60" s="105">
        <v>42.838399529733266</v>
      </c>
      <c r="BI60" s="105">
        <v>8996.063901243986</v>
      </c>
      <c r="BJ60" s="105">
        <v>37.060051896862873</v>
      </c>
      <c r="BK60" s="105">
        <v>7782.6108983412032</v>
      </c>
      <c r="BL60" s="105">
        <v>51</v>
      </c>
      <c r="BM60" s="105">
        <v>10710</v>
      </c>
      <c r="BN60" s="105">
        <v>42.794056917348954</v>
      </c>
      <c r="BO60" s="105">
        <v>8986.7519526432807</v>
      </c>
      <c r="BP60" s="105">
        <v>38.702848340143802</v>
      </c>
      <c r="BQ60" s="105">
        <v>8127.5981514301984</v>
      </c>
      <c r="BR60" s="105">
        <v>40.163915859117289</v>
      </c>
      <c r="BS60" s="105">
        <v>8434.4223304146308</v>
      </c>
      <c r="BT60" s="105">
        <v>32.104279504224571</v>
      </c>
      <c r="BU60" s="105">
        <v>6741.8986958871601</v>
      </c>
      <c r="BV60" s="105">
        <v>48.110537481226402</v>
      </c>
      <c r="BW60" s="105">
        <v>10103.212871057545</v>
      </c>
      <c r="BX60" s="105">
        <v>42.933024097610243</v>
      </c>
      <c r="BY60" s="105">
        <v>9015.9350604981519</v>
      </c>
      <c r="BZ60" s="105">
        <v>41.295224873485402</v>
      </c>
      <c r="CA60" s="105">
        <v>8671.9972234319339</v>
      </c>
      <c r="CB60" s="105">
        <v>53.031213514756352</v>
      </c>
      <c r="CC60" s="105">
        <v>11136.554838098835</v>
      </c>
      <c r="CD60" s="105">
        <v>38.220320261143286</v>
      </c>
      <c r="CE60" s="105">
        <v>8026.2672548400897</v>
      </c>
      <c r="CF60" s="105">
        <v>46</v>
      </c>
      <c r="CG60" s="105">
        <v>9660</v>
      </c>
      <c r="CH60" s="105">
        <v>47.768570780443575</v>
      </c>
      <c r="CI60" s="105">
        <v>10031.399863893152</v>
      </c>
      <c r="CJ60" s="105">
        <v>46.553325058580185</v>
      </c>
      <c r="CK60" s="105">
        <v>9776.1982623018393</v>
      </c>
      <c r="CL60" s="105">
        <v>34.21067641449261</v>
      </c>
      <c r="CM60" s="105">
        <v>7184.2420470434481</v>
      </c>
      <c r="CN60" s="105">
        <v>49.273671000896648</v>
      </c>
      <c r="CO60" s="105">
        <v>10347.470910188296</v>
      </c>
      <c r="CP60" s="105">
        <v>43.51319433609688</v>
      </c>
      <c r="CQ60" s="105">
        <v>9137.7708105803449</v>
      </c>
      <c r="CR60" s="105">
        <v>33.223934885923022</v>
      </c>
      <c r="CS60" s="105">
        <v>6977.0263260438342</v>
      </c>
      <c r="CT60" s="105">
        <v>52.242944080703658</v>
      </c>
      <c r="CU60" s="105">
        <v>10971.018256947767</v>
      </c>
    </row>
    <row r="61" spans="2:99" x14ac:dyDescent="0.2">
      <c r="C61" s="104" t="s">
        <v>227</v>
      </c>
      <c r="D61" s="105">
        <v>31</v>
      </c>
      <c r="E61" s="105">
        <v>6138</v>
      </c>
      <c r="F61" s="105">
        <v>39</v>
      </c>
      <c r="G61" s="105">
        <v>7722</v>
      </c>
      <c r="H61" s="105">
        <v>32</v>
      </c>
      <c r="I61" s="105">
        <v>6336</v>
      </c>
      <c r="J61" s="105">
        <v>30</v>
      </c>
      <c r="K61" s="105">
        <v>5940</v>
      </c>
      <c r="L61" s="105">
        <v>62</v>
      </c>
      <c r="M61" s="105">
        <v>12276</v>
      </c>
      <c r="N61" s="105">
        <v>62.622691390657771</v>
      </c>
      <c r="O61" s="105">
        <v>12399.292895350238</v>
      </c>
      <c r="P61" s="105">
        <v>42.725159560269503</v>
      </c>
      <c r="Q61" s="105">
        <v>8459.5815929333621</v>
      </c>
      <c r="R61" s="105">
        <v>40.737114837432628</v>
      </c>
      <c r="S61" s="105">
        <v>8065.9487378116601</v>
      </c>
      <c r="T61" s="105">
        <v>38.710538570607554</v>
      </c>
      <c r="U61" s="105">
        <v>7664.6866369802956</v>
      </c>
      <c r="V61" s="105">
        <v>39.796786482478268</v>
      </c>
      <c r="W61" s="105">
        <v>7879.7637235306975</v>
      </c>
      <c r="X61" s="105">
        <v>37.147201705564648</v>
      </c>
      <c r="Y61" s="105">
        <v>7355.1459377018</v>
      </c>
      <c r="Z61" s="105">
        <v>47.023824119028554</v>
      </c>
      <c r="AA61" s="105">
        <v>9310.7171755676536</v>
      </c>
      <c r="AB61" s="105">
        <v>38.890157016667359</v>
      </c>
      <c r="AC61" s="105">
        <v>7700.2510893001372</v>
      </c>
      <c r="AD61" s="105">
        <v>33.092897162426041</v>
      </c>
      <c r="AE61" s="105">
        <v>6552.3936381603562</v>
      </c>
      <c r="AF61" s="105">
        <v>45.240397329918586</v>
      </c>
      <c r="AG61" s="105">
        <v>8957.5986713238799</v>
      </c>
      <c r="AH61" s="105">
        <v>46.279036098053936</v>
      </c>
      <c r="AI61" s="105">
        <v>9163.2491474146791</v>
      </c>
      <c r="AJ61" s="105">
        <v>39.665296645240808</v>
      </c>
      <c r="AK61" s="105">
        <v>7853.7287357576797</v>
      </c>
      <c r="AL61" s="105">
        <v>47.039092394166595</v>
      </c>
      <c r="AM61" s="105">
        <v>9313.7402940449865</v>
      </c>
      <c r="AN61" s="105">
        <v>38</v>
      </c>
      <c r="AO61" s="105">
        <v>7524</v>
      </c>
      <c r="AP61" s="105">
        <v>43.262625846122347</v>
      </c>
      <c r="AQ61" s="105">
        <v>8565.9999175322246</v>
      </c>
      <c r="AR61" s="105">
        <v>43.818241660932749</v>
      </c>
      <c r="AS61" s="105">
        <v>8676.011848864684</v>
      </c>
      <c r="AT61" s="105">
        <v>45.65205186621953</v>
      </c>
      <c r="AU61" s="105">
        <v>9039.106269511467</v>
      </c>
      <c r="AV61" s="105">
        <v>42.027315288512796</v>
      </c>
      <c r="AW61" s="105">
        <v>8321.4084271255342</v>
      </c>
      <c r="AX61" s="105">
        <v>41.460397931719811</v>
      </c>
      <c r="AY61" s="105">
        <v>8209.1587904805219</v>
      </c>
      <c r="AZ61" s="105">
        <v>47.20742979955773</v>
      </c>
      <c r="BA61" s="105">
        <v>9347.0711003124306</v>
      </c>
      <c r="BB61" s="105">
        <v>45.288334244943002</v>
      </c>
      <c r="BC61" s="105">
        <v>8967.0901804987152</v>
      </c>
      <c r="BD61" s="105">
        <v>42.076534692021291</v>
      </c>
      <c r="BE61" s="105">
        <v>8331.153869020216</v>
      </c>
      <c r="BF61" s="105">
        <v>41.994180082041602</v>
      </c>
      <c r="BG61" s="105">
        <v>8314.8476562442374</v>
      </c>
      <c r="BH61" s="105">
        <v>46.879757975934517</v>
      </c>
      <c r="BI61" s="105">
        <v>9282.1920792350338</v>
      </c>
      <c r="BJ61" s="105">
        <v>34.080069195817167</v>
      </c>
      <c r="BK61" s="105">
        <v>6747.8537007717987</v>
      </c>
      <c r="BL61" s="105">
        <v>42</v>
      </c>
      <c r="BM61" s="105">
        <v>8316</v>
      </c>
      <c r="BN61" s="105">
        <v>41.843077874741198</v>
      </c>
      <c r="BO61" s="105">
        <v>8284.9294191987574</v>
      </c>
      <c r="BP61" s="105">
        <v>42.565843321282443</v>
      </c>
      <c r="BQ61" s="105">
        <v>8428.0369776139232</v>
      </c>
      <c r="BR61" s="105">
        <v>41.143523562998205</v>
      </c>
      <c r="BS61" s="105">
        <v>8146.4176654736448</v>
      </c>
      <c r="BT61" s="105">
        <v>34.104279504224571</v>
      </c>
      <c r="BU61" s="105">
        <v>6752.6473418364649</v>
      </c>
      <c r="BV61" s="105">
        <v>54.093918988626896</v>
      </c>
      <c r="BW61" s="105">
        <v>10710.595959748125</v>
      </c>
      <c r="BX61" s="105">
        <v>44.822072086165925</v>
      </c>
      <c r="BY61" s="105">
        <v>8874.7702730608526</v>
      </c>
      <c r="BZ61" s="105">
        <v>40.295224873485402</v>
      </c>
      <c r="CA61" s="105">
        <v>7978.4545249501098</v>
      </c>
      <c r="CB61" s="105">
        <v>51.146198102151651</v>
      </c>
      <c r="CC61" s="105">
        <v>10126.947224226027</v>
      </c>
      <c r="CD61" s="105">
        <v>37.418618253677295</v>
      </c>
      <c r="CE61" s="105">
        <v>7408.8864142281045</v>
      </c>
      <c r="CF61" s="105">
        <v>41</v>
      </c>
      <c r="CG61" s="105">
        <v>8118</v>
      </c>
      <c r="CH61" s="105">
        <v>57.789990537167697</v>
      </c>
      <c r="CI61" s="105">
        <v>11442.418126359204</v>
      </c>
      <c r="CJ61" s="105">
        <v>42.665676050049186</v>
      </c>
      <c r="CK61" s="105">
        <v>8447.8038579097392</v>
      </c>
      <c r="CL61" s="105">
        <v>38</v>
      </c>
      <c r="CM61" s="105">
        <v>7524</v>
      </c>
      <c r="CN61" s="105">
        <v>47.273671000896648</v>
      </c>
      <c r="CO61" s="105">
        <v>9360.1868581775361</v>
      </c>
      <c r="CP61" s="105">
        <v>46.149484934309022</v>
      </c>
      <c r="CQ61" s="105">
        <v>9137.5980169931863</v>
      </c>
      <c r="CR61" s="105">
        <v>37.223934885923022</v>
      </c>
      <c r="CS61" s="105">
        <v>7370.3391074127585</v>
      </c>
      <c r="CT61" s="105">
        <v>46.245026443824358</v>
      </c>
      <c r="CU61" s="105">
        <v>9156.5152358772229</v>
      </c>
    </row>
    <row r="62" spans="2:99" x14ac:dyDescent="0.2">
      <c r="C62" s="104" t="s">
        <v>228</v>
      </c>
      <c r="D62" s="105">
        <v>29</v>
      </c>
      <c r="E62" s="105">
        <v>27735.599999999999</v>
      </c>
      <c r="F62" s="105">
        <v>31</v>
      </c>
      <c r="G62" s="105">
        <v>29648.399999999998</v>
      </c>
      <c r="H62" s="105">
        <v>28</v>
      </c>
      <c r="I62" s="105">
        <v>26779.200000000001</v>
      </c>
      <c r="J62" s="105">
        <v>26</v>
      </c>
      <c r="K62" s="105">
        <v>24866.399999999998</v>
      </c>
      <c r="L62" s="105">
        <v>54</v>
      </c>
      <c r="M62" s="105">
        <v>51645.599999999999</v>
      </c>
      <c r="N62" s="105">
        <v>52.025005155315696</v>
      </c>
      <c r="O62" s="105">
        <v>49756.714930543931</v>
      </c>
      <c r="P62" s="105">
        <v>35.009250228470485</v>
      </c>
      <c r="Q62" s="105">
        <v>33482.846918509174</v>
      </c>
      <c r="R62" s="105">
        <v>38.935080627334116</v>
      </c>
      <c r="S62" s="105">
        <v>37237.511111982349</v>
      </c>
      <c r="T62" s="105">
        <v>39.647879476473314</v>
      </c>
      <c r="U62" s="105">
        <v>37919.231931299073</v>
      </c>
      <c r="V62" s="105">
        <v>40.622352430753075</v>
      </c>
      <c r="W62" s="105">
        <v>38851.217864772239</v>
      </c>
      <c r="X62" s="105">
        <v>30.147201705564648</v>
      </c>
      <c r="Y62" s="105">
        <v>28832.783711202028</v>
      </c>
      <c r="Z62" s="105">
        <v>40.606062195861064</v>
      </c>
      <c r="AA62" s="105">
        <v>38835.637884121519</v>
      </c>
      <c r="AB62" s="105">
        <v>40.639996009613931</v>
      </c>
      <c r="AC62" s="105">
        <v>38868.092183594759</v>
      </c>
      <c r="AD62" s="105">
        <v>27.069672871819527</v>
      </c>
      <c r="AE62" s="105">
        <v>25889.435134608197</v>
      </c>
      <c r="AF62" s="105">
        <v>38.288476795902305</v>
      </c>
      <c r="AG62" s="105">
        <v>36619.099207600964</v>
      </c>
      <c r="AH62" s="105">
        <v>41.060279951178885</v>
      </c>
      <c r="AI62" s="105">
        <v>39270.051745307486</v>
      </c>
      <c r="AJ62" s="105">
        <v>35.81512470967467</v>
      </c>
      <c r="AK62" s="105">
        <v>34253.585272332857</v>
      </c>
      <c r="AL62" s="105">
        <v>36.468524473634275</v>
      </c>
      <c r="AM62" s="105">
        <v>34878.496806583818</v>
      </c>
      <c r="AN62" s="105">
        <v>33.292350718208809</v>
      </c>
      <c r="AO62" s="105">
        <v>31840.804226894903</v>
      </c>
      <c r="AP62" s="105">
        <v>38.218854871768627</v>
      </c>
      <c r="AQ62" s="105">
        <v>36552.512799359516</v>
      </c>
      <c r="AR62" s="105">
        <v>39.50609352529365</v>
      </c>
      <c r="AS62" s="105">
        <v>37783.627847590848</v>
      </c>
      <c r="AT62" s="105">
        <v>39.822589902022415</v>
      </c>
      <c r="AU62" s="105">
        <v>38086.324982294238</v>
      </c>
      <c r="AV62" s="105">
        <v>38.188496509799499</v>
      </c>
      <c r="AW62" s="105">
        <v>36523.478061972237</v>
      </c>
      <c r="AX62" s="105">
        <v>36.167581174478983</v>
      </c>
      <c r="AY62" s="105">
        <v>34590.674635271695</v>
      </c>
      <c r="AZ62" s="105">
        <v>38.254324085565536</v>
      </c>
      <c r="BA62" s="105">
        <v>36586.43555543488</v>
      </c>
      <c r="BB62" s="105">
        <v>36.288334244943002</v>
      </c>
      <c r="BC62" s="105">
        <v>34706.162871863489</v>
      </c>
      <c r="BD62" s="105">
        <v>36.702069222260455</v>
      </c>
      <c r="BE62" s="105">
        <v>35101.859004169899</v>
      </c>
      <c r="BF62" s="105">
        <v>37.932051832026474</v>
      </c>
      <c r="BG62" s="105">
        <v>36278.21437215012</v>
      </c>
      <c r="BH62" s="105">
        <v>37.988769394291765</v>
      </c>
      <c r="BI62" s="105">
        <v>36332.459048700643</v>
      </c>
      <c r="BJ62" s="105">
        <v>31.060051896862877</v>
      </c>
      <c r="BK62" s="105">
        <v>29705.833634159655</v>
      </c>
      <c r="BL62" s="105">
        <v>44</v>
      </c>
      <c r="BM62" s="105">
        <v>42081.599999999999</v>
      </c>
      <c r="BN62" s="105">
        <v>40.892098832133449</v>
      </c>
      <c r="BO62" s="105">
        <v>39109.203323052432</v>
      </c>
      <c r="BP62" s="105">
        <v>37.737099594859146</v>
      </c>
      <c r="BQ62" s="105">
        <v>36091.762052523285</v>
      </c>
      <c r="BR62" s="105">
        <v>36.245485043593654</v>
      </c>
      <c r="BS62" s="105">
        <v>34665.181895692971</v>
      </c>
      <c r="BT62" s="105">
        <v>30</v>
      </c>
      <c r="BU62" s="105">
        <v>28692</v>
      </c>
      <c r="BV62" s="105">
        <v>49.10776773245982</v>
      </c>
      <c r="BW62" s="105">
        <v>46966.669059324573</v>
      </c>
      <c r="BX62" s="105">
        <v>44.822072086165925</v>
      </c>
      <c r="BY62" s="105">
        <v>42867.829743209091</v>
      </c>
      <c r="BZ62" s="105">
        <v>36.295224873485402</v>
      </c>
      <c r="CA62" s="105">
        <v>34712.753069001439</v>
      </c>
      <c r="CB62" s="105">
        <v>40.77861333282577</v>
      </c>
      <c r="CC62" s="105">
        <v>39000.665791514562</v>
      </c>
      <c r="CD62" s="105">
        <v>32.220320261143286</v>
      </c>
      <c r="CE62" s="105">
        <v>30815.514297757436</v>
      </c>
      <c r="CF62" s="105">
        <v>40</v>
      </c>
      <c r="CG62" s="105">
        <v>38256</v>
      </c>
      <c r="CH62" s="105">
        <v>44.06910228052319</v>
      </c>
      <c r="CI62" s="105">
        <v>42147.689421092378</v>
      </c>
      <c r="CJ62" s="105">
        <v>42.665676050049186</v>
      </c>
      <c r="CK62" s="105">
        <v>40805.452574267038</v>
      </c>
      <c r="CL62" s="105">
        <v>32</v>
      </c>
      <c r="CM62" s="105">
        <v>30604.799999999999</v>
      </c>
      <c r="CN62" s="105">
        <v>45.228059167413875</v>
      </c>
      <c r="CO62" s="105">
        <v>43256.115787714625</v>
      </c>
      <c r="CP62" s="105">
        <v>39.968384058788978</v>
      </c>
      <c r="CQ62" s="105">
        <v>38225.762513825779</v>
      </c>
      <c r="CR62" s="105">
        <v>32.268721863107622</v>
      </c>
      <c r="CS62" s="105">
        <v>30861.80558987613</v>
      </c>
      <c r="CT62" s="105">
        <v>39.242944080703658</v>
      </c>
      <c r="CU62" s="105">
        <v>37531.951718784978</v>
      </c>
    </row>
    <row r="63" spans="2:99" x14ac:dyDescent="0.2">
      <c r="C63" s="104" t="s">
        <v>229</v>
      </c>
      <c r="D63" s="105">
        <v>33</v>
      </c>
      <c r="E63" s="105">
        <v>990</v>
      </c>
      <c r="F63" s="105">
        <v>37</v>
      </c>
      <c r="G63" s="105">
        <v>1110</v>
      </c>
      <c r="H63" s="105">
        <v>33</v>
      </c>
      <c r="I63" s="105">
        <v>990</v>
      </c>
      <c r="J63" s="105">
        <v>31</v>
      </c>
      <c r="K63" s="105">
        <v>930</v>
      </c>
      <c r="L63" s="105">
        <v>58</v>
      </c>
      <c r="M63" s="105">
        <v>1740</v>
      </c>
      <c r="N63" s="105">
        <v>64.549543433447255</v>
      </c>
      <c r="O63" s="105">
        <v>1936.4863030034176</v>
      </c>
      <c r="P63" s="105">
        <v>46.583114226169016</v>
      </c>
      <c r="Q63" s="105">
        <v>1397.4934267850704</v>
      </c>
      <c r="R63" s="105">
        <v>41.619456363670487</v>
      </c>
      <c r="S63" s="105">
        <v>1248.5836909101147</v>
      </c>
      <c r="T63" s="105">
        <v>41.522561288204827</v>
      </c>
      <c r="U63" s="105">
        <v>1245.6768386461449</v>
      </c>
      <c r="V63" s="105">
        <v>46.23169310338919</v>
      </c>
      <c r="W63" s="105">
        <v>1386.9507931016758</v>
      </c>
      <c r="X63" s="105">
        <v>42.184002131955808</v>
      </c>
      <c r="Y63" s="105">
        <v>1265.5200639586742</v>
      </c>
      <c r="Z63" s="105">
        <v>51.607939778433909</v>
      </c>
      <c r="AA63" s="105">
        <v>1548.2381933530173</v>
      </c>
      <c r="AB63" s="105">
        <v>42.478860874021279</v>
      </c>
      <c r="AC63" s="105">
        <v>1274.3658262206384</v>
      </c>
      <c r="AD63" s="105">
        <v>37.092897162426041</v>
      </c>
      <c r="AE63" s="105">
        <v>1112.7869148727812</v>
      </c>
      <c r="AF63" s="105">
        <v>46.288476795902305</v>
      </c>
      <c r="AG63" s="105">
        <v>1388.6543038770692</v>
      </c>
      <c r="AH63" s="105">
        <v>41.930072642324724</v>
      </c>
      <c r="AI63" s="105">
        <v>1257.9021792697417</v>
      </c>
      <c r="AJ63" s="105">
        <v>44.478011564698477</v>
      </c>
      <c r="AK63" s="105">
        <v>1334.3403469409543</v>
      </c>
      <c r="AL63" s="105">
        <v>41.83265790516738</v>
      </c>
      <c r="AM63" s="105">
        <v>1254.9797371550214</v>
      </c>
      <c r="AN63" s="105">
        <v>36.292350718208809</v>
      </c>
      <c r="AO63" s="105">
        <v>1088.7705215462643</v>
      </c>
      <c r="AP63" s="105">
        <v>48.218854871768627</v>
      </c>
      <c r="AQ63" s="105">
        <v>1446.5656461530589</v>
      </c>
      <c r="AR63" s="105">
        <v>48.173937315605706</v>
      </c>
      <c r="AS63" s="105">
        <v>1445.2181194681712</v>
      </c>
      <c r="AT63" s="105">
        <v>46.47924460730956</v>
      </c>
      <c r="AU63" s="105">
        <v>1394.3773382192869</v>
      </c>
      <c r="AV63" s="105">
        <v>46.179627827436079</v>
      </c>
      <c r="AW63" s="105">
        <v>1385.3888348230823</v>
      </c>
      <c r="AX63" s="105">
        <v>40.578261805513009</v>
      </c>
      <c r="AY63" s="105">
        <v>1217.3478541653903</v>
      </c>
      <c r="AZ63" s="105">
        <v>41.781159998630201</v>
      </c>
      <c r="BA63" s="105">
        <v>1253.4347999589061</v>
      </c>
      <c r="BB63" s="105">
        <v>46.288334244943002</v>
      </c>
      <c r="BC63" s="105">
        <v>1388.65002734829</v>
      </c>
      <c r="BD63" s="105">
        <v>46.228831794038861</v>
      </c>
      <c r="BE63" s="105">
        <v>1386.8649538211657</v>
      </c>
      <c r="BF63" s="105">
        <v>45.222439812426835</v>
      </c>
      <c r="BG63" s="105">
        <v>1356.673194372805</v>
      </c>
      <c r="BH63" s="105">
        <v>47.162291335952247</v>
      </c>
      <c r="BI63" s="105">
        <v>1414.8687400785675</v>
      </c>
      <c r="BJ63" s="105">
        <v>37.080069195817167</v>
      </c>
      <c r="BK63" s="105">
        <v>1112.402075874515</v>
      </c>
      <c r="BL63" s="105">
        <v>46.151405779405515</v>
      </c>
      <c r="BM63" s="105">
        <v>1384.5421733821654</v>
      </c>
      <c r="BN63" s="105">
        <v>42.92516759750233</v>
      </c>
      <c r="BO63" s="105">
        <v>1287.75502792507</v>
      </c>
      <c r="BP63" s="105">
        <v>46.428838302421077</v>
      </c>
      <c r="BQ63" s="105">
        <v>1392.8651490726322</v>
      </c>
      <c r="BR63" s="105">
        <v>43.102738970760022</v>
      </c>
      <c r="BS63" s="105">
        <v>1293.0821691228007</v>
      </c>
      <c r="BT63" s="105">
        <v>36</v>
      </c>
      <c r="BU63" s="105">
        <v>1080</v>
      </c>
      <c r="BV63" s="105">
        <v>49.10776773245982</v>
      </c>
      <c r="BW63" s="105">
        <v>1473.2330319737946</v>
      </c>
      <c r="BX63" s="105">
        <v>43.853858982415929</v>
      </c>
      <c r="BY63" s="105">
        <v>1315.615769472478</v>
      </c>
      <c r="BZ63" s="105">
        <v>39.295224873485402</v>
      </c>
      <c r="CA63" s="105">
        <v>1178.8567462045621</v>
      </c>
      <c r="CB63" s="105">
        <v>54.916228927361068</v>
      </c>
      <c r="CC63" s="105">
        <v>1647.486867820832</v>
      </c>
      <c r="CD63" s="105">
        <v>37.264384313371949</v>
      </c>
      <c r="CE63" s="105">
        <v>1117.9315294011585</v>
      </c>
      <c r="CF63" s="105">
        <v>48</v>
      </c>
      <c r="CG63" s="105">
        <v>1440</v>
      </c>
      <c r="CH63" s="105">
        <v>49.598022547996173</v>
      </c>
      <c r="CI63" s="105">
        <v>1487.9406764398852</v>
      </c>
      <c r="CJ63" s="105">
        <v>49.505968119556222</v>
      </c>
      <c r="CK63" s="105">
        <v>1485.1790435866867</v>
      </c>
      <c r="CL63" s="105">
        <v>39</v>
      </c>
      <c r="CM63" s="105">
        <v>1170</v>
      </c>
      <c r="CN63" s="105">
        <v>50.273671000896648</v>
      </c>
      <c r="CO63" s="105">
        <v>1508.2101300268994</v>
      </c>
      <c r="CP63" s="105">
        <v>49.716612321385703</v>
      </c>
      <c r="CQ63" s="105">
        <v>1491.4983696415711</v>
      </c>
      <c r="CR63" s="105">
        <v>34.268721863107622</v>
      </c>
      <c r="CS63" s="105">
        <v>1028.0616558932286</v>
      </c>
      <c r="CT63" s="105">
        <v>54.216865854432967</v>
      </c>
      <c r="CU63" s="105">
        <v>1626.505975632989</v>
      </c>
    </row>
    <row r="64" spans="2:99" x14ac:dyDescent="0.2">
      <c r="C64" s="104" t="s">
        <v>230</v>
      </c>
      <c r="D64" s="105">
        <v>31</v>
      </c>
      <c r="E64" s="105">
        <v>6956.4000000000005</v>
      </c>
      <c r="F64" s="105">
        <v>35</v>
      </c>
      <c r="G64" s="105">
        <v>7854</v>
      </c>
      <c r="H64" s="105">
        <v>28</v>
      </c>
      <c r="I64" s="105">
        <v>6283.2</v>
      </c>
      <c r="J64" s="105">
        <v>30</v>
      </c>
      <c r="K64" s="105">
        <v>6732</v>
      </c>
      <c r="L64" s="105">
        <v>55</v>
      </c>
      <c r="M64" s="105">
        <v>12342</v>
      </c>
      <c r="N64" s="105">
        <v>53.951857198105159</v>
      </c>
      <c r="O64" s="105">
        <v>12106.796755254798</v>
      </c>
      <c r="P64" s="105">
        <v>44.65413689321926</v>
      </c>
      <c r="Q64" s="105">
        <v>10020.388318838402</v>
      </c>
      <c r="R64" s="105">
        <v>41.582105206047686</v>
      </c>
      <c r="S64" s="105">
        <v>9331.0244082371009</v>
      </c>
      <c r="T64" s="105">
        <v>41.522561288204827</v>
      </c>
      <c r="U64" s="105">
        <v>9317.6627530731639</v>
      </c>
      <c r="V64" s="105">
        <v>44.750182172127111</v>
      </c>
      <c r="W64" s="105">
        <v>10041.940879425323</v>
      </c>
      <c r="X64" s="105">
        <v>38.147201705564648</v>
      </c>
      <c r="Y64" s="105">
        <v>8560.2320627287063</v>
      </c>
      <c r="Z64" s="105">
        <v>52.524762910314976</v>
      </c>
      <c r="AA64" s="105">
        <v>11786.556797074682</v>
      </c>
      <c r="AB64" s="105">
        <v>45.125875831306331</v>
      </c>
      <c r="AC64" s="105">
        <v>10126.246536545141</v>
      </c>
      <c r="AD64" s="105">
        <v>35.092897162426041</v>
      </c>
      <c r="AE64" s="105">
        <v>7874.8461232484042</v>
      </c>
      <c r="AF64" s="105">
        <v>47.288476795902305</v>
      </c>
      <c r="AG64" s="105">
        <v>10611.534193000478</v>
      </c>
      <c r="AH64" s="105">
        <v>43.48963455729205</v>
      </c>
      <c r="AI64" s="105">
        <v>9759.0739946563353</v>
      </c>
      <c r="AJ64" s="105">
        <v>38.70275366134927</v>
      </c>
      <c r="AK64" s="105">
        <v>8684.8979216067764</v>
      </c>
      <c r="AL64" s="105">
        <v>40.931480266243661</v>
      </c>
      <c r="AM64" s="105">
        <v>9185.0241717450772</v>
      </c>
      <c r="AN64" s="105">
        <v>36</v>
      </c>
      <c r="AO64" s="105">
        <v>8078.4000000000005</v>
      </c>
      <c r="AP64" s="105">
        <v>42.218854871768627</v>
      </c>
      <c r="AQ64" s="105">
        <v>9473.9110332248802</v>
      </c>
      <c r="AR64" s="105">
        <v>49.916215577474887</v>
      </c>
      <c r="AS64" s="105">
        <v>11201.198775585364</v>
      </c>
      <c r="AT64" s="105">
        <v>43.170473642949403</v>
      </c>
      <c r="AU64" s="105">
        <v>9687.4542854778465</v>
      </c>
      <c r="AV64" s="105">
        <v>40.260155210129348</v>
      </c>
      <c r="AW64" s="105">
        <v>9034.3788291530254</v>
      </c>
      <c r="AX64" s="105">
        <v>44.988942436547028</v>
      </c>
      <c r="AY64" s="105">
        <v>10095.518682761152</v>
      </c>
      <c r="AZ64" s="105">
        <v>47.20742979955773</v>
      </c>
      <c r="BA64" s="105">
        <v>10593.347247020754</v>
      </c>
      <c r="BB64" s="105">
        <v>43.336389952433507</v>
      </c>
      <c r="BC64" s="105">
        <v>9724.6859053260796</v>
      </c>
      <c r="BD64" s="105">
        <v>40.488740930058221</v>
      </c>
      <c r="BE64" s="105">
        <v>9085.6734647050653</v>
      </c>
      <c r="BF64" s="105">
        <v>48.45069954281206</v>
      </c>
      <c r="BG64" s="105">
        <v>10872.336977407027</v>
      </c>
      <c r="BH64" s="105">
        <v>46.35401964671199</v>
      </c>
      <c r="BI64" s="105">
        <v>10401.842008722171</v>
      </c>
      <c r="BJ64" s="105">
        <v>36.080069195817167</v>
      </c>
      <c r="BK64" s="105">
        <v>8096.3675275413725</v>
      </c>
      <c r="BL64" s="105">
        <v>48</v>
      </c>
      <c r="BM64" s="105">
        <v>10771.2</v>
      </c>
      <c r="BN64" s="105">
        <v>45.646994045172221</v>
      </c>
      <c r="BO64" s="105">
        <v>10243.185463736647</v>
      </c>
      <c r="BP64" s="105">
        <v>44.497340811851757</v>
      </c>
      <c r="BQ64" s="105">
        <v>9985.2032781795351</v>
      </c>
      <c r="BR64" s="105">
        <v>42.123131266879113</v>
      </c>
      <c r="BS64" s="105">
        <v>9452.4306562876736</v>
      </c>
      <c r="BT64" s="105">
        <v>34.104279504224571</v>
      </c>
      <c r="BU64" s="105">
        <v>7653.000320747994</v>
      </c>
      <c r="BV64" s="105">
        <v>48.110537481226402</v>
      </c>
      <c r="BW64" s="105">
        <v>10796.004610787204</v>
      </c>
      <c r="BX64" s="105">
        <v>42.933024097610243</v>
      </c>
      <c r="BY64" s="105">
        <v>9634.1706075037382</v>
      </c>
      <c r="BZ64" s="105">
        <v>38.344429019066304</v>
      </c>
      <c r="CA64" s="105">
        <v>8604.4898718784789</v>
      </c>
      <c r="CB64" s="105">
        <v>49.261182689546949</v>
      </c>
      <c r="CC64" s="105">
        <v>11054.209395534335</v>
      </c>
      <c r="CD64" s="105">
        <v>38.264384313371949</v>
      </c>
      <c r="CE64" s="105">
        <v>8586.5278399206654</v>
      </c>
      <c r="CF64" s="105">
        <v>47</v>
      </c>
      <c r="CG64" s="105">
        <v>10546.800000000001</v>
      </c>
      <c r="CH64" s="105">
        <v>52.342200199325077</v>
      </c>
      <c r="CI64" s="105">
        <v>11745.589724728548</v>
      </c>
      <c r="CJ64" s="105">
        <v>48.570962172001259</v>
      </c>
      <c r="CK64" s="105">
        <v>10899.323911397083</v>
      </c>
      <c r="CL64" s="105">
        <v>35</v>
      </c>
      <c r="CM64" s="105">
        <v>7854</v>
      </c>
      <c r="CN64" s="105">
        <v>50.273671000896648</v>
      </c>
      <c r="CO64" s="105">
        <v>11281.411772601208</v>
      </c>
      <c r="CP64" s="105">
        <v>46.171802044077801</v>
      </c>
      <c r="CQ64" s="105">
        <v>10360.952378691059</v>
      </c>
      <c r="CR64" s="105">
        <v>36.223934885923022</v>
      </c>
      <c r="CS64" s="105">
        <v>8128.6509884011266</v>
      </c>
      <c r="CT64" s="105">
        <v>46.242944080703658</v>
      </c>
      <c r="CU64" s="105">
        <v>10376.916651709902</v>
      </c>
    </row>
    <row r="65" spans="2:99" x14ac:dyDescent="0.2">
      <c r="C65" s="104" t="s">
        <v>231</v>
      </c>
      <c r="D65" s="105">
        <v>35</v>
      </c>
      <c r="E65" s="105">
        <v>17304</v>
      </c>
      <c r="F65" s="105">
        <v>37</v>
      </c>
      <c r="G65" s="105">
        <v>18292.8</v>
      </c>
      <c r="H65" s="105">
        <v>29</v>
      </c>
      <c r="I65" s="105">
        <v>14337.599999999999</v>
      </c>
      <c r="J65" s="105">
        <v>28</v>
      </c>
      <c r="K65" s="105">
        <v>13843.199999999999</v>
      </c>
      <c r="L65" s="105">
        <v>55</v>
      </c>
      <c r="M65" s="105">
        <v>27192</v>
      </c>
      <c r="N65" s="105">
        <v>51.061579133920958</v>
      </c>
      <c r="O65" s="105">
        <v>25244.844723810522</v>
      </c>
      <c r="P65" s="105">
        <v>42.437501324894612</v>
      </c>
      <c r="Q65" s="105">
        <v>20981.100655027894</v>
      </c>
      <c r="R65" s="105">
        <v>45.99381283723698</v>
      </c>
      <c r="S65" s="105">
        <v>22739.341066729961</v>
      </c>
      <c r="T65" s="105">
        <v>39.647879476473314</v>
      </c>
      <c r="U65" s="105">
        <v>19601.911613168406</v>
      </c>
      <c r="V65" s="105">
        <v>40.622352430753075</v>
      </c>
      <c r="W65" s="105">
        <v>20083.691041764319</v>
      </c>
      <c r="X65" s="105">
        <v>36.184002131955808</v>
      </c>
      <c r="Y65" s="105">
        <v>17889.37065403895</v>
      </c>
      <c r="Z65" s="105">
        <v>42.173864066529227</v>
      </c>
      <c r="AA65" s="105">
        <v>20850.758394492048</v>
      </c>
      <c r="AB65" s="105">
        <v>36.154116187921531</v>
      </c>
      <c r="AC65" s="105">
        <v>17874.595043308404</v>
      </c>
      <c r="AD65" s="105">
        <v>31.092897162426038</v>
      </c>
      <c r="AE65" s="105">
        <v>15372.328357103432</v>
      </c>
      <c r="AF65" s="105">
        <v>49.288476795902305</v>
      </c>
      <c r="AG65" s="105">
        <v>24368.222927894098</v>
      </c>
      <c r="AH65" s="105">
        <v>42.799865333470564</v>
      </c>
      <c r="AI65" s="105">
        <v>21160.253420867844</v>
      </c>
      <c r="AJ65" s="105">
        <v>40.627839629132346</v>
      </c>
      <c r="AK65" s="105">
        <v>20086.403912643033</v>
      </c>
      <c r="AL65" s="105">
        <v>43.162809332957607</v>
      </c>
      <c r="AM65" s="105">
        <v>21339.692934214239</v>
      </c>
      <c r="AN65" s="105">
        <v>37</v>
      </c>
      <c r="AO65" s="105">
        <v>18292.8</v>
      </c>
      <c r="AP65" s="105">
        <v>37.218854871768627</v>
      </c>
      <c r="AQ65" s="105">
        <v>18401.001848602409</v>
      </c>
      <c r="AR65" s="105">
        <v>40.333685137194379</v>
      </c>
      <c r="AS65" s="105">
        <v>19940.973931828899</v>
      </c>
      <c r="AT65" s="105">
        <v>39.861702678589246</v>
      </c>
      <c r="AU65" s="105">
        <v>19707.625804294523</v>
      </c>
      <c r="AV65" s="105">
        <v>43.528887709860918</v>
      </c>
      <c r="AW65" s="105">
        <v>21520.682083755237</v>
      </c>
      <c r="AX65" s="105">
        <v>37.931853426892594</v>
      </c>
      <c r="AY65" s="105">
        <v>18753.508334255697</v>
      </c>
      <c r="AZ65" s="105">
        <v>40.492600514063589</v>
      </c>
      <c r="BA65" s="105">
        <v>20019.541694153038</v>
      </c>
      <c r="BB65" s="105">
        <v>40.288334244943002</v>
      </c>
      <c r="BC65" s="105">
        <v>19918.552450699819</v>
      </c>
      <c r="BD65" s="105">
        <v>41.428887968727679</v>
      </c>
      <c r="BE65" s="105">
        <v>20482.442211738962</v>
      </c>
      <c r="BF65" s="105">
        <v>41.187115149445297</v>
      </c>
      <c r="BG65" s="105">
        <v>20362.909729885752</v>
      </c>
      <c r="BH65" s="105">
        <v>37.422669156495282</v>
      </c>
      <c r="BI65" s="105">
        <v>18501.767630971266</v>
      </c>
      <c r="BJ65" s="105">
        <v>32.080069195817167</v>
      </c>
      <c r="BK65" s="105">
        <v>15860.386210412007</v>
      </c>
      <c r="BL65" s="105">
        <v>43</v>
      </c>
      <c r="BM65" s="105">
        <v>21259.200000000001</v>
      </c>
      <c r="BN65" s="105">
        <v>43.745035959956709</v>
      </c>
      <c r="BO65" s="105">
        <v>21627.545778602595</v>
      </c>
      <c r="BP65" s="105">
        <v>43.5315920665671</v>
      </c>
      <c r="BQ65" s="105">
        <v>21522.019117710774</v>
      </c>
      <c r="BR65" s="105">
        <v>39.18430815523638</v>
      </c>
      <c r="BS65" s="105">
        <v>19372.721951948864</v>
      </c>
      <c r="BT65" s="105">
        <v>30.104279504224575</v>
      </c>
      <c r="BU65" s="105">
        <v>14883.55578688863</v>
      </c>
      <c r="BV65" s="105">
        <v>53.096688737393485</v>
      </c>
      <c r="BW65" s="105">
        <v>26251.002911767337</v>
      </c>
      <c r="BX65" s="105">
        <v>41.917432774915923</v>
      </c>
      <c r="BY65" s="105">
        <v>20723.978763918432</v>
      </c>
      <c r="BZ65" s="105">
        <v>40.344429019066304</v>
      </c>
      <c r="CA65" s="105">
        <v>19946.285707026378</v>
      </c>
      <c r="CB65" s="105">
        <v>47.37616727694224</v>
      </c>
      <c r="CC65" s="105">
        <v>23422.777101720243</v>
      </c>
      <c r="CD65" s="105">
        <v>34.220320261143286</v>
      </c>
      <c r="CE65" s="105">
        <v>16918.526337109241</v>
      </c>
      <c r="CF65" s="105">
        <v>43</v>
      </c>
      <c r="CG65" s="105">
        <v>21259.200000000001</v>
      </c>
      <c r="CH65" s="105">
        <v>50.47218346695729</v>
      </c>
      <c r="CI65" s="105">
        <v>24953.447506063683</v>
      </c>
      <c r="CJ65" s="105">
        <v>46.602533464683901</v>
      </c>
      <c r="CK65" s="105">
        <v>23040.292544939719</v>
      </c>
      <c r="CL65" s="105">
        <v>31</v>
      </c>
      <c r="CM65" s="105">
        <v>15326.4</v>
      </c>
      <c r="CN65" s="105">
        <v>48.273671000896648</v>
      </c>
      <c r="CO65" s="105">
        <v>23866.502942843301</v>
      </c>
      <c r="CP65" s="105">
        <v>40.854586628115953</v>
      </c>
      <c r="CQ65" s="105">
        <v>20198.507628940526</v>
      </c>
      <c r="CR65" s="105">
        <v>31.223934885923018</v>
      </c>
      <c r="CS65" s="105">
        <v>15437.11340760034</v>
      </c>
      <c r="CT65" s="105">
        <v>47.242944080703658</v>
      </c>
      <c r="CU65" s="105">
        <v>23356.911553499889</v>
      </c>
    </row>
    <row r="66" spans="2:99" x14ac:dyDescent="0.2">
      <c r="C66" s="104" t="s">
        <v>232</v>
      </c>
      <c r="D66" s="105">
        <v>33</v>
      </c>
      <c r="E66" s="105">
        <v>13147.199999999999</v>
      </c>
      <c r="F66" s="105">
        <v>33</v>
      </c>
      <c r="G66" s="105">
        <v>13147.199999999999</v>
      </c>
      <c r="H66" s="105">
        <v>30</v>
      </c>
      <c r="I66" s="105">
        <v>11952</v>
      </c>
      <c r="J66" s="105">
        <v>30</v>
      </c>
      <c r="K66" s="105">
        <v>11952</v>
      </c>
      <c r="L66" s="105">
        <v>57</v>
      </c>
      <c r="M66" s="105">
        <v>22708.799999999999</v>
      </c>
      <c r="N66" s="105">
        <v>53.951857198105159</v>
      </c>
      <c r="O66" s="105">
        <v>21494.419907725096</v>
      </c>
      <c r="P66" s="105">
        <v>42.725159560269503</v>
      </c>
      <c r="Q66" s="105">
        <v>17021.703568811368</v>
      </c>
      <c r="R66" s="105">
        <v>41.582105206047686</v>
      </c>
      <c r="S66" s="105">
        <v>16566.310714089395</v>
      </c>
      <c r="T66" s="105">
        <v>36.882450330561291</v>
      </c>
      <c r="U66" s="105">
        <v>14693.968211695617</v>
      </c>
      <c r="V66" s="105">
        <v>42.27348432730269</v>
      </c>
      <c r="W66" s="105">
        <v>16841.756155997391</v>
      </c>
      <c r="X66" s="105">
        <v>39.147201705564648</v>
      </c>
      <c r="Y66" s="105">
        <v>15596.245159496955</v>
      </c>
      <c r="Z66" s="105">
        <v>44.007510330291367</v>
      </c>
      <c r="AA66" s="105">
        <v>17532.592115588079</v>
      </c>
      <c r="AB66" s="105">
        <v>45.125875831306331</v>
      </c>
      <c r="AC66" s="105">
        <v>17978.148931192442</v>
      </c>
      <c r="AD66" s="105">
        <v>31.092897162426038</v>
      </c>
      <c r="AE66" s="105">
        <v>12387.410229510533</v>
      </c>
      <c r="AF66" s="105">
        <v>42.240397329918586</v>
      </c>
      <c r="AG66" s="105">
        <v>16828.574296239563</v>
      </c>
      <c r="AH66" s="105">
        <v>40.190487260033045</v>
      </c>
      <c r="AI66" s="105">
        <v>16011.890124397165</v>
      </c>
      <c r="AJ66" s="105">
        <v>39.665296645240808</v>
      </c>
      <c r="AK66" s="105">
        <v>15802.654183463937</v>
      </c>
      <c r="AL66" s="105">
        <v>42.576434260738701</v>
      </c>
      <c r="AM66" s="105">
        <v>16962.451409478297</v>
      </c>
      <c r="AN66" s="105">
        <v>33</v>
      </c>
      <c r="AO66" s="105">
        <v>13147.199999999999</v>
      </c>
      <c r="AP66" s="105">
        <v>40.218854871768627</v>
      </c>
      <c r="AQ66" s="105">
        <v>16023.191780912621</v>
      </c>
      <c r="AR66" s="105">
        <v>47.302798184671111</v>
      </c>
      <c r="AS66" s="105">
        <v>18845.43479677297</v>
      </c>
      <c r="AT66" s="105">
        <v>40.688895419679284</v>
      </c>
      <c r="AU66" s="105">
        <v>16210.455935200225</v>
      </c>
      <c r="AV66" s="105">
        <v>44.412467749052631</v>
      </c>
      <c r="AW66" s="105">
        <v>17693.927151222568</v>
      </c>
      <c r="AX66" s="105">
        <v>41.460397931719811</v>
      </c>
      <c r="AY66" s="105">
        <v>16517.822535997173</v>
      </c>
      <c r="AZ66" s="105">
        <v>42.730876942561629</v>
      </c>
      <c r="BA66" s="105">
        <v>17023.981373916551</v>
      </c>
      <c r="BB66" s="105">
        <v>42</v>
      </c>
      <c r="BC66" s="105">
        <v>16732.8</v>
      </c>
      <c r="BD66" s="105">
        <v>38.107050287113616</v>
      </c>
      <c r="BE66" s="105">
        <v>15181.848834386064</v>
      </c>
      <c r="BF66" s="105">
        <v>41.994180082041602</v>
      </c>
      <c r="BG66" s="105">
        <v>16730.481344685373</v>
      </c>
      <c r="BH66" s="105">
        <v>40.696117822030239</v>
      </c>
      <c r="BI66" s="105">
        <v>16213.333340296846</v>
      </c>
      <c r="BJ66" s="105">
        <v>34.060051896862873</v>
      </c>
      <c r="BK66" s="105">
        <v>13569.524675710169</v>
      </c>
      <c r="BL66" s="105">
        <v>41</v>
      </c>
      <c r="BM66" s="105">
        <v>16334.4</v>
      </c>
      <c r="BN66" s="105">
        <v>46.597973087779977</v>
      </c>
      <c r="BO66" s="105">
        <v>18564.632478171541</v>
      </c>
      <c r="BP66" s="105">
        <v>38.702848340143802</v>
      </c>
      <c r="BQ66" s="105">
        <v>15419.214778713291</v>
      </c>
      <c r="BR66" s="105">
        <v>35.265877339712745</v>
      </c>
      <c r="BS66" s="105">
        <v>14049.925532141557</v>
      </c>
      <c r="BT66" s="105">
        <v>30</v>
      </c>
      <c r="BU66" s="105">
        <v>11952</v>
      </c>
      <c r="BV66" s="105">
        <v>49.10776773245982</v>
      </c>
      <c r="BW66" s="105">
        <v>19564.534664611991</v>
      </c>
      <c r="BX66" s="105">
        <v>41.964810993860247</v>
      </c>
      <c r="BY66" s="105">
        <v>16718.780699953921</v>
      </c>
      <c r="BZ66" s="105">
        <v>41.344429019066304</v>
      </c>
      <c r="CA66" s="105">
        <v>16471.620521196015</v>
      </c>
      <c r="CB66" s="105">
        <v>52.088705808454002</v>
      </c>
      <c r="CC66" s="105">
        <v>20752.140394088074</v>
      </c>
      <c r="CD66" s="105">
        <v>35.220320261143286</v>
      </c>
      <c r="CE66" s="105">
        <v>14031.775592039485</v>
      </c>
      <c r="CF66" s="105">
        <v>40.232320686955951</v>
      </c>
      <c r="CG66" s="105">
        <v>16028.55656168325</v>
      </c>
      <c r="CH66" s="105">
        <v>52.342200199325077</v>
      </c>
      <c r="CI66" s="105">
        <v>20853.132559411111</v>
      </c>
      <c r="CJ66" s="105">
        <v>45.569110704921506</v>
      </c>
      <c r="CK66" s="105">
        <v>18154.733704840728</v>
      </c>
      <c r="CL66" s="105">
        <v>37</v>
      </c>
      <c r="CM66" s="105">
        <v>14740.8</v>
      </c>
      <c r="CN66" s="105">
        <v>47.273671000896648</v>
      </c>
      <c r="CO66" s="105">
        <v>18833.830526757225</v>
      </c>
      <c r="CP66" s="105">
        <v>41.718472087674151</v>
      </c>
      <c r="CQ66" s="105">
        <v>16620.639279729381</v>
      </c>
      <c r="CR66" s="105">
        <v>35.223934885923022</v>
      </c>
      <c r="CS66" s="105">
        <v>14033.215658551731</v>
      </c>
      <c r="CT66" s="105">
        <v>43.216865854432967</v>
      </c>
      <c r="CU66" s="105">
        <v>17217.599356406092</v>
      </c>
    </row>
    <row r="67" spans="2:99" x14ac:dyDescent="0.2">
      <c r="C67" s="104" t="s">
        <v>233</v>
      </c>
      <c r="D67" s="105">
        <v>32</v>
      </c>
      <c r="E67" s="105">
        <v>15168</v>
      </c>
      <c r="F67" s="105">
        <v>37</v>
      </c>
      <c r="G67" s="105">
        <v>17538</v>
      </c>
      <c r="H67" s="105">
        <v>28</v>
      </c>
      <c r="I67" s="105">
        <v>13272</v>
      </c>
      <c r="J67" s="105">
        <v>30</v>
      </c>
      <c r="K67" s="105">
        <v>14220</v>
      </c>
      <c r="L67" s="105">
        <v>59</v>
      </c>
      <c r="M67" s="105">
        <v>27966</v>
      </c>
      <c r="N67" s="105">
        <v>58.768987305078838</v>
      </c>
      <c r="O67" s="105">
        <v>27856.499982607369</v>
      </c>
      <c r="P67" s="105">
        <v>42.437501324894612</v>
      </c>
      <c r="Q67" s="105">
        <v>20115.375628000045</v>
      </c>
      <c r="R67" s="105">
        <v>39.817422153571975</v>
      </c>
      <c r="S67" s="105">
        <v>18873.458100793116</v>
      </c>
      <c r="T67" s="105">
        <v>39.647879476473314</v>
      </c>
      <c r="U67" s="105">
        <v>18793.094871848352</v>
      </c>
      <c r="V67" s="105">
        <v>38.145654585928654</v>
      </c>
      <c r="W67" s="105">
        <v>18081.040273730181</v>
      </c>
      <c r="X67" s="105">
        <v>39.147201705564648</v>
      </c>
      <c r="Y67" s="105">
        <v>18555.773608437645</v>
      </c>
      <c r="Z67" s="105">
        <v>48.591625989696716</v>
      </c>
      <c r="AA67" s="105">
        <v>23032.430719116244</v>
      </c>
      <c r="AB67" s="105">
        <v>38.845644080936971</v>
      </c>
      <c r="AC67" s="105">
        <v>18412.835294364126</v>
      </c>
      <c r="AD67" s="105">
        <v>31.069672871819527</v>
      </c>
      <c r="AE67" s="105">
        <v>14727.024941242456</v>
      </c>
      <c r="AF67" s="105">
        <v>48.240397329918586</v>
      </c>
      <c r="AG67" s="105">
        <v>22865.94833438141</v>
      </c>
      <c r="AH67" s="105">
        <v>41.930072642324724</v>
      </c>
      <c r="AI67" s="105">
        <v>19874.854432461918</v>
      </c>
      <c r="AJ67" s="105">
        <v>43.515468580806946</v>
      </c>
      <c r="AK67" s="105">
        <v>20626.332107302493</v>
      </c>
      <c r="AL67" s="105">
        <v>46.137617096061383</v>
      </c>
      <c r="AM67" s="105">
        <v>21869.230503533097</v>
      </c>
      <c r="AN67" s="105">
        <v>36</v>
      </c>
      <c r="AO67" s="105">
        <v>17064</v>
      </c>
      <c r="AP67" s="105">
        <v>43.218854871768627</v>
      </c>
      <c r="AQ67" s="105">
        <v>20485.737209218329</v>
      </c>
      <c r="AR67" s="105">
        <v>47.346345703704976</v>
      </c>
      <c r="AS67" s="105">
        <v>22442.167863556158</v>
      </c>
      <c r="AT67" s="105">
        <v>39.034509937499209</v>
      </c>
      <c r="AU67" s="105">
        <v>18502.357710374625</v>
      </c>
      <c r="AV67" s="105">
        <v>39.072076548991213</v>
      </c>
      <c r="AW67" s="105">
        <v>18520.164284221835</v>
      </c>
      <c r="AX67" s="105">
        <v>44.106806310340225</v>
      </c>
      <c r="AY67" s="105">
        <v>20906.626191101266</v>
      </c>
      <c r="AZ67" s="105">
        <v>42.730876942561629</v>
      </c>
      <c r="BA67" s="105">
        <v>20254.435670774212</v>
      </c>
      <c r="BB67" s="105">
        <v>39.288334244943002</v>
      </c>
      <c r="BC67" s="105">
        <v>18622.670432102983</v>
      </c>
      <c r="BD67" s="105">
        <v>38.289862984223518</v>
      </c>
      <c r="BE67" s="105">
        <v>18149.395054521949</v>
      </c>
      <c r="BF67" s="105">
        <v>44.415374879830523</v>
      </c>
      <c r="BG67" s="105">
        <v>21052.887693039669</v>
      </c>
      <c r="BH67" s="105">
        <v>43.929204578991239</v>
      </c>
      <c r="BI67" s="105">
        <v>20822.442970441847</v>
      </c>
      <c r="BJ67" s="105">
        <v>35.080069195817167</v>
      </c>
      <c r="BK67" s="105">
        <v>16627.952798817336</v>
      </c>
      <c r="BL67" s="105">
        <v>41.113554334554138</v>
      </c>
      <c r="BM67" s="105">
        <v>19487.824754578662</v>
      </c>
      <c r="BN67" s="105">
        <v>42.794056917348954</v>
      </c>
      <c r="BO67" s="105">
        <v>20284.382978823403</v>
      </c>
      <c r="BP67" s="105">
        <v>45.463089557136421</v>
      </c>
      <c r="BQ67" s="105">
        <v>21549.504450082663</v>
      </c>
      <c r="BR67" s="105">
        <v>34.286269635831836</v>
      </c>
      <c r="BS67" s="105">
        <v>16251.69180738429</v>
      </c>
      <c r="BT67" s="105">
        <v>30.104279504224575</v>
      </c>
      <c r="BU67" s="105">
        <v>14269.428485002449</v>
      </c>
      <c r="BV67" s="105">
        <v>50.104997983693231</v>
      </c>
      <c r="BW67" s="105">
        <v>23749.76904427059</v>
      </c>
      <c r="BX67" s="105">
        <v>42.885645878665926</v>
      </c>
      <c r="BY67" s="105">
        <v>20327.79614648765</v>
      </c>
      <c r="BZ67" s="105">
        <v>37.344429019066304</v>
      </c>
      <c r="CA67" s="105">
        <v>17701.259355037429</v>
      </c>
      <c r="CB67" s="105">
        <v>49.261182689546949</v>
      </c>
      <c r="CC67" s="105">
        <v>23349.800594845256</v>
      </c>
      <c r="CD67" s="105">
        <v>37.264384313371949</v>
      </c>
      <c r="CE67" s="105">
        <v>17663.318164538305</v>
      </c>
      <c r="CF67" s="105">
        <v>42</v>
      </c>
      <c r="CG67" s="105">
        <v>19908</v>
      </c>
      <c r="CH67" s="105">
        <v>49.557457583180991</v>
      </c>
      <c r="CI67" s="105">
        <v>23490.234894427791</v>
      </c>
      <c r="CJ67" s="105">
        <v>42.616467643945469</v>
      </c>
      <c r="CK67" s="105">
        <v>20200.205663230154</v>
      </c>
      <c r="CL67" s="105">
        <v>36</v>
      </c>
      <c r="CM67" s="105">
        <v>17064</v>
      </c>
      <c r="CN67" s="105">
        <v>45.273671000896648</v>
      </c>
      <c r="CO67" s="105">
        <v>21459.720054425012</v>
      </c>
      <c r="CP67" s="105">
        <v>41.718472087674151</v>
      </c>
      <c r="CQ67" s="105">
        <v>19774.555769557548</v>
      </c>
      <c r="CR67" s="105">
        <v>29.223934885923018</v>
      </c>
      <c r="CS67" s="105">
        <v>13852.145135927511</v>
      </c>
      <c r="CT67" s="105">
        <v>42.242944080703658</v>
      </c>
      <c r="CU67" s="105">
        <v>20023.155494253533</v>
      </c>
    </row>
    <row r="68" spans="2:99" x14ac:dyDescent="0.2">
      <c r="C68" s="104" t="s">
        <v>234</v>
      </c>
      <c r="D68" s="105">
        <v>35</v>
      </c>
      <c r="E68" s="105">
        <v>9450</v>
      </c>
      <c r="F68" s="105">
        <v>35</v>
      </c>
      <c r="G68" s="105">
        <v>9450</v>
      </c>
      <c r="H68" s="105">
        <v>29</v>
      </c>
      <c r="I68" s="105">
        <v>7830</v>
      </c>
      <c r="J68" s="105">
        <v>31</v>
      </c>
      <c r="K68" s="105">
        <v>8370</v>
      </c>
      <c r="L68" s="105">
        <v>51</v>
      </c>
      <c r="M68" s="105">
        <v>13770</v>
      </c>
      <c r="N68" s="105">
        <v>61.659265369263046</v>
      </c>
      <c r="O68" s="105">
        <v>16648.001649701022</v>
      </c>
      <c r="P68" s="105">
        <v>44.65413689321926</v>
      </c>
      <c r="Q68" s="105">
        <v>12056.6169611692</v>
      </c>
      <c r="R68" s="105">
        <v>39.817422153571975</v>
      </c>
      <c r="S68" s="105">
        <v>10750.703981464434</v>
      </c>
      <c r="T68" s="105">
        <v>45.27192491166786</v>
      </c>
      <c r="U68" s="105">
        <v>12223.419726150321</v>
      </c>
      <c r="V68" s="105">
        <v>44.750182172127111</v>
      </c>
      <c r="W68" s="105">
        <v>12082.54918647432</v>
      </c>
      <c r="X68" s="105">
        <v>38.147201705564648</v>
      </c>
      <c r="Y68" s="105">
        <v>10299.744460502456</v>
      </c>
      <c r="Z68" s="105">
        <v>47.940647250909628</v>
      </c>
      <c r="AA68" s="105">
        <v>12943.9747577456</v>
      </c>
      <c r="AB68" s="105">
        <v>44.228699866967851</v>
      </c>
      <c r="AC68" s="105">
        <v>11941.74896408132</v>
      </c>
      <c r="AD68" s="105">
        <v>35.069672871819527</v>
      </c>
      <c r="AE68" s="105">
        <v>9468.8116753912727</v>
      </c>
      <c r="AF68" s="105">
        <v>47.288476795902305</v>
      </c>
      <c r="AG68" s="105">
        <v>12767.888734893622</v>
      </c>
      <c r="AH68" s="105">
        <v>39.320694568887198</v>
      </c>
      <c r="AI68" s="105">
        <v>10616.587533599544</v>
      </c>
      <c r="AJ68" s="105">
        <v>44.478011564698477</v>
      </c>
      <c r="AK68" s="105">
        <v>12009.063122468589</v>
      </c>
      <c r="AL68" s="105">
        <v>42.546237261876421</v>
      </c>
      <c r="AM68" s="105">
        <v>11487.484060706634</v>
      </c>
      <c r="AN68" s="105">
        <v>38</v>
      </c>
      <c r="AO68" s="105">
        <v>10260</v>
      </c>
      <c r="AP68" s="105">
        <v>44.218854871768627</v>
      </c>
      <c r="AQ68" s="105">
        <v>11939.090815377529</v>
      </c>
      <c r="AR68" s="105">
        <v>42.075963399063568</v>
      </c>
      <c r="AS68" s="105">
        <v>11360.510117747162</v>
      </c>
      <c r="AT68" s="105">
        <v>47.306437348399605</v>
      </c>
      <c r="AU68" s="105">
        <v>12772.738084067892</v>
      </c>
      <c r="AV68" s="105">
        <v>41.76172763147747</v>
      </c>
      <c r="AW68" s="105">
        <v>11275.666460498916</v>
      </c>
      <c r="AX68" s="105">
        <v>44.106806310340225</v>
      </c>
      <c r="AY68" s="105">
        <v>11908.837703791862</v>
      </c>
      <c r="AZ68" s="105">
        <v>42.730876942561629</v>
      </c>
      <c r="BA68" s="105">
        <v>11537.33677449164</v>
      </c>
      <c r="BB68" s="105">
        <v>45.288334244943002</v>
      </c>
      <c r="BC68" s="105">
        <v>12227.850246134611</v>
      </c>
      <c r="BD68" s="105">
        <v>44.458225334965888</v>
      </c>
      <c r="BE68" s="105">
        <v>12003.72084044079</v>
      </c>
      <c r="BF68" s="105">
        <v>48.423895955778477</v>
      </c>
      <c r="BG68" s="105">
        <v>13074.451908060189</v>
      </c>
      <c r="BH68" s="105">
        <v>39.887846132789996</v>
      </c>
      <c r="BI68" s="105">
        <v>10769.718455853299</v>
      </c>
      <c r="BJ68" s="105">
        <v>36.080069195817167</v>
      </c>
      <c r="BK68" s="105">
        <v>9741.6186828706359</v>
      </c>
      <c r="BL68" s="105">
        <v>47</v>
      </c>
      <c r="BM68" s="105">
        <v>12690</v>
      </c>
      <c r="BN68" s="105">
        <v>47.548952130387725</v>
      </c>
      <c r="BO68" s="105">
        <v>12838.217075204686</v>
      </c>
      <c r="BP68" s="105">
        <v>41.60009457599778</v>
      </c>
      <c r="BQ68" s="105">
        <v>11232.0255355194</v>
      </c>
      <c r="BR68" s="105">
        <v>35.265877339712745</v>
      </c>
      <c r="BS68" s="105">
        <v>9521.7868817224407</v>
      </c>
      <c r="BT68" s="105">
        <v>35.104279504224571</v>
      </c>
      <c r="BU68" s="105">
        <v>9478.1554661406335</v>
      </c>
      <c r="BV68" s="105">
        <v>52.099458486160067</v>
      </c>
      <c r="BW68" s="105">
        <v>14066.853791263218</v>
      </c>
      <c r="BX68" s="105">
        <v>44.822072086165925</v>
      </c>
      <c r="BY68" s="105">
        <v>12101.9594632648</v>
      </c>
      <c r="BZ68" s="105">
        <v>36.295224873485402</v>
      </c>
      <c r="CA68" s="105">
        <v>9799.7107158410581</v>
      </c>
      <c r="CB68" s="105">
        <v>51.146198102151651</v>
      </c>
      <c r="CC68" s="105">
        <v>13809.473487580946</v>
      </c>
      <c r="CD68" s="105">
        <v>35.220320261143286</v>
      </c>
      <c r="CE68" s="105">
        <v>9509.4864705086875</v>
      </c>
      <c r="CF68" s="105">
        <v>45</v>
      </c>
      <c r="CG68" s="105">
        <v>12150</v>
      </c>
      <c r="CH68" s="105">
        <v>55.086377850653982</v>
      </c>
      <c r="CI68" s="105">
        <v>14873.322019676574</v>
      </c>
      <c r="CJ68" s="105">
        <v>43.649890403707865</v>
      </c>
      <c r="CK68" s="105">
        <v>11785.470409001124</v>
      </c>
      <c r="CL68" s="105">
        <v>33</v>
      </c>
      <c r="CM68" s="105">
        <v>8910</v>
      </c>
      <c r="CN68" s="105">
        <v>48.228059167413875</v>
      </c>
      <c r="CO68" s="105">
        <v>13021.575975201746</v>
      </c>
      <c r="CP68" s="105">
        <v>46.171802044077801</v>
      </c>
      <c r="CQ68" s="105">
        <v>12466.386551901007</v>
      </c>
      <c r="CR68" s="105">
        <v>33.223934885923022</v>
      </c>
      <c r="CS68" s="105">
        <v>8970.4624191992152</v>
      </c>
      <c r="CT68" s="105">
        <v>46.242944080703658</v>
      </c>
      <c r="CU68" s="105">
        <v>12485.594901789987</v>
      </c>
    </row>
    <row r="69" spans="2:99" x14ac:dyDescent="0.2">
      <c r="C69" s="104" t="s">
        <v>235</v>
      </c>
      <c r="D69" s="105">
        <v>36</v>
      </c>
      <c r="E69" s="105">
        <v>6220.7999999999993</v>
      </c>
      <c r="F69" s="105">
        <v>37</v>
      </c>
      <c r="G69" s="105">
        <v>6393.5999999999995</v>
      </c>
      <c r="H69" s="105">
        <v>31</v>
      </c>
      <c r="I69" s="105">
        <v>5356.7999999999993</v>
      </c>
      <c r="J69" s="105">
        <v>28</v>
      </c>
      <c r="K69" s="105">
        <v>4838.3999999999996</v>
      </c>
      <c r="L69" s="105">
        <v>55</v>
      </c>
      <c r="M69" s="105">
        <v>9503.9999999999982</v>
      </c>
      <c r="N69" s="105">
        <v>52.988431176710428</v>
      </c>
      <c r="O69" s="105">
        <v>9156.400907335561</v>
      </c>
      <c r="P69" s="105">
        <v>39.544035325469977</v>
      </c>
      <c r="Q69" s="105">
        <v>6833.2093042412116</v>
      </c>
      <c r="R69" s="105">
        <v>43.346788258523404</v>
      </c>
      <c r="S69" s="105">
        <v>7490.3250110728432</v>
      </c>
      <c r="T69" s="105">
        <v>45.27192491166786</v>
      </c>
      <c r="U69" s="105">
        <v>7822.9886247362056</v>
      </c>
      <c r="V69" s="105">
        <v>47.226880016951533</v>
      </c>
      <c r="W69" s="105">
        <v>8160.8048669292239</v>
      </c>
      <c r="X69" s="105">
        <v>37.184002131955808</v>
      </c>
      <c r="Y69" s="105">
        <v>6425.3955684019629</v>
      </c>
      <c r="Z69" s="105">
        <v>44.273354723385346</v>
      </c>
      <c r="AA69" s="105">
        <v>7650.435696200987</v>
      </c>
      <c r="AB69" s="105">
        <v>40.639996009613931</v>
      </c>
      <c r="AC69" s="105">
        <v>7022.5913104612864</v>
      </c>
      <c r="AD69" s="105">
        <v>33.092897162426041</v>
      </c>
      <c r="AE69" s="105">
        <v>5718.4526296672193</v>
      </c>
      <c r="AF69" s="105">
        <v>51.288476795902305</v>
      </c>
      <c r="AG69" s="105">
        <v>8862.6487903319176</v>
      </c>
      <c r="AH69" s="105">
        <v>41.75004917500037</v>
      </c>
      <c r="AI69" s="105">
        <v>7214.408497440063</v>
      </c>
      <c r="AJ69" s="105">
        <v>44.518218425836054</v>
      </c>
      <c r="AK69" s="105">
        <v>7692.7481439844696</v>
      </c>
      <c r="AL69" s="105">
        <v>44.65006438491875</v>
      </c>
      <c r="AM69" s="105">
        <v>7715.5311257139592</v>
      </c>
      <c r="AN69" s="105">
        <v>33</v>
      </c>
      <c r="AO69" s="105">
        <v>5702.4</v>
      </c>
      <c r="AP69" s="105">
        <v>42.218854871768627</v>
      </c>
      <c r="AQ69" s="105">
        <v>7295.4181218416179</v>
      </c>
      <c r="AR69" s="105">
        <v>47.302798184671111</v>
      </c>
      <c r="AS69" s="105">
        <v>8173.9235263111668</v>
      </c>
      <c r="AT69" s="105">
        <v>40.688895419679284</v>
      </c>
      <c r="AU69" s="105">
        <v>7031.0411285205792</v>
      </c>
      <c r="AV69" s="105">
        <v>46.140716862524989</v>
      </c>
      <c r="AW69" s="105">
        <v>7973.1158738443173</v>
      </c>
      <c r="AX69" s="105">
        <v>38.813989553099397</v>
      </c>
      <c r="AY69" s="105">
        <v>6707.0573947755747</v>
      </c>
      <c r="AZ69" s="105">
        <v>42.527252141462881</v>
      </c>
      <c r="BA69" s="105">
        <v>7348.7091700447854</v>
      </c>
      <c r="BB69" s="105">
        <v>41.336389952433507</v>
      </c>
      <c r="BC69" s="105">
        <v>7142.9281837805092</v>
      </c>
      <c r="BD69" s="105">
        <v>44.641038032075791</v>
      </c>
      <c r="BE69" s="105">
        <v>7713.9713719426964</v>
      </c>
      <c r="BF69" s="105">
        <v>47.616831023182158</v>
      </c>
      <c r="BG69" s="105">
        <v>8228.1884008058769</v>
      </c>
      <c r="BH69" s="105">
        <v>43.646671218973516</v>
      </c>
      <c r="BI69" s="105">
        <v>7542.1447866386225</v>
      </c>
      <c r="BJ69" s="105">
        <v>38.080069195817167</v>
      </c>
      <c r="BK69" s="105">
        <v>6580.2359570372055</v>
      </c>
      <c r="BL69" s="105">
        <v>47</v>
      </c>
      <c r="BM69" s="105">
        <v>8121.5999999999995</v>
      </c>
      <c r="BN69" s="105">
        <v>44.696015002564465</v>
      </c>
      <c r="BO69" s="105">
        <v>7723.4713924431389</v>
      </c>
      <c r="BP69" s="105">
        <v>40.634345830713123</v>
      </c>
      <c r="BQ69" s="105">
        <v>7021.614959547227</v>
      </c>
      <c r="BR69" s="105">
        <v>38.204700451355471</v>
      </c>
      <c r="BS69" s="105">
        <v>6601.7722379942252</v>
      </c>
      <c r="BT69" s="105">
        <v>36.104279504224571</v>
      </c>
      <c r="BU69" s="105">
        <v>6238.8194983300054</v>
      </c>
      <c r="BV69" s="105">
        <v>48.110537481226402</v>
      </c>
      <c r="BW69" s="105">
        <v>8313.5008767559211</v>
      </c>
      <c r="BX69" s="105">
        <v>50.631350708665927</v>
      </c>
      <c r="BY69" s="105">
        <v>8749.0974024574716</v>
      </c>
      <c r="BZ69" s="105">
        <v>42.344429019066304</v>
      </c>
      <c r="CA69" s="105">
        <v>7317.1173344946565</v>
      </c>
      <c r="CB69" s="105">
        <v>50.2036903958493</v>
      </c>
      <c r="CC69" s="105">
        <v>8675.1977004027576</v>
      </c>
      <c r="CD69" s="105">
        <v>40.220320261143286</v>
      </c>
      <c r="CE69" s="105">
        <v>6950.0713411255592</v>
      </c>
      <c r="CF69" s="105">
        <v>41</v>
      </c>
      <c r="CG69" s="105">
        <v>7084.7999999999993</v>
      </c>
      <c r="CH69" s="105">
        <v>57.830555501982886</v>
      </c>
      <c r="CI69" s="105">
        <v>9993.1199907426417</v>
      </c>
      <c r="CJ69" s="105">
        <v>49.555176525659938</v>
      </c>
      <c r="CK69" s="105">
        <v>8563.1345036340372</v>
      </c>
      <c r="CL69" s="105">
        <v>35</v>
      </c>
      <c r="CM69" s="105">
        <v>6047.9999999999991</v>
      </c>
      <c r="CN69" s="105">
        <v>46.228059167413875</v>
      </c>
      <c r="CO69" s="105">
        <v>7988.2086241291172</v>
      </c>
      <c r="CP69" s="105">
        <v>45.285599474750825</v>
      </c>
      <c r="CQ69" s="105">
        <v>7825.3515892369414</v>
      </c>
      <c r="CR69" s="105">
        <v>36.223934885923022</v>
      </c>
      <c r="CS69" s="105">
        <v>6259.4959482874974</v>
      </c>
      <c r="CT69" s="105">
        <v>49.242944080703658</v>
      </c>
      <c r="CU69" s="105">
        <v>8509.1807371455907</v>
      </c>
    </row>
    <row r="70" spans="2:99" x14ac:dyDescent="0.2">
      <c r="C70" s="104" t="s">
        <v>236</v>
      </c>
      <c r="D70" s="105">
        <v>32</v>
      </c>
      <c r="E70" s="105">
        <v>13747.199999999999</v>
      </c>
      <c r="F70" s="105">
        <v>38</v>
      </c>
      <c r="G70" s="105">
        <v>16324.8</v>
      </c>
      <c r="H70" s="105">
        <v>31</v>
      </c>
      <c r="I70" s="105">
        <v>13317.599999999999</v>
      </c>
      <c r="J70" s="105">
        <v>30</v>
      </c>
      <c r="K70" s="105">
        <v>12887.999999999998</v>
      </c>
      <c r="L70" s="105">
        <v>54</v>
      </c>
      <c r="M70" s="105">
        <v>23198.399999999998</v>
      </c>
      <c r="N70" s="105">
        <v>52.988431176710428</v>
      </c>
      <c r="O70" s="105">
        <v>22763.830033514798</v>
      </c>
      <c r="P70" s="105">
        <v>40.796182227319754</v>
      </c>
      <c r="Q70" s="105">
        <v>17526.039884856564</v>
      </c>
      <c r="R70" s="105">
        <v>38.97243178495691</v>
      </c>
      <c r="S70" s="105">
        <v>16742.556694817489</v>
      </c>
      <c r="T70" s="105">
        <v>39.694473048158564</v>
      </c>
      <c r="U70" s="105">
        <v>17052.745621488917</v>
      </c>
      <c r="V70" s="105">
        <v>38.145654585928654</v>
      </c>
      <c r="W70" s="105">
        <v>16387.373210114947</v>
      </c>
      <c r="X70" s="105">
        <v>33.184002131955808</v>
      </c>
      <c r="Y70" s="105">
        <v>14255.847315888213</v>
      </c>
      <c r="Z70" s="105">
        <v>41.522885327742131</v>
      </c>
      <c r="AA70" s="105">
        <v>17838.231536798019</v>
      </c>
      <c r="AB70" s="105">
        <v>39.742820045275451</v>
      </c>
      <c r="AC70" s="105">
        <v>17073.515491450333</v>
      </c>
      <c r="AD70" s="105">
        <v>32.069672871819527</v>
      </c>
      <c r="AE70" s="105">
        <v>13777.131465733668</v>
      </c>
      <c r="AF70" s="105">
        <v>51.288476795902305</v>
      </c>
      <c r="AG70" s="105">
        <v>22033.529631519628</v>
      </c>
      <c r="AH70" s="105">
        <v>43.66965802461641</v>
      </c>
      <c r="AI70" s="105">
        <v>18760.485087375208</v>
      </c>
      <c r="AJ70" s="105">
        <v>44.478011564698477</v>
      </c>
      <c r="AK70" s="105">
        <v>19107.753768194463</v>
      </c>
      <c r="AL70" s="105">
        <v>42.419032977386294</v>
      </c>
      <c r="AM70" s="105">
        <v>18223.21656708515</v>
      </c>
      <c r="AN70" s="105">
        <v>35</v>
      </c>
      <c r="AO70" s="105">
        <v>15035.999999999998</v>
      </c>
      <c r="AP70" s="105">
        <v>40.218854871768627</v>
      </c>
      <c r="AQ70" s="105">
        <v>17278.020052911801</v>
      </c>
      <c r="AR70" s="105">
        <v>48.173937315605706</v>
      </c>
      <c r="AS70" s="105">
        <v>20695.52347078421</v>
      </c>
      <c r="AT70" s="105">
        <v>38.207317196409164</v>
      </c>
      <c r="AU70" s="105">
        <v>16413.863467577376</v>
      </c>
      <c r="AV70" s="105">
        <v>39.110987513902309</v>
      </c>
      <c r="AW70" s="105">
        <v>16802.080235972429</v>
      </c>
      <c r="AX70" s="105">
        <v>43.224670184133423</v>
      </c>
      <c r="AY70" s="105">
        <v>18569.318311103718</v>
      </c>
      <c r="AZ70" s="105">
        <v>38.796791427299475</v>
      </c>
      <c r="BA70" s="105">
        <v>16667.101597167853</v>
      </c>
      <c r="BB70" s="105">
        <v>36.288334244943002</v>
      </c>
      <c r="BC70" s="105">
        <v>15589.468391627512</v>
      </c>
      <c r="BD70" s="105">
        <v>37.49596610324199</v>
      </c>
      <c r="BE70" s="105">
        <v>16108.267037952757</v>
      </c>
      <c r="BF70" s="105">
        <v>41.994180082041602</v>
      </c>
      <c r="BG70" s="105">
        <v>18040.699763245069</v>
      </c>
      <c r="BH70" s="105">
        <v>39.847484224216032</v>
      </c>
      <c r="BI70" s="105">
        <v>17118.479222723206</v>
      </c>
      <c r="BJ70" s="105">
        <v>30.080069195817167</v>
      </c>
      <c r="BK70" s="105">
        <v>12922.397726523053</v>
      </c>
      <c r="BL70" s="105">
        <v>41</v>
      </c>
      <c r="BM70" s="105">
        <v>17613.599999999999</v>
      </c>
      <c r="BN70" s="105">
        <v>46.597973087779977</v>
      </c>
      <c r="BO70" s="105">
        <v>20018.489238510276</v>
      </c>
      <c r="BP70" s="105">
        <v>42.565843321282443</v>
      </c>
      <c r="BQ70" s="105">
        <v>18286.286290822936</v>
      </c>
      <c r="BR70" s="105">
        <v>40.163915859117289</v>
      </c>
      <c r="BS70" s="105">
        <v>17254.418253076787</v>
      </c>
      <c r="BT70" s="105">
        <v>30.104279504224575</v>
      </c>
      <c r="BU70" s="105">
        <v>12932.798475014877</v>
      </c>
      <c r="BV70" s="105">
        <v>49.10776773245982</v>
      </c>
      <c r="BW70" s="105">
        <v>21096.697017864735</v>
      </c>
      <c r="BX70" s="105">
        <v>45.790285189915927</v>
      </c>
      <c r="BY70" s="105">
        <v>19671.506517587881</v>
      </c>
      <c r="BZ70" s="105">
        <v>42.295224873485402</v>
      </c>
      <c r="CA70" s="105">
        <v>18170.028605649328</v>
      </c>
      <c r="CB70" s="105">
        <v>49.261182689546949</v>
      </c>
      <c r="CC70" s="105">
        <v>21162.604083429367</v>
      </c>
      <c r="CD70" s="105">
        <v>36.418618253677295</v>
      </c>
      <c r="CE70" s="105">
        <v>15645.438401779764</v>
      </c>
      <c r="CF70" s="105">
        <v>39</v>
      </c>
      <c r="CG70" s="105">
        <v>16754.399999999998</v>
      </c>
      <c r="CH70" s="105">
        <v>48.642731699404692</v>
      </c>
      <c r="CI70" s="105">
        <v>20896.917538064255</v>
      </c>
      <c r="CJ70" s="105">
        <v>43.600681997604148</v>
      </c>
      <c r="CK70" s="105">
        <v>18730.852986170739</v>
      </c>
      <c r="CL70" s="105">
        <v>32</v>
      </c>
      <c r="CM70" s="105">
        <v>13747.199999999999</v>
      </c>
      <c r="CN70" s="105">
        <v>47.273671000896648</v>
      </c>
      <c r="CO70" s="105">
        <v>20308.7690619852</v>
      </c>
      <c r="CP70" s="105">
        <v>45.285599474750825</v>
      </c>
      <c r="CQ70" s="105">
        <v>19454.693534352951</v>
      </c>
      <c r="CR70" s="105">
        <v>35.223934885923022</v>
      </c>
      <c r="CS70" s="105">
        <v>15132.20242699253</v>
      </c>
      <c r="CT70" s="105">
        <v>44.216865854432967</v>
      </c>
      <c r="CU70" s="105">
        <v>18995.565571064402</v>
      </c>
    </row>
    <row r="71" spans="2:99" x14ac:dyDescent="0.2">
      <c r="B71" s="104" t="s">
        <v>130</v>
      </c>
      <c r="C71" s="104" t="s">
        <v>237</v>
      </c>
      <c r="D71" s="105">
        <v>24.517528061678092</v>
      </c>
      <c r="E71" s="105">
        <v>4501.418152124098</v>
      </c>
      <c r="F71" s="105">
        <v>21.257729295776912</v>
      </c>
      <c r="G71" s="105">
        <v>3902.9190987046409</v>
      </c>
      <c r="H71" s="105">
        <v>23.65537225946694</v>
      </c>
      <c r="I71" s="105">
        <v>4343.1263468381303</v>
      </c>
      <c r="J71" s="105">
        <v>22.518584209211131</v>
      </c>
      <c r="K71" s="105">
        <v>4134.4120608111634</v>
      </c>
      <c r="L71" s="105">
        <v>19.792330109850536</v>
      </c>
      <c r="M71" s="105">
        <v>3633.8718081685583</v>
      </c>
      <c r="N71" s="105">
        <v>20.783182200409239</v>
      </c>
      <c r="O71" s="105">
        <v>3815.7922519951362</v>
      </c>
      <c r="P71" s="105">
        <v>18.493923450406538</v>
      </c>
      <c r="Q71" s="105">
        <v>3395.4843454946404</v>
      </c>
      <c r="R71" s="105">
        <v>18.360752559272935</v>
      </c>
      <c r="S71" s="105">
        <v>3371.0341698825109</v>
      </c>
      <c r="T71" s="105">
        <v>20.114561617010907</v>
      </c>
      <c r="U71" s="105">
        <v>3693.0335128832021</v>
      </c>
      <c r="V71" s="105">
        <v>21.775671845915411</v>
      </c>
      <c r="W71" s="105">
        <v>3998.0133509100692</v>
      </c>
      <c r="X71" s="105">
        <v>21.700250325811673</v>
      </c>
      <c r="Y71" s="105">
        <v>3984.1659598190231</v>
      </c>
      <c r="Z71" s="105">
        <v>21.443934769164912</v>
      </c>
      <c r="AA71" s="105">
        <v>3937.1064236186776</v>
      </c>
      <c r="AB71" s="105">
        <v>20.850719943785528</v>
      </c>
      <c r="AC71" s="105">
        <v>3828.1921816790227</v>
      </c>
      <c r="AD71" s="105">
        <v>21.869651574947856</v>
      </c>
      <c r="AE71" s="105">
        <v>4015.2680291604261</v>
      </c>
      <c r="AF71" s="105">
        <v>19.514623016024164</v>
      </c>
      <c r="AG71" s="105">
        <v>3582.8847857420365</v>
      </c>
      <c r="AH71" s="105">
        <v>19.858658639558552</v>
      </c>
      <c r="AI71" s="105">
        <v>3646.0497262229501</v>
      </c>
      <c r="AJ71" s="105">
        <v>20.051425884725798</v>
      </c>
      <c r="AK71" s="105">
        <v>3681.4417924356567</v>
      </c>
      <c r="AL71" s="105">
        <v>19.112357774380794</v>
      </c>
      <c r="AM71" s="105">
        <v>3509.0288873763134</v>
      </c>
      <c r="AN71" s="105">
        <v>24.612390518324965</v>
      </c>
      <c r="AO71" s="105">
        <v>4518.8348991644634</v>
      </c>
      <c r="AP71" s="105">
        <v>20.354626443656631</v>
      </c>
      <c r="AQ71" s="105">
        <v>3737.1094150553572</v>
      </c>
      <c r="AR71" s="105">
        <v>18.163477170161684</v>
      </c>
      <c r="AS71" s="105">
        <v>3334.8144084416849</v>
      </c>
      <c r="AT71" s="105">
        <v>18.983356347981484</v>
      </c>
      <c r="AU71" s="105">
        <v>3485.3442254894003</v>
      </c>
      <c r="AV71" s="105">
        <v>20.688249093490946</v>
      </c>
      <c r="AW71" s="105">
        <v>3798.3625335649376</v>
      </c>
      <c r="AX71" s="105">
        <v>22.265072123066695</v>
      </c>
      <c r="AY71" s="105">
        <v>4087.8672417950452</v>
      </c>
      <c r="AZ71" s="105">
        <v>20.908173225291218</v>
      </c>
      <c r="BA71" s="105">
        <v>3838.7406041634677</v>
      </c>
      <c r="BB71" s="105">
        <v>24.461053049074355</v>
      </c>
      <c r="BC71" s="105">
        <v>4491.0493398100516</v>
      </c>
      <c r="BD71" s="105">
        <v>20.289312206875351</v>
      </c>
      <c r="BE71" s="105">
        <v>3725.1177211823142</v>
      </c>
      <c r="BF71" s="105">
        <v>22.409437731197567</v>
      </c>
      <c r="BG71" s="105">
        <v>4114.3727674478732</v>
      </c>
      <c r="BH71" s="105">
        <v>23.505789782393979</v>
      </c>
      <c r="BI71" s="105">
        <v>4315.6630040475347</v>
      </c>
      <c r="BJ71" s="105">
        <v>22.178720230033136</v>
      </c>
      <c r="BK71" s="105">
        <v>4072.0130342340835</v>
      </c>
      <c r="BL71" s="105">
        <v>24.428900354195154</v>
      </c>
      <c r="BM71" s="105">
        <v>4485.1461050302305</v>
      </c>
      <c r="BN71" s="105">
        <v>22.720545929526978</v>
      </c>
      <c r="BO71" s="105">
        <v>4171.4922326611531</v>
      </c>
      <c r="BP71" s="105">
        <v>19.553288003031302</v>
      </c>
      <c r="BQ71" s="105">
        <v>3589.9836773565467</v>
      </c>
      <c r="BR71" s="105">
        <v>22.569610657952524</v>
      </c>
      <c r="BS71" s="105">
        <v>4143.7805168000832</v>
      </c>
      <c r="BT71" s="105">
        <v>24.901145132437115</v>
      </c>
      <c r="BU71" s="105">
        <v>4571.8502463154546</v>
      </c>
      <c r="BV71" s="105">
        <v>19.058911729639629</v>
      </c>
      <c r="BW71" s="105">
        <v>3499.2161935618356</v>
      </c>
      <c r="BX71" s="105">
        <v>25.875000883958872</v>
      </c>
      <c r="BY71" s="105">
        <v>4750.650162294849</v>
      </c>
      <c r="BZ71" s="105">
        <v>23.999929127647412</v>
      </c>
      <c r="CA71" s="105">
        <v>4406.3869878360647</v>
      </c>
      <c r="CB71" s="105">
        <v>24.175622807031985</v>
      </c>
      <c r="CC71" s="105">
        <v>4438.6443473710724</v>
      </c>
      <c r="CD71" s="105">
        <v>24.369264044361252</v>
      </c>
      <c r="CE71" s="105">
        <v>4474.1968785447261</v>
      </c>
      <c r="CF71" s="105">
        <v>24.168664531394413</v>
      </c>
      <c r="CG71" s="105">
        <v>4437.3668079640138</v>
      </c>
      <c r="CH71" s="105">
        <v>18.796734119378943</v>
      </c>
      <c r="CI71" s="105">
        <v>3451.0803843179738</v>
      </c>
      <c r="CJ71" s="105">
        <v>25.042595351677789</v>
      </c>
      <c r="CK71" s="105">
        <v>4597.8205065680422</v>
      </c>
      <c r="CL71" s="105">
        <v>23.810689538749784</v>
      </c>
      <c r="CM71" s="105">
        <v>4371.6425993144603</v>
      </c>
      <c r="CN71" s="105">
        <v>21.446065618935503</v>
      </c>
      <c r="CO71" s="105">
        <v>3937.4976476365582</v>
      </c>
      <c r="CP71" s="105">
        <v>21.291117968335396</v>
      </c>
      <c r="CQ71" s="105">
        <v>3909.0492589863784</v>
      </c>
      <c r="CR71" s="105">
        <v>20.86862480236146</v>
      </c>
      <c r="CS71" s="105">
        <v>3831.4795137135638</v>
      </c>
      <c r="CT71" s="105">
        <v>20.219979776768767</v>
      </c>
      <c r="CU71" s="105">
        <v>3712.3882870147454</v>
      </c>
    </row>
    <row r="72" spans="2:99" x14ac:dyDescent="0.2">
      <c r="C72" s="104" t="s">
        <v>238</v>
      </c>
      <c r="D72" s="105">
        <v>20.620941156157912</v>
      </c>
      <c r="E72" s="105">
        <v>10096.012790054912</v>
      </c>
      <c r="F72" s="105">
        <v>21.26192760905252</v>
      </c>
      <c r="G72" s="105">
        <v>10409.839757392114</v>
      </c>
      <c r="H72" s="105">
        <v>22.082400538421272</v>
      </c>
      <c r="I72" s="105">
        <v>10811.543303611053</v>
      </c>
      <c r="J72" s="105">
        <v>21.699069696171755</v>
      </c>
      <c r="K72" s="105">
        <v>10623.864523245691</v>
      </c>
      <c r="L72" s="105">
        <v>21.185753905186271</v>
      </c>
      <c r="M72" s="105">
        <v>10372.545111979198</v>
      </c>
      <c r="N72" s="105">
        <v>17.723735335921827</v>
      </c>
      <c r="O72" s="105">
        <v>8677.5408204673258</v>
      </c>
      <c r="P72" s="105">
        <v>19.49592593974813</v>
      </c>
      <c r="Q72" s="105">
        <v>9545.2053401006833</v>
      </c>
      <c r="R72" s="105">
        <v>16.404367173449906</v>
      </c>
      <c r="S72" s="105">
        <v>8031.5781681210728</v>
      </c>
      <c r="T72" s="105">
        <v>22.282817227360027</v>
      </c>
      <c r="U72" s="105">
        <v>10909.667314515469</v>
      </c>
      <c r="V72" s="105">
        <v>21.779130208551678</v>
      </c>
      <c r="W72" s="105">
        <v>10663.0621501069</v>
      </c>
      <c r="X72" s="105">
        <v>23.334902635436364</v>
      </c>
      <c r="Y72" s="105">
        <v>11424.768330309644</v>
      </c>
      <c r="Z72" s="105">
        <v>20.549879966231167</v>
      </c>
      <c r="AA72" s="105">
        <v>10061.221231466779</v>
      </c>
      <c r="AB72" s="105">
        <v>22.304294016192443</v>
      </c>
      <c r="AC72" s="105">
        <v>10920.182350327819</v>
      </c>
      <c r="AD72" s="105">
        <v>20.916935650770426</v>
      </c>
      <c r="AE72" s="105">
        <v>10240.9316946172</v>
      </c>
      <c r="AF72" s="105">
        <v>19.512960059768901</v>
      </c>
      <c r="AG72" s="105">
        <v>9553.5452452628524</v>
      </c>
      <c r="AH72" s="105">
        <v>19.85291134297664</v>
      </c>
      <c r="AI72" s="105">
        <v>9719.9853935213614</v>
      </c>
      <c r="AJ72" s="105">
        <v>19.114912172570097</v>
      </c>
      <c r="AK72" s="105">
        <v>9358.6609996903189</v>
      </c>
      <c r="AL72" s="105">
        <v>18.293761362403487</v>
      </c>
      <c r="AM72" s="105">
        <v>8956.6255630327469</v>
      </c>
      <c r="AN72" s="105">
        <v>20.46773858472789</v>
      </c>
      <c r="AO72" s="105">
        <v>10021.004811082774</v>
      </c>
      <c r="AP72" s="105">
        <v>18.619381615417016</v>
      </c>
      <c r="AQ72" s="105">
        <v>9116.0492389081701</v>
      </c>
      <c r="AR72" s="105">
        <v>15.893042523891475</v>
      </c>
      <c r="AS72" s="105">
        <v>7781.2336196972656</v>
      </c>
      <c r="AT72" s="105">
        <v>20.339310372837303</v>
      </c>
      <c r="AU72" s="105">
        <v>9958.1263585411434</v>
      </c>
      <c r="AV72" s="105">
        <v>16.516186820118211</v>
      </c>
      <c r="AW72" s="105">
        <v>8086.3250671298756</v>
      </c>
      <c r="AX72" s="105">
        <v>21.576053668129912</v>
      </c>
      <c r="AY72" s="105">
        <v>10563.635875916405</v>
      </c>
      <c r="AZ72" s="105">
        <v>17.855274992862086</v>
      </c>
      <c r="BA72" s="105">
        <v>8741.9426365052768</v>
      </c>
      <c r="BB72" s="105">
        <v>21.834548998796947</v>
      </c>
      <c r="BC72" s="105">
        <v>10690.195189810984</v>
      </c>
      <c r="BD72" s="105">
        <v>19.422458556748275</v>
      </c>
      <c r="BE72" s="105">
        <v>9509.2357093839546</v>
      </c>
      <c r="BF72" s="105">
        <v>22.517129698770017</v>
      </c>
      <c r="BG72" s="105">
        <v>11024.3867005178</v>
      </c>
      <c r="BH72" s="105">
        <v>20.345412948341401</v>
      </c>
      <c r="BI72" s="105">
        <v>9961.1141795079493</v>
      </c>
      <c r="BJ72" s="105">
        <v>23.607530268446038</v>
      </c>
      <c r="BK72" s="105">
        <v>11558.246819431179</v>
      </c>
      <c r="BL72" s="105">
        <v>23.765537144251223</v>
      </c>
      <c r="BM72" s="105">
        <v>11635.606985825398</v>
      </c>
      <c r="BN72" s="105">
        <v>20.10338402592177</v>
      </c>
      <c r="BO72" s="105">
        <v>9842.6168190912977</v>
      </c>
      <c r="BP72" s="105">
        <v>18.791325806619959</v>
      </c>
      <c r="BQ72" s="105">
        <v>9200.2331149211313</v>
      </c>
      <c r="BR72" s="105">
        <v>17.83011168587025</v>
      </c>
      <c r="BS72" s="105">
        <v>8729.6226814020738</v>
      </c>
      <c r="BT72" s="105">
        <v>24.131757626756901</v>
      </c>
      <c r="BU72" s="105">
        <v>11814.908534060178</v>
      </c>
      <c r="BV72" s="105">
        <v>19.055615439855973</v>
      </c>
      <c r="BW72" s="105">
        <v>9329.6293193534839</v>
      </c>
      <c r="BX72" s="105">
        <v>23.622553443948981</v>
      </c>
      <c r="BY72" s="105">
        <v>11565.60216615742</v>
      </c>
      <c r="BZ72" s="105">
        <v>21.270713455234119</v>
      </c>
      <c r="CA72" s="105">
        <v>10414.141307682625</v>
      </c>
      <c r="CB72" s="105">
        <v>22.841161680667156</v>
      </c>
      <c r="CC72" s="105">
        <v>11183.032758854639</v>
      </c>
      <c r="CD72" s="105">
        <v>24.369264044361252</v>
      </c>
      <c r="CE72" s="105">
        <v>11931.191676119268</v>
      </c>
      <c r="CF72" s="105">
        <v>22.530184545342266</v>
      </c>
      <c r="CG72" s="105">
        <v>11030.778353399573</v>
      </c>
      <c r="CH72" s="105">
        <v>18.796734119378943</v>
      </c>
      <c r="CI72" s="105">
        <v>9202.8810248479294</v>
      </c>
      <c r="CJ72" s="105">
        <v>24.332118789548495</v>
      </c>
      <c r="CK72" s="105">
        <v>11913.005359362942</v>
      </c>
      <c r="CL72" s="105">
        <v>24.63077975860854</v>
      </c>
      <c r="CM72" s="105">
        <v>12059.229769814739</v>
      </c>
      <c r="CN72" s="105">
        <v>22.147536756940045</v>
      </c>
      <c r="CO72" s="105">
        <v>10843.433996197846</v>
      </c>
      <c r="CP72" s="105">
        <v>20.054319403199028</v>
      </c>
      <c r="CQ72" s="105">
        <v>9818.5947798062425</v>
      </c>
      <c r="CR72" s="105">
        <v>20.08384292336493</v>
      </c>
      <c r="CS72" s="105">
        <v>9833.0494952794688</v>
      </c>
      <c r="CT72" s="105">
        <v>18.479592775400867</v>
      </c>
      <c r="CU72" s="105">
        <v>9047.6086228362637</v>
      </c>
    </row>
    <row r="73" spans="2:99" x14ac:dyDescent="0.2">
      <c r="C73" s="104" t="s">
        <v>239</v>
      </c>
      <c r="D73" s="105">
        <v>21.400258537261948</v>
      </c>
      <c r="E73" s="105">
        <v>12146.786745749881</v>
      </c>
      <c r="F73" s="105">
        <v>20.479024409476533</v>
      </c>
      <c r="G73" s="105">
        <v>11623.894254818881</v>
      </c>
      <c r="H73" s="105">
        <v>19.724385452525549</v>
      </c>
      <c r="I73" s="105">
        <v>11195.561182853502</v>
      </c>
      <c r="J73" s="105">
        <v>23.338098722250503</v>
      </c>
      <c r="K73" s="105">
        <v>13246.704834749386</v>
      </c>
      <c r="L73" s="105">
        <v>19.095131156800655</v>
      </c>
      <c r="M73" s="105">
        <v>10838.396444600052</v>
      </c>
      <c r="N73" s="105">
        <v>20.783182200409239</v>
      </c>
      <c r="O73" s="105">
        <v>11796.534216952285</v>
      </c>
      <c r="P73" s="105">
        <v>18.493923450406538</v>
      </c>
      <c r="Q73" s="105">
        <v>10497.15095045075</v>
      </c>
      <c r="R73" s="105">
        <v>17.149733828721764</v>
      </c>
      <c r="S73" s="105">
        <v>9734.1889211824746</v>
      </c>
      <c r="T73" s="105">
        <v>20.828826297875455</v>
      </c>
      <c r="U73" s="105">
        <v>11822.441806674109</v>
      </c>
      <c r="V73" s="105">
        <v>19.01443216082599</v>
      </c>
      <c r="W73" s="105">
        <v>10792.591694484832</v>
      </c>
      <c r="X73" s="105">
        <v>21.698037855962099</v>
      </c>
      <c r="Y73" s="105">
        <v>12315.806287044088</v>
      </c>
      <c r="Z73" s="105">
        <v>17.767747177613028</v>
      </c>
      <c r="AA73" s="105">
        <v>10084.973298013156</v>
      </c>
      <c r="AB73" s="105">
        <v>21.576944954228505</v>
      </c>
      <c r="AC73" s="105">
        <v>12247.0739560201</v>
      </c>
      <c r="AD73" s="105">
        <v>21.869651574947856</v>
      </c>
      <c r="AE73" s="105">
        <v>12413.214233940404</v>
      </c>
      <c r="AF73" s="105">
        <v>19.514623016024164</v>
      </c>
      <c r="AG73" s="105">
        <v>11076.500023895316</v>
      </c>
      <c r="AH73" s="105">
        <v>17.962656910623814</v>
      </c>
      <c r="AI73" s="105">
        <v>10195.604062470076</v>
      </c>
      <c r="AJ73" s="105">
        <v>19.114912172570097</v>
      </c>
      <c r="AK73" s="105">
        <v>10849.624149150788</v>
      </c>
      <c r="AL73" s="105">
        <v>18.293761362403487</v>
      </c>
      <c r="AM73" s="105">
        <v>10383.53894930022</v>
      </c>
      <c r="AN73" s="105">
        <v>20.46773858472789</v>
      </c>
      <c r="AO73" s="105">
        <v>11617.48842069155</v>
      </c>
      <c r="AP73" s="105">
        <v>20.39696562361658</v>
      </c>
      <c r="AQ73" s="105">
        <v>11577.317687964771</v>
      </c>
      <c r="AR73" s="105">
        <v>16.64985407264821</v>
      </c>
      <c r="AS73" s="105">
        <v>9450.4571716351238</v>
      </c>
      <c r="AT73" s="105">
        <v>19.661333360409394</v>
      </c>
      <c r="AU73" s="105">
        <v>11159.772815368373</v>
      </c>
      <c r="AV73" s="105">
        <v>17.688249093490946</v>
      </c>
      <c r="AW73" s="105">
        <v>10039.850185465461</v>
      </c>
      <c r="AX73" s="105">
        <v>20.198016758256347</v>
      </c>
      <c r="AY73" s="105">
        <v>11464.394311986303</v>
      </c>
      <c r="AZ73" s="105">
        <v>17.855274992862086</v>
      </c>
      <c r="BA73" s="105">
        <v>10134.654085948519</v>
      </c>
      <c r="BB73" s="105">
        <v>20.461524310150121</v>
      </c>
      <c r="BC73" s="105">
        <v>11613.961198441209</v>
      </c>
      <c r="BD73" s="105">
        <v>20.282602742363395</v>
      </c>
      <c r="BE73" s="105">
        <v>11512.405316565464</v>
      </c>
      <c r="BF73" s="105">
        <v>20.273605596927819</v>
      </c>
      <c r="BG73" s="105">
        <v>11507.29853681623</v>
      </c>
      <c r="BH73" s="105">
        <v>20.979400132375634</v>
      </c>
      <c r="BI73" s="105">
        <v>11907.90751513641</v>
      </c>
      <c r="BJ73" s="105">
        <v>22.178720230033136</v>
      </c>
      <c r="BK73" s="105">
        <v>12588.641602566808</v>
      </c>
      <c r="BL73" s="105">
        <v>22.428987293961576</v>
      </c>
      <c r="BM73" s="105">
        <v>12730.693188052592</v>
      </c>
      <c r="BN73" s="105">
        <v>20.100536970827648</v>
      </c>
      <c r="BO73" s="105">
        <v>11409.064784641772</v>
      </c>
      <c r="BP73" s="105">
        <v>19.553288003031302</v>
      </c>
      <c r="BQ73" s="105">
        <v>11098.446270520568</v>
      </c>
      <c r="BR73" s="105">
        <v>20.199861171911387</v>
      </c>
      <c r="BS73" s="105">
        <v>11465.441201176904</v>
      </c>
      <c r="BT73" s="105">
        <v>23.364372507846909</v>
      </c>
      <c r="BU73" s="105">
        <v>13261.617835453906</v>
      </c>
      <c r="BV73" s="105">
        <v>18.277047389352692</v>
      </c>
      <c r="BW73" s="105">
        <v>10374.052098196589</v>
      </c>
      <c r="BX73" s="105">
        <v>21.370106003939085</v>
      </c>
      <c r="BY73" s="105">
        <v>12129.672167835824</v>
      </c>
      <c r="BZ73" s="105">
        <v>21.274570524940977</v>
      </c>
      <c r="CA73" s="105">
        <v>12075.446229956498</v>
      </c>
      <c r="CB73" s="105">
        <v>21.441496223819154</v>
      </c>
      <c r="CC73" s="105">
        <v>12170.193256639752</v>
      </c>
      <c r="CD73" s="105">
        <v>24.369264044361252</v>
      </c>
      <c r="CE73" s="105">
        <v>13831.994271579448</v>
      </c>
      <c r="CF73" s="105">
        <v>22.520089847892166</v>
      </c>
      <c r="CG73" s="105">
        <v>12782.402997663594</v>
      </c>
      <c r="CH73" s="105">
        <v>16.789101990686785</v>
      </c>
      <c r="CI73" s="105">
        <v>9529.4942899138186</v>
      </c>
      <c r="CJ73" s="105">
        <v>23.644121074887298</v>
      </c>
      <c r="CK73" s="105">
        <v>13420.40312210603</v>
      </c>
      <c r="CL73" s="105">
        <v>26.766726764626235</v>
      </c>
      <c r="CM73" s="105">
        <v>15192.794111601852</v>
      </c>
      <c r="CN73" s="105">
        <v>21.452412891098788</v>
      </c>
      <c r="CO73" s="105">
        <v>12176.389556987673</v>
      </c>
      <c r="CP73" s="105">
        <v>20.054319403199028</v>
      </c>
      <c r="CQ73" s="105">
        <v>11382.831693255768</v>
      </c>
      <c r="CR73" s="105">
        <v>21.584926369117731</v>
      </c>
      <c r="CS73" s="105">
        <v>12251.604207111224</v>
      </c>
      <c r="CT73" s="105">
        <v>20.266477575845666</v>
      </c>
      <c r="CU73" s="105">
        <v>11503.252672050001</v>
      </c>
    </row>
    <row r="74" spans="2:99" x14ac:dyDescent="0.2">
      <c r="C74" s="104" t="s">
        <v>240</v>
      </c>
      <c r="D74" s="105">
        <v>22.95889329947002</v>
      </c>
      <c r="E74" s="105">
        <v>7218.2760533533738</v>
      </c>
      <c r="F74" s="105">
        <v>23.693399384408984</v>
      </c>
      <c r="G74" s="105">
        <v>7449.2047664581842</v>
      </c>
      <c r="H74" s="105">
        <v>22.869367230835032</v>
      </c>
      <c r="I74" s="105">
        <v>7190.1290573745337</v>
      </c>
      <c r="J74" s="105">
        <v>20.879555183132375</v>
      </c>
      <c r="K74" s="105">
        <v>6564.5321495768185</v>
      </c>
      <c r="L74" s="105">
        <v>22.579177700522003</v>
      </c>
      <c r="M74" s="105">
        <v>7098.8934690441174</v>
      </c>
      <c r="N74" s="105">
        <v>20.028624083334325</v>
      </c>
      <c r="O74" s="105">
        <v>6296.9994118003115</v>
      </c>
      <c r="P74" s="105">
        <v>20.481963053029684</v>
      </c>
      <c r="Q74" s="105">
        <v>6439.5291838725325</v>
      </c>
      <c r="R74" s="105">
        <v>17.323219845130428</v>
      </c>
      <c r="S74" s="105">
        <v>5446.4203193090061</v>
      </c>
      <c r="T74" s="105">
        <v>23.009812692102315</v>
      </c>
      <c r="U74" s="105">
        <v>7234.285110396967</v>
      </c>
      <c r="V74" s="105">
        <v>21.087955696620256</v>
      </c>
      <c r="W74" s="105">
        <v>6630.0532710174075</v>
      </c>
      <c r="X74" s="105">
        <v>23.337115105285935</v>
      </c>
      <c r="Y74" s="105">
        <v>7337.1889891018973</v>
      </c>
      <c r="Z74" s="105">
        <v>21.443934769164912</v>
      </c>
      <c r="AA74" s="105">
        <v>6741.9730914254478</v>
      </c>
      <c r="AB74" s="105">
        <v>21.576944954228505</v>
      </c>
      <c r="AC74" s="105">
        <v>6783.7914936094412</v>
      </c>
      <c r="AD74" s="105">
        <v>23.511359563878596</v>
      </c>
      <c r="AE74" s="105">
        <v>7391.97144688343</v>
      </c>
      <c r="AF74" s="105">
        <v>21.280072221928577</v>
      </c>
      <c r="AG74" s="105">
        <v>6690.4547065743445</v>
      </c>
      <c r="AH74" s="105">
        <v>17.956909614041905</v>
      </c>
      <c r="AI74" s="105">
        <v>5645.6523826547746</v>
      </c>
      <c r="AJ74" s="105">
        <v>21.932931638849354</v>
      </c>
      <c r="AK74" s="105">
        <v>6895.7137072542364</v>
      </c>
      <c r="AL74" s="105">
        <v>18.293761362403487</v>
      </c>
      <c r="AM74" s="105">
        <v>5751.5585723396562</v>
      </c>
      <c r="AN74" s="105">
        <v>23.96791883850652</v>
      </c>
      <c r="AO74" s="105">
        <v>7535.5136828264494</v>
      </c>
      <c r="AP74" s="105">
        <v>19.487004029536827</v>
      </c>
      <c r="AQ74" s="105">
        <v>6126.7140668863776</v>
      </c>
      <c r="AR74" s="105">
        <v>18.163477170161684</v>
      </c>
      <c r="AS74" s="105">
        <v>5710.597222298833</v>
      </c>
      <c r="AT74" s="105">
        <v>18.305379335553571</v>
      </c>
      <c r="AU74" s="105">
        <v>5755.2112630980419</v>
      </c>
      <c r="AV74" s="105">
        <v>18.516186820118211</v>
      </c>
      <c r="AW74" s="105">
        <v>5821.4891362451654</v>
      </c>
      <c r="AX74" s="105">
        <v>23.643109032940256</v>
      </c>
      <c r="AY74" s="105">
        <v>7433.3934799564158</v>
      </c>
      <c r="AZ74" s="105">
        <v>19.381724109076654</v>
      </c>
      <c r="BA74" s="105">
        <v>6093.6140598936991</v>
      </c>
      <c r="BB74" s="105">
        <v>24.585918734426752</v>
      </c>
      <c r="BC74" s="105">
        <v>7729.81285010377</v>
      </c>
      <c r="BD74" s="105">
        <v>19.415749092236318</v>
      </c>
      <c r="BE74" s="105">
        <v>6104.3115145990978</v>
      </c>
      <c r="BF74" s="105">
        <v>21.695481631312713</v>
      </c>
      <c r="BG74" s="105">
        <v>6821.0594248847165</v>
      </c>
      <c r="BH74" s="105">
        <v>22.242594957384807</v>
      </c>
      <c r="BI74" s="105">
        <v>6993.0718546017824</v>
      </c>
      <c r="BJ74" s="105">
        <v>21.464315210826687</v>
      </c>
      <c r="BK74" s="105">
        <v>6748.3807022839101</v>
      </c>
      <c r="BL74" s="105">
        <v>23.760625429050325</v>
      </c>
      <c r="BM74" s="105">
        <v>7470.3406348934213</v>
      </c>
      <c r="BN74" s="105">
        <v>24.026279826235452</v>
      </c>
      <c r="BO74" s="105">
        <v>7553.8623773684258</v>
      </c>
      <c r="BP74" s="105">
        <v>20.324086421047646</v>
      </c>
      <c r="BQ74" s="105">
        <v>6389.8927707773792</v>
      </c>
      <c r="BR74" s="105">
        <v>22.709256947660574</v>
      </c>
      <c r="BS74" s="105">
        <v>7139.7903843444838</v>
      </c>
      <c r="BT74" s="105">
        <v>21.828267345513442</v>
      </c>
      <c r="BU74" s="105">
        <v>6862.8072534294261</v>
      </c>
      <c r="BV74" s="105">
        <v>22.173183931652762</v>
      </c>
      <c r="BW74" s="105">
        <v>6971.2490281116279</v>
      </c>
      <c r="BX74" s="105">
        <v>23.62476540196613</v>
      </c>
      <c r="BY74" s="105">
        <v>7427.6262423781509</v>
      </c>
      <c r="BZ74" s="105">
        <v>23.999929127647412</v>
      </c>
      <c r="CA74" s="105">
        <v>7545.5777177323462</v>
      </c>
      <c r="CB74" s="105">
        <v>25.575288263879987</v>
      </c>
      <c r="CC74" s="105">
        <v>8040.8706301638676</v>
      </c>
      <c r="CD74" s="105">
        <v>26.004228524796414</v>
      </c>
      <c r="CE74" s="105">
        <v>8175.7294481959916</v>
      </c>
      <c r="CF74" s="105">
        <v>24.982857175695436</v>
      </c>
      <c r="CG74" s="105">
        <v>7854.6102960386443</v>
      </c>
      <c r="CH74" s="105">
        <v>17.789101990686785</v>
      </c>
      <c r="CI74" s="105">
        <v>5592.8936658719249</v>
      </c>
      <c r="CJ74" s="105">
        <v>23.644121074887298</v>
      </c>
      <c r="CK74" s="105">
        <v>7433.7116659445664</v>
      </c>
      <c r="CL74" s="105">
        <v>27.372109745613187</v>
      </c>
      <c r="CM74" s="105">
        <v>8605.7913040207859</v>
      </c>
      <c r="CN74" s="105">
        <v>22.849007894944588</v>
      </c>
      <c r="CO74" s="105">
        <v>7183.7280821705781</v>
      </c>
      <c r="CP74" s="105">
        <v>20.673279533851993</v>
      </c>
      <c r="CQ74" s="105">
        <v>6499.6790854430665</v>
      </c>
      <c r="CR74" s="105">
        <v>22.444414043285448</v>
      </c>
      <c r="CS74" s="105">
        <v>7056.5237752089442</v>
      </c>
      <c r="CT74" s="105">
        <v>21.157336765008239</v>
      </c>
      <c r="CU74" s="105">
        <v>6651.86667891859</v>
      </c>
    </row>
    <row r="75" spans="2:99" x14ac:dyDescent="0.2">
      <c r="C75" s="104" t="s">
        <v>241</v>
      </c>
      <c r="D75" s="105">
        <v>19.841623775053876</v>
      </c>
      <c r="E75" s="105">
        <v>11881.16431650226</v>
      </c>
      <c r="F75" s="105">
        <v>22.135989611808231</v>
      </c>
      <c r="G75" s="105">
        <v>13255.030579550768</v>
      </c>
      <c r="H75" s="105">
        <v>22.869367230835032</v>
      </c>
      <c r="I75" s="105">
        <v>13694.177097824017</v>
      </c>
      <c r="J75" s="105">
        <v>20.879555183132375</v>
      </c>
      <c r="K75" s="105">
        <v>12502.677643659665</v>
      </c>
      <c r="L75" s="105">
        <v>20.489042007518403</v>
      </c>
      <c r="M75" s="105">
        <v>12268.838354102019</v>
      </c>
      <c r="N75" s="105">
        <v>20.028624083334325</v>
      </c>
      <c r="O75" s="105">
        <v>11993.140101100593</v>
      </c>
      <c r="P75" s="105">
        <v>18.493923450406538</v>
      </c>
      <c r="Q75" s="105">
        <v>11074.161362103434</v>
      </c>
      <c r="R75" s="105">
        <v>17.323219845130428</v>
      </c>
      <c r="S75" s="105">
        <v>10373.144043264099</v>
      </c>
      <c r="T75" s="105">
        <v>21.562187154556611</v>
      </c>
      <c r="U75" s="105">
        <v>12911.437668148497</v>
      </c>
      <c r="V75" s="105">
        <v>20.39678118468883</v>
      </c>
      <c r="W75" s="105">
        <v>12213.59257339167</v>
      </c>
      <c r="X75" s="105">
        <v>19.399424258534548</v>
      </c>
      <c r="Y75" s="105">
        <v>11616.375246010486</v>
      </c>
      <c r="Z75" s="105">
        <v>20.524887871276942</v>
      </c>
      <c r="AA75" s="105">
        <v>12290.302857320632</v>
      </c>
      <c r="AB75" s="105">
        <v>20.730607443107672</v>
      </c>
      <c r="AC75" s="105">
        <v>12413.487736932873</v>
      </c>
      <c r="AD75" s="105">
        <v>20.227943586017119</v>
      </c>
      <c r="AE75" s="105">
        <v>12112.49261930705</v>
      </c>
      <c r="AF75" s="105">
        <v>18.632729891199588</v>
      </c>
      <c r="AG75" s="105">
        <v>11157.278658850313</v>
      </c>
      <c r="AH75" s="105">
        <v>18.986003013987091</v>
      </c>
      <c r="AI75" s="105">
        <v>11368.81860477547</v>
      </c>
      <c r="AJ75" s="105">
        <v>20.996417926693649</v>
      </c>
      <c r="AK75" s="105">
        <v>12572.655054504155</v>
      </c>
      <c r="AL75" s="105">
        <v>17.475164950426176</v>
      </c>
      <c r="AM75" s="105">
        <v>10464.128772315195</v>
      </c>
      <c r="AN75" s="105">
        <v>20.46773858472789</v>
      </c>
      <c r="AO75" s="105">
        <v>12256.081864535059</v>
      </c>
      <c r="AP75" s="105">
        <v>21.264588037736392</v>
      </c>
      <c r="AQ75" s="105">
        <v>12733.23531699655</v>
      </c>
      <c r="AR75" s="105">
        <v>18.163477170161684</v>
      </c>
      <c r="AS75" s="105">
        <v>10876.290129492816</v>
      </c>
      <c r="AT75" s="105">
        <v>17.627402323125661</v>
      </c>
      <c r="AU75" s="105">
        <v>10555.288511087645</v>
      </c>
      <c r="AV75" s="105">
        <v>17.688249093490946</v>
      </c>
      <c r="AW75" s="105">
        <v>10591.723557182377</v>
      </c>
      <c r="AX75" s="105">
        <v>22.265072123066695</v>
      </c>
      <c r="AY75" s="105">
        <v>13332.325187292336</v>
      </c>
      <c r="AZ75" s="105">
        <v>19.381724109076654</v>
      </c>
      <c r="BA75" s="105">
        <v>11605.776396515099</v>
      </c>
      <c r="BB75" s="105">
        <v>21.72032403011686</v>
      </c>
      <c r="BC75" s="105">
        <v>13006.130029233975</v>
      </c>
      <c r="BD75" s="105">
        <v>19.422458556748275</v>
      </c>
      <c r="BE75" s="105">
        <v>11630.168183780866</v>
      </c>
      <c r="BF75" s="105">
        <v>19.561661552171234</v>
      </c>
      <c r="BG75" s="105">
        <v>11713.522937440133</v>
      </c>
      <c r="BH75" s="105">
        <v>21.608607773350574</v>
      </c>
      <c r="BI75" s="105">
        <v>12939.234334682322</v>
      </c>
      <c r="BJ75" s="105">
        <v>21.464315210826687</v>
      </c>
      <c r="BK75" s="105">
        <v>12852.83194824302</v>
      </c>
      <c r="BL75" s="105">
        <v>21.755800653615854</v>
      </c>
      <c r="BM75" s="105">
        <v>13027.373431385173</v>
      </c>
      <c r="BN75" s="105">
        <v>20.100536970827648</v>
      </c>
      <c r="BO75" s="105">
        <v>12036.201538131594</v>
      </c>
      <c r="BP75" s="105">
        <v>20.328504531850154</v>
      </c>
      <c r="BQ75" s="105">
        <v>12172.708513671871</v>
      </c>
      <c r="BR75" s="105">
        <v>21.774978459875321</v>
      </c>
      <c r="BS75" s="105">
        <v>13038.857101773341</v>
      </c>
      <c r="BT75" s="105">
        <v>21.060214764346703</v>
      </c>
      <c r="BU75" s="105">
        <v>12610.856600890806</v>
      </c>
      <c r="BV75" s="105">
        <v>19.834183490359255</v>
      </c>
      <c r="BW75" s="105">
        <v>11876.709074027121</v>
      </c>
      <c r="BX75" s="105">
        <v>25.124185070622243</v>
      </c>
      <c r="BY75" s="105">
        <v>15044.362020288598</v>
      </c>
      <c r="BZ75" s="105">
        <v>22.179166322802928</v>
      </c>
      <c r="CA75" s="105">
        <v>13280.884794094392</v>
      </c>
      <c r="CB75" s="105">
        <v>22.808559515425571</v>
      </c>
      <c r="CC75" s="105">
        <v>13657.765437836832</v>
      </c>
      <c r="CD75" s="105">
        <v>25.186746284578831</v>
      </c>
      <c r="CE75" s="105">
        <v>15081.823675205804</v>
      </c>
      <c r="CF75" s="105">
        <v>20.891704559290119</v>
      </c>
      <c r="CG75" s="105">
        <v>12509.952690102922</v>
      </c>
      <c r="CH75" s="105">
        <v>17.796734119378943</v>
      </c>
      <c r="CI75" s="105">
        <v>10656.68439068411</v>
      </c>
      <c r="CJ75" s="105">
        <v>22.939264224625028</v>
      </c>
      <c r="CK75" s="105">
        <v>13736.031417705466</v>
      </c>
      <c r="CL75" s="105">
        <v>22.508409524096017</v>
      </c>
      <c r="CM75" s="105">
        <v>13478.035623028694</v>
      </c>
      <c r="CN75" s="105">
        <v>20.750941753094242</v>
      </c>
      <c r="CO75" s="105">
        <v>12425.663921752832</v>
      </c>
      <c r="CP75" s="105">
        <v>23.768080187116812</v>
      </c>
      <c r="CQ75" s="105">
        <v>14232.326416045546</v>
      </c>
      <c r="CR75" s="105">
        <v>20.015362611124672</v>
      </c>
      <c r="CS75" s="105">
        <v>11985.199131541453</v>
      </c>
      <c r="CT75" s="105">
        <v>18.438261398443622</v>
      </c>
      <c r="CU75" s="105">
        <v>11040.83092538804</v>
      </c>
    </row>
    <row r="76" spans="2:99" x14ac:dyDescent="0.2">
      <c r="C76" s="104" t="s">
        <v>242</v>
      </c>
      <c r="D76" s="105">
        <v>19.840730661094394</v>
      </c>
      <c r="E76" s="105">
        <v>17118.582414392244</v>
      </c>
      <c r="F76" s="105">
        <v>22.815139068377661</v>
      </c>
      <c r="G76" s="105">
        <v>19684.901988196245</v>
      </c>
      <c r="H76" s="105">
        <v>21.296395509789363</v>
      </c>
      <c r="I76" s="105">
        <v>18374.530045846263</v>
      </c>
      <c r="J76" s="105">
        <v>22.486661667890342</v>
      </c>
      <c r="K76" s="105">
        <v>19401.491687055786</v>
      </c>
      <c r="L76" s="105">
        <v>17.701707361464926</v>
      </c>
      <c r="M76" s="105">
        <v>15273.033111471937</v>
      </c>
      <c r="N76" s="105">
        <v>16.969177218846912</v>
      </c>
      <c r="O76" s="105">
        <v>14641.006104421114</v>
      </c>
      <c r="P76" s="105">
        <v>17.507886337124987</v>
      </c>
      <c r="Q76" s="105">
        <v>15105.804331671437</v>
      </c>
      <c r="R76" s="105">
        <v>18.354159223580606</v>
      </c>
      <c r="S76" s="105">
        <v>15835.968578105345</v>
      </c>
      <c r="T76" s="105">
        <v>21.562187154556611</v>
      </c>
      <c r="U76" s="105">
        <v>18603.855076951444</v>
      </c>
      <c r="V76" s="105">
        <v>17.632083136963146</v>
      </c>
      <c r="W76" s="105">
        <v>15212.961330571801</v>
      </c>
      <c r="X76" s="105">
        <v>21.801018590584949</v>
      </c>
      <c r="Y76" s="105">
        <v>18809.918839956692</v>
      </c>
      <c r="Z76" s="105">
        <v>18.686794075500998</v>
      </c>
      <c r="AA76" s="105">
        <v>16122.965928342261</v>
      </c>
      <c r="AB76" s="105">
        <v>21.459080556592568</v>
      </c>
      <c r="AC76" s="105">
        <v>18514.894704228067</v>
      </c>
      <c r="AD76" s="105">
        <v>20.227943586017119</v>
      </c>
      <c r="AE76" s="105">
        <v>17452.669726015571</v>
      </c>
      <c r="AF76" s="105">
        <v>20.398179097104006</v>
      </c>
      <c r="AG76" s="105">
        <v>17599.548924981336</v>
      </c>
      <c r="AH76" s="105">
        <v>17.956909614041905</v>
      </c>
      <c r="AI76" s="105">
        <v>15493.221614995355</v>
      </c>
      <c r="AJ76" s="105">
        <v>20.996417926693649</v>
      </c>
      <c r="AK76" s="105">
        <v>18115.709387151281</v>
      </c>
      <c r="AL76" s="105">
        <v>18.293761362403487</v>
      </c>
      <c r="AM76" s="105">
        <v>15783.857303481727</v>
      </c>
      <c r="AN76" s="105">
        <v>23.267882787750793</v>
      </c>
      <c r="AO76" s="105">
        <v>20075.529269271385</v>
      </c>
      <c r="AP76" s="105">
        <v>18.619381615417016</v>
      </c>
      <c r="AQ76" s="105">
        <v>16064.8024577818</v>
      </c>
      <c r="AR76" s="105">
        <v>15.136230975134737</v>
      </c>
      <c r="AS76" s="105">
        <v>13059.540085346251</v>
      </c>
      <c r="AT76" s="105">
        <v>16.949425310697755</v>
      </c>
      <c r="AU76" s="105">
        <v>14623.964158070023</v>
      </c>
      <c r="AV76" s="105">
        <v>17.688249093490946</v>
      </c>
      <c r="AW76" s="105">
        <v>15261.421317863987</v>
      </c>
      <c r="AX76" s="105">
        <v>22.265072123066695</v>
      </c>
      <c r="AY76" s="105">
        <v>19210.304227781944</v>
      </c>
      <c r="AZ76" s="105">
        <v>17.855274992862086</v>
      </c>
      <c r="BA76" s="105">
        <v>15405.531263841407</v>
      </c>
      <c r="BB76" s="105">
        <v>20.466844668486278</v>
      </c>
      <c r="BC76" s="105">
        <v>17658.793579969959</v>
      </c>
      <c r="BD76" s="105">
        <v>18.562314371133148</v>
      </c>
      <c r="BE76" s="105">
        <v>16015.564839413679</v>
      </c>
      <c r="BF76" s="105">
        <v>21.697493686440986</v>
      </c>
      <c r="BG76" s="105">
        <v>18720.597552661282</v>
      </c>
      <c r="BH76" s="105">
        <v>19.082218123332229</v>
      </c>
      <c r="BI76" s="105">
        <v>16464.137796811046</v>
      </c>
      <c r="BJ76" s="105">
        <v>20.749910191620234</v>
      </c>
      <c r="BK76" s="105">
        <v>17903.022513329935</v>
      </c>
      <c r="BL76" s="105">
        <v>21.087525728471029</v>
      </c>
      <c r="BM76" s="105">
        <v>18194.317198524801</v>
      </c>
      <c r="BN76" s="105">
        <v>21.298279886918397</v>
      </c>
      <c r="BO76" s="105">
        <v>18376.155886433193</v>
      </c>
      <c r="BP76" s="105">
        <v>18.020527388603607</v>
      </c>
      <c r="BQ76" s="105">
        <v>15548.111030887192</v>
      </c>
      <c r="BR76" s="105">
        <v>20.199861171911387</v>
      </c>
      <c r="BS76" s="105">
        <v>17428.440219125143</v>
      </c>
      <c r="BT76" s="105">
        <v>21.059547302089968</v>
      </c>
      <c r="BU76" s="105">
        <v>18170.177412243222</v>
      </c>
      <c r="BV76" s="105">
        <v>19.830887200575603</v>
      </c>
      <c r="BW76" s="105">
        <v>17110.089476656631</v>
      </c>
      <c r="BX76" s="105">
        <v>19.868474377265823</v>
      </c>
      <c r="BY76" s="105">
        <v>17142.519692704951</v>
      </c>
      <c r="BZ76" s="105">
        <v>20.362260587665308</v>
      </c>
      <c r="CA76" s="105">
        <v>17568.558435037627</v>
      </c>
      <c r="CB76" s="105">
        <v>24.89175661807678</v>
      </c>
      <c r="CC76" s="105">
        <v>21476.607610076644</v>
      </c>
      <c r="CD76" s="105">
        <v>22.734299563926093</v>
      </c>
      <c r="CE76" s="105">
        <v>19615.153663755431</v>
      </c>
      <c r="CF76" s="105">
        <v>22.520089847892166</v>
      </c>
      <c r="CG76" s="105">
        <v>19430.33352076136</v>
      </c>
      <c r="CH76" s="105">
        <v>18.616630911264597</v>
      </c>
      <c r="CI76" s="105">
        <v>16062.429150239093</v>
      </c>
      <c r="CJ76" s="105">
        <v>23.638501363020271</v>
      </c>
      <c r="CK76" s="105">
        <v>20395.298976013888</v>
      </c>
      <c r="CL76" s="105">
        <v>23.214357738766282</v>
      </c>
      <c r="CM76" s="105">
        <v>20029.347857007546</v>
      </c>
      <c r="CN76" s="105">
        <v>17.970446289729207</v>
      </c>
      <c r="CO76" s="105">
        <v>15504.90105877836</v>
      </c>
      <c r="CP76" s="105">
        <v>21.291117968335396</v>
      </c>
      <c r="CQ76" s="105">
        <v>18369.976583079777</v>
      </c>
      <c r="CR76" s="105">
        <v>22.438188560354519</v>
      </c>
      <c r="CS76" s="105">
        <v>19359.669089873878</v>
      </c>
      <c r="CT76" s="105">
        <v>19.329120587606194</v>
      </c>
      <c r="CU76" s="105">
        <v>16677.165242986623</v>
      </c>
    </row>
    <row r="77" spans="2:99" x14ac:dyDescent="0.2">
      <c r="C77" s="104" t="s">
        <v>243</v>
      </c>
      <c r="D77" s="105">
        <v>21.399365423302466</v>
      </c>
      <c r="E77" s="105">
        <v>14765.562142078701</v>
      </c>
      <c r="F77" s="105">
        <v>22.036434182077286</v>
      </c>
      <c r="G77" s="105">
        <v>15205.139585633327</v>
      </c>
      <c r="H77" s="105">
        <v>19.724385452525549</v>
      </c>
      <c r="I77" s="105">
        <v>13609.825962242629</v>
      </c>
      <c r="J77" s="105">
        <v>22.52257452687623</v>
      </c>
      <c r="K77" s="105">
        <v>15540.576423544599</v>
      </c>
      <c r="L77" s="105">
        <v>20.489042007518403</v>
      </c>
      <c r="M77" s="105">
        <v>14137.438985187699</v>
      </c>
      <c r="N77" s="105">
        <v>17.764949732109578</v>
      </c>
      <c r="O77" s="105">
        <v>12257.815315155609</v>
      </c>
      <c r="P77" s="105">
        <v>19.49592593974813</v>
      </c>
      <c r="Q77" s="105">
        <v>13452.18889842621</v>
      </c>
      <c r="R77" s="105">
        <v>18.367345894965268</v>
      </c>
      <c r="S77" s="105">
        <v>12673.468667526035</v>
      </c>
      <c r="T77" s="105">
        <v>19.511268490291808</v>
      </c>
      <c r="U77" s="105">
        <v>13462.775258301348</v>
      </c>
      <c r="V77" s="105">
        <v>19.010973798189728</v>
      </c>
      <c r="W77" s="105">
        <v>13117.571920750912</v>
      </c>
      <c r="X77" s="105">
        <v>20.164153811110683</v>
      </c>
      <c r="Y77" s="105">
        <v>13913.266129666372</v>
      </c>
      <c r="Z77" s="105">
        <v>16.848700279725055</v>
      </c>
      <c r="AA77" s="105">
        <v>11625.603193010287</v>
      </c>
      <c r="AB77" s="105">
        <v>19.275909319179796</v>
      </c>
      <c r="AC77" s="105">
        <v>13300.377430234059</v>
      </c>
      <c r="AD77" s="105">
        <v>22.690505569413226</v>
      </c>
      <c r="AE77" s="105">
        <v>15656.448842895126</v>
      </c>
      <c r="AF77" s="105">
        <v>20.394853184593476</v>
      </c>
      <c r="AG77" s="105">
        <v>14072.448697369498</v>
      </c>
      <c r="AH77" s="105">
        <v>18.107600091833714</v>
      </c>
      <c r="AI77" s="105">
        <v>12494.244063365262</v>
      </c>
      <c r="AJ77" s="105">
        <v>20.059904214537948</v>
      </c>
      <c r="AK77" s="105">
        <v>13841.333908031183</v>
      </c>
      <c r="AL77" s="105">
        <v>19.112357774380794</v>
      </c>
      <c r="AM77" s="105">
        <v>13187.526864322748</v>
      </c>
      <c r="AN77" s="105">
        <v>22.567846736995069</v>
      </c>
      <c r="AO77" s="105">
        <v>15571.814248526598</v>
      </c>
      <c r="AP77" s="105">
        <v>21.222248857776442</v>
      </c>
      <c r="AQ77" s="105">
        <v>14643.351711865746</v>
      </c>
      <c r="AR77" s="105">
        <v>16.64985407264821</v>
      </c>
      <c r="AS77" s="105">
        <v>11488.399310127264</v>
      </c>
      <c r="AT77" s="105">
        <v>16.949425310697755</v>
      </c>
      <c r="AU77" s="105">
        <v>11695.103464381451</v>
      </c>
      <c r="AV77" s="105">
        <v>18.516186820118211</v>
      </c>
      <c r="AW77" s="105">
        <v>12776.168905881566</v>
      </c>
      <c r="AX77" s="105">
        <v>20.88703521319313</v>
      </c>
      <c r="AY77" s="105">
        <v>14412.054297103259</v>
      </c>
      <c r="AZ77" s="105">
        <v>19.381088207930759</v>
      </c>
      <c r="BA77" s="105">
        <v>13372.950863472224</v>
      </c>
      <c r="BB77" s="105">
        <v>21.8398693571331</v>
      </c>
      <c r="BC77" s="105">
        <v>15069.509856421839</v>
      </c>
      <c r="BD77" s="105">
        <v>18.413777452093171</v>
      </c>
      <c r="BE77" s="105">
        <v>12705.506441944288</v>
      </c>
      <c r="BF77" s="105">
        <v>18.849717507414653</v>
      </c>
      <c r="BG77" s="105">
        <v>13006.30508011611</v>
      </c>
      <c r="BH77" s="105">
        <v>22.242594957384807</v>
      </c>
      <c r="BI77" s="105">
        <v>15347.390520595516</v>
      </c>
      <c r="BJ77" s="105">
        <v>23.607530268446038</v>
      </c>
      <c r="BK77" s="105">
        <v>16289.195885227766</v>
      </c>
      <c r="BL77" s="105">
        <v>19.750975878181379</v>
      </c>
      <c r="BM77" s="105">
        <v>13628.173355945151</v>
      </c>
      <c r="BN77" s="105">
        <v>22.717698874432848</v>
      </c>
      <c r="BO77" s="105">
        <v>15675.212223358665</v>
      </c>
      <c r="BP77" s="105">
        <v>18.795743917422467</v>
      </c>
      <c r="BQ77" s="105">
        <v>12969.063303021501</v>
      </c>
      <c r="BR77" s="105">
        <v>18.624743883947456</v>
      </c>
      <c r="BS77" s="105">
        <v>12851.073279923745</v>
      </c>
      <c r="BT77" s="105">
        <v>22.596319926680177</v>
      </c>
      <c r="BU77" s="105">
        <v>15591.460749409322</v>
      </c>
      <c r="BV77" s="105">
        <v>19.055615439855973</v>
      </c>
      <c r="BW77" s="105">
        <v>13148.374653500621</v>
      </c>
      <c r="BX77" s="105">
        <v>22.120921817275715</v>
      </c>
      <c r="BY77" s="105">
        <v>15263.436053920243</v>
      </c>
      <c r="BZ77" s="105">
        <v>23.999929127647412</v>
      </c>
      <c r="CA77" s="105">
        <v>16559.951098076715</v>
      </c>
      <c r="CB77" s="105">
        <v>25.575288263879987</v>
      </c>
      <c r="CC77" s="105">
        <v>17646.948902077191</v>
      </c>
      <c r="CD77" s="105">
        <v>25.186746284578831</v>
      </c>
      <c r="CE77" s="105">
        <v>17378.854936359392</v>
      </c>
      <c r="CF77" s="105">
        <v>22.525137196617216</v>
      </c>
      <c r="CG77" s="105">
        <v>15542.34466566588</v>
      </c>
      <c r="CH77" s="105">
        <v>18.804366248071098</v>
      </c>
      <c r="CI77" s="105">
        <v>12975.012711169058</v>
      </c>
      <c r="CJ77" s="105">
        <v>22.939264224625028</v>
      </c>
      <c r="CK77" s="105">
        <v>15828.092314991269</v>
      </c>
      <c r="CL77" s="105">
        <v>23.819740719753234</v>
      </c>
      <c r="CM77" s="105">
        <v>16435.621096629733</v>
      </c>
      <c r="CN77" s="105">
        <v>20.055817887252982</v>
      </c>
      <c r="CO77" s="105">
        <v>13838.514342204557</v>
      </c>
      <c r="CP77" s="105">
        <v>20.054319403199028</v>
      </c>
      <c r="CQ77" s="105">
        <v>13837.480388207328</v>
      </c>
      <c r="CR77" s="105">
        <v>20.800144490121202</v>
      </c>
      <c r="CS77" s="105">
        <v>14352.099698183629</v>
      </c>
      <c r="CT77" s="105">
        <v>17.547402209281049</v>
      </c>
      <c r="CU77" s="105">
        <v>12107.707524403924</v>
      </c>
    </row>
    <row r="78" spans="2:99" x14ac:dyDescent="0.2">
      <c r="C78" s="104" t="s">
        <v>244</v>
      </c>
      <c r="D78" s="105">
        <v>22.178682804406503</v>
      </c>
      <c r="E78" s="105">
        <v>2874.3572914510828</v>
      </c>
      <c r="F78" s="105">
        <v>22.81933738165327</v>
      </c>
      <c r="G78" s="105">
        <v>2957.3861246622637</v>
      </c>
      <c r="H78" s="105">
        <v>23.65537225946694</v>
      </c>
      <c r="I78" s="105">
        <v>3065.7362448269155</v>
      </c>
      <c r="J78" s="105">
        <v>25.800632579033739</v>
      </c>
      <c r="K78" s="105">
        <v>3343.7619822427723</v>
      </c>
      <c r="L78" s="105">
        <v>21.185753905186271</v>
      </c>
      <c r="M78" s="105">
        <v>2745.6737061121407</v>
      </c>
      <c r="N78" s="105">
        <v>19.278645343613608</v>
      </c>
      <c r="O78" s="105">
        <v>2498.5124365323236</v>
      </c>
      <c r="P78" s="105">
        <v>18.50190613843656</v>
      </c>
      <c r="Q78" s="105">
        <v>2397.8470355413779</v>
      </c>
      <c r="R78" s="105">
        <v>19.345538587876785</v>
      </c>
      <c r="S78" s="105">
        <v>2507.1818009888311</v>
      </c>
      <c r="T78" s="105">
        <v>20.977990203654116</v>
      </c>
      <c r="U78" s="105">
        <v>2718.7475303935735</v>
      </c>
      <c r="V78" s="105">
        <v>22.470304720483096</v>
      </c>
      <c r="W78" s="105">
        <v>2912.151491774609</v>
      </c>
      <c r="X78" s="105">
        <v>23.337115105285935</v>
      </c>
      <c r="Y78" s="105">
        <v>3024.4901176450571</v>
      </c>
      <c r="Z78" s="105">
        <v>18.686794075500998</v>
      </c>
      <c r="AA78" s="105">
        <v>2421.8085121849294</v>
      </c>
      <c r="AB78" s="105">
        <v>25.095825866412255</v>
      </c>
      <c r="AC78" s="105">
        <v>3252.4190322870281</v>
      </c>
      <c r="AD78" s="105">
        <v>24.332213558343966</v>
      </c>
      <c r="AE78" s="105">
        <v>3153.4548771613777</v>
      </c>
      <c r="AF78" s="105">
        <v>22.161965346753153</v>
      </c>
      <c r="AG78" s="105">
        <v>2872.1907089392084</v>
      </c>
      <c r="AH78" s="105">
        <v>19.858658639558552</v>
      </c>
      <c r="AI78" s="105">
        <v>2573.6821596867881</v>
      </c>
      <c r="AJ78" s="105">
        <v>19.114912172570097</v>
      </c>
      <c r="AK78" s="105">
        <v>2477.2926175650846</v>
      </c>
      <c r="AL78" s="105">
        <v>19.9309541863581</v>
      </c>
      <c r="AM78" s="105">
        <v>2583.0516625520095</v>
      </c>
      <c r="AN78" s="105">
        <v>23.267882787750793</v>
      </c>
      <c r="AO78" s="105">
        <v>3015.5176092925026</v>
      </c>
      <c r="AP78" s="105">
        <v>20.354626443656631</v>
      </c>
      <c r="AQ78" s="105">
        <v>2637.9595870978992</v>
      </c>
      <c r="AR78" s="105">
        <v>19.677100267675158</v>
      </c>
      <c r="AS78" s="105">
        <v>2550.1521946907005</v>
      </c>
      <c r="AT78" s="105">
        <v>20.339310372837303</v>
      </c>
      <c r="AU78" s="105">
        <v>2635.9746243197146</v>
      </c>
      <c r="AV78" s="105">
        <v>17.516186820118211</v>
      </c>
      <c r="AW78" s="105">
        <v>2270.0978118873199</v>
      </c>
      <c r="AX78" s="105">
        <v>24.332127487877038</v>
      </c>
      <c r="AY78" s="105">
        <v>3153.443722428864</v>
      </c>
      <c r="AZ78" s="105">
        <v>20.144948667183936</v>
      </c>
      <c r="BA78" s="105">
        <v>2610.7853472670381</v>
      </c>
      <c r="BB78" s="105">
        <v>22.396195657767958</v>
      </c>
      <c r="BC78" s="105">
        <v>2902.5469572467273</v>
      </c>
      <c r="BD78" s="105">
        <v>22.002891113593645</v>
      </c>
      <c r="BE78" s="105">
        <v>2851.5746883217362</v>
      </c>
      <c r="BF78" s="105">
        <v>22.517129698770017</v>
      </c>
      <c r="BG78" s="105">
        <v>2918.220008960594</v>
      </c>
      <c r="BH78" s="105">
        <v>21.61099754488022</v>
      </c>
      <c r="BI78" s="105">
        <v>2800.7852818164765</v>
      </c>
      <c r="BJ78" s="105">
        <v>25.750745326065385</v>
      </c>
      <c r="BK78" s="105">
        <v>3337.2965942580736</v>
      </c>
      <c r="BL78" s="105">
        <v>22.428987293961576</v>
      </c>
      <c r="BM78" s="105">
        <v>2906.7967532974203</v>
      </c>
      <c r="BN78" s="105">
        <v>21.949723307725577</v>
      </c>
      <c r="BO78" s="105">
        <v>2844.6841406812346</v>
      </c>
      <c r="BP78" s="105">
        <v>19.562124224636307</v>
      </c>
      <c r="BQ78" s="105">
        <v>2535.2512995128654</v>
      </c>
      <c r="BR78" s="105">
        <v>20.199861171911387</v>
      </c>
      <c r="BS78" s="105">
        <v>2617.9020078797157</v>
      </c>
      <c r="BT78" s="105">
        <v>25.668530251347114</v>
      </c>
      <c r="BU78" s="105">
        <v>3326.6415205745857</v>
      </c>
      <c r="BV78" s="105">
        <v>21.394615881149484</v>
      </c>
      <c r="BW78" s="105">
        <v>2772.7422181969732</v>
      </c>
      <c r="BX78" s="105">
        <v>23.622553443948981</v>
      </c>
      <c r="BY78" s="105">
        <v>3061.4829263357879</v>
      </c>
      <c r="BZ78" s="105">
        <v>26.725287730353845</v>
      </c>
      <c r="CA78" s="105">
        <v>3463.597289853858</v>
      </c>
      <c r="CB78" s="105">
        <v>25.542686098638402</v>
      </c>
      <c r="CC78" s="105">
        <v>3310.3321183835369</v>
      </c>
      <c r="CD78" s="105">
        <v>23.545473143248977</v>
      </c>
      <c r="CE78" s="105">
        <v>3051.4933193650672</v>
      </c>
      <c r="CF78" s="105">
        <v>23.349424538368339</v>
      </c>
      <c r="CG78" s="105">
        <v>3026.0854201725365</v>
      </c>
      <c r="CH78" s="105">
        <v>17.796734119378943</v>
      </c>
      <c r="CI78" s="105">
        <v>2306.456741871511</v>
      </c>
      <c r="CJ78" s="105">
        <v>27.129067343129474</v>
      </c>
      <c r="CK78" s="105">
        <v>3515.9271276695795</v>
      </c>
      <c r="CL78" s="105">
        <v>26.766726764626235</v>
      </c>
      <c r="CM78" s="105">
        <v>3468.9677886955596</v>
      </c>
      <c r="CN78" s="105">
        <v>22.842660622781302</v>
      </c>
      <c r="CO78" s="105">
        <v>2960.4088167124569</v>
      </c>
      <c r="CP78" s="105">
        <v>24.385918621600215</v>
      </c>
      <c r="CQ78" s="105">
        <v>3160.4150533593879</v>
      </c>
      <c r="CR78" s="105">
        <v>23.235421405212911</v>
      </c>
      <c r="CS78" s="105">
        <v>3011.3106141155931</v>
      </c>
      <c r="CT78" s="105">
        <v>21.157336765008239</v>
      </c>
      <c r="CU78" s="105">
        <v>2741.9908447450675</v>
      </c>
    </row>
    <row r="79" spans="2:99" x14ac:dyDescent="0.2">
      <c r="C79" s="104" t="s">
        <v>245</v>
      </c>
      <c r="D79" s="105">
        <v>23.738210680574056</v>
      </c>
      <c r="E79" s="105">
        <v>11394.341126675547</v>
      </c>
      <c r="F79" s="105">
        <v>19.70871614972738</v>
      </c>
      <c r="G79" s="105">
        <v>9460.1837518691427</v>
      </c>
      <c r="H79" s="105">
        <v>22.869367230835032</v>
      </c>
      <c r="I79" s="105">
        <v>10977.296270800814</v>
      </c>
      <c r="J79" s="105">
        <v>23.338098722250503</v>
      </c>
      <c r="K79" s="105">
        <v>11202.287386680242</v>
      </c>
      <c r="L79" s="105">
        <v>19.095618212182671</v>
      </c>
      <c r="M79" s="105">
        <v>9165.8967418476823</v>
      </c>
      <c r="N79" s="105">
        <v>18.519507849184496</v>
      </c>
      <c r="O79" s="105">
        <v>8889.3637676085582</v>
      </c>
      <c r="P79" s="105">
        <v>17.515869025155009</v>
      </c>
      <c r="Q79" s="105">
        <v>8407.6171320744052</v>
      </c>
      <c r="R79" s="105">
        <v>18.360752559272935</v>
      </c>
      <c r="S79" s="105">
        <v>8813.1612284510084</v>
      </c>
      <c r="T79" s="105">
        <v>20.835191689814323</v>
      </c>
      <c r="U79" s="105">
        <v>10000.892011110875</v>
      </c>
      <c r="V79" s="105">
        <v>21.084497333983993</v>
      </c>
      <c r="W79" s="105">
        <v>10120.558720312316</v>
      </c>
      <c r="X79" s="105">
        <v>22.570173082860226</v>
      </c>
      <c r="Y79" s="105">
        <v>10833.683079772909</v>
      </c>
      <c r="Z79" s="105">
        <v>18.686794075500998</v>
      </c>
      <c r="AA79" s="105">
        <v>8969.6611562404796</v>
      </c>
      <c r="AB79" s="105">
        <v>19.277033370700753</v>
      </c>
      <c r="AC79" s="105">
        <v>9252.976017936362</v>
      </c>
      <c r="AD79" s="105">
        <v>20.227943586017119</v>
      </c>
      <c r="AE79" s="105">
        <v>9709.4129212882181</v>
      </c>
      <c r="AF79" s="105">
        <v>18.632729891199588</v>
      </c>
      <c r="AG79" s="105">
        <v>8943.7103477758028</v>
      </c>
      <c r="AH79" s="105">
        <v>19.702220865184827</v>
      </c>
      <c r="AI79" s="105">
        <v>9457.0660152887176</v>
      </c>
      <c r="AJ79" s="105">
        <v>18.186876790226545</v>
      </c>
      <c r="AK79" s="105">
        <v>8729.7008593087412</v>
      </c>
      <c r="AL79" s="105">
        <v>17.475164950426176</v>
      </c>
      <c r="AM79" s="105">
        <v>8388.0791762045646</v>
      </c>
      <c r="AN79" s="105">
        <v>23.267882787750793</v>
      </c>
      <c r="AO79" s="105">
        <v>11168.58373812038</v>
      </c>
      <c r="AP79" s="105">
        <v>22.08987127189625</v>
      </c>
      <c r="AQ79" s="105">
        <v>10603.1382105102</v>
      </c>
      <c r="AR79" s="105">
        <v>15.893042523891475</v>
      </c>
      <c r="AS79" s="105">
        <v>7628.6604114679085</v>
      </c>
      <c r="AT79" s="105">
        <v>16.949425310697755</v>
      </c>
      <c r="AU79" s="105">
        <v>8135.7241491349223</v>
      </c>
      <c r="AV79" s="105">
        <v>19.688249093490946</v>
      </c>
      <c r="AW79" s="105">
        <v>9450.3595648756545</v>
      </c>
      <c r="AX79" s="105">
        <v>20.198016758256347</v>
      </c>
      <c r="AY79" s="105">
        <v>9695.0480439630464</v>
      </c>
      <c r="AZ79" s="105">
        <v>20.907537324145327</v>
      </c>
      <c r="BA79" s="105">
        <v>10035.617915589757</v>
      </c>
      <c r="BB79" s="105">
        <v>21.834548998796947</v>
      </c>
      <c r="BC79" s="105">
        <v>10480.583519422535</v>
      </c>
      <c r="BD79" s="105">
        <v>17.695460721006071</v>
      </c>
      <c r="BE79" s="105">
        <v>8493.8211460829152</v>
      </c>
      <c r="BF79" s="105">
        <v>18.849717507414653</v>
      </c>
      <c r="BG79" s="105">
        <v>9047.8644035590332</v>
      </c>
      <c r="BH79" s="105">
        <v>20.323905004574595</v>
      </c>
      <c r="BI79" s="105">
        <v>9755.4744021958049</v>
      </c>
      <c r="BJ79" s="105">
        <v>22.178720230033136</v>
      </c>
      <c r="BK79" s="105">
        <v>10645.785710415905</v>
      </c>
      <c r="BL79" s="105">
        <v>21.092437443671923</v>
      </c>
      <c r="BM79" s="105">
        <v>10124.369972962522</v>
      </c>
      <c r="BN79" s="105">
        <v>23.915441790523602</v>
      </c>
      <c r="BO79" s="105">
        <v>11479.41205945133</v>
      </c>
      <c r="BP79" s="105">
        <v>19.562124224636307</v>
      </c>
      <c r="BQ79" s="105">
        <v>9389.8196278254272</v>
      </c>
      <c r="BR79" s="105">
        <v>18.778537281845974</v>
      </c>
      <c r="BS79" s="105">
        <v>9013.6978952860682</v>
      </c>
      <c r="BT79" s="105">
        <v>20.292829645436715</v>
      </c>
      <c r="BU79" s="105">
        <v>9740.5582298096233</v>
      </c>
      <c r="BV79" s="105">
        <v>20.616047830646199</v>
      </c>
      <c r="BW79" s="105">
        <v>9895.7029587101752</v>
      </c>
      <c r="BX79" s="105">
        <v>25.124185070622243</v>
      </c>
      <c r="BY79" s="105">
        <v>12059.608833898677</v>
      </c>
      <c r="BZ79" s="105">
        <v>21.274570524940977</v>
      </c>
      <c r="CA79" s="105">
        <v>10211.793851971668</v>
      </c>
      <c r="CB79" s="105">
        <v>22.841161680667156</v>
      </c>
      <c r="CC79" s="105">
        <v>10963.757606720235</v>
      </c>
      <c r="CD79" s="105">
        <v>25.180437623684135</v>
      </c>
      <c r="CE79" s="105">
        <v>12086.610059368384</v>
      </c>
      <c r="CF79" s="105">
        <v>23.349424538368339</v>
      </c>
      <c r="CG79" s="105">
        <v>11207.723778416803</v>
      </c>
      <c r="CH79" s="105">
        <v>16.796734119378943</v>
      </c>
      <c r="CI79" s="105">
        <v>8062.4323773018923</v>
      </c>
      <c r="CJ79" s="105">
        <v>24.337738501415519</v>
      </c>
      <c r="CK79" s="105">
        <v>11682.114480679449</v>
      </c>
      <c r="CL79" s="105">
        <v>24.635305349110265</v>
      </c>
      <c r="CM79" s="105">
        <v>11824.946567572928</v>
      </c>
      <c r="CN79" s="105">
        <v>20.062165159416271</v>
      </c>
      <c r="CO79" s="105">
        <v>9629.8392765198096</v>
      </c>
      <c r="CP79" s="105">
        <v>21.292239664504955</v>
      </c>
      <c r="CQ79" s="105">
        <v>10220.275038962378</v>
      </c>
      <c r="CR79" s="105">
        <v>20.09006840629586</v>
      </c>
      <c r="CS79" s="105">
        <v>9643.2328350220123</v>
      </c>
      <c r="CT79" s="105">
        <v>20.219979776768767</v>
      </c>
      <c r="CU79" s="105">
        <v>9705.5902928490086</v>
      </c>
    </row>
    <row r="80" spans="2:99" x14ac:dyDescent="0.2">
      <c r="C80" s="104" t="s">
        <v>246</v>
      </c>
      <c r="D80" s="105">
        <v>22.95889329947002</v>
      </c>
      <c r="E80" s="105">
        <v>17494.676694196154</v>
      </c>
      <c r="F80" s="105">
        <v>21.257729295776912</v>
      </c>
      <c r="G80" s="105">
        <v>16198.389723382006</v>
      </c>
      <c r="H80" s="105">
        <v>20.502697170902625</v>
      </c>
      <c r="I80" s="105">
        <v>15623.0552442278</v>
      </c>
      <c r="J80" s="105">
        <v>23.334108404585407</v>
      </c>
      <c r="K80" s="105">
        <v>17780.590604294081</v>
      </c>
      <c r="L80" s="105">
        <v>18.398906314514804</v>
      </c>
      <c r="M80" s="105">
        <v>14019.96661166028</v>
      </c>
      <c r="N80" s="105">
        <v>18.478293452996745</v>
      </c>
      <c r="O80" s="105">
        <v>14080.45961118352</v>
      </c>
      <c r="P80" s="105">
        <v>17.325990266928958</v>
      </c>
      <c r="Q80" s="105">
        <v>13202.404583399866</v>
      </c>
      <c r="R80" s="105">
        <v>18.360752559272935</v>
      </c>
      <c r="S80" s="105">
        <v>13990.893450165977</v>
      </c>
      <c r="T80" s="105">
        <v>22.282817227360027</v>
      </c>
      <c r="U80" s="105">
        <v>16979.506727248339</v>
      </c>
      <c r="V80" s="105">
        <v>19.01443216082599</v>
      </c>
      <c r="W80" s="105">
        <v>14488.997306549405</v>
      </c>
      <c r="X80" s="105">
        <v>19.397211788684974</v>
      </c>
      <c r="Y80" s="105">
        <v>14780.67538297795</v>
      </c>
      <c r="Z80" s="105">
        <v>19.605840973388972</v>
      </c>
      <c r="AA80" s="105">
        <v>14939.650821722396</v>
      </c>
      <c r="AB80" s="105">
        <v>22.186429618556506</v>
      </c>
      <c r="AC80" s="105">
        <v>16906.059369340059</v>
      </c>
      <c r="AD80" s="105">
        <v>23.379497634166533</v>
      </c>
      <c r="AE80" s="105">
        <v>17815.177197234898</v>
      </c>
      <c r="AF80" s="105">
        <v>17.74917381011975</v>
      </c>
      <c r="AG80" s="105">
        <v>13524.870443311249</v>
      </c>
      <c r="AH80" s="105">
        <v>17.234944466262249</v>
      </c>
      <c r="AI80" s="105">
        <v>13133.027683291833</v>
      </c>
      <c r="AJ80" s="105">
        <v>19.122179312409084</v>
      </c>
      <c r="AK80" s="105">
        <v>14571.100636055722</v>
      </c>
      <c r="AL80" s="105">
        <v>18.293761362403487</v>
      </c>
      <c r="AM80" s="105">
        <v>13939.846158151457</v>
      </c>
      <c r="AN80" s="105">
        <v>23.267882787750793</v>
      </c>
      <c r="AO80" s="105">
        <v>17730.126684266103</v>
      </c>
      <c r="AP80" s="105">
        <v>19.487004029536827</v>
      </c>
      <c r="AQ80" s="105">
        <v>14849.097070507061</v>
      </c>
      <c r="AR80" s="105">
        <v>15.136230975134737</v>
      </c>
      <c r="AS80" s="105">
        <v>11533.808003052669</v>
      </c>
      <c r="AT80" s="105">
        <v>18.305379335553571</v>
      </c>
      <c r="AU80" s="105">
        <v>13948.699053691822</v>
      </c>
      <c r="AV80" s="105">
        <v>18.516186820118211</v>
      </c>
      <c r="AW80" s="105">
        <v>14109.334356930076</v>
      </c>
      <c r="AX80" s="105">
        <v>21.576053668129912</v>
      </c>
      <c r="AY80" s="105">
        <v>16440.952895114991</v>
      </c>
      <c r="AZ80" s="105">
        <v>17.092050434754803</v>
      </c>
      <c r="BA80" s="105">
        <v>13024.14243128316</v>
      </c>
      <c r="BB80" s="105">
        <v>21.656479730082985</v>
      </c>
      <c r="BC80" s="105">
        <v>16502.237554323234</v>
      </c>
      <c r="BD80" s="105">
        <v>19.422458556748275</v>
      </c>
      <c r="BE80" s="105">
        <v>14799.913420242185</v>
      </c>
      <c r="BF80" s="105">
        <v>20.273605596927819</v>
      </c>
      <c r="BG80" s="105">
        <v>15448.487464858998</v>
      </c>
      <c r="BH80" s="105">
        <v>19.713815535836815</v>
      </c>
      <c r="BI80" s="105">
        <v>15021.927438307654</v>
      </c>
      <c r="BJ80" s="105">
        <v>21.464315210826687</v>
      </c>
      <c r="BK80" s="105">
        <v>16355.808190649936</v>
      </c>
      <c r="BL80" s="105">
        <v>21.092437443671923</v>
      </c>
      <c r="BM80" s="105">
        <v>16072.437332078005</v>
      </c>
      <c r="BN80" s="105">
        <v>19.449093550020471</v>
      </c>
      <c r="BO80" s="105">
        <v>14820.209285115599</v>
      </c>
      <c r="BP80" s="105">
        <v>20.324086421047646</v>
      </c>
      <c r="BQ80" s="105">
        <v>15486.953852838305</v>
      </c>
      <c r="BR80" s="105">
        <v>19.41230252792942</v>
      </c>
      <c r="BS80" s="105">
        <v>14792.174526282217</v>
      </c>
      <c r="BT80" s="105">
        <v>23.364372507846909</v>
      </c>
      <c r="BU80" s="105">
        <v>17803.651850979346</v>
      </c>
      <c r="BV80" s="105">
        <v>20.616047830646199</v>
      </c>
      <c r="BW80" s="105">
        <v>15709.428446952403</v>
      </c>
      <c r="BX80" s="105">
        <v>23.733146618746758</v>
      </c>
      <c r="BY80" s="105">
        <v>18084.65772348503</v>
      </c>
      <c r="BZ80" s="105">
        <v>20.362260587665308</v>
      </c>
      <c r="CA80" s="105">
        <v>15516.042567800965</v>
      </c>
      <c r="CB80" s="105">
        <v>22.808559515425571</v>
      </c>
      <c r="CC80" s="105">
        <v>17380.122350754285</v>
      </c>
      <c r="CD80" s="105">
        <v>24.362955383466556</v>
      </c>
      <c r="CE80" s="105">
        <v>18564.572002201516</v>
      </c>
      <c r="CF80" s="105">
        <v>23.349424538368339</v>
      </c>
      <c r="CG80" s="105">
        <v>17792.261498236676</v>
      </c>
      <c r="CH80" s="105">
        <v>18.804366248071098</v>
      </c>
      <c r="CI80" s="105">
        <v>14328.927081030177</v>
      </c>
      <c r="CJ80" s="105">
        <v>24.343358213282542</v>
      </c>
      <c r="CK80" s="105">
        <v>18549.638958521296</v>
      </c>
      <c r="CL80" s="105">
        <v>26.05172736895252</v>
      </c>
      <c r="CM80" s="105">
        <v>19851.416255141819</v>
      </c>
      <c r="CN80" s="105">
        <v>21.446065618935503</v>
      </c>
      <c r="CO80" s="105">
        <v>16341.902001628852</v>
      </c>
      <c r="CP80" s="105">
        <v>21.910078098988361</v>
      </c>
      <c r="CQ80" s="105">
        <v>16695.47951142913</v>
      </c>
      <c r="CR80" s="105">
        <v>20.096293889226793</v>
      </c>
      <c r="CS80" s="105">
        <v>15313.375943590816</v>
      </c>
      <c r="CT80" s="105">
        <v>21.11083896593134</v>
      </c>
      <c r="CU80" s="105">
        <v>16086.459292039681</v>
      </c>
    </row>
    <row r="81" spans="2:99" x14ac:dyDescent="0.2">
      <c r="C81" s="104" t="s">
        <v>247</v>
      </c>
      <c r="D81" s="105">
        <v>23.738210680574056</v>
      </c>
      <c r="E81" s="105">
        <v>14812.643464678211</v>
      </c>
      <c r="F81" s="105">
        <v>21.21574616302081</v>
      </c>
      <c r="G81" s="105">
        <v>13238.625605724985</v>
      </c>
      <c r="H81" s="105">
        <v>22.083362202203126</v>
      </c>
      <c r="I81" s="105">
        <v>13780.018014174751</v>
      </c>
      <c r="J81" s="105">
        <v>20.879555183132375</v>
      </c>
      <c r="K81" s="105">
        <v>13028.842434274602</v>
      </c>
      <c r="L81" s="105">
        <v>20.489042007518403</v>
      </c>
      <c r="M81" s="105">
        <v>12785.162212691484</v>
      </c>
      <c r="N81" s="105">
        <v>19.987409687146574</v>
      </c>
      <c r="O81" s="105">
        <v>12472.143644779462</v>
      </c>
      <c r="P81" s="105">
        <v>18.50190613843656</v>
      </c>
      <c r="Q81" s="105">
        <v>11545.189430384413</v>
      </c>
      <c r="R81" s="105">
        <v>18.187266542864275</v>
      </c>
      <c r="S81" s="105">
        <v>11348.854322747307</v>
      </c>
      <c r="T81" s="105">
        <v>21.555821762617743</v>
      </c>
      <c r="U81" s="105">
        <v>13450.832779873472</v>
      </c>
      <c r="V81" s="105">
        <v>19.705606672757412</v>
      </c>
      <c r="W81" s="105">
        <v>12296.298563800625</v>
      </c>
      <c r="X81" s="105">
        <v>22.464979878387805</v>
      </c>
      <c r="Y81" s="105">
        <v>14018.147444113991</v>
      </c>
      <c r="Z81" s="105">
        <v>18.686794075500998</v>
      </c>
      <c r="AA81" s="105">
        <v>11660.559503112623</v>
      </c>
      <c r="AB81" s="105">
        <v>20.12337088182159</v>
      </c>
      <c r="AC81" s="105">
        <v>12556.983430256672</v>
      </c>
      <c r="AD81" s="105">
        <v>21.737789645235797</v>
      </c>
      <c r="AE81" s="105">
        <v>13564.380738627136</v>
      </c>
      <c r="AF81" s="105">
        <v>17.752499722630279</v>
      </c>
      <c r="AG81" s="105">
        <v>11077.559826921295</v>
      </c>
      <c r="AH81" s="105">
        <v>19.85291134297664</v>
      </c>
      <c r="AI81" s="105">
        <v>12388.216678017423</v>
      </c>
      <c r="AJ81" s="105">
        <v>20.9879395968815</v>
      </c>
      <c r="AK81" s="105">
        <v>13096.474308454055</v>
      </c>
      <c r="AL81" s="105">
        <v>20.654670498701172</v>
      </c>
      <c r="AM81" s="105">
        <v>12888.514391189532</v>
      </c>
      <c r="AN81" s="105">
        <v>23.96791883850652</v>
      </c>
      <c r="AO81" s="105">
        <v>14955.981355228068</v>
      </c>
      <c r="AP81" s="105">
        <v>21.222248857776442</v>
      </c>
      <c r="AQ81" s="105">
        <v>13242.683287252499</v>
      </c>
      <c r="AR81" s="105">
        <v>16.64985407264821</v>
      </c>
      <c r="AS81" s="105">
        <v>10389.508941332484</v>
      </c>
      <c r="AT81" s="105">
        <v>17.627402323125661</v>
      </c>
      <c r="AU81" s="105">
        <v>10999.499049630413</v>
      </c>
      <c r="AV81" s="105">
        <v>17.516186820118211</v>
      </c>
      <c r="AW81" s="105">
        <v>10930.100575753764</v>
      </c>
      <c r="AX81" s="105">
        <v>22.265072123066695</v>
      </c>
      <c r="AY81" s="105">
        <v>13893.405004793618</v>
      </c>
      <c r="AZ81" s="105">
        <v>20.144948667183936</v>
      </c>
      <c r="BA81" s="105">
        <v>12570.447968322776</v>
      </c>
      <c r="BB81" s="105">
        <v>21.148036654473536</v>
      </c>
      <c r="BC81" s="105">
        <v>13196.374872391487</v>
      </c>
      <c r="BD81" s="105">
        <v>18.420486916605125</v>
      </c>
      <c r="BE81" s="105">
        <v>11494.383835961598</v>
      </c>
      <c r="BF81" s="105">
        <v>20.985549641684401</v>
      </c>
      <c r="BG81" s="105">
        <v>13094.982976411065</v>
      </c>
      <c r="BH81" s="105">
        <v>20.323905004574595</v>
      </c>
      <c r="BI81" s="105">
        <v>12682.116722854547</v>
      </c>
      <c r="BJ81" s="105">
        <v>22.893125249239588</v>
      </c>
      <c r="BK81" s="105">
        <v>14285.310155525503</v>
      </c>
      <c r="BL81" s="105">
        <v>21.087525728471029</v>
      </c>
      <c r="BM81" s="105">
        <v>13158.616054565922</v>
      </c>
      <c r="BN81" s="105">
        <v>20.75482744672895</v>
      </c>
      <c r="BO81" s="105">
        <v>12951.012326758864</v>
      </c>
      <c r="BP81" s="105">
        <v>18.791325806619959</v>
      </c>
      <c r="BQ81" s="105">
        <v>11725.787303330855</v>
      </c>
      <c r="BR81" s="105">
        <v>20.994493369988593</v>
      </c>
      <c r="BS81" s="105">
        <v>13100.563862872881</v>
      </c>
      <c r="BT81" s="105">
        <v>24.131757626756901</v>
      </c>
      <c r="BU81" s="105">
        <v>15058.216759096305</v>
      </c>
      <c r="BV81" s="105">
        <v>21.394615881149484</v>
      </c>
      <c r="BW81" s="105">
        <v>13350.240309837278</v>
      </c>
      <c r="BX81" s="105">
        <v>24.375581215302763</v>
      </c>
      <c r="BY81" s="105">
        <v>15210.362678348924</v>
      </c>
      <c r="BZ81" s="105">
        <v>21.270713455234119</v>
      </c>
      <c r="CA81" s="105">
        <v>13272.925196066091</v>
      </c>
      <c r="CB81" s="105">
        <v>24.89175661807678</v>
      </c>
      <c r="CC81" s="105">
        <v>15532.456129679911</v>
      </c>
      <c r="CD81" s="105">
        <v>22.727990903031397</v>
      </c>
      <c r="CE81" s="105">
        <v>14182.266323491593</v>
      </c>
      <c r="CF81" s="105">
        <v>24.04522255011512</v>
      </c>
      <c r="CG81" s="105">
        <v>15004.218871271834</v>
      </c>
      <c r="CH81" s="105">
        <v>17.796734119378943</v>
      </c>
      <c r="CI81" s="105">
        <v>11105.16209049246</v>
      </c>
      <c r="CJ81" s="105">
        <v>26.441069628468281</v>
      </c>
      <c r="CK81" s="105">
        <v>16499.227448164209</v>
      </c>
      <c r="CL81" s="105">
        <v>25.236162739595493</v>
      </c>
      <c r="CM81" s="105">
        <v>15747.365549507587</v>
      </c>
      <c r="CN81" s="105">
        <v>21.446065618935503</v>
      </c>
      <c r="CO81" s="105">
        <v>13382.344946215753</v>
      </c>
      <c r="CP81" s="105">
        <v>21.910078098988361</v>
      </c>
      <c r="CQ81" s="105">
        <v>13671.888733768737</v>
      </c>
      <c r="CR81" s="105">
        <v>22.438188560354519</v>
      </c>
      <c r="CS81" s="105">
        <v>14001.429661661219</v>
      </c>
      <c r="CT81" s="105">
        <v>21.11083896593134</v>
      </c>
      <c r="CU81" s="105">
        <v>13173.163514741156</v>
      </c>
    </row>
    <row r="82" spans="2:99" x14ac:dyDescent="0.2">
      <c r="C82" s="104" t="s">
        <v>248</v>
      </c>
      <c r="D82" s="105">
        <v>23.737317566614578</v>
      </c>
      <c r="E82" s="105">
        <v>8488.464761821373</v>
      </c>
      <c r="F82" s="105">
        <v>24.472104270709359</v>
      </c>
      <c r="G82" s="105">
        <v>8751.2244872056654</v>
      </c>
      <c r="H82" s="105">
        <v>23.654410595685082</v>
      </c>
      <c r="I82" s="105">
        <v>8458.8172290169841</v>
      </c>
      <c r="J82" s="105">
        <v>24.157613235289883</v>
      </c>
      <c r="K82" s="105">
        <v>8638.7624929396607</v>
      </c>
      <c r="L82" s="105">
        <v>21.881978747472125</v>
      </c>
      <c r="M82" s="105">
        <v>7824.995600096031</v>
      </c>
      <c r="N82" s="105">
        <v>20.787761577763437</v>
      </c>
      <c r="O82" s="105">
        <v>7433.7035402082047</v>
      </c>
      <c r="P82" s="105">
        <v>20.481963053029684</v>
      </c>
      <c r="Q82" s="105">
        <v>7324.349987763414</v>
      </c>
      <c r="R82" s="105">
        <v>17.323219845130428</v>
      </c>
      <c r="S82" s="105">
        <v>6194.7834166186403</v>
      </c>
      <c r="T82" s="105">
        <v>20.238263955034096</v>
      </c>
      <c r="U82" s="105">
        <v>7237.2031903201923</v>
      </c>
      <c r="V82" s="105">
        <v>20.393322822052568</v>
      </c>
      <c r="W82" s="105">
        <v>7292.6522411659971</v>
      </c>
      <c r="X82" s="105">
        <v>23.231921900813514</v>
      </c>
      <c r="Y82" s="105">
        <v>8307.7352717309113</v>
      </c>
      <c r="Z82" s="105">
        <v>21.443934769164912</v>
      </c>
      <c r="AA82" s="105">
        <v>7668.351073453372</v>
      </c>
      <c r="AB82" s="105">
        <v>21.576944954228505</v>
      </c>
      <c r="AC82" s="105">
        <v>7715.9155156321131</v>
      </c>
      <c r="AD82" s="105">
        <v>23.379497634166533</v>
      </c>
      <c r="AE82" s="105">
        <v>8360.5083539779516</v>
      </c>
      <c r="AF82" s="105">
        <v>19.51628597227943</v>
      </c>
      <c r="AG82" s="105">
        <v>6979.0238636871236</v>
      </c>
      <c r="AH82" s="105">
        <v>18.829565239613366</v>
      </c>
      <c r="AI82" s="105">
        <v>6733.4525296857391</v>
      </c>
      <c r="AJ82" s="105">
        <v>20.996417926693649</v>
      </c>
      <c r="AK82" s="105">
        <v>7508.3190505856483</v>
      </c>
      <c r="AL82" s="105">
        <v>21.568147010312714</v>
      </c>
      <c r="AM82" s="105">
        <v>7712.769370887826</v>
      </c>
      <c r="AN82" s="105">
        <v>22.512282366057789</v>
      </c>
      <c r="AO82" s="105">
        <v>8050.392174102265</v>
      </c>
      <c r="AP82" s="105">
        <v>21.269292391065274</v>
      </c>
      <c r="AQ82" s="105">
        <v>7605.8989590449419</v>
      </c>
      <c r="AR82" s="105">
        <v>17.406665621404947</v>
      </c>
      <c r="AS82" s="105">
        <v>6224.6236262144084</v>
      </c>
      <c r="AT82" s="105">
        <v>18.983356347981484</v>
      </c>
      <c r="AU82" s="105">
        <v>6788.4482300381778</v>
      </c>
      <c r="AV82" s="105">
        <v>19.688249093490946</v>
      </c>
      <c r="AW82" s="105">
        <v>7040.5178758323618</v>
      </c>
      <c r="AX82" s="105">
        <v>24.332127487877038</v>
      </c>
      <c r="AY82" s="105">
        <v>8701.1687896648273</v>
      </c>
      <c r="AZ82" s="105">
        <v>17.855274992862086</v>
      </c>
      <c r="BA82" s="105">
        <v>6385.0463374474812</v>
      </c>
      <c r="BB82" s="105">
        <v>24.585918734426752</v>
      </c>
      <c r="BC82" s="105">
        <v>8791.9245394310055</v>
      </c>
      <c r="BD82" s="105">
        <v>22.002891113593645</v>
      </c>
      <c r="BE82" s="105">
        <v>7868.2338622210864</v>
      </c>
      <c r="BF82" s="105">
        <v>21.695481631312713</v>
      </c>
      <c r="BG82" s="105">
        <v>7758.3042313574251</v>
      </c>
      <c r="BH82" s="105">
        <v>20.979400132375634</v>
      </c>
      <c r="BI82" s="105">
        <v>7502.2334873375257</v>
      </c>
      <c r="BJ82" s="105">
        <v>25.036340306858936</v>
      </c>
      <c r="BK82" s="105">
        <v>8952.9952937327544</v>
      </c>
      <c r="BL82" s="105">
        <v>21.760712368816751</v>
      </c>
      <c r="BM82" s="105">
        <v>7781.6307430888692</v>
      </c>
      <c r="BN82" s="105">
        <v>23.37483640542828</v>
      </c>
      <c r="BO82" s="105">
        <v>8358.8414985811523</v>
      </c>
      <c r="BP82" s="105">
        <v>21.856847035475337</v>
      </c>
      <c r="BQ82" s="105">
        <v>7816.0084998859793</v>
      </c>
      <c r="BR82" s="105">
        <v>19.55194881763747</v>
      </c>
      <c r="BS82" s="105">
        <v>6991.7768971871583</v>
      </c>
      <c r="BT82" s="105">
        <v>24.132425089013644</v>
      </c>
      <c r="BU82" s="105">
        <v>8629.7552118312778</v>
      </c>
      <c r="BV82" s="105">
        <v>21.394615881149484</v>
      </c>
      <c r="BW82" s="105">
        <v>7650.7146390990547</v>
      </c>
      <c r="BX82" s="105">
        <v>22.231514992073496</v>
      </c>
      <c r="BY82" s="105">
        <v>7949.9897611654815</v>
      </c>
      <c r="BZ82" s="105">
        <v>23.996072057940552</v>
      </c>
      <c r="CA82" s="105">
        <v>8580.9953679195405</v>
      </c>
      <c r="CB82" s="105">
        <v>24.208224972273573</v>
      </c>
      <c r="CC82" s="105">
        <v>8656.8612500850286</v>
      </c>
      <c r="CD82" s="105">
        <v>25.186746284578831</v>
      </c>
      <c r="CE82" s="105">
        <v>9006.7804713653895</v>
      </c>
      <c r="CF82" s="105">
        <v>25.802097168721509</v>
      </c>
      <c r="CG82" s="105">
        <v>9226.8299475348103</v>
      </c>
      <c r="CH82" s="105">
        <v>19.796734119378943</v>
      </c>
      <c r="CI82" s="105">
        <v>7079.3121210899089</v>
      </c>
      <c r="CJ82" s="105">
        <v>24.343358213282542</v>
      </c>
      <c r="CK82" s="105">
        <v>8705.1848970698356</v>
      </c>
      <c r="CL82" s="105">
        <v>26.060778549955973</v>
      </c>
      <c r="CM82" s="105">
        <v>9319.3344094642543</v>
      </c>
      <c r="CN82" s="105">
        <v>20.750941753094242</v>
      </c>
      <c r="CO82" s="105">
        <v>7420.5367709065004</v>
      </c>
      <c r="CP82" s="105">
        <v>20.673279533851993</v>
      </c>
      <c r="CQ82" s="105">
        <v>7392.7647613054723</v>
      </c>
      <c r="CR82" s="105">
        <v>22.450639526216381</v>
      </c>
      <c r="CS82" s="105">
        <v>8028.3486945749773</v>
      </c>
      <c r="CT82" s="105">
        <v>18.438261398443622</v>
      </c>
      <c r="CU82" s="105">
        <v>6593.5222760834386</v>
      </c>
    </row>
    <row r="83" spans="2:99" x14ac:dyDescent="0.2">
      <c r="C83" s="104" t="s">
        <v>249</v>
      </c>
      <c r="D83" s="105">
        <v>20.620941156157912</v>
      </c>
      <c r="E83" s="105">
        <v>12323.074434919969</v>
      </c>
      <c r="F83" s="105">
        <v>22.040632495352895</v>
      </c>
      <c r="G83" s="105">
        <v>13171.48197922289</v>
      </c>
      <c r="H83" s="105">
        <v>22.083362202203126</v>
      </c>
      <c r="I83" s="105">
        <v>13197.017252036589</v>
      </c>
      <c r="J83" s="105">
        <v>24.157613235289883</v>
      </c>
      <c r="K83" s="105">
        <v>14436.589669409235</v>
      </c>
      <c r="L83" s="105">
        <v>18.398906314514804</v>
      </c>
      <c r="M83" s="105">
        <v>10995.186413554047</v>
      </c>
      <c r="N83" s="105">
        <v>18.524087226538693</v>
      </c>
      <c r="O83" s="105">
        <v>11069.994526579523</v>
      </c>
      <c r="P83" s="105">
        <v>19.487943251718111</v>
      </c>
      <c r="Q83" s="105">
        <v>11645.994887226743</v>
      </c>
      <c r="R83" s="105">
        <v>16.404367173449906</v>
      </c>
      <c r="S83" s="105">
        <v>9803.2498228536642</v>
      </c>
      <c r="T83" s="105">
        <v>23.016178084041183</v>
      </c>
      <c r="U83" s="105">
        <v>13754.468023023011</v>
      </c>
      <c r="V83" s="105">
        <v>19.705606672757412</v>
      </c>
      <c r="W83" s="105">
        <v>11776.070547639831</v>
      </c>
      <c r="X83" s="105">
        <v>21.03628903800881</v>
      </c>
      <c r="Y83" s="105">
        <v>12571.286329114066</v>
      </c>
      <c r="Z83" s="105">
        <v>19.605840973388972</v>
      </c>
      <c r="AA83" s="105">
        <v>11716.450565697251</v>
      </c>
      <c r="AB83" s="105">
        <v>21.457956505071611</v>
      </c>
      <c r="AC83" s="105">
        <v>12823.274807430795</v>
      </c>
      <c r="AD83" s="105">
        <v>21.737789645235797</v>
      </c>
      <c r="AE83" s="105">
        <v>12990.503091992912</v>
      </c>
      <c r="AF83" s="105">
        <v>18.631066934944329</v>
      </c>
      <c r="AG83" s="105">
        <v>11133.925600322731</v>
      </c>
      <c r="AH83" s="105">
        <v>17.08425398847044</v>
      </c>
      <c r="AI83" s="105">
        <v>10209.550183509935</v>
      </c>
      <c r="AJ83" s="105">
        <v>20.9879395968815</v>
      </c>
      <c r="AK83" s="105">
        <v>12542.392703096384</v>
      </c>
      <c r="AL83" s="105">
        <v>18.293761362403487</v>
      </c>
      <c r="AM83" s="105">
        <v>10932.351790172324</v>
      </c>
      <c r="AN83" s="105">
        <v>22.567846736995069</v>
      </c>
      <c r="AO83" s="105">
        <v>13486.545210028253</v>
      </c>
      <c r="AP83" s="105">
        <v>20.354626443656631</v>
      </c>
      <c r="AQ83" s="105">
        <v>12163.924762729202</v>
      </c>
      <c r="AR83" s="105">
        <v>18.163477170161684</v>
      </c>
      <c r="AS83" s="105">
        <v>10854.493956888622</v>
      </c>
      <c r="AT83" s="105">
        <v>18.983356347981484</v>
      </c>
      <c r="AU83" s="105">
        <v>11344.453753553735</v>
      </c>
      <c r="AV83" s="105">
        <v>18.516186820118211</v>
      </c>
      <c r="AW83" s="105">
        <v>11065.273243702643</v>
      </c>
      <c r="AX83" s="105">
        <v>21.576053668129912</v>
      </c>
      <c r="AY83" s="105">
        <v>12893.849672074435</v>
      </c>
      <c r="AZ83" s="105">
        <v>20.144948667183936</v>
      </c>
      <c r="BA83" s="105">
        <v>12038.62132350912</v>
      </c>
      <c r="BB83" s="105">
        <v>21.148036654473536</v>
      </c>
      <c r="BC83" s="105">
        <v>12638.066704713385</v>
      </c>
      <c r="BD83" s="105">
        <v>21.142746927978518</v>
      </c>
      <c r="BE83" s="105">
        <v>12634.905564159963</v>
      </c>
      <c r="BF83" s="105">
        <v>20.273605596927819</v>
      </c>
      <c r="BG83" s="105">
        <v>12115.506704724065</v>
      </c>
      <c r="BH83" s="105">
        <v>21.61099754488022</v>
      </c>
      <c r="BI83" s="105">
        <v>12914.73213282042</v>
      </c>
      <c r="BJ83" s="105">
        <v>21.464315210826687</v>
      </c>
      <c r="BK83" s="105">
        <v>12827.074769990029</v>
      </c>
      <c r="BL83" s="105">
        <v>22.424075578760679</v>
      </c>
      <c r="BM83" s="105">
        <v>13400.627565867382</v>
      </c>
      <c r="BN83" s="105">
        <v>20.10338402592177</v>
      </c>
      <c r="BO83" s="105">
        <v>12013.78229389085</v>
      </c>
      <c r="BP83" s="105">
        <v>20.324086421047646</v>
      </c>
      <c r="BQ83" s="105">
        <v>12145.674045218073</v>
      </c>
      <c r="BR83" s="105">
        <v>18.624743883947456</v>
      </c>
      <c r="BS83" s="105">
        <v>11130.146945046999</v>
      </c>
      <c r="BT83" s="105">
        <v>22.596319926680177</v>
      </c>
      <c r="BU83" s="105">
        <v>13503.560788184075</v>
      </c>
      <c r="BV83" s="105">
        <v>21.391319591365821</v>
      </c>
      <c r="BW83" s="105">
        <v>12783.452587800215</v>
      </c>
      <c r="BX83" s="105">
        <v>23.622553443948981</v>
      </c>
      <c r="BY83" s="105">
        <v>14116.837938103912</v>
      </c>
      <c r="BZ83" s="105">
        <v>20.366117657372165</v>
      </c>
      <c r="CA83" s="105">
        <v>12170.791912045606</v>
      </c>
      <c r="CB83" s="105">
        <v>23.528315789274984</v>
      </c>
      <c r="CC83" s="105">
        <v>14060.521515670731</v>
      </c>
      <c r="CD83" s="105">
        <v>22.727990903031397</v>
      </c>
      <c r="CE83" s="105">
        <v>13582.247363651564</v>
      </c>
      <c r="CF83" s="105">
        <v>22.520089847892166</v>
      </c>
      <c r="CG83" s="105">
        <v>13458.005693100358</v>
      </c>
      <c r="CH83" s="105">
        <v>19.796734119378943</v>
      </c>
      <c r="CI83" s="105">
        <v>11830.528309740857</v>
      </c>
      <c r="CJ83" s="105">
        <v>24.343358213282542</v>
      </c>
      <c r="CK83" s="105">
        <v>14547.590868257648</v>
      </c>
      <c r="CL83" s="105">
        <v>25.946636544767482</v>
      </c>
      <c r="CM83" s="105">
        <v>15505.709999153049</v>
      </c>
      <c r="CN83" s="105">
        <v>18.671917427733749</v>
      </c>
      <c r="CO83" s="105">
        <v>11158.33785481369</v>
      </c>
      <c r="CP83" s="105">
        <v>23.14912005646385</v>
      </c>
      <c r="CQ83" s="105">
        <v>13833.914145742798</v>
      </c>
      <c r="CR83" s="105">
        <v>23.222970439351045</v>
      </c>
      <c r="CS83" s="105">
        <v>13878.047134556185</v>
      </c>
      <c r="CT83" s="105">
        <v>19.329120587606194</v>
      </c>
      <c r="CU83" s="105">
        <v>11551.082463153462</v>
      </c>
    </row>
    <row r="84" spans="2:99" x14ac:dyDescent="0.2">
      <c r="C84" s="104" t="s">
        <v>250</v>
      </c>
      <c r="D84" s="105">
        <v>24.517528061678092</v>
      </c>
      <c r="E84" s="105">
        <v>12533.36034512984</v>
      </c>
      <c r="F84" s="105">
        <v>20.479024409476533</v>
      </c>
      <c r="G84" s="105">
        <v>10468.877278124404</v>
      </c>
      <c r="H84" s="105">
        <v>21.296395509789363</v>
      </c>
      <c r="I84" s="105">
        <v>10886.717384604322</v>
      </c>
      <c r="J84" s="105">
        <v>21.699069696171755</v>
      </c>
      <c r="K84" s="105">
        <v>11092.564428683001</v>
      </c>
      <c r="L84" s="105">
        <v>19.095618212182671</v>
      </c>
      <c r="M84" s="105">
        <v>9761.6800300677805</v>
      </c>
      <c r="N84" s="105">
        <v>19.987409687146574</v>
      </c>
      <c r="O84" s="105">
        <v>10217.563832069329</v>
      </c>
      <c r="P84" s="105">
        <v>19.49592593974813</v>
      </c>
      <c r="Q84" s="105">
        <v>9966.3173403992441</v>
      </c>
      <c r="R84" s="105">
        <v>17.149733828721764</v>
      </c>
      <c r="S84" s="105">
        <v>8766.9439332425663</v>
      </c>
      <c r="T84" s="105">
        <v>19.374835368390883</v>
      </c>
      <c r="U84" s="105">
        <v>9904.4158403214187</v>
      </c>
      <c r="V84" s="105">
        <v>19.705606672757412</v>
      </c>
      <c r="W84" s="105">
        <v>10073.506131113589</v>
      </c>
      <c r="X84" s="105">
        <v>21.801018590584949</v>
      </c>
      <c r="Y84" s="105">
        <v>11144.680703507025</v>
      </c>
      <c r="Z84" s="105">
        <v>20.524887871276942</v>
      </c>
      <c r="AA84" s="105">
        <v>10492.322679796773</v>
      </c>
      <c r="AB84" s="105">
        <v>20.004382432664691</v>
      </c>
      <c r="AC84" s="105">
        <v>10226.24029957819</v>
      </c>
      <c r="AD84" s="105">
        <v>23.379497634166533</v>
      </c>
      <c r="AE84" s="105">
        <v>11951.599190585932</v>
      </c>
      <c r="AF84" s="105">
        <v>18.634392847454855</v>
      </c>
      <c r="AG84" s="105">
        <v>9525.9016236189218</v>
      </c>
      <c r="AH84" s="105">
        <v>20.725566968548101</v>
      </c>
      <c r="AI84" s="105">
        <v>10594.909834321788</v>
      </c>
      <c r="AJ84" s="105">
        <v>20.058693024564786</v>
      </c>
      <c r="AK84" s="105">
        <v>10254.003874157519</v>
      </c>
      <c r="AL84" s="105">
        <v>19.9309541863581</v>
      </c>
      <c r="AM84" s="105">
        <v>10188.70378006626</v>
      </c>
      <c r="AN84" s="105">
        <v>20.412174213790614</v>
      </c>
      <c r="AO84" s="105">
        <v>10434.703458089762</v>
      </c>
      <c r="AP84" s="105">
        <v>22.08987127189625</v>
      </c>
      <c r="AQ84" s="105">
        <v>11292.342194193363</v>
      </c>
      <c r="AR84" s="105">
        <v>18.920288718918421</v>
      </c>
      <c r="AS84" s="105">
        <v>9672.0515931110967</v>
      </c>
      <c r="AT84" s="105">
        <v>18.983356347981484</v>
      </c>
      <c r="AU84" s="105">
        <v>9704.2917650881336</v>
      </c>
      <c r="AV84" s="105">
        <v>16.516186820118211</v>
      </c>
      <c r="AW84" s="105">
        <v>8443.0747024444299</v>
      </c>
      <c r="AX84" s="105">
        <v>21.576053668129912</v>
      </c>
      <c r="AY84" s="105">
        <v>11029.678635148011</v>
      </c>
      <c r="AZ84" s="105">
        <v>20.144948667183936</v>
      </c>
      <c r="BA84" s="105">
        <v>10298.097758664428</v>
      </c>
      <c r="BB84" s="105">
        <v>23.218214404116083</v>
      </c>
      <c r="BC84" s="105">
        <v>11869.151203384141</v>
      </c>
      <c r="BD84" s="105">
        <v>17.553633266478048</v>
      </c>
      <c r="BE84" s="105">
        <v>8973.4173258235787</v>
      </c>
      <c r="BF84" s="105">
        <v>22.407425676069298</v>
      </c>
      <c r="BG84" s="105">
        <v>11454.676005606625</v>
      </c>
      <c r="BH84" s="105">
        <v>20.345412948341401</v>
      </c>
      <c r="BI84" s="105">
        <v>10400.575099192125</v>
      </c>
      <c r="BJ84" s="105">
        <v>22.178720230033136</v>
      </c>
      <c r="BK84" s="105">
        <v>11337.761781592939</v>
      </c>
      <c r="BL84" s="105">
        <v>23.765537144251223</v>
      </c>
      <c r="BM84" s="105">
        <v>12148.942588141224</v>
      </c>
      <c r="BN84" s="105">
        <v>23.37198935033415</v>
      </c>
      <c r="BO84" s="105">
        <v>11947.760955890817</v>
      </c>
      <c r="BP84" s="105">
        <v>21.090466728261493</v>
      </c>
      <c r="BQ84" s="105">
        <v>10781.446591487274</v>
      </c>
      <c r="BR84" s="105">
        <v>21.141213213791879</v>
      </c>
      <c r="BS84" s="105">
        <v>10807.388194890409</v>
      </c>
      <c r="BT84" s="105">
        <v>23.364372507846909</v>
      </c>
      <c r="BU84" s="105">
        <v>11943.86722601134</v>
      </c>
      <c r="BV84" s="105">
        <v>21.394615881149484</v>
      </c>
      <c r="BW84" s="105">
        <v>10936.927638443616</v>
      </c>
      <c r="BX84" s="105">
        <v>22.8739495886295</v>
      </c>
      <c r="BY84" s="105">
        <v>11693.163029707401</v>
      </c>
      <c r="BZ84" s="105">
        <v>23.996072057940552</v>
      </c>
      <c r="CA84" s="105">
        <v>12266.792036019209</v>
      </c>
      <c r="CB84" s="105">
        <v>25.542686098638402</v>
      </c>
      <c r="CC84" s="105">
        <v>13057.421133623951</v>
      </c>
      <c r="CD84" s="105">
        <v>25.186746284578831</v>
      </c>
      <c r="CE84" s="105">
        <v>12875.464700676697</v>
      </c>
      <c r="CF84" s="105">
        <v>21.705897203591142</v>
      </c>
      <c r="CG84" s="105">
        <v>11096.054650475791</v>
      </c>
      <c r="CH84" s="105">
        <v>18.616630911264597</v>
      </c>
      <c r="CI84" s="105">
        <v>9516.8217218384616</v>
      </c>
      <c r="CJ84" s="105">
        <v>26.435449916601254</v>
      </c>
      <c r="CK84" s="105">
        <v>13513.801997366561</v>
      </c>
      <c r="CL84" s="105">
        <v>23.92935713444</v>
      </c>
      <c r="CM84" s="105">
        <v>12232.687367125727</v>
      </c>
      <c r="CN84" s="105">
        <v>18.659222883407182</v>
      </c>
      <c r="CO84" s="105">
        <v>9538.5947379977515</v>
      </c>
      <c r="CP84" s="105">
        <v>20.053197707029469</v>
      </c>
      <c r="CQ84" s="105">
        <v>10251.194667833464</v>
      </c>
      <c r="CR84" s="105">
        <v>21.659632164288919</v>
      </c>
      <c r="CS84" s="105">
        <v>11072.403962384495</v>
      </c>
      <c r="CT84" s="105">
        <v>18.438261398443622</v>
      </c>
      <c r="CU84" s="105">
        <v>9425.6392268843792</v>
      </c>
    </row>
    <row r="85" spans="2:99" x14ac:dyDescent="0.2">
      <c r="C85" s="104" t="s">
        <v>251</v>
      </c>
      <c r="D85" s="105">
        <v>23.737317566614578</v>
      </c>
      <c r="E85" s="105">
        <v>6466.0453051458107</v>
      </c>
      <c r="F85" s="105">
        <v>24.372548840978414</v>
      </c>
      <c r="G85" s="105">
        <v>6639.0823042825195</v>
      </c>
      <c r="H85" s="105">
        <v>23.654410595685082</v>
      </c>
      <c r="I85" s="105">
        <v>6443.4614462646159</v>
      </c>
      <c r="J85" s="105">
        <v>24.981118065994359</v>
      </c>
      <c r="K85" s="105">
        <v>6804.8565611768627</v>
      </c>
      <c r="L85" s="105">
        <v>21.185753905186271</v>
      </c>
      <c r="M85" s="105">
        <v>5770.9993637727393</v>
      </c>
      <c r="N85" s="105">
        <v>19.232851570071659</v>
      </c>
      <c r="O85" s="105">
        <v>5239.0287676875196</v>
      </c>
      <c r="P85" s="105">
        <v>20.481963053029684</v>
      </c>
      <c r="Q85" s="105">
        <v>5579.2867356452853</v>
      </c>
      <c r="R85" s="105">
        <v>20.317137945095968</v>
      </c>
      <c r="S85" s="105">
        <v>5534.388376244141</v>
      </c>
      <c r="T85" s="105">
        <v>23.016178084041183</v>
      </c>
      <c r="U85" s="105">
        <v>6269.606910092818</v>
      </c>
      <c r="V85" s="105">
        <v>20.39678118468883</v>
      </c>
      <c r="W85" s="105">
        <v>5556.0831947092365</v>
      </c>
      <c r="X85" s="105">
        <v>20.931095833536393</v>
      </c>
      <c r="Y85" s="105">
        <v>5701.6305050553128</v>
      </c>
      <c r="Z85" s="105">
        <v>21.443934769164912</v>
      </c>
      <c r="AA85" s="105">
        <v>5841.3278311205213</v>
      </c>
      <c r="AB85" s="105">
        <v>20.850719943785528</v>
      </c>
      <c r="AC85" s="105">
        <v>5679.7361126871774</v>
      </c>
      <c r="AD85" s="105">
        <v>21.737789645235797</v>
      </c>
      <c r="AE85" s="105">
        <v>5921.3738993622301</v>
      </c>
      <c r="AF85" s="105">
        <v>20.396516140848739</v>
      </c>
      <c r="AG85" s="105">
        <v>5556.010996767196</v>
      </c>
      <c r="AH85" s="105">
        <v>21.603969890701478</v>
      </c>
      <c r="AI85" s="105">
        <v>5884.9213982270821</v>
      </c>
      <c r="AJ85" s="105">
        <v>21.924453309037201</v>
      </c>
      <c r="AK85" s="105">
        <v>5972.2210813817328</v>
      </c>
      <c r="AL85" s="105">
        <v>18.293761362403487</v>
      </c>
      <c r="AM85" s="105">
        <v>4983.2205951187098</v>
      </c>
      <c r="AN85" s="105">
        <v>25.312426569080692</v>
      </c>
      <c r="AO85" s="105">
        <v>6895.1049974175803</v>
      </c>
      <c r="AP85" s="105">
        <v>21.269292391065274</v>
      </c>
      <c r="AQ85" s="105">
        <v>5793.7552473261803</v>
      </c>
      <c r="AR85" s="105">
        <v>19.677100267675158</v>
      </c>
      <c r="AS85" s="105">
        <v>5360.0421129147126</v>
      </c>
      <c r="AT85" s="105">
        <v>19.661333360409394</v>
      </c>
      <c r="AU85" s="105">
        <v>5355.7472073755189</v>
      </c>
      <c r="AV85" s="105">
        <v>17.516186820118211</v>
      </c>
      <c r="AW85" s="105">
        <v>4771.4092898002</v>
      </c>
      <c r="AX85" s="105">
        <v>23.643109032940256</v>
      </c>
      <c r="AY85" s="105">
        <v>6440.3829005729249</v>
      </c>
      <c r="AZ85" s="105">
        <v>20.907537324145327</v>
      </c>
      <c r="BA85" s="105">
        <v>5695.2131670971867</v>
      </c>
      <c r="BB85" s="105">
        <v>22.521061343120355</v>
      </c>
      <c r="BC85" s="105">
        <v>6134.7371098659842</v>
      </c>
      <c r="BD85" s="105">
        <v>20.282602742363395</v>
      </c>
      <c r="BE85" s="105">
        <v>5524.9809870197878</v>
      </c>
      <c r="BF85" s="105">
        <v>19.561661552171234</v>
      </c>
      <c r="BG85" s="105">
        <v>5328.596606811444</v>
      </c>
      <c r="BH85" s="105">
        <v>23.505789782393979</v>
      </c>
      <c r="BI85" s="105">
        <v>6402.9771367241192</v>
      </c>
      <c r="BJ85" s="105">
        <v>23.607530268446038</v>
      </c>
      <c r="BK85" s="105">
        <v>6430.6912451246999</v>
      </c>
      <c r="BL85" s="105">
        <v>23.097262219106401</v>
      </c>
      <c r="BM85" s="105">
        <v>6291.6942284845827</v>
      </c>
      <c r="BN85" s="105">
        <v>22.720545929526978</v>
      </c>
      <c r="BO85" s="105">
        <v>6189.0767112031481</v>
      </c>
      <c r="BP85" s="105">
        <v>19.557706113833806</v>
      </c>
      <c r="BQ85" s="105">
        <v>5327.5191454083279</v>
      </c>
      <c r="BR85" s="105">
        <v>21.127066105601404</v>
      </c>
      <c r="BS85" s="105">
        <v>5755.0128071658219</v>
      </c>
      <c r="BT85" s="105">
        <v>24.132425089013644</v>
      </c>
      <c r="BU85" s="105">
        <v>6573.6725942473158</v>
      </c>
      <c r="BV85" s="105">
        <v>19.837479780142914</v>
      </c>
      <c r="BW85" s="105">
        <v>5403.7294921109296</v>
      </c>
      <c r="BX85" s="105">
        <v>24.375581215302763</v>
      </c>
      <c r="BY85" s="105">
        <v>6639.9083230484721</v>
      </c>
      <c r="BZ85" s="105">
        <v>24.908381995216221</v>
      </c>
      <c r="CA85" s="105">
        <v>6785.0432554968984</v>
      </c>
      <c r="CB85" s="105">
        <v>22.808559515425571</v>
      </c>
      <c r="CC85" s="105">
        <v>6213.0516120019247</v>
      </c>
      <c r="CD85" s="105">
        <v>24.369264044361252</v>
      </c>
      <c r="CE85" s="105">
        <v>6638.1875256840049</v>
      </c>
      <c r="CF85" s="105">
        <v>24.163617182669363</v>
      </c>
      <c r="CG85" s="105">
        <v>6582.1693205591337</v>
      </c>
      <c r="CH85" s="105">
        <v>18.804366248071098</v>
      </c>
      <c r="CI85" s="105">
        <v>5122.3093659745664</v>
      </c>
      <c r="CJ85" s="105">
        <v>27.140306766863525</v>
      </c>
      <c r="CK85" s="105">
        <v>7393.0195632936238</v>
      </c>
      <c r="CL85" s="105">
        <v>23.920305953436547</v>
      </c>
      <c r="CM85" s="105">
        <v>6515.8913417161148</v>
      </c>
      <c r="CN85" s="105">
        <v>23.531437216459278</v>
      </c>
      <c r="CO85" s="105">
        <v>6409.9634977635069</v>
      </c>
      <c r="CP85" s="105">
        <v>21.292239664504955</v>
      </c>
      <c r="CQ85" s="105">
        <v>5800.0060846111492</v>
      </c>
      <c r="CR85" s="105">
        <v>21.665857647219852</v>
      </c>
      <c r="CS85" s="105">
        <v>5901.7796231026869</v>
      </c>
      <c r="CT85" s="105">
        <v>19.329120587606194</v>
      </c>
      <c r="CU85" s="105">
        <v>5265.2524480639267</v>
      </c>
    </row>
    <row r="86" spans="2:99" x14ac:dyDescent="0.2">
      <c r="C86" s="104" t="s">
        <v>252</v>
      </c>
      <c r="D86" s="105">
        <v>24.517528061678092</v>
      </c>
      <c r="E86" s="105">
        <v>12150.886907367661</v>
      </c>
      <c r="F86" s="105">
        <v>22.135989611808231</v>
      </c>
      <c r="G86" s="105">
        <v>10970.596451612158</v>
      </c>
      <c r="H86" s="105">
        <v>22.869367230835032</v>
      </c>
      <c r="I86" s="105">
        <v>11334.058399601841</v>
      </c>
      <c r="J86" s="105">
        <v>20.879555183132375</v>
      </c>
      <c r="K86" s="105">
        <v>10347.907548760404</v>
      </c>
      <c r="L86" s="105">
        <v>19.792330109850536</v>
      </c>
      <c r="M86" s="105">
        <v>9809.0788024419253</v>
      </c>
      <c r="N86" s="105">
        <v>19.27406596625941</v>
      </c>
      <c r="O86" s="105">
        <v>9552.2270928781636</v>
      </c>
      <c r="P86" s="105">
        <v>18.493923450406538</v>
      </c>
      <c r="Q86" s="105">
        <v>9165.5884620214802</v>
      </c>
      <c r="R86" s="105">
        <v>19.106119214544794</v>
      </c>
      <c r="S86" s="105">
        <v>9468.9926827283998</v>
      </c>
      <c r="T86" s="105">
        <v>20.835191689814323</v>
      </c>
      <c r="U86" s="105">
        <v>10325.921001471977</v>
      </c>
      <c r="V86" s="105">
        <v>21.779130208551678</v>
      </c>
      <c r="W86" s="105">
        <v>10793.736931358211</v>
      </c>
      <c r="X86" s="105">
        <v>21.801018590584949</v>
      </c>
      <c r="Y86" s="105">
        <v>10804.584813493901</v>
      </c>
      <c r="Z86" s="105">
        <v>20.524887871276942</v>
      </c>
      <c r="AA86" s="105">
        <v>10172.134429004851</v>
      </c>
      <c r="AB86" s="105">
        <v>20.849595892264567</v>
      </c>
      <c r="AC86" s="105">
        <v>10333.05972420632</v>
      </c>
      <c r="AD86" s="105">
        <v>22.558643639701167</v>
      </c>
      <c r="AE86" s="105">
        <v>11180.063787835898</v>
      </c>
      <c r="AF86" s="105">
        <v>21.280072221928577</v>
      </c>
      <c r="AG86" s="105">
        <v>10546.403793187803</v>
      </c>
      <c r="AH86" s="105">
        <v>18.829565239613366</v>
      </c>
      <c r="AI86" s="105">
        <v>9331.9325327523838</v>
      </c>
      <c r="AJ86" s="105">
        <v>20.059904214537948</v>
      </c>
      <c r="AK86" s="105">
        <v>9941.6885287250061</v>
      </c>
      <c r="AL86" s="105">
        <v>19.112357774380794</v>
      </c>
      <c r="AM86" s="105">
        <v>9472.0845129831214</v>
      </c>
      <c r="AN86" s="105">
        <v>21.867810686239341</v>
      </c>
      <c r="AO86" s="105">
        <v>10837.686976100216</v>
      </c>
      <c r="AP86" s="105">
        <v>22.08987127189625</v>
      </c>
      <c r="AQ86" s="105">
        <v>10947.740202351781</v>
      </c>
      <c r="AR86" s="105">
        <v>18.920288718918421</v>
      </c>
      <c r="AS86" s="105">
        <v>9376.8950890959695</v>
      </c>
      <c r="AT86" s="105">
        <v>20.339310372837303</v>
      </c>
      <c r="AU86" s="105">
        <v>10080.162220778167</v>
      </c>
      <c r="AV86" s="105">
        <v>18.688249093490946</v>
      </c>
      <c r="AW86" s="105">
        <v>9261.8962507341112</v>
      </c>
      <c r="AX86" s="105">
        <v>22.954090578003477</v>
      </c>
      <c r="AY86" s="105">
        <v>11376.047290458522</v>
      </c>
      <c r="AZ86" s="105">
        <v>19.381724109076654</v>
      </c>
      <c r="BA86" s="105">
        <v>9605.5824684583895</v>
      </c>
      <c r="BB86" s="105">
        <v>21.715003671780703</v>
      </c>
      <c r="BC86" s="105">
        <v>10761.955819734516</v>
      </c>
      <c r="BD86" s="105">
        <v>17.695460721006071</v>
      </c>
      <c r="BE86" s="105">
        <v>8769.8703333306075</v>
      </c>
      <c r="BF86" s="105">
        <v>18.849717507414653</v>
      </c>
      <c r="BG86" s="105">
        <v>9341.9199966747019</v>
      </c>
      <c r="BH86" s="105">
        <v>22.24020518585516</v>
      </c>
      <c r="BI86" s="105">
        <v>11022.245690109816</v>
      </c>
      <c r="BJ86" s="105">
        <v>25.036340306858936</v>
      </c>
      <c r="BK86" s="105">
        <v>12408.010256079288</v>
      </c>
      <c r="BL86" s="105">
        <v>20.419250803326207</v>
      </c>
      <c r="BM86" s="105">
        <v>10119.780698128468</v>
      </c>
      <c r="BN86" s="105">
        <v>22.066255453625676</v>
      </c>
      <c r="BO86" s="105">
        <v>10936.036202816884</v>
      </c>
      <c r="BP86" s="105">
        <v>20.324086421047646</v>
      </c>
      <c r="BQ86" s="105">
        <v>10072.617230271213</v>
      </c>
      <c r="BR86" s="105">
        <v>21.134139659696636</v>
      </c>
      <c r="BS86" s="105">
        <v>10474.079615345652</v>
      </c>
      <c r="BT86" s="105">
        <v>20.291494720923232</v>
      </c>
      <c r="BU86" s="105">
        <v>10056.464783689553</v>
      </c>
      <c r="BV86" s="105">
        <v>21.391319591365821</v>
      </c>
      <c r="BW86" s="105">
        <v>10601.537989480901</v>
      </c>
      <c r="BX86" s="105">
        <v>22.120921817275715</v>
      </c>
      <c r="BY86" s="105">
        <v>10963.128852641843</v>
      </c>
      <c r="BZ86" s="105">
        <v>23.087619190371743</v>
      </c>
      <c r="CA86" s="105">
        <v>11442.224070748236</v>
      </c>
      <c r="CB86" s="105">
        <v>24.859154452835195</v>
      </c>
      <c r="CC86" s="105">
        <v>12320.196946825123</v>
      </c>
      <c r="CD86" s="105">
        <v>25.186746284578831</v>
      </c>
      <c r="CE86" s="105">
        <v>12482.551458637268</v>
      </c>
      <c r="CF86" s="105">
        <v>23.220935208363997</v>
      </c>
      <c r="CG86" s="105">
        <v>11508.295489265196</v>
      </c>
      <c r="CH86" s="105">
        <v>17.789101990686785</v>
      </c>
      <c r="CI86" s="105">
        <v>8816.2789465843707</v>
      </c>
      <c r="CJ86" s="105">
        <v>27.134687054996498</v>
      </c>
      <c r="CK86" s="105">
        <v>13447.950904456264</v>
      </c>
      <c r="CL86" s="105">
        <v>27.477200569798224</v>
      </c>
      <c r="CM86" s="105">
        <v>13617.700602391998</v>
      </c>
      <c r="CN86" s="105">
        <v>22.842660622781302</v>
      </c>
      <c r="CO86" s="105">
        <v>11320.822604650413</v>
      </c>
      <c r="CP86" s="105">
        <v>23.768080187116812</v>
      </c>
      <c r="CQ86" s="105">
        <v>11779.460540735092</v>
      </c>
      <c r="CR86" s="105">
        <v>20.874850285292389</v>
      </c>
      <c r="CS86" s="105">
        <v>10345.575801390907</v>
      </c>
      <c r="CT86" s="105">
        <v>18.438261398443622</v>
      </c>
      <c r="CU86" s="105">
        <v>9138.0023490686581</v>
      </c>
    </row>
    <row r="87" spans="2:99" x14ac:dyDescent="0.2">
      <c r="B87" s="104" t="s">
        <v>131</v>
      </c>
      <c r="C87" s="104" t="s">
        <v>253</v>
      </c>
      <c r="D87" s="105">
        <v>12</v>
      </c>
      <c r="E87" s="105">
        <v>11289.599999999999</v>
      </c>
      <c r="F87" s="105">
        <v>15</v>
      </c>
      <c r="G87" s="105">
        <v>14112</v>
      </c>
      <c r="H87" s="105">
        <v>17</v>
      </c>
      <c r="I87" s="105">
        <v>15993.599999999999</v>
      </c>
      <c r="J87" s="105">
        <v>10</v>
      </c>
      <c r="K87" s="105">
        <v>9408</v>
      </c>
      <c r="L87" s="105">
        <v>14</v>
      </c>
      <c r="M87" s="105">
        <v>13171.199999999999</v>
      </c>
      <c r="N87" s="105">
        <v>16.735280490243682</v>
      </c>
      <c r="O87" s="105">
        <v>15744.551885221255</v>
      </c>
      <c r="P87" s="105">
        <v>9</v>
      </c>
      <c r="Q87" s="105">
        <v>8467.1999999999989</v>
      </c>
      <c r="R87" s="105">
        <v>10</v>
      </c>
      <c r="S87" s="105">
        <v>9408</v>
      </c>
      <c r="T87" s="105">
        <v>14</v>
      </c>
      <c r="U87" s="105">
        <v>13171.199999999999</v>
      </c>
      <c r="V87" s="105">
        <v>13.137412670190429</v>
      </c>
      <c r="W87" s="105">
        <v>12359.677840115155</v>
      </c>
      <c r="X87" s="105">
        <v>12.287034341857584</v>
      </c>
      <c r="Y87" s="105">
        <v>11559.641908819614</v>
      </c>
      <c r="Z87" s="105">
        <v>17</v>
      </c>
      <c r="AA87" s="105">
        <v>15993.599999999999</v>
      </c>
      <c r="AB87" s="105">
        <v>16.413656611022489</v>
      </c>
      <c r="AC87" s="105">
        <v>15441.968139649956</v>
      </c>
      <c r="AD87" s="105">
        <v>12.220617940009705</v>
      </c>
      <c r="AE87" s="105">
        <v>11497.15735796113</v>
      </c>
      <c r="AF87" s="105">
        <v>14</v>
      </c>
      <c r="AG87" s="105">
        <v>13171.199999999999</v>
      </c>
      <c r="AH87" s="105">
        <v>13</v>
      </c>
      <c r="AI87" s="105">
        <v>12230.4</v>
      </c>
      <c r="AJ87" s="105">
        <v>14</v>
      </c>
      <c r="AK87" s="105">
        <v>13171.199999999999</v>
      </c>
      <c r="AL87" s="105">
        <v>15.77759104140374</v>
      </c>
      <c r="AM87" s="105">
        <v>14843.557651752639</v>
      </c>
      <c r="AN87" s="105">
        <v>9.2794617566864748</v>
      </c>
      <c r="AO87" s="105">
        <v>8730.1176206906348</v>
      </c>
      <c r="AP87" s="105">
        <v>15.547671286946002</v>
      </c>
      <c r="AQ87" s="105">
        <v>14627.249146758799</v>
      </c>
      <c r="AR87" s="105">
        <v>15.3489790021288</v>
      </c>
      <c r="AS87" s="105">
        <v>14440.319445202775</v>
      </c>
      <c r="AT87" s="105">
        <v>14.787302957933253</v>
      </c>
      <c r="AU87" s="105">
        <v>13911.894622823604</v>
      </c>
      <c r="AV87" s="105">
        <v>10</v>
      </c>
      <c r="AW87" s="105">
        <v>9408</v>
      </c>
      <c r="AX87" s="105">
        <v>14.048470783161294</v>
      </c>
      <c r="AY87" s="105">
        <v>13216.801312798145</v>
      </c>
      <c r="AZ87" s="105">
        <v>10.883762039384193</v>
      </c>
      <c r="BA87" s="105">
        <v>10239.443326652648</v>
      </c>
      <c r="BB87" s="105">
        <v>13.396897675939153</v>
      </c>
      <c r="BC87" s="105">
        <v>12603.801333523554</v>
      </c>
      <c r="BD87" s="105">
        <v>15</v>
      </c>
      <c r="BE87" s="105">
        <v>14112</v>
      </c>
      <c r="BF87" s="105">
        <v>14</v>
      </c>
      <c r="BG87" s="105">
        <v>13171.199999999999</v>
      </c>
      <c r="BH87" s="105">
        <v>12.798054211470365</v>
      </c>
      <c r="BI87" s="105">
        <v>12040.409402151319</v>
      </c>
      <c r="BJ87" s="105">
        <v>12.456277239128347</v>
      </c>
      <c r="BK87" s="105">
        <v>11718.865626571949</v>
      </c>
      <c r="BL87" s="105">
        <v>17</v>
      </c>
      <c r="BM87" s="105">
        <v>15993.599999999999</v>
      </c>
      <c r="BN87" s="105">
        <v>18.24565822047429</v>
      </c>
      <c r="BO87" s="105">
        <v>17165.51525382221</v>
      </c>
      <c r="BP87" s="105">
        <v>9.2518443109820492</v>
      </c>
      <c r="BQ87" s="105">
        <v>8704.1351277719114</v>
      </c>
      <c r="BR87" s="105">
        <v>11.851042800694895</v>
      </c>
      <c r="BS87" s="105">
        <v>11149.461066893757</v>
      </c>
      <c r="BT87" s="105">
        <v>10</v>
      </c>
      <c r="BU87" s="105">
        <v>9408</v>
      </c>
      <c r="BV87" s="105">
        <v>11</v>
      </c>
      <c r="BW87" s="105">
        <v>10348.799999999999</v>
      </c>
      <c r="BX87" s="105">
        <v>14</v>
      </c>
      <c r="BY87" s="105">
        <v>13171.199999999999</v>
      </c>
      <c r="BZ87" s="105">
        <v>14.771866017246737</v>
      </c>
      <c r="CA87" s="105">
        <v>13897.371549025729</v>
      </c>
      <c r="CB87" s="105">
        <v>20.042106905513158</v>
      </c>
      <c r="CC87" s="105">
        <v>18855.614176706778</v>
      </c>
      <c r="CD87" s="105">
        <v>15</v>
      </c>
      <c r="CE87" s="105">
        <v>14112</v>
      </c>
      <c r="CF87" s="105">
        <v>20</v>
      </c>
      <c r="CG87" s="105">
        <v>18816</v>
      </c>
      <c r="CH87" s="105">
        <v>12</v>
      </c>
      <c r="CI87" s="105">
        <v>11289.599999999999</v>
      </c>
      <c r="CJ87" s="105">
        <v>20</v>
      </c>
      <c r="CK87" s="105">
        <v>18816</v>
      </c>
      <c r="CL87" s="105">
        <v>18.877926603392858</v>
      </c>
      <c r="CM87" s="105">
        <v>17760.353348471999</v>
      </c>
      <c r="CN87" s="105">
        <v>14.998419015060792</v>
      </c>
      <c r="CO87" s="105">
        <v>14110.512609369192</v>
      </c>
      <c r="CP87" s="105">
        <v>15.741744262910377</v>
      </c>
      <c r="CQ87" s="105">
        <v>14809.833002546082</v>
      </c>
      <c r="CR87" s="105">
        <v>12.963384856088275</v>
      </c>
      <c r="CS87" s="105">
        <v>12195.952472607849</v>
      </c>
      <c r="CT87" s="105">
        <v>17.127381203801477</v>
      </c>
      <c r="CU87" s="105">
        <v>16113.440236536429</v>
      </c>
    </row>
    <row r="88" spans="2:99" x14ac:dyDescent="0.2">
      <c r="C88" s="104" t="s">
        <v>254</v>
      </c>
      <c r="D88" s="105">
        <v>13</v>
      </c>
      <c r="E88" s="105">
        <v>11388</v>
      </c>
      <c r="F88" s="105">
        <v>15</v>
      </c>
      <c r="G88" s="105">
        <v>13140</v>
      </c>
      <c r="H88" s="105">
        <v>18</v>
      </c>
      <c r="I88" s="105">
        <v>15768</v>
      </c>
      <c r="J88" s="105">
        <v>11</v>
      </c>
      <c r="K88" s="105">
        <v>9636</v>
      </c>
      <c r="L88" s="105">
        <v>14</v>
      </c>
      <c r="M88" s="105">
        <v>12264</v>
      </c>
      <c r="N88" s="105">
        <v>15.7508522261117</v>
      </c>
      <c r="O88" s="105">
        <v>13797.746550073849</v>
      </c>
      <c r="P88" s="105">
        <v>10</v>
      </c>
      <c r="Q88" s="105">
        <v>8760</v>
      </c>
      <c r="R88" s="105">
        <v>9</v>
      </c>
      <c r="S88" s="105">
        <v>7884</v>
      </c>
      <c r="T88" s="105">
        <v>13</v>
      </c>
      <c r="U88" s="105">
        <v>11388</v>
      </c>
      <c r="V88" s="105">
        <v>14.889067692882486</v>
      </c>
      <c r="W88" s="105">
        <v>13042.823298965059</v>
      </c>
      <c r="X88" s="105">
        <v>12.287034341857584</v>
      </c>
      <c r="Y88" s="105">
        <v>10763.442083467244</v>
      </c>
      <c r="Z88" s="105">
        <v>16</v>
      </c>
      <c r="AA88" s="105">
        <v>14016</v>
      </c>
      <c r="AB88" s="105">
        <v>15.501786799299017</v>
      </c>
      <c r="AC88" s="105">
        <v>13579.565236185939</v>
      </c>
      <c r="AD88" s="105">
        <v>12.984406561260311</v>
      </c>
      <c r="AE88" s="105">
        <v>11374.340147664032</v>
      </c>
      <c r="AF88" s="105">
        <v>14</v>
      </c>
      <c r="AG88" s="105">
        <v>12264</v>
      </c>
      <c r="AH88" s="105">
        <v>14</v>
      </c>
      <c r="AI88" s="105">
        <v>12264</v>
      </c>
      <c r="AJ88" s="105">
        <v>15</v>
      </c>
      <c r="AK88" s="105">
        <v>13140</v>
      </c>
      <c r="AL88" s="105">
        <v>14.849497450732933</v>
      </c>
      <c r="AM88" s="105">
        <v>13008.159766842049</v>
      </c>
      <c r="AN88" s="105">
        <v>10.96663662153856</v>
      </c>
      <c r="AO88" s="105">
        <v>9606.7736804677788</v>
      </c>
      <c r="AP88" s="105">
        <v>15.547671286946002</v>
      </c>
      <c r="AQ88" s="105">
        <v>13619.760047364698</v>
      </c>
      <c r="AR88" s="105">
        <v>17.154741237673363</v>
      </c>
      <c r="AS88" s="105">
        <v>15027.553324201866</v>
      </c>
      <c r="AT88" s="105">
        <v>16.430336619925836</v>
      </c>
      <c r="AU88" s="105">
        <v>14392.974879055031</v>
      </c>
      <c r="AV88" s="105">
        <v>11</v>
      </c>
      <c r="AW88" s="105">
        <v>9636</v>
      </c>
      <c r="AX88" s="105">
        <v>15.527257181388798</v>
      </c>
      <c r="AY88" s="105">
        <v>13601.877290896588</v>
      </c>
      <c r="AZ88" s="105">
        <v>9.6033194465154637</v>
      </c>
      <c r="BA88" s="105">
        <v>8412.5078351475458</v>
      </c>
      <c r="BB88" s="105">
        <v>12.439976413372069</v>
      </c>
      <c r="BC88" s="105">
        <v>10897.419338113932</v>
      </c>
      <c r="BD88" s="105">
        <v>14</v>
      </c>
      <c r="BE88" s="105">
        <v>12264</v>
      </c>
      <c r="BF88" s="105">
        <v>14</v>
      </c>
      <c r="BG88" s="105">
        <v>12264</v>
      </c>
      <c r="BH88" s="105">
        <v>14.626347670251846</v>
      </c>
      <c r="BI88" s="105">
        <v>12812.680559140617</v>
      </c>
      <c r="BJ88" s="105">
        <v>14.791829221464914</v>
      </c>
      <c r="BK88" s="105">
        <v>12957.642398003265</v>
      </c>
      <c r="BL88" s="105">
        <v>17</v>
      </c>
      <c r="BM88" s="105">
        <v>14892</v>
      </c>
      <c r="BN88" s="105">
        <v>18.24565822047429</v>
      </c>
      <c r="BO88" s="105">
        <v>15983.196601135478</v>
      </c>
      <c r="BP88" s="105">
        <v>9.2518443109820492</v>
      </c>
      <c r="BQ88" s="105">
        <v>8104.6156164202748</v>
      </c>
      <c r="BR88" s="105">
        <v>11.851042800694895</v>
      </c>
      <c r="BS88" s="105">
        <v>10381.513493408727</v>
      </c>
      <c r="BT88" s="105">
        <v>10</v>
      </c>
      <c r="BU88" s="105">
        <v>8760</v>
      </c>
      <c r="BV88" s="105">
        <v>10</v>
      </c>
      <c r="BW88" s="105">
        <v>8760</v>
      </c>
      <c r="BX88" s="105">
        <v>13</v>
      </c>
      <c r="BY88" s="105">
        <v>11388</v>
      </c>
      <c r="BZ88" s="105">
        <v>13.902932722114576</v>
      </c>
      <c r="CA88" s="105">
        <v>12178.969064572369</v>
      </c>
      <c r="CB88" s="105">
        <v>20.042106905513158</v>
      </c>
      <c r="CC88" s="105">
        <v>17556.885649229527</v>
      </c>
      <c r="CD88" s="105">
        <v>17</v>
      </c>
      <c r="CE88" s="105">
        <v>14892</v>
      </c>
      <c r="CF88" s="105">
        <v>18</v>
      </c>
      <c r="CG88" s="105">
        <v>15768</v>
      </c>
      <c r="CH88" s="105">
        <v>13</v>
      </c>
      <c r="CI88" s="105">
        <v>11388</v>
      </c>
      <c r="CJ88" s="105">
        <v>18</v>
      </c>
      <c r="CK88" s="105">
        <v>15768</v>
      </c>
      <c r="CL88" s="105">
        <v>18.877926603392858</v>
      </c>
      <c r="CM88" s="105">
        <v>16537.063704572145</v>
      </c>
      <c r="CN88" s="105">
        <v>14.209028540583908</v>
      </c>
      <c r="CO88" s="105">
        <v>12447.109001551504</v>
      </c>
      <c r="CP88" s="105">
        <v>16.491351132572778</v>
      </c>
      <c r="CQ88" s="105">
        <v>14446.423592133753</v>
      </c>
      <c r="CR88" s="105">
        <v>10.370707884870621</v>
      </c>
      <c r="CS88" s="105">
        <v>9084.7401071466629</v>
      </c>
      <c r="CT88" s="105">
        <v>17.127381203801477</v>
      </c>
      <c r="CU88" s="105">
        <v>15003.585934530094</v>
      </c>
    </row>
    <row r="89" spans="2:99" x14ac:dyDescent="0.2">
      <c r="C89" s="104" t="s">
        <v>255</v>
      </c>
      <c r="D89" s="105">
        <v>13</v>
      </c>
      <c r="E89" s="105">
        <v>7581.5999999999995</v>
      </c>
      <c r="F89" s="105">
        <v>13</v>
      </c>
      <c r="G89" s="105">
        <v>7581.5999999999995</v>
      </c>
      <c r="H89" s="105">
        <v>16</v>
      </c>
      <c r="I89" s="105">
        <v>9331.1999999999989</v>
      </c>
      <c r="J89" s="105">
        <v>11</v>
      </c>
      <c r="K89" s="105">
        <v>6415.1999999999989</v>
      </c>
      <c r="L89" s="105">
        <v>13</v>
      </c>
      <c r="M89" s="105">
        <v>7581.5999999999995</v>
      </c>
      <c r="N89" s="105">
        <v>17.719708754375663</v>
      </c>
      <c r="O89" s="105">
        <v>10334.134145551885</v>
      </c>
      <c r="P89" s="105">
        <v>10</v>
      </c>
      <c r="Q89" s="105">
        <v>5831.9999999999991</v>
      </c>
      <c r="R89" s="105">
        <v>10</v>
      </c>
      <c r="S89" s="105">
        <v>5831.9999999999991</v>
      </c>
      <c r="T89" s="105">
        <v>14</v>
      </c>
      <c r="U89" s="105">
        <v>8164.7999999999993</v>
      </c>
      <c r="V89" s="105">
        <v>14.013240181536458</v>
      </c>
      <c r="W89" s="105">
        <v>8172.5216738720619</v>
      </c>
      <c r="X89" s="105">
        <v>12.287034341857584</v>
      </c>
      <c r="Y89" s="105">
        <v>7165.7984281713425</v>
      </c>
      <c r="Z89" s="105">
        <v>16</v>
      </c>
      <c r="AA89" s="105">
        <v>9331.1999999999989</v>
      </c>
      <c r="AB89" s="105">
        <v>17.325526422745963</v>
      </c>
      <c r="AC89" s="105">
        <v>10104.247009745444</v>
      </c>
      <c r="AD89" s="105">
        <v>12.220617940009705</v>
      </c>
      <c r="AE89" s="105">
        <v>7127.0643826136593</v>
      </c>
      <c r="AF89" s="105">
        <v>13</v>
      </c>
      <c r="AG89" s="105">
        <v>7581.5999999999995</v>
      </c>
      <c r="AH89" s="105">
        <v>15</v>
      </c>
      <c r="AI89" s="105">
        <v>8747.9999999999982</v>
      </c>
      <c r="AJ89" s="105">
        <v>15</v>
      </c>
      <c r="AK89" s="105">
        <v>8747.9999999999982</v>
      </c>
      <c r="AL89" s="105">
        <v>14.849497450732933</v>
      </c>
      <c r="AM89" s="105">
        <v>8660.2269132674464</v>
      </c>
      <c r="AN89" s="105">
        <v>10.96663662153856</v>
      </c>
      <c r="AO89" s="105">
        <v>6395.7424776812877</v>
      </c>
      <c r="AP89" s="105">
        <v>19.205946883874471</v>
      </c>
      <c r="AQ89" s="105">
        <v>11200.908222675591</v>
      </c>
      <c r="AR89" s="105">
        <v>18.057622355445648</v>
      </c>
      <c r="AS89" s="105">
        <v>10531.205357695901</v>
      </c>
      <c r="AT89" s="105">
        <v>17.251853450922127</v>
      </c>
      <c r="AU89" s="105">
        <v>10061.280932577783</v>
      </c>
      <c r="AV89" s="105">
        <v>11</v>
      </c>
      <c r="AW89" s="105">
        <v>6415.1999999999989</v>
      </c>
      <c r="AX89" s="105">
        <v>14.787863982275045</v>
      </c>
      <c r="AY89" s="105">
        <v>8624.2822744628047</v>
      </c>
      <c r="AZ89" s="105">
        <v>11.523983335818556</v>
      </c>
      <c r="BA89" s="105">
        <v>6720.7870814493817</v>
      </c>
      <c r="BB89" s="105">
        <v>13.396897675939153</v>
      </c>
      <c r="BC89" s="105">
        <v>7813.0707246077127</v>
      </c>
      <c r="BD89" s="105">
        <v>16</v>
      </c>
      <c r="BE89" s="105">
        <v>9331.1999999999989</v>
      </c>
      <c r="BF89" s="105">
        <v>13</v>
      </c>
      <c r="BG89" s="105">
        <v>7581.5999999999995</v>
      </c>
      <c r="BH89" s="105">
        <v>13.712200940861104</v>
      </c>
      <c r="BI89" s="105">
        <v>7996.9555887101951</v>
      </c>
      <c r="BJ89" s="105">
        <v>15.570346548910434</v>
      </c>
      <c r="BK89" s="105">
        <v>9080.6261073245641</v>
      </c>
      <c r="BL89" s="105">
        <v>18</v>
      </c>
      <c r="BM89" s="105">
        <v>10497.599999999999</v>
      </c>
      <c r="BN89" s="105">
        <v>16.507976485191026</v>
      </c>
      <c r="BO89" s="105">
        <v>9627.451886163406</v>
      </c>
      <c r="BP89" s="105">
        <v>9.2518443109820492</v>
      </c>
      <c r="BQ89" s="105">
        <v>5395.6756021647307</v>
      </c>
      <c r="BR89" s="105">
        <v>10.939424123718364</v>
      </c>
      <c r="BS89" s="105">
        <v>6379.8721489525497</v>
      </c>
      <c r="BT89" s="105">
        <v>13</v>
      </c>
      <c r="BU89" s="105">
        <v>7581.5999999999995</v>
      </c>
      <c r="BV89" s="105">
        <v>11</v>
      </c>
      <c r="BW89" s="105">
        <v>6415.1999999999989</v>
      </c>
      <c r="BX89" s="105">
        <v>15</v>
      </c>
      <c r="BY89" s="105">
        <v>8747.9999999999982</v>
      </c>
      <c r="BZ89" s="105">
        <v>15.640799312378899</v>
      </c>
      <c r="CA89" s="105">
        <v>9121.7141589793737</v>
      </c>
      <c r="CB89" s="105">
        <v>20.042106905513158</v>
      </c>
      <c r="CC89" s="105">
        <v>11688.556747295272</v>
      </c>
      <c r="CD89" s="105">
        <v>14</v>
      </c>
      <c r="CE89" s="105">
        <v>8164.7999999999993</v>
      </c>
      <c r="CF89" s="105">
        <v>20</v>
      </c>
      <c r="CG89" s="105">
        <v>11663.999999999998</v>
      </c>
      <c r="CH89" s="105">
        <v>14</v>
      </c>
      <c r="CI89" s="105">
        <v>8164.7999999999993</v>
      </c>
      <c r="CJ89" s="105">
        <v>19</v>
      </c>
      <c r="CK89" s="105">
        <v>11080.8</v>
      </c>
      <c r="CL89" s="105">
        <v>17.161751457629872</v>
      </c>
      <c r="CM89" s="105">
        <v>10008.73345008974</v>
      </c>
      <c r="CN89" s="105">
        <v>14.209028540583908</v>
      </c>
      <c r="CO89" s="105">
        <v>8286.705444868534</v>
      </c>
      <c r="CP89" s="105">
        <v>14.99213739324798</v>
      </c>
      <c r="CQ89" s="105">
        <v>8743.4145277422213</v>
      </c>
      <c r="CR89" s="105">
        <v>11.234933541943171</v>
      </c>
      <c r="CS89" s="105">
        <v>6552.2132416612567</v>
      </c>
      <c r="CT89" s="105">
        <v>19.030423559779418</v>
      </c>
      <c r="CU89" s="105">
        <v>11098.543020063355</v>
      </c>
    </row>
    <row r="90" spans="2:99" x14ac:dyDescent="0.2">
      <c r="C90" s="104" t="s">
        <v>256</v>
      </c>
      <c r="D90" s="105">
        <v>12</v>
      </c>
      <c r="E90" s="105">
        <v>9820.7999999999993</v>
      </c>
      <c r="F90" s="105">
        <v>14</v>
      </c>
      <c r="G90" s="105">
        <v>11457.6</v>
      </c>
      <c r="H90" s="105">
        <v>17</v>
      </c>
      <c r="I90" s="105">
        <v>13912.8</v>
      </c>
      <c r="J90" s="105">
        <v>11</v>
      </c>
      <c r="K90" s="105">
        <v>9002.4</v>
      </c>
      <c r="L90" s="105">
        <v>13</v>
      </c>
      <c r="M90" s="105">
        <v>10639.199999999999</v>
      </c>
      <c r="N90" s="105">
        <v>16.735280490243682</v>
      </c>
      <c r="O90" s="105">
        <v>13696.153553215428</v>
      </c>
      <c r="P90" s="105">
        <v>10</v>
      </c>
      <c r="Q90" s="105">
        <v>8184</v>
      </c>
      <c r="R90" s="105">
        <v>10</v>
      </c>
      <c r="S90" s="105">
        <v>8184</v>
      </c>
      <c r="T90" s="105">
        <v>15</v>
      </c>
      <c r="U90" s="105">
        <v>12276</v>
      </c>
      <c r="V90" s="105">
        <v>14.889067692882486</v>
      </c>
      <c r="W90" s="105">
        <v>12185.212999855026</v>
      </c>
      <c r="X90" s="105">
        <v>12.287034341857584</v>
      </c>
      <c r="Y90" s="105">
        <v>10055.708905376247</v>
      </c>
      <c r="Z90" s="105">
        <v>17</v>
      </c>
      <c r="AA90" s="105">
        <v>13912.8</v>
      </c>
      <c r="AB90" s="105">
        <v>15.501786799299017</v>
      </c>
      <c r="AC90" s="105">
        <v>12686.662316546315</v>
      </c>
      <c r="AD90" s="105">
        <v>11.456829318759098</v>
      </c>
      <c r="AE90" s="105">
        <v>9376.2691144724449</v>
      </c>
      <c r="AF90" s="105">
        <v>13</v>
      </c>
      <c r="AG90" s="105">
        <v>10639.199999999999</v>
      </c>
      <c r="AH90" s="105">
        <v>15</v>
      </c>
      <c r="AI90" s="105">
        <v>12276</v>
      </c>
      <c r="AJ90" s="105">
        <v>15</v>
      </c>
      <c r="AK90" s="105">
        <v>12276</v>
      </c>
      <c r="AL90" s="105">
        <v>16.705684632074547</v>
      </c>
      <c r="AM90" s="105">
        <v>13671.932302889809</v>
      </c>
      <c r="AN90" s="105">
        <v>10.96663662153856</v>
      </c>
      <c r="AO90" s="105">
        <v>8975.0954110671573</v>
      </c>
      <c r="AP90" s="105">
        <v>16.462240186178121</v>
      </c>
      <c r="AQ90" s="105">
        <v>13472.697368368174</v>
      </c>
      <c r="AR90" s="105">
        <v>15.3489790021288</v>
      </c>
      <c r="AS90" s="105">
        <v>12561.60441534221</v>
      </c>
      <c r="AT90" s="105">
        <v>16.430336619925836</v>
      </c>
      <c r="AU90" s="105">
        <v>13446.587489747304</v>
      </c>
      <c r="AV90" s="105">
        <v>10</v>
      </c>
      <c r="AW90" s="105">
        <v>8184</v>
      </c>
      <c r="AX90" s="105">
        <v>15.527257181388798</v>
      </c>
      <c r="AY90" s="105">
        <v>12707.507277248591</v>
      </c>
      <c r="AZ90" s="105">
        <v>10.883762039384193</v>
      </c>
      <c r="BA90" s="105">
        <v>8907.2708530320233</v>
      </c>
      <c r="BB90" s="105">
        <v>13.396897675939153</v>
      </c>
      <c r="BC90" s="105">
        <v>10964.021057988602</v>
      </c>
      <c r="BD90" s="105">
        <v>13</v>
      </c>
      <c r="BE90" s="105">
        <v>10639.199999999999</v>
      </c>
      <c r="BF90" s="105">
        <v>13</v>
      </c>
      <c r="BG90" s="105">
        <v>10639.199999999999</v>
      </c>
      <c r="BH90" s="105">
        <v>12.798054211470365</v>
      </c>
      <c r="BI90" s="105">
        <v>10473.927566667347</v>
      </c>
      <c r="BJ90" s="105">
        <v>14.791829221464914</v>
      </c>
      <c r="BK90" s="105">
        <v>12105.633034846885</v>
      </c>
      <c r="BL90" s="105">
        <v>18</v>
      </c>
      <c r="BM90" s="105">
        <v>14731.199999999999</v>
      </c>
      <c r="BN90" s="105">
        <v>17.37681735283266</v>
      </c>
      <c r="BO90" s="105">
        <v>14221.187321558249</v>
      </c>
      <c r="BP90" s="105">
        <v>9.2518443109820492</v>
      </c>
      <c r="BQ90" s="105">
        <v>7571.7093841077085</v>
      </c>
      <c r="BR90" s="105">
        <v>10.939424123718364</v>
      </c>
      <c r="BS90" s="105">
        <v>8952.8247028511087</v>
      </c>
      <c r="BT90" s="105">
        <v>11</v>
      </c>
      <c r="BU90" s="105">
        <v>9002.4</v>
      </c>
      <c r="BV90" s="105">
        <v>11</v>
      </c>
      <c r="BW90" s="105">
        <v>9002.4</v>
      </c>
      <c r="BX90" s="105">
        <v>14</v>
      </c>
      <c r="BY90" s="105">
        <v>11457.6</v>
      </c>
      <c r="BZ90" s="105">
        <v>14.771866017246737</v>
      </c>
      <c r="CA90" s="105">
        <v>12089.29514851473</v>
      </c>
      <c r="CB90" s="105">
        <v>18.220097186830142</v>
      </c>
      <c r="CC90" s="105">
        <v>14911.327537701787</v>
      </c>
      <c r="CD90" s="105">
        <v>14</v>
      </c>
      <c r="CE90" s="105">
        <v>11457.6</v>
      </c>
      <c r="CF90" s="105">
        <v>18</v>
      </c>
      <c r="CG90" s="105">
        <v>14731.199999999999</v>
      </c>
      <c r="CH90" s="105">
        <v>14</v>
      </c>
      <c r="CI90" s="105">
        <v>11457.6</v>
      </c>
      <c r="CJ90" s="105">
        <v>20</v>
      </c>
      <c r="CK90" s="105">
        <v>16368</v>
      </c>
      <c r="CL90" s="105">
        <v>16.303663884748378</v>
      </c>
      <c r="CM90" s="105">
        <v>13342.918523278073</v>
      </c>
      <c r="CN90" s="105">
        <v>14.998419015060792</v>
      </c>
      <c r="CO90" s="105">
        <v>12274.706121925752</v>
      </c>
      <c r="CP90" s="105">
        <v>14.99213739324798</v>
      </c>
      <c r="CQ90" s="105">
        <v>12269.565242634146</v>
      </c>
      <c r="CR90" s="105">
        <v>12.963384856088275</v>
      </c>
      <c r="CS90" s="105">
        <v>10609.234166222644</v>
      </c>
      <c r="CT90" s="105">
        <v>17.127381203801477</v>
      </c>
      <c r="CU90" s="105">
        <v>14017.048777191128</v>
      </c>
    </row>
    <row r="91" spans="2:99" x14ac:dyDescent="0.2">
      <c r="C91" s="104" t="s">
        <v>257</v>
      </c>
      <c r="D91" s="105">
        <v>14</v>
      </c>
      <c r="E91" s="105">
        <v>11004</v>
      </c>
      <c r="F91" s="105">
        <v>13</v>
      </c>
      <c r="G91" s="105">
        <v>10218</v>
      </c>
      <c r="H91" s="105">
        <v>16</v>
      </c>
      <c r="I91" s="105">
        <v>12576</v>
      </c>
      <c r="J91" s="105">
        <v>10</v>
      </c>
      <c r="K91" s="105">
        <v>7860</v>
      </c>
      <c r="L91" s="105">
        <v>12</v>
      </c>
      <c r="M91" s="105">
        <v>9432</v>
      </c>
      <c r="N91" s="105">
        <v>18.704137018507641</v>
      </c>
      <c r="O91" s="105">
        <v>14701.451696547007</v>
      </c>
      <c r="P91" s="105">
        <v>9</v>
      </c>
      <c r="Q91" s="105">
        <v>7074</v>
      </c>
      <c r="R91" s="105">
        <v>10</v>
      </c>
      <c r="S91" s="105">
        <v>7860</v>
      </c>
      <c r="T91" s="105">
        <v>14</v>
      </c>
      <c r="U91" s="105">
        <v>11004</v>
      </c>
      <c r="V91" s="105">
        <v>14.889067692882486</v>
      </c>
      <c r="W91" s="105">
        <v>11702.807206605634</v>
      </c>
      <c r="X91" s="105">
        <v>10.648763096276573</v>
      </c>
      <c r="Y91" s="105">
        <v>8369.927793673387</v>
      </c>
      <c r="Z91" s="105">
        <v>15</v>
      </c>
      <c r="AA91" s="105">
        <v>11790</v>
      </c>
      <c r="AB91" s="105">
        <v>16.413656611022489</v>
      </c>
      <c r="AC91" s="105">
        <v>12901.134096263677</v>
      </c>
      <c r="AD91" s="105">
        <v>12.220617940009705</v>
      </c>
      <c r="AE91" s="105">
        <v>9605.4057008476284</v>
      </c>
      <c r="AF91" s="105">
        <v>14</v>
      </c>
      <c r="AG91" s="105">
        <v>11004</v>
      </c>
      <c r="AH91" s="105">
        <v>13</v>
      </c>
      <c r="AI91" s="105">
        <v>10218</v>
      </c>
      <c r="AJ91" s="105">
        <v>14</v>
      </c>
      <c r="AK91" s="105">
        <v>11004</v>
      </c>
      <c r="AL91" s="105">
        <v>15.77759104140374</v>
      </c>
      <c r="AM91" s="105">
        <v>12401.186558543341</v>
      </c>
      <c r="AN91" s="105">
        <v>10.96663662153856</v>
      </c>
      <c r="AO91" s="105">
        <v>8619.7763845293084</v>
      </c>
      <c r="AP91" s="105">
        <v>15.547671286946002</v>
      </c>
      <c r="AQ91" s="105">
        <v>12220.469631539558</v>
      </c>
      <c r="AR91" s="105">
        <v>16.251860119901082</v>
      </c>
      <c r="AS91" s="105">
        <v>12773.962054242251</v>
      </c>
      <c r="AT91" s="105">
        <v>17.251853450922127</v>
      </c>
      <c r="AU91" s="105">
        <v>13559.956812424793</v>
      </c>
      <c r="AV91" s="105">
        <v>11</v>
      </c>
      <c r="AW91" s="105">
        <v>8646</v>
      </c>
      <c r="AX91" s="105">
        <v>14.048470783161294</v>
      </c>
      <c r="AY91" s="105">
        <v>11042.098035564777</v>
      </c>
      <c r="AZ91" s="105">
        <v>10.243540742949827</v>
      </c>
      <c r="BA91" s="105">
        <v>8051.423023958564</v>
      </c>
      <c r="BB91" s="105">
        <v>12.439976413372069</v>
      </c>
      <c r="BC91" s="105">
        <v>9777.8214609104452</v>
      </c>
      <c r="BD91" s="105">
        <v>15</v>
      </c>
      <c r="BE91" s="105">
        <v>11790</v>
      </c>
      <c r="BF91" s="105">
        <v>14</v>
      </c>
      <c r="BG91" s="105">
        <v>11004</v>
      </c>
      <c r="BH91" s="105">
        <v>12.798054211470365</v>
      </c>
      <c r="BI91" s="105">
        <v>10059.270610215706</v>
      </c>
      <c r="BJ91" s="105">
        <v>13.23479456657387</v>
      </c>
      <c r="BK91" s="105">
        <v>10402.548529327061</v>
      </c>
      <c r="BL91" s="105">
        <v>19</v>
      </c>
      <c r="BM91" s="105">
        <v>14934</v>
      </c>
      <c r="BN91" s="105">
        <v>16.507976485191026</v>
      </c>
      <c r="BO91" s="105">
        <v>12975.269517360146</v>
      </c>
      <c r="BP91" s="105">
        <v>10.09292106652587</v>
      </c>
      <c r="BQ91" s="105">
        <v>7933.0359582893334</v>
      </c>
      <c r="BR91" s="105">
        <v>10.939424123718364</v>
      </c>
      <c r="BS91" s="105">
        <v>8598.3873612426341</v>
      </c>
      <c r="BT91" s="105">
        <v>12</v>
      </c>
      <c r="BU91" s="105">
        <v>9432</v>
      </c>
      <c r="BV91" s="105">
        <v>11</v>
      </c>
      <c r="BW91" s="105">
        <v>8646</v>
      </c>
      <c r="BX91" s="105">
        <v>15</v>
      </c>
      <c r="BY91" s="105">
        <v>11790</v>
      </c>
      <c r="BZ91" s="105">
        <v>14.771866017246737</v>
      </c>
      <c r="CA91" s="105">
        <v>11610.686689555934</v>
      </c>
      <c r="CB91" s="105">
        <v>20.042106905513158</v>
      </c>
      <c r="CC91" s="105">
        <v>15753.096027733342</v>
      </c>
      <c r="CD91" s="105">
        <v>16</v>
      </c>
      <c r="CE91" s="105">
        <v>12576</v>
      </c>
      <c r="CF91" s="105">
        <v>20</v>
      </c>
      <c r="CG91" s="105">
        <v>15720</v>
      </c>
      <c r="CH91" s="105">
        <v>13</v>
      </c>
      <c r="CI91" s="105">
        <v>10218</v>
      </c>
      <c r="CJ91" s="105">
        <v>18</v>
      </c>
      <c r="CK91" s="105">
        <v>14148</v>
      </c>
      <c r="CL91" s="105">
        <v>18.019839030511367</v>
      </c>
      <c r="CM91" s="105">
        <v>14163.593477981934</v>
      </c>
      <c r="CN91" s="105">
        <v>14.209028540583908</v>
      </c>
      <c r="CO91" s="105">
        <v>11168.296432898951</v>
      </c>
      <c r="CP91" s="105">
        <v>15.741744262910377</v>
      </c>
      <c r="CQ91" s="105">
        <v>12373.010990647555</v>
      </c>
      <c r="CR91" s="105">
        <v>12.099159199015723</v>
      </c>
      <c r="CS91" s="105">
        <v>9509.939130426359</v>
      </c>
      <c r="CT91" s="105">
        <v>18.078902381790449</v>
      </c>
      <c r="CU91" s="105">
        <v>14210.017272087292</v>
      </c>
    </row>
    <row r="92" spans="2:99" x14ac:dyDescent="0.2">
      <c r="C92" s="104" t="s">
        <v>258</v>
      </c>
      <c r="D92" s="105">
        <v>14</v>
      </c>
      <c r="E92" s="105">
        <v>13120.8</v>
      </c>
      <c r="F92" s="105">
        <v>15</v>
      </c>
      <c r="G92" s="105">
        <v>14057.999999999998</v>
      </c>
      <c r="H92" s="105">
        <v>15</v>
      </c>
      <c r="I92" s="105">
        <v>14057.999999999998</v>
      </c>
      <c r="J92" s="105">
        <v>10</v>
      </c>
      <c r="K92" s="105">
        <v>9372</v>
      </c>
      <c r="L92" s="105">
        <v>14</v>
      </c>
      <c r="M92" s="105">
        <v>13120.8</v>
      </c>
      <c r="N92" s="105">
        <v>18.704137018507641</v>
      </c>
      <c r="O92" s="105">
        <v>17529.517213745359</v>
      </c>
      <c r="P92" s="105">
        <v>10</v>
      </c>
      <c r="Q92" s="105">
        <v>9372</v>
      </c>
      <c r="R92" s="105">
        <v>9</v>
      </c>
      <c r="S92" s="105">
        <v>8434.7999999999993</v>
      </c>
      <c r="T92" s="105">
        <v>13</v>
      </c>
      <c r="U92" s="105">
        <v>12183.599999999999</v>
      </c>
      <c r="V92" s="105">
        <v>14.889067692882486</v>
      </c>
      <c r="W92" s="105">
        <v>13954.034241769465</v>
      </c>
      <c r="X92" s="105">
        <v>11.467898719067078</v>
      </c>
      <c r="Y92" s="105">
        <v>10747.714679509665</v>
      </c>
      <c r="Z92" s="105">
        <v>16</v>
      </c>
      <c r="AA92" s="105">
        <v>14995.199999999999</v>
      </c>
      <c r="AB92" s="105">
        <v>15.501786799299017</v>
      </c>
      <c r="AC92" s="105">
        <v>14528.274588303038</v>
      </c>
      <c r="AD92" s="105">
        <v>12.220617940009705</v>
      </c>
      <c r="AE92" s="105">
        <v>11453.163133377095</v>
      </c>
      <c r="AF92" s="105">
        <v>13</v>
      </c>
      <c r="AG92" s="105">
        <v>12183.599999999999</v>
      </c>
      <c r="AH92" s="105">
        <v>12</v>
      </c>
      <c r="AI92" s="105">
        <v>11246.4</v>
      </c>
      <c r="AJ92" s="105">
        <v>14</v>
      </c>
      <c r="AK92" s="105">
        <v>13120.8</v>
      </c>
      <c r="AL92" s="105">
        <v>14.849497450732933</v>
      </c>
      <c r="AM92" s="105">
        <v>13916.949010826904</v>
      </c>
      <c r="AN92" s="105">
        <v>10.96663662153856</v>
      </c>
      <c r="AO92" s="105">
        <v>10277.931841705938</v>
      </c>
      <c r="AP92" s="105">
        <v>17.376809085410237</v>
      </c>
      <c r="AQ92" s="105">
        <v>16285.545474846473</v>
      </c>
      <c r="AR92" s="105">
        <v>15.3489790021288</v>
      </c>
      <c r="AS92" s="105">
        <v>14385.06312079511</v>
      </c>
      <c r="AT92" s="105">
        <v>14.787302957933253</v>
      </c>
      <c r="AU92" s="105">
        <v>13858.660332175044</v>
      </c>
      <c r="AV92" s="105">
        <v>10</v>
      </c>
      <c r="AW92" s="105">
        <v>9372</v>
      </c>
      <c r="AX92" s="105">
        <v>14.787863982275045</v>
      </c>
      <c r="AY92" s="105">
        <v>13859.186124188171</v>
      </c>
      <c r="AZ92" s="105">
        <v>10.883762039384193</v>
      </c>
      <c r="BA92" s="105">
        <v>10200.261783310865</v>
      </c>
      <c r="BB92" s="105">
        <v>12.439976413372069</v>
      </c>
      <c r="BC92" s="105">
        <v>11658.745894612302</v>
      </c>
      <c r="BD92" s="105">
        <v>15</v>
      </c>
      <c r="BE92" s="105">
        <v>14057.999999999998</v>
      </c>
      <c r="BF92" s="105">
        <v>13</v>
      </c>
      <c r="BG92" s="105">
        <v>12183.599999999999</v>
      </c>
      <c r="BH92" s="105">
        <v>12.798054211470365</v>
      </c>
      <c r="BI92" s="105">
        <v>11994.336406990025</v>
      </c>
      <c r="BJ92" s="105">
        <v>13.23479456657387</v>
      </c>
      <c r="BK92" s="105">
        <v>12403.64946779303</v>
      </c>
      <c r="BL92" s="105">
        <v>16</v>
      </c>
      <c r="BM92" s="105">
        <v>14995.199999999999</v>
      </c>
      <c r="BN92" s="105">
        <v>16.507976485191026</v>
      </c>
      <c r="BO92" s="105">
        <v>15471.275561921029</v>
      </c>
      <c r="BP92" s="105">
        <v>9.2518443109820492</v>
      </c>
      <c r="BQ92" s="105">
        <v>8670.8284882523767</v>
      </c>
      <c r="BR92" s="105">
        <v>10.939424123718364</v>
      </c>
      <c r="BS92" s="105">
        <v>10252.42828874885</v>
      </c>
      <c r="BT92" s="105">
        <v>10</v>
      </c>
      <c r="BU92" s="105">
        <v>9372</v>
      </c>
      <c r="BV92" s="105">
        <v>11</v>
      </c>
      <c r="BW92" s="105">
        <v>10309.199999999999</v>
      </c>
      <c r="BX92" s="105">
        <v>15</v>
      </c>
      <c r="BY92" s="105">
        <v>14057.999999999998</v>
      </c>
      <c r="BZ92" s="105">
        <v>14.771866017246737</v>
      </c>
      <c r="CA92" s="105">
        <v>13844.19283136364</v>
      </c>
      <c r="CB92" s="105">
        <v>19.131102046171648</v>
      </c>
      <c r="CC92" s="105">
        <v>17929.668837672067</v>
      </c>
      <c r="CD92" s="105">
        <v>16</v>
      </c>
      <c r="CE92" s="105">
        <v>14995.199999999999</v>
      </c>
      <c r="CF92" s="105">
        <v>18</v>
      </c>
      <c r="CG92" s="105">
        <v>16869.599999999999</v>
      </c>
      <c r="CH92" s="105">
        <v>12</v>
      </c>
      <c r="CI92" s="105">
        <v>11246.4</v>
      </c>
      <c r="CJ92" s="105">
        <v>17</v>
      </c>
      <c r="CK92" s="105">
        <v>15932.4</v>
      </c>
      <c r="CL92" s="105">
        <v>18.019839030511367</v>
      </c>
      <c r="CM92" s="105">
        <v>16888.193139395251</v>
      </c>
      <c r="CN92" s="105">
        <v>15.787809489537674</v>
      </c>
      <c r="CO92" s="105">
        <v>14796.335053594707</v>
      </c>
      <c r="CP92" s="105">
        <v>14.99213739324798</v>
      </c>
      <c r="CQ92" s="105">
        <v>14050.631164952005</v>
      </c>
      <c r="CR92" s="105">
        <v>12.099159199015723</v>
      </c>
      <c r="CS92" s="105">
        <v>11339.332001317534</v>
      </c>
      <c r="CT92" s="105">
        <v>17.127381203801477</v>
      </c>
      <c r="CU92" s="105">
        <v>16051.781664202743</v>
      </c>
    </row>
    <row r="93" spans="2:99" x14ac:dyDescent="0.2">
      <c r="C93" s="104" t="s">
        <v>259</v>
      </c>
      <c r="D93" s="105">
        <v>13</v>
      </c>
      <c r="E93" s="105">
        <v>7597.2</v>
      </c>
      <c r="F93" s="105">
        <v>14</v>
      </c>
      <c r="G93" s="105">
        <v>8181.5999999999995</v>
      </c>
      <c r="H93" s="105">
        <v>17</v>
      </c>
      <c r="I93" s="105">
        <v>9934.7999999999993</v>
      </c>
      <c r="J93" s="105">
        <v>10</v>
      </c>
      <c r="K93" s="105">
        <v>5844</v>
      </c>
      <c r="L93" s="105">
        <v>14</v>
      </c>
      <c r="M93" s="105">
        <v>8181.5999999999995</v>
      </c>
      <c r="N93" s="105">
        <v>16.735280490243682</v>
      </c>
      <c r="O93" s="105">
        <v>9780.097918498408</v>
      </c>
      <c r="P93" s="105">
        <v>10</v>
      </c>
      <c r="Q93" s="105">
        <v>5844</v>
      </c>
      <c r="R93" s="105">
        <v>10</v>
      </c>
      <c r="S93" s="105">
        <v>5844</v>
      </c>
      <c r="T93" s="105">
        <v>15</v>
      </c>
      <c r="U93" s="105">
        <v>8766</v>
      </c>
      <c r="V93" s="105">
        <v>15.764895204228516</v>
      </c>
      <c r="W93" s="105">
        <v>9213.0047573511438</v>
      </c>
      <c r="X93" s="105">
        <v>11.467898719067078</v>
      </c>
      <c r="Y93" s="105">
        <v>6701.8400114227998</v>
      </c>
      <c r="Z93" s="105">
        <v>18</v>
      </c>
      <c r="AA93" s="105">
        <v>10519.199999999999</v>
      </c>
      <c r="AB93" s="105">
        <v>15.501786799299017</v>
      </c>
      <c r="AC93" s="105">
        <v>9059.2442055103456</v>
      </c>
      <c r="AD93" s="105">
        <v>13.748195182510917</v>
      </c>
      <c r="AE93" s="105">
        <v>8034.44526465938</v>
      </c>
      <c r="AF93" s="105">
        <v>15</v>
      </c>
      <c r="AG93" s="105">
        <v>8766</v>
      </c>
      <c r="AH93" s="105">
        <v>13</v>
      </c>
      <c r="AI93" s="105">
        <v>7597.2</v>
      </c>
      <c r="AJ93" s="105">
        <v>14</v>
      </c>
      <c r="AK93" s="105">
        <v>8181.5999999999995</v>
      </c>
      <c r="AL93" s="105">
        <v>16.705684632074547</v>
      </c>
      <c r="AM93" s="105">
        <v>9762.8020989843644</v>
      </c>
      <c r="AN93" s="105">
        <v>10.96663662153856</v>
      </c>
      <c r="AO93" s="105">
        <v>6408.9024416271341</v>
      </c>
      <c r="AP93" s="105">
        <v>18.291377984642352</v>
      </c>
      <c r="AQ93" s="105">
        <v>10689.48129422499</v>
      </c>
      <c r="AR93" s="105">
        <v>18.057622355445648</v>
      </c>
      <c r="AS93" s="105">
        <v>10552.874504522437</v>
      </c>
      <c r="AT93" s="105">
        <v>14.787302957933253</v>
      </c>
      <c r="AU93" s="105">
        <v>8641.699848616192</v>
      </c>
      <c r="AV93" s="105">
        <v>10</v>
      </c>
      <c r="AW93" s="105">
        <v>5844</v>
      </c>
      <c r="AX93" s="105">
        <v>14.048470783161294</v>
      </c>
      <c r="AY93" s="105">
        <v>8209.9263256794602</v>
      </c>
      <c r="AZ93" s="105">
        <v>11.523983335818556</v>
      </c>
      <c r="BA93" s="105">
        <v>6734.6158614523638</v>
      </c>
      <c r="BB93" s="105">
        <v>14.353818938506235</v>
      </c>
      <c r="BC93" s="105">
        <v>8388.3717876630435</v>
      </c>
      <c r="BD93" s="105">
        <v>14</v>
      </c>
      <c r="BE93" s="105">
        <v>8181.5999999999995</v>
      </c>
      <c r="BF93" s="105">
        <v>16</v>
      </c>
      <c r="BG93" s="105">
        <v>9350.4</v>
      </c>
      <c r="BH93" s="105">
        <v>12.798054211470365</v>
      </c>
      <c r="BI93" s="105">
        <v>7479.1828811832811</v>
      </c>
      <c r="BJ93" s="105">
        <v>14.013311894019392</v>
      </c>
      <c r="BK93" s="105">
        <v>8189.379470864932</v>
      </c>
      <c r="BL93" s="105">
        <v>20</v>
      </c>
      <c r="BM93" s="105">
        <v>11688</v>
      </c>
      <c r="BN93" s="105">
        <v>15.639135617549394</v>
      </c>
      <c r="BO93" s="105">
        <v>9139.5108548958651</v>
      </c>
      <c r="BP93" s="105">
        <v>10.09292106652587</v>
      </c>
      <c r="BQ93" s="105">
        <v>5898.3030712777181</v>
      </c>
      <c r="BR93" s="105">
        <v>10.939424123718364</v>
      </c>
      <c r="BS93" s="105">
        <v>6392.9994579010117</v>
      </c>
      <c r="BT93" s="105">
        <v>12</v>
      </c>
      <c r="BU93" s="105">
        <v>7012.7999999999993</v>
      </c>
      <c r="BV93" s="105">
        <v>12</v>
      </c>
      <c r="BW93" s="105">
        <v>7012.7999999999993</v>
      </c>
      <c r="BX93" s="105">
        <v>16</v>
      </c>
      <c r="BY93" s="105">
        <v>9350.4</v>
      </c>
      <c r="BZ93" s="105">
        <v>13.902932722114576</v>
      </c>
      <c r="CA93" s="105">
        <v>8124.8738828037576</v>
      </c>
      <c r="CB93" s="105">
        <v>21.864116624196171</v>
      </c>
      <c r="CC93" s="105">
        <v>12777.389755180242</v>
      </c>
      <c r="CD93" s="105">
        <v>17</v>
      </c>
      <c r="CE93" s="105">
        <v>9934.7999999999993</v>
      </c>
      <c r="CF93" s="105">
        <v>20</v>
      </c>
      <c r="CG93" s="105">
        <v>11688</v>
      </c>
      <c r="CH93" s="105">
        <v>14</v>
      </c>
      <c r="CI93" s="105">
        <v>8181.5999999999995</v>
      </c>
      <c r="CJ93" s="105">
        <v>19</v>
      </c>
      <c r="CK93" s="105">
        <v>11103.6</v>
      </c>
      <c r="CL93" s="105">
        <v>18.019839030511367</v>
      </c>
      <c r="CM93" s="105">
        <v>10530.793929430842</v>
      </c>
      <c r="CN93" s="105">
        <v>16.577199964014561</v>
      </c>
      <c r="CO93" s="105">
        <v>9687.7156589701099</v>
      </c>
      <c r="CP93" s="105">
        <v>14.99213739324798</v>
      </c>
      <c r="CQ93" s="105">
        <v>8761.405092614119</v>
      </c>
      <c r="CR93" s="105">
        <v>12.099159199015723</v>
      </c>
      <c r="CS93" s="105">
        <v>7070.748635904788</v>
      </c>
      <c r="CT93" s="105">
        <v>18.078902381790449</v>
      </c>
      <c r="CU93" s="105">
        <v>10565.310551918337</v>
      </c>
    </row>
    <row r="94" spans="2:99" x14ac:dyDescent="0.2">
      <c r="C94" s="104" t="s">
        <v>260</v>
      </c>
      <c r="D94" s="105">
        <v>12</v>
      </c>
      <c r="E94" s="105">
        <v>9619.2000000000007</v>
      </c>
      <c r="F94" s="105">
        <v>14</v>
      </c>
      <c r="G94" s="105">
        <v>11222.4</v>
      </c>
      <c r="H94" s="105">
        <v>15</v>
      </c>
      <c r="I94" s="105">
        <v>12024</v>
      </c>
      <c r="J94" s="105">
        <v>11</v>
      </c>
      <c r="K94" s="105">
        <v>8817.6</v>
      </c>
      <c r="L94" s="105">
        <v>13</v>
      </c>
      <c r="M94" s="105">
        <v>10420.800000000001</v>
      </c>
      <c r="N94" s="105">
        <v>17.719708754375663</v>
      </c>
      <c r="O94" s="105">
        <v>14204.118537507531</v>
      </c>
      <c r="P94" s="105">
        <v>9</v>
      </c>
      <c r="Q94" s="105">
        <v>7214.4000000000005</v>
      </c>
      <c r="R94" s="105">
        <v>11</v>
      </c>
      <c r="S94" s="105">
        <v>8817.6</v>
      </c>
      <c r="T94" s="105">
        <v>14</v>
      </c>
      <c r="U94" s="105">
        <v>11222.4</v>
      </c>
      <c r="V94" s="105">
        <v>14.013240181536458</v>
      </c>
      <c r="W94" s="105">
        <v>11233.013329519625</v>
      </c>
      <c r="X94" s="105">
        <v>12.287034341857584</v>
      </c>
      <c r="Y94" s="105">
        <v>9849.2867284330405</v>
      </c>
      <c r="Z94" s="105">
        <v>15</v>
      </c>
      <c r="AA94" s="105">
        <v>12024</v>
      </c>
      <c r="AB94" s="105">
        <v>17.325526422745963</v>
      </c>
      <c r="AC94" s="105">
        <v>13888.141980473165</v>
      </c>
      <c r="AD94" s="105">
        <v>13.748195182510917</v>
      </c>
      <c r="AE94" s="105">
        <v>11020.553258300752</v>
      </c>
      <c r="AF94" s="105">
        <v>13</v>
      </c>
      <c r="AG94" s="105">
        <v>10420.800000000001</v>
      </c>
      <c r="AH94" s="105">
        <v>13</v>
      </c>
      <c r="AI94" s="105">
        <v>10420.800000000001</v>
      </c>
      <c r="AJ94" s="105">
        <v>14</v>
      </c>
      <c r="AK94" s="105">
        <v>11222.4</v>
      </c>
      <c r="AL94" s="105">
        <v>16.705684632074547</v>
      </c>
      <c r="AM94" s="105">
        <v>13391.276801070957</v>
      </c>
      <c r="AN94" s="105">
        <v>11.810224053964603</v>
      </c>
      <c r="AO94" s="105">
        <v>9467.0756016580272</v>
      </c>
      <c r="AP94" s="105">
        <v>17.376809085410237</v>
      </c>
      <c r="AQ94" s="105">
        <v>13929.250162864846</v>
      </c>
      <c r="AR94" s="105">
        <v>17.154741237673363</v>
      </c>
      <c r="AS94" s="105">
        <v>13751.240576118968</v>
      </c>
      <c r="AT94" s="105">
        <v>16.430336619925836</v>
      </c>
      <c r="AU94" s="105">
        <v>13170.55783453255</v>
      </c>
      <c r="AV94" s="105">
        <v>11</v>
      </c>
      <c r="AW94" s="105">
        <v>8817.6</v>
      </c>
      <c r="AX94" s="105">
        <v>14.787863982275045</v>
      </c>
      <c r="AY94" s="105">
        <v>11853.951768191677</v>
      </c>
      <c r="AZ94" s="105">
        <v>10.883762039384193</v>
      </c>
      <c r="BA94" s="105">
        <v>8724.4236507703699</v>
      </c>
      <c r="BB94" s="105">
        <v>12.439976413372069</v>
      </c>
      <c r="BC94" s="105">
        <v>9971.8850929590499</v>
      </c>
      <c r="BD94" s="105">
        <v>14</v>
      </c>
      <c r="BE94" s="105">
        <v>11222.4</v>
      </c>
      <c r="BF94" s="105">
        <v>15</v>
      </c>
      <c r="BG94" s="105">
        <v>12024</v>
      </c>
      <c r="BH94" s="105">
        <v>13.712200940861104</v>
      </c>
      <c r="BI94" s="105">
        <v>10991.700274194262</v>
      </c>
      <c r="BJ94" s="105">
        <v>13.23479456657387</v>
      </c>
      <c r="BK94" s="105">
        <v>10609.011324565614</v>
      </c>
      <c r="BL94" s="105">
        <v>20</v>
      </c>
      <c r="BM94" s="105">
        <v>16032</v>
      </c>
      <c r="BN94" s="105">
        <v>17.37681735283266</v>
      </c>
      <c r="BO94" s="105">
        <v>13929.25679003066</v>
      </c>
      <c r="BP94" s="105">
        <v>9.2518443109820492</v>
      </c>
      <c r="BQ94" s="105">
        <v>7416.2783996832104</v>
      </c>
      <c r="BR94" s="105">
        <v>10.939424123718364</v>
      </c>
      <c r="BS94" s="105">
        <v>8769.0423775726413</v>
      </c>
      <c r="BT94" s="105">
        <v>11</v>
      </c>
      <c r="BU94" s="105">
        <v>8817.6</v>
      </c>
      <c r="BV94" s="105">
        <v>12</v>
      </c>
      <c r="BW94" s="105">
        <v>9619.2000000000007</v>
      </c>
      <c r="BX94" s="105">
        <v>15</v>
      </c>
      <c r="BY94" s="105">
        <v>12024</v>
      </c>
      <c r="BZ94" s="105">
        <v>13.902932722114576</v>
      </c>
      <c r="CA94" s="105">
        <v>11144.590870047045</v>
      </c>
      <c r="CB94" s="105">
        <v>20.042106905513158</v>
      </c>
      <c r="CC94" s="105">
        <v>16065.752895459347</v>
      </c>
      <c r="CD94" s="105">
        <v>15</v>
      </c>
      <c r="CE94" s="105">
        <v>12024</v>
      </c>
      <c r="CF94" s="105">
        <v>21</v>
      </c>
      <c r="CG94" s="105">
        <v>16833.600000000002</v>
      </c>
      <c r="CH94" s="105">
        <v>13</v>
      </c>
      <c r="CI94" s="105">
        <v>10420.800000000001</v>
      </c>
      <c r="CJ94" s="105">
        <v>19</v>
      </c>
      <c r="CK94" s="105">
        <v>15230.4</v>
      </c>
      <c r="CL94" s="105">
        <v>19.736014176274352</v>
      </c>
      <c r="CM94" s="105">
        <v>15820.388963701522</v>
      </c>
      <c r="CN94" s="105">
        <v>14.998419015060792</v>
      </c>
      <c r="CO94" s="105">
        <v>12022.732682472732</v>
      </c>
      <c r="CP94" s="105">
        <v>16.491351132572778</v>
      </c>
      <c r="CQ94" s="105">
        <v>13219.467067870339</v>
      </c>
      <c r="CR94" s="105">
        <v>10.370707884870621</v>
      </c>
      <c r="CS94" s="105">
        <v>8313.1594405122905</v>
      </c>
      <c r="CT94" s="105">
        <v>18.078902381790449</v>
      </c>
      <c r="CU94" s="105">
        <v>14492.048149243225</v>
      </c>
    </row>
    <row r="95" spans="2:99" x14ac:dyDescent="0.2">
      <c r="B95" s="104" t="s">
        <v>132</v>
      </c>
      <c r="C95" s="104" t="s">
        <v>261</v>
      </c>
      <c r="D95" s="105">
        <v>17</v>
      </c>
      <c r="E95" s="105">
        <v>6528</v>
      </c>
      <c r="F95" s="105">
        <v>15</v>
      </c>
      <c r="G95" s="105">
        <v>5760</v>
      </c>
      <c r="H95" s="105">
        <v>26</v>
      </c>
      <c r="I95" s="105">
        <v>9984</v>
      </c>
      <c r="J95" s="105">
        <v>17</v>
      </c>
      <c r="K95" s="105">
        <v>6528</v>
      </c>
      <c r="L95" s="105">
        <v>24</v>
      </c>
      <c r="M95" s="105">
        <v>9216</v>
      </c>
      <c r="N95" s="105">
        <v>15.7508522261117</v>
      </c>
      <c r="O95" s="105">
        <v>6048.3272548268924</v>
      </c>
      <c r="P95" s="105">
        <v>14</v>
      </c>
      <c r="Q95" s="105">
        <v>5376</v>
      </c>
      <c r="R95" s="105">
        <v>20</v>
      </c>
      <c r="S95" s="105">
        <v>7680</v>
      </c>
      <c r="T95" s="105">
        <v>20</v>
      </c>
      <c r="U95" s="105">
        <v>7680</v>
      </c>
      <c r="V95" s="105">
        <v>25.39899782903483</v>
      </c>
      <c r="W95" s="105">
        <v>9753.2151663493751</v>
      </c>
      <c r="X95" s="105">
        <v>20.478390569762642</v>
      </c>
      <c r="Y95" s="105">
        <v>7863.7019787888548</v>
      </c>
      <c r="Z95" s="105">
        <v>15</v>
      </c>
      <c r="AA95" s="105">
        <v>5760</v>
      </c>
      <c r="AB95" s="105">
        <v>17.325526422745963</v>
      </c>
      <c r="AC95" s="105">
        <v>6653.0021463344492</v>
      </c>
      <c r="AD95" s="105">
        <v>22.149870016267588</v>
      </c>
      <c r="AE95" s="105">
        <v>8505.5500862467543</v>
      </c>
      <c r="AF95" s="105">
        <v>18</v>
      </c>
      <c r="AG95" s="105">
        <v>6912</v>
      </c>
      <c r="AH95" s="105">
        <v>20</v>
      </c>
      <c r="AI95" s="105">
        <v>7680</v>
      </c>
      <c r="AJ95" s="105">
        <v>17</v>
      </c>
      <c r="AK95" s="105">
        <v>6528</v>
      </c>
      <c r="AL95" s="105">
        <v>20.418058994757779</v>
      </c>
      <c r="AM95" s="105">
        <v>7840.534653986987</v>
      </c>
      <c r="AN95" s="105">
        <v>23.620448107929207</v>
      </c>
      <c r="AO95" s="105">
        <v>9070.2520734448153</v>
      </c>
      <c r="AP95" s="105">
        <v>18.291377984642352</v>
      </c>
      <c r="AQ95" s="105">
        <v>7023.8891461026633</v>
      </c>
      <c r="AR95" s="105">
        <v>18.96050347321793</v>
      </c>
      <c r="AS95" s="105">
        <v>7280.8333337156855</v>
      </c>
      <c r="AT95" s="105">
        <v>16.430336619925836</v>
      </c>
      <c r="AU95" s="105">
        <v>6309.2492620515204</v>
      </c>
      <c r="AV95" s="105">
        <v>20</v>
      </c>
      <c r="AW95" s="105">
        <v>7680</v>
      </c>
      <c r="AX95" s="105">
        <v>19.224223176957562</v>
      </c>
      <c r="AY95" s="105">
        <v>7382.1016999517033</v>
      </c>
      <c r="AZ95" s="105">
        <v>16.005532410859107</v>
      </c>
      <c r="BA95" s="105">
        <v>6146.1244457698976</v>
      </c>
      <c r="BB95" s="105">
        <v>23.923031564177059</v>
      </c>
      <c r="BC95" s="105">
        <v>9186.4441206439915</v>
      </c>
      <c r="BD95" s="105">
        <v>16</v>
      </c>
      <c r="BE95" s="105">
        <v>6144</v>
      </c>
      <c r="BF95" s="105">
        <v>18</v>
      </c>
      <c r="BG95" s="105">
        <v>6912</v>
      </c>
      <c r="BH95" s="105">
        <v>24.68196169354999</v>
      </c>
      <c r="BI95" s="105">
        <v>9477.8732903231958</v>
      </c>
      <c r="BJ95" s="105">
        <v>18.684415858692521</v>
      </c>
      <c r="BK95" s="105">
        <v>7174.8156897379286</v>
      </c>
      <c r="BL95" s="105">
        <v>16</v>
      </c>
      <c r="BM95" s="105">
        <v>6144</v>
      </c>
      <c r="BN95" s="105">
        <v>17.37681735283266</v>
      </c>
      <c r="BO95" s="105">
        <v>6672.6978634877414</v>
      </c>
      <c r="BP95" s="105">
        <v>21.867995644139388</v>
      </c>
      <c r="BQ95" s="105">
        <v>8397.3103273495253</v>
      </c>
      <c r="BR95" s="105">
        <v>23.70208560138979</v>
      </c>
      <c r="BS95" s="105">
        <v>9101.6008709336784</v>
      </c>
      <c r="BT95" s="105">
        <v>21</v>
      </c>
      <c r="BU95" s="105">
        <v>8064</v>
      </c>
      <c r="BV95" s="105">
        <v>17</v>
      </c>
      <c r="BW95" s="105">
        <v>6528</v>
      </c>
      <c r="BX95" s="105">
        <v>26</v>
      </c>
      <c r="BY95" s="105">
        <v>9984</v>
      </c>
      <c r="BZ95" s="105">
        <v>21.723332378304026</v>
      </c>
      <c r="CA95" s="105">
        <v>8341.7596332687463</v>
      </c>
      <c r="CB95" s="105">
        <v>16.398087468147128</v>
      </c>
      <c r="CC95" s="105">
        <v>6296.8655877684978</v>
      </c>
      <c r="CD95" s="105">
        <v>17</v>
      </c>
      <c r="CE95" s="105">
        <v>6528</v>
      </c>
      <c r="CF95" s="105">
        <v>19</v>
      </c>
      <c r="CG95" s="105">
        <v>7296</v>
      </c>
      <c r="CH95" s="105">
        <v>21</v>
      </c>
      <c r="CI95" s="105">
        <v>8064</v>
      </c>
      <c r="CJ95" s="105">
        <v>22</v>
      </c>
      <c r="CK95" s="105">
        <v>8448</v>
      </c>
      <c r="CL95" s="105">
        <v>18.019839030511367</v>
      </c>
      <c r="CM95" s="105">
        <v>6919.6181877163654</v>
      </c>
      <c r="CN95" s="105">
        <v>19.734761861922092</v>
      </c>
      <c r="CO95" s="105">
        <v>7578.1485549780828</v>
      </c>
      <c r="CP95" s="105">
        <v>18.740171741559976</v>
      </c>
      <c r="CQ95" s="105">
        <v>7196.2259487590309</v>
      </c>
      <c r="CR95" s="105">
        <v>21.60564142681379</v>
      </c>
      <c r="CS95" s="105">
        <v>8296.5663078964953</v>
      </c>
      <c r="CT95" s="105">
        <v>17.127381203801477</v>
      </c>
      <c r="CU95" s="105">
        <v>6576.9143822597671</v>
      </c>
    </row>
    <row r="96" spans="2:99" x14ac:dyDescent="0.2">
      <c r="C96" s="104" t="s">
        <v>262</v>
      </c>
      <c r="D96" s="105">
        <v>14.852150841830168</v>
      </c>
      <c r="E96" s="105">
        <v>12422.338964106752</v>
      </c>
      <c r="F96" s="105">
        <v>11.474011106937283</v>
      </c>
      <c r="G96" s="105">
        <v>9596.8628898423431</v>
      </c>
      <c r="H96" s="105">
        <v>21.421835052480642</v>
      </c>
      <c r="I96" s="105">
        <v>17917.222837894809</v>
      </c>
      <c r="J96" s="105">
        <v>12.892334055302594</v>
      </c>
      <c r="K96" s="105">
        <v>10783.148203855089</v>
      </c>
      <c r="L96" s="105">
        <v>15.193899136741594</v>
      </c>
      <c r="M96" s="105">
        <v>12708.177237970669</v>
      </c>
      <c r="N96" s="105">
        <v>13.565285276671121</v>
      </c>
      <c r="O96" s="105">
        <v>11346.004605407725</v>
      </c>
      <c r="P96" s="105">
        <v>14.139651092212461</v>
      </c>
      <c r="Q96" s="105">
        <v>11826.404173526502</v>
      </c>
      <c r="R96" s="105">
        <v>23.53934803541685</v>
      </c>
      <c r="S96" s="105">
        <v>19688.310696822653</v>
      </c>
      <c r="T96" s="105">
        <v>13.904517096766693</v>
      </c>
      <c r="U96" s="105">
        <v>11629.738099735661</v>
      </c>
      <c r="V96" s="105">
        <v>19.888878125665219</v>
      </c>
      <c r="W96" s="105">
        <v>16635.057664306387</v>
      </c>
      <c r="X96" s="105">
        <v>20.661357725428342</v>
      </c>
      <c r="Y96" s="105">
        <v>17281.159601548265</v>
      </c>
      <c r="Z96" s="105">
        <v>12.457369868779576</v>
      </c>
      <c r="AA96" s="105">
        <v>10419.344158247237</v>
      </c>
      <c r="AB96" s="105">
        <v>14.414574423099307</v>
      </c>
      <c r="AC96" s="105">
        <v>12056.35004748026</v>
      </c>
      <c r="AD96" s="105">
        <v>22.133375434371981</v>
      </c>
      <c r="AE96" s="105">
        <v>18512.355213308725</v>
      </c>
      <c r="AF96" s="105">
        <v>15.188198449190091</v>
      </c>
      <c r="AG96" s="105">
        <v>12703.409182902591</v>
      </c>
      <c r="AH96" s="105">
        <v>19.801185673739436</v>
      </c>
      <c r="AI96" s="105">
        <v>16561.711697515664</v>
      </c>
      <c r="AJ96" s="105">
        <v>14.688768898095624</v>
      </c>
      <c r="AK96" s="105">
        <v>12285.686306367179</v>
      </c>
      <c r="AL96" s="105">
        <v>16.751448638083108</v>
      </c>
      <c r="AM96" s="105">
        <v>14010.911640892711</v>
      </c>
      <c r="AN96" s="105">
        <v>17.023122701886535</v>
      </c>
      <c r="AO96" s="105">
        <v>14238.139827857898</v>
      </c>
      <c r="AP96" s="105">
        <v>16.548928931592286</v>
      </c>
      <c r="AQ96" s="105">
        <v>13841.524158383787</v>
      </c>
      <c r="AR96" s="105">
        <v>15.136230975134737</v>
      </c>
      <c r="AS96" s="105">
        <v>12659.943587602693</v>
      </c>
      <c r="AT96" s="105">
        <v>12.881563236130292</v>
      </c>
      <c r="AU96" s="105">
        <v>10774.139490699376</v>
      </c>
      <c r="AV96" s="105">
        <v>23.204435913609156</v>
      </c>
      <c r="AW96" s="105">
        <v>19408.190198142696</v>
      </c>
      <c r="AX96" s="105">
        <v>16.136066550332224</v>
      </c>
      <c r="AY96" s="105">
        <v>13496.206062697871</v>
      </c>
      <c r="AZ96" s="105">
        <v>18.712086657544667</v>
      </c>
      <c r="BA96" s="105">
        <v>15650.78928037036</v>
      </c>
      <c r="BB96" s="105">
        <v>15.602734316524675</v>
      </c>
      <c r="BC96" s="105">
        <v>13050.126982341239</v>
      </c>
      <c r="BD96" s="105">
        <v>13.753127511394993</v>
      </c>
      <c r="BE96" s="105">
        <v>11503.115850530772</v>
      </c>
      <c r="BF96" s="105">
        <v>12.749200566296597</v>
      </c>
      <c r="BG96" s="105">
        <v>10663.431353650474</v>
      </c>
      <c r="BH96" s="105">
        <v>14.9214978031029</v>
      </c>
      <c r="BI96" s="105">
        <v>12480.340762515265</v>
      </c>
      <c r="BJ96" s="105">
        <v>17.226132047537778</v>
      </c>
      <c r="BK96" s="105">
        <v>14407.936844560598</v>
      </c>
      <c r="BL96" s="105">
        <v>11.466387232857212</v>
      </c>
      <c r="BM96" s="105">
        <v>9590.4862815617726</v>
      </c>
      <c r="BN96" s="105">
        <v>13.113629586960549</v>
      </c>
      <c r="BO96" s="105">
        <v>10968.239786533803</v>
      </c>
      <c r="BP96" s="105">
        <v>21.176073024197322</v>
      </c>
      <c r="BQ96" s="105">
        <v>17711.667477438641</v>
      </c>
      <c r="BR96" s="105">
        <v>19.781726518386904</v>
      </c>
      <c r="BS96" s="105">
        <v>16545.436059978805</v>
      </c>
      <c r="BT96" s="105">
        <v>15.335285661945912</v>
      </c>
      <c r="BU96" s="105">
        <v>12826.43292765156</v>
      </c>
      <c r="BV96" s="105">
        <v>15.359985659102815</v>
      </c>
      <c r="BW96" s="105">
        <v>12847.092005273595</v>
      </c>
      <c r="BX96" s="105">
        <v>19.963583845943539</v>
      </c>
      <c r="BY96" s="105">
        <v>16697.541528747177</v>
      </c>
      <c r="BZ96" s="105">
        <v>20.44655101117597</v>
      </c>
      <c r="CA96" s="105">
        <v>17101.495265747581</v>
      </c>
      <c r="CB96" s="105">
        <v>11.956058250547473</v>
      </c>
      <c r="CC96" s="105">
        <v>10000.047120757907</v>
      </c>
      <c r="CD96" s="105">
        <v>12.193741949426732</v>
      </c>
      <c r="CE96" s="105">
        <v>10198.845766500519</v>
      </c>
      <c r="CF96" s="105">
        <v>15.456687669794784</v>
      </c>
      <c r="CG96" s="105">
        <v>12927.973567016357</v>
      </c>
      <c r="CH96" s="105">
        <v>18.900516040571723</v>
      </c>
      <c r="CI96" s="105">
        <v>15808.391616334189</v>
      </c>
      <c r="CJ96" s="105">
        <v>14.882664948959334</v>
      </c>
      <c r="CK96" s="105">
        <v>12447.860963309588</v>
      </c>
      <c r="CL96" s="105">
        <v>15.358415567358861</v>
      </c>
      <c r="CM96" s="105">
        <v>12845.778780538951</v>
      </c>
      <c r="CN96" s="105">
        <v>15.250763245043444</v>
      </c>
      <c r="CO96" s="105">
        <v>12755.738378154336</v>
      </c>
      <c r="CP96" s="105">
        <v>14.47582635413543</v>
      </c>
      <c r="CQ96" s="105">
        <v>12107.581162598874</v>
      </c>
      <c r="CR96" s="105">
        <v>17.792955519538889</v>
      </c>
      <c r="CS96" s="105">
        <v>14882.027996542327</v>
      </c>
      <c r="CT96" s="105">
        <v>16.967081827714569</v>
      </c>
      <c r="CU96" s="105">
        <v>14191.267240700465</v>
      </c>
    </row>
    <row r="97" spans="2:99" x14ac:dyDescent="0.2">
      <c r="C97" s="104" t="s">
        <v>263</v>
      </c>
      <c r="D97" s="105">
        <v>19</v>
      </c>
      <c r="E97" s="105">
        <v>4788</v>
      </c>
      <c r="F97" s="105">
        <v>16</v>
      </c>
      <c r="G97" s="105">
        <v>4032</v>
      </c>
      <c r="H97" s="105">
        <v>28</v>
      </c>
      <c r="I97" s="105">
        <v>7056</v>
      </c>
      <c r="J97" s="105">
        <v>17</v>
      </c>
      <c r="K97" s="105">
        <v>4284</v>
      </c>
      <c r="L97" s="105">
        <v>26</v>
      </c>
      <c r="M97" s="105">
        <v>6552</v>
      </c>
      <c r="N97" s="105">
        <v>18.704137018507641</v>
      </c>
      <c r="O97" s="105">
        <v>4713.4425286639253</v>
      </c>
      <c r="P97" s="105">
        <v>14</v>
      </c>
      <c r="Q97" s="105">
        <v>3528</v>
      </c>
      <c r="R97" s="105">
        <v>24</v>
      </c>
      <c r="S97" s="105">
        <v>6048</v>
      </c>
      <c r="T97" s="105">
        <v>19</v>
      </c>
      <c r="U97" s="105">
        <v>4788</v>
      </c>
      <c r="V97" s="105">
        <v>24.523170317688802</v>
      </c>
      <c r="W97" s="105">
        <v>6179.8389200575784</v>
      </c>
      <c r="X97" s="105">
        <v>21.297526192553146</v>
      </c>
      <c r="Y97" s="105">
        <v>5366.9766005233932</v>
      </c>
      <c r="Z97" s="105">
        <v>16</v>
      </c>
      <c r="AA97" s="105">
        <v>4032</v>
      </c>
      <c r="AB97" s="105">
        <v>20.973005669639846</v>
      </c>
      <c r="AC97" s="105">
        <v>5285.1974287492412</v>
      </c>
      <c r="AD97" s="105">
        <v>21.386081395016983</v>
      </c>
      <c r="AE97" s="105">
        <v>5389.2925115442795</v>
      </c>
      <c r="AF97" s="105">
        <v>17</v>
      </c>
      <c r="AG97" s="105">
        <v>4284</v>
      </c>
      <c r="AH97" s="105">
        <v>21</v>
      </c>
      <c r="AI97" s="105">
        <v>5292</v>
      </c>
      <c r="AJ97" s="105">
        <v>18</v>
      </c>
      <c r="AK97" s="105">
        <v>4536</v>
      </c>
      <c r="AL97" s="105">
        <v>21.346152585428587</v>
      </c>
      <c r="AM97" s="105">
        <v>5379.2304515280039</v>
      </c>
      <c r="AN97" s="105">
        <v>21.933273243077121</v>
      </c>
      <c r="AO97" s="105">
        <v>5527.1848572554345</v>
      </c>
      <c r="AP97" s="105">
        <v>16.462240186178121</v>
      </c>
      <c r="AQ97" s="105">
        <v>4148.4845269168864</v>
      </c>
      <c r="AR97" s="105">
        <v>18.96050347321793</v>
      </c>
      <c r="AS97" s="105">
        <v>4778.0468752509187</v>
      </c>
      <c r="AT97" s="105">
        <v>16.430336619925836</v>
      </c>
      <c r="AU97" s="105">
        <v>4140.4448282213107</v>
      </c>
      <c r="AV97" s="105">
        <v>21</v>
      </c>
      <c r="AW97" s="105">
        <v>5292</v>
      </c>
      <c r="AX97" s="105">
        <v>18.484829977843805</v>
      </c>
      <c r="AY97" s="105">
        <v>4658.1771544166386</v>
      </c>
      <c r="AZ97" s="105">
        <v>16.005532410859107</v>
      </c>
      <c r="BA97" s="105">
        <v>4033.3941675364949</v>
      </c>
      <c r="BB97" s="105">
        <v>23.923031564177059</v>
      </c>
      <c r="BC97" s="105">
        <v>6028.6039541726186</v>
      </c>
      <c r="BD97" s="105">
        <v>15</v>
      </c>
      <c r="BE97" s="105">
        <v>3780</v>
      </c>
      <c r="BF97" s="105">
        <v>16</v>
      </c>
      <c r="BG97" s="105">
        <v>4032</v>
      </c>
      <c r="BH97" s="105">
        <v>22.853668234768513</v>
      </c>
      <c r="BI97" s="105">
        <v>5759.1243951616652</v>
      </c>
      <c r="BJ97" s="105">
        <v>21.019967841029086</v>
      </c>
      <c r="BK97" s="105">
        <v>5297.0318959393298</v>
      </c>
      <c r="BL97" s="105">
        <v>14</v>
      </c>
      <c r="BM97" s="105">
        <v>3528</v>
      </c>
      <c r="BN97" s="105">
        <v>19.114499088115927</v>
      </c>
      <c r="BO97" s="105">
        <v>4816.8537702052136</v>
      </c>
      <c r="BP97" s="105">
        <v>25.232302666314677</v>
      </c>
      <c r="BQ97" s="105">
        <v>6358.540271911299</v>
      </c>
      <c r="BR97" s="105">
        <v>21.878848247436729</v>
      </c>
      <c r="BS97" s="105">
        <v>5513.4697583540556</v>
      </c>
      <c r="BT97" s="105">
        <v>22</v>
      </c>
      <c r="BU97" s="105">
        <v>5544</v>
      </c>
      <c r="BV97" s="105">
        <v>17</v>
      </c>
      <c r="BW97" s="105">
        <v>4284</v>
      </c>
      <c r="BX97" s="105">
        <v>27</v>
      </c>
      <c r="BY97" s="105">
        <v>6804</v>
      </c>
      <c r="BZ97" s="105">
        <v>19.985465788039701</v>
      </c>
      <c r="CA97" s="105">
        <v>5036.3373785860049</v>
      </c>
      <c r="CB97" s="105">
        <v>16.398087468147128</v>
      </c>
      <c r="CC97" s="105">
        <v>4132.3180419730761</v>
      </c>
      <c r="CD97" s="105">
        <v>16</v>
      </c>
      <c r="CE97" s="105">
        <v>4032</v>
      </c>
      <c r="CF97" s="105">
        <v>19</v>
      </c>
      <c r="CG97" s="105">
        <v>4788</v>
      </c>
      <c r="CH97" s="105">
        <v>20</v>
      </c>
      <c r="CI97" s="105">
        <v>5040</v>
      </c>
      <c r="CJ97" s="105">
        <v>21</v>
      </c>
      <c r="CK97" s="105">
        <v>5292</v>
      </c>
      <c r="CL97" s="105">
        <v>20.594101749155847</v>
      </c>
      <c r="CM97" s="105">
        <v>5189.7136407872731</v>
      </c>
      <c r="CN97" s="105">
        <v>20.524152336398981</v>
      </c>
      <c r="CO97" s="105">
        <v>5172.0863887725427</v>
      </c>
      <c r="CP97" s="105">
        <v>19.48977861122237</v>
      </c>
      <c r="CQ97" s="105">
        <v>4911.4242100280371</v>
      </c>
      <c r="CR97" s="105">
        <v>21.60564142681379</v>
      </c>
      <c r="CS97" s="105">
        <v>5444.6216395570755</v>
      </c>
      <c r="CT97" s="105">
        <v>16.175860025812508</v>
      </c>
      <c r="CU97" s="105">
        <v>4076.3167265047518</v>
      </c>
    </row>
    <row r="98" spans="2:99" x14ac:dyDescent="0.2">
      <c r="C98" s="104" t="s">
        <v>264</v>
      </c>
      <c r="D98" s="105">
        <v>18</v>
      </c>
      <c r="E98" s="105">
        <v>14644.800000000001</v>
      </c>
      <c r="F98" s="105">
        <v>15</v>
      </c>
      <c r="G98" s="105">
        <v>12204</v>
      </c>
      <c r="H98" s="105">
        <v>24</v>
      </c>
      <c r="I98" s="105">
        <v>19526.400000000001</v>
      </c>
      <c r="J98" s="105">
        <v>16</v>
      </c>
      <c r="K98" s="105">
        <v>13017.6</v>
      </c>
      <c r="L98" s="105">
        <v>22</v>
      </c>
      <c r="M98" s="105">
        <v>17899.2</v>
      </c>
      <c r="N98" s="105">
        <v>15.7508522261117</v>
      </c>
      <c r="O98" s="105">
        <v>12814.89337116448</v>
      </c>
      <c r="P98" s="105">
        <v>13</v>
      </c>
      <c r="Q98" s="105">
        <v>10576.800000000001</v>
      </c>
      <c r="R98" s="105">
        <v>19</v>
      </c>
      <c r="S98" s="105">
        <v>15458.4</v>
      </c>
      <c r="T98" s="105">
        <v>17</v>
      </c>
      <c r="U98" s="105">
        <v>13831.2</v>
      </c>
      <c r="V98" s="105">
        <v>24.523170317688802</v>
      </c>
      <c r="W98" s="105">
        <v>19952.05137047161</v>
      </c>
      <c r="X98" s="105">
        <v>20.478390569762642</v>
      </c>
      <c r="Y98" s="105">
        <v>16661.218567558884</v>
      </c>
      <c r="Z98" s="105">
        <v>14</v>
      </c>
      <c r="AA98" s="105">
        <v>11390.4</v>
      </c>
      <c r="AB98" s="105">
        <v>19.149266046192903</v>
      </c>
      <c r="AC98" s="105">
        <v>15579.842855182545</v>
      </c>
      <c r="AD98" s="105">
        <v>19.858504152515771</v>
      </c>
      <c r="AE98" s="105">
        <v>16156.878978486831</v>
      </c>
      <c r="AF98" s="105">
        <v>16</v>
      </c>
      <c r="AG98" s="105">
        <v>13017.6</v>
      </c>
      <c r="AH98" s="105">
        <v>22</v>
      </c>
      <c r="AI98" s="105">
        <v>17899.2</v>
      </c>
      <c r="AJ98" s="105">
        <v>17</v>
      </c>
      <c r="AK98" s="105">
        <v>13831.2</v>
      </c>
      <c r="AL98" s="105">
        <v>19.48996540408697</v>
      </c>
      <c r="AM98" s="105">
        <v>15857.035852765159</v>
      </c>
      <c r="AN98" s="105">
        <v>21.089685810651076</v>
      </c>
      <c r="AO98" s="105">
        <v>17158.568375545718</v>
      </c>
      <c r="AP98" s="105">
        <v>14.633102387713885</v>
      </c>
      <c r="AQ98" s="105">
        <v>11905.492102644017</v>
      </c>
      <c r="AR98" s="105">
        <v>15.3489790021288</v>
      </c>
      <c r="AS98" s="105">
        <v>12487.929316131993</v>
      </c>
      <c r="AT98" s="105">
        <v>18.073370281918422</v>
      </c>
      <c r="AU98" s="105">
        <v>14704.494061368829</v>
      </c>
      <c r="AV98" s="105">
        <v>21</v>
      </c>
      <c r="AW98" s="105">
        <v>17085.600000000002</v>
      </c>
      <c r="AX98" s="105">
        <v>17.745436778730056</v>
      </c>
      <c r="AY98" s="105">
        <v>14437.687363174775</v>
      </c>
      <c r="AZ98" s="105">
        <v>15.365311114424744</v>
      </c>
      <c r="BA98" s="105">
        <v>12501.217122695973</v>
      </c>
      <c r="BB98" s="105">
        <v>23.923031564177059</v>
      </c>
      <c r="BC98" s="105">
        <v>19463.778480614455</v>
      </c>
      <c r="BD98" s="105">
        <v>13</v>
      </c>
      <c r="BE98" s="105">
        <v>10576.800000000001</v>
      </c>
      <c r="BF98" s="105">
        <v>18</v>
      </c>
      <c r="BG98" s="105">
        <v>14644.800000000001</v>
      </c>
      <c r="BH98" s="105">
        <v>21.939521505377769</v>
      </c>
      <c r="BI98" s="105">
        <v>17849.994696775353</v>
      </c>
      <c r="BJ98" s="105">
        <v>17.905898531247001</v>
      </c>
      <c r="BK98" s="105">
        <v>14568.239045022559</v>
      </c>
      <c r="BL98" s="105">
        <v>15</v>
      </c>
      <c r="BM98" s="105">
        <v>12204</v>
      </c>
      <c r="BN98" s="105">
        <v>15.639135617549394</v>
      </c>
      <c r="BO98" s="105">
        <v>12724.000738438188</v>
      </c>
      <c r="BP98" s="105">
        <v>21.867995644139388</v>
      </c>
      <c r="BQ98" s="105">
        <v>17791.801256071805</v>
      </c>
      <c r="BR98" s="105">
        <v>19.143992216507137</v>
      </c>
      <c r="BS98" s="105">
        <v>15575.552067350207</v>
      </c>
      <c r="BT98" s="105">
        <v>17</v>
      </c>
      <c r="BU98" s="105">
        <v>13831.2</v>
      </c>
      <c r="BV98" s="105">
        <v>17</v>
      </c>
      <c r="BW98" s="105">
        <v>13831.2</v>
      </c>
      <c r="BX98" s="105">
        <v>25</v>
      </c>
      <c r="BY98" s="105">
        <v>20340</v>
      </c>
      <c r="BZ98" s="105">
        <v>22.592265673436188</v>
      </c>
      <c r="CA98" s="105">
        <v>18381.067351907684</v>
      </c>
      <c r="CB98" s="105">
        <v>15.487082608805622</v>
      </c>
      <c r="CC98" s="105">
        <v>12600.290410524254</v>
      </c>
      <c r="CD98" s="105">
        <v>15</v>
      </c>
      <c r="CE98" s="105">
        <v>12204</v>
      </c>
      <c r="CF98" s="105">
        <v>18</v>
      </c>
      <c r="CG98" s="105">
        <v>14644.800000000001</v>
      </c>
      <c r="CH98" s="105">
        <v>17</v>
      </c>
      <c r="CI98" s="105">
        <v>13831.2</v>
      </c>
      <c r="CJ98" s="105">
        <v>20</v>
      </c>
      <c r="CK98" s="105">
        <v>16272</v>
      </c>
      <c r="CL98" s="105">
        <v>16.303663884748378</v>
      </c>
      <c r="CM98" s="105">
        <v>13264.66093663128</v>
      </c>
      <c r="CN98" s="105">
        <v>18.155980912968328</v>
      </c>
      <c r="CO98" s="105">
        <v>14771.706070791031</v>
      </c>
      <c r="CP98" s="105">
        <v>17.990564871897575</v>
      </c>
      <c r="CQ98" s="105">
        <v>14637.123579775867</v>
      </c>
      <c r="CR98" s="105">
        <v>20.741415769741241</v>
      </c>
      <c r="CS98" s="105">
        <v>16875.215870261476</v>
      </c>
      <c r="CT98" s="105">
        <v>16.175860025812508</v>
      </c>
      <c r="CU98" s="105">
        <v>13160.679717001056</v>
      </c>
    </row>
    <row r="99" spans="2:99" x14ac:dyDescent="0.2">
      <c r="C99" s="104" t="s">
        <v>265</v>
      </c>
      <c r="D99" s="105">
        <v>12</v>
      </c>
      <c r="E99" s="105">
        <v>46598.399999999994</v>
      </c>
      <c r="F99" s="105">
        <v>9</v>
      </c>
      <c r="G99" s="105">
        <v>34948.799999999996</v>
      </c>
      <c r="H99" s="105">
        <v>17</v>
      </c>
      <c r="I99" s="105">
        <v>66014.399999999994</v>
      </c>
      <c r="J99" s="105">
        <v>11</v>
      </c>
      <c r="K99" s="105">
        <v>42715.199999999997</v>
      </c>
      <c r="L99" s="105">
        <v>17</v>
      </c>
      <c r="M99" s="105">
        <v>66014.399999999994</v>
      </c>
      <c r="N99" s="105">
        <v>12.797567433715756</v>
      </c>
      <c r="O99" s="105">
        <v>49695.513858605023</v>
      </c>
      <c r="P99" s="105">
        <v>10</v>
      </c>
      <c r="Q99" s="105">
        <v>38832</v>
      </c>
      <c r="R99" s="105">
        <v>15</v>
      </c>
      <c r="S99" s="105">
        <v>58248</v>
      </c>
      <c r="T99" s="105">
        <v>14</v>
      </c>
      <c r="U99" s="105">
        <v>54364.799999999996</v>
      </c>
      <c r="V99" s="105">
        <v>15.764895204228516</v>
      </c>
      <c r="W99" s="105">
        <v>61218.241057060171</v>
      </c>
      <c r="X99" s="105">
        <v>15.563576833019606</v>
      </c>
      <c r="Y99" s="105">
        <v>60436.48155798173</v>
      </c>
      <c r="Z99" s="105">
        <v>11</v>
      </c>
      <c r="AA99" s="105">
        <v>42715.199999999997</v>
      </c>
      <c r="AB99" s="105">
        <v>13.678047175852074</v>
      </c>
      <c r="AC99" s="105">
        <v>53114.59279326877</v>
      </c>
      <c r="AD99" s="105">
        <v>14.511983803761524</v>
      </c>
      <c r="AE99" s="105">
        <v>56352.935506766749</v>
      </c>
      <c r="AF99" s="105">
        <v>12</v>
      </c>
      <c r="AG99" s="105">
        <v>46598.399999999994</v>
      </c>
      <c r="AH99" s="105">
        <v>14</v>
      </c>
      <c r="AI99" s="105">
        <v>54364.799999999996</v>
      </c>
      <c r="AJ99" s="105">
        <v>11</v>
      </c>
      <c r="AK99" s="105">
        <v>42715.199999999997</v>
      </c>
      <c r="AL99" s="105">
        <v>13.921403860062124</v>
      </c>
      <c r="AM99" s="105">
        <v>54059.595469393236</v>
      </c>
      <c r="AN99" s="105">
        <v>15.184573783668776</v>
      </c>
      <c r="AO99" s="105">
        <v>58964.736916742593</v>
      </c>
      <c r="AP99" s="105">
        <v>11.889395690017531</v>
      </c>
      <c r="AQ99" s="105">
        <v>46168.901343476078</v>
      </c>
      <c r="AR99" s="105">
        <v>11.737454531039671</v>
      </c>
      <c r="AS99" s="105">
        <v>45578.883434933246</v>
      </c>
      <c r="AT99" s="105">
        <v>11.501235633948086</v>
      </c>
      <c r="AU99" s="105">
        <v>44661.598213747209</v>
      </c>
      <c r="AV99" s="105">
        <v>16</v>
      </c>
      <c r="AW99" s="105">
        <v>62131.199999999997</v>
      </c>
      <c r="AX99" s="105">
        <v>13.309077584047541</v>
      </c>
      <c r="AY99" s="105">
        <v>51681.81007437341</v>
      </c>
      <c r="AZ99" s="105">
        <v>10.243540742949827</v>
      </c>
      <c r="BA99" s="105">
        <v>39777.717413022765</v>
      </c>
      <c r="BB99" s="105">
        <v>15.310740201073317</v>
      </c>
      <c r="BC99" s="105">
        <v>59454.666348807899</v>
      </c>
      <c r="BD99" s="105">
        <v>9</v>
      </c>
      <c r="BE99" s="105">
        <v>34948.799999999996</v>
      </c>
      <c r="BF99" s="105">
        <v>12</v>
      </c>
      <c r="BG99" s="105">
        <v>46598.399999999994</v>
      </c>
      <c r="BH99" s="105">
        <v>16.454641129033327</v>
      </c>
      <c r="BI99" s="105">
        <v>63896.662432262208</v>
      </c>
      <c r="BJ99" s="105">
        <v>13.23479456657387</v>
      </c>
      <c r="BK99" s="105">
        <v>51393.354260919645</v>
      </c>
      <c r="BL99" s="105">
        <v>9</v>
      </c>
      <c r="BM99" s="105">
        <v>34948.799999999996</v>
      </c>
      <c r="BN99" s="105">
        <v>11.294931279341229</v>
      </c>
      <c r="BO99" s="105">
        <v>43860.47714393786</v>
      </c>
      <c r="BP99" s="105">
        <v>16.82153511087645</v>
      </c>
      <c r="BQ99" s="105">
        <v>65321.385142555431</v>
      </c>
      <c r="BR99" s="105">
        <v>15.497517508601016</v>
      </c>
      <c r="BS99" s="105">
        <v>60179.95998939946</v>
      </c>
      <c r="BT99" s="105">
        <v>14</v>
      </c>
      <c r="BU99" s="105">
        <v>54364.799999999996</v>
      </c>
      <c r="BV99" s="105">
        <v>11</v>
      </c>
      <c r="BW99" s="105">
        <v>42715.199999999997</v>
      </c>
      <c r="BX99" s="105">
        <v>19</v>
      </c>
      <c r="BY99" s="105">
        <v>73780.800000000003</v>
      </c>
      <c r="BZ99" s="105">
        <v>13.033999426982414</v>
      </c>
      <c r="CA99" s="105">
        <v>50613.626574858106</v>
      </c>
      <c r="CB99" s="105">
        <v>10.932058312098086</v>
      </c>
      <c r="CC99" s="105">
        <v>42451.368837539281</v>
      </c>
      <c r="CD99" s="105">
        <v>12</v>
      </c>
      <c r="CE99" s="105">
        <v>46598.399999999994</v>
      </c>
      <c r="CF99" s="105">
        <v>12</v>
      </c>
      <c r="CG99" s="105">
        <v>46598.399999999994</v>
      </c>
      <c r="CH99" s="105">
        <v>12</v>
      </c>
      <c r="CI99" s="105">
        <v>46598.399999999994</v>
      </c>
      <c r="CJ99" s="105">
        <v>13</v>
      </c>
      <c r="CK99" s="105">
        <v>50481.599999999999</v>
      </c>
      <c r="CL99" s="105">
        <v>12.871313593222403</v>
      </c>
      <c r="CM99" s="105">
        <v>49981.884945201236</v>
      </c>
      <c r="CN99" s="105">
        <v>13.419638066107023</v>
      </c>
      <c r="CO99" s="105">
        <v>52111.13853830679</v>
      </c>
      <c r="CP99" s="105">
        <v>11.993709914598382</v>
      </c>
      <c r="CQ99" s="105">
        <v>46573.974340368433</v>
      </c>
      <c r="CR99" s="105">
        <v>13.827610513160826</v>
      </c>
      <c r="CS99" s="105">
        <v>53695.377144706115</v>
      </c>
      <c r="CT99" s="105">
        <v>11.418254135867652</v>
      </c>
      <c r="CU99" s="105">
        <v>44339.364460401266</v>
      </c>
    </row>
    <row r="100" spans="2:99" x14ac:dyDescent="0.2">
      <c r="C100" s="104" t="s">
        <v>266</v>
      </c>
      <c r="D100" s="105">
        <v>19</v>
      </c>
      <c r="E100" s="105">
        <v>10510.8</v>
      </c>
      <c r="F100" s="105">
        <v>13</v>
      </c>
      <c r="G100" s="105">
        <v>7191.5999999999995</v>
      </c>
      <c r="H100" s="105">
        <v>26</v>
      </c>
      <c r="I100" s="105">
        <v>14383.199999999999</v>
      </c>
      <c r="J100" s="105">
        <v>18</v>
      </c>
      <c r="K100" s="105">
        <v>9957.5999999999985</v>
      </c>
      <c r="L100" s="105">
        <v>25</v>
      </c>
      <c r="M100" s="105">
        <v>13829.999999999998</v>
      </c>
      <c r="N100" s="105">
        <v>16.735280490243682</v>
      </c>
      <c r="O100" s="105">
        <v>9257.9571672028032</v>
      </c>
      <c r="P100" s="105">
        <v>14</v>
      </c>
      <c r="Q100" s="105">
        <v>7744.7999999999993</v>
      </c>
      <c r="R100" s="105">
        <v>23</v>
      </c>
      <c r="S100" s="105">
        <v>12723.599999999999</v>
      </c>
      <c r="T100" s="105">
        <v>18</v>
      </c>
      <c r="U100" s="105">
        <v>9957.5999999999985</v>
      </c>
      <c r="V100" s="105">
        <v>21.895687783650715</v>
      </c>
      <c r="W100" s="105">
        <v>12112.694481915574</v>
      </c>
      <c r="X100" s="105">
        <v>21.297526192553146</v>
      </c>
      <c r="Y100" s="105">
        <v>11781.791489720399</v>
      </c>
      <c r="Z100" s="105">
        <v>14</v>
      </c>
      <c r="AA100" s="105">
        <v>7744.7999999999993</v>
      </c>
      <c r="AB100" s="105">
        <v>19.149266046192903</v>
      </c>
      <c r="AC100" s="105">
        <v>10593.373976753912</v>
      </c>
      <c r="AD100" s="105">
        <v>20.622292773766375</v>
      </c>
      <c r="AE100" s="105">
        <v>11408.252362447558</v>
      </c>
      <c r="AF100" s="105">
        <v>17</v>
      </c>
      <c r="AG100" s="105">
        <v>9404.4</v>
      </c>
      <c r="AH100" s="105">
        <v>20</v>
      </c>
      <c r="AI100" s="105">
        <v>11063.999999999998</v>
      </c>
      <c r="AJ100" s="105">
        <v>17</v>
      </c>
      <c r="AK100" s="105">
        <v>9404.4</v>
      </c>
      <c r="AL100" s="105">
        <v>22.274246176099396</v>
      </c>
      <c r="AM100" s="105">
        <v>12322.112984618185</v>
      </c>
      <c r="AN100" s="105">
        <v>22.776860675503166</v>
      </c>
      <c r="AO100" s="105">
        <v>12600.15932568835</v>
      </c>
      <c r="AP100" s="105">
        <v>17.376809085410237</v>
      </c>
      <c r="AQ100" s="105">
        <v>9612.8507860489426</v>
      </c>
      <c r="AR100" s="105">
        <v>17.154741237673363</v>
      </c>
      <c r="AS100" s="105">
        <v>9490.0028526809037</v>
      </c>
      <c r="AT100" s="105">
        <v>18.073370281918422</v>
      </c>
      <c r="AU100" s="105">
        <v>9998.18843995727</v>
      </c>
      <c r="AV100" s="105">
        <v>21</v>
      </c>
      <c r="AW100" s="105">
        <v>11617.199999999999</v>
      </c>
      <c r="AX100" s="105">
        <v>19.963616376071311</v>
      </c>
      <c r="AY100" s="105">
        <v>11043.872579242648</v>
      </c>
      <c r="AZ100" s="105">
        <v>14.725089817990376</v>
      </c>
      <c r="BA100" s="105">
        <v>8145.9196873122755</v>
      </c>
      <c r="BB100" s="105">
        <v>23.923031564177059</v>
      </c>
      <c r="BC100" s="105">
        <v>13234.221061302747</v>
      </c>
      <c r="BD100" s="105">
        <v>15</v>
      </c>
      <c r="BE100" s="105">
        <v>8297.9999999999982</v>
      </c>
      <c r="BF100" s="105">
        <v>16</v>
      </c>
      <c r="BG100" s="105">
        <v>8851.1999999999989</v>
      </c>
      <c r="BH100" s="105">
        <v>25.596108422940731</v>
      </c>
      <c r="BI100" s="105">
        <v>14159.76717957081</v>
      </c>
      <c r="BJ100" s="105">
        <v>19.462933186138045</v>
      </c>
      <c r="BK100" s="105">
        <v>10766.894638571564</v>
      </c>
      <c r="BL100" s="105">
        <v>15</v>
      </c>
      <c r="BM100" s="105">
        <v>8297.9999999999982</v>
      </c>
      <c r="BN100" s="105">
        <v>15.639135617549394</v>
      </c>
      <c r="BO100" s="105">
        <v>8651.5698236283242</v>
      </c>
      <c r="BP100" s="105">
        <v>22.709072399683212</v>
      </c>
      <c r="BQ100" s="105">
        <v>12562.658851504752</v>
      </c>
      <c r="BR100" s="105">
        <v>20.967229570460194</v>
      </c>
      <c r="BS100" s="105">
        <v>11599.071398378577</v>
      </c>
      <c r="BT100" s="105">
        <v>21</v>
      </c>
      <c r="BU100" s="105">
        <v>11617.199999999999</v>
      </c>
      <c r="BV100" s="105">
        <v>17</v>
      </c>
      <c r="BW100" s="105">
        <v>9404.4</v>
      </c>
      <c r="BX100" s="105">
        <v>25</v>
      </c>
      <c r="BY100" s="105">
        <v>13829.999999999998</v>
      </c>
      <c r="BZ100" s="105">
        <v>19.985465788039701</v>
      </c>
      <c r="CA100" s="105">
        <v>11055.959673943562</v>
      </c>
      <c r="CB100" s="105">
        <v>16.398087468147128</v>
      </c>
      <c r="CC100" s="105">
        <v>9071.4219873789898</v>
      </c>
      <c r="CD100" s="105">
        <v>16</v>
      </c>
      <c r="CE100" s="105">
        <v>8851.1999999999989</v>
      </c>
      <c r="CF100" s="105">
        <v>17</v>
      </c>
      <c r="CG100" s="105">
        <v>9404.4</v>
      </c>
      <c r="CH100" s="105">
        <v>19</v>
      </c>
      <c r="CI100" s="105">
        <v>10510.8</v>
      </c>
      <c r="CJ100" s="105">
        <v>20</v>
      </c>
      <c r="CK100" s="105">
        <v>11063.999999999998</v>
      </c>
      <c r="CL100" s="105">
        <v>18.019839030511367</v>
      </c>
      <c r="CM100" s="105">
        <v>9968.5749516788874</v>
      </c>
      <c r="CN100" s="105">
        <v>17.366590438491443</v>
      </c>
      <c r="CO100" s="105">
        <v>9607.1978305734647</v>
      </c>
      <c r="CP100" s="105">
        <v>18.740171741559976</v>
      </c>
      <c r="CQ100" s="105">
        <v>10367.063007430977</v>
      </c>
      <c r="CR100" s="105">
        <v>23.334092740958894</v>
      </c>
      <c r="CS100" s="105">
        <v>12908.420104298459</v>
      </c>
      <c r="CT100" s="105">
        <v>14.272817669834565</v>
      </c>
      <c r="CU100" s="105">
        <v>7895.7227349524801</v>
      </c>
    </row>
    <row r="101" spans="2:99" x14ac:dyDescent="0.2">
      <c r="C101" s="104" t="s">
        <v>267</v>
      </c>
      <c r="D101" s="105">
        <v>15.631468222934203</v>
      </c>
      <c r="E101" s="105">
        <v>13318.010925939941</v>
      </c>
      <c r="F101" s="105">
        <v>12.348073109692995</v>
      </c>
      <c r="G101" s="105">
        <v>10520.558289458431</v>
      </c>
      <c r="H101" s="105">
        <v>18.244531724716492</v>
      </c>
      <c r="I101" s="105">
        <v>15544.34102945845</v>
      </c>
      <c r="J101" s="105">
        <v>12.892334055302594</v>
      </c>
      <c r="K101" s="105">
        <v>10984.268615117811</v>
      </c>
      <c r="L101" s="105">
        <v>17.284034829745195</v>
      </c>
      <c r="M101" s="105">
        <v>14725.997674942906</v>
      </c>
      <c r="N101" s="105">
        <v>14.319843393746037</v>
      </c>
      <c r="O101" s="105">
        <v>12200.506571471624</v>
      </c>
      <c r="P101" s="105">
        <v>14.959757511358029</v>
      </c>
      <c r="Q101" s="105">
        <v>12745.713399677041</v>
      </c>
      <c r="R101" s="105">
        <v>20.604769956682304</v>
      </c>
      <c r="S101" s="105">
        <v>17555.264003093322</v>
      </c>
      <c r="T101" s="105">
        <v>13.313954753925326</v>
      </c>
      <c r="U101" s="105">
        <v>11343.489450344377</v>
      </c>
      <c r="V101" s="105">
        <v>16.540203924325191</v>
      </c>
      <c r="W101" s="105">
        <v>14092.253743525062</v>
      </c>
      <c r="X101" s="105">
        <v>19.791434968379786</v>
      </c>
      <c r="Y101" s="105">
        <v>16862.302593059576</v>
      </c>
      <c r="Z101" s="105">
        <v>13.274464727420359</v>
      </c>
      <c r="AA101" s="105">
        <v>11309.843947762145</v>
      </c>
      <c r="AB101" s="105">
        <v>15.98826099618408</v>
      </c>
      <c r="AC101" s="105">
        <v>13621.998368748837</v>
      </c>
      <c r="AD101" s="105">
        <v>22.265237364084044</v>
      </c>
      <c r="AE101" s="105">
        <v>18969.982234199604</v>
      </c>
      <c r="AF101" s="105">
        <v>13.424412199540942</v>
      </c>
      <c r="AG101" s="105">
        <v>11437.599194008882</v>
      </c>
      <c r="AH101" s="105">
        <v>17.183218797025045</v>
      </c>
      <c r="AI101" s="105">
        <v>14640.102415065339</v>
      </c>
      <c r="AJ101" s="105">
        <v>14.560556254943604</v>
      </c>
      <c r="AK101" s="105">
        <v>12405.593929211951</v>
      </c>
      <c r="AL101" s="105">
        <v>16.751448638083108</v>
      </c>
      <c r="AM101" s="105">
        <v>14272.234239646808</v>
      </c>
      <c r="AN101" s="105">
        <v>17.023122701886535</v>
      </c>
      <c r="AO101" s="105">
        <v>14503.700542007327</v>
      </c>
      <c r="AP101" s="105">
        <v>16.415825291958612</v>
      </c>
      <c r="AQ101" s="105">
        <v>13986.283148748736</v>
      </c>
      <c r="AR101" s="105">
        <v>12.865796328864526</v>
      </c>
      <c r="AS101" s="105">
        <v>10961.658472192576</v>
      </c>
      <c r="AT101" s="105">
        <v>14.237517260986111</v>
      </c>
      <c r="AU101" s="105">
        <v>12130.364706360167</v>
      </c>
      <c r="AV101" s="105">
        <v>22.032373640236418</v>
      </c>
      <c r="AW101" s="105">
        <v>18771.582341481429</v>
      </c>
      <c r="AX101" s="105">
        <v>15.447048095395441</v>
      </c>
      <c r="AY101" s="105">
        <v>13160.884977276915</v>
      </c>
      <c r="AZ101" s="105">
        <v>18.712086657544667</v>
      </c>
      <c r="BA101" s="105">
        <v>15942.697832228056</v>
      </c>
      <c r="BB101" s="105">
        <v>14.229709627877851</v>
      </c>
      <c r="BC101" s="105">
        <v>12123.71260295193</v>
      </c>
      <c r="BD101" s="105">
        <v>12.892983325779868</v>
      </c>
      <c r="BE101" s="105">
        <v>10984.821793564448</v>
      </c>
      <c r="BF101" s="105">
        <v>12.749200566296597</v>
      </c>
      <c r="BG101" s="105">
        <v>10862.3188824847</v>
      </c>
      <c r="BH101" s="105">
        <v>16.184692628112074</v>
      </c>
      <c r="BI101" s="105">
        <v>13789.358119151488</v>
      </c>
      <c r="BJ101" s="105">
        <v>15.066834672601836</v>
      </c>
      <c r="BK101" s="105">
        <v>12836.943141056763</v>
      </c>
      <c r="BL101" s="105">
        <v>9.5721322332141714</v>
      </c>
      <c r="BM101" s="105">
        <v>8155.4566626984742</v>
      </c>
      <c r="BN101" s="105">
        <v>13.767920062861849</v>
      </c>
      <c r="BO101" s="105">
        <v>11730.267893558295</v>
      </c>
      <c r="BP101" s="105">
        <v>21.942453331411169</v>
      </c>
      <c r="BQ101" s="105">
        <v>18694.970238362315</v>
      </c>
      <c r="BR101" s="105">
        <v>18.994167874404933</v>
      </c>
      <c r="BS101" s="105">
        <v>16183.031028993004</v>
      </c>
      <c r="BT101" s="105">
        <v>14.567233080779179</v>
      </c>
      <c r="BU101" s="105">
        <v>12411.282584823861</v>
      </c>
      <c r="BV101" s="105">
        <v>13.689411018188164</v>
      </c>
      <c r="BW101" s="105">
        <v>11663.378187496315</v>
      </c>
      <c r="BX101" s="105">
        <v>17.711136405933647</v>
      </c>
      <c r="BY101" s="105">
        <v>15089.888217855467</v>
      </c>
      <c r="BZ101" s="105">
        <v>23.171909613882406</v>
      </c>
      <c r="CA101" s="105">
        <v>19742.46699102781</v>
      </c>
      <c r="CB101" s="105">
        <v>11.272526604744264</v>
      </c>
      <c r="CC101" s="105">
        <v>9604.1926672421141</v>
      </c>
      <c r="CD101" s="105">
        <v>13.161022306920437</v>
      </c>
      <c r="CE101" s="105">
        <v>11213.191005496212</v>
      </c>
      <c r="CF101" s="105">
        <v>15.456687669794784</v>
      </c>
      <c r="CG101" s="105">
        <v>13169.097894665156</v>
      </c>
      <c r="CH101" s="105">
        <v>18.900516040571723</v>
      </c>
      <c r="CI101" s="105">
        <v>16103.239666567108</v>
      </c>
      <c r="CJ101" s="105">
        <v>15.58190208735458</v>
      </c>
      <c r="CK101" s="105">
        <v>13275.780578426102</v>
      </c>
      <c r="CL101" s="105">
        <v>15.468031982045625</v>
      </c>
      <c r="CM101" s="105">
        <v>13178.763248702873</v>
      </c>
      <c r="CN101" s="105">
        <v>16.641010976725962</v>
      </c>
      <c r="CO101" s="105">
        <v>14178.14135217052</v>
      </c>
      <c r="CP101" s="105">
        <v>15.174700934494147</v>
      </c>
      <c r="CQ101" s="105">
        <v>12928.845196189013</v>
      </c>
      <c r="CR101" s="105">
        <v>20.932083035525011</v>
      </c>
      <c r="CS101" s="105">
        <v>17834.134746267307</v>
      </c>
      <c r="CT101" s="105">
        <v>14.139234856428809</v>
      </c>
      <c r="CU101" s="105">
        <v>12046.628097677345</v>
      </c>
    </row>
    <row r="102" spans="2:99" x14ac:dyDescent="0.2">
      <c r="C102" s="104" t="s">
        <v>268</v>
      </c>
      <c r="D102" s="105">
        <v>19</v>
      </c>
      <c r="E102" s="105">
        <v>1162.8</v>
      </c>
      <c r="F102" s="105">
        <v>14</v>
      </c>
      <c r="G102" s="105">
        <v>856.8</v>
      </c>
      <c r="H102" s="105">
        <v>26</v>
      </c>
      <c r="I102" s="105">
        <v>1591.1999999999998</v>
      </c>
      <c r="J102" s="105">
        <v>18</v>
      </c>
      <c r="K102" s="105">
        <v>1101.5999999999999</v>
      </c>
      <c r="L102" s="105">
        <v>24</v>
      </c>
      <c r="M102" s="105">
        <v>1468.8</v>
      </c>
      <c r="N102" s="105">
        <v>18.704137018507641</v>
      </c>
      <c r="O102" s="105">
        <v>1144.6931855326675</v>
      </c>
      <c r="P102" s="105">
        <v>14</v>
      </c>
      <c r="Q102" s="105">
        <v>856.8</v>
      </c>
      <c r="R102" s="105">
        <v>24</v>
      </c>
      <c r="S102" s="105">
        <v>1468.8</v>
      </c>
      <c r="T102" s="105">
        <v>22</v>
      </c>
      <c r="U102" s="105">
        <v>1346.3999999999999</v>
      </c>
      <c r="V102" s="105">
        <v>24.523170317688802</v>
      </c>
      <c r="W102" s="105">
        <v>1500.8180234425545</v>
      </c>
      <c r="X102" s="105">
        <v>23.754933060924664</v>
      </c>
      <c r="Y102" s="105">
        <v>1453.8019033285893</v>
      </c>
      <c r="Z102" s="105">
        <v>15</v>
      </c>
      <c r="AA102" s="105">
        <v>917.99999999999989</v>
      </c>
      <c r="AB102" s="105">
        <v>19.149266046192903</v>
      </c>
      <c r="AC102" s="105">
        <v>1171.9350820270056</v>
      </c>
      <c r="AD102" s="105">
        <v>19.858504152515771</v>
      </c>
      <c r="AE102" s="105">
        <v>1215.3404541339651</v>
      </c>
      <c r="AF102" s="105">
        <v>17</v>
      </c>
      <c r="AG102" s="105">
        <v>1040.3999999999999</v>
      </c>
      <c r="AH102" s="105">
        <v>20</v>
      </c>
      <c r="AI102" s="105">
        <v>1224</v>
      </c>
      <c r="AJ102" s="105">
        <v>16</v>
      </c>
      <c r="AK102" s="105">
        <v>979.19999999999993</v>
      </c>
      <c r="AL102" s="105">
        <v>20.422489207055548</v>
      </c>
      <c r="AM102" s="105">
        <v>1249.8563394717994</v>
      </c>
      <c r="AN102" s="105">
        <v>23.620448107929207</v>
      </c>
      <c r="AO102" s="105">
        <v>1445.5714242052672</v>
      </c>
      <c r="AP102" s="105">
        <v>16.462240186178121</v>
      </c>
      <c r="AQ102" s="105">
        <v>1007.489099394101</v>
      </c>
      <c r="AR102" s="105">
        <v>16.251860119901082</v>
      </c>
      <c r="AS102" s="105">
        <v>994.61383933794616</v>
      </c>
      <c r="AT102" s="105">
        <v>19.716403943911004</v>
      </c>
      <c r="AU102" s="105">
        <v>1206.6439213673534</v>
      </c>
      <c r="AV102" s="105">
        <v>24</v>
      </c>
      <c r="AW102" s="105">
        <v>1468.8</v>
      </c>
      <c r="AX102" s="105">
        <v>19.224223176957562</v>
      </c>
      <c r="AY102" s="105">
        <v>1176.5224584298028</v>
      </c>
      <c r="AZ102" s="105">
        <v>15.365311114424744</v>
      </c>
      <c r="BA102" s="105">
        <v>940.35704020279422</v>
      </c>
      <c r="BB102" s="105">
        <v>21.052267776475812</v>
      </c>
      <c r="BC102" s="105">
        <v>1288.3987879203196</v>
      </c>
      <c r="BD102" s="105">
        <v>14</v>
      </c>
      <c r="BE102" s="105">
        <v>856.8</v>
      </c>
      <c r="BF102" s="105">
        <v>19</v>
      </c>
      <c r="BG102" s="105">
        <v>1162.8</v>
      </c>
      <c r="BH102" s="105">
        <v>26.515215861594534</v>
      </c>
      <c r="BI102" s="105">
        <v>1622.7312107295854</v>
      </c>
      <c r="BJ102" s="105">
        <v>21.79848516847461</v>
      </c>
      <c r="BK102" s="105">
        <v>1334.0672923106461</v>
      </c>
      <c r="BL102" s="105">
        <v>15</v>
      </c>
      <c r="BM102" s="105">
        <v>917.99999999999989</v>
      </c>
      <c r="BN102" s="105">
        <v>19.114499088115927</v>
      </c>
      <c r="BO102" s="105">
        <v>1169.8073441926947</v>
      </c>
      <c r="BP102" s="105">
        <v>25.232302666314677</v>
      </c>
      <c r="BQ102" s="105">
        <v>1544.216923178458</v>
      </c>
      <c r="BR102" s="105">
        <v>23.70208560138979</v>
      </c>
      <c r="BS102" s="105">
        <v>1450.5676388050551</v>
      </c>
      <c r="BT102" s="105">
        <v>23</v>
      </c>
      <c r="BU102" s="105">
        <v>1407.6</v>
      </c>
      <c r="BV102" s="105">
        <v>21</v>
      </c>
      <c r="BW102" s="105">
        <v>1285.1999999999998</v>
      </c>
      <c r="BX102" s="105">
        <v>24</v>
      </c>
      <c r="BY102" s="105">
        <v>1468.8</v>
      </c>
      <c r="BZ102" s="105">
        <v>22.592265673436188</v>
      </c>
      <c r="CA102" s="105">
        <v>1382.6466592142947</v>
      </c>
      <c r="CB102" s="105">
        <v>18.220097186830142</v>
      </c>
      <c r="CC102" s="105">
        <v>1115.0699478340046</v>
      </c>
      <c r="CD102" s="105">
        <v>18</v>
      </c>
      <c r="CE102" s="105">
        <v>1101.5999999999999</v>
      </c>
      <c r="CF102" s="105">
        <v>21</v>
      </c>
      <c r="CG102" s="105">
        <v>1285.1999999999998</v>
      </c>
      <c r="CH102" s="105">
        <v>20</v>
      </c>
      <c r="CI102" s="105">
        <v>1224</v>
      </c>
      <c r="CJ102" s="105">
        <v>22</v>
      </c>
      <c r="CK102" s="105">
        <v>1346.3999999999999</v>
      </c>
      <c r="CL102" s="105">
        <v>20.594101749155847</v>
      </c>
      <c r="CM102" s="105">
        <v>1260.3590270483378</v>
      </c>
      <c r="CN102" s="105">
        <v>18.155980912968328</v>
      </c>
      <c r="CO102" s="105">
        <v>1111.1460318736615</v>
      </c>
      <c r="CP102" s="105">
        <v>17.990564871897575</v>
      </c>
      <c r="CQ102" s="105">
        <v>1101.0225701601316</v>
      </c>
      <c r="CR102" s="105">
        <v>23.334092740958894</v>
      </c>
      <c r="CS102" s="105">
        <v>1428.0464757466843</v>
      </c>
      <c r="CT102" s="105">
        <v>15.224338847823535</v>
      </c>
      <c r="CU102" s="105">
        <v>931.72953748680027</v>
      </c>
    </row>
    <row r="103" spans="2:99" x14ac:dyDescent="0.2">
      <c r="C103" s="104" t="s">
        <v>269</v>
      </c>
      <c r="D103" s="105">
        <v>20</v>
      </c>
      <c r="E103" s="105">
        <v>2496</v>
      </c>
      <c r="F103" s="105">
        <v>14</v>
      </c>
      <c r="G103" s="105">
        <v>1747.2</v>
      </c>
      <c r="H103" s="105">
        <v>24</v>
      </c>
      <c r="I103" s="105">
        <v>2995.2</v>
      </c>
      <c r="J103" s="105">
        <v>17</v>
      </c>
      <c r="K103" s="105">
        <v>2121.6</v>
      </c>
      <c r="L103" s="105">
        <v>23</v>
      </c>
      <c r="M103" s="105">
        <v>2870.4</v>
      </c>
      <c r="N103" s="105">
        <v>18.704137018507641</v>
      </c>
      <c r="O103" s="105">
        <v>2334.2762999097536</v>
      </c>
      <c r="P103" s="105">
        <v>15</v>
      </c>
      <c r="Q103" s="105">
        <v>1872</v>
      </c>
      <c r="R103" s="105">
        <v>23</v>
      </c>
      <c r="S103" s="105">
        <v>2870.4</v>
      </c>
      <c r="T103" s="105">
        <v>20</v>
      </c>
      <c r="U103" s="105">
        <v>2496</v>
      </c>
      <c r="V103" s="105">
        <v>25.39899782903483</v>
      </c>
      <c r="W103" s="105">
        <v>3169.7949290635465</v>
      </c>
      <c r="X103" s="105">
        <v>20.478390569762642</v>
      </c>
      <c r="Y103" s="105">
        <v>2555.7031431063774</v>
      </c>
      <c r="Z103" s="105">
        <v>14</v>
      </c>
      <c r="AA103" s="105">
        <v>1747.2</v>
      </c>
      <c r="AB103" s="105">
        <v>20.973005669639846</v>
      </c>
      <c r="AC103" s="105">
        <v>2617.431107571053</v>
      </c>
      <c r="AD103" s="105">
        <v>20.622292773766375</v>
      </c>
      <c r="AE103" s="105">
        <v>2573.6621381660434</v>
      </c>
      <c r="AF103" s="105">
        <v>17</v>
      </c>
      <c r="AG103" s="105">
        <v>2121.6</v>
      </c>
      <c r="AH103" s="105">
        <v>20</v>
      </c>
      <c r="AI103" s="105">
        <v>2496</v>
      </c>
      <c r="AJ103" s="105">
        <v>16</v>
      </c>
      <c r="AK103" s="105">
        <v>1996.8</v>
      </c>
      <c r="AL103" s="105">
        <v>22.278454877782281</v>
      </c>
      <c r="AM103" s="105">
        <v>2780.3511687472287</v>
      </c>
      <c r="AN103" s="105">
        <v>24.464035540355251</v>
      </c>
      <c r="AO103" s="105">
        <v>3053.1116354363353</v>
      </c>
      <c r="AP103" s="105">
        <v>15.547671286946002</v>
      </c>
      <c r="AQ103" s="105">
        <v>1940.3493766108611</v>
      </c>
      <c r="AR103" s="105">
        <v>18.96050347321793</v>
      </c>
      <c r="AS103" s="105">
        <v>2366.2708334575977</v>
      </c>
      <c r="AT103" s="105">
        <v>18.894887112914709</v>
      </c>
      <c r="AU103" s="105">
        <v>2358.0819116917555</v>
      </c>
      <c r="AV103" s="105">
        <v>25</v>
      </c>
      <c r="AW103" s="105">
        <v>3120</v>
      </c>
      <c r="AX103" s="105">
        <v>19.963616376071311</v>
      </c>
      <c r="AY103" s="105">
        <v>2491.4593237336994</v>
      </c>
      <c r="AZ103" s="105">
        <v>15.365311114424744</v>
      </c>
      <c r="BA103" s="105">
        <v>1917.5908270802079</v>
      </c>
      <c r="BB103" s="105">
        <v>21.052267776475812</v>
      </c>
      <c r="BC103" s="105">
        <v>2627.3230185041812</v>
      </c>
      <c r="BD103" s="105">
        <v>16</v>
      </c>
      <c r="BE103" s="105">
        <v>1996.8</v>
      </c>
      <c r="BF103" s="105">
        <v>19</v>
      </c>
      <c r="BG103" s="105">
        <v>2371.1999999999998</v>
      </c>
      <c r="BH103" s="105">
        <v>26.510255152331471</v>
      </c>
      <c r="BI103" s="105">
        <v>3308.4798430109677</v>
      </c>
      <c r="BJ103" s="105">
        <v>17.905898531247001</v>
      </c>
      <c r="BK103" s="105">
        <v>2234.6561366996257</v>
      </c>
      <c r="BL103" s="105">
        <v>14</v>
      </c>
      <c r="BM103" s="105">
        <v>1747.2</v>
      </c>
      <c r="BN103" s="105">
        <v>17.37681735283266</v>
      </c>
      <c r="BO103" s="105">
        <v>2168.6268056335157</v>
      </c>
      <c r="BP103" s="105">
        <v>25.232302666314677</v>
      </c>
      <c r="BQ103" s="105">
        <v>3148.9913727560715</v>
      </c>
      <c r="BR103" s="105">
        <v>23.70208560138979</v>
      </c>
      <c r="BS103" s="105">
        <v>2958.0202830534458</v>
      </c>
      <c r="BT103" s="105">
        <v>20</v>
      </c>
      <c r="BU103" s="105">
        <v>2496</v>
      </c>
      <c r="BV103" s="105">
        <v>19</v>
      </c>
      <c r="BW103" s="105">
        <v>2371.1999999999998</v>
      </c>
      <c r="BX103" s="105">
        <v>24</v>
      </c>
      <c r="BY103" s="105">
        <v>2995.2</v>
      </c>
      <c r="BZ103" s="105">
        <v>24.330132263700506</v>
      </c>
      <c r="CA103" s="105">
        <v>3036.4005065098231</v>
      </c>
      <c r="CB103" s="105">
        <v>17.309092327488635</v>
      </c>
      <c r="CC103" s="105">
        <v>2160.1747224705814</v>
      </c>
      <c r="CD103" s="105">
        <v>16</v>
      </c>
      <c r="CE103" s="105">
        <v>1996.8</v>
      </c>
      <c r="CF103" s="105">
        <v>20</v>
      </c>
      <c r="CG103" s="105">
        <v>2496</v>
      </c>
      <c r="CH103" s="105">
        <v>22</v>
      </c>
      <c r="CI103" s="105">
        <v>2745.6</v>
      </c>
      <c r="CJ103" s="105">
        <v>20</v>
      </c>
      <c r="CK103" s="105">
        <v>2496</v>
      </c>
      <c r="CL103" s="105">
        <v>19.736014176274352</v>
      </c>
      <c r="CM103" s="105">
        <v>2463.0545691990392</v>
      </c>
      <c r="CN103" s="105">
        <v>18.94537138744521</v>
      </c>
      <c r="CO103" s="105">
        <v>2364.3823491531621</v>
      </c>
      <c r="CP103" s="105">
        <v>17.240958002235175</v>
      </c>
      <c r="CQ103" s="105">
        <v>2151.6715586789496</v>
      </c>
      <c r="CR103" s="105">
        <v>22.469867083886342</v>
      </c>
      <c r="CS103" s="105">
        <v>2804.2394120690155</v>
      </c>
      <c r="CT103" s="105">
        <v>17.127381203801477</v>
      </c>
      <c r="CU103" s="105">
        <v>2137.4971742344242</v>
      </c>
    </row>
    <row r="104" spans="2:99" x14ac:dyDescent="0.2">
      <c r="C104" s="104" t="s">
        <v>270</v>
      </c>
      <c r="D104" s="105">
        <v>20</v>
      </c>
      <c r="E104" s="105">
        <v>4752</v>
      </c>
      <c r="F104" s="105">
        <v>15</v>
      </c>
      <c r="G104" s="105">
        <v>3564</v>
      </c>
      <c r="H104" s="105">
        <v>26</v>
      </c>
      <c r="I104" s="105">
        <v>6177.5999999999995</v>
      </c>
      <c r="J104" s="105">
        <v>19</v>
      </c>
      <c r="K104" s="105">
        <v>4514.3999999999996</v>
      </c>
      <c r="L104" s="105">
        <v>25</v>
      </c>
      <c r="M104" s="105">
        <v>5940</v>
      </c>
      <c r="N104" s="105">
        <v>15.7508522261117</v>
      </c>
      <c r="O104" s="105">
        <v>3742.40248892414</v>
      </c>
      <c r="P104" s="105">
        <v>15</v>
      </c>
      <c r="Q104" s="105">
        <v>3564</v>
      </c>
      <c r="R104" s="105">
        <v>25</v>
      </c>
      <c r="S104" s="105">
        <v>5940</v>
      </c>
      <c r="T104" s="105">
        <v>21</v>
      </c>
      <c r="U104" s="105">
        <v>4989.5999999999995</v>
      </c>
      <c r="V104" s="105">
        <v>21.019860272304687</v>
      </c>
      <c r="W104" s="105">
        <v>4994.3188006995933</v>
      </c>
      <c r="X104" s="105">
        <v>21.297526192553146</v>
      </c>
      <c r="Y104" s="105">
        <v>5060.2922233506279</v>
      </c>
      <c r="Z104" s="105">
        <v>15</v>
      </c>
      <c r="AA104" s="105">
        <v>3564</v>
      </c>
      <c r="AB104" s="105">
        <v>20.973005669639846</v>
      </c>
      <c r="AC104" s="105">
        <v>4983.1861471064276</v>
      </c>
      <c r="AD104" s="105">
        <v>22.149870016267588</v>
      </c>
      <c r="AE104" s="105">
        <v>5262.8091158651787</v>
      </c>
      <c r="AF104" s="105">
        <v>18</v>
      </c>
      <c r="AG104" s="105">
        <v>4276.8</v>
      </c>
      <c r="AH104" s="105">
        <v>19</v>
      </c>
      <c r="AI104" s="105">
        <v>4514.3999999999996</v>
      </c>
      <c r="AJ104" s="105">
        <v>16</v>
      </c>
      <c r="AK104" s="105">
        <v>3801.6</v>
      </c>
      <c r="AL104" s="105">
        <v>21.346152585428587</v>
      </c>
      <c r="AM104" s="105">
        <v>5071.8458542978324</v>
      </c>
      <c r="AN104" s="105">
        <v>21.089685810651076</v>
      </c>
      <c r="AO104" s="105">
        <v>5010.9093486106958</v>
      </c>
      <c r="AP104" s="105">
        <v>18.291377984642352</v>
      </c>
      <c r="AQ104" s="105">
        <v>4346.0314091510227</v>
      </c>
      <c r="AR104" s="105">
        <v>16.251860119901082</v>
      </c>
      <c r="AS104" s="105">
        <v>3861.441964488497</v>
      </c>
      <c r="AT104" s="105">
        <v>18.894887112914709</v>
      </c>
      <c r="AU104" s="105">
        <v>4489.4251780285349</v>
      </c>
      <c r="AV104" s="105">
        <v>24</v>
      </c>
      <c r="AW104" s="105">
        <v>5702.4</v>
      </c>
      <c r="AX104" s="105">
        <v>19.963616376071311</v>
      </c>
      <c r="AY104" s="105">
        <v>4743.3552509545434</v>
      </c>
      <c r="AZ104" s="105">
        <v>16.645753707293469</v>
      </c>
      <c r="BA104" s="105">
        <v>3955.031080852928</v>
      </c>
      <c r="BB104" s="105">
        <v>23.923031564177059</v>
      </c>
      <c r="BC104" s="105">
        <v>5684.1122996484692</v>
      </c>
      <c r="BD104" s="105">
        <v>14</v>
      </c>
      <c r="BE104" s="105">
        <v>3326.4</v>
      </c>
      <c r="BF104" s="105">
        <v>18</v>
      </c>
      <c r="BG104" s="105">
        <v>4276.8</v>
      </c>
      <c r="BH104" s="105">
        <v>25.596108422940731</v>
      </c>
      <c r="BI104" s="105">
        <v>6081.6353612907178</v>
      </c>
      <c r="BJ104" s="105">
        <v>20.241450513583565</v>
      </c>
      <c r="BK104" s="105">
        <v>4809.3686420274553</v>
      </c>
      <c r="BL104" s="105">
        <v>16</v>
      </c>
      <c r="BM104" s="105">
        <v>3801.6</v>
      </c>
      <c r="BN104" s="105">
        <v>16.507976485191026</v>
      </c>
      <c r="BO104" s="105">
        <v>3922.2952128813877</v>
      </c>
      <c r="BP104" s="105">
        <v>25.232302666314677</v>
      </c>
      <c r="BQ104" s="105">
        <v>5995.1951135163672</v>
      </c>
      <c r="BR104" s="105">
        <v>20.967229570460194</v>
      </c>
      <c r="BS104" s="105">
        <v>4981.8137459413419</v>
      </c>
      <c r="BT104" s="105">
        <v>20</v>
      </c>
      <c r="BU104" s="105">
        <v>4752</v>
      </c>
      <c r="BV104" s="105">
        <v>19</v>
      </c>
      <c r="BW104" s="105">
        <v>4514.3999999999996</v>
      </c>
      <c r="BX104" s="105">
        <v>27</v>
      </c>
      <c r="BY104" s="105">
        <v>6415.2</v>
      </c>
      <c r="BZ104" s="105">
        <v>23.461198968568347</v>
      </c>
      <c r="CA104" s="105">
        <v>5574.3808749318387</v>
      </c>
      <c r="CB104" s="105">
        <v>16.398087468147128</v>
      </c>
      <c r="CC104" s="105">
        <v>3896.1855824317577</v>
      </c>
      <c r="CD104" s="105">
        <v>17</v>
      </c>
      <c r="CE104" s="105">
        <v>4039.2</v>
      </c>
      <c r="CF104" s="105">
        <v>19</v>
      </c>
      <c r="CG104" s="105">
        <v>4514.3999999999996</v>
      </c>
      <c r="CH104" s="105">
        <v>20</v>
      </c>
      <c r="CI104" s="105">
        <v>4752</v>
      </c>
      <c r="CJ104" s="105">
        <v>20</v>
      </c>
      <c r="CK104" s="105">
        <v>4752</v>
      </c>
      <c r="CL104" s="105">
        <v>18.019839030511367</v>
      </c>
      <c r="CM104" s="105">
        <v>4281.5137536495004</v>
      </c>
      <c r="CN104" s="105">
        <v>18.155980912968328</v>
      </c>
      <c r="CO104" s="105">
        <v>4313.8610649212742</v>
      </c>
      <c r="CP104" s="105">
        <v>17.240958002235175</v>
      </c>
      <c r="CQ104" s="105">
        <v>4096.4516213310771</v>
      </c>
      <c r="CR104" s="105">
        <v>20.741415769741241</v>
      </c>
      <c r="CS104" s="105">
        <v>4928.1603868905186</v>
      </c>
      <c r="CT104" s="105">
        <v>17.127381203801477</v>
      </c>
      <c r="CU104" s="105">
        <v>4069.465774023231</v>
      </c>
    </row>
    <row r="105" spans="2:99" x14ac:dyDescent="0.2">
      <c r="C105" s="104" t="s">
        <v>271</v>
      </c>
      <c r="D105" s="105">
        <v>20</v>
      </c>
      <c r="E105" s="105">
        <v>3455.9999999999995</v>
      </c>
      <c r="F105" s="105">
        <v>13</v>
      </c>
      <c r="G105" s="105">
        <v>2246.3999999999996</v>
      </c>
      <c r="H105" s="105">
        <v>26</v>
      </c>
      <c r="I105" s="105">
        <v>4492.7999999999993</v>
      </c>
      <c r="J105" s="105">
        <v>17</v>
      </c>
      <c r="K105" s="105">
        <v>2937.6</v>
      </c>
      <c r="L105" s="105">
        <v>24</v>
      </c>
      <c r="M105" s="105">
        <v>4147.2</v>
      </c>
      <c r="N105" s="105">
        <v>19.688565282639626</v>
      </c>
      <c r="O105" s="105">
        <v>3402.1840808401271</v>
      </c>
      <c r="P105" s="105">
        <v>15</v>
      </c>
      <c r="Q105" s="105">
        <v>2591.9999999999995</v>
      </c>
      <c r="R105" s="105">
        <v>23</v>
      </c>
      <c r="S105" s="105">
        <v>3974.3999999999996</v>
      </c>
      <c r="T105" s="105">
        <v>20</v>
      </c>
      <c r="U105" s="105">
        <v>3455.9999999999995</v>
      </c>
      <c r="V105" s="105">
        <v>24.523170317688802</v>
      </c>
      <c r="W105" s="105">
        <v>4237.6038308966245</v>
      </c>
      <c r="X105" s="105">
        <v>22.935797438134156</v>
      </c>
      <c r="Y105" s="105">
        <v>3963.3057973095815</v>
      </c>
      <c r="Z105" s="105">
        <v>16</v>
      </c>
      <c r="AA105" s="105">
        <v>2764.7999999999997</v>
      </c>
      <c r="AB105" s="105">
        <v>19.149266046192903</v>
      </c>
      <c r="AC105" s="105">
        <v>3308.9931727821331</v>
      </c>
      <c r="AD105" s="105">
        <v>20.622292773766375</v>
      </c>
      <c r="AE105" s="105">
        <v>3563.5321913068292</v>
      </c>
      <c r="AF105" s="105">
        <v>17</v>
      </c>
      <c r="AG105" s="105">
        <v>2937.6</v>
      </c>
      <c r="AH105" s="105">
        <v>22</v>
      </c>
      <c r="AI105" s="105">
        <v>3801.5999999999995</v>
      </c>
      <c r="AJ105" s="105">
        <v>16</v>
      </c>
      <c r="AK105" s="105">
        <v>2764.7999999999997</v>
      </c>
      <c r="AL105" s="105">
        <v>22.274246176099396</v>
      </c>
      <c r="AM105" s="105">
        <v>3848.9897392299754</v>
      </c>
      <c r="AN105" s="105">
        <v>21.933273243077121</v>
      </c>
      <c r="AO105" s="105">
        <v>3790.0696164037263</v>
      </c>
      <c r="AP105" s="105">
        <v>18.291377984642352</v>
      </c>
      <c r="AQ105" s="105">
        <v>3160.7501157461984</v>
      </c>
      <c r="AR105" s="105">
        <v>16.251860119901082</v>
      </c>
      <c r="AS105" s="105">
        <v>2808.3214287189066</v>
      </c>
      <c r="AT105" s="105">
        <v>16.430336619925836</v>
      </c>
      <c r="AU105" s="105">
        <v>2839.1621679231839</v>
      </c>
      <c r="AV105" s="105">
        <v>22</v>
      </c>
      <c r="AW105" s="105">
        <v>3801.5999999999995</v>
      </c>
      <c r="AX105" s="105">
        <v>20.703009575185064</v>
      </c>
      <c r="AY105" s="105">
        <v>3577.4800545919788</v>
      </c>
      <c r="AZ105" s="105">
        <v>16.005532410859107</v>
      </c>
      <c r="BA105" s="105">
        <v>2765.7560005964533</v>
      </c>
      <c r="BB105" s="105">
        <v>23.923031564177059</v>
      </c>
      <c r="BC105" s="105">
        <v>4133.8998542897953</v>
      </c>
      <c r="BD105" s="105">
        <v>16</v>
      </c>
      <c r="BE105" s="105">
        <v>2764.7999999999997</v>
      </c>
      <c r="BF105" s="105">
        <v>17</v>
      </c>
      <c r="BG105" s="105">
        <v>2937.6</v>
      </c>
      <c r="BH105" s="105">
        <v>22.853668234768513</v>
      </c>
      <c r="BI105" s="105">
        <v>3949.1138709679985</v>
      </c>
      <c r="BJ105" s="105">
        <v>21.019967841029086</v>
      </c>
      <c r="BK105" s="105">
        <v>3632.2504429298256</v>
      </c>
      <c r="BL105" s="105">
        <v>16</v>
      </c>
      <c r="BM105" s="105">
        <v>2764.7999999999997</v>
      </c>
      <c r="BN105" s="105">
        <v>19.983339955757558</v>
      </c>
      <c r="BO105" s="105">
        <v>3453.1211443549055</v>
      </c>
      <c r="BP105" s="105">
        <v>22.709072399683212</v>
      </c>
      <c r="BQ105" s="105">
        <v>3924.1277106652587</v>
      </c>
      <c r="BR105" s="105">
        <v>23.70208560138979</v>
      </c>
      <c r="BS105" s="105">
        <v>4095.7203919201552</v>
      </c>
      <c r="BT105" s="105">
        <v>22</v>
      </c>
      <c r="BU105" s="105">
        <v>3801.5999999999995</v>
      </c>
      <c r="BV105" s="105">
        <v>17</v>
      </c>
      <c r="BW105" s="105">
        <v>2937.6</v>
      </c>
      <c r="BX105" s="105">
        <v>26</v>
      </c>
      <c r="BY105" s="105">
        <v>4492.7999999999993</v>
      </c>
      <c r="BZ105" s="105">
        <v>21.723332378304026</v>
      </c>
      <c r="CA105" s="105">
        <v>3753.7918349709353</v>
      </c>
      <c r="CB105" s="105">
        <v>17.309092327488635</v>
      </c>
      <c r="CC105" s="105">
        <v>2991.011154190036</v>
      </c>
      <c r="CD105" s="105">
        <v>15</v>
      </c>
      <c r="CE105" s="105">
        <v>2591.9999999999995</v>
      </c>
      <c r="CF105" s="105">
        <v>19</v>
      </c>
      <c r="CG105" s="105">
        <v>3283.2</v>
      </c>
      <c r="CH105" s="105">
        <v>20</v>
      </c>
      <c r="CI105" s="105">
        <v>3455.9999999999995</v>
      </c>
      <c r="CJ105" s="105">
        <v>23</v>
      </c>
      <c r="CK105" s="105">
        <v>3974.3999999999996</v>
      </c>
      <c r="CL105" s="105">
        <v>18.019839030511367</v>
      </c>
      <c r="CM105" s="105">
        <v>3113.8281844723638</v>
      </c>
      <c r="CN105" s="105">
        <v>18.155980912968328</v>
      </c>
      <c r="CO105" s="105">
        <v>3137.353501760927</v>
      </c>
      <c r="CP105" s="105">
        <v>18.740171741559976</v>
      </c>
      <c r="CQ105" s="105">
        <v>3238.3016769415635</v>
      </c>
      <c r="CR105" s="105">
        <v>20.741415769741241</v>
      </c>
      <c r="CS105" s="105">
        <v>3584.116645011286</v>
      </c>
      <c r="CT105" s="105">
        <v>16.175860025812508</v>
      </c>
      <c r="CU105" s="105">
        <v>2795.1886124604011</v>
      </c>
    </row>
    <row r="107" spans="2:99" x14ac:dyDescent="0.2">
      <c r="B107" s="109" t="s">
        <v>276</v>
      </c>
    </row>
    <row r="108" spans="2:99" x14ac:dyDescent="0.2">
      <c r="C108" s="104" t="s">
        <v>277</v>
      </c>
      <c r="D108" s="104" t="s">
        <v>92</v>
      </c>
      <c r="E108" s="104" t="s">
        <v>93</v>
      </c>
      <c r="F108" s="104" t="s">
        <v>94</v>
      </c>
      <c r="G108" s="104" t="s">
        <v>95</v>
      </c>
      <c r="H108" s="104" t="s">
        <v>96</v>
      </c>
      <c r="I108" s="104" t="s">
        <v>97</v>
      </c>
      <c r="J108" s="104" t="s">
        <v>98</v>
      </c>
      <c r="K108" s="104" t="s">
        <v>99</v>
      </c>
      <c r="L108" s="104" t="s">
        <v>100</v>
      </c>
      <c r="M108" s="104" t="s">
        <v>101</v>
      </c>
      <c r="N108" s="104" t="s">
        <v>102</v>
      </c>
      <c r="O108" s="104" t="s">
        <v>103</v>
      </c>
    </row>
    <row r="109" spans="2:99" x14ac:dyDescent="0.2">
      <c r="C109" s="104" t="s">
        <v>126</v>
      </c>
      <c r="D109" s="105">
        <f>SUM(D$6:D$19)+SUM(F$6:F$19)+SUM(H$6:H$19)+SUM(J$6:J$19)</f>
        <v>1400.6815409409576</v>
      </c>
      <c r="E109" s="105">
        <f>SUM(L$6:L$19)+SUM(N$6:N$19)+SUM(P$6:P$19)+SUM(R$6:R$19)</f>
        <v>1454.9272175157525</v>
      </c>
      <c r="F109" s="105">
        <f>SUM(T$6:T$19)+SUM(V$6:V$19)+SUM(X$6:X$19)+SUM(Z$6:Z$19)</f>
        <v>1326.6948423816914</v>
      </c>
      <c r="G109" s="105">
        <f>SUM(AB$6:AB$19)+SUM(AD$6:AD$19)+SUM(AF$6:AF$19)+SUM(AH$6:AH$19)</f>
        <v>1469.3704996478191</v>
      </c>
      <c r="H109" s="105">
        <f>SUM(AJ$6:AJ$19)+SUM(AL$6:AL$19)+SUM(AN$6:AN$19)+SUM(AP$6:AP$19)</f>
        <v>1493.8457955664844</v>
      </c>
      <c r="I109" s="105">
        <f>SUM(AR$6:AR$19)+SUM(AT$6:AT$19)+SUM(AV$6:AV$19)+SUM(AX$6:AX$19)</f>
        <v>1513.5010023134359</v>
      </c>
      <c r="J109" s="105">
        <f>SUM(AZ$6:AZ$19)+SUM(BB$6:BB$19)+SUM(BD$6:BD$19)+SUM(BF$6:BF$19)</f>
        <v>1672.358035052225</v>
      </c>
      <c r="K109" s="105">
        <f>SUM(BH$6:BH$19)+SUM(BJ$6:BJ$19)+SUM(BL$6:BL$19)+SUM(BN$6:BN$19)</f>
        <v>1458.3559329527629</v>
      </c>
      <c r="L109" s="105">
        <f>SUM(BP$6:BP$19)+SUM(BR$6:BR$19)+SUM(BT$6:BT$19)+SUM(BV$6:BV$19)</f>
        <v>1567.7572343784798</v>
      </c>
      <c r="M109" s="105">
        <f>SUM(BX$6:BX$19)+SUM(BZ$6:BZ$19)+SUM(CB$6:CB$19)+SUM(CD$6:CD$19)</f>
        <v>1610.6394035703702</v>
      </c>
      <c r="N109" s="105">
        <f>SUM(CF$6:CF$19)+SUM(CH$6:CH$19)+SUM(CJ$6:CJ$19)+SUM(CL$6:CL$19)</f>
        <v>1702.3317107982227</v>
      </c>
      <c r="O109" s="105">
        <f>SUM(CN$6:CN$19)+SUM(CP$6:CP$19)+SUM(CR$6:CR$19)+SUM(CT$6:CT$19)</f>
        <v>1783.0370116524268</v>
      </c>
    </row>
    <row r="110" spans="2:99" x14ac:dyDescent="0.2">
      <c r="C110" s="104" t="s">
        <v>127</v>
      </c>
      <c r="D110" s="105">
        <f>SUM(D$20:D$36)+SUM(F$20:F$36)+SUM(H$20:H$36)+SUM(J$20:J$36)</f>
        <v>1774.3104172334827</v>
      </c>
      <c r="E110" s="105">
        <f>SUM(L$20:L$36)+SUM(N$20:N$36)+SUM(P$20:P$36)+SUM(R$20:R$36)</f>
        <v>1558.9267037243167</v>
      </c>
      <c r="F110" s="105">
        <f>SUM(T$20:T$36)+SUM(V$20:V$36)+SUM(X$20:X$36)+SUM(Z$20:Z$36)</f>
        <v>1525.8864167437234</v>
      </c>
      <c r="G110" s="105">
        <f>SUM(AB$20:AB$36)+SUM(AD$20:AD$36)+SUM(AF$20:AF$36)+SUM(AH$20:AH$36)</f>
        <v>1572.7495080083156</v>
      </c>
      <c r="H110" s="105">
        <f>SUM(AJ$20:AJ$36)+SUM(AL$20:AL$36)+SUM(AN$20:AN$36)+SUM(AP$20:AP$36)</f>
        <v>1329.5310706769942</v>
      </c>
      <c r="I110" s="105">
        <f>SUM(AR$20:AR$36)+SUM(AT$20:AT$36)+SUM(AV$20:AV$36)+SUM(AX$20:AX$36)</f>
        <v>1408.0037841050944</v>
      </c>
      <c r="J110" s="105">
        <f>SUM(AZ$20:AZ$36)+SUM(BB$20:BB$36)+SUM(BD$20:BD$36)+SUM(BF$20:BF$36)</f>
        <v>1524.3052765360353</v>
      </c>
      <c r="K110" s="105">
        <f>SUM(BH$20:BH$36)+SUM(BJ$20:BJ$36)+SUM(BL$20:BL$36)+SUM(BN$20:BN$36)</f>
        <v>1530.3581163553101</v>
      </c>
      <c r="L110" s="105">
        <f>SUM(BP$20:BP$36)+SUM(BR$20:BR$36)+SUM(BT$20:BT$36)+SUM(BV$20:BV$36)</f>
        <v>1344.7611956474839</v>
      </c>
      <c r="M110" s="105">
        <f>SUM(BX$20:BX$36)+SUM(BZ$20:BZ$36)+SUM(CB$20:CB$36)+SUM(CD$20:CD$36)</f>
        <v>1816.7426990663437</v>
      </c>
      <c r="N110" s="105">
        <f>SUM(CF$20:CF$36)+SUM(CH$20:CH$36)+SUM(CJ$20:CJ$36)+SUM(CL$20:CL$36)</f>
        <v>1587.224366794539</v>
      </c>
      <c r="O110" s="105">
        <f>SUM(CN$20:CN$36)+SUM(CP$20:CP$36)+SUM(CR$20:CR$36)+SUM(CT$20:CT$36)</f>
        <v>1539.8630614608223</v>
      </c>
    </row>
    <row r="111" spans="2:99" x14ac:dyDescent="0.2">
      <c r="C111" s="104" t="s">
        <v>128</v>
      </c>
      <c r="D111" s="105">
        <f>SUM(D$37:D$48)+SUM(F$37:F$48)+SUM(H$37:H$48)+SUM(J$37:J$48)</f>
        <v>1781.2303841790294</v>
      </c>
      <c r="E111" s="105">
        <f>SUM(L$37:L$48)+SUM(N$37:N$48)+SUM(P$37:P$48)+SUM(R$37:R$48)</f>
        <v>1723.3101584553092</v>
      </c>
      <c r="F111" s="105">
        <f>SUM(T$37:T$48)+SUM(V$37:V$48)+SUM(X$37:X$48)+SUM(Z$37:Z$48)</f>
        <v>1732.9115982185644</v>
      </c>
      <c r="G111" s="105">
        <f>SUM(AB$37:AB$48)+SUM(AD$37:AD$48)+SUM(AF$37:AF$48)+SUM(AH$37:AH$48)</f>
        <v>1509.007155972766</v>
      </c>
      <c r="H111" s="105">
        <f>SUM(AJ$37:AJ$48)+SUM(AL$37:AL$48)+SUM(AN$37:AN$48)+SUM(AP$37:AP$48)</f>
        <v>1664.5583977754864</v>
      </c>
      <c r="I111" s="105">
        <f>SUM(AR$37:AR$48)+SUM(AT$37:AT$48)+SUM(AV$37:AV$48)+SUM(AX$37:AX$48)</f>
        <v>1597.4799599542384</v>
      </c>
      <c r="J111" s="105">
        <f>SUM(AZ$37:AZ$48)+SUM(BB$37:BB$48)+SUM(BD$37:BD$48)+SUM(BF$37:BF$48)</f>
        <v>1776.1796516382392</v>
      </c>
      <c r="K111" s="105">
        <f>SUM(BH$37:BH$48)+SUM(BJ$37:BJ$48)+SUM(BL$37:BL$48)+SUM(BN$37:BN$48)</f>
        <v>1541.8917694935485</v>
      </c>
      <c r="L111" s="105">
        <f>SUM(BP$37:BP$48)+SUM(BR$37:BR$48)+SUM(BT$37:BT$48)+SUM(BV$37:BV$48)</f>
        <v>1963.1652982581318</v>
      </c>
      <c r="M111" s="105">
        <f>SUM(BX$37:BX$48)+SUM(BZ$37:BZ$48)+SUM(CB$37:CB$48)+SUM(CD$37:CD$48)</f>
        <v>1743.4331780967743</v>
      </c>
      <c r="N111" s="105">
        <f>SUM(CF$37:CF$48)+SUM(CH$37:CH$48)+SUM(CJ$37:CJ$48)+SUM(CL$37:CL$48)</f>
        <v>1926.1836321887533</v>
      </c>
      <c r="O111" s="105">
        <f>SUM(CN$37:CN$48)+SUM(CP$37:CP$48)+SUM(CR$37:CR$48)+SUM(CT$37:CT$48)</f>
        <v>1627.0481419461598</v>
      </c>
    </row>
    <row r="112" spans="2:99" x14ac:dyDescent="0.2">
      <c r="C112" s="104" t="s">
        <v>129</v>
      </c>
      <c r="D112" s="105">
        <f>SUM(D$49:D$70)+SUM(F$49:F$70)+SUM(H$49:H$70)+SUM(J$49:J$70)</f>
        <v>2715.2158570891756</v>
      </c>
      <c r="E112" s="105">
        <f>SUM(L$49:L$70)+SUM(N$49:N$70)+SUM(P$49:P$70)+SUM(R$49:R$70)</f>
        <v>4185.4000934963997</v>
      </c>
      <c r="F112" s="105">
        <f>SUM(T$49:T$70)+SUM(V$49:V$70)+SUM(X$49:X$70)+SUM(Z$49:Z$70)</f>
        <v>3579.921025440497</v>
      </c>
      <c r="G112" s="105">
        <f>SUM(AB$49:AB$70)+SUM(AD$49:AD$70)+SUM(AF$49:AF$70)+SUM(AH$49:AH$70)</f>
        <v>3509.2091498594591</v>
      </c>
      <c r="H112" s="105">
        <f>SUM(AJ$49:AJ$70)+SUM(AL$49:AL$70)+SUM(AN$49:AN$70)+SUM(AP$49:AP$70)</f>
        <v>3563.4966259023777</v>
      </c>
      <c r="I112" s="105">
        <f>SUM(AR$49:AR$70)+SUM(AT$49:AT$70)+SUM(AV$49:AV$70)+SUM(AX$49:AX$70)</f>
        <v>3723.2356809450594</v>
      </c>
      <c r="J112" s="105">
        <f>SUM(AZ$49:AZ$70)+SUM(BB$49:BB$70)+SUM(BD$49:BD$70)+SUM(BF$49:BF$70)</f>
        <v>3637.2249829839639</v>
      </c>
      <c r="K112" s="105">
        <f>SUM(BH$49:BH$70)+SUM(BJ$49:BJ$70)+SUM(BL$49:BL$70)+SUM(BN$49:BN$70)</f>
        <v>3438.2553240421844</v>
      </c>
      <c r="L112" s="105">
        <f>SUM(BP$49:BP$70)+SUM(BR$49:BR$70)+SUM(BT$49:BT$70)+SUM(BV$49:BV$70)</f>
        <v>3456.9929756734082</v>
      </c>
      <c r="M112" s="105">
        <f>SUM(BX$49:BX$70)+SUM(BZ$49:BZ$70)+SUM(CB$49:CB$70)+SUM(CD$49:CD$70)</f>
        <v>3586.2349275823144</v>
      </c>
      <c r="N112" s="105">
        <f>SUM(CF$49:CF$70)+SUM(CH$49:CH$70)+SUM(CJ$49:CJ$70)+SUM(CL$49:CL$70)</f>
        <v>3692.695434424736</v>
      </c>
      <c r="O112" s="105">
        <f>SUM(CN$49:CN$70)+SUM(CP$49:CP$70)+SUM(CR$49:CR$70)+SUM(CT$49:CT$70)</f>
        <v>3599.7609114495358</v>
      </c>
    </row>
    <row r="113" spans="2:15" x14ac:dyDescent="0.2">
      <c r="C113" s="104" t="s">
        <v>130</v>
      </c>
      <c r="D113" s="105">
        <f>SUM(D$71:D$86)+SUM(F$71:F$86)+SUM(H$71:H$86)+SUM(J$71:J$86)</f>
        <v>1430.9473251368177</v>
      </c>
      <c r="E113" s="105">
        <f>SUM(L$71:L$86)+SUM(N$71:N$86)+SUM(P$71:P$86)+SUM(R$71:R$86)</f>
        <v>1219.5961477567973</v>
      </c>
      <c r="F113" s="105">
        <f>SUM(T$71:T$86)+SUM(V$71:V$86)+SUM(X$71:X$86)+SUM(Z$71:Z$86)</f>
        <v>1330.4377599334505</v>
      </c>
      <c r="G113" s="105">
        <f>SUM(AB$71:AB$86)+SUM(AD$71:AD$86)+SUM(AF$71:AF$86)+SUM(AH$71:AH$86)</f>
        <v>1311.3874636238768</v>
      </c>
      <c r="H113" s="105">
        <f>SUM(AJ$71:AJ$86)+SUM(AL$71:AL$86)+SUM(AN$71:AN$86)+SUM(AP$71:AP$86)</f>
        <v>1318.5889595282781</v>
      </c>
      <c r="I113" s="105">
        <f>SUM(AR$71:AR$86)+SUM(AT$71:AT$86)+SUM(AV$71:AV$86)+SUM(AX$71:AX$86)</f>
        <v>1225.2668845215753</v>
      </c>
      <c r="J113" s="105">
        <f>SUM(AZ$71:AZ$86)+SUM(BB$71:BB$86)+SUM(BD$71:BD$86)+SUM(BF$71:BF$86)</f>
        <v>1309.3817593514032</v>
      </c>
      <c r="K113" s="105">
        <f>SUM(BH$71:BH$86)+SUM(BJ$71:BJ$86)+SUM(BL$71:BL$86)+SUM(BN$71:BN$86)</f>
        <v>1408.4421795579869</v>
      </c>
      <c r="L113" s="105">
        <f>SUM(BP$71:BP$86)+SUM(BR$71:BR$86)+SUM(BT$71:BT$86)+SUM(BV$71:BV$86)</f>
        <v>1335.2646222202848</v>
      </c>
      <c r="M113" s="105">
        <f>SUM(BX$71:BX$86)+SUM(BZ$71:BZ$86)+SUM(CB$71:CB$86)+SUM(CD$71:CD$86)</f>
        <v>1511.7940296950096</v>
      </c>
      <c r="N113" s="105">
        <f>SUM(CF$71:CF$86)+SUM(CH$71:CH$86)+SUM(CJ$71:CJ$86)+SUM(CL$71:CL$86)</f>
        <v>1465.0077946939059</v>
      </c>
      <c r="O113" s="105">
        <f>SUM(CN$71:CN$86)+SUM(CP$71:CP$86)+SUM(CR$71:CR$86)+SUM(CT$71:CT$86)</f>
        <v>1339.5257685715515</v>
      </c>
    </row>
    <row r="114" spans="2:15" x14ac:dyDescent="0.2">
      <c r="C114" s="104" t="s">
        <v>131</v>
      </c>
      <c r="D114" s="105">
        <f>SUM(D$87:D$94)+SUM(F$87:F$94)+SUM(H$87:H$94)+SUM(J$87:J$94)</f>
        <v>431</v>
      </c>
      <c r="E114" s="105">
        <f>SUM(L$87:L$94)+SUM(N$87:N$94)+SUM(P$87:P$94)+SUM(R$87:R$94)</f>
        <v>401.80438524260933</v>
      </c>
      <c r="F114" s="105">
        <f>SUM(T$87:T$94)+SUM(V$87:V$94)+SUM(X$87:X$94)+SUM(Z$87:Z$94)</f>
        <v>453.50479125272045</v>
      </c>
      <c r="G114" s="105">
        <f>SUM(AB$87:AB$94)+SUM(AD$87:AD$94)+SUM(AF$87:AF$94)+SUM(AH$87:AH$94)</f>
        <v>447.30561126981303</v>
      </c>
      <c r="H114" s="105">
        <f>SUM(AJ$87:AJ$94)+SUM(AL$87:AL$94)+SUM(AN$87:AN$94)+SUM(AP$87:AP$94)</f>
        <v>463.46643095746583</v>
      </c>
      <c r="I114" s="105">
        <f>SUM(AR$87:AR$94)+SUM(AT$87:AT$94)+SUM(AV$87:AV$94)+SUM(AX$87:AX$94)</f>
        <v>462.4436686070336</v>
      </c>
      <c r="J114" s="105">
        <f>SUM(AZ$87:AZ$94)+SUM(BB$87:BB$94)+SUM(BD$87:BD$94)+SUM(BF$87:BF$94)</f>
        <v>418.73429263845117</v>
      </c>
      <c r="K114" s="105">
        <f>SUM(BH$87:BH$94)+SUM(BJ$87:BJ$94)+SUM(BL$87:BL$94)+SUM(BN$87:BN$94)</f>
        <v>498.77701465377186</v>
      </c>
      <c r="L114" s="105">
        <f>SUM(BP$87:BP$94)+SUM(BR$87:BR$94)+SUM(BT$87:BT$94)+SUM(BV$87:BV$94)</f>
        <v>343.03553834264403</v>
      </c>
      <c r="M114" s="105">
        <f>SUM(BX$87:BX$94)+SUM(BZ$87:BZ$94)+SUM(CB$87:CB$94)+SUM(CD$87:CD$94)</f>
        <v>516.86291193247325</v>
      </c>
      <c r="N114" s="105">
        <f>SUM(CF$87:CF$94)+SUM(CH$87:CH$94)+SUM(CJ$87:CJ$94)+SUM(CL$87:CL$94)</f>
        <v>555.01679981697248</v>
      </c>
      <c r="O114" s="105">
        <f>SUM(CN$87:CN$94)+SUM(CP$87:CP$94)+SUM(CR$87:CR$94)+SUM(CT$87:CT$94)</f>
        <v>480.39934462570932</v>
      </c>
    </row>
    <row r="115" spans="2:15" x14ac:dyDescent="0.2">
      <c r="C115" s="104" t="s">
        <v>132</v>
      </c>
      <c r="D115" s="105">
        <f>SUM(D$95:D$105)+SUM(F$95:F$105)+SUM(H$95:H$105)+SUM(J$95:J$105)</f>
        <v>780.75673816919698</v>
      </c>
      <c r="E115" s="105">
        <f>SUM(L$95:L$105)+SUM(N$95:N$105)+SUM(P$95:P$105)+SUM(R$95:R$105)</f>
        <v>816.19297017303074</v>
      </c>
      <c r="F115" s="105">
        <f>SUM(T$95:T$105)+SUM(V$95:V$105)+SUM(X$95:X$105)+SUM(Z$95:Z$105)</f>
        <v>825.98535899872513</v>
      </c>
      <c r="G115" s="105">
        <f>SUM(AB$95:AB$105)+SUM(AD$95:AD$105)+SUM(AF$95:AF$105)+SUM(AH$95:AH$105)</f>
        <v>819.69980998716858</v>
      </c>
      <c r="H115" s="105">
        <f>SUM(AJ$95:AJ$105)+SUM(AL$95:AL$105)+SUM(AN$95:AN$105)+SUM(AP$95:AP$105)</f>
        <v>800.49226902254304</v>
      </c>
      <c r="I115" s="105">
        <f>SUM(AR$95:AR$105)+SUM(AT$95:AT$105)+SUM(AV$95:AV$105)+SUM(AX$95:AX$105)</f>
        <v>798.84611117612621</v>
      </c>
      <c r="J115" s="105">
        <f>SUM(AZ$95:AZ$105)+SUM(BB$95:BB$105)+SUM(BD$95:BD$105)+SUM(BF$95:BF$105)</f>
        <v>737.08150921243237</v>
      </c>
      <c r="K115" s="105">
        <f>SUM(BH$95:BH$105)+SUM(BJ$95:BJ$105)+SUM(BL$95:BL$105)+SUM(BN$95:BN$105)</f>
        <v>777.64133879985457</v>
      </c>
      <c r="L115" s="105">
        <f>SUM(BP$95:BP$105)+SUM(BR$95:BR$105)+SUM(BT$95:BT$105)+SUM(BV$95:BV$105)</f>
        <v>876.01437755122129</v>
      </c>
      <c r="M115" s="105">
        <f>SUM(BX$95:BX$105)+SUM(BZ$95:BZ$105)+SUM(CB$95:CB$105)+SUM(CD$95:CD$105)</f>
        <v>829.15376096268517</v>
      </c>
      <c r="N115" s="105">
        <f>SUM(CF$95:CF$105)+SUM(CH$95:CH$105)+SUM(CJ$95:CJ$105)+SUM(CL$95:CL$105)</f>
        <v>808.1839732810538</v>
      </c>
      <c r="O115" s="105">
        <f>SUM(CN$95:CN$105)+SUM(CP$95:CP$105)+SUM(CR$95:CR$105)+SUM(CT$95:CT$105)</f>
        <v>781.38147157479455</v>
      </c>
    </row>
    <row r="116" spans="2:15" x14ac:dyDescent="0.2">
      <c r="C116" s="104" t="s">
        <v>278</v>
      </c>
      <c r="D116" s="105">
        <f t="shared" ref="D116:O116" si="0">SUM(D$109:D$115)</f>
        <v>10314.142262748661</v>
      </c>
      <c r="E116" s="105">
        <f t="shared" si="0"/>
        <v>11360.157676364217</v>
      </c>
      <c r="F116" s="105">
        <f t="shared" si="0"/>
        <v>10775.341792969373</v>
      </c>
      <c r="G116" s="105">
        <f t="shared" si="0"/>
        <v>10638.729198369218</v>
      </c>
      <c r="H116" s="105">
        <f t="shared" si="0"/>
        <v>10633.979549429629</v>
      </c>
      <c r="I116" s="105">
        <f t="shared" si="0"/>
        <v>10728.777091622564</v>
      </c>
      <c r="J116" s="105">
        <f t="shared" si="0"/>
        <v>11075.265507412751</v>
      </c>
      <c r="K116" s="105">
        <f t="shared" si="0"/>
        <v>10653.721675855419</v>
      </c>
      <c r="L116" s="105">
        <f t="shared" si="0"/>
        <v>10886.991242071652</v>
      </c>
      <c r="M116" s="105">
        <f t="shared" si="0"/>
        <v>11614.860910905971</v>
      </c>
      <c r="N116" s="105">
        <f t="shared" si="0"/>
        <v>11736.643711998182</v>
      </c>
      <c r="O116" s="105">
        <f t="shared" si="0"/>
        <v>11151.015711280999</v>
      </c>
    </row>
    <row r="118" spans="2:15" x14ac:dyDescent="0.2">
      <c r="B118" s="108" t="s">
        <v>279</v>
      </c>
    </row>
    <row r="119" spans="2:15" x14ac:dyDescent="0.2">
      <c r="C119" s="104" t="s">
        <v>277</v>
      </c>
      <c r="D119" s="104" t="s">
        <v>92</v>
      </c>
      <c r="E119" s="104" t="s">
        <v>93</v>
      </c>
      <c r="F119" s="104" t="s">
        <v>94</v>
      </c>
      <c r="G119" s="104" t="s">
        <v>95</v>
      </c>
      <c r="H119" s="104" t="s">
        <v>96</v>
      </c>
      <c r="I119" s="104" t="s">
        <v>97</v>
      </c>
      <c r="J119" s="104" t="s">
        <v>98</v>
      </c>
      <c r="K119" s="104" t="s">
        <v>99</v>
      </c>
      <c r="L119" s="104" t="s">
        <v>100</v>
      </c>
      <c r="M119" s="104" t="s">
        <v>101</v>
      </c>
      <c r="N119" s="104" t="s">
        <v>102</v>
      </c>
      <c r="O119" s="104" t="s">
        <v>103</v>
      </c>
    </row>
    <row r="120" spans="2:15" x14ac:dyDescent="0.2">
      <c r="C120" s="104" t="s">
        <v>126</v>
      </c>
      <c r="D120" s="105">
        <f>D109*pricing!D33*2000</f>
        <v>4622249.0851051603</v>
      </c>
      <c r="E120" s="105">
        <f>E109*pricing!E33*2000</f>
        <v>4801259.8178019831</v>
      </c>
      <c r="F120" s="105">
        <f>F109*pricing!F33*2000</f>
        <v>4378092.9798595812</v>
      </c>
      <c r="G120" s="105">
        <f>G109*pricing!G33*2000</f>
        <v>4848922.6488378029</v>
      </c>
      <c r="H120" s="105">
        <f>H109*pricing!H33*2000</f>
        <v>4929691.1253693979</v>
      </c>
      <c r="I120" s="105">
        <f>I109*pricing!I33*2000</f>
        <v>4994553.3076343378</v>
      </c>
      <c r="J120" s="105">
        <f>J109*pricing!J33*2000</f>
        <v>5518781.5156723419</v>
      </c>
      <c r="K120" s="105">
        <f>K109*pricing!K33*2000</f>
        <v>4812574.5787441172</v>
      </c>
      <c r="L120" s="105">
        <f>L109*pricing!L33*2000</f>
        <v>5173598.8734489828</v>
      </c>
      <c r="M120" s="105">
        <f>M109*pricing!M33*2000</f>
        <v>5315110.031782221</v>
      </c>
      <c r="N120" s="105">
        <f>N109*pricing!N33*2000</f>
        <v>5617694.6456341343</v>
      </c>
      <c r="O120" s="105">
        <f>O109*pricing!O33*2000</f>
        <v>5884022.1384530086</v>
      </c>
    </row>
    <row r="121" spans="2:15" x14ac:dyDescent="0.2">
      <c r="C121" s="104" t="s">
        <v>127</v>
      </c>
      <c r="D121" s="105">
        <f>D110*pricing!D34*2000</f>
        <v>5855224.3768704925</v>
      </c>
      <c r="E121" s="105">
        <f>E110*pricing!E34*2000</f>
        <v>5144458.1222902443</v>
      </c>
      <c r="F121" s="105">
        <f>F110*pricing!F34*2000</f>
        <v>5035425.1752542872</v>
      </c>
      <c r="G121" s="105">
        <f>G110*pricing!G34*2000</f>
        <v>5190073.3764274409</v>
      </c>
      <c r="H121" s="105">
        <f>H110*pricing!H34*2000</f>
        <v>4387452.5332340812</v>
      </c>
      <c r="I121" s="105">
        <f>I110*pricing!I34*2000</f>
        <v>4646412.4875468118</v>
      </c>
      <c r="J121" s="105">
        <f>J110*pricing!J34*2000</f>
        <v>5030207.4125689156</v>
      </c>
      <c r="K121" s="105">
        <f>K110*pricing!K34*2000</f>
        <v>5050181.7839725232</v>
      </c>
      <c r="L121" s="105">
        <f>L110*pricing!L34*2000</f>
        <v>4437711.9456366962</v>
      </c>
      <c r="M121" s="105">
        <f>M110*pricing!M34*2000</f>
        <v>5995250.9069189336</v>
      </c>
      <c r="N121" s="105">
        <f>N110*pricing!N34*2000</f>
        <v>5237840.4104219787</v>
      </c>
      <c r="O121" s="105">
        <f>O110*pricing!O34*2000</f>
        <v>5081548.1028207131</v>
      </c>
    </row>
    <row r="122" spans="2:15" x14ac:dyDescent="0.2">
      <c r="C122" s="104" t="s">
        <v>128</v>
      </c>
      <c r="D122" s="105">
        <f>D111*pricing!D35*2000</f>
        <v>6056183.3062086999</v>
      </c>
      <c r="E122" s="105">
        <f>E111*pricing!E35*2000</f>
        <v>5859254.538748051</v>
      </c>
      <c r="F122" s="105">
        <f>F111*pricing!F35*2000</f>
        <v>5891899.4339431189</v>
      </c>
      <c r="G122" s="105">
        <f>G111*pricing!G35*2000</f>
        <v>5130624.3303074045</v>
      </c>
      <c r="H122" s="105">
        <f>H111*pricing!H35*2000</f>
        <v>5659498.5524366535</v>
      </c>
      <c r="I122" s="105">
        <f>I111*pricing!I35*2000</f>
        <v>5431431.8638444105</v>
      </c>
      <c r="J122" s="105">
        <f>J111*pricing!J35*2000</f>
        <v>6039010.8155700127</v>
      </c>
      <c r="K122" s="105">
        <f>K111*pricing!K35*2000</f>
        <v>5242432.0162780648</v>
      </c>
      <c r="L122" s="105">
        <f>L111*pricing!L35*2000</f>
        <v>6674762.0140776476</v>
      </c>
      <c r="M122" s="105">
        <f>M111*pricing!M35*2000</f>
        <v>5927672.8055290319</v>
      </c>
      <c r="N122" s="105">
        <f>N111*pricing!N35*2000</f>
        <v>6549024.3494417612</v>
      </c>
      <c r="O122" s="105">
        <f>O111*pricing!O35*2000</f>
        <v>5531963.6826169435</v>
      </c>
    </row>
    <row r="123" spans="2:15" x14ac:dyDescent="0.2">
      <c r="C123" s="104" t="s">
        <v>129</v>
      </c>
      <c r="D123" s="105">
        <f>D112*pricing!D36*2000</f>
        <v>7331082.8141407743</v>
      </c>
      <c r="E123" s="105">
        <f>E112*pricing!E36*2000</f>
        <v>11300580.252440281</v>
      </c>
      <c r="F123" s="105">
        <f>F112*pricing!F36*2000</f>
        <v>9665786.7686893418</v>
      </c>
      <c r="G123" s="105">
        <f>G112*pricing!G36*2000</f>
        <v>9474864.7046205401</v>
      </c>
      <c r="H123" s="105">
        <f>H112*pricing!H36*2000</f>
        <v>9621440.8899364211</v>
      </c>
      <c r="I123" s="105">
        <f>I112*pricing!I36*2000</f>
        <v>10052736.338551661</v>
      </c>
      <c r="J123" s="105">
        <f>J112*pricing!J36*2000</f>
        <v>9820507.4540567044</v>
      </c>
      <c r="K123" s="105">
        <f>K112*pricing!K36*2000</f>
        <v>9283289.3749138992</v>
      </c>
      <c r="L123" s="105">
        <f>L112*pricing!L36*2000</f>
        <v>9333881.0343182031</v>
      </c>
      <c r="M123" s="105">
        <f>M112*pricing!M36*2000</f>
        <v>9682834.304472249</v>
      </c>
      <c r="N123" s="105">
        <f>N112*pricing!N36*2000</f>
        <v>9970277.6729467884</v>
      </c>
      <c r="O123" s="105">
        <f>O112*pricing!O36*2000</f>
        <v>9719354.4609137475</v>
      </c>
    </row>
    <row r="124" spans="2:15" x14ac:dyDescent="0.2">
      <c r="C124" s="104" t="s">
        <v>130</v>
      </c>
      <c r="D124" s="105">
        <f>D113*pricing!D37*2000</f>
        <v>4579031.440437817</v>
      </c>
      <c r="E124" s="105">
        <f>E113*pricing!E37*2000</f>
        <v>3902707.6728217518</v>
      </c>
      <c r="F124" s="105">
        <f>F113*pricing!F37*2000</f>
        <v>4257400.8317870423</v>
      </c>
      <c r="G124" s="105">
        <f>G113*pricing!G37*2000</f>
        <v>4196439.8835964054</v>
      </c>
      <c r="H124" s="105">
        <f>H113*pricing!H37*2000</f>
        <v>4219484.6704904903</v>
      </c>
      <c r="I124" s="105">
        <f>I113*pricing!I37*2000</f>
        <v>3920854.0304690413</v>
      </c>
      <c r="J124" s="105">
        <f>J113*pricing!J37*2000</f>
        <v>4190021.6299244901</v>
      </c>
      <c r="K124" s="105">
        <f>K113*pricing!K37*2000</f>
        <v>4507014.9745855592</v>
      </c>
      <c r="L124" s="105">
        <f>L113*pricing!L37*2000</f>
        <v>4272846.7911049109</v>
      </c>
      <c r="M124" s="105">
        <f>M113*pricing!M37*2000</f>
        <v>4837740.8950240305</v>
      </c>
      <c r="N124" s="105">
        <f>N113*pricing!N37*2000</f>
        <v>4688024.9430204993</v>
      </c>
      <c r="O124" s="105">
        <f>O113*pricing!O37*2000</f>
        <v>4286482.4594289651</v>
      </c>
    </row>
    <row r="125" spans="2:15" x14ac:dyDescent="0.2">
      <c r="C125" s="104" t="s">
        <v>131</v>
      </c>
      <c r="D125" s="105">
        <f>D114*pricing!D38*2000</f>
        <v>1810200</v>
      </c>
      <c r="E125" s="105">
        <f>E114*pricing!E38*2000</f>
        <v>1687578.4180189592</v>
      </c>
      <c r="F125" s="105">
        <f>F114*pricing!F38*2000</f>
        <v>1904720.1232614259</v>
      </c>
      <c r="G125" s="105">
        <f>G114*pricing!G38*2000</f>
        <v>1878683.5673332147</v>
      </c>
      <c r="H125" s="105">
        <f>H114*pricing!H38*2000</f>
        <v>1946559.0100213564</v>
      </c>
      <c r="I125" s="105">
        <f>I114*pricing!I38*2000</f>
        <v>1942263.4081495411</v>
      </c>
      <c r="J125" s="105">
        <f>J114*pricing!J38*2000</f>
        <v>1758684.029081495</v>
      </c>
      <c r="K125" s="105">
        <f>K114*pricing!K38*2000</f>
        <v>2094863.4615458418</v>
      </c>
      <c r="L125" s="105">
        <f>L114*pricing!L38*2000</f>
        <v>1440749.261039105</v>
      </c>
      <c r="M125" s="105">
        <f>M114*pricing!M38*2000</f>
        <v>2170824.2301163878</v>
      </c>
      <c r="N125" s="105">
        <f>N114*pricing!N38*2000</f>
        <v>2331070.5592312845</v>
      </c>
      <c r="O125" s="105">
        <f>O114*pricing!O38*2000</f>
        <v>2017677.2474279793</v>
      </c>
    </row>
    <row r="126" spans="2:15" x14ac:dyDescent="0.2">
      <c r="C126" s="104" t="s">
        <v>132</v>
      </c>
      <c r="D126" s="105">
        <f>D115*pricing!D39*2000</f>
        <v>3123026.952676788</v>
      </c>
      <c r="E126" s="105">
        <f>E115*pricing!E39*2000</f>
        <v>3264771.880692123</v>
      </c>
      <c r="F126" s="105">
        <f>F115*pricing!F39*2000</f>
        <v>3303941.4359949008</v>
      </c>
      <c r="G126" s="105">
        <f>G115*pricing!G39*2000</f>
        <v>3278799.2399486741</v>
      </c>
      <c r="H126" s="105">
        <f>H115*pricing!H39*2000</f>
        <v>3201969.0760901719</v>
      </c>
      <c r="I126" s="105">
        <f>I115*pricing!I39*2000</f>
        <v>3195384.4447045047</v>
      </c>
      <c r="J126" s="105">
        <f>J115*pricing!J39*2000</f>
        <v>2948326.0368497293</v>
      </c>
      <c r="K126" s="105">
        <f>K115*pricing!K39*2000</f>
        <v>3110565.355199418</v>
      </c>
      <c r="L126" s="105">
        <f>L115*pricing!L39*2000</f>
        <v>3504057.5102048852</v>
      </c>
      <c r="M126" s="105">
        <f>M115*pricing!M39*2000</f>
        <v>3316615.0438507409</v>
      </c>
      <c r="N126" s="105">
        <f>N115*pricing!N39*2000</f>
        <v>3232735.8931242153</v>
      </c>
      <c r="O126" s="105">
        <f>O115*pricing!O39*2000</f>
        <v>3125525.886299178</v>
      </c>
    </row>
    <row r="127" spans="2:15" x14ac:dyDescent="0.2">
      <c r="C127" s="104" t="s">
        <v>278</v>
      </c>
      <c r="D127" s="105">
        <f>SUM(D$120:D$126)</f>
        <v>33376997.975439731</v>
      </c>
      <c r="E127" s="105">
        <f t="shared" ref="E127:O127" si="1">SUM(E$120:E$126)</f>
        <v>35960610.702813394</v>
      </c>
      <c r="F127" s="105">
        <f t="shared" si="1"/>
        <v>34437266.748789698</v>
      </c>
      <c r="G127" s="105">
        <f t="shared" si="1"/>
        <v>33998407.751071483</v>
      </c>
      <c r="H127" s="105">
        <f t="shared" si="1"/>
        <v>33966095.857578576</v>
      </c>
      <c r="I127" s="105">
        <f t="shared" si="1"/>
        <v>34183635.880900308</v>
      </c>
      <c r="J127" s="105">
        <f t="shared" si="1"/>
        <v>35305538.893723689</v>
      </c>
      <c r="K127" s="105">
        <f t="shared" si="1"/>
        <v>34100921.545239426</v>
      </c>
      <c r="L127" s="105">
        <f t="shared" si="1"/>
        <v>34837607.429830432</v>
      </c>
      <c r="M127" s="105">
        <f t="shared" si="1"/>
        <v>37246048.217693597</v>
      </c>
      <c r="N127" s="105">
        <f t="shared" si="1"/>
        <v>37626668.473820657</v>
      </c>
      <c r="O127" s="105">
        <f t="shared" si="1"/>
        <v>35646573.977960534</v>
      </c>
    </row>
    <row r="129" spans="2:15" x14ac:dyDescent="0.2">
      <c r="B129" s="108" t="s">
        <v>280</v>
      </c>
    </row>
    <row r="130" spans="2:15" x14ac:dyDescent="0.2">
      <c r="C130" s="110" t="s">
        <v>277</v>
      </c>
      <c r="D130" s="110" t="s">
        <v>92</v>
      </c>
      <c r="E130" s="110" t="s">
        <v>93</v>
      </c>
      <c r="F130" s="110" t="s">
        <v>94</v>
      </c>
      <c r="G130" s="110" t="s">
        <v>95</v>
      </c>
      <c r="H130" s="110" t="s">
        <v>96</v>
      </c>
      <c r="I130" s="110" t="s">
        <v>97</v>
      </c>
      <c r="J130" s="110" t="s">
        <v>98</v>
      </c>
      <c r="K130" s="110" t="s">
        <v>99</v>
      </c>
      <c r="L130" s="110" t="s">
        <v>100</v>
      </c>
      <c r="M130" s="110" t="s">
        <v>101</v>
      </c>
      <c r="N130" s="110" t="s">
        <v>102</v>
      </c>
      <c r="O130" s="110" t="s">
        <v>103</v>
      </c>
    </row>
    <row r="131" spans="2:15" x14ac:dyDescent="0.2">
      <c r="C131" s="110" t="s">
        <v>126</v>
      </c>
      <c r="D131" s="111">
        <f>SUM(E$6:E$19)+SUM(G$6:G$19)+SUM(I$6:I$19)+SUM(K$6:K$19)</f>
        <v>796828.54144193802</v>
      </c>
      <c r="E131" s="111">
        <f>SUM(M$6:M$19)+SUM(O$6:O$19)+SUM(Q$6:Q$19)+SUM(S$6:S$19)</f>
        <v>827783.60258371942</v>
      </c>
      <c r="F131" s="111">
        <f>SUM(U$6:U$19)+SUM(W$6:W$19)+SUM(Y$6:Y$19)+SUM(AA$6:AA$19)</f>
        <v>757970.53042614379</v>
      </c>
      <c r="G131" s="111">
        <f>SUM(AC$6:AC$19)+SUM(AE$6:AE$19)+SUM(AG$6:AG$19)+SUM(AI$6:AI$19)</f>
        <v>834739.04922091181</v>
      </c>
      <c r="H131" s="111">
        <f>SUM(AK$6:AK$19)+SUM(AM$6:AM$19)+SUM(AO$6:AO$19)+SUM(AQ$6:AQ$19)</f>
        <v>847923.4325734569</v>
      </c>
      <c r="I131" s="111">
        <f>SUM(AS$6:AS$19)+SUM(AU$6:AU$19)+SUM(AW$6:AW$19)+SUM(AY$6:AY$19)</f>
        <v>861446.70119256095</v>
      </c>
      <c r="J131" s="111">
        <f>SUM(BA$6:BA$19)+SUM(BC$6:BC$19)+SUM(BE$6:BE$19)+SUM(BG$6:BG$19)</f>
        <v>953316.61741316807</v>
      </c>
      <c r="K131" s="111">
        <f>SUM(BI$6:BI$19)+SUM(BK$6:BK$19)+SUM(BM$6:BM$19)+SUM(BO$6:BO$19)</f>
        <v>833426.1950547985</v>
      </c>
      <c r="L131" s="111">
        <f>SUM(BQ$6:BQ$19)+SUM(BS$6:BS$19)+SUM(BU$6:BU$19)+SUM(BW$6:BW$19)</f>
        <v>890909.9518129495</v>
      </c>
      <c r="M131" s="111">
        <f>SUM(BY$6:BY$19)+SUM(CA$6:CA$19)+SUM(CC$6:CC$19)+SUM(CE$6:CE$19)</f>
        <v>911951.92399145372</v>
      </c>
      <c r="N131" s="111">
        <f>SUM(CG$6:CG$19)+SUM(CI$6:CI$19)+SUM(CK$6:CK$19)+SUM(CM$6:CM$19)</f>
        <v>967834.84962682729</v>
      </c>
      <c r="O131" s="111">
        <f>SUM(CO$6:CO$19)+SUM(CQ$6:CQ$19)+SUM(CS$6:CS$19)+SUM(CU$6:CU$19)</f>
        <v>1017211.2336209809</v>
      </c>
    </row>
    <row r="132" spans="2:15" x14ac:dyDescent="0.2">
      <c r="C132" s="110" t="s">
        <v>127</v>
      </c>
      <c r="D132" s="111">
        <f>SUM(E$20:E$36)+SUM(G$20:G$36)+SUM(I$20:I$36)+SUM(K$20:K$36)</f>
        <v>557891.35044972098</v>
      </c>
      <c r="E132" s="111">
        <f>SUM(M$20:M$36)+SUM(O$20:O$36)+SUM(Q$20:Q$36)+SUM(S$20:S$36)</f>
        <v>490492.57632944046</v>
      </c>
      <c r="F132" s="111">
        <f>SUM(U$20:U$36)+SUM(W$20:W$36)+SUM(Y$20:Y$36)+SUM(AA$20:AA$36)</f>
        <v>471939.75473784661</v>
      </c>
      <c r="G132" s="111">
        <f>SUM(AC$20:AC$36)+SUM(AE$20:AE$36)+SUM(AG$20:AG$36)+SUM(AI$20:AI$36)</f>
        <v>495888.41328463523</v>
      </c>
      <c r="H132" s="111">
        <f>SUM(AK$20:AK$36)+SUM(AM$20:AM$36)+SUM(AO$20:AO$36)+SUM(AQ$20:AQ$36)</f>
        <v>411207.4464587617</v>
      </c>
      <c r="I132" s="111">
        <f>SUM(AS$20:AS$36)+SUM(AU$20:AU$36)+SUM(AW$20:AW$36)+SUM(AY$20:AY$36)</f>
        <v>434821.8097524512</v>
      </c>
      <c r="J132" s="111">
        <f>SUM(BA$20:BA$36)+SUM(BC$20:BC$36)+SUM(BE$20:BE$36)+SUM(BG$20:BG$36)</f>
        <v>470066.69604951004</v>
      </c>
      <c r="K132" s="111">
        <f>SUM(BI$20:BI$36)+SUM(BK$20:BK$36)+SUM(BM$20:BM$36)+SUM(BO$20:BO$36)</f>
        <v>477491.92791494686</v>
      </c>
      <c r="L132" s="111">
        <f>SUM(BQ$20:BQ$36)+SUM(BS$20:BS$36)+SUM(BU$20:BU$36)+SUM(BW$20:BW$36)</f>
        <v>420147.870762348</v>
      </c>
      <c r="M132" s="111">
        <f>SUM(BY$20:BY$36)+SUM(CA$20:CA$36)+SUM(CC$20:CC$36)+SUM(CE$20:CE$36)</f>
        <v>573845.91937915958</v>
      </c>
      <c r="N132" s="111">
        <f>SUM(CG$20:CG$36)+SUM(CI$20:CI$36)+SUM(CK$20:CK$36)+SUM(CM$20:CM$36)</f>
        <v>498035.54145785014</v>
      </c>
      <c r="O132" s="111">
        <f>SUM(CO$20:CO$36)+SUM(CQ$20:CQ$36)+SUM(CS$20:CS$36)+SUM(CU$20:CU$36)</f>
        <v>484380.63272083562</v>
      </c>
    </row>
    <row r="133" spans="2:15" x14ac:dyDescent="0.2">
      <c r="C133" s="110" t="s">
        <v>128</v>
      </c>
      <c r="D133" s="111">
        <f>SUM(E$37:E$48)+SUM(G$37:G$48)+SUM(I$37:I$48)+SUM(K$37:K$48)</f>
        <v>1509958.2078291753</v>
      </c>
      <c r="E133" s="111">
        <f>SUM(M$37:M$48)+SUM(O$37:O$48)+SUM(Q$37:Q$48)+SUM(S$37:S$48)</f>
        <v>1454283.4315452124</v>
      </c>
      <c r="F133" s="111">
        <f>SUM(U$37:U$48)+SUM(W$37:W$48)+SUM(Y$37:Y$48)+SUM(AA$37:AA$48)</f>
        <v>1463616.0675854508</v>
      </c>
      <c r="G133" s="111">
        <f>SUM(AC$37:AC$48)+SUM(AE$37:AE$48)+SUM(AG$37:AG$48)+SUM(AI$37:AI$48)</f>
        <v>1277445.0086707426</v>
      </c>
      <c r="H133" s="111">
        <f>SUM(AK$37:AK$48)+SUM(AM$37:AM$48)+SUM(AO$37:AO$48)+SUM(AQ$37:AQ$48)</f>
        <v>1414838.45450697</v>
      </c>
      <c r="I133" s="111">
        <f>SUM(AS$37:AS$48)+SUM(AU$37:AU$48)+SUM(AW$37:AW$48)+SUM(AY$37:AY$48)</f>
        <v>1355129.8142328435</v>
      </c>
      <c r="J133" s="111">
        <f>SUM(BA$37:BA$48)+SUM(BC$37:BC$48)+SUM(BE$37:BE$48)+SUM(BG$37:BG$48)</f>
        <v>1504016.6393678649</v>
      </c>
      <c r="K133" s="111">
        <f>SUM(BI$37:BI$48)+SUM(BK$37:BK$48)+SUM(BM$37:BM$48)+SUM(BO$37:BO$48)</f>
        <v>1304464.2035276201</v>
      </c>
      <c r="L133" s="111">
        <f>SUM(BQ$37:BQ$48)+SUM(BS$37:BS$48)+SUM(BU$37:BU$48)+SUM(BW$37:BW$48)</f>
        <v>1667288.3561270256</v>
      </c>
      <c r="M133" s="111">
        <f>SUM(BY$37:BY$48)+SUM(CA$37:CA$48)+SUM(CC$37:CC$48)+SUM(CE$37:CE$48)</f>
        <v>1477474.0985393559</v>
      </c>
      <c r="N133" s="111">
        <f>SUM(CG$37:CG$48)+SUM(CI$37:CI$48)+SUM(CK$37:CK$48)+SUM(CM$37:CM$48)</f>
        <v>1634085.7345422003</v>
      </c>
      <c r="O133" s="111">
        <f>SUM(CO$37:CO$48)+SUM(CQ$37:CQ$48)+SUM(CS$37:CS$48)+SUM(CU$37:CU$48)</f>
        <v>1373630.4008221079</v>
      </c>
    </row>
    <row r="134" spans="2:15" x14ac:dyDescent="0.2">
      <c r="C134" s="110" t="s">
        <v>129</v>
      </c>
      <c r="D134" s="111">
        <f>SUM(E$49:E$70)+SUM(G$49:G$70)+SUM(I$49:I$70)+SUM(K$49:K$70)</f>
        <v>1063045.9143227069</v>
      </c>
      <c r="E134" s="111">
        <f>SUM(M$49:M$70)+SUM(O$49:O$70)+SUM(Q$49:Q$70)+SUM(S$49:S$70)</f>
        <v>1650814.5535460815</v>
      </c>
      <c r="F134" s="111">
        <f>SUM(U$49:U$70)+SUM(W$49:W$70)+SUM(Y$49:Y$70)+SUM(AA$49:AA$70)</f>
        <v>1401905.4016761619</v>
      </c>
      <c r="G134" s="111">
        <f>SUM(AC$49:AC$70)+SUM(AE$49:AE$70)+SUM(AG$49:AG$70)+SUM(AI$49:AI$70)</f>
        <v>1381480.1510916501</v>
      </c>
      <c r="H134" s="111">
        <f>SUM(AK$49:AK$70)+SUM(AM$49:AM$70)+SUM(AO$49:AO$70)+SUM(AQ$49:AQ$70)</f>
        <v>1404528.2326635057</v>
      </c>
      <c r="I134" s="111">
        <f>SUM(AS$49:AS$70)+SUM(AU$49:AU$70)+SUM(AW$49:AW$70)+SUM(AY$49:AY$70)</f>
        <v>1466979.8859537262</v>
      </c>
      <c r="J134" s="111">
        <f>SUM(BA$49:BA$70)+SUM(BC$49:BC$70)+SUM(BE$49:BE$70)+SUM(BG$49:BG$70)</f>
        <v>1426968.7142234906</v>
      </c>
      <c r="K134" s="111">
        <f>SUM(BI$49:BI$70)+SUM(BK$49:BK$70)+SUM(BM$49:BM$70)+SUM(BO$49:BO$70)</f>
        <v>1328934.7731239805</v>
      </c>
      <c r="L134" s="111">
        <f>SUM(BQ$49:BQ$70)+SUM(BS$49:BS$70)+SUM(BU$49:BU$70)+SUM(BW$49:BW$70)</f>
        <v>1356773.8742907161</v>
      </c>
      <c r="M134" s="111">
        <f>SUM(BY$49:BY$70)+SUM(CA$49:CA$70)+SUM(CC$49:CC$70)+SUM(CE$49:CE$70)</f>
        <v>1397542.6475088855</v>
      </c>
      <c r="N134" s="111">
        <f>SUM(CG$49:CG$70)+SUM(CI$49:CI$70)+SUM(CK$49:CK$70)+SUM(CM$49:CM$70)</f>
        <v>1439730.396965985</v>
      </c>
      <c r="O134" s="111">
        <f>SUM(CO$49:CO$70)+SUM(CQ$49:CQ$70)+SUM(CS$49:CS$70)+SUM(CU$49:CU$70)</f>
        <v>1396749.8040216039</v>
      </c>
    </row>
    <row r="135" spans="2:15" x14ac:dyDescent="0.2">
      <c r="C135" s="110" t="s">
        <v>130</v>
      </c>
      <c r="D135" s="111">
        <f>SUM(E$71:E$86)+SUM(G$71:G$86)+SUM(I$71:I$86)+SUM(K$71:K$86)</f>
        <v>701327.92359572998</v>
      </c>
      <c r="E135" s="111">
        <f>SUM(M$71:M$86)+SUM(O$71:O$86)+SUM(Q$71:Q$86)+SUM(S$71:S$86)</f>
        <v>598071.85411622375</v>
      </c>
      <c r="F135" s="111">
        <f>SUM(U$71:U$86)+SUM(W$71:W$86)+SUM(Y$71:Y$86)+SUM(AA$71:AA$86)</f>
        <v>652551.80720623396</v>
      </c>
      <c r="G135" s="111">
        <f>SUM(AC$71:AC$86)+SUM(AE$71:AE$86)+SUM(AG$71:AG$86)+SUM(AI$71:AI$86)</f>
        <v>643446.72792326589</v>
      </c>
      <c r="H135" s="111">
        <f>SUM(AK$71:AK$86)+SUM(AM$71:AM$86)+SUM(AO$71:AO$86)+SUM(AQ$71:AQ$86)</f>
        <v>650839.24782225722</v>
      </c>
      <c r="I135" s="111">
        <f>SUM(AS$71:AS$86)+SUM(AU$71:AU$86)+SUM(AW$71:AW$86)+SUM(AY$71:AY$86)</f>
        <v>599362.7346767995</v>
      </c>
      <c r="J135" s="111">
        <f>SUM(BA$71:BA$86)+SUM(BC$71:BC$86)+SUM(BE$71:BE$86)+SUM(BG$71:BG$86)</f>
        <v>641023.30724116508</v>
      </c>
      <c r="K135" s="111">
        <f>SUM(BI$71:BI$86)+SUM(BK$71:BK$86)+SUM(BM$71:BM$86)+SUM(BO$71:BO$86)</f>
        <v>688806.62127177406</v>
      </c>
      <c r="L135" s="111">
        <f>SUM(BQ$71:BQ$86)+SUM(BS$71:BS$86)+SUM(BU$71:BU$86)+SUM(BW$71:BW$86)</f>
        <v>656663.12813370244</v>
      </c>
      <c r="M135" s="111">
        <f>SUM(BY$71:BY$86)+SUM(CA$71:CA$86)+SUM(CC$71:CC$86)+SUM(CE$71:CE$86)</f>
        <v>741732.06207162025</v>
      </c>
      <c r="N135" s="111">
        <f>SUM(CG$71:CG$86)+SUM(CI$71:CI$86)+SUM(CK$71:CK$86)+SUM(CM$71:CM$86)</f>
        <v>721563.44022395485</v>
      </c>
      <c r="O135" s="111">
        <f>SUM(CO$71:CO$86)+SUM(CQ$71:CQ$86)+SUM(CS$71:CS$86)+SUM(CU$71:CU$86)</f>
        <v>659214.86769804696</v>
      </c>
    </row>
    <row r="136" spans="2:15" x14ac:dyDescent="0.2">
      <c r="C136" s="110" t="s">
        <v>131</v>
      </c>
      <c r="D136" s="111">
        <f>SUM(E$87:E$94)+SUM(G$87:G$94)+SUM(I$87:I$94)+SUM(K$87:K$94)</f>
        <v>341346</v>
      </c>
      <c r="E136" s="111">
        <f>SUM(M$87:M$94)+SUM(O$87:O$94)+SUM(Q$87:Q$94)+SUM(S$87:S$94)</f>
        <v>317610.9715003607</v>
      </c>
      <c r="F136" s="111">
        <f>SUM(U$87:U$94)+SUM(W$87:W$94)+SUM(Y$87:Y$94)+SUM(AA$87:AA$94)</f>
        <v>357834.4558869265</v>
      </c>
      <c r="G136" s="111">
        <f>SUM(AC$87:AC$94)+SUM(AE$87:AE$94)+SUM(AG$87:AG$94)+SUM(AI$87:AI$94)</f>
        <v>352708.83593257394</v>
      </c>
      <c r="H136" s="111">
        <f>SUM(AK$87:AK$94)+SUM(AM$87:AM$94)+SUM(AO$87:AO$94)+SUM(AQ$87:AQ$94)</f>
        <v>365046.86791224789</v>
      </c>
      <c r="I136" s="111">
        <f>SUM(AS$87:AS$94)+SUM(AU$87:AU$94)+SUM(AW$87:AW$94)+SUM(AY$87:AY$94)</f>
        <v>364505.86595910403</v>
      </c>
      <c r="J136" s="111">
        <f>SUM(BA$87:BA$94)+SUM(BC$87:BC$94)+SUM(BE$87:BE$94)+SUM(BG$87:BG$94)</f>
        <v>329882.2701061524</v>
      </c>
      <c r="K136" s="111">
        <f>SUM(BI$87:BI$94)+SUM(BK$87:BK$94)+SUM(BM$87:BM$94)+SUM(BO$87:BO$94)</f>
        <v>393592.08303543704</v>
      </c>
      <c r="L136" s="111">
        <f>SUM(BQ$87:BQ$94)+SUM(BS$87:BS$94)+SUM(BU$87:BU$94)+SUM(BW$87:BW$94)</f>
        <v>270071.11054553854</v>
      </c>
      <c r="M136" s="111">
        <f>SUM(BY$87:BY$94)+SUM(CA$87:CA$94)+SUM(CC$87:CC$94)+SUM(CE$87:CE$94)</f>
        <v>407693.58582184091</v>
      </c>
      <c r="N136" s="111">
        <f>SUM(CG$87:CG$94)+SUM(CI$87:CI$94)+SUM(CK$87:CK$94)+SUM(CM$87:CM$94)</f>
        <v>437956.43853692152</v>
      </c>
      <c r="O136" s="111">
        <f>SUM(CO$87:CO$94)+SUM(CQ$87:CQ$94)+SUM(CS$87:CS$94)+SUM(CU$87:CU$94)</f>
        <v>379694.95848836371</v>
      </c>
    </row>
    <row r="137" spans="2:15" x14ac:dyDescent="0.2">
      <c r="C137" s="110" t="s">
        <v>132</v>
      </c>
      <c r="D137" s="111">
        <f>SUM(E$95:E$105)+SUM(G$95:G$105)+SUM(I$95:I$105)+SUM(K$95:K$105)</f>
        <v>487972.75175567367</v>
      </c>
      <c r="E137" s="111">
        <f>SUM(M$95:M$105)+SUM(O$95:O$105)+SUM(Q$95:Q$105)+SUM(S$95:S$105)</f>
        <v>523242.06859858218</v>
      </c>
      <c r="F137" s="111">
        <f>SUM(U$95:U$105)+SUM(W$95:W$105)+SUM(Y$95:Y$105)+SUM(AA$95:AA$105)</f>
        <v>531381.03910015384</v>
      </c>
      <c r="G137" s="111">
        <f>SUM(AC$95:AC$105)+SUM(AE$95:AE$105)+SUM(AG$95:AG$105)+SUM(AI$95:AI$105)</f>
        <v>531168.11640796962</v>
      </c>
      <c r="H137" s="111">
        <f>SUM(AK$95:AK$105)+SUM(AM$95:AM$105)+SUM(AO$95:AO$105)+SUM(AQ$95:AQ$105)</f>
        <v>510445.62778657855</v>
      </c>
      <c r="I137" s="111">
        <f>SUM(AS$95:AS$105)+SUM(AU$95:AU$105)+SUM(AW$95:AW$105)+SUM(AY$95:AY$105)</f>
        <v>510807.86765839561</v>
      </c>
      <c r="J137" s="111">
        <f>SUM(BA$95:BA$105)+SUM(BC$95:BC$105)+SUM(BE$95:BE$105)+SUM(BG$95:BG$105)</f>
        <v>466544.77028909628</v>
      </c>
      <c r="K137" s="111">
        <f>SUM(BI$95:BI$105)+SUM(BK$95:BK$105)+SUM(BM$95:BM$105)+SUM(BO$95:BO$105)</f>
        <v>483068.93966264732</v>
      </c>
      <c r="L137" s="111">
        <f>SUM(BQ$95:BQ$105)+SUM(BS$95:BS$105)+SUM(BU$95:BU$105)+SUM(BW$95:BW$105)</f>
        <v>553132.893623663</v>
      </c>
      <c r="M137" s="111">
        <f>SUM(BY$95:BY$105)+SUM(CA$95:CA$105)+SUM(CC$95:CC$105)+SUM(CE$95:CE$105)</f>
        <v>529592.34532367624</v>
      </c>
      <c r="N137" s="111">
        <f>SUM(CG$95:CG$105)+SUM(CI$95:CI$105)+SUM(CK$95:CK$105)+SUM(CM$95:CM$105)</f>
        <v>500858.89451194461</v>
      </c>
      <c r="O137" s="111">
        <f>SUM(CO$95:CO$105)+SUM(CQ$95:CQ$105)+SUM(CS$95:CS$105)+SUM(CU$95:CU$105)</f>
        <v>501312.28612066654</v>
      </c>
    </row>
    <row r="138" spans="2:15" x14ac:dyDescent="0.2">
      <c r="C138" s="110" t="s">
        <v>278</v>
      </c>
      <c r="D138" s="105">
        <f t="shared" ref="D138:O138" si="2">SUM(D$131:D$137)</f>
        <v>5458370.6893949443</v>
      </c>
      <c r="E138" s="105">
        <f t="shared" si="2"/>
        <v>5862299.05821962</v>
      </c>
      <c r="F138" s="105">
        <f t="shared" si="2"/>
        <v>5637199.0566189177</v>
      </c>
      <c r="G138" s="105">
        <f t="shared" si="2"/>
        <v>5516876.3025317499</v>
      </c>
      <c r="H138" s="105">
        <f t="shared" si="2"/>
        <v>5604829.3097237777</v>
      </c>
      <c r="I138" s="105">
        <f t="shared" si="2"/>
        <v>5593054.6794258812</v>
      </c>
      <c r="J138" s="105">
        <f t="shared" si="2"/>
        <v>5791819.0146904467</v>
      </c>
      <c r="K138" s="105">
        <f t="shared" si="2"/>
        <v>5509784.7435912052</v>
      </c>
      <c r="L138" s="105">
        <f t="shared" si="2"/>
        <v>5814987.1852959422</v>
      </c>
      <c r="M138" s="105">
        <f t="shared" si="2"/>
        <v>6039832.5826359922</v>
      </c>
      <c r="N138" s="105">
        <f t="shared" si="2"/>
        <v>6200065.2958656838</v>
      </c>
      <c r="O138" s="105">
        <f t="shared" si="2"/>
        <v>5812194.1834926056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5"/>
    <col min="3" max="3" width="14.5703125" style="105" bestFit="1" customWidth="1"/>
    <col min="4" max="4" width="16.85546875" style="105" bestFit="1" customWidth="1"/>
    <col min="5" max="5" width="22.85546875" style="105" bestFit="1" customWidth="1"/>
    <col min="6" max="16384" width="9.140625" style="105"/>
  </cols>
  <sheetData>
    <row r="1" spans="1:5" x14ac:dyDescent="0.2">
      <c r="A1" s="104" t="s">
        <v>167</v>
      </c>
      <c r="B1" s="104" t="s">
        <v>168</v>
      </c>
      <c r="C1" s="104" t="s">
        <v>169</v>
      </c>
      <c r="D1" s="104" t="s">
        <v>170</v>
      </c>
      <c r="E1" s="104" t="s">
        <v>171</v>
      </c>
    </row>
    <row r="2" spans="1:5" x14ac:dyDescent="0.2">
      <c r="A2" s="104" t="s">
        <v>126</v>
      </c>
      <c r="B2" s="104" t="s">
        <v>172</v>
      </c>
      <c r="C2" s="105" t="s">
        <v>49</v>
      </c>
      <c r="D2" s="105">
        <v>569</v>
      </c>
      <c r="E2" s="105">
        <v>682.8</v>
      </c>
    </row>
    <row r="3" spans="1:5" x14ac:dyDescent="0.2">
      <c r="B3" s="104" t="s">
        <v>173</v>
      </c>
      <c r="C3" s="105" t="s">
        <v>49</v>
      </c>
      <c r="D3" s="105">
        <v>719</v>
      </c>
      <c r="E3" s="105">
        <v>862.8</v>
      </c>
    </row>
    <row r="4" spans="1:5" x14ac:dyDescent="0.2">
      <c r="B4" s="104" t="s">
        <v>174</v>
      </c>
      <c r="C4" s="105" t="s">
        <v>49</v>
      </c>
      <c r="D4" s="105">
        <v>273</v>
      </c>
      <c r="E4" s="105">
        <v>327.59999999999997</v>
      </c>
    </row>
    <row r="5" spans="1:5" x14ac:dyDescent="0.2">
      <c r="B5" s="104" t="s">
        <v>175</v>
      </c>
      <c r="C5" s="105" t="s">
        <v>49</v>
      </c>
      <c r="D5" s="105">
        <v>669</v>
      </c>
      <c r="E5" s="105">
        <v>802.8</v>
      </c>
    </row>
    <row r="6" spans="1:5" x14ac:dyDescent="0.2">
      <c r="B6" s="104" t="s">
        <v>176</v>
      </c>
      <c r="C6" s="105" t="s">
        <v>49</v>
      </c>
      <c r="D6" s="105">
        <v>464</v>
      </c>
      <c r="E6" s="105">
        <v>556.79999999999995</v>
      </c>
    </row>
    <row r="7" spans="1:5" x14ac:dyDescent="0.2">
      <c r="B7" s="104" t="s">
        <v>177</v>
      </c>
      <c r="C7" s="105" t="s">
        <v>49</v>
      </c>
      <c r="D7" s="105">
        <v>499</v>
      </c>
      <c r="E7" s="105">
        <v>598.79999999999995</v>
      </c>
    </row>
    <row r="8" spans="1:5" x14ac:dyDescent="0.2">
      <c r="B8" s="104" t="s">
        <v>178</v>
      </c>
      <c r="C8" s="105" t="s">
        <v>49</v>
      </c>
      <c r="D8" s="105">
        <v>504</v>
      </c>
      <c r="E8" s="105">
        <v>604.79999999999995</v>
      </c>
    </row>
    <row r="9" spans="1:5" x14ac:dyDescent="0.2">
      <c r="B9" s="104" t="s">
        <v>179</v>
      </c>
      <c r="C9" s="105" t="s">
        <v>49</v>
      </c>
      <c r="D9" s="105">
        <v>139</v>
      </c>
      <c r="E9" s="105">
        <v>166.79999999999998</v>
      </c>
    </row>
    <row r="10" spans="1:5" x14ac:dyDescent="0.2">
      <c r="B10" s="104" t="s">
        <v>180</v>
      </c>
      <c r="C10" s="105" t="s">
        <v>49</v>
      </c>
      <c r="D10" s="105">
        <v>416</v>
      </c>
      <c r="E10" s="105">
        <v>499.2</v>
      </c>
    </row>
    <row r="11" spans="1:5" x14ac:dyDescent="0.2">
      <c r="B11" s="104" t="s">
        <v>181</v>
      </c>
      <c r="C11" s="105" t="s">
        <v>49</v>
      </c>
      <c r="D11" s="105">
        <v>687</v>
      </c>
      <c r="E11" s="105">
        <v>824.4</v>
      </c>
    </row>
    <row r="12" spans="1:5" x14ac:dyDescent="0.2">
      <c r="B12" s="104" t="s">
        <v>182</v>
      </c>
      <c r="C12" s="105" t="s">
        <v>49</v>
      </c>
      <c r="D12" s="105">
        <v>424</v>
      </c>
      <c r="E12" s="105">
        <v>508.7999999999999</v>
      </c>
    </row>
    <row r="13" spans="1:5" x14ac:dyDescent="0.2">
      <c r="B13" s="104" t="s">
        <v>183</v>
      </c>
      <c r="C13" s="105" t="s">
        <v>49</v>
      </c>
      <c r="D13" s="105">
        <v>414</v>
      </c>
      <c r="E13" s="105">
        <v>496.79999999999995</v>
      </c>
    </row>
    <row r="14" spans="1:5" x14ac:dyDescent="0.2">
      <c r="B14" s="104" t="s">
        <v>184</v>
      </c>
      <c r="C14" s="105" t="s">
        <v>49</v>
      </c>
      <c r="D14" s="105">
        <v>609</v>
      </c>
      <c r="E14" s="105">
        <v>730.8</v>
      </c>
    </row>
    <row r="15" spans="1:5" x14ac:dyDescent="0.2">
      <c r="B15" s="104" t="s">
        <v>185</v>
      </c>
      <c r="C15" s="105" t="s">
        <v>49</v>
      </c>
      <c r="D15" s="105">
        <v>322</v>
      </c>
      <c r="E15" s="105">
        <v>386.4</v>
      </c>
    </row>
    <row r="16" spans="1:5" x14ac:dyDescent="0.2">
      <c r="A16" s="104" t="s">
        <v>127</v>
      </c>
      <c r="B16" s="104" t="s">
        <v>186</v>
      </c>
      <c r="C16" s="105" t="s">
        <v>49</v>
      </c>
      <c r="D16" s="105">
        <v>80</v>
      </c>
      <c r="E16" s="105">
        <v>96</v>
      </c>
    </row>
    <row r="17" spans="2:5" x14ac:dyDescent="0.2">
      <c r="B17" s="104" t="s">
        <v>187</v>
      </c>
      <c r="C17" s="105" t="s">
        <v>49</v>
      </c>
      <c r="D17" s="105">
        <v>202</v>
      </c>
      <c r="E17" s="105">
        <v>242.39999999999998</v>
      </c>
    </row>
    <row r="18" spans="2:5" x14ac:dyDescent="0.2">
      <c r="B18" s="104" t="s">
        <v>188</v>
      </c>
      <c r="C18" s="105" t="s">
        <v>49</v>
      </c>
      <c r="D18" s="105">
        <v>52</v>
      </c>
      <c r="E18" s="105">
        <v>62.4</v>
      </c>
    </row>
    <row r="19" spans="2:5" x14ac:dyDescent="0.2">
      <c r="B19" s="104" t="s">
        <v>189</v>
      </c>
      <c r="C19" s="105" t="s">
        <v>49</v>
      </c>
      <c r="D19" s="105">
        <v>233</v>
      </c>
      <c r="E19" s="105">
        <v>279.59999999999997</v>
      </c>
    </row>
    <row r="20" spans="2:5" x14ac:dyDescent="0.2">
      <c r="B20" s="104" t="s">
        <v>190</v>
      </c>
      <c r="C20" s="105" t="s">
        <v>49</v>
      </c>
      <c r="D20" s="105">
        <v>254</v>
      </c>
      <c r="E20" s="105">
        <v>304.8</v>
      </c>
    </row>
    <row r="21" spans="2:5" x14ac:dyDescent="0.2">
      <c r="B21" s="104" t="s">
        <v>191</v>
      </c>
      <c r="C21" s="105" t="s">
        <v>49</v>
      </c>
      <c r="D21" s="105">
        <v>271</v>
      </c>
      <c r="E21" s="105">
        <v>325.2</v>
      </c>
    </row>
    <row r="22" spans="2:5" x14ac:dyDescent="0.2">
      <c r="B22" s="104" t="s">
        <v>192</v>
      </c>
      <c r="C22" s="105" t="s">
        <v>49</v>
      </c>
      <c r="D22" s="105">
        <v>239</v>
      </c>
      <c r="E22" s="105">
        <v>286.8</v>
      </c>
    </row>
    <row r="23" spans="2:5" x14ac:dyDescent="0.2">
      <c r="B23" s="104" t="s">
        <v>193</v>
      </c>
      <c r="C23" s="105" t="s">
        <v>49</v>
      </c>
      <c r="D23" s="105">
        <v>263</v>
      </c>
      <c r="E23" s="105">
        <v>315.59999999999997</v>
      </c>
    </row>
    <row r="24" spans="2:5" x14ac:dyDescent="0.2">
      <c r="B24" s="104" t="s">
        <v>194</v>
      </c>
      <c r="C24" s="105" t="s">
        <v>70</v>
      </c>
      <c r="D24" s="105">
        <v>478</v>
      </c>
      <c r="E24" s="105">
        <v>573.6</v>
      </c>
    </row>
    <row r="25" spans="2:5" x14ac:dyDescent="0.2">
      <c r="B25" s="104" t="s">
        <v>195</v>
      </c>
      <c r="C25" s="105" t="s">
        <v>49</v>
      </c>
      <c r="D25" s="105">
        <v>196</v>
      </c>
      <c r="E25" s="105">
        <v>235.2</v>
      </c>
    </row>
    <row r="26" spans="2:5" x14ac:dyDescent="0.2">
      <c r="B26" s="104" t="s">
        <v>196</v>
      </c>
      <c r="C26" s="105" t="s">
        <v>49</v>
      </c>
      <c r="D26" s="105">
        <v>193</v>
      </c>
      <c r="E26" s="105">
        <v>231.6</v>
      </c>
    </row>
    <row r="27" spans="2:5" x14ac:dyDescent="0.2">
      <c r="B27" s="104" t="s">
        <v>197</v>
      </c>
      <c r="C27" s="105" t="s">
        <v>49</v>
      </c>
      <c r="D27" s="105">
        <v>148</v>
      </c>
      <c r="E27" s="105">
        <v>177.6</v>
      </c>
    </row>
    <row r="28" spans="2:5" x14ac:dyDescent="0.2">
      <c r="B28" s="104" t="s">
        <v>198</v>
      </c>
      <c r="C28" s="105" t="s">
        <v>70</v>
      </c>
      <c r="D28" s="105">
        <v>553</v>
      </c>
      <c r="E28" s="105">
        <v>663.6</v>
      </c>
    </row>
    <row r="29" spans="2:5" x14ac:dyDescent="0.2">
      <c r="B29" s="104" t="s">
        <v>199</v>
      </c>
      <c r="C29" s="105" t="s">
        <v>49</v>
      </c>
      <c r="D29" s="105">
        <v>279</v>
      </c>
      <c r="E29" s="105">
        <v>334.8</v>
      </c>
    </row>
    <row r="30" spans="2:5" x14ac:dyDescent="0.2">
      <c r="B30" s="104" t="s">
        <v>200</v>
      </c>
      <c r="C30" s="105" t="s">
        <v>49</v>
      </c>
      <c r="D30" s="105">
        <v>317</v>
      </c>
      <c r="E30" s="105">
        <v>380.4</v>
      </c>
    </row>
    <row r="31" spans="2:5" x14ac:dyDescent="0.2">
      <c r="B31" s="104" t="s">
        <v>201</v>
      </c>
      <c r="C31" s="105" t="s">
        <v>49</v>
      </c>
      <c r="D31" s="105">
        <v>342</v>
      </c>
      <c r="E31" s="105">
        <v>410.4</v>
      </c>
    </row>
    <row r="32" spans="2:5" x14ac:dyDescent="0.2">
      <c r="B32" s="104" t="s">
        <v>202</v>
      </c>
      <c r="C32" s="105" t="s">
        <v>70</v>
      </c>
      <c r="D32" s="105">
        <v>382</v>
      </c>
      <c r="E32" s="105">
        <v>458.4</v>
      </c>
    </row>
    <row r="33" spans="1:5" x14ac:dyDescent="0.2">
      <c r="A33" s="104" t="s">
        <v>128</v>
      </c>
      <c r="B33" s="104" t="s">
        <v>203</v>
      </c>
      <c r="C33" s="105" t="s">
        <v>49</v>
      </c>
      <c r="D33" s="105">
        <v>543</v>
      </c>
      <c r="E33" s="105">
        <v>651.6</v>
      </c>
    </row>
    <row r="34" spans="1:5" x14ac:dyDescent="0.2">
      <c r="B34" s="104" t="s">
        <v>204</v>
      </c>
      <c r="C34" s="105" t="s">
        <v>49</v>
      </c>
      <c r="D34" s="105">
        <v>860</v>
      </c>
      <c r="E34" s="105">
        <v>1032</v>
      </c>
    </row>
    <row r="35" spans="1:5" x14ac:dyDescent="0.2">
      <c r="B35" s="104" t="s">
        <v>205</v>
      </c>
      <c r="C35" s="105" t="s">
        <v>49</v>
      </c>
      <c r="D35" s="105">
        <v>1010</v>
      </c>
      <c r="E35" s="105">
        <v>1212</v>
      </c>
    </row>
    <row r="36" spans="1:5" x14ac:dyDescent="0.2">
      <c r="B36" s="104" t="s">
        <v>206</v>
      </c>
      <c r="C36" s="105" t="s">
        <v>49</v>
      </c>
      <c r="D36" s="105">
        <v>431</v>
      </c>
      <c r="E36" s="105">
        <v>517.19999999999993</v>
      </c>
    </row>
    <row r="37" spans="1:5" x14ac:dyDescent="0.2">
      <c r="B37" s="104" t="s">
        <v>207</v>
      </c>
      <c r="C37" s="105" t="s">
        <v>49</v>
      </c>
      <c r="D37" s="105">
        <v>379</v>
      </c>
      <c r="E37" s="105">
        <v>454.8</v>
      </c>
    </row>
    <row r="38" spans="1:5" x14ac:dyDescent="0.2">
      <c r="B38" s="104" t="s">
        <v>208</v>
      </c>
      <c r="C38" s="105" t="s">
        <v>49</v>
      </c>
      <c r="D38" s="105">
        <v>580</v>
      </c>
      <c r="E38" s="105">
        <v>696</v>
      </c>
    </row>
    <row r="39" spans="1:5" x14ac:dyDescent="0.2">
      <c r="B39" s="104" t="s">
        <v>209</v>
      </c>
      <c r="C39" s="105" t="s">
        <v>49</v>
      </c>
      <c r="D39" s="105">
        <v>679</v>
      </c>
      <c r="E39" s="105">
        <v>814.8</v>
      </c>
    </row>
    <row r="40" spans="1:5" x14ac:dyDescent="0.2">
      <c r="B40" s="104" t="s">
        <v>210</v>
      </c>
      <c r="C40" s="105" t="s">
        <v>49</v>
      </c>
      <c r="D40" s="105">
        <v>703</v>
      </c>
      <c r="E40" s="105">
        <v>843.6</v>
      </c>
    </row>
    <row r="41" spans="1:5" x14ac:dyDescent="0.2">
      <c r="B41" s="104" t="s">
        <v>211</v>
      </c>
      <c r="C41" s="105" t="s">
        <v>49</v>
      </c>
      <c r="D41" s="105">
        <v>867</v>
      </c>
      <c r="E41" s="105">
        <v>1040.3999999999999</v>
      </c>
    </row>
    <row r="42" spans="1:5" x14ac:dyDescent="0.2">
      <c r="B42" s="104" t="s">
        <v>212</v>
      </c>
      <c r="C42" s="105" t="s">
        <v>49</v>
      </c>
      <c r="D42" s="105">
        <v>848</v>
      </c>
      <c r="E42" s="105">
        <v>1017.5999999999998</v>
      </c>
    </row>
    <row r="43" spans="1:5" x14ac:dyDescent="0.2">
      <c r="B43" s="104" t="s">
        <v>213</v>
      </c>
      <c r="C43" s="105" t="s">
        <v>49</v>
      </c>
      <c r="D43" s="105">
        <v>1098</v>
      </c>
      <c r="E43" s="105">
        <v>1317.6</v>
      </c>
    </row>
    <row r="44" spans="1:5" x14ac:dyDescent="0.2">
      <c r="B44" s="104" t="s">
        <v>214</v>
      </c>
      <c r="C44" s="105" t="s">
        <v>49</v>
      </c>
      <c r="D44" s="105">
        <v>548</v>
      </c>
      <c r="E44" s="105">
        <v>657.6</v>
      </c>
    </row>
    <row r="45" spans="1:5" x14ac:dyDescent="0.2">
      <c r="A45" s="104" t="s">
        <v>129</v>
      </c>
      <c r="B45" s="104" t="s">
        <v>215</v>
      </c>
      <c r="C45" s="105" t="s">
        <v>34</v>
      </c>
      <c r="D45" s="105">
        <v>493</v>
      </c>
      <c r="E45" s="105">
        <v>591.6</v>
      </c>
    </row>
    <row r="46" spans="1:5" x14ac:dyDescent="0.2">
      <c r="B46" s="104" t="s">
        <v>216</v>
      </c>
      <c r="C46" s="105" t="s">
        <v>49</v>
      </c>
      <c r="D46" s="105">
        <v>322</v>
      </c>
      <c r="E46" s="105">
        <v>386.4</v>
      </c>
    </row>
    <row r="47" spans="1:5" x14ac:dyDescent="0.2">
      <c r="B47" s="104" t="s">
        <v>217</v>
      </c>
      <c r="C47" s="105" t="s">
        <v>70</v>
      </c>
      <c r="D47" s="105">
        <v>113</v>
      </c>
      <c r="E47" s="105">
        <v>135.6</v>
      </c>
    </row>
    <row r="48" spans="1:5" x14ac:dyDescent="0.2">
      <c r="B48" s="104" t="s">
        <v>218</v>
      </c>
      <c r="C48" s="105" t="s">
        <v>70</v>
      </c>
      <c r="D48" s="105">
        <v>222</v>
      </c>
      <c r="E48" s="105">
        <v>266.39999999999998</v>
      </c>
    </row>
    <row r="49" spans="2:5" x14ac:dyDescent="0.2">
      <c r="B49" s="104" t="s">
        <v>219</v>
      </c>
      <c r="C49" s="105" t="s">
        <v>70</v>
      </c>
      <c r="D49" s="105">
        <v>327</v>
      </c>
      <c r="E49" s="105">
        <v>392.4</v>
      </c>
    </row>
    <row r="50" spans="2:5" x14ac:dyDescent="0.2">
      <c r="B50" s="104" t="s">
        <v>220</v>
      </c>
      <c r="C50" s="105" t="s">
        <v>49</v>
      </c>
      <c r="D50" s="105">
        <v>340</v>
      </c>
      <c r="E50" s="105">
        <v>408</v>
      </c>
    </row>
    <row r="51" spans="2:5" x14ac:dyDescent="0.2">
      <c r="B51" s="104" t="s">
        <v>221</v>
      </c>
      <c r="C51" s="105" t="s">
        <v>70</v>
      </c>
      <c r="D51" s="105">
        <v>212</v>
      </c>
      <c r="E51" s="105">
        <v>254.39999999999995</v>
      </c>
    </row>
    <row r="52" spans="2:5" x14ac:dyDescent="0.2">
      <c r="B52" s="104" t="s">
        <v>222</v>
      </c>
      <c r="C52" s="105" t="s">
        <v>34</v>
      </c>
      <c r="D52" s="105">
        <v>632</v>
      </c>
      <c r="E52" s="105">
        <v>758.4</v>
      </c>
    </row>
    <row r="53" spans="2:5" x14ac:dyDescent="0.2">
      <c r="B53" s="104" t="s">
        <v>223</v>
      </c>
      <c r="C53" s="105" t="s">
        <v>70</v>
      </c>
      <c r="D53" s="105">
        <v>583</v>
      </c>
      <c r="E53" s="105">
        <v>699.6</v>
      </c>
    </row>
    <row r="54" spans="2:5" x14ac:dyDescent="0.2">
      <c r="B54" s="104" t="s">
        <v>224</v>
      </c>
      <c r="C54" s="105" t="s">
        <v>34</v>
      </c>
      <c r="D54" s="105">
        <v>630</v>
      </c>
      <c r="E54" s="105">
        <v>756</v>
      </c>
    </row>
    <row r="55" spans="2:5" x14ac:dyDescent="0.2">
      <c r="B55" s="104" t="s">
        <v>225</v>
      </c>
      <c r="C55" s="105" t="s">
        <v>49</v>
      </c>
      <c r="D55" s="105">
        <v>366</v>
      </c>
      <c r="E55" s="105">
        <v>439.2</v>
      </c>
    </row>
    <row r="56" spans="2:5" x14ac:dyDescent="0.2">
      <c r="B56" s="104" t="s">
        <v>226</v>
      </c>
      <c r="C56" s="105" t="s">
        <v>70</v>
      </c>
      <c r="D56" s="105">
        <v>175</v>
      </c>
      <c r="E56" s="105">
        <v>210</v>
      </c>
    </row>
    <row r="57" spans="2:5" x14ac:dyDescent="0.2">
      <c r="B57" s="104" t="s">
        <v>227</v>
      </c>
      <c r="C57" s="105" t="s">
        <v>70</v>
      </c>
      <c r="D57" s="105">
        <v>165</v>
      </c>
      <c r="E57" s="105">
        <v>198</v>
      </c>
    </row>
    <row r="58" spans="2:5" x14ac:dyDescent="0.2">
      <c r="B58" s="104" t="s">
        <v>228</v>
      </c>
      <c r="C58" s="105" t="s">
        <v>70</v>
      </c>
      <c r="D58" s="105">
        <v>797</v>
      </c>
      <c r="E58" s="105">
        <v>956.4</v>
      </c>
    </row>
    <row r="59" spans="2:5" x14ac:dyDescent="0.2">
      <c r="B59" s="104" t="s">
        <v>229</v>
      </c>
      <c r="C59" s="105" t="s">
        <v>70</v>
      </c>
      <c r="D59" s="105">
        <v>25</v>
      </c>
      <c r="E59" s="105">
        <v>30</v>
      </c>
    </row>
    <row r="60" spans="2:5" x14ac:dyDescent="0.2">
      <c r="B60" s="104" t="s">
        <v>230</v>
      </c>
      <c r="C60" s="105" t="s">
        <v>70</v>
      </c>
      <c r="D60" s="105">
        <v>187</v>
      </c>
      <c r="E60" s="105">
        <v>224.4</v>
      </c>
    </row>
    <row r="61" spans="2:5" x14ac:dyDescent="0.2">
      <c r="B61" s="104" t="s">
        <v>231</v>
      </c>
      <c r="C61" s="105" t="s">
        <v>70</v>
      </c>
      <c r="D61" s="105">
        <v>412</v>
      </c>
      <c r="E61" s="105">
        <v>494.4</v>
      </c>
    </row>
    <row r="62" spans="2:5" x14ac:dyDescent="0.2">
      <c r="B62" s="104" t="s">
        <v>232</v>
      </c>
      <c r="C62" s="105" t="s">
        <v>70</v>
      </c>
      <c r="D62" s="105">
        <v>332</v>
      </c>
      <c r="E62" s="105">
        <v>398.4</v>
      </c>
    </row>
    <row r="63" spans="2:5" x14ac:dyDescent="0.2">
      <c r="B63" s="104" t="s">
        <v>233</v>
      </c>
      <c r="C63" s="105" t="s">
        <v>70</v>
      </c>
      <c r="D63" s="105">
        <v>395</v>
      </c>
      <c r="E63" s="105">
        <v>474</v>
      </c>
    </row>
    <row r="64" spans="2:5" x14ac:dyDescent="0.2">
      <c r="B64" s="104" t="s">
        <v>234</v>
      </c>
      <c r="C64" s="105" t="s">
        <v>70</v>
      </c>
      <c r="D64" s="105">
        <v>225</v>
      </c>
      <c r="E64" s="105">
        <v>270</v>
      </c>
    </row>
    <row r="65" spans="1:5" x14ac:dyDescent="0.2">
      <c r="B65" s="104" t="s">
        <v>235</v>
      </c>
      <c r="C65" s="105" t="s">
        <v>70</v>
      </c>
      <c r="D65" s="105">
        <v>144</v>
      </c>
      <c r="E65" s="105">
        <v>172.79999999999998</v>
      </c>
    </row>
    <row r="66" spans="1:5" x14ac:dyDescent="0.2">
      <c r="B66" s="104" t="s">
        <v>236</v>
      </c>
      <c r="C66" s="105" t="s">
        <v>70</v>
      </c>
      <c r="D66" s="105">
        <v>358</v>
      </c>
      <c r="E66" s="105">
        <v>429.59999999999997</v>
      </c>
    </row>
    <row r="67" spans="1:5" x14ac:dyDescent="0.2">
      <c r="A67" s="104" t="s">
        <v>130</v>
      </c>
      <c r="B67" s="104" t="s">
        <v>237</v>
      </c>
      <c r="C67" s="105" t="s">
        <v>34</v>
      </c>
      <c r="D67" s="105">
        <v>153</v>
      </c>
      <c r="E67" s="105">
        <v>183.6</v>
      </c>
    </row>
    <row r="68" spans="1:5" x14ac:dyDescent="0.2">
      <c r="B68" s="104" t="s">
        <v>238</v>
      </c>
      <c r="C68" s="105" t="s">
        <v>34</v>
      </c>
      <c r="D68" s="105">
        <v>408</v>
      </c>
      <c r="E68" s="105">
        <v>489.59999999999997</v>
      </c>
    </row>
    <row r="69" spans="1:5" x14ac:dyDescent="0.2">
      <c r="B69" s="104" t="s">
        <v>239</v>
      </c>
      <c r="C69" s="105" t="s">
        <v>34</v>
      </c>
      <c r="D69" s="105">
        <v>473</v>
      </c>
      <c r="E69" s="105">
        <v>567.6</v>
      </c>
    </row>
    <row r="70" spans="1:5" x14ac:dyDescent="0.2">
      <c r="B70" s="104" t="s">
        <v>240</v>
      </c>
      <c r="C70" s="105" t="s">
        <v>34</v>
      </c>
      <c r="D70" s="105">
        <v>262</v>
      </c>
      <c r="E70" s="105">
        <v>314.39999999999998</v>
      </c>
    </row>
    <row r="71" spans="1:5" x14ac:dyDescent="0.2">
      <c r="B71" s="104" t="s">
        <v>241</v>
      </c>
      <c r="C71" s="105" t="s">
        <v>34</v>
      </c>
      <c r="D71" s="105">
        <v>499</v>
      </c>
      <c r="E71" s="105">
        <v>598.79999999999995</v>
      </c>
    </row>
    <row r="72" spans="1:5" x14ac:dyDescent="0.2">
      <c r="B72" s="104" t="s">
        <v>242</v>
      </c>
      <c r="C72" s="105" t="s">
        <v>34</v>
      </c>
      <c r="D72" s="105">
        <v>719</v>
      </c>
      <c r="E72" s="105">
        <v>862.8</v>
      </c>
    </row>
    <row r="73" spans="1:5" x14ac:dyDescent="0.2">
      <c r="B73" s="104" t="s">
        <v>243</v>
      </c>
      <c r="C73" s="105" t="s">
        <v>34</v>
      </c>
      <c r="D73" s="105">
        <v>575</v>
      </c>
      <c r="E73" s="105">
        <v>690</v>
      </c>
    </row>
    <row r="74" spans="1:5" x14ac:dyDescent="0.2">
      <c r="B74" s="104" t="s">
        <v>244</v>
      </c>
      <c r="C74" s="105" t="s">
        <v>34</v>
      </c>
      <c r="D74" s="105">
        <v>108</v>
      </c>
      <c r="E74" s="105">
        <v>129.6</v>
      </c>
    </row>
    <row r="75" spans="1:5" x14ac:dyDescent="0.2">
      <c r="B75" s="104" t="s">
        <v>245</v>
      </c>
      <c r="C75" s="105" t="s">
        <v>34</v>
      </c>
      <c r="D75" s="105">
        <v>400</v>
      </c>
      <c r="E75" s="105">
        <v>480</v>
      </c>
    </row>
    <row r="76" spans="1:5" x14ac:dyDescent="0.2">
      <c r="B76" s="104" t="s">
        <v>246</v>
      </c>
      <c r="C76" s="105" t="s">
        <v>34</v>
      </c>
      <c r="D76" s="105">
        <v>635</v>
      </c>
      <c r="E76" s="105">
        <v>762</v>
      </c>
    </row>
    <row r="77" spans="1:5" x14ac:dyDescent="0.2">
      <c r="B77" s="104" t="s">
        <v>247</v>
      </c>
      <c r="C77" s="105" t="s">
        <v>34</v>
      </c>
      <c r="D77" s="105">
        <v>520</v>
      </c>
      <c r="E77" s="105">
        <v>624</v>
      </c>
    </row>
    <row r="78" spans="1:5" x14ac:dyDescent="0.2">
      <c r="B78" s="104" t="s">
        <v>248</v>
      </c>
      <c r="C78" s="105" t="s">
        <v>34</v>
      </c>
      <c r="D78" s="105">
        <v>298</v>
      </c>
      <c r="E78" s="105">
        <v>357.59999999999997</v>
      </c>
    </row>
    <row r="79" spans="1:5" x14ac:dyDescent="0.2">
      <c r="B79" s="104" t="s">
        <v>249</v>
      </c>
      <c r="C79" s="105" t="s">
        <v>34</v>
      </c>
      <c r="D79" s="105">
        <v>498</v>
      </c>
      <c r="E79" s="105">
        <v>597.6</v>
      </c>
    </row>
    <row r="80" spans="1:5" x14ac:dyDescent="0.2">
      <c r="B80" s="104" t="s">
        <v>250</v>
      </c>
      <c r="C80" s="105" t="s">
        <v>34</v>
      </c>
      <c r="D80" s="105">
        <v>426</v>
      </c>
      <c r="E80" s="105">
        <v>511.2</v>
      </c>
    </row>
    <row r="81" spans="1:5" x14ac:dyDescent="0.2">
      <c r="B81" s="104" t="s">
        <v>251</v>
      </c>
      <c r="C81" s="105" t="s">
        <v>34</v>
      </c>
      <c r="D81" s="105">
        <v>227</v>
      </c>
      <c r="E81" s="105">
        <v>272.39999999999998</v>
      </c>
    </row>
    <row r="82" spans="1:5" x14ac:dyDescent="0.2">
      <c r="B82" s="104" t="s">
        <v>252</v>
      </c>
      <c r="C82" s="105" t="s">
        <v>34</v>
      </c>
      <c r="D82" s="105">
        <v>413</v>
      </c>
      <c r="E82" s="105">
        <v>495.59999999999997</v>
      </c>
    </row>
    <row r="83" spans="1:5" x14ac:dyDescent="0.2">
      <c r="A83" s="104" t="s">
        <v>131</v>
      </c>
      <c r="B83" s="104" t="s">
        <v>253</v>
      </c>
      <c r="C83" s="105" t="s">
        <v>57</v>
      </c>
      <c r="D83" s="105">
        <v>784</v>
      </c>
      <c r="E83" s="105">
        <v>940.8</v>
      </c>
    </row>
    <row r="84" spans="1:5" x14ac:dyDescent="0.2">
      <c r="B84" s="104" t="s">
        <v>254</v>
      </c>
      <c r="C84" s="105" t="s">
        <v>57</v>
      </c>
      <c r="D84" s="105">
        <v>730</v>
      </c>
      <c r="E84" s="105">
        <v>876</v>
      </c>
    </row>
    <row r="85" spans="1:5" x14ac:dyDescent="0.2">
      <c r="B85" s="104" t="s">
        <v>255</v>
      </c>
      <c r="C85" s="105" t="s">
        <v>57</v>
      </c>
      <c r="D85" s="105">
        <v>486</v>
      </c>
      <c r="E85" s="105">
        <v>583.19999999999993</v>
      </c>
    </row>
    <row r="86" spans="1:5" x14ac:dyDescent="0.2">
      <c r="B86" s="104" t="s">
        <v>256</v>
      </c>
      <c r="C86" s="105" t="s">
        <v>57</v>
      </c>
      <c r="D86" s="105">
        <v>682</v>
      </c>
      <c r="E86" s="105">
        <v>818.4</v>
      </c>
    </row>
    <row r="87" spans="1:5" x14ac:dyDescent="0.2">
      <c r="B87" s="104" t="s">
        <v>257</v>
      </c>
      <c r="C87" s="105" t="s">
        <v>57</v>
      </c>
      <c r="D87" s="105">
        <v>655</v>
      </c>
      <c r="E87" s="105">
        <v>786</v>
      </c>
    </row>
    <row r="88" spans="1:5" x14ac:dyDescent="0.2">
      <c r="B88" s="104" t="s">
        <v>258</v>
      </c>
      <c r="C88" s="105" t="s">
        <v>57</v>
      </c>
      <c r="D88" s="105">
        <v>781</v>
      </c>
      <c r="E88" s="105">
        <v>937.19999999999993</v>
      </c>
    </row>
    <row r="89" spans="1:5" x14ac:dyDescent="0.2">
      <c r="B89" s="104" t="s">
        <v>259</v>
      </c>
      <c r="C89" s="105" t="s">
        <v>57</v>
      </c>
      <c r="D89" s="105">
        <v>487</v>
      </c>
      <c r="E89" s="105">
        <v>584.4</v>
      </c>
    </row>
    <row r="90" spans="1:5" x14ac:dyDescent="0.2">
      <c r="B90" s="104" t="s">
        <v>260</v>
      </c>
      <c r="C90" s="105" t="s">
        <v>57</v>
      </c>
      <c r="D90" s="105">
        <v>668</v>
      </c>
      <c r="E90" s="105">
        <v>801.6</v>
      </c>
    </row>
    <row r="91" spans="1:5" x14ac:dyDescent="0.2">
      <c r="A91" s="104" t="s">
        <v>132</v>
      </c>
      <c r="B91" s="104" t="s">
        <v>261</v>
      </c>
      <c r="C91" s="105" t="s">
        <v>57</v>
      </c>
      <c r="D91" s="105">
        <v>320</v>
      </c>
      <c r="E91" s="105">
        <v>384</v>
      </c>
    </row>
    <row r="92" spans="1:5" x14ac:dyDescent="0.2">
      <c r="B92" s="104" t="s">
        <v>262</v>
      </c>
      <c r="C92" s="105" t="s">
        <v>34</v>
      </c>
      <c r="D92" s="105">
        <v>697</v>
      </c>
      <c r="E92" s="105">
        <v>836.4</v>
      </c>
    </row>
    <row r="93" spans="1:5" x14ac:dyDescent="0.2">
      <c r="B93" s="104" t="s">
        <v>263</v>
      </c>
      <c r="C93" s="105" t="s">
        <v>57</v>
      </c>
      <c r="D93" s="105">
        <v>210</v>
      </c>
      <c r="E93" s="105">
        <v>252</v>
      </c>
    </row>
    <row r="94" spans="1:5" x14ac:dyDescent="0.2">
      <c r="B94" s="104" t="s">
        <v>264</v>
      </c>
      <c r="C94" s="105" t="s">
        <v>57</v>
      </c>
      <c r="D94" s="105">
        <v>678</v>
      </c>
      <c r="E94" s="105">
        <v>813.6</v>
      </c>
    </row>
    <row r="95" spans="1:5" x14ac:dyDescent="0.2">
      <c r="B95" s="104" t="s">
        <v>265</v>
      </c>
      <c r="C95" s="105" t="s">
        <v>57</v>
      </c>
      <c r="D95" s="105">
        <v>3236</v>
      </c>
      <c r="E95" s="105">
        <v>3883.2</v>
      </c>
    </row>
    <row r="96" spans="1:5" x14ac:dyDescent="0.2">
      <c r="B96" s="104" t="s">
        <v>266</v>
      </c>
      <c r="C96" s="105" t="s">
        <v>57</v>
      </c>
      <c r="D96" s="105">
        <v>461</v>
      </c>
      <c r="E96" s="105">
        <v>553.19999999999993</v>
      </c>
    </row>
    <row r="97" spans="2:5" x14ac:dyDescent="0.2">
      <c r="B97" s="104" t="s">
        <v>267</v>
      </c>
      <c r="C97" s="105" t="s">
        <v>34</v>
      </c>
      <c r="D97" s="105">
        <v>710</v>
      </c>
      <c r="E97" s="105">
        <v>852</v>
      </c>
    </row>
    <row r="98" spans="2:5" x14ac:dyDescent="0.2">
      <c r="B98" s="104" t="s">
        <v>268</v>
      </c>
      <c r="C98" s="105" t="s">
        <v>57</v>
      </c>
      <c r="D98" s="105">
        <v>51</v>
      </c>
      <c r="E98" s="105">
        <v>61.199999999999996</v>
      </c>
    </row>
    <row r="99" spans="2:5" x14ac:dyDescent="0.2">
      <c r="B99" s="104" t="s">
        <v>269</v>
      </c>
      <c r="C99" s="105" t="s">
        <v>57</v>
      </c>
      <c r="D99" s="105">
        <v>104</v>
      </c>
      <c r="E99" s="105">
        <v>124.8</v>
      </c>
    </row>
    <row r="100" spans="2:5" x14ac:dyDescent="0.2">
      <c r="B100" s="104" t="s">
        <v>270</v>
      </c>
      <c r="C100" s="105" t="s">
        <v>57</v>
      </c>
      <c r="D100" s="105">
        <v>198</v>
      </c>
      <c r="E100" s="105">
        <v>237.6</v>
      </c>
    </row>
    <row r="101" spans="2:5" x14ac:dyDescent="0.2">
      <c r="B101" s="104" t="s">
        <v>271</v>
      </c>
      <c r="C101" s="105" t="s">
        <v>57</v>
      </c>
      <c r="D101" s="105">
        <v>144</v>
      </c>
      <c r="E101" s="105">
        <v>172.79999999999998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P02</vt:lpstr>
      <vt:lpstr>P03</vt:lpstr>
      <vt:lpstr>P05</vt:lpstr>
      <vt:lpstr>P09</vt:lpstr>
      <vt:lpstr>S35</vt:lpstr>
      <vt:lpstr>S51</vt:lpstr>
      <vt:lpstr>S59</vt:lpstr>
      <vt:lpstr>S73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2015-12-08T22:08:11Z</dcterms:modified>
</cp:coreProperties>
</file>